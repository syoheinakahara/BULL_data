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426" codeName="{8C4F1C90-05EB-6A55-5F09-09C24B55AC0B}"/>
  <workbookPr codeName="ThisWorkbook" autoCompressPictures="0"/>
  <bookViews>
    <workbookView xWindow="560" yWindow="560" windowWidth="30320" windowHeight="17800" activeTab="1"/>
  </bookViews>
  <sheets>
    <sheet name="floors_rank_quests" sheetId="2" r:id="rId1"/>
    <sheet name="enemy_habitats_rank_quests" sheetId="1" r:id="rId2"/>
    <sheet name="floors_rank_quests.tmp" sheetId="5" r:id="rId3"/>
    <sheet name="enemy_habitats_rank_quests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enemy_habitats_rank_quests!$B$1:$AE$1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6" l="1"/>
  <c r="A1" i="6"/>
  <c r="A130" i="6"/>
  <c r="B1" i="6"/>
  <c r="W130" i="6"/>
  <c r="V130" i="6"/>
  <c r="U130" i="6"/>
  <c r="T130" i="6"/>
  <c r="S130" i="6"/>
  <c r="R130" i="6"/>
  <c r="AA129" i="1"/>
  <c r="AD129" i="1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129" i="6"/>
  <c r="W129" i="6"/>
  <c r="V129" i="6"/>
  <c r="U129" i="6"/>
  <c r="T129" i="6"/>
  <c r="S129" i="6"/>
  <c r="R129" i="6"/>
  <c r="AA128" i="1"/>
  <c r="AD128" i="1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8" i="6"/>
  <c r="W128" i="6"/>
  <c r="V128" i="6"/>
  <c r="U128" i="6"/>
  <c r="T128" i="6"/>
  <c r="S128" i="6"/>
  <c r="R128" i="6"/>
  <c r="AA127" i="1"/>
  <c r="AD127" i="1"/>
  <c r="Q128" i="6"/>
  <c r="P128" i="6"/>
  <c r="O128" i="6"/>
  <c r="X127" i="1"/>
  <c r="N128" i="6"/>
  <c r="M128" i="6"/>
  <c r="L128" i="6"/>
  <c r="K128" i="6"/>
  <c r="T127" i="1"/>
  <c r="J128" i="6"/>
  <c r="I128" i="6"/>
  <c r="H128" i="6"/>
  <c r="G128" i="6"/>
  <c r="F128" i="6"/>
  <c r="E128" i="6"/>
  <c r="D128" i="6"/>
  <c r="C128" i="6"/>
  <c r="B128" i="6"/>
  <c r="A127" i="6"/>
  <c r="W127" i="6"/>
  <c r="V127" i="6"/>
  <c r="U127" i="6"/>
  <c r="T127" i="6"/>
  <c r="S127" i="6"/>
  <c r="R127" i="6"/>
  <c r="AA126" i="1"/>
  <c r="AD126" i="1"/>
  <c r="Q127" i="6"/>
  <c r="P127" i="6"/>
  <c r="O127" i="6"/>
  <c r="N127" i="6"/>
  <c r="M127" i="6"/>
  <c r="L127" i="6"/>
  <c r="K127" i="6"/>
  <c r="T126" i="1"/>
  <c r="J127" i="6"/>
  <c r="I127" i="6"/>
  <c r="H127" i="6"/>
  <c r="G127" i="6"/>
  <c r="F127" i="6"/>
  <c r="E127" i="6"/>
  <c r="D127" i="6"/>
  <c r="C127" i="6"/>
  <c r="B127" i="6"/>
  <c r="A126" i="6"/>
  <c r="W126" i="6"/>
  <c r="V126" i="6"/>
  <c r="U126" i="6"/>
  <c r="T126" i="6"/>
  <c r="S126" i="6"/>
  <c r="R126" i="6"/>
  <c r="AA125" i="1"/>
  <c r="AD125" i="1"/>
  <c r="Q126" i="6"/>
  <c r="P126" i="6"/>
  <c r="O126" i="6"/>
  <c r="X125" i="1"/>
  <c r="N126" i="6"/>
  <c r="M126" i="6"/>
  <c r="L126" i="6"/>
  <c r="K126" i="6"/>
  <c r="T125" i="1"/>
  <c r="J126" i="6"/>
  <c r="I126" i="6"/>
  <c r="H126" i="6"/>
  <c r="G126" i="6"/>
  <c r="F126" i="6"/>
  <c r="E126" i="6"/>
  <c r="D126" i="6"/>
  <c r="C126" i="6"/>
  <c r="B126" i="6"/>
  <c r="A125" i="6"/>
  <c r="W125" i="6"/>
  <c r="V125" i="6"/>
  <c r="U125" i="6"/>
  <c r="T125" i="6"/>
  <c r="S125" i="6"/>
  <c r="R125" i="6"/>
  <c r="AA124" i="1"/>
  <c r="AD124" i="1"/>
  <c r="Q125" i="6"/>
  <c r="P125" i="6"/>
  <c r="O125" i="6"/>
  <c r="X124" i="1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124" i="6"/>
  <c r="W124" i="6"/>
  <c r="V124" i="6"/>
  <c r="U124" i="6"/>
  <c r="T124" i="6"/>
  <c r="S124" i="6"/>
  <c r="R124" i="6"/>
  <c r="AA123" i="1"/>
  <c r="AD123" i="1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123" i="6"/>
  <c r="W123" i="6"/>
  <c r="V123" i="6"/>
  <c r="U123" i="6"/>
  <c r="T123" i="6"/>
  <c r="S123" i="6"/>
  <c r="R123" i="6"/>
  <c r="AA122" i="1"/>
  <c r="AD122" i="1"/>
  <c r="Q123" i="6"/>
  <c r="P123" i="6"/>
  <c r="O123" i="6"/>
  <c r="X122" i="1"/>
  <c r="N123" i="6"/>
  <c r="M123" i="6"/>
  <c r="L123" i="6"/>
  <c r="K123" i="6"/>
  <c r="T122" i="1"/>
  <c r="J123" i="6"/>
  <c r="I123" i="6"/>
  <c r="H123" i="6"/>
  <c r="G123" i="6"/>
  <c r="F123" i="6"/>
  <c r="E123" i="6"/>
  <c r="D123" i="6"/>
  <c r="C123" i="6"/>
  <c r="B123" i="6"/>
  <c r="A122" i="6"/>
  <c r="W122" i="6"/>
  <c r="V122" i="6"/>
  <c r="U122" i="6"/>
  <c r="T122" i="6"/>
  <c r="S122" i="6"/>
  <c r="R122" i="6"/>
  <c r="AA121" i="1"/>
  <c r="AD121" i="1"/>
  <c r="Q122" i="6"/>
  <c r="P122" i="6"/>
  <c r="O122" i="6"/>
  <c r="X121" i="1"/>
  <c r="N122" i="6"/>
  <c r="M122" i="6"/>
  <c r="L122" i="6"/>
  <c r="K122" i="6"/>
  <c r="T121" i="1"/>
  <c r="J122" i="6"/>
  <c r="I122" i="6"/>
  <c r="H122" i="6"/>
  <c r="G122" i="6"/>
  <c r="F122" i="6"/>
  <c r="E122" i="6"/>
  <c r="D122" i="6"/>
  <c r="C122" i="6"/>
  <c r="B122" i="6"/>
  <c r="A121" i="6"/>
  <c r="W121" i="6"/>
  <c r="V121" i="6"/>
  <c r="U121" i="6"/>
  <c r="T121" i="6"/>
  <c r="S121" i="6"/>
  <c r="R121" i="6"/>
  <c r="AA120" i="1"/>
  <c r="AD120" i="1"/>
  <c r="Q121" i="6"/>
  <c r="P121" i="6"/>
  <c r="O121" i="6"/>
  <c r="X120" i="1"/>
  <c r="N121" i="6"/>
  <c r="M121" i="6"/>
  <c r="L121" i="6"/>
  <c r="K121" i="6"/>
  <c r="T120" i="1"/>
  <c r="J121" i="6"/>
  <c r="I121" i="6"/>
  <c r="H121" i="6"/>
  <c r="G121" i="6"/>
  <c r="F121" i="6"/>
  <c r="E121" i="6"/>
  <c r="D121" i="6"/>
  <c r="C121" i="6"/>
  <c r="B121" i="6"/>
  <c r="A120" i="6"/>
  <c r="W120" i="6"/>
  <c r="V120" i="6"/>
  <c r="U120" i="6"/>
  <c r="T120" i="6"/>
  <c r="S120" i="6"/>
  <c r="R120" i="6"/>
  <c r="AA119" i="1"/>
  <c r="AD119" i="1"/>
  <c r="Q120" i="6"/>
  <c r="P120" i="6"/>
  <c r="O120" i="6"/>
  <c r="X119" i="1"/>
  <c r="N120" i="6"/>
  <c r="M120" i="6"/>
  <c r="L120" i="6"/>
  <c r="K120" i="6"/>
  <c r="T119" i="1"/>
  <c r="J120" i="6"/>
  <c r="I120" i="6"/>
  <c r="H120" i="6"/>
  <c r="G120" i="6"/>
  <c r="F120" i="6"/>
  <c r="E120" i="6"/>
  <c r="D120" i="6"/>
  <c r="C120" i="6"/>
  <c r="B120" i="6"/>
  <c r="A119" i="6"/>
  <c r="W119" i="6"/>
  <c r="V119" i="6"/>
  <c r="U119" i="6"/>
  <c r="T119" i="6"/>
  <c r="S119" i="6"/>
  <c r="R119" i="6"/>
  <c r="AA118" i="1"/>
  <c r="AD118" i="1"/>
  <c r="Q119" i="6"/>
  <c r="P119" i="6"/>
  <c r="O119" i="6"/>
  <c r="X118" i="1"/>
  <c r="N119" i="6"/>
  <c r="M119" i="6"/>
  <c r="L119" i="6"/>
  <c r="K119" i="6"/>
  <c r="T118" i="1"/>
  <c r="J119" i="6"/>
  <c r="I119" i="6"/>
  <c r="H119" i="6"/>
  <c r="G119" i="6"/>
  <c r="F119" i="6"/>
  <c r="E119" i="6"/>
  <c r="D119" i="6"/>
  <c r="C119" i="6"/>
  <c r="B119" i="6"/>
  <c r="A118" i="6"/>
  <c r="W118" i="6"/>
  <c r="V118" i="6"/>
  <c r="U118" i="6"/>
  <c r="T118" i="6"/>
  <c r="S118" i="6"/>
  <c r="R118" i="6"/>
  <c r="AA117" i="1"/>
  <c r="AD117" i="1"/>
  <c r="Q118" i="6"/>
  <c r="P118" i="6"/>
  <c r="O118" i="6"/>
  <c r="X117" i="1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117" i="6"/>
  <c r="W117" i="6"/>
  <c r="V117" i="6"/>
  <c r="U117" i="6"/>
  <c r="T117" i="6"/>
  <c r="S117" i="6"/>
  <c r="R117" i="6"/>
  <c r="AA116" i="1"/>
  <c r="AD116" i="1"/>
  <c r="Q117" i="6"/>
  <c r="P117" i="6"/>
  <c r="O117" i="6"/>
  <c r="X116" i="1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116" i="6"/>
  <c r="W116" i="6"/>
  <c r="V116" i="6"/>
  <c r="U116" i="6"/>
  <c r="T116" i="6"/>
  <c r="S116" i="6"/>
  <c r="R116" i="6"/>
  <c r="AA115" i="1"/>
  <c r="AD115" i="1"/>
  <c r="Q116" i="6"/>
  <c r="P116" i="6"/>
  <c r="O116" i="6"/>
  <c r="X115" i="1"/>
  <c r="N116" i="6"/>
  <c r="M116" i="6"/>
  <c r="L116" i="6"/>
  <c r="K116" i="6"/>
  <c r="T115" i="1"/>
  <c r="J116" i="6"/>
  <c r="I116" i="6"/>
  <c r="H116" i="6"/>
  <c r="G116" i="6"/>
  <c r="F116" i="6"/>
  <c r="E116" i="6"/>
  <c r="D116" i="6"/>
  <c r="C116" i="6"/>
  <c r="B116" i="6"/>
  <c r="A115" i="6"/>
  <c r="W115" i="6"/>
  <c r="V115" i="6"/>
  <c r="U115" i="6"/>
  <c r="T115" i="6"/>
  <c r="S115" i="6"/>
  <c r="R115" i="6"/>
  <c r="AA114" i="1"/>
  <c r="AD114" i="1"/>
  <c r="Q115" i="6"/>
  <c r="P115" i="6"/>
  <c r="O115" i="6"/>
  <c r="X114" i="1"/>
  <c r="N115" i="6"/>
  <c r="M115" i="6"/>
  <c r="L115" i="6"/>
  <c r="K115" i="6"/>
  <c r="T114" i="1"/>
  <c r="J115" i="6"/>
  <c r="I115" i="6"/>
  <c r="H115" i="6"/>
  <c r="G115" i="6"/>
  <c r="F115" i="6"/>
  <c r="E115" i="6"/>
  <c r="D115" i="6"/>
  <c r="C115" i="6"/>
  <c r="B115" i="6"/>
  <c r="A114" i="6"/>
  <c r="W114" i="6"/>
  <c r="V114" i="6"/>
  <c r="U114" i="6"/>
  <c r="T114" i="6"/>
  <c r="S114" i="6"/>
  <c r="R114" i="6"/>
  <c r="AA113" i="1"/>
  <c r="AD113" i="1"/>
  <c r="Q114" i="6"/>
  <c r="P114" i="6"/>
  <c r="O114" i="6"/>
  <c r="X113" i="1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113" i="6"/>
  <c r="W113" i="6"/>
  <c r="V113" i="6"/>
  <c r="U113" i="6"/>
  <c r="T113" i="6"/>
  <c r="S113" i="6"/>
  <c r="R113" i="6"/>
  <c r="AA112" i="1"/>
  <c r="AD112" i="1"/>
  <c r="Q113" i="6"/>
  <c r="P113" i="6"/>
  <c r="O113" i="6"/>
  <c r="X112" i="1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112" i="6"/>
  <c r="W112" i="6"/>
  <c r="V112" i="6"/>
  <c r="U112" i="6"/>
  <c r="T112" i="6"/>
  <c r="S112" i="6"/>
  <c r="R112" i="6"/>
  <c r="AA111" i="1"/>
  <c r="AD111" i="1"/>
  <c r="Q112" i="6"/>
  <c r="P112" i="6"/>
  <c r="O112" i="6"/>
  <c r="X111" i="1"/>
  <c r="N112" i="6"/>
  <c r="M112" i="6"/>
  <c r="L112" i="6"/>
  <c r="K112" i="6"/>
  <c r="T111" i="1"/>
  <c r="J112" i="6"/>
  <c r="I112" i="6"/>
  <c r="H112" i="6"/>
  <c r="G112" i="6"/>
  <c r="F112" i="6"/>
  <c r="E112" i="6"/>
  <c r="D112" i="6"/>
  <c r="C112" i="6"/>
  <c r="B112" i="6"/>
  <c r="A111" i="6"/>
  <c r="W111" i="6"/>
  <c r="V111" i="6"/>
  <c r="U111" i="6"/>
  <c r="T111" i="6"/>
  <c r="S111" i="6"/>
  <c r="R111" i="6"/>
  <c r="AA110" i="1"/>
  <c r="AD110" i="1"/>
  <c r="Q111" i="6"/>
  <c r="P111" i="6"/>
  <c r="O111" i="6"/>
  <c r="X110" i="1"/>
  <c r="N111" i="6"/>
  <c r="M111" i="6"/>
  <c r="L111" i="6"/>
  <c r="K111" i="6"/>
  <c r="T110" i="1"/>
  <c r="J111" i="6"/>
  <c r="I111" i="6"/>
  <c r="H111" i="6"/>
  <c r="G111" i="6"/>
  <c r="F111" i="6"/>
  <c r="E111" i="6"/>
  <c r="D111" i="6"/>
  <c r="C111" i="6"/>
  <c r="B111" i="6"/>
  <c r="A110" i="6"/>
  <c r="W110" i="6"/>
  <c r="V110" i="6"/>
  <c r="U110" i="6"/>
  <c r="T110" i="6"/>
  <c r="S110" i="6"/>
  <c r="R110" i="6"/>
  <c r="AA109" i="1"/>
  <c r="AD109" i="1"/>
  <c r="Q110" i="6"/>
  <c r="P110" i="6"/>
  <c r="O110" i="6"/>
  <c r="X109" i="1"/>
  <c r="N110" i="6"/>
  <c r="M110" i="6"/>
  <c r="L110" i="6"/>
  <c r="K110" i="6"/>
  <c r="T109" i="1"/>
  <c r="J110" i="6"/>
  <c r="I110" i="6"/>
  <c r="H110" i="6"/>
  <c r="G110" i="6"/>
  <c r="F110" i="6"/>
  <c r="E110" i="6"/>
  <c r="D110" i="6"/>
  <c r="C110" i="6"/>
  <c r="B110" i="6"/>
  <c r="A109" i="6"/>
  <c r="W109" i="6"/>
  <c r="V109" i="6"/>
  <c r="U109" i="6"/>
  <c r="T109" i="6"/>
  <c r="S109" i="6"/>
  <c r="R109" i="6"/>
  <c r="AA108" i="1"/>
  <c r="AD108" i="1"/>
  <c r="Q109" i="6"/>
  <c r="P109" i="6"/>
  <c r="O109" i="6"/>
  <c r="X108" i="1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108" i="6"/>
  <c r="W108" i="6"/>
  <c r="V108" i="6"/>
  <c r="U108" i="6"/>
  <c r="T108" i="6"/>
  <c r="S108" i="6"/>
  <c r="R108" i="6"/>
  <c r="AA107" i="1"/>
  <c r="AD107" i="1"/>
  <c r="Q108" i="6"/>
  <c r="P108" i="6"/>
  <c r="O108" i="6"/>
  <c r="X107" i="1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107" i="6"/>
  <c r="W107" i="6"/>
  <c r="V107" i="6"/>
  <c r="U107" i="6"/>
  <c r="T107" i="6"/>
  <c r="S107" i="6"/>
  <c r="R107" i="6"/>
  <c r="AA106" i="1"/>
  <c r="AD106" i="1"/>
  <c r="Q107" i="6"/>
  <c r="P107" i="6"/>
  <c r="O107" i="6"/>
  <c r="X106" i="1"/>
  <c r="N107" i="6"/>
  <c r="M107" i="6"/>
  <c r="L107" i="6"/>
  <c r="K107" i="6"/>
  <c r="T106" i="1"/>
  <c r="J107" i="6"/>
  <c r="I107" i="6"/>
  <c r="H107" i="6"/>
  <c r="G107" i="6"/>
  <c r="F107" i="6"/>
  <c r="E107" i="6"/>
  <c r="D107" i="6"/>
  <c r="C107" i="6"/>
  <c r="B107" i="6"/>
  <c r="A106" i="6"/>
  <c r="W106" i="6"/>
  <c r="V106" i="6"/>
  <c r="U106" i="6"/>
  <c r="T106" i="6"/>
  <c r="S106" i="6"/>
  <c r="R106" i="6"/>
  <c r="AA105" i="1"/>
  <c r="AD105" i="1"/>
  <c r="Q106" i="6"/>
  <c r="P106" i="6"/>
  <c r="O106" i="6"/>
  <c r="X105" i="1"/>
  <c r="N106" i="6"/>
  <c r="M106" i="6"/>
  <c r="L106" i="6"/>
  <c r="K106" i="6"/>
  <c r="T105" i="1"/>
  <c r="J106" i="6"/>
  <c r="I106" i="6"/>
  <c r="H106" i="6"/>
  <c r="G106" i="6"/>
  <c r="F106" i="6"/>
  <c r="E106" i="6"/>
  <c r="D106" i="6"/>
  <c r="C106" i="6"/>
  <c r="B106" i="6"/>
  <c r="A105" i="6"/>
  <c r="W105" i="6"/>
  <c r="V105" i="6"/>
  <c r="U105" i="6"/>
  <c r="T105" i="6"/>
  <c r="S105" i="6"/>
  <c r="R105" i="6"/>
  <c r="AA104" i="1"/>
  <c r="AD104" i="1"/>
  <c r="Q105" i="6"/>
  <c r="P105" i="6"/>
  <c r="O105" i="6"/>
  <c r="X104" i="1"/>
  <c r="N105" i="6"/>
  <c r="M105" i="6"/>
  <c r="L105" i="6"/>
  <c r="K105" i="6"/>
  <c r="T104" i="1"/>
  <c r="J105" i="6"/>
  <c r="I105" i="6"/>
  <c r="H105" i="6"/>
  <c r="G105" i="6"/>
  <c r="F105" i="6"/>
  <c r="E105" i="6"/>
  <c r="D105" i="6"/>
  <c r="C105" i="6"/>
  <c r="B105" i="6"/>
  <c r="A104" i="6"/>
  <c r="W104" i="6"/>
  <c r="V104" i="6"/>
  <c r="U104" i="6"/>
  <c r="T104" i="6"/>
  <c r="S104" i="6"/>
  <c r="R104" i="6"/>
  <c r="AA103" i="1"/>
  <c r="AD103" i="1"/>
  <c r="Q104" i="6"/>
  <c r="P104" i="6"/>
  <c r="O104" i="6"/>
  <c r="X103" i="1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103" i="6"/>
  <c r="W103" i="6"/>
  <c r="V103" i="6"/>
  <c r="U103" i="6"/>
  <c r="T103" i="6"/>
  <c r="S103" i="6"/>
  <c r="R103" i="6"/>
  <c r="AA102" i="1"/>
  <c r="AD102" i="1"/>
  <c r="Q103" i="6"/>
  <c r="P103" i="6"/>
  <c r="O103" i="6"/>
  <c r="X102" i="1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102" i="6"/>
  <c r="W102" i="6"/>
  <c r="V102" i="6"/>
  <c r="U102" i="6"/>
  <c r="T102" i="6"/>
  <c r="S102" i="6"/>
  <c r="R102" i="6"/>
  <c r="AA101" i="1"/>
  <c r="AD101" i="1"/>
  <c r="Q102" i="6"/>
  <c r="P102" i="6"/>
  <c r="O102" i="6"/>
  <c r="X101" i="1"/>
  <c r="N102" i="6"/>
  <c r="M102" i="6"/>
  <c r="L102" i="6"/>
  <c r="K102" i="6"/>
  <c r="T101" i="1"/>
  <c r="J102" i="6"/>
  <c r="I102" i="6"/>
  <c r="H102" i="6"/>
  <c r="G102" i="6"/>
  <c r="F102" i="6"/>
  <c r="E102" i="6"/>
  <c r="D102" i="6"/>
  <c r="C102" i="6"/>
  <c r="B102" i="6"/>
  <c r="A101" i="6"/>
  <c r="W101" i="6"/>
  <c r="V101" i="6"/>
  <c r="U101" i="6"/>
  <c r="T101" i="6"/>
  <c r="S101" i="6"/>
  <c r="R101" i="6"/>
  <c r="AA100" i="1"/>
  <c r="AD100" i="1"/>
  <c r="Q101" i="6"/>
  <c r="P101" i="6"/>
  <c r="O101" i="6"/>
  <c r="X100" i="1"/>
  <c r="N101" i="6"/>
  <c r="M101" i="6"/>
  <c r="L101" i="6"/>
  <c r="K101" i="6"/>
  <c r="T100" i="1"/>
  <c r="J101" i="6"/>
  <c r="I101" i="6"/>
  <c r="H101" i="6"/>
  <c r="G101" i="6"/>
  <c r="F101" i="6"/>
  <c r="E101" i="6"/>
  <c r="D101" i="6"/>
  <c r="C101" i="6"/>
  <c r="B101" i="6"/>
  <c r="A100" i="6"/>
  <c r="W100" i="6"/>
  <c r="V100" i="6"/>
  <c r="U100" i="6"/>
  <c r="T100" i="6"/>
  <c r="S100" i="6"/>
  <c r="R100" i="6"/>
  <c r="AA99" i="1"/>
  <c r="AD99" i="1"/>
  <c r="Q100" i="6"/>
  <c r="P100" i="6"/>
  <c r="O100" i="6"/>
  <c r="X99" i="1"/>
  <c r="N100" i="6"/>
  <c r="M100" i="6"/>
  <c r="L100" i="6"/>
  <c r="K100" i="6"/>
  <c r="T99" i="1"/>
  <c r="J100" i="6"/>
  <c r="I100" i="6"/>
  <c r="H100" i="6"/>
  <c r="G100" i="6"/>
  <c r="F100" i="6"/>
  <c r="E100" i="6"/>
  <c r="D100" i="6"/>
  <c r="C100" i="6"/>
  <c r="B100" i="6"/>
  <c r="A99" i="6"/>
  <c r="W99" i="6"/>
  <c r="V99" i="6"/>
  <c r="U99" i="6"/>
  <c r="T99" i="6"/>
  <c r="S99" i="6"/>
  <c r="R99" i="6"/>
  <c r="AA98" i="1"/>
  <c r="AD98" i="1"/>
  <c r="Q99" i="6"/>
  <c r="P99" i="6"/>
  <c r="O99" i="6"/>
  <c r="X98" i="1"/>
  <c r="N99" i="6"/>
  <c r="M99" i="6"/>
  <c r="L99" i="6"/>
  <c r="K99" i="6"/>
  <c r="T98" i="1"/>
  <c r="J99" i="6"/>
  <c r="I99" i="6"/>
  <c r="H99" i="6"/>
  <c r="G99" i="6"/>
  <c r="F99" i="6"/>
  <c r="E99" i="6"/>
  <c r="D99" i="6"/>
  <c r="C99" i="6"/>
  <c r="B99" i="6"/>
  <c r="A98" i="6"/>
  <c r="W98" i="6"/>
  <c r="V98" i="6"/>
  <c r="U98" i="6"/>
  <c r="T98" i="6"/>
  <c r="S98" i="6"/>
  <c r="R98" i="6"/>
  <c r="AA97" i="1"/>
  <c r="AD97" i="1"/>
  <c r="Q98" i="6"/>
  <c r="P98" i="6"/>
  <c r="O98" i="6"/>
  <c r="X97" i="1"/>
  <c r="N98" i="6"/>
  <c r="M98" i="6"/>
  <c r="L98" i="6"/>
  <c r="K98" i="6"/>
  <c r="T97" i="1"/>
  <c r="J98" i="6"/>
  <c r="I98" i="6"/>
  <c r="H98" i="6"/>
  <c r="G98" i="6"/>
  <c r="F98" i="6"/>
  <c r="E98" i="6"/>
  <c r="D98" i="6"/>
  <c r="C98" i="6"/>
  <c r="B98" i="6"/>
  <c r="A97" i="6"/>
  <c r="W97" i="6"/>
  <c r="V97" i="6"/>
  <c r="U97" i="6"/>
  <c r="T97" i="6"/>
  <c r="S97" i="6"/>
  <c r="R97" i="6"/>
  <c r="AA96" i="1"/>
  <c r="AD96" i="1"/>
  <c r="Q97" i="6"/>
  <c r="P97" i="6"/>
  <c r="O97" i="6"/>
  <c r="X96" i="1"/>
  <c r="N97" i="6"/>
  <c r="M97" i="6"/>
  <c r="L97" i="6"/>
  <c r="K97" i="6"/>
  <c r="T96" i="1"/>
  <c r="J97" i="6"/>
  <c r="I97" i="6"/>
  <c r="H97" i="6"/>
  <c r="G97" i="6"/>
  <c r="F97" i="6"/>
  <c r="E97" i="6"/>
  <c r="D97" i="6"/>
  <c r="C97" i="6"/>
  <c r="B97" i="6"/>
  <c r="A96" i="6"/>
  <c r="W96" i="6"/>
  <c r="V96" i="6"/>
  <c r="U96" i="6"/>
  <c r="T96" i="6"/>
  <c r="S96" i="6"/>
  <c r="R96" i="6"/>
  <c r="AA95" i="1"/>
  <c r="AD95" i="1"/>
  <c r="Q96" i="6"/>
  <c r="P96" i="6"/>
  <c r="O96" i="6"/>
  <c r="X95" i="1"/>
  <c r="N96" i="6"/>
  <c r="M96" i="6"/>
  <c r="L96" i="6"/>
  <c r="K96" i="6"/>
  <c r="T95" i="1"/>
  <c r="J96" i="6"/>
  <c r="I96" i="6"/>
  <c r="H96" i="6"/>
  <c r="G96" i="6"/>
  <c r="F96" i="6"/>
  <c r="E96" i="6"/>
  <c r="D96" i="6"/>
  <c r="C96" i="6"/>
  <c r="B96" i="6"/>
  <c r="A95" i="6"/>
  <c r="W95" i="6"/>
  <c r="V95" i="6"/>
  <c r="U95" i="6"/>
  <c r="T95" i="6"/>
  <c r="S95" i="6"/>
  <c r="R95" i="6"/>
  <c r="AA94" i="1"/>
  <c r="AD94" i="1"/>
  <c r="Q95" i="6"/>
  <c r="P95" i="6"/>
  <c r="O95" i="6"/>
  <c r="X94" i="1"/>
  <c r="N95" i="6"/>
  <c r="M95" i="6"/>
  <c r="L95" i="6"/>
  <c r="K95" i="6"/>
  <c r="T94" i="1"/>
  <c r="J95" i="6"/>
  <c r="I95" i="6"/>
  <c r="H95" i="6"/>
  <c r="G95" i="6"/>
  <c r="F95" i="6"/>
  <c r="E95" i="6"/>
  <c r="D95" i="6"/>
  <c r="C95" i="6"/>
  <c r="B95" i="6"/>
  <c r="A94" i="6"/>
  <c r="W94" i="6"/>
  <c r="V94" i="6"/>
  <c r="U94" i="6"/>
  <c r="T94" i="6"/>
  <c r="S94" i="6"/>
  <c r="R94" i="6"/>
  <c r="AA93" i="1"/>
  <c r="AD93" i="1"/>
  <c r="Q94" i="6"/>
  <c r="P94" i="6"/>
  <c r="O94" i="6"/>
  <c r="X93" i="1"/>
  <c r="N94" i="6"/>
  <c r="M94" i="6"/>
  <c r="L94" i="6"/>
  <c r="K94" i="6"/>
  <c r="T93" i="1"/>
  <c r="J94" i="6"/>
  <c r="I94" i="6"/>
  <c r="H94" i="6"/>
  <c r="G94" i="6"/>
  <c r="F94" i="6"/>
  <c r="E94" i="6"/>
  <c r="D94" i="6"/>
  <c r="C94" i="6"/>
  <c r="B94" i="6"/>
  <c r="A93" i="6"/>
  <c r="W93" i="6"/>
  <c r="V93" i="6"/>
  <c r="U93" i="6"/>
  <c r="T93" i="6"/>
  <c r="S93" i="6"/>
  <c r="R93" i="6"/>
  <c r="AA92" i="1"/>
  <c r="AD92" i="1"/>
  <c r="Q93" i="6"/>
  <c r="P93" i="6"/>
  <c r="O93" i="6"/>
  <c r="X92" i="1"/>
  <c r="N93" i="6"/>
  <c r="M93" i="6"/>
  <c r="L93" i="6"/>
  <c r="K93" i="6"/>
  <c r="T92" i="1"/>
  <c r="J93" i="6"/>
  <c r="I93" i="6"/>
  <c r="H93" i="6"/>
  <c r="G93" i="6"/>
  <c r="F93" i="6"/>
  <c r="E93" i="6"/>
  <c r="D93" i="6"/>
  <c r="C93" i="6"/>
  <c r="B93" i="6"/>
  <c r="A92" i="6"/>
  <c r="W92" i="6"/>
  <c r="V92" i="6"/>
  <c r="U92" i="6"/>
  <c r="T92" i="6"/>
  <c r="S92" i="6"/>
  <c r="R92" i="6"/>
  <c r="AA91" i="1"/>
  <c r="AD91" i="1"/>
  <c r="Q92" i="6"/>
  <c r="P92" i="6"/>
  <c r="O92" i="6"/>
  <c r="X91" i="1"/>
  <c r="N92" i="6"/>
  <c r="M92" i="6"/>
  <c r="L92" i="6"/>
  <c r="K92" i="6"/>
  <c r="T91" i="1"/>
  <c r="J92" i="6"/>
  <c r="I92" i="6"/>
  <c r="H92" i="6"/>
  <c r="G92" i="6"/>
  <c r="F92" i="6"/>
  <c r="E92" i="6"/>
  <c r="D92" i="6"/>
  <c r="C92" i="6"/>
  <c r="B92" i="6"/>
  <c r="A91" i="6"/>
  <c r="W91" i="6"/>
  <c r="V91" i="6"/>
  <c r="U91" i="6"/>
  <c r="T91" i="6"/>
  <c r="S91" i="6"/>
  <c r="R91" i="6"/>
  <c r="AA90" i="1"/>
  <c r="AD90" i="1"/>
  <c r="Q91" i="6"/>
  <c r="P91" i="6"/>
  <c r="O91" i="6"/>
  <c r="X90" i="1"/>
  <c r="N91" i="6"/>
  <c r="M91" i="6"/>
  <c r="L91" i="6"/>
  <c r="K91" i="6"/>
  <c r="T90" i="1"/>
  <c r="J91" i="6"/>
  <c r="I91" i="6"/>
  <c r="H91" i="6"/>
  <c r="G91" i="6"/>
  <c r="F91" i="6"/>
  <c r="E91" i="6"/>
  <c r="D91" i="6"/>
  <c r="C91" i="6"/>
  <c r="B91" i="6"/>
  <c r="A90" i="6"/>
  <c r="W90" i="6"/>
  <c r="V90" i="6"/>
  <c r="U90" i="6"/>
  <c r="T90" i="6"/>
  <c r="S90" i="6"/>
  <c r="R90" i="6"/>
  <c r="AA89" i="1"/>
  <c r="AD89" i="1"/>
  <c r="Q90" i="6"/>
  <c r="P90" i="6"/>
  <c r="O90" i="6"/>
  <c r="X89" i="1"/>
  <c r="N90" i="6"/>
  <c r="M90" i="6"/>
  <c r="L90" i="6"/>
  <c r="K90" i="6"/>
  <c r="T89" i="1"/>
  <c r="J90" i="6"/>
  <c r="I90" i="6"/>
  <c r="H90" i="6"/>
  <c r="G90" i="6"/>
  <c r="F90" i="6"/>
  <c r="E90" i="6"/>
  <c r="D90" i="6"/>
  <c r="C90" i="6"/>
  <c r="B90" i="6"/>
  <c r="A89" i="6"/>
  <c r="W89" i="6"/>
  <c r="V89" i="6"/>
  <c r="U89" i="6"/>
  <c r="T89" i="6"/>
  <c r="S89" i="6"/>
  <c r="R89" i="6"/>
  <c r="AA88" i="1"/>
  <c r="AD88" i="1"/>
  <c r="Q89" i="6"/>
  <c r="P89" i="6"/>
  <c r="O89" i="6"/>
  <c r="X88" i="1"/>
  <c r="N89" i="6"/>
  <c r="M89" i="6"/>
  <c r="L89" i="6"/>
  <c r="K89" i="6"/>
  <c r="T88" i="1"/>
  <c r="J89" i="6"/>
  <c r="I89" i="6"/>
  <c r="H89" i="6"/>
  <c r="G89" i="6"/>
  <c r="F89" i="6"/>
  <c r="E89" i="6"/>
  <c r="D89" i="6"/>
  <c r="C89" i="6"/>
  <c r="B89" i="6"/>
  <c r="A88" i="6"/>
  <c r="W88" i="6"/>
  <c r="V88" i="6"/>
  <c r="U88" i="6"/>
  <c r="T88" i="6"/>
  <c r="S88" i="6"/>
  <c r="R88" i="6"/>
  <c r="AA87" i="1"/>
  <c r="AD87" i="1"/>
  <c r="Q88" i="6"/>
  <c r="P88" i="6"/>
  <c r="O88" i="6"/>
  <c r="X87" i="1"/>
  <c r="N88" i="6"/>
  <c r="M88" i="6"/>
  <c r="L88" i="6"/>
  <c r="K88" i="6"/>
  <c r="T87" i="1"/>
  <c r="J88" i="6"/>
  <c r="I88" i="6"/>
  <c r="H88" i="6"/>
  <c r="G88" i="6"/>
  <c r="F88" i="6"/>
  <c r="E88" i="6"/>
  <c r="D88" i="6"/>
  <c r="C88" i="6"/>
  <c r="B88" i="6"/>
  <c r="A87" i="6"/>
  <c r="W87" i="6"/>
  <c r="V87" i="6"/>
  <c r="U87" i="6"/>
  <c r="T87" i="6"/>
  <c r="S87" i="6"/>
  <c r="R87" i="6"/>
  <c r="AA86" i="1"/>
  <c r="AD86" i="1"/>
  <c r="Q87" i="6"/>
  <c r="P87" i="6"/>
  <c r="O87" i="6"/>
  <c r="X86" i="1"/>
  <c r="N87" i="6"/>
  <c r="M87" i="6"/>
  <c r="L87" i="6"/>
  <c r="K87" i="6"/>
  <c r="T86" i="1"/>
  <c r="J87" i="6"/>
  <c r="I87" i="6"/>
  <c r="H87" i="6"/>
  <c r="G87" i="6"/>
  <c r="F87" i="6"/>
  <c r="E87" i="6"/>
  <c r="D87" i="6"/>
  <c r="C87" i="6"/>
  <c r="B87" i="6"/>
  <c r="A86" i="6"/>
  <c r="W86" i="6"/>
  <c r="V86" i="6"/>
  <c r="U86" i="6"/>
  <c r="T86" i="6"/>
  <c r="S86" i="6"/>
  <c r="R86" i="6"/>
  <c r="AA85" i="1"/>
  <c r="AD85" i="1"/>
  <c r="Q86" i="6"/>
  <c r="P86" i="6"/>
  <c r="O86" i="6"/>
  <c r="X85" i="1"/>
  <c r="N86" i="6"/>
  <c r="M86" i="6"/>
  <c r="L86" i="6"/>
  <c r="K86" i="6"/>
  <c r="T85" i="1"/>
  <c r="J86" i="6"/>
  <c r="I86" i="6"/>
  <c r="H86" i="6"/>
  <c r="G86" i="6"/>
  <c r="F86" i="6"/>
  <c r="E86" i="6"/>
  <c r="D86" i="6"/>
  <c r="C86" i="6"/>
  <c r="B86" i="6"/>
  <c r="A85" i="6"/>
  <c r="W85" i="6"/>
  <c r="V85" i="6"/>
  <c r="U85" i="6"/>
  <c r="T85" i="6"/>
  <c r="S85" i="6"/>
  <c r="R85" i="6"/>
  <c r="AA84" i="1"/>
  <c r="AD84" i="1"/>
  <c r="Q85" i="6"/>
  <c r="P85" i="6"/>
  <c r="O85" i="6"/>
  <c r="X84" i="1"/>
  <c r="N85" i="6"/>
  <c r="M85" i="6"/>
  <c r="L85" i="6"/>
  <c r="K85" i="6"/>
  <c r="T84" i="1"/>
  <c r="J85" i="6"/>
  <c r="I85" i="6"/>
  <c r="H85" i="6"/>
  <c r="G85" i="6"/>
  <c r="F85" i="6"/>
  <c r="E85" i="6"/>
  <c r="D85" i="6"/>
  <c r="C85" i="6"/>
  <c r="B85" i="6"/>
  <c r="A84" i="6"/>
  <c r="W84" i="6"/>
  <c r="V84" i="6"/>
  <c r="U84" i="6"/>
  <c r="T84" i="6"/>
  <c r="S84" i="6"/>
  <c r="R84" i="6"/>
  <c r="AA83" i="1"/>
  <c r="AD83" i="1"/>
  <c r="Q84" i="6"/>
  <c r="P84" i="6"/>
  <c r="O84" i="6"/>
  <c r="X83" i="1"/>
  <c r="N84" i="6"/>
  <c r="M84" i="6"/>
  <c r="L84" i="6"/>
  <c r="K84" i="6"/>
  <c r="T83" i="1"/>
  <c r="J84" i="6"/>
  <c r="I84" i="6"/>
  <c r="H84" i="6"/>
  <c r="G84" i="6"/>
  <c r="F84" i="6"/>
  <c r="E84" i="6"/>
  <c r="D84" i="6"/>
  <c r="C84" i="6"/>
  <c r="B84" i="6"/>
  <c r="A83" i="6"/>
  <c r="W83" i="6"/>
  <c r="V83" i="6"/>
  <c r="U83" i="6"/>
  <c r="T83" i="6"/>
  <c r="S83" i="6"/>
  <c r="R83" i="6"/>
  <c r="AA82" i="1"/>
  <c r="AD82" i="1"/>
  <c r="Q83" i="6"/>
  <c r="P83" i="6"/>
  <c r="O83" i="6"/>
  <c r="X82" i="1"/>
  <c r="N83" i="6"/>
  <c r="M83" i="6"/>
  <c r="L83" i="6"/>
  <c r="K83" i="6"/>
  <c r="T82" i="1"/>
  <c r="J83" i="6"/>
  <c r="I83" i="6"/>
  <c r="H83" i="6"/>
  <c r="G83" i="6"/>
  <c r="F83" i="6"/>
  <c r="E83" i="6"/>
  <c r="D83" i="6"/>
  <c r="C83" i="6"/>
  <c r="B83" i="6"/>
  <c r="A82" i="6"/>
  <c r="W82" i="6"/>
  <c r="V82" i="6"/>
  <c r="U82" i="6"/>
  <c r="T82" i="6"/>
  <c r="S82" i="6"/>
  <c r="R82" i="6"/>
  <c r="AA81" i="1"/>
  <c r="AD81" i="1"/>
  <c r="Q82" i="6"/>
  <c r="P82" i="6"/>
  <c r="O82" i="6"/>
  <c r="X81" i="1"/>
  <c r="N82" i="6"/>
  <c r="M82" i="6"/>
  <c r="L82" i="6"/>
  <c r="K82" i="6"/>
  <c r="T81" i="1"/>
  <c r="J82" i="6"/>
  <c r="I82" i="6"/>
  <c r="H82" i="6"/>
  <c r="G82" i="6"/>
  <c r="F82" i="6"/>
  <c r="E82" i="6"/>
  <c r="D82" i="6"/>
  <c r="C82" i="6"/>
  <c r="B82" i="6"/>
  <c r="A81" i="6"/>
  <c r="W81" i="6"/>
  <c r="V81" i="6"/>
  <c r="U81" i="6"/>
  <c r="T81" i="6"/>
  <c r="S81" i="6"/>
  <c r="R81" i="6"/>
  <c r="AA80" i="1"/>
  <c r="AD80" i="1"/>
  <c r="Q81" i="6"/>
  <c r="P81" i="6"/>
  <c r="O81" i="6"/>
  <c r="X80" i="1"/>
  <c r="N81" i="6"/>
  <c r="M81" i="6"/>
  <c r="L81" i="6"/>
  <c r="K81" i="6"/>
  <c r="T80" i="1"/>
  <c r="J81" i="6"/>
  <c r="I81" i="6"/>
  <c r="H81" i="6"/>
  <c r="G81" i="6"/>
  <c r="F81" i="6"/>
  <c r="E81" i="6"/>
  <c r="D81" i="6"/>
  <c r="C81" i="6"/>
  <c r="B81" i="6"/>
  <c r="A80" i="6"/>
  <c r="W80" i="6"/>
  <c r="V80" i="6"/>
  <c r="U80" i="6"/>
  <c r="T80" i="6"/>
  <c r="S80" i="6"/>
  <c r="R80" i="6"/>
  <c r="AA79" i="1"/>
  <c r="AD79" i="1"/>
  <c r="Q80" i="6"/>
  <c r="P80" i="6"/>
  <c r="O80" i="6"/>
  <c r="X79" i="1"/>
  <c r="N80" i="6"/>
  <c r="M80" i="6"/>
  <c r="L80" i="6"/>
  <c r="K80" i="6"/>
  <c r="T79" i="1"/>
  <c r="J80" i="6"/>
  <c r="I80" i="6"/>
  <c r="H80" i="6"/>
  <c r="G80" i="6"/>
  <c r="F80" i="6"/>
  <c r="E80" i="6"/>
  <c r="D80" i="6"/>
  <c r="C80" i="6"/>
  <c r="B80" i="6"/>
  <c r="A79" i="6"/>
  <c r="W79" i="6"/>
  <c r="V79" i="6"/>
  <c r="U79" i="6"/>
  <c r="T79" i="6"/>
  <c r="S79" i="6"/>
  <c r="R79" i="6"/>
  <c r="AA78" i="1"/>
  <c r="AD78" i="1"/>
  <c r="Q79" i="6"/>
  <c r="P79" i="6"/>
  <c r="O79" i="6"/>
  <c r="X78" i="1"/>
  <c r="N79" i="6"/>
  <c r="M79" i="6"/>
  <c r="L79" i="6"/>
  <c r="K79" i="6"/>
  <c r="T78" i="1"/>
  <c r="J79" i="6"/>
  <c r="I79" i="6"/>
  <c r="H79" i="6"/>
  <c r="G79" i="6"/>
  <c r="F79" i="6"/>
  <c r="E79" i="6"/>
  <c r="D79" i="6"/>
  <c r="C79" i="6"/>
  <c r="B79" i="6"/>
  <c r="A78" i="6"/>
  <c r="W78" i="6"/>
  <c r="V78" i="6"/>
  <c r="U78" i="6"/>
  <c r="T78" i="6"/>
  <c r="S78" i="6"/>
  <c r="R78" i="6"/>
  <c r="AA77" i="1"/>
  <c r="AD77" i="1"/>
  <c r="Q78" i="6"/>
  <c r="P78" i="6"/>
  <c r="O78" i="6"/>
  <c r="X77" i="1"/>
  <c r="N78" i="6"/>
  <c r="M78" i="6"/>
  <c r="L78" i="6"/>
  <c r="K78" i="6"/>
  <c r="T77" i="1"/>
  <c r="J78" i="6"/>
  <c r="I78" i="6"/>
  <c r="H78" i="6"/>
  <c r="G78" i="6"/>
  <c r="F78" i="6"/>
  <c r="E78" i="6"/>
  <c r="D78" i="6"/>
  <c r="C78" i="6"/>
  <c r="B78" i="6"/>
  <c r="A77" i="6"/>
  <c r="W77" i="6"/>
  <c r="V77" i="6"/>
  <c r="U77" i="6"/>
  <c r="T77" i="6"/>
  <c r="S77" i="6"/>
  <c r="R77" i="6"/>
  <c r="AA76" i="1"/>
  <c r="AD76" i="1"/>
  <c r="Q77" i="6"/>
  <c r="P77" i="6"/>
  <c r="O77" i="6"/>
  <c r="X76" i="1"/>
  <c r="N77" i="6"/>
  <c r="M77" i="6"/>
  <c r="L77" i="6"/>
  <c r="K77" i="6"/>
  <c r="T76" i="1"/>
  <c r="J77" i="6"/>
  <c r="I77" i="6"/>
  <c r="H77" i="6"/>
  <c r="G77" i="6"/>
  <c r="F77" i="6"/>
  <c r="E77" i="6"/>
  <c r="D77" i="6"/>
  <c r="C77" i="6"/>
  <c r="B77" i="6"/>
  <c r="A76" i="6"/>
  <c r="W76" i="6"/>
  <c r="V76" i="6"/>
  <c r="U76" i="6"/>
  <c r="T76" i="6"/>
  <c r="S76" i="6"/>
  <c r="R76" i="6"/>
  <c r="AA75" i="1"/>
  <c r="AD75" i="1"/>
  <c r="Q76" i="6"/>
  <c r="P76" i="6"/>
  <c r="O76" i="6"/>
  <c r="X75" i="1"/>
  <c r="N76" i="6"/>
  <c r="M76" i="6"/>
  <c r="L76" i="6"/>
  <c r="K76" i="6"/>
  <c r="T75" i="1"/>
  <c r="J76" i="6"/>
  <c r="I76" i="6"/>
  <c r="H76" i="6"/>
  <c r="G76" i="6"/>
  <c r="F76" i="6"/>
  <c r="E76" i="6"/>
  <c r="D76" i="6"/>
  <c r="C76" i="6"/>
  <c r="B76" i="6"/>
  <c r="A75" i="6"/>
  <c r="W75" i="6"/>
  <c r="V75" i="6"/>
  <c r="U75" i="6"/>
  <c r="T75" i="6"/>
  <c r="S75" i="6"/>
  <c r="R75" i="6"/>
  <c r="AA74" i="1"/>
  <c r="AD74" i="1"/>
  <c r="Q75" i="6"/>
  <c r="P75" i="6"/>
  <c r="O75" i="6"/>
  <c r="X74" i="1"/>
  <c r="N75" i="6"/>
  <c r="M75" i="6"/>
  <c r="L75" i="6"/>
  <c r="K75" i="6"/>
  <c r="T74" i="1"/>
  <c r="J75" i="6"/>
  <c r="I75" i="6"/>
  <c r="H75" i="6"/>
  <c r="G75" i="6"/>
  <c r="F75" i="6"/>
  <c r="E75" i="6"/>
  <c r="D75" i="6"/>
  <c r="C75" i="6"/>
  <c r="B75" i="6"/>
  <c r="A74" i="6"/>
  <c r="W74" i="6"/>
  <c r="V74" i="6"/>
  <c r="U74" i="6"/>
  <c r="T74" i="6"/>
  <c r="S74" i="6"/>
  <c r="R74" i="6"/>
  <c r="AA73" i="1"/>
  <c r="AD73" i="1"/>
  <c r="Q74" i="6"/>
  <c r="P74" i="6"/>
  <c r="O74" i="6"/>
  <c r="X73" i="1"/>
  <c r="N74" i="6"/>
  <c r="M74" i="6"/>
  <c r="L74" i="6"/>
  <c r="K74" i="6"/>
  <c r="T73" i="1"/>
  <c r="J74" i="6"/>
  <c r="I74" i="6"/>
  <c r="H74" i="6"/>
  <c r="G74" i="6"/>
  <c r="F74" i="6"/>
  <c r="E74" i="6"/>
  <c r="D74" i="6"/>
  <c r="C74" i="6"/>
  <c r="B74" i="6"/>
  <c r="A73" i="6"/>
  <c r="W73" i="6"/>
  <c r="V73" i="6"/>
  <c r="U73" i="6"/>
  <c r="T73" i="6"/>
  <c r="S73" i="6"/>
  <c r="R73" i="6"/>
  <c r="AA72" i="1"/>
  <c r="AD72" i="1"/>
  <c r="Q73" i="6"/>
  <c r="P73" i="6"/>
  <c r="O73" i="6"/>
  <c r="X72" i="1"/>
  <c r="N73" i="6"/>
  <c r="M73" i="6"/>
  <c r="L73" i="6"/>
  <c r="K73" i="6"/>
  <c r="T72" i="1"/>
  <c r="J73" i="6"/>
  <c r="I73" i="6"/>
  <c r="H73" i="6"/>
  <c r="G73" i="6"/>
  <c r="F73" i="6"/>
  <c r="E73" i="6"/>
  <c r="D73" i="6"/>
  <c r="C73" i="6"/>
  <c r="B73" i="6"/>
  <c r="A72" i="6"/>
  <c r="W72" i="6"/>
  <c r="V72" i="6"/>
  <c r="U72" i="6"/>
  <c r="T72" i="6"/>
  <c r="S72" i="6"/>
  <c r="R72" i="6"/>
  <c r="AA71" i="1"/>
  <c r="AD71" i="1"/>
  <c r="Q72" i="6"/>
  <c r="P72" i="6"/>
  <c r="O72" i="6"/>
  <c r="X71" i="1"/>
  <c r="N72" i="6"/>
  <c r="M72" i="6"/>
  <c r="L72" i="6"/>
  <c r="K72" i="6"/>
  <c r="T71" i="1"/>
  <c r="J72" i="6"/>
  <c r="I72" i="6"/>
  <c r="H72" i="6"/>
  <c r="G72" i="6"/>
  <c r="F72" i="6"/>
  <c r="E72" i="6"/>
  <c r="D72" i="6"/>
  <c r="C72" i="6"/>
  <c r="B72" i="6"/>
  <c r="A71" i="6"/>
  <c r="W71" i="6"/>
  <c r="V71" i="6"/>
  <c r="U71" i="6"/>
  <c r="T71" i="6"/>
  <c r="S71" i="6"/>
  <c r="R71" i="6"/>
  <c r="AA70" i="1"/>
  <c r="AD70" i="1"/>
  <c r="Q71" i="6"/>
  <c r="P71" i="6"/>
  <c r="O71" i="6"/>
  <c r="X70" i="1"/>
  <c r="N71" i="6"/>
  <c r="M71" i="6"/>
  <c r="L71" i="6"/>
  <c r="K71" i="6"/>
  <c r="T70" i="1"/>
  <c r="J71" i="6"/>
  <c r="I71" i="6"/>
  <c r="H71" i="6"/>
  <c r="G71" i="6"/>
  <c r="F71" i="6"/>
  <c r="E71" i="6"/>
  <c r="D71" i="6"/>
  <c r="C71" i="6"/>
  <c r="B71" i="6"/>
  <c r="A70" i="6"/>
  <c r="W70" i="6"/>
  <c r="V70" i="6"/>
  <c r="U70" i="6"/>
  <c r="T70" i="6"/>
  <c r="S70" i="6"/>
  <c r="R70" i="6"/>
  <c r="AA69" i="1"/>
  <c r="AD69" i="1"/>
  <c r="Q70" i="6"/>
  <c r="P70" i="6"/>
  <c r="O70" i="6"/>
  <c r="X69" i="1"/>
  <c r="N70" i="6"/>
  <c r="M70" i="6"/>
  <c r="L70" i="6"/>
  <c r="K70" i="6"/>
  <c r="T69" i="1"/>
  <c r="J70" i="6"/>
  <c r="I70" i="6"/>
  <c r="H70" i="6"/>
  <c r="G70" i="6"/>
  <c r="F70" i="6"/>
  <c r="E70" i="6"/>
  <c r="D70" i="6"/>
  <c r="C70" i="6"/>
  <c r="B70" i="6"/>
  <c r="A69" i="6"/>
  <c r="W69" i="6"/>
  <c r="V69" i="6"/>
  <c r="U69" i="6"/>
  <c r="T69" i="6"/>
  <c r="S69" i="6"/>
  <c r="R69" i="6"/>
  <c r="AA68" i="1"/>
  <c r="AD68" i="1"/>
  <c r="Q69" i="6"/>
  <c r="P69" i="6"/>
  <c r="O69" i="6"/>
  <c r="X68" i="1"/>
  <c r="N69" i="6"/>
  <c r="M69" i="6"/>
  <c r="L69" i="6"/>
  <c r="K69" i="6"/>
  <c r="T68" i="1"/>
  <c r="J69" i="6"/>
  <c r="I69" i="6"/>
  <c r="H69" i="6"/>
  <c r="G69" i="6"/>
  <c r="F69" i="6"/>
  <c r="E69" i="6"/>
  <c r="D69" i="6"/>
  <c r="C69" i="6"/>
  <c r="B69" i="6"/>
  <c r="A68" i="6"/>
  <c r="W68" i="6"/>
  <c r="V68" i="6"/>
  <c r="U68" i="6"/>
  <c r="T68" i="6"/>
  <c r="S68" i="6"/>
  <c r="R68" i="6"/>
  <c r="AA67" i="1"/>
  <c r="AD67" i="1"/>
  <c r="Q68" i="6"/>
  <c r="P68" i="6"/>
  <c r="O68" i="6"/>
  <c r="X67" i="1"/>
  <c r="N68" i="6"/>
  <c r="M68" i="6"/>
  <c r="L68" i="6"/>
  <c r="K68" i="6"/>
  <c r="T67" i="1"/>
  <c r="J68" i="6"/>
  <c r="I68" i="6"/>
  <c r="H68" i="6"/>
  <c r="G68" i="6"/>
  <c r="F68" i="6"/>
  <c r="E68" i="6"/>
  <c r="D68" i="6"/>
  <c r="C68" i="6"/>
  <c r="B68" i="6"/>
  <c r="A67" i="6"/>
  <c r="W67" i="6"/>
  <c r="V67" i="6"/>
  <c r="U67" i="6"/>
  <c r="T67" i="6"/>
  <c r="S67" i="6"/>
  <c r="R67" i="6"/>
  <c r="AA66" i="1"/>
  <c r="AD66" i="1"/>
  <c r="Q67" i="6"/>
  <c r="P67" i="6"/>
  <c r="O67" i="6"/>
  <c r="X66" i="1"/>
  <c r="N67" i="6"/>
  <c r="M67" i="6"/>
  <c r="L67" i="6"/>
  <c r="K67" i="6"/>
  <c r="T66" i="1"/>
  <c r="J67" i="6"/>
  <c r="I67" i="6"/>
  <c r="H67" i="6"/>
  <c r="G67" i="6"/>
  <c r="F67" i="6"/>
  <c r="E67" i="6"/>
  <c r="D67" i="6"/>
  <c r="C67" i="6"/>
  <c r="B67" i="6"/>
  <c r="A66" i="6"/>
  <c r="W66" i="6"/>
  <c r="V66" i="6"/>
  <c r="U66" i="6"/>
  <c r="T66" i="6"/>
  <c r="S66" i="6"/>
  <c r="R66" i="6"/>
  <c r="AA65" i="1"/>
  <c r="AD65" i="1"/>
  <c r="Q66" i="6"/>
  <c r="P66" i="6"/>
  <c r="O66" i="6"/>
  <c r="X65" i="1"/>
  <c r="N66" i="6"/>
  <c r="M66" i="6"/>
  <c r="L66" i="6"/>
  <c r="K66" i="6"/>
  <c r="T65" i="1"/>
  <c r="J66" i="6"/>
  <c r="I66" i="6"/>
  <c r="H66" i="6"/>
  <c r="G66" i="6"/>
  <c r="F66" i="6"/>
  <c r="E66" i="6"/>
  <c r="D66" i="6"/>
  <c r="C66" i="6"/>
  <c r="B66" i="6"/>
  <c r="A65" i="6"/>
  <c r="W65" i="6"/>
  <c r="V65" i="6"/>
  <c r="U65" i="6"/>
  <c r="T65" i="6"/>
  <c r="S65" i="6"/>
  <c r="R65" i="6"/>
  <c r="AA64" i="1"/>
  <c r="AD64" i="1"/>
  <c r="Q65" i="6"/>
  <c r="P65" i="6"/>
  <c r="O65" i="6"/>
  <c r="X64" i="1"/>
  <c r="N65" i="6"/>
  <c r="M65" i="6"/>
  <c r="L65" i="6"/>
  <c r="K65" i="6"/>
  <c r="T64" i="1"/>
  <c r="J65" i="6"/>
  <c r="I65" i="6"/>
  <c r="H65" i="6"/>
  <c r="G65" i="6"/>
  <c r="F65" i="6"/>
  <c r="E65" i="6"/>
  <c r="D65" i="6"/>
  <c r="C65" i="6"/>
  <c r="B65" i="6"/>
  <c r="A64" i="6"/>
  <c r="W64" i="6"/>
  <c r="V64" i="6"/>
  <c r="U64" i="6"/>
  <c r="T64" i="6"/>
  <c r="S64" i="6"/>
  <c r="R64" i="6"/>
  <c r="AA63" i="1"/>
  <c r="AD63" i="1"/>
  <c r="Q64" i="6"/>
  <c r="P64" i="6"/>
  <c r="O64" i="6"/>
  <c r="X63" i="1"/>
  <c r="N64" i="6"/>
  <c r="M64" i="6"/>
  <c r="L64" i="6"/>
  <c r="K64" i="6"/>
  <c r="T63" i="1"/>
  <c r="J64" i="6"/>
  <c r="I64" i="6"/>
  <c r="H64" i="6"/>
  <c r="G64" i="6"/>
  <c r="F64" i="6"/>
  <c r="E64" i="6"/>
  <c r="D64" i="6"/>
  <c r="C64" i="6"/>
  <c r="B64" i="6"/>
  <c r="A63" i="6"/>
  <c r="W63" i="6"/>
  <c r="V63" i="6"/>
  <c r="U63" i="6"/>
  <c r="T63" i="6"/>
  <c r="S63" i="6"/>
  <c r="R63" i="6"/>
  <c r="AA62" i="1"/>
  <c r="AD62" i="1"/>
  <c r="Q63" i="6"/>
  <c r="P63" i="6"/>
  <c r="O63" i="6"/>
  <c r="X62" i="1"/>
  <c r="N63" i="6"/>
  <c r="M63" i="6"/>
  <c r="L63" i="6"/>
  <c r="K63" i="6"/>
  <c r="T62" i="1"/>
  <c r="J63" i="6"/>
  <c r="I63" i="6"/>
  <c r="H63" i="6"/>
  <c r="G63" i="6"/>
  <c r="F63" i="6"/>
  <c r="E63" i="6"/>
  <c r="D63" i="6"/>
  <c r="C63" i="6"/>
  <c r="B63" i="6"/>
  <c r="A62" i="6"/>
  <c r="W62" i="6"/>
  <c r="V62" i="6"/>
  <c r="U62" i="6"/>
  <c r="T62" i="6"/>
  <c r="S62" i="6"/>
  <c r="R62" i="6"/>
  <c r="AA61" i="1"/>
  <c r="AD61" i="1"/>
  <c r="Q62" i="6"/>
  <c r="P62" i="6"/>
  <c r="O62" i="6"/>
  <c r="X61" i="1"/>
  <c r="N62" i="6"/>
  <c r="M62" i="6"/>
  <c r="L62" i="6"/>
  <c r="K62" i="6"/>
  <c r="T61" i="1"/>
  <c r="J62" i="6"/>
  <c r="I62" i="6"/>
  <c r="H62" i="6"/>
  <c r="G62" i="6"/>
  <c r="F62" i="6"/>
  <c r="E62" i="6"/>
  <c r="D62" i="6"/>
  <c r="C62" i="6"/>
  <c r="B62" i="6"/>
  <c r="A61" i="6"/>
  <c r="W61" i="6"/>
  <c r="V61" i="6"/>
  <c r="U61" i="6"/>
  <c r="T61" i="6"/>
  <c r="S61" i="6"/>
  <c r="R61" i="6"/>
  <c r="AA60" i="1"/>
  <c r="AD60" i="1"/>
  <c r="Q61" i="6"/>
  <c r="P61" i="6"/>
  <c r="O61" i="6"/>
  <c r="X60" i="1"/>
  <c r="N61" i="6"/>
  <c r="M61" i="6"/>
  <c r="L61" i="6"/>
  <c r="K61" i="6"/>
  <c r="T60" i="1"/>
  <c r="J61" i="6"/>
  <c r="I61" i="6"/>
  <c r="H61" i="6"/>
  <c r="G61" i="6"/>
  <c r="F61" i="6"/>
  <c r="E61" i="6"/>
  <c r="D61" i="6"/>
  <c r="C61" i="6"/>
  <c r="B61" i="6"/>
  <c r="A60" i="6"/>
  <c r="W60" i="6"/>
  <c r="V60" i="6"/>
  <c r="U60" i="6"/>
  <c r="T60" i="6"/>
  <c r="S60" i="6"/>
  <c r="R60" i="6"/>
  <c r="AA59" i="1"/>
  <c r="AD59" i="1"/>
  <c r="Q60" i="6"/>
  <c r="P60" i="6"/>
  <c r="O60" i="6"/>
  <c r="X59" i="1"/>
  <c r="N60" i="6"/>
  <c r="M60" i="6"/>
  <c r="L60" i="6"/>
  <c r="K60" i="6"/>
  <c r="T59" i="1"/>
  <c r="J60" i="6"/>
  <c r="I60" i="6"/>
  <c r="H60" i="6"/>
  <c r="G60" i="6"/>
  <c r="F60" i="6"/>
  <c r="E60" i="6"/>
  <c r="D60" i="6"/>
  <c r="C60" i="6"/>
  <c r="B60" i="6"/>
  <c r="A59" i="6"/>
  <c r="W59" i="6"/>
  <c r="V59" i="6"/>
  <c r="U59" i="6"/>
  <c r="T59" i="6"/>
  <c r="S59" i="6"/>
  <c r="R59" i="6"/>
  <c r="AA58" i="1"/>
  <c r="AD58" i="1"/>
  <c r="Q59" i="6"/>
  <c r="P59" i="6"/>
  <c r="O59" i="6"/>
  <c r="X58" i="1"/>
  <c r="N59" i="6"/>
  <c r="M59" i="6"/>
  <c r="L59" i="6"/>
  <c r="K59" i="6"/>
  <c r="T58" i="1"/>
  <c r="J59" i="6"/>
  <c r="I59" i="6"/>
  <c r="H59" i="6"/>
  <c r="G59" i="6"/>
  <c r="F59" i="6"/>
  <c r="E59" i="6"/>
  <c r="D59" i="6"/>
  <c r="C59" i="6"/>
  <c r="B59" i="6"/>
  <c r="A58" i="6"/>
  <c r="W58" i="6"/>
  <c r="V58" i="6"/>
  <c r="U58" i="6"/>
  <c r="T58" i="6"/>
  <c r="S58" i="6"/>
  <c r="R58" i="6"/>
  <c r="AA57" i="1"/>
  <c r="AD57" i="1"/>
  <c r="Q58" i="6"/>
  <c r="P58" i="6"/>
  <c r="O58" i="6"/>
  <c r="X57" i="1"/>
  <c r="N58" i="6"/>
  <c r="M58" i="6"/>
  <c r="L58" i="6"/>
  <c r="K58" i="6"/>
  <c r="T57" i="1"/>
  <c r="J58" i="6"/>
  <c r="I58" i="6"/>
  <c r="H58" i="6"/>
  <c r="G58" i="6"/>
  <c r="F58" i="6"/>
  <c r="E58" i="6"/>
  <c r="D58" i="6"/>
  <c r="C58" i="6"/>
  <c r="B58" i="6"/>
  <c r="A57" i="6"/>
  <c r="W57" i="6"/>
  <c r="V57" i="6"/>
  <c r="U57" i="6"/>
  <c r="T57" i="6"/>
  <c r="S57" i="6"/>
  <c r="R57" i="6"/>
  <c r="AA56" i="1"/>
  <c r="AD56" i="1"/>
  <c r="Q57" i="6"/>
  <c r="P57" i="6"/>
  <c r="O57" i="6"/>
  <c r="X56" i="1"/>
  <c r="N57" i="6"/>
  <c r="M57" i="6"/>
  <c r="L57" i="6"/>
  <c r="K57" i="6"/>
  <c r="T56" i="1"/>
  <c r="J57" i="6"/>
  <c r="I57" i="6"/>
  <c r="H57" i="6"/>
  <c r="G57" i="6"/>
  <c r="F57" i="6"/>
  <c r="E57" i="6"/>
  <c r="D57" i="6"/>
  <c r="C57" i="6"/>
  <c r="B57" i="6"/>
  <c r="A56" i="6"/>
  <c r="W56" i="6"/>
  <c r="V56" i="6"/>
  <c r="U56" i="6"/>
  <c r="T56" i="6"/>
  <c r="S56" i="6"/>
  <c r="R56" i="6"/>
  <c r="AA55" i="1"/>
  <c r="AD55" i="1"/>
  <c r="Q56" i="6"/>
  <c r="P56" i="6"/>
  <c r="O56" i="6"/>
  <c r="X55" i="1"/>
  <c r="N56" i="6"/>
  <c r="M56" i="6"/>
  <c r="L56" i="6"/>
  <c r="K56" i="6"/>
  <c r="T55" i="1"/>
  <c r="J56" i="6"/>
  <c r="I56" i="6"/>
  <c r="H56" i="6"/>
  <c r="G56" i="6"/>
  <c r="F56" i="6"/>
  <c r="E56" i="6"/>
  <c r="D56" i="6"/>
  <c r="C56" i="6"/>
  <c r="B56" i="6"/>
  <c r="A55" i="6"/>
  <c r="W55" i="6"/>
  <c r="V55" i="6"/>
  <c r="U55" i="6"/>
  <c r="T55" i="6"/>
  <c r="S55" i="6"/>
  <c r="R55" i="6"/>
  <c r="AA54" i="1"/>
  <c r="AD54" i="1"/>
  <c r="Q55" i="6"/>
  <c r="P55" i="6"/>
  <c r="O55" i="6"/>
  <c r="X54" i="1"/>
  <c r="N55" i="6"/>
  <c r="M55" i="6"/>
  <c r="L55" i="6"/>
  <c r="K55" i="6"/>
  <c r="T54" i="1"/>
  <c r="J55" i="6"/>
  <c r="I55" i="6"/>
  <c r="H55" i="6"/>
  <c r="G55" i="6"/>
  <c r="F55" i="6"/>
  <c r="E55" i="6"/>
  <c r="D55" i="6"/>
  <c r="C55" i="6"/>
  <c r="B55" i="6"/>
  <c r="A54" i="6"/>
  <c r="W54" i="6"/>
  <c r="V54" i="6"/>
  <c r="U54" i="6"/>
  <c r="T54" i="6"/>
  <c r="S54" i="6"/>
  <c r="R54" i="6"/>
  <c r="AA53" i="1"/>
  <c r="AD53" i="1"/>
  <c r="Q54" i="6"/>
  <c r="P54" i="6"/>
  <c r="O54" i="6"/>
  <c r="X53" i="1"/>
  <c r="N54" i="6"/>
  <c r="M54" i="6"/>
  <c r="L54" i="6"/>
  <c r="K54" i="6"/>
  <c r="T53" i="1"/>
  <c r="J54" i="6"/>
  <c r="I54" i="6"/>
  <c r="H54" i="6"/>
  <c r="G54" i="6"/>
  <c r="F54" i="6"/>
  <c r="E54" i="6"/>
  <c r="D54" i="6"/>
  <c r="C54" i="6"/>
  <c r="B54" i="6"/>
  <c r="A53" i="6"/>
  <c r="W53" i="6"/>
  <c r="V53" i="6"/>
  <c r="U53" i="6"/>
  <c r="T53" i="6"/>
  <c r="S53" i="6"/>
  <c r="R53" i="6"/>
  <c r="AA52" i="1"/>
  <c r="AD52" i="1"/>
  <c r="Q53" i="6"/>
  <c r="P53" i="6"/>
  <c r="O53" i="6"/>
  <c r="X52" i="1"/>
  <c r="N53" i="6"/>
  <c r="M53" i="6"/>
  <c r="L53" i="6"/>
  <c r="K53" i="6"/>
  <c r="T52" i="1"/>
  <c r="J53" i="6"/>
  <c r="I53" i="6"/>
  <c r="H53" i="6"/>
  <c r="G53" i="6"/>
  <c r="F53" i="6"/>
  <c r="E53" i="6"/>
  <c r="D53" i="6"/>
  <c r="C53" i="6"/>
  <c r="B53" i="6"/>
  <c r="A52" i="6"/>
  <c r="W52" i="6"/>
  <c r="V52" i="6"/>
  <c r="U52" i="6"/>
  <c r="T52" i="6"/>
  <c r="S52" i="6"/>
  <c r="R52" i="6"/>
  <c r="AA51" i="1"/>
  <c r="AD51" i="1"/>
  <c r="Q52" i="6"/>
  <c r="P52" i="6"/>
  <c r="O52" i="6"/>
  <c r="X51" i="1"/>
  <c r="N52" i="6"/>
  <c r="M52" i="6"/>
  <c r="L52" i="6"/>
  <c r="K52" i="6"/>
  <c r="T51" i="1"/>
  <c r="J52" i="6"/>
  <c r="I52" i="6"/>
  <c r="H52" i="6"/>
  <c r="G52" i="6"/>
  <c r="F52" i="6"/>
  <c r="E52" i="6"/>
  <c r="D52" i="6"/>
  <c r="C52" i="6"/>
  <c r="B52" i="6"/>
  <c r="A51" i="6"/>
  <c r="W51" i="6"/>
  <c r="V51" i="6"/>
  <c r="U51" i="6"/>
  <c r="T51" i="6"/>
  <c r="S51" i="6"/>
  <c r="R51" i="6"/>
  <c r="AA50" i="1"/>
  <c r="AD50" i="1"/>
  <c r="Q51" i="6"/>
  <c r="P51" i="6"/>
  <c r="O51" i="6"/>
  <c r="X50" i="1"/>
  <c r="N51" i="6"/>
  <c r="M51" i="6"/>
  <c r="L51" i="6"/>
  <c r="K51" i="6"/>
  <c r="T50" i="1"/>
  <c r="J51" i="6"/>
  <c r="I51" i="6"/>
  <c r="H51" i="6"/>
  <c r="G51" i="6"/>
  <c r="F51" i="6"/>
  <c r="E51" i="6"/>
  <c r="D51" i="6"/>
  <c r="C51" i="6"/>
  <c r="B51" i="6"/>
  <c r="A50" i="6"/>
  <c r="W50" i="6"/>
  <c r="V50" i="6"/>
  <c r="U50" i="6"/>
  <c r="T50" i="6"/>
  <c r="S50" i="6"/>
  <c r="R50" i="6"/>
  <c r="AA49" i="1"/>
  <c r="AD49" i="1"/>
  <c r="Q50" i="6"/>
  <c r="P50" i="6"/>
  <c r="O50" i="6"/>
  <c r="X49" i="1"/>
  <c r="N50" i="6"/>
  <c r="M50" i="6"/>
  <c r="L50" i="6"/>
  <c r="K50" i="6"/>
  <c r="T49" i="1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R49" i="6"/>
  <c r="AA48" i="1"/>
  <c r="AD48" i="1"/>
  <c r="Q49" i="6"/>
  <c r="P49" i="6"/>
  <c r="O49" i="6"/>
  <c r="X48" i="1"/>
  <c r="N49" i="6"/>
  <c r="M49" i="6"/>
  <c r="L49" i="6"/>
  <c r="K49" i="6"/>
  <c r="T48" i="1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R48" i="6"/>
  <c r="AA47" i="1"/>
  <c r="AD47" i="1"/>
  <c r="Q48" i="6"/>
  <c r="P48" i="6"/>
  <c r="O48" i="6"/>
  <c r="X47" i="1"/>
  <c r="N48" i="6"/>
  <c r="M48" i="6"/>
  <c r="L48" i="6"/>
  <c r="K48" i="6"/>
  <c r="T47" i="1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R47" i="6"/>
  <c r="AA46" i="1"/>
  <c r="AD46" i="1"/>
  <c r="Q47" i="6"/>
  <c r="P47" i="6"/>
  <c r="O47" i="6"/>
  <c r="X46" i="1"/>
  <c r="N47" i="6"/>
  <c r="M47" i="6"/>
  <c r="L47" i="6"/>
  <c r="K47" i="6"/>
  <c r="T46" i="1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R46" i="6"/>
  <c r="AA45" i="1"/>
  <c r="AD45" i="1"/>
  <c r="Q46" i="6"/>
  <c r="P46" i="6"/>
  <c r="O46" i="6"/>
  <c r="X45" i="1"/>
  <c r="N46" i="6"/>
  <c r="M46" i="6"/>
  <c r="L46" i="6"/>
  <c r="K46" i="6"/>
  <c r="T45" i="1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R45" i="6"/>
  <c r="AA44" i="1"/>
  <c r="AD44" i="1"/>
  <c r="Q45" i="6"/>
  <c r="P45" i="6"/>
  <c r="O45" i="6"/>
  <c r="X44" i="1"/>
  <c r="N45" i="6"/>
  <c r="M45" i="6"/>
  <c r="L45" i="6"/>
  <c r="K45" i="6"/>
  <c r="T44" i="1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R44" i="6"/>
  <c r="AA43" i="1"/>
  <c r="AD43" i="1"/>
  <c r="Q44" i="6"/>
  <c r="P44" i="6"/>
  <c r="O44" i="6"/>
  <c r="X43" i="1"/>
  <c r="N44" i="6"/>
  <c r="M44" i="6"/>
  <c r="L44" i="6"/>
  <c r="K44" i="6"/>
  <c r="T43" i="1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R43" i="6"/>
  <c r="AA42" i="1"/>
  <c r="AD42" i="1"/>
  <c r="Q43" i="6"/>
  <c r="P43" i="6"/>
  <c r="O43" i="6"/>
  <c r="X42" i="1"/>
  <c r="N43" i="6"/>
  <c r="M43" i="6"/>
  <c r="L43" i="6"/>
  <c r="K43" i="6"/>
  <c r="T42" i="1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R42" i="6"/>
  <c r="AA41" i="1"/>
  <c r="AD41" i="1"/>
  <c r="Q42" i="6"/>
  <c r="P42" i="6"/>
  <c r="O42" i="6"/>
  <c r="X41" i="1"/>
  <c r="N42" i="6"/>
  <c r="M42" i="6"/>
  <c r="L42" i="6"/>
  <c r="K42" i="6"/>
  <c r="T41" i="1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AA40" i="1"/>
  <c r="AD40" i="1"/>
  <c r="Q41" i="6"/>
  <c r="P41" i="6"/>
  <c r="O41" i="6"/>
  <c r="X40" i="1"/>
  <c r="N41" i="6"/>
  <c r="M41" i="6"/>
  <c r="L41" i="6"/>
  <c r="K41" i="6"/>
  <c r="T40" i="1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AA39" i="1"/>
  <c r="AD39" i="1"/>
  <c r="Q40" i="6"/>
  <c r="P40" i="6"/>
  <c r="O40" i="6"/>
  <c r="X39" i="1"/>
  <c r="N40" i="6"/>
  <c r="M40" i="6"/>
  <c r="L40" i="6"/>
  <c r="K40" i="6"/>
  <c r="T39" i="1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AA38" i="1"/>
  <c r="AD38" i="1"/>
  <c r="Q39" i="6"/>
  <c r="P39" i="6"/>
  <c r="O39" i="6"/>
  <c r="X38" i="1"/>
  <c r="N39" i="6"/>
  <c r="M39" i="6"/>
  <c r="L39" i="6"/>
  <c r="K39" i="6"/>
  <c r="T38" i="1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A37" i="1"/>
  <c r="AD37" i="1"/>
  <c r="Q38" i="6"/>
  <c r="P38" i="6"/>
  <c r="O38" i="6"/>
  <c r="X37" i="1"/>
  <c r="N38" i="6"/>
  <c r="M38" i="6"/>
  <c r="L38" i="6"/>
  <c r="K38" i="6"/>
  <c r="T37" i="1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A36" i="1"/>
  <c r="AD36" i="1"/>
  <c r="Q37" i="6"/>
  <c r="P37" i="6"/>
  <c r="O37" i="6"/>
  <c r="X36" i="1"/>
  <c r="N37" i="6"/>
  <c r="M37" i="6"/>
  <c r="L37" i="6"/>
  <c r="K37" i="6"/>
  <c r="T36" i="1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A35" i="1"/>
  <c r="AD35" i="1"/>
  <c r="Q36" i="6"/>
  <c r="P36" i="6"/>
  <c r="O36" i="6"/>
  <c r="X35" i="1"/>
  <c r="N36" i="6"/>
  <c r="M36" i="6"/>
  <c r="L36" i="6"/>
  <c r="K36" i="6"/>
  <c r="T35" i="1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A34" i="1"/>
  <c r="AD34" i="1"/>
  <c r="Q35" i="6"/>
  <c r="P35" i="6"/>
  <c r="O35" i="6"/>
  <c r="X34" i="1"/>
  <c r="N35" i="6"/>
  <c r="M35" i="6"/>
  <c r="L35" i="6"/>
  <c r="K35" i="6"/>
  <c r="T34" i="1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A33" i="1"/>
  <c r="AD33" i="1"/>
  <c r="Q34" i="6"/>
  <c r="P34" i="6"/>
  <c r="O34" i="6"/>
  <c r="X33" i="1"/>
  <c r="N34" i="6"/>
  <c r="M34" i="6"/>
  <c r="L34" i="6"/>
  <c r="K34" i="6"/>
  <c r="T33" i="1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A32" i="1"/>
  <c r="AD32" i="1"/>
  <c r="Q33" i="6"/>
  <c r="P33" i="6"/>
  <c r="O33" i="6"/>
  <c r="X32" i="1"/>
  <c r="N33" i="6"/>
  <c r="M33" i="6"/>
  <c r="L33" i="6"/>
  <c r="K33" i="6"/>
  <c r="T32" i="1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A31" i="1"/>
  <c r="AD31" i="1"/>
  <c r="Q32" i="6"/>
  <c r="P32" i="6"/>
  <c r="O32" i="6"/>
  <c r="X31" i="1"/>
  <c r="N32" i="6"/>
  <c r="M32" i="6"/>
  <c r="L32" i="6"/>
  <c r="K32" i="6"/>
  <c r="T31" i="1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A30" i="1"/>
  <c r="AD30" i="1"/>
  <c r="Q31" i="6"/>
  <c r="P31" i="6"/>
  <c r="O31" i="6"/>
  <c r="X30" i="1"/>
  <c r="N31" i="6"/>
  <c r="M31" i="6"/>
  <c r="L31" i="6"/>
  <c r="K31" i="6"/>
  <c r="T30" i="1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A29" i="1"/>
  <c r="AD29" i="1"/>
  <c r="Q30" i="6"/>
  <c r="P30" i="6"/>
  <c r="O30" i="6"/>
  <c r="X29" i="1"/>
  <c r="N30" i="6"/>
  <c r="M30" i="6"/>
  <c r="L30" i="6"/>
  <c r="K30" i="6"/>
  <c r="T29" i="1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A28" i="1"/>
  <c r="AD28" i="1"/>
  <c r="Q29" i="6"/>
  <c r="P29" i="6"/>
  <c r="O29" i="6"/>
  <c r="X28" i="1"/>
  <c r="N29" i="6"/>
  <c r="M29" i="6"/>
  <c r="L29" i="6"/>
  <c r="K29" i="6"/>
  <c r="T28" i="1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A27" i="1"/>
  <c r="AD27" i="1"/>
  <c r="Q28" i="6"/>
  <c r="P28" i="6"/>
  <c r="O28" i="6"/>
  <c r="X27" i="1"/>
  <c r="N28" i="6"/>
  <c r="M28" i="6"/>
  <c r="L28" i="6"/>
  <c r="K28" i="6"/>
  <c r="T27" i="1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A26" i="1"/>
  <c r="AD26" i="1"/>
  <c r="Q27" i="6"/>
  <c r="P27" i="6"/>
  <c r="O27" i="6"/>
  <c r="X26" i="1"/>
  <c r="N27" i="6"/>
  <c r="M27" i="6"/>
  <c r="L27" i="6"/>
  <c r="K27" i="6"/>
  <c r="T26" i="1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A25" i="1"/>
  <c r="AD25" i="1"/>
  <c r="Q26" i="6"/>
  <c r="P26" i="6"/>
  <c r="O26" i="6"/>
  <c r="X25" i="1"/>
  <c r="N26" i="6"/>
  <c r="M26" i="6"/>
  <c r="L26" i="6"/>
  <c r="K26" i="6"/>
  <c r="T25" i="1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A24" i="1"/>
  <c r="AD24" i="1"/>
  <c r="Q25" i="6"/>
  <c r="P25" i="6"/>
  <c r="O25" i="6"/>
  <c r="X24" i="1"/>
  <c r="N25" i="6"/>
  <c r="M25" i="6"/>
  <c r="L25" i="6"/>
  <c r="K25" i="6"/>
  <c r="T24" i="1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A23" i="1"/>
  <c r="AD23" i="1"/>
  <c r="Q24" i="6"/>
  <c r="P24" i="6"/>
  <c r="O24" i="6"/>
  <c r="X23" i="1"/>
  <c r="N24" i="6"/>
  <c r="M24" i="6"/>
  <c r="L24" i="6"/>
  <c r="K24" i="6"/>
  <c r="T23" i="1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A22" i="1"/>
  <c r="AD22" i="1"/>
  <c r="Q23" i="6"/>
  <c r="P23" i="6"/>
  <c r="O23" i="6"/>
  <c r="X22" i="1"/>
  <c r="N23" i="6"/>
  <c r="M23" i="6"/>
  <c r="L23" i="6"/>
  <c r="K23" i="6"/>
  <c r="T22" i="1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A21" i="1"/>
  <c r="AD21" i="1"/>
  <c r="Q22" i="6"/>
  <c r="P22" i="6"/>
  <c r="O22" i="6"/>
  <c r="X21" i="1"/>
  <c r="N22" i="6"/>
  <c r="M22" i="6"/>
  <c r="L22" i="6"/>
  <c r="K22" i="6"/>
  <c r="T21" i="1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A20" i="1"/>
  <c r="AD20" i="1"/>
  <c r="Q21" i="6"/>
  <c r="P21" i="6"/>
  <c r="O21" i="6"/>
  <c r="X20" i="1"/>
  <c r="N21" i="6"/>
  <c r="M21" i="6"/>
  <c r="L21" i="6"/>
  <c r="K21" i="6"/>
  <c r="T20" i="1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A19" i="1"/>
  <c r="AD19" i="1"/>
  <c r="Q20" i="6"/>
  <c r="P20" i="6"/>
  <c r="O20" i="6"/>
  <c r="X19" i="1"/>
  <c r="N20" i="6"/>
  <c r="M20" i="6"/>
  <c r="L20" i="6"/>
  <c r="K20" i="6"/>
  <c r="T19" i="1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A18" i="1"/>
  <c r="AD18" i="1"/>
  <c r="Q19" i="6"/>
  <c r="P19" i="6"/>
  <c r="O19" i="6"/>
  <c r="X18" i="1"/>
  <c r="N19" i="6"/>
  <c r="M19" i="6"/>
  <c r="L19" i="6"/>
  <c r="K19" i="6"/>
  <c r="T18" i="1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A17" i="1"/>
  <c r="AD17" i="1"/>
  <c r="Q18" i="6"/>
  <c r="P18" i="6"/>
  <c r="O18" i="6"/>
  <c r="X17" i="1"/>
  <c r="N18" i="6"/>
  <c r="M18" i="6"/>
  <c r="L18" i="6"/>
  <c r="K18" i="6"/>
  <c r="T17" i="1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A16" i="1"/>
  <c r="AD16" i="1"/>
  <c r="Q17" i="6"/>
  <c r="P17" i="6"/>
  <c r="O17" i="6"/>
  <c r="X16" i="1"/>
  <c r="N17" i="6"/>
  <c r="M17" i="6"/>
  <c r="L17" i="6"/>
  <c r="K17" i="6"/>
  <c r="T16" i="1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A15" i="1"/>
  <c r="AD15" i="1"/>
  <c r="Q16" i="6"/>
  <c r="P16" i="6"/>
  <c r="O16" i="6"/>
  <c r="X15" i="1"/>
  <c r="N16" i="6"/>
  <c r="M16" i="6"/>
  <c r="L16" i="6"/>
  <c r="K16" i="6"/>
  <c r="T15" i="1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A14" i="1"/>
  <c r="AD14" i="1"/>
  <c r="Q15" i="6"/>
  <c r="P15" i="6"/>
  <c r="O15" i="6"/>
  <c r="X14" i="1"/>
  <c r="N15" i="6"/>
  <c r="M15" i="6"/>
  <c r="L15" i="6"/>
  <c r="K15" i="6"/>
  <c r="T14" i="1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A13" i="1"/>
  <c r="AD13" i="1"/>
  <c r="Q14" i="6"/>
  <c r="P14" i="6"/>
  <c r="O14" i="6"/>
  <c r="X13" i="1"/>
  <c r="N14" i="6"/>
  <c r="M14" i="6"/>
  <c r="L14" i="6"/>
  <c r="K14" i="6"/>
  <c r="T13" i="1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A12" i="1"/>
  <c r="AD12" i="1"/>
  <c r="Q13" i="6"/>
  <c r="P13" i="6"/>
  <c r="O13" i="6"/>
  <c r="X12" i="1"/>
  <c r="N13" i="6"/>
  <c r="M13" i="6"/>
  <c r="L13" i="6"/>
  <c r="K13" i="6"/>
  <c r="T12" i="1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A11" i="1"/>
  <c r="AD11" i="1"/>
  <c r="Q12" i="6"/>
  <c r="P12" i="6"/>
  <c r="O12" i="6"/>
  <c r="X11" i="1"/>
  <c r="N12" i="6"/>
  <c r="M12" i="6"/>
  <c r="L12" i="6"/>
  <c r="K12" i="6"/>
  <c r="T11" i="1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A10" i="1"/>
  <c r="AD10" i="1"/>
  <c r="Q11" i="6"/>
  <c r="P11" i="6"/>
  <c r="O11" i="6"/>
  <c r="X10" i="1"/>
  <c r="N11" i="6"/>
  <c r="M11" i="6"/>
  <c r="L11" i="6"/>
  <c r="K11" i="6"/>
  <c r="T10" i="1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A9" i="1"/>
  <c r="AD9" i="1"/>
  <c r="Q10" i="6"/>
  <c r="P10" i="6"/>
  <c r="O10" i="6"/>
  <c r="X9" i="1"/>
  <c r="N10" i="6"/>
  <c r="M10" i="6"/>
  <c r="L10" i="6"/>
  <c r="K10" i="6"/>
  <c r="T9" i="1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A8" i="1"/>
  <c r="AD8" i="1"/>
  <c r="Q9" i="6"/>
  <c r="P9" i="6"/>
  <c r="O9" i="6"/>
  <c r="X8" i="1"/>
  <c r="N9" i="6"/>
  <c r="M9" i="6"/>
  <c r="L9" i="6"/>
  <c r="K9" i="6"/>
  <c r="T8" i="1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A7" i="1"/>
  <c r="AD7" i="1"/>
  <c r="Q8" i="6"/>
  <c r="P8" i="6"/>
  <c r="O8" i="6"/>
  <c r="X7" i="1"/>
  <c r="N8" i="6"/>
  <c r="M8" i="6"/>
  <c r="L8" i="6"/>
  <c r="K8" i="6"/>
  <c r="T7" i="1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A6" i="1"/>
  <c r="AD6" i="1"/>
  <c r="Q7" i="6"/>
  <c r="P7" i="6"/>
  <c r="O7" i="6"/>
  <c r="X6" i="1"/>
  <c r="N7" i="6"/>
  <c r="M7" i="6"/>
  <c r="L7" i="6"/>
  <c r="K7" i="6"/>
  <c r="T6" i="1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A5" i="1"/>
  <c r="AD5" i="1"/>
  <c r="Q6" i="6"/>
  <c r="P6" i="6"/>
  <c r="O6" i="6"/>
  <c r="X5" i="1"/>
  <c r="N6" i="6"/>
  <c r="M6" i="6"/>
  <c r="L6" i="6"/>
  <c r="K6" i="6"/>
  <c r="T5" i="1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A4" i="1"/>
  <c r="AD4" i="1"/>
  <c r="Q5" i="6"/>
  <c r="P5" i="6"/>
  <c r="O5" i="6"/>
  <c r="X4" i="1"/>
  <c r="N5" i="6"/>
  <c r="M5" i="6"/>
  <c r="L5" i="6"/>
  <c r="K5" i="6"/>
  <c r="T4" i="1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A3" i="1"/>
  <c r="AD3" i="1"/>
  <c r="Q4" i="6"/>
  <c r="P4" i="6"/>
  <c r="O4" i="6"/>
  <c r="X3" i="1"/>
  <c r="N4" i="6"/>
  <c r="M4" i="6"/>
  <c r="L4" i="6"/>
  <c r="K4" i="6"/>
  <c r="T3" i="1"/>
  <c r="J4" i="6"/>
  <c r="I4" i="6"/>
  <c r="H4" i="6"/>
  <c r="G4" i="6"/>
  <c r="F4" i="6"/>
  <c r="E4" i="6"/>
  <c r="D4" i="6"/>
  <c r="C4" i="6"/>
  <c r="B4" i="6"/>
  <c r="AB129" i="1"/>
  <c r="Z129" i="1"/>
  <c r="S129" i="1"/>
  <c r="N129" i="1"/>
  <c r="M129" i="1"/>
  <c r="L129" i="1"/>
  <c r="K129" i="1"/>
  <c r="J129" i="1"/>
  <c r="H129" i="1"/>
  <c r="D129" i="1"/>
  <c r="F129" i="1"/>
  <c r="E129" i="1"/>
  <c r="A129" i="1"/>
  <c r="C1" i="5"/>
  <c r="A1" i="5"/>
  <c r="A60" i="5"/>
  <c r="B1" i="5"/>
  <c r="F60" i="5"/>
  <c r="E60" i="5"/>
  <c r="D60" i="5"/>
  <c r="C60" i="5"/>
  <c r="B60" i="5"/>
  <c r="A59" i="5"/>
  <c r="F59" i="5"/>
  <c r="E59" i="5"/>
  <c r="D59" i="5"/>
  <c r="C59" i="5"/>
  <c r="B59" i="5"/>
  <c r="A58" i="5"/>
  <c r="F58" i="5"/>
  <c r="E58" i="5"/>
  <c r="D58" i="5"/>
  <c r="C58" i="5"/>
  <c r="B58" i="5"/>
  <c r="A57" i="5"/>
  <c r="F57" i="5"/>
  <c r="E57" i="5"/>
  <c r="D57" i="5"/>
  <c r="C57" i="5"/>
  <c r="B57" i="5"/>
  <c r="A56" i="5"/>
  <c r="F56" i="5"/>
  <c r="E56" i="5"/>
  <c r="D56" i="5"/>
  <c r="C56" i="5"/>
  <c r="B56" i="5"/>
  <c r="A55" i="5"/>
  <c r="F55" i="5"/>
  <c r="E55" i="5"/>
  <c r="D55" i="5"/>
  <c r="C55" i="5"/>
  <c r="B55" i="5"/>
  <c r="A54" i="5"/>
  <c r="F54" i="5"/>
  <c r="E54" i="5"/>
  <c r="D54" i="5"/>
  <c r="C54" i="5"/>
  <c r="B54" i="5"/>
  <c r="A53" i="5"/>
  <c r="F53" i="5"/>
  <c r="E53" i="5"/>
  <c r="D53" i="5"/>
  <c r="C53" i="5"/>
  <c r="B53" i="5"/>
  <c r="A52" i="5"/>
  <c r="F52" i="5"/>
  <c r="E52" i="5"/>
  <c r="D52" i="5"/>
  <c r="C52" i="5"/>
  <c r="B52" i="5"/>
  <c r="A51" i="5"/>
  <c r="F51" i="5"/>
  <c r="E51" i="5"/>
  <c r="D51" i="5"/>
  <c r="C51" i="5"/>
  <c r="B51" i="5"/>
  <c r="A50" i="5"/>
  <c r="F50" i="5"/>
  <c r="E50" i="5"/>
  <c r="D50" i="5"/>
  <c r="C50" i="5"/>
  <c r="B50" i="5"/>
  <c r="A49" i="5"/>
  <c r="F49" i="5"/>
  <c r="E49" i="5"/>
  <c r="D49" i="5"/>
  <c r="C49" i="5"/>
  <c r="B49" i="5"/>
  <c r="A48" i="5"/>
  <c r="F48" i="5"/>
  <c r="E48" i="5"/>
  <c r="D48" i="5"/>
  <c r="C48" i="5"/>
  <c r="B48" i="5"/>
  <c r="A47" i="5"/>
  <c r="F47" i="5"/>
  <c r="E47" i="5"/>
  <c r="D47" i="5"/>
  <c r="C47" i="5"/>
  <c r="B47" i="5"/>
  <c r="A46" i="5"/>
  <c r="F46" i="5"/>
  <c r="E46" i="5"/>
  <c r="D46" i="5"/>
  <c r="C46" i="5"/>
  <c r="B46" i="5"/>
  <c r="A45" i="5"/>
  <c r="F45" i="5"/>
  <c r="E45" i="5"/>
  <c r="D45" i="5"/>
  <c r="C45" i="5"/>
  <c r="B45" i="5"/>
  <c r="A44" i="5"/>
  <c r="F44" i="5"/>
  <c r="E44" i="5"/>
  <c r="D44" i="5"/>
  <c r="C44" i="5"/>
  <c r="B44" i="5"/>
  <c r="A43" i="5"/>
  <c r="F43" i="5"/>
  <c r="E43" i="5"/>
  <c r="D43" i="5"/>
  <c r="C43" i="5"/>
  <c r="B43" i="5"/>
  <c r="A42" i="5"/>
  <c r="F42" i="5"/>
  <c r="E42" i="5"/>
  <c r="D42" i="5"/>
  <c r="C42" i="5"/>
  <c r="B42" i="5"/>
  <c r="A41" i="5"/>
  <c r="F41" i="5"/>
  <c r="E41" i="5"/>
  <c r="D41" i="5"/>
  <c r="C41" i="5"/>
  <c r="B41" i="5"/>
  <c r="A40" i="5"/>
  <c r="F40" i="5"/>
  <c r="E40" i="5"/>
  <c r="D40" i="5"/>
  <c r="C40" i="5"/>
  <c r="B40" i="5"/>
  <c r="A39" i="5"/>
  <c r="F39" i="5"/>
  <c r="E39" i="5"/>
  <c r="D39" i="5"/>
  <c r="C39" i="5"/>
  <c r="B39" i="5"/>
  <c r="A38" i="5"/>
  <c r="F38" i="5"/>
  <c r="E38" i="5"/>
  <c r="D38" i="5"/>
  <c r="C38" i="5"/>
  <c r="B38" i="5"/>
  <c r="A37" i="5"/>
  <c r="F37" i="5"/>
  <c r="E37" i="5"/>
  <c r="D37" i="5"/>
  <c r="C37" i="5"/>
  <c r="B37" i="5"/>
  <c r="A36" i="5"/>
  <c r="F36" i="5"/>
  <c r="E36" i="5"/>
  <c r="D36" i="5"/>
  <c r="C36" i="5"/>
  <c r="B36" i="5"/>
  <c r="A35" i="5"/>
  <c r="F35" i="5"/>
  <c r="E35" i="5"/>
  <c r="D35" i="5"/>
  <c r="C35" i="5"/>
  <c r="B35" i="5"/>
  <c r="A34" i="5"/>
  <c r="F34" i="5"/>
  <c r="E34" i="5"/>
  <c r="D34" i="5"/>
  <c r="C34" i="5"/>
  <c r="B34" i="5"/>
  <c r="A33" i="5"/>
  <c r="F33" i="5"/>
  <c r="E33" i="5"/>
  <c r="D33" i="5"/>
  <c r="C33" i="5"/>
  <c r="B33" i="5"/>
  <c r="A32" i="5"/>
  <c r="F32" i="5"/>
  <c r="E32" i="5"/>
  <c r="D32" i="5"/>
  <c r="C32" i="5"/>
  <c r="B32" i="5"/>
  <c r="A31" i="5"/>
  <c r="F31" i="5"/>
  <c r="E31" i="5"/>
  <c r="D31" i="5"/>
  <c r="C31" i="5"/>
  <c r="B31" i="5"/>
  <c r="A30" i="5"/>
  <c r="F30" i="5"/>
  <c r="E30" i="5"/>
  <c r="D30" i="5"/>
  <c r="C30" i="5"/>
  <c r="B30" i="5"/>
  <c r="A29" i="5"/>
  <c r="F29" i="5"/>
  <c r="E29" i="5"/>
  <c r="D29" i="5"/>
  <c r="C29" i="5"/>
  <c r="B29" i="5"/>
  <c r="A28" i="5"/>
  <c r="F28" i="5"/>
  <c r="E28" i="5"/>
  <c r="D28" i="5"/>
  <c r="C28" i="5"/>
  <c r="B28" i="5"/>
  <c r="A27" i="5"/>
  <c r="F27" i="5"/>
  <c r="E27" i="5"/>
  <c r="D27" i="5"/>
  <c r="C27" i="5"/>
  <c r="B27" i="5"/>
  <c r="A26" i="5"/>
  <c r="F26" i="5"/>
  <c r="E26" i="5"/>
  <c r="D26" i="5"/>
  <c r="C26" i="5"/>
  <c r="B26" i="5"/>
  <c r="A25" i="5"/>
  <c r="F25" i="5"/>
  <c r="E25" i="5"/>
  <c r="D25" i="5"/>
  <c r="C25" i="5"/>
  <c r="B25" i="5"/>
  <c r="A24" i="5"/>
  <c r="F24" i="5"/>
  <c r="E24" i="5"/>
  <c r="D24" i="5"/>
  <c r="C24" i="5"/>
  <c r="B24" i="5"/>
  <c r="A23" i="5"/>
  <c r="F23" i="5"/>
  <c r="E23" i="5"/>
  <c r="D23" i="5"/>
  <c r="C23" i="5"/>
  <c r="B23" i="5"/>
  <c r="A22" i="5"/>
  <c r="F22" i="5"/>
  <c r="E22" i="5"/>
  <c r="D22" i="5"/>
  <c r="C22" i="5"/>
  <c r="B22" i="5"/>
  <c r="A21" i="5"/>
  <c r="F21" i="5"/>
  <c r="E21" i="5"/>
  <c r="D21" i="5"/>
  <c r="C21" i="5"/>
  <c r="B21" i="5"/>
  <c r="A20" i="5"/>
  <c r="F20" i="5"/>
  <c r="E20" i="5"/>
  <c r="D20" i="5"/>
  <c r="C20" i="5"/>
  <c r="B20" i="5"/>
  <c r="A19" i="5"/>
  <c r="F19" i="5"/>
  <c r="E19" i="5"/>
  <c r="D19" i="5"/>
  <c r="C19" i="5"/>
  <c r="B19" i="5"/>
  <c r="A18" i="5"/>
  <c r="F18" i="5"/>
  <c r="E18" i="5"/>
  <c r="D18" i="5"/>
  <c r="C18" i="5"/>
  <c r="B18" i="5"/>
  <c r="A17" i="5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G59" i="2"/>
  <c r="H59" i="2"/>
  <c r="E59" i="2"/>
  <c r="D59" i="2"/>
  <c r="A59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B59" i="2"/>
  <c r="G58" i="2"/>
  <c r="H58" i="2"/>
  <c r="E58" i="2"/>
  <c r="D58" i="2"/>
  <c r="A58" i="2"/>
  <c r="B58" i="2"/>
  <c r="G57" i="2"/>
  <c r="H57" i="2"/>
  <c r="E57" i="2"/>
  <c r="D57" i="2"/>
  <c r="A57" i="2"/>
  <c r="B57" i="2"/>
  <c r="G56" i="2"/>
  <c r="H56" i="2"/>
  <c r="E56" i="2"/>
  <c r="D56" i="2"/>
  <c r="A56" i="2"/>
  <c r="B56" i="2"/>
  <c r="G55" i="2"/>
  <c r="H55" i="2"/>
  <c r="E55" i="2"/>
  <c r="D55" i="2"/>
  <c r="A55" i="2"/>
  <c r="B55" i="2"/>
  <c r="AB127" i="1"/>
  <c r="Z127" i="1"/>
  <c r="S127" i="1"/>
  <c r="N127" i="1"/>
  <c r="M127" i="1"/>
  <c r="L127" i="1"/>
  <c r="K127" i="1"/>
  <c r="J127" i="1"/>
  <c r="D127" i="1"/>
  <c r="F127" i="1"/>
  <c r="E127" i="1"/>
  <c r="A127" i="1"/>
  <c r="AB122" i="1"/>
  <c r="Z122" i="1"/>
  <c r="S122" i="1"/>
  <c r="N122" i="1"/>
  <c r="M122" i="1"/>
  <c r="L122" i="1"/>
  <c r="K122" i="1"/>
  <c r="J122" i="1"/>
  <c r="D122" i="1"/>
  <c r="F122" i="1"/>
  <c r="E122" i="1"/>
  <c r="A122" i="1"/>
  <c r="AB121" i="1"/>
  <c r="Z121" i="1"/>
  <c r="S121" i="1"/>
  <c r="N121" i="1"/>
  <c r="M121" i="1"/>
  <c r="L121" i="1"/>
  <c r="K121" i="1"/>
  <c r="J121" i="1"/>
  <c r="D121" i="1"/>
  <c r="F121" i="1"/>
  <c r="E121" i="1"/>
  <c r="A121" i="1"/>
  <c r="AB128" i="1"/>
  <c r="Z128" i="1"/>
  <c r="S128" i="1"/>
  <c r="N128" i="1"/>
  <c r="M128" i="1"/>
  <c r="L128" i="1"/>
  <c r="K128" i="1"/>
  <c r="J128" i="1"/>
  <c r="D128" i="1"/>
  <c r="F128" i="1"/>
  <c r="E128" i="1"/>
  <c r="A128" i="1"/>
  <c r="AB126" i="1"/>
  <c r="Z126" i="1"/>
  <c r="S126" i="1"/>
  <c r="N126" i="1"/>
  <c r="M126" i="1"/>
  <c r="L126" i="1"/>
  <c r="K126" i="1"/>
  <c r="J126" i="1"/>
  <c r="D126" i="1"/>
  <c r="F126" i="1"/>
  <c r="E126" i="1"/>
  <c r="A126" i="1"/>
  <c r="AB125" i="1"/>
  <c r="Z125" i="1"/>
  <c r="S125" i="1"/>
  <c r="N125" i="1"/>
  <c r="M125" i="1"/>
  <c r="L125" i="1"/>
  <c r="K125" i="1"/>
  <c r="J125" i="1"/>
  <c r="D125" i="1"/>
  <c r="F125" i="1"/>
  <c r="E125" i="1"/>
  <c r="A125" i="1"/>
  <c r="AB124" i="1"/>
  <c r="Z124" i="1"/>
  <c r="S124" i="1"/>
  <c r="N124" i="1"/>
  <c r="M124" i="1"/>
  <c r="L124" i="1"/>
  <c r="K124" i="1"/>
  <c r="J124" i="1"/>
  <c r="D124" i="1"/>
  <c r="F124" i="1"/>
  <c r="E124" i="1"/>
  <c r="A124" i="1"/>
  <c r="AB123" i="1"/>
  <c r="Z123" i="1"/>
  <c r="S123" i="1"/>
  <c r="N123" i="1"/>
  <c r="M123" i="1"/>
  <c r="L123" i="1"/>
  <c r="K123" i="1"/>
  <c r="J123" i="1"/>
  <c r="D123" i="1"/>
  <c r="F123" i="1"/>
  <c r="E123" i="1"/>
  <c r="A123" i="1"/>
  <c r="AB120" i="1"/>
  <c r="Z120" i="1"/>
  <c r="S120" i="1"/>
  <c r="N120" i="1"/>
  <c r="M120" i="1"/>
  <c r="L120" i="1"/>
  <c r="K120" i="1"/>
  <c r="J120" i="1"/>
  <c r="D120" i="1"/>
  <c r="F120" i="1"/>
  <c r="E120" i="1"/>
  <c r="A120" i="1"/>
  <c r="AB119" i="1"/>
  <c r="Z119" i="1"/>
  <c r="S119" i="1"/>
  <c r="N119" i="1"/>
  <c r="M119" i="1"/>
  <c r="L119" i="1"/>
  <c r="K119" i="1"/>
  <c r="J119" i="1"/>
  <c r="D119" i="1"/>
  <c r="F119" i="1"/>
  <c r="E119" i="1"/>
  <c r="A119" i="1"/>
  <c r="AB118" i="1"/>
  <c r="Z118" i="1"/>
  <c r="S118" i="1"/>
  <c r="N118" i="1"/>
  <c r="M118" i="1"/>
  <c r="L118" i="1"/>
  <c r="K118" i="1"/>
  <c r="J118" i="1"/>
  <c r="D118" i="1"/>
  <c r="F118" i="1"/>
  <c r="E118" i="1"/>
  <c r="A118" i="1"/>
  <c r="AB113" i="1"/>
  <c r="Z113" i="1"/>
  <c r="S113" i="1"/>
  <c r="N113" i="1"/>
  <c r="M113" i="1"/>
  <c r="L113" i="1"/>
  <c r="K113" i="1"/>
  <c r="J113" i="1"/>
  <c r="D113" i="1"/>
  <c r="F113" i="1"/>
  <c r="E113" i="1"/>
  <c r="A113" i="1"/>
  <c r="A116" i="1"/>
  <c r="D116" i="1"/>
  <c r="E116" i="1"/>
  <c r="F116" i="1"/>
  <c r="J116" i="1"/>
  <c r="K116" i="1"/>
  <c r="L116" i="1"/>
  <c r="M116" i="1"/>
  <c r="N116" i="1"/>
  <c r="S116" i="1"/>
  <c r="Z116" i="1"/>
  <c r="AB116" i="1"/>
  <c r="AB115" i="1"/>
  <c r="Z115" i="1"/>
  <c r="S115" i="1"/>
  <c r="N115" i="1"/>
  <c r="M115" i="1"/>
  <c r="L115" i="1"/>
  <c r="K115" i="1"/>
  <c r="J115" i="1"/>
  <c r="D115" i="1"/>
  <c r="F115" i="1"/>
  <c r="E115" i="1"/>
  <c r="A115" i="1"/>
  <c r="AB110" i="1"/>
  <c r="Z110" i="1"/>
  <c r="S110" i="1"/>
  <c r="N110" i="1"/>
  <c r="M110" i="1"/>
  <c r="L110" i="1"/>
  <c r="K110" i="1"/>
  <c r="J110" i="1"/>
  <c r="D110" i="1"/>
  <c r="F110" i="1"/>
  <c r="E110" i="1"/>
  <c r="A110" i="1"/>
  <c r="AB101" i="1"/>
  <c r="Z101" i="1"/>
  <c r="S101" i="1"/>
  <c r="N101" i="1"/>
  <c r="M101" i="1"/>
  <c r="L101" i="1"/>
  <c r="K101" i="1"/>
  <c r="J101" i="1"/>
  <c r="D101" i="1"/>
  <c r="F101" i="1"/>
  <c r="E101" i="1"/>
  <c r="A101" i="1"/>
  <c r="AB98" i="1"/>
  <c r="Z98" i="1"/>
  <c r="S98" i="1"/>
  <c r="N98" i="1"/>
  <c r="M98" i="1"/>
  <c r="L98" i="1"/>
  <c r="K98" i="1"/>
  <c r="J98" i="1"/>
  <c r="D98" i="1"/>
  <c r="F98" i="1"/>
  <c r="E98" i="1"/>
  <c r="A98" i="1"/>
  <c r="AB99" i="1"/>
  <c r="Z99" i="1"/>
  <c r="S99" i="1"/>
  <c r="N99" i="1"/>
  <c r="M99" i="1"/>
  <c r="L99" i="1"/>
  <c r="K99" i="1"/>
  <c r="J99" i="1"/>
  <c r="D99" i="1"/>
  <c r="F99" i="1"/>
  <c r="E99" i="1"/>
  <c r="A99" i="1"/>
  <c r="AB106" i="1"/>
  <c r="Z106" i="1"/>
  <c r="S106" i="1"/>
  <c r="N106" i="1"/>
  <c r="M106" i="1"/>
  <c r="L106" i="1"/>
  <c r="K106" i="1"/>
  <c r="J106" i="1"/>
  <c r="D106" i="1"/>
  <c r="F106" i="1"/>
  <c r="E106" i="1"/>
  <c r="A106" i="1"/>
  <c r="AB105" i="1"/>
  <c r="Z105" i="1"/>
  <c r="S105" i="1"/>
  <c r="N105" i="1"/>
  <c r="M105" i="1"/>
  <c r="L105" i="1"/>
  <c r="K105" i="1"/>
  <c r="J105" i="1"/>
  <c r="D105" i="1"/>
  <c r="F105" i="1"/>
  <c r="E105" i="1"/>
  <c r="A105" i="1"/>
  <c r="AB103" i="1"/>
  <c r="Z103" i="1"/>
  <c r="S103" i="1"/>
  <c r="N103" i="1"/>
  <c r="M103" i="1"/>
  <c r="L103" i="1"/>
  <c r="K103" i="1"/>
  <c r="J103" i="1"/>
  <c r="D103" i="1"/>
  <c r="F103" i="1"/>
  <c r="E103" i="1"/>
  <c r="A103" i="1"/>
  <c r="AB117" i="1"/>
  <c r="Z117" i="1"/>
  <c r="S117" i="1"/>
  <c r="N117" i="1"/>
  <c r="M117" i="1"/>
  <c r="L117" i="1"/>
  <c r="K117" i="1"/>
  <c r="J117" i="1"/>
  <c r="D117" i="1"/>
  <c r="F117" i="1"/>
  <c r="E117" i="1"/>
  <c r="A117" i="1"/>
  <c r="AB108" i="1"/>
  <c r="Z108" i="1"/>
  <c r="S108" i="1"/>
  <c r="N108" i="1"/>
  <c r="M108" i="1"/>
  <c r="L108" i="1"/>
  <c r="K108" i="1"/>
  <c r="J108" i="1"/>
  <c r="D108" i="1"/>
  <c r="F108" i="1"/>
  <c r="E108" i="1"/>
  <c r="A108" i="1"/>
  <c r="AB112" i="1"/>
  <c r="Z112" i="1"/>
  <c r="S112" i="1"/>
  <c r="N112" i="1"/>
  <c r="M112" i="1"/>
  <c r="L112" i="1"/>
  <c r="K112" i="1"/>
  <c r="J112" i="1"/>
  <c r="D112" i="1"/>
  <c r="F112" i="1"/>
  <c r="E112" i="1"/>
  <c r="A112" i="1"/>
  <c r="AB114" i="1"/>
  <c r="Z114" i="1"/>
  <c r="S114" i="1"/>
  <c r="N114" i="1"/>
  <c r="M114" i="1"/>
  <c r="L114" i="1"/>
  <c r="K114" i="1"/>
  <c r="J114" i="1"/>
  <c r="D114" i="1"/>
  <c r="F114" i="1"/>
  <c r="E114" i="1"/>
  <c r="A114" i="1"/>
  <c r="AB111" i="1"/>
  <c r="Z111" i="1"/>
  <c r="S111" i="1"/>
  <c r="N111" i="1"/>
  <c r="M111" i="1"/>
  <c r="L111" i="1"/>
  <c r="K111" i="1"/>
  <c r="J111" i="1"/>
  <c r="D111" i="1"/>
  <c r="F111" i="1"/>
  <c r="E111" i="1"/>
  <c r="A111" i="1"/>
  <c r="AB109" i="1"/>
  <c r="Z109" i="1"/>
  <c r="S109" i="1"/>
  <c r="N109" i="1"/>
  <c r="M109" i="1"/>
  <c r="L109" i="1"/>
  <c r="K109" i="1"/>
  <c r="J109" i="1"/>
  <c r="D109" i="1"/>
  <c r="F109" i="1"/>
  <c r="E109" i="1"/>
  <c r="A109" i="1"/>
  <c r="AB107" i="1"/>
  <c r="Z107" i="1"/>
  <c r="S107" i="1"/>
  <c r="N107" i="1"/>
  <c r="M107" i="1"/>
  <c r="L107" i="1"/>
  <c r="K107" i="1"/>
  <c r="J107" i="1"/>
  <c r="D107" i="1"/>
  <c r="F107" i="1"/>
  <c r="E107" i="1"/>
  <c r="A107" i="1"/>
  <c r="AB102" i="1"/>
  <c r="Z102" i="1"/>
  <c r="S102" i="1"/>
  <c r="N102" i="1"/>
  <c r="M102" i="1"/>
  <c r="L102" i="1"/>
  <c r="K102" i="1"/>
  <c r="J102" i="1"/>
  <c r="D102" i="1"/>
  <c r="F102" i="1"/>
  <c r="E102" i="1"/>
  <c r="A102" i="1"/>
  <c r="AB104" i="1"/>
  <c r="Z104" i="1"/>
  <c r="S104" i="1"/>
  <c r="N104" i="1"/>
  <c r="M104" i="1"/>
  <c r="L104" i="1"/>
  <c r="K104" i="1"/>
  <c r="J104" i="1"/>
  <c r="D104" i="1"/>
  <c r="F104" i="1"/>
  <c r="E104" i="1"/>
  <c r="A104" i="1"/>
  <c r="AB100" i="1"/>
  <c r="Z100" i="1"/>
  <c r="S100" i="1"/>
  <c r="N100" i="1"/>
  <c r="M100" i="1"/>
  <c r="L100" i="1"/>
  <c r="K100" i="1"/>
  <c r="J100" i="1"/>
  <c r="D100" i="1"/>
  <c r="F100" i="1"/>
  <c r="E100" i="1"/>
  <c r="A100" i="1"/>
  <c r="AB97" i="1"/>
  <c r="Z97" i="1"/>
  <c r="S97" i="1"/>
  <c r="N97" i="1"/>
  <c r="M97" i="1"/>
  <c r="L97" i="1"/>
  <c r="K97" i="1"/>
  <c r="J97" i="1"/>
  <c r="D97" i="1"/>
  <c r="F97" i="1"/>
  <c r="E97" i="1"/>
  <c r="A97" i="1"/>
  <c r="G54" i="2"/>
  <c r="H54" i="2"/>
  <c r="E54" i="2"/>
  <c r="D54" i="2"/>
  <c r="A54" i="2"/>
  <c r="B54" i="2"/>
  <c r="G53" i="2"/>
  <c r="H53" i="2"/>
  <c r="E53" i="2"/>
  <c r="D53" i="2"/>
  <c r="A53" i="2"/>
  <c r="B53" i="2"/>
  <c r="G52" i="2"/>
  <c r="H52" i="2"/>
  <c r="E52" i="2"/>
  <c r="D52" i="2"/>
  <c r="A52" i="2"/>
  <c r="B52" i="2"/>
  <c r="G51" i="2"/>
  <c r="H51" i="2"/>
  <c r="E51" i="2"/>
  <c r="D51" i="2"/>
  <c r="A51" i="2"/>
  <c r="B51" i="2"/>
  <c r="G50" i="2"/>
  <c r="H50" i="2"/>
  <c r="E50" i="2"/>
  <c r="D50" i="2"/>
  <c r="A50" i="2"/>
  <c r="B50" i="2"/>
  <c r="G49" i="2"/>
  <c r="H49" i="2"/>
  <c r="E49" i="2"/>
  <c r="D49" i="2"/>
  <c r="A49" i="2"/>
  <c r="B49" i="2"/>
  <c r="G48" i="2"/>
  <c r="H48" i="2"/>
  <c r="E48" i="2"/>
  <c r="D48" i="2"/>
  <c r="A48" i="2"/>
  <c r="B48" i="2"/>
  <c r="G47" i="2"/>
  <c r="H47" i="2"/>
  <c r="E47" i="2"/>
  <c r="D47" i="2"/>
  <c r="A47" i="2"/>
  <c r="B47" i="2"/>
  <c r="G46" i="2"/>
  <c r="H46" i="2"/>
  <c r="E46" i="2"/>
  <c r="D46" i="2"/>
  <c r="A46" i="2"/>
  <c r="B46" i="2"/>
  <c r="G45" i="2"/>
  <c r="H45" i="2"/>
  <c r="E45" i="2"/>
  <c r="D45" i="2"/>
  <c r="A45" i="2"/>
  <c r="B45" i="2"/>
  <c r="A96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B83" i="1"/>
  <c r="Z83" i="1"/>
  <c r="S83" i="1"/>
  <c r="N83" i="1"/>
  <c r="M83" i="1"/>
  <c r="L83" i="1"/>
  <c r="K83" i="1"/>
  <c r="J83" i="1"/>
  <c r="D83" i="1"/>
  <c r="F83" i="1"/>
  <c r="E83" i="1"/>
  <c r="AB72" i="1"/>
  <c r="Z72" i="1"/>
  <c r="S72" i="1"/>
  <c r="N72" i="1"/>
  <c r="M72" i="1"/>
  <c r="L72" i="1"/>
  <c r="K72" i="1"/>
  <c r="J72" i="1"/>
  <c r="D72" i="1"/>
  <c r="F72" i="1"/>
  <c r="E72" i="1"/>
  <c r="AB70" i="1"/>
  <c r="Z70" i="1"/>
  <c r="S70" i="1"/>
  <c r="N70" i="1"/>
  <c r="M70" i="1"/>
  <c r="L70" i="1"/>
  <c r="K70" i="1"/>
  <c r="J70" i="1"/>
  <c r="D70" i="1"/>
  <c r="F70" i="1"/>
  <c r="E70" i="1"/>
  <c r="AB65" i="1"/>
  <c r="Z65" i="1"/>
  <c r="S65" i="1"/>
  <c r="N65" i="1"/>
  <c r="M65" i="1"/>
  <c r="L65" i="1"/>
  <c r="K65" i="1"/>
  <c r="J65" i="1"/>
  <c r="D65" i="1"/>
  <c r="F65" i="1"/>
  <c r="E65" i="1"/>
  <c r="A3" i="6"/>
  <c r="I3" i="6"/>
  <c r="H3" i="6"/>
  <c r="G3" i="6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2" i="1"/>
  <c r="S81" i="1"/>
  <c r="S80" i="1"/>
  <c r="S79" i="1"/>
  <c r="S78" i="1"/>
  <c r="S77" i="1"/>
  <c r="S76" i="1"/>
  <c r="S75" i="1"/>
  <c r="S74" i="1"/>
  <c r="S73" i="1"/>
  <c r="S71" i="1"/>
  <c r="S69" i="1"/>
  <c r="S68" i="1"/>
  <c r="S67" i="1"/>
  <c r="S66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T2" i="1"/>
  <c r="S2" i="1"/>
  <c r="D96" i="1"/>
  <c r="F96" i="1"/>
  <c r="D95" i="1"/>
  <c r="F95" i="1"/>
  <c r="D94" i="1"/>
  <c r="F94" i="1"/>
  <c r="D93" i="1"/>
  <c r="F93" i="1"/>
  <c r="D92" i="1"/>
  <c r="F92" i="1"/>
  <c r="D91" i="1"/>
  <c r="F91" i="1"/>
  <c r="D90" i="1"/>
  <c r="F90" i="1"/>
  <c r="D89" i="1"/>
  <c r="F89" i="1"/>
  <c r="D88" i="1"/>
  <c r="F88" i="1"/>
  <c r="D87" i="1"/>
  <c r="F87" i="1"/>
  <c r="D86" i="1"/>
  <c r="F86" i="1"/>
  <c r="D85" i="1"/>
  <c r="F85" i="1"/>
  <c r="D84" i="1"/>
  <c r="F84" i="1"/>
  <c r="D82" i="1"/>
  <c r="F82" i="1"/>
  <c r="D81" i="1"/>
  <c r="F81" i="1"/>
  <c r="D80" i="1"/>
  <c r="F80" i="1"/>
  <c r="D79" i="1"/>
  <c r="F79" i="1"/>
  <c r="D78" i="1"/>
  <c r="F78" i="1"/>
  <c r="D77" i="1"/>
  <c r="F77" i="1"/>
  <c r="D76" i="1"/>
  <c r="F76" i="1"/>
  <c r="D75" i="1"/>
  <c r="F75" i="1"/>
  <c r="D74" i="1"/>
  <c r="F74" i="1"/>
  <c r="D73" i="1"/>
  <c r="F73" i="1"/>
  <c r="D71" i="1"/>
  <c r="F71" i="1"/>
  <c r="D69" i="1"/>
  <c r="F69" i="1"/>
  <c r="D68" i="1"/>
  <c r="F68" i="1"/>
  <c r="D67" i="1"/>
  <c r="F67" i="1"/>
  <c r="D66" i="1"/>
  <c r="F66" i="1"/>
  <c r="D64" i="1"/>
  <c r="F64" i="1"/>
  <c r="D63" i="1"/>
  <c r="F63" i="1"/>
  <c r="D62" i="1"/>
  <c r="F62" i="1"/>
  <c r="D61" i="1"/>
  <c r="F61" i="1"/>
  <c r="D60" i="1"/>
  <c r="F60" i="1"/>
  <c r="D59" i="1"/>
  <c r="F59" i="1"/>
  <c r="D58" i="1"/>
  <c r="F58" i="1"/>
  <c r="D57" i="1"/>
  <c r="F57" i="1"/>
  <c r="D56" i="1"/>
  <c r="F56" i="1"/>
  <c r="D55" i="1"/>
  <c r="F55" i="1"/>
  <c r="D54" i="1"/>
  <c r="F54" i="1"/>
  <c r="D53" i="1"/>
  <c r="F53" i="1"/>
  <c r="D52" i="1"/>
  <c r="F52" i="1"/>
  <c r="D51" i="1"/>
  <c r="F51" i="1"/>
  <c r="D50" i="1"/>
  <c r="F50" i="1"/>
  <c r="D49" i="1"/>
  <c r="F49" i="1"/>
  <c r="D48" i="1"/>
  <c r="F48" i="1"/>
  <c r="D47" i="1"/>
  <c r="F47" i="1"/>
  <c r="D46" i="1"/>
  <c r="F46" i="1"/>
  <c r="D45" i="1"/>
  <c r="F45" i="1"/>
  <c r="D44" i="1"/>
  <c r="F44" i="1"/>
  <c r="D43" i="1"/>
  <c r="F43" i="1"/>
  <c r="D42" i="1"/>
  <c r="F42" i="1"/>
  <c r="D41" i="1"/>
  <c r="F41" i="1"/>
  <c r="D40" i="1"/>
  <c r="F40" i="1"/>
  <c r="D39" i="1"/>
  <c r="F39" i="1"/>
  <c r="D38" i="1"/>
  <c r="F38" i="1"/>
  <c r="D37" i="1"/>
  <c r="F37" i="1"/>
  <c r="D36" i="1"/>
  <c r="F36" i="1"/>
  <c r="D35" i="1"/>
  <c r="F35" i="1"/>
  <c r="D34" i="1"/>
  <c r="F34" i="1"/>
  <c r="D33" i="1"/>
  <c r="F33" i="1"/>
  <c r="D32" i="1"/>
  <c r="F32" i="1"/>
  <c r="D31" i="1"/>
  <c r="F31" i="1"/>
  <c r="D30" i="1"/>
  <c r="F30" i="1"/>
  <c r="D29" i="1"/>
  <c r="F29" i="1"/>
  <c r="D28" i="1"/>
  <c r="F28" i="1"/>
  <c r="D27" i="1"/>
  <c r="F27" i="1"/>
  <c r="D26" i="1"/>
  <c r="F26" i="1"/>
  <c r="D25" i="1"/>
  <c r="F25" i="1"/>
  <c r="D24" i="1"/>
  <c r="F24" i="1"/>
  <c r="D23" i="1"/>
  <c r="F23" i="1"/>
  <c r="D22" i="1"/>
  <c r="F22" i="1"/>
  <c r="D21" i="1"/>
  <c r="F21" i="1"/>
  <c r="D20" i="1"/>
  <c r="F20" i="1"/>
  <c r="D19" i="1"/>
  <c r="F19" i="1"/>
  <c r="D18" i="1"/>
  <c r="F18" i="1"/>
  <c r="D17" i="1"/>
  <c r="F17" i="1"/>
  <c r="D16" i="1"/>
  <c r="F16" i="1"/>
  <c r="D15" i="1"/>
  <c r="F15" i="1"/>
  <c r="D14" i="1"/>
  <c r="F14" i="1"/>
  <c r="D13" i="1"/>
  <c r="F13" i="1"/>
  <c r="D12" i="1"/>
  <c r="F12" i="1"/>
  <c r="D11" i="1"/>
  <c r="F11" i="1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G44" i="2"/>
  <c r="H44" i="2"/>
  <c r="G43" i="2"/>
  <c r="H43" i="2"/>
  <c r="G42" i="2"/>
  <c r="H42" i="2"/>
  <c r="G41" i="2"/>
  <c r="H41" i="2"/>
  <c r="G40" i="2"/>
  <c r="H40" i="2"/>
  <c r="G39" i="2"/>
  <c r="H39" i="2"/>
  <c r="G38" i="2"/>
  <c r="H38" i="2"/>
  <c r="G37" i="2"/>
  <c r="H37" i="2"/>
  <c r="G36" i="2"/>
  <c r="H36" i="2"/>
  <c r="G35" i="2"/>
  <c r="H35" i="2"/>
  <c r="G34" i="2"/>
  <c r="H34" i="2"/>
  <c r="G33" i="2"/>
  <c r="H33" i="2"/>
  <c r="G32" i="2"/>
  <c r="H32" i="2"/>
  <c r="G31" i="2"/>
  <c r="H31" i="2"/>
  <c r="G30" i="2"/>
  <c r="H30" i="2"/>
  <c r="G29" i="2"/>
  <c r="H29" i="2"/>
  <c r="G28" i="2"/>
  <c r="H28" i="2"/>
  <c r="G27" i="2"/>
  <c r="H27" i="2"/>
  <c r="G26" i="2"/>
  <c r="H26" i="2"/>
  <c r="G25" i="2"/>
  <c r="H25" i="2"/>
  <c r="G24" i="2"/>
  <c r="H24" i="2"/>
  <c r="G23" i="2"/>
  <c r="H23" i="2"/>
  <c r="G22" i="2"/>
  <c r="H22" i="2"/>
  <c r="G21" i="2"/>
  <c r="H21" i="2"/>
  <c r="G20" i="2"/>
  <c r="H20" i="2"/>
  <c r="G19" i="2"/>
  <c r="H19" i="2"/>
  <c r="G18" i="2"/>
  <c r="H18" i="2"/>
  <c r="G17" i="2"/>
  <c r="H17" i="2"/>
  <c r="G16" i="2"/>
  <c r="H16" i="2"/>
  <c r="G15" i="2"/>
  <c r="H15" i="2"/>
  <c r="G14" i="2"/>
  <c r="H14" i="2"/>
  <c r="G13" i="2"/>
  <c r="H13" i="2"/>
  <c r="G12" i="2"/>
  <c r="H12" i="2"/>
  <c r="G11" i="2"/>
  <c r="H11" i="2"/>
  <c r="G10" i="2"/>
  <c r="H10" i="2"/>
  <c r="G9" i="2"/>
  <c r="H9" i="2"/>
  <c r="G8" i="2"/>
  <c r="H8" i="2"/>
  <c r="G7" i="2"/>
  <c r="H7" i="2"/>
  <c r="G6" i="2"/>
  <c r="H6" i="2"/>
  <c r="G5" i="2"/>
  <c r="H5" i="2"/>
  <c r="G4" i="2"/>
  <c r="H4" i="2"/>
  <c r="G3" i="2"/>
  <c r="H3" i="2"/>
  <c r="G2" i="2"/>
  <c r="H2" i="2"/>
  <c r="A44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E14" i="2"/>
  <c r="D14" i="2"/>
  <c r="B14" i="2"/>
  <c r="E13" i="2"/>
  <c r="D13" i="2"/>
  <c r="B13" i="2"/>
  <c r="AB28" i="1"/>
  <c r="Z28" i="1"/>
  <c r="N28" i="1"/>
  <c r="M28" i="1"/>
  <c r="L28" i="1"/>
  <c r="K28" i="1"/>
  <c r="J28" i="1"/>
  <c r="E28" i="1"/>
  <c r="AB27" i="1"/>
  <c r="Z27" i="1"/>
  <c r="N27" i="1"/>
  <c r="M27" i="1"/>
  <c r="L27" i="1"/>
  <c r="K27" i="1"/>
  <c r="J27" i="1"/>
  <c r="E27" i="1"/>
  <c r="AB26" i="1"/>
  <c r="Z26" i="1"/>
  <c r="N26" i="1"/>
  <c r="M26" i="1"/>
  <c r="L26" i="1"/>
  <c r="K26" i="1"/>
  <c r="J26" i="1"/>
  <c r="E26" i="1"/>
  <c r="AB25" i="1"/>
  <c r="Z25" i="1"/>
  <c r="N25" i="1"/>
  <c r="M25" i="1"/>
  <c r="L25" i="1"/>
  <c r="K25" i="1"/>
  <c r="J25" i="1"/>
  <c r="E25" i="1"/>
  <c r="AB29" i="1"/>
  <c r="Z29" i="1"/>
  <c r="N29" i="1"/>
  <c r="M29" i="1"/>
  <c r="L29" i="1"/>
  <c r="K29" i="1"/>
  <c r="J29" i="1"/>
  <c r="E29" i="1"/>
  <c r="J74" i="1"/>
  <c r="AB17" i="1"/>
  <c r="Z17" i="1"/>
  <c r="N17" i="1"/>
  <c r="M17" i="1"/>
  <c r="L17" i="1"/>
  <c r="K17" i="1"/>
  <c r="J17" i="1"/>
  <c r="E17" i="1"/>
  <c r="AB16" i="1"/>
  <c r="Z16" i="1"/>
  <c r="N16" i="1"/>
  <c r="M16" i="1"/>
  <c r="L16" i="1"/>
  <c r="K16" i="1"/>
  <c r="J16" i="1"/>
  <c r="E16" i="1"/>
  <c r="E9" i="2"/>
  <c r="D9" i="2"/>
  <c r="B9" i="2"/>
  <c r="AB85" i="1"/>
  <c r="Z85" i="1"/>
  <c r="N85" i="1"/>
  <c r="M85" i="1"/>
  <c r="L85" i="1"/>
  <c r="K85" i="1"/>
  <c r="J85" i="1"/>
  <c r="E85" i="1"/>
  <c r="AB74" i="1"/>
  <c r="Z74" i="1"/>
  <c r="N74" i="1"/>
  <c r="M74" i="1"/>
  <c r="L74" i="1"/>
  <c r="K74" i="1"/>
  <c r="E74" i="1"/>
  <c r="AA2" i="1"/>
  <c r="AD2" i="1"/>
  <c r="X2" i="1"/>
  <c r="E91" i="1"/>
  <c r="AB96" i="1"/>
  <c r="Z96" i="1"/>
  <c r="N96" i="1"/>
  <c r="M96" i="1"/>
  <c r="L96" i="1"/>
  <c r="K96" i="1"/>
  <c r="J96" i="1"/>
  <c r="E96" i="1"/>
  <c r="AB95" i="1"/>
  <c r="Z95" i="1"/>
  <c r="N95" i="1"/>
  <c r="M95" i="1"/>
  <c r="L95" i="1"/>
  <c r="K95" i="1"/>
  <c r="J95" i="1"/>
  <c r="E95" i="1"/>
  <c r="AB94" i="1"/>
  <c r="Z94" i="1"/>
  <c r="N94" i="1"/>
  <c r="M94" i="1"/>
  <c r="L94" i="1"/>
  <c r="K94" i="1"/>
  <c r="J94" i="1"/>
  <c r="E94" i="1"/>
  <c r="AB93" i="1"/>
  <c r="Z93" i="1"/>
  <c r="N93" i="1"/>
  <c r="M93" i="1"/>
  <c r="L93" i="1"/>
  <c r="K93" i="1"/>
  <c r="J93" i="1"/>
  <c r="E93" i="1"/>
  <c r="AB92" i="1"/>
  <c r="Z92" i="1"/>
  <c r="N92" i="1"/>
  <c r="M92" i="1"/>
  <c r="L92" i="1"/>
  <c r="K92" i="1"/>
  <c r="J92" i="1"/>
  <c r="E92" i="1"/>
  <c r="AB91" i="1"/>
  <c r="Z91" i="1"/>
  <c r="N91" i="1"/>
  <c r="M91" i="1"/>
  <c r="L91" i="1"/>
  <c r="K91" i="1"/>
  <c r="J91" i="1"/>
  <c r="AB90" i="1"/>
  <c r="Z90" i="1"/>
  <c r="N90" i="1"/>
  <c r="M90" i="1"/>
  <c r="L90" i="1"/>
  <c r="K90" i="1"/>
  <c r="J90" i="1"/>
  <c r="E90" i="1"/>
  <c r="AB89" i="1"/>
  <c r="Z89" i="1"/>
  <c r="N89" i="1"/>
  <c r="M89" i="1"/>
  <c r="L89" i="1"/>
  <c r="K89" i="1"/>
  <c r="J89" i="1"/>
  <c r="E89" i="1"/>
  <c r="AB88" i="1"/>
  <c r="Z88" i="1"/>
  <c r="N88" i="1"/>
  <c r="M88" i="1"/>
  <c r="L88" i="1"/>
  <c r="K88" i="1"/>
  <c r="J88" i="1"/>
  <c r="E88" i="1"/>
  <c r="AB87" i="1"/>
  <c r="Z87" i="1"/>
  <c r="N87" i="1"/>
  <c r="M87" i="1"/>
  <c r="L87" i="1"/>
  <c r="K87" i="1"/>
  <c r="J87" i="1"/>
  <c r="E87" i="1"/>
  <c r="AB86" i="1"/>
  <c r="Z86" i="1"/>
  <c r="N86" i="1"/>
  <c r="M86" i="1"/>
  <c r="L86" i="1"/>
  <c r="K86" i="1"/>
  <c r="J86" i="1"/>
  <c r="E86" i="1"/>
  <c r="AB84" i="1"/>
  <c r="Z84" i="1"/>
  <c r="N84" i="1"/>
  <c r="M84" i="1"/>
  <c r="L84" i="1"/>
  <c r="K84" i="1"/>
  <c r="J84" i="1"/>
  <c r="E84" i="1"/>
  <c r="AB82" i="1"/>
  <c r="Z82" i="1"/>
  <c r="N82" i="1"/>
  <c r="M82" i="1"/>
  <c r="L82" i="1"/>
  <c r="K82" i="1"/>
  <c r="J82" i="1"/>
  <c r="E82" i="1"/>
  <c r="AB81" i="1"/>
  <c r="Z81" i="1"/>
  <c r="N81" i="1"/>
  <c r="M81" i="1"/>
  <c r="L81" i="1"/>
  <c r="K81" i="1"/>
  <c r="J81" i="1"/>
  <c r="E81" i="1"/>
  <c r="AB80" i="1"/>
  <c r="Z80" i="1"/>
  <c r="N80" i="1"/>
  <c r="M80" i="1"/>
  <c r="L80" i="1"/>
  <c r="K80" i="1"/>
  <c r="J80" i="1"/>
  <c r="E80" i="1"/>
  <c r="AB79" i="1"/>
  <c r="Z79" i="1"/>
  <c r="N79" i="1"/>
  <c r="M79" i="1"/>
  <c r="L79" i="1"/>
  <c r="K79" i="1"/>
  <c r="J79" i="1"/>
  <c r="E79" i="1"/>
  <c r="AB78" i="1"/>
  <c r="Z78" i="1"/>
  <c r="N78" i="1"/>
  <c r="M78" i="1"/>
  <c r="L78" i="1"/>
  <c r="K78" i="1"/>
  <c r="J78" i="1"/>
  <c r="E78" i="1"/>
  <c r="AB77" i="1"/>
  <c r="Z77" i="1"/>
  <c r="N77" i="1"/>
  <c r="M77" i="1"/>
  <c r="L77" i="1"/>
  <c r="K77" i="1"/>
  <c r="J77" i="1"/>
  <c r="E77" i="1"/>
  <c r="AB76" i="1"/>
  <c r="Z76" i="1"/>
  <c r="N76" i="1"/>
  <c r="M76" i="1"/>
  <c r="L76" i="1"/>
  <c r="K76" i="1"/>
  <c r="J76" i="1"/>
  <c r="E76" i="1"/>
  <c r="AB75" i="1"/>
  <c r="Z75" i="1"/>
  <c r="N75" i="1"/>
  <c r="M75" i="1"/>
  <c r="L75" i="1"/>
  <c r="K75" i="1"/>
  <c r="J75" i="1"/>
  <c r="E75" i="1"/>
  <c r="AB73" i="1"/>
  <c r="Z73" i="1"/>
  <c r="N73" i="1"/>
  <c r="M73" i="1"/>
  <c r="L73" i="1"/>
  <c r="K73" i="1"/>
  <c r="J73" i="1"/>
  <c r="E73" i="1"/>
  <c r="AB71" i="1"/>
  <c r="Z71" i="1"/>
  <c r="N71" i="1"/>
  <c r="M71" i="1"/>
  <c r="L71" i="1"/>
  <c r="K71" i="1"/>
  <c r="J71" i="1"/>
  <c r="E71" i="1"/>
  <c r="AB69" i="1"/>
  <c r="Z69" i="1"/>
  <c r="N69" i="1"/>
  <c r="M69" i="1"/>
  <c r="L69" i="1"/>
  <c r="K69" i="1"/>
  <c r="J69" i="1"/>
  <c r="E69" i="1"/>
  <c r="AB68" i="1"/>
  <c r="Z68" i="1"/>
  <c r="N68" i="1"/>
  <c r="M68" i="1"/>
  <c r="L68" i="1"/>
  <c r="K68" i="1"/>
  <c r="J68" i="1"/>
  <c r="E68" i="1"/>
  <c r="AB67" i="1"/>
  <c r="Z67" i="1"/>
  <c r="N67" i="1"/>
  <c r="M67" i="1"/>
  <c r="L67" i="1"/>
  <c r="K67" i="1"/>
  <c r="J67" i="1"/>
  <c r="E67" i="1"/>
  <c r="AB66" i="1"/>
  <c r="Z66" i="1"/>
  <c r="N66" i="1"/>
  <c r="M66" i="1"/>
  <c r="L66" i="1"/>
  <c r="K66" i="1"/>
  <c r="J66" i="1"/>
  <c r="E66" i="1"/>
  <c r="AB64" i="1"/>
  <c r="Z64" i="1"/>
  <c r="N64" i="1"/>
  <c r="M64" i="1"/>
  <c r="L64" i="1"/>
  <c r="K64" i="1"/>
  <c r="J64" i="1"/>
  <c r="E64" i="1"/>
  <c r="AB63" i="1"/>
  <c r="Z63" i="1"/>
  <c r="N63" i="1"/>
  <c r="M63" i="1"/>
  <c r="L63" i="1"/>
  <c r="K63" i="1"/>
  <c r="J63" i="1"/>
  <c r="E63" i="1"/>
  <c r="AB62" i="1"/>
  <c r="Z62" i="1"/>
  <c r="N62" i="1"/>
  <c r="M62" i="1"/>
  <c r="L62" i="1"/>
  <c r="K62" i="1"/>
  <c r="J62" i="1"/>
  <c r="E62" i="1"/>
  <c r="AB61" i="1"/>
  <c r="Z61" i="1"/>
  <c r="N61" i="1"/>
  <c r="M61" i="1"/>
  <c r="L61" i="1"/>
  <c r="K61" i="1"/>
  <c r="J61" i="1"/>
  <c r="E61" i="1"/>
  <c r="AB60" i="1"/>
  <c r="Z60" i="1"/>
  <c r="N60" i="1"/>
  <c r="M60" i="1"/>
  <c r="L60" i="1"/>
  <c r="K60" i="1"/>
  <c r="J60" i="1"/>
  <c r="E60" i="1"/>
  <c r="AB59" i="1"/>
  <c r="Z59" i="1"/>
  <c r="N59" i="1"/>
  <c r="M59" i="1"/>
  <c r="L59" i="1"/>
  <c r="K59" i="1"/>
  <c r="J59" i="1"/>
  <c r="E59" i="1"/>
  <c r="AB58" i="1"/>
  <c r="Z58" i="1"/>
  <c r="N58" i="1"/>
  <c r="M58" i="1"/>
  <c r="L58" i="1"/>
  <c r="K58" i="1"/>
  <c r="J58" i="1"/>
  <c r="E58" i="1"/>
  <c r="AB57" i="1"/>
  <c r="Z57" i="1"/>
  <c r="N57" i="1"/>
  <c r="M57" i="1"/>
  <c r="L57" i="1"/>
  <c r="K57" i="1"/>
  <c r="J57" i="1"/>
  <c r="E57" i="1"/>
  <c r="AB56" i="1"/>
  <c r="Z56" i="1"/>
  <c r="N56" i="1"/>
  <c r="M56" i="1"/>
  <c r="L56" i="1"/>
  <c r="K56" i="1"/>
  <c r="J56" i="1"/>
  <c r="E56" i="1"/>
  <c r="AB55" i="1"/>
  <c r="Z55" i="1"/>
  <c r="N55" i="1"/>
  <c r="M55" i="1"/>
  <c r="L55" i="1"/>
  <c r="K55" i="1"/>
  <c r="J55" i="1"/>
  <c r="E55" i="1"/>
  <c r="AB54" i="1"/>
  <c r="Z54" i="1"/>
  <c r="N54" i="1"/>
  <c r="M54" i="1"/>
  <c r="L54" i="1"/>
  <c r="K54" i="1"/>
  <c r="J54" i="1"/>
  <c r="E54" i="1"/>
  <c r="AB53" i="1"/>
  <c r="Z53" i="1"/>
  <c r="N53" i="1"/>
  <c r="M53" i="1"/>
  <c r="L53" i="1"/>
  <c r="K53" i="1"/>
  <c r="J53" i="1"/>
  <c r="E53" i="1"/>
  <c r="AB52" i="1"/>
  <c r="Z52" i="1"/>
  <c r="N52" i="1"/>
  <c r="M52" i="1"/>
  <c r="L52" i="1"/>
  <c r="K52" i="1"/>
  <c r="J52" i="1"/>
  <c r="E52" i="1"/>
  <c r="AB51" i="1"/>
  <c r="Z51" i="1"/>
  <c r="N51" i="1"/>
  <c r="M51" i="1"/>
  <c r="L51" i="1"/>
  <c r="K51" i="1"/>
  <c r="J51" i="1"/>
  <c r="E51" i="1"/>
  <c r="AB50" i="1"/>
  <c r="Z50" i="1"/>
  <c r="N50" i="1"/>
  <c r="M50" i="1"/>
  <c r="L50" i="1"/>
  <c r="K50" i="1"/>
  <c r="J50" i="1"/>
  <c r="E50" i="1"/>
  <c r="AB49" i="1"/>
  <c r="Z49" i="1"/>
  <c r="N49" i="1"/>
  <c r="M49" i="1"/>
  <c r="L49" i="1"/>
  <c r="K49" i="1"/>
  <c r="J49" i="1"/>
  <c r="E49" i="1"/>
  <c r="AB48" i="1"/>
  <c r="Z48" i="1"/>
  <c r="N48" i="1"/>
  <c r="M48" i="1"/>
  <c r="L48" i="1"/>
  <c r="K48" i="1"/>
  <c r="J48" i="1"/>
  <c r="E48" i="1"/>
  <c r="AB47" i="1"/>
  <c r="Z47" i="1"/>
  <c r="N47" i="1"/>
  <c r="M47" i="1"/>
  <c r="L47" i="1"/>
  <c r="K47" i="1"/>
  <c r="J47" i="1"/>
  <c r="E47" i="1"/>
  <c r="AB46" i="1"/>
  <c r="Z46" i="1"/>
  <c r="N46" i="1"/>
  <c r="M46" i="1"/>
  <c r="L46" i="1"/>
  <c r="K46" i="1"/>
  <c r="J46" i="1"/>
  <c r="E46" i="1"/>
  <c r="AB45" i="1"/>
  <c r="Z45" i="1"/>
  <c r="N45" i="1"/>
  <c r="M45" i="1"/>
  <c r="L45" i="1"/>
  <c r="K45" i="1"/>
  <c r="J45" i="1"/>
  <c r="E45" i="1"/>
  <c r="AB44" i="1"/>
  <c r="Z44" i="1"/>
  <c r="N44" i="1"/>
  <c r="M44" i="1"/>
  <c r="L44" i="1"/>
  <c r="K44" i="1"/>
  <c r="J44" i="1"/>
  <c r="E44" i="1"/>
  <c r="AB43" i="1"/>
  <c r="Z43" i="1"/>
  <c r="N43" i="1"/>
  <c r="M43" i="1"/>
  <c r="L43" i="1"/>
  <c r="K43" i="1"/>
  <c r="J43" i="1"/>
  <c r="E43" i="1"/>
  <c r="AB42" i="1"/>
  <c r="Z42" i="1"/>
  <c r="N42" i="1"/>
  <c r="M42" i="1"/>
  <c r="L42" i="1"/>
  <c r="K42" i="1"/>
  <c r="J42" i="1"/>
  <c r="E42" i="1"/>
  <c r="AB39" i="1"/>
  <c r="Z39" i="1"/>
  <c r="N39" i="1"/>
  <c r="M39" i="1"/>
  <c r="L39" i="1"/>
  <c r="K39" i="1"/>
  <c r="J39" i="1"/>
  <c r="E39" i="1"/>
  <c r="AB41" i="1"/>
  <c r="Z41" i="1"/>
  <c r="N41" i="1"/>
  <c r="M41" i="1"/>
  <c r="L41" i="1"/>
  <c r="K41" i="1"/>
  <c r="J41" i="1"/>
  <c r="E41" i="1"/>
  <c r="AB40" i="1"/>
  <c r="Z40" i="1"/>
  <c r="N40" i="1"/>
  <c r="M40" i="1"/>
  <c r="L40" i="1"/>
  <c r="K40" i="1"/>
  <c r="J40" i="1"/>
  <c r="E40" i="1"/>
  <c r="AB38" i="1"/>
  <c r="Z38" i="1"/>
  <c r="N38" i="1"/>
  <c r="M38" i="1"/>
  <c r="L38" i="1"/>
  <c r="K38" i="1"/>
  <c r="J38" i="1"/>
  <c r="E38" i="1"/>
  <c r="AB37" i="1"/>
  <c r="Z37" i="1"/>
  <c r="N37" i="1"/>
  <c r="M37" i="1"/>
  <c r="L37" i="1"/>
  <c r="K37" i="1"/>
  <c r="J37" i="1"/>
  <c r="E37" i="1"/>
  <c r="AB36" i="1"/>
  <c r="Z36" i="1"/>
  <c r="N36" i="1"/>
  <c r="M36" i="1"/>
  <c r="L36" i="1"/>
  <c r="K36" i="1"/>
  <c r="J36" i="1"/>
  <c r="E36" i="1"/>
  <c r="AB35" i="1"/>
  <c r="Z35" i="1"/>
  <c r="N35" i="1"/>
  <c r="M35" i="1"/>
  <c r="L35" i="1"/>
  <c r="K35" i="1"/>
  <c r="J35" i="1"/>
  <c r="E35" i="1"/>
  <c r="AB34" i="1"/>
  <c r="Z34" i="1"/>
  <c r="N34" i="1"/>
  <c r="M34" i="1"/>
  <c r="L34" i="1"/>
  <c r="K34" i="1"/>
  <c r="J34" i="1"/>
  <c r="E34" i="1"/>
  <c r="AB33" i="1"/>
  <c r="Z33" i="1"/>
  <c r="N33" i="1"/>
  <c r="M33" i="1"/>
  <c r="L33" i="1"/>
  <c r="K33" i="1"/>
  <c r="J33" i="1"/>
  <c r="E33" i="1"/>
  <c r="AB32" i="1"/>
  <c r="Z32" i="1"/>
  <c r="N32" i="1"/>
  <c r="M32" i="1"/>
  <c r="L32" i="1"/>
  <c r="K32" i="1"/>
  <c r="J32" i="1"/>
  <c r="E32" i="1"/>
  <c r="AB31" i="1"/>
  <c r="Z31" i="1"/>
  <c r="N31" i="1"/>
  <c r="M31" i="1"/>
  <c r="L31" i="1"/>
  <c r="K31" i="1"/>
  <c r="J31" i="1"/>
  <c r="E31" i="1"/>
  <c r="AB30" i="1"/>
  <c r="Z30" i="1"/>
  <c r="N30" i="1"/>
  <c r="M30" i="1"/>
  <c r="L30" i="1"/>
  <c r="K30" i="1"/>
  <c r="J30" i="1"/>
  <c r="E30" i="1"/>
  <c r="AB24" i="1"/>
  <c r="Z24" i="1"/>
  <c r="N24" i="1"/>
  <c r="M24" i="1"/>
  <c r="L24" i="1"/>
  <c r="K24" i="1"/>
  <c r="J24" i="1"/>
  <c r="E24" i="1"/>
  <c r="AB23" i="1"/>
  <c r="Z23" i="1"/>
  <c r="N23" i="1"/>
  <c r="M23" i="1"/>
  <c r="L23" i="1"/>
  <c r="K23" i="1"/>
  <c r="J23" i="1"/>
  <c r="E23" i="1"/>
  <c r="AB22" i="1"/>
  <c r="Z22" i="1"/>
  <c r="N22" i="1"/>
  <c r="M22" i="1"/>
  <c r="L22" i="1"/>
  <c r="K22" i="1"/>
  <c r="J22" i="1"/>
  <c r="E22" i="1"/>
  <c r="AB21" i="1"/>
  <c r="Z21" i="1"/>
  <c r="N21" i="1"/>
  <c r="M21" i="1"/>
  <c r="L21" i="1"/>
  <c r="K21" i="1"/>
  <c r="J21" i="1"/>
  <c r="E21" i="1"/>
  <c r="AB20" i="1"/>
  <c r="Z20" i="1"/>
  <c r="N20" i="1"/>
  <c r="M20" i="1"/>
  <c r="L20" i="1"/>
  <c r="K20" i="1"/>
  <c r="J20" i="1"/>
  <c r="E20" i="1"/>
  <c r="AB19" i="1"/>
  <c r="Z19" i="1"/>
  <c r="N19" i="1"/>
  <c r="M19" i="1"/>
  <c r="L19" i="1"/>
  <c r="K19" i="1"/>
  <c r="J19" i="1"/>
  <c r="E19" i="1"/>
  <c r="AB18" i="1"/>
  <c r="Z18" i="1"/>
  <c r="N18" i="1"/>
  <c r="M18" i="1"/>
  <c r="L18" i="1"/>
  <c r="K18" i="1"/>
  <c r="J18" i="1"/>
  <c r="E18" i="1"/>
  <c r="AB15" i="1"/>
  <c r="Z15" i="1"/>
  <c r="N15" i="1"/>
  <c r="M15" i="1"/>
  <c r="L15" i="1"/>
  <c r="K15" i="1"/>
  <c r="J15" i="1"/>
  <c r="E15" i="1"/>
  <c r="AB14" i="1"/>
  <c r="Z14" i="1"/>
  <c r="N14" i="1"/>
  <c r="M14" i="1"/>
  <c r="L14" i="1"/>
  <c r="K14" i="1"/>
  <c r="J14" i="1"/>
  <c r="E14" i="1"/>
  <c r="AB13" i="1"/>
  <c r="Z13" i="1"/>
  <c r="N13" i="1"/>
  <c r="M13" i="1"/>
  <c r="L13" i="1"/>
  <c r="K13" i="1"/>
  <c r="J13" i="1"/>
  <c r="E13" i="1"/>
  <c r="AB12" i="1"/>
  <c r="Z12" i="1"/>
  <c r="N12" i="1"/>
  <c r="M12" i="1"/>
  <c r="L12" i="1"/>
  <c r="K12" i="1"/>
  <c r="J12" i="1"/>
  <c r="E12" i="1"/>
  <c r="AB11" i="1"/>
  <c r="Z11" i="1"/>
  <c r="N11" i="1"/>
  <c r="M11" i="1"/>
  <c r="L11" i="1"/>
  <c r="K11" i="1"/>
  <c r="J11" i="1"/>
  <c r="E11" i="1"/>
  <c r="AB10" i="1"/>
  <c r="Z10" i="1"/>
  <c r="N10" i="1"/>
  <c r="M10" i="1"/>
  <c r="L10" i="1"/>
  <c r="K10" i="1"/>
  <c r="J10" i="1"/>
  <c r="E10" i="1"/>
  <c r="AB9" i="1"/>
  <c r="Z9" i="1"/>
  <c r="N9" i="1"/>
  <c r="M9" i="1"/>
  <c r="L9" i="1"/>
  <c r="K9" i="1"/>
  <c r="J9" i="1"/>
  <c r="E9" i="1"/>
  <c r="AB8" i="1"/>
  <c r="Z8" i="1"/>
  <c r="N8" i="1"/>
  <c r="M8" i="1"/>
  <c r="L8" i="1"/>
  <c r="K8" i="1"/>
  <c r="J8" i="1"/>
  <c r="E8" i="1"/>
  <c r="AB7" i="1"/>
  <c r="Z7" i="1"/>
  <c r="N7" i="1"/>
  <c r="M7" i="1"/>
  <c r="L7" i="1"/>
  <c r="K7" i="1"/>
  <c r="J7" i="1"/>
  <c r="E7" i="1"/>
  <c r="AB6" i="1"/>
  <c r="Z6" i="1"/>
  <c r="N6" i="1"/>
  <c r="M6" i="1"/>
  <c r="L6" i="1"/>
  <c r="K6" i="1"/>
  <c r="J6" i="1"/>
  <c r="E6" i="1"/>
  <c r="AB5" i="1"/>
  <c r="Z5" i="1"/>
  <c r="N5" i="1"/>
  <c r="M5" i="1"/>
  <c r="L5" i="1"/>
  <c r="K5" i="1"/>
  <c r="J5" i="1"/>
  <c r="E5" i="1"/>
  <c r="AB4" i="1"/>
  <c r="Z4" i="1"/>
  <c r="N4" i="1"/>
  <c r="M4" i="1"/>
  <c r="L4" i="1"/>
  <c r="K4" i="1"/>
  <c r="J4" i="1"/>
  <c r="E4" i="1"/>
  <c r="AB3" i="1"/>
  <c r="Z3" i="1"/>
  <c r="N3" i="1"/>
  <c r="M3" i="1"/>
  <c r="L3" i="1"/>
  <c r="K3" i="1"/>
  <c r="J3" i="1"/>
  <c r="E3" i="1"/>
  <c r="AB2" i="1"/>
  <c r="Z2" i="1"/>
  <c r="N2" i="1"/>
  <c r="M2" i="1"/>
  <c r="L2" i="1"/>
  <c r="K2" i="1"/>
  <c r="J2" i="1"/>
  <c r="E2" i="1"/>
  <c r="E44" i="2"/>
  <c r="D44" i="2"/>
  <c r="B44" i="2"/>
  <c r="E43" i="2"/>
  <c r="D43" i="2"/>
  <c r="B43" i="2"/>
  <c r="E42" i="2"/>
  <c r="D42" i="2"/>
  <c r="B42" i="2"/>
  <c r="E41" i="2"/>
  <c r="D41" i="2"/>
  <c r="B41" i="2"/>
  <c r="E40" i="2"/>
  <c r="D40" i="2"/>
  <c r="B40" i="2"/>
  <c r="E39" i="2"/>
  <c r="D39" i="2"/>
  <c r="B39" i="2"/>
  <c r="E38" i="2"/>
  <c r="D38" i="2"/>
  <c r="B38" i="2"/>
  <c r="E37" i="2"/>
  <c r="D37" i="2"/>
  <c r="B37" i="2"/>
  <c r="E36" i="2"/>
  <c r="D36" i="2"/>
  <c r="B36" i="2"/>
  <c r="E35" i="2"/>
  <c r="D35" i="2"/>
  <c r="B35" i="2"/>
  <c r="E34" i="2"/>
  <c r="D34" i="2"/>
  <c r="B34" i="2"/>
  <c r="E33" i="2"/>
  <c r="D33" i="2"/>
  <c r="B33" i="2"/>
  <c r="E32" i="2"/>
  <c r="D32" i="2"/>
  <c r="B32" i="2"/>
  <c r="E31" i="2"/>
  <c r="D31" i="2"/>
  <c r="B31" i="2"/>
  <c r="E30" i="2"/>
  <c r="D30" i="2"/>
  <c r="B30" i="2"/>
  <c r="E29" i="2"/>
  <c r="D29" i="2"/>
  <c r="B29" i="2"/>
  <c r="E28" i="2"/>
  <c r="D28" i="2"/>
  <c r="B28" i="2"/>
  <c r="E27" i="2"/>
  <c r="D27" i="2"/>
  <c r="B27" i="2"/>
  <c r="E26" i="2"/>
  <c r="D26" i="2"/>
  <c r="B26" i="2"/>
  <c r="E25" i="2"/>
  <c r="D25" i="2"/>
  <c r="B25" i="2"/>
  <c r="E24" i="2"/>
  <c r="D24" i="2"/>
  <c r="B24" i="2"/>
  <c r="E23" i="2"/>
  <c r="D23" i="2"/>
  <c r="B23" i="2"/>
  <c r="E22" i="2"/>
  <c r="D22" i="2"/>
  <c r="B22" i="2"/>
  <c r="E21" i="2"/>
  <c r="D21" i="2"/>
  <c r="B21" i="2"/>
  <c r="E20" i="2"/>
  <c r="D20" i="2"/>
  <c r="B20" i="2"/>
  <c r="E19" i="2"/>
  <c r="D19" i="2"/>
  <c r="B19" i="2"/>
  <c r="E18" i="2"/>
  <c r="D18" i="2"/>
  <c r="B18" i="2"/>
  <c r="E17" i="2"/>
  <c r="D17" i="2"/>
  <c r="B17" i="2"/>
  <c r="E16" i="2"/>
  <c r="D16" i="2"/>
  <c r="B16" i="2"/>
  <c r="E15" i="2"/>
  <c r="D15" i="2"/>
  <c r="B15" i="2"/>
  <c r="E12" i="2"/>
  <c r="D12" i="2"/>
  <c r="B12" i="2"/>
  <c r="E11" i="2"/>
  <c r="D11" i="2"/>
  <c r="B11" i="2"/>
  <c r="E10" i="2"/>
  <c r="D10" i="2"/>
  <c r="B10" i="2"/>
  <c r="E8" i="2"/>
  <c r="D8" i="2"/>
  <c r="B8" i="2"/>
  <c r="E7" i="2"/>
  <c r="D7" i="2"/>
  <c r="B7" i="2"/>
  <c r="E6" i="2"/>
  <c r="D6" i="2"/>
  <c r="B6" i="2"/>
  <c r="E5" i="2"/>
  <c r="D5" i="2"/>
  <c r="B5" i="2"/>
  <c r="E4" i="2"/>
  <c r="D4" i="2"/>
  <c r="B4" i="2"/>
  <c r="E3" i="2"/>
  <c r="D3" i="2"/>
  <c r="B3" i="2"/>
  <c r="W3" i="6"/>
  <c r="V3" i="6"/>
  <c r="U3" i="6"/>
  <c r="T3" i="6"/>
  <c r="S3" i="6"/>
  <c r="B2" i="2"/>
  <c r="E2" i="2"/>
  <c r="D2" i="2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<sst xmlns="http://schemas.openxmlformats.org/spreadsheetml/2006/main" count="76" uniqueCount="58">
  <si>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</si>
  <si>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</si>
  <si>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</si>
  <si>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</si>
  <si>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</si>
  <si>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</si>
  <si>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</si>
  <si>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</si>
  <si>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</si>
  <si>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</si>
  <si>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</si>
  <si>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</si>
  <si>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</si>
  <si>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</si>
  <si>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</si>
  <si>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</si>
  <si>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</si>
  <si>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</si>
  <si>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</si>
  <si>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</si>
  <si>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</si>
  <si>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</si>
  <si>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</si>
  <si>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</si>
  <si>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</si>
  <si>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</si>
  <si>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</si>
  <si>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</si>
  <si>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</si>
  <si>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</si>
  <si>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</si>
  <si>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</si>
  <si>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</si>
  <si>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</si>
  <si>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</si>
  <si>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</si>
  <si>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</si>
  <si>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</si>
  <si>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</si>
  <si>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</si>
  <si>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</si>
  <si>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</si>
  <si>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</si>
  <si>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</si>
  <si>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</si>
  <si>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</si>
  <si>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</si>
  <si>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</si>
  <si>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drop_unit_rate</t>
    <phoneticPr fontId="4"/>
  </si>
  <si>
    <t>drop_unit_id</t>
    <phoneticPr fontId="4"/>
  </si>
  <si>
    <t>drop_unit_rate</t>
    <phoneticPr fontId="4"/>
  </si>
  <si>
    <t>total_size_max</t>
    <phoneticPr fontId="4"/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</si>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</sst>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2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822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10" fillId="0" borderId="0" xfId="11" applyFont="1" applyFill="1" applyBorder="1"/>
    <xf numFmtId="0" fontId="3" fillId="3" borderId="7" xfId="0" applyFont="1" applyFill="1" applyBorder="1" applyAlignment="1">
      <alignment horizontal="center" vertical="center"/>
    </xf>
    <xf numFmtId="0" fontId="11" fillId="8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12" fillId="8" borderId="0" xfId="0" applyFont="1" applyFill="1"/>
    <xf numFmtId="0" fontId="13" fillId="8" borderId="0" xfId="11" applyFont="1" applyFill="1" applyBorder="1"/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5" fillId="0" borderId="7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8" fontId="7" fillId="0" borderId="4" xfId="0" applyNumberFormat="1" applyFont="1" applyBorder="1" applyAlignment="1">
      <alignment vertical="center"/>
    </xf>
    <xf numFmtId="0" fontId="1" fillId="6" borderId="0" xfId="11" applyFont="1" applyFill="1"/>
    <xf numFmtId="178" fontId="7" fillId="0" borderId="4" xfId="0" applyNumberFormat="1" applyFont="1" applyFill="1" applyBorder="1" applyAlignment="1">
      <alignment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14" fillId="9" borderId="7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vertical="center"/>
    </xf>
    <xf numFmtId="0" fontId="5" fillId="9" borderId="7" xfId="0" applyFont="1" applyFill="1" applyBorder="1" applyAlignment="1">
      <alignment vertical="center"/>
    </xf>
    <xf numFmtId="0" fontId="5" fillId="10" borderId="3" xfId="0" applyFont="1" applyFill="1" applyBorder="1" applyAlignment="1">
      <alignment vertical="center"/>
    </xf>
    <xf numFmtId="0" fontId="16" fillId="9" borderId="7" xfId="0" applyFont="1" applyFill="1" applyBorder="1" applyAlignment="1">
      <alignment vertical="center"/>
    </xf>
    <xf numFmtId="0" fontId="5" fillId="10" borderId="9" xfId="0" applyFont="1" applyFill="1" applyBorder="1" applyAlignment="1">
      <alignment vertical="center"/>
    </xf>
    <xf numFmtId="178" fontId="7" fillId="9" borderId="4" xfId="0" applyNumberFormat="1" applyFont="1" applyFill="1" applyBorder="1" applyAlignment="1">
      <alignment vertical="center"/>
    </xf>
  </cellXfs>
  <cellStyles count="822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quest_bonuses"/>
      <sheetName val="automatic_quest_bonuses"/>
      <sheetName val="quests.csv"/>
      <sheetName val="quests_i18n.csv"/>
      <sheetName val="stages.csv"/>
      <sheetName val="stages_i18n.csv"/>
      <sheetName val="weekly_quests.csv"/>
      <sheetName val="rank_quests.csv"/>
      <sheetName val="event_quests.csv"/>
      <sheetName val="guerilla_quests.csv"/>
      <sheetName val="noon_guerilla_times.csv"/>
      <sheetName val="night_guerilla_times.csv"/>
      <sheetName val="quest_bonuses.csv"/>
      <sheetName val="automatic_quest_bonuses.csv"/>
    </sheetNames>
    <sheetDataSet>
      <sheetData sheetId="0"/>
      <sheetData sheetId="1">
        <row r="1">
          <cell r="A1" t="str">
            <v>quest_id</v>
          </cell>
          <cell r="B1" t="str">
            <v>quest_type</v>
          </cell>
          <cell r="C1" t="str">
            <v>name</v>
          </cell>
          <cell r="D1" t="str">
            <v>detail</v>
          </cell>
          <cell r="E1" t="str">
            <v>valid_flg</v>
          </cell>
          <cell r="F1" t="str">
            <v>位置付け</v>
          </cell>
          <cell r="G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12001</v>
          </cell>
        </row>
        <row r="56">
          <cell r="A56">
            <v>13001</v>
          </cell>
        </row>
        <row r="57">
          <cell r="A57">
            <v>20001</v>
          </cell>
        </row>
        <row r="58">
          <cell r="A58">
            <v>20002</v>
          </cell>
        </row>
        <row r="59">
          <cell r="A59">
            <v>20003</v>
          </cell>
        </row>
        <row r="60">
          <cell r="A60">
            <v>20004</v>
          </cell>
        </row>
        <row r="61">
          <cell r="A61">
            <v>20005</v>
          </cell>
        </row>
        <row r="62">
          <cell r="A62">
            <v>20006</v>
          </cell>
        </row>
        <row r="63">
          <cell r="A63">
            <v>20007</v>
          </cell>
        </row>
        <row r="64">
          <cell r="A64">
            <v>20008</v>
          </cell>
        </row>
        <row r="65">
          <cell r="A65">
            <v>20009</v>
          </cell>
        </row>
        <row r="66">
          <cell r="A66">
            <v>20010</v>
          </cell>
        </row>
        <row r="67">
          <cell r="A67">
            <v>20011</v>
          </cell>
        </row>
        <row r="68">
          <cell r="A68">
            <v>20012</v>
          </cell>
        </row>
        <row r="69">
          <cell r="A69">
            <v>30001</v>
          </cell>
        </row>
        <row r="70">
          <cell r="A70">
            <v>30002</v>
          </cell>
        </row>
        <row r="71">
          <cell r="A71">
            <v>30003</v>
          </cell>
        </row>
        <row r="72">
          <cell r="A72">
            <v>30004</v>
          </cell>
        </row>
        <row r="73">
          <cell r="A73">
            <v>30005</v>
          </cell>
        </row>
        <row r="74">
          <cell r="A74">
            <v>30006</v>
          </cell>
        </row>
        <row r="75">
          <cell r="A75">
            <v>30007</v>
          </cell>
        </row>
        <row r="76">
          <cell r="A76">
            <v>30008</v>
          </cell>
        </row>
        <row r="77">
          <cell r="A77">
            <v>30009</v>
          </cell>
        </row>
        <row r="78">
          <cell r="A78">
            <v>30010</v>
          </cell>
        </row>
        <row r="79">
          <cell r="A79">
            <v>30011</v>
          </cell>
        </row>
        <row r="80">
          <cell r="A80">
            <v>30012</v>
          </cell>
        </row>
        <row r="81">
          <cell r="A81">
            <v>40001</v>
          </cell>
        </row>
        <row r="82">
          <cell r="A82">
            <v>40002</v>
          </cell>
        </row>
        <row r="83">
          <cell r="A83">
            <v>40003</v>
          </cell>
        </row>
      </sheetData>
      <sheetData sheetId="2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name</v>
          </cell>
          <cell r="H2" t="str">
            <v>位置付け</v>
          </cell>
          <cell r="I2" t="str">
            <v>thumbnail_character_id</v>
          </cell>
          <cell r="J2" t="str">
            <v>stamina</v>
          </cell>
          <cell r="K2" t="str">
            <v>rank_exp</v>
          </cell>
          <cell r="L2" t="str">
            <v>red_flg</v>
          </cell>
          <cell r="M2" t="str">
            <v>blue_flg</v>
          </cell>
          <cell r="N2" t="str">
            <v>green_flg</v>
          </cell>
          <cell r="O2" t="str">
            <v>yellow_flg</v>
          </cell>
          <cell r="P2" t="str">
            <v>heal_flg</v>
          </cell>
          <cell r="Q2" t="str">
            <v>attack_count</v>
          </cell>
          <cell r="R2" t="str">
            <v>treasure_type</v>
          </cell>
          <cell r="S2" t="str">
            <v>treasure_value</v>
          </cell>
          <cell r="T2" t="str">
            <v>prev_quest_id</v>
          </cell>
          <cell r="U2" t="str">
            <v>prev_stage_id</v>
          </cell>
          <cell r="V2" t="str">
            <v>name</v>
          </cell>
          <cell r="W2" t="str">
            <v>completable_time</v>
          </cell>
          <cell r="X2" t="str">
            <v>background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12001_1</v>
          </cell>
        </row>
        <row r="216">
          <cell r="A216" t="str">
            <v>12001_2</v>
          </cell>
        </row>
        <row r="217">
          <cell r="A217" t="str">
            <v>13001_1</v>
          </cell>
        </row>
        <row r="218">
          <cell r="A218" t="str">
            <v>13001_2</v>
          </cell>
        </row>
        <row r="219">
          <cell r="A219" t="str">
            <v>13001_3</v>
          </cell>
        </row>
        <row r="220">
          <cell r="A220" t="str">
            <v>13001_4</v>
          </cell>
        </row>
        <row r="221">
          <cell r="A221" t="str">
            <v>13001_5</v>
          </cell>
        </row>
        <row r="222">
          <cell r="A222" t="str">
            <v>13001_6</v>
          </cell>
        </row>
        <row r="223">
          <cell r="A223" t="str">
            <v>13001_7</v>
          </cell>
        </row>
        <row r="224">
          <cell r="A224" t="str">
            <v>13001_8</v>
          </cell>
        </row>
        <row r="225">
          <cell r="A225" t="str">
            <v>13001_9</v>
          </cell>
        </row>
        <row r="226">
          <cell r="A226" t="str">
            <v>13001_10</v>
          </cell>
        </row>
        <row r="227">
          <cell r="A227" t="str">
            <v>13001_11</v>
          </cell>
        </row>
        <row r="228">
          <cell r="A228" t="str">
            <v>13001_12</v>
          </cell>
        </row>
        <row r="229">
          <cell r="A229" t="str">
            <v>13001_13</v>
          </cell>
        </row>
        <row r="230">
          <cell r="A230" t="str">
            <v>13001_14</v>
          </cell>
        </row>
        <row r="231">
          <cell r="A231" t="str">
            <v>13001_15</v>
          </cell>
        </row>
        <row r="232">
          <cell r="A232" t="str">
            <v>13001_16</v>
          </cell>
        </row>
        <row r="233">
          <cell r="A233" t="str">
            <v>13001_17</v>
          </cell>
        </row>
        <row r="234">
          <cell r="A234" t="str">
            <v>13001_18</v>
          </cell>
        </row>
        <row r="235">
          <cell r="A235" t="str">
            <v>13001_19</v>
          </cell>
        </row>
        <row r="236">
          <cell r="A236" t="str">
            <v>13001_20</v>
          </cell>
        </row>
        <row r="237">
          <cell r="A237" t="str">
            <v>13001_21</v>
          </cell>
        </row>
        <row r="238">
          <cell r="A238" t="str">
            <v>13001_22</v>
          </cell>
        </row>
        <row r="239">
          <cell r="A239" t="str">
            <v>13001_23</v>
          </cell>
        </row>
        <row r="240">
          <cell r="A240" t="str">
            <v>13001_24</v>
          </cell>
        </row>
        <row r="241">
          <cell r="A241" t="str">
            <v>13001_25</v>
          </cell>
        </row>
        <row r="242">
          <cell r="A242" t="str">
            <v>20001_1</v>
          </cell>
        </row>
        <row r="243">
          <cell r="A243" t="str">
            <v>20001_2</v>
          </cell>
        </row>
        <row r="244">
          <cell r="A244" t="str">
            <v>20001_3</v>
          </cell>
        </row>
        <row r="245">
          <cell r="A245" t="str">
            <v>20002_1</v>
          </cell>
        </row>
        <row r="246">
          <cell r="A246" t="str">
            <v>20002_2</v>
          </cell>
        </row>
        <row r="247">
          <cell r="A247" t="str">
            <v>20002_3</v>
          </cell>
        </row>
        <row r="248">
          <cell r="A248" t="str">
            <v>20003_1</v>
          </cell>
        </row>
        <row r="249">
          <cell r="A249" t="str">
            <v>20003_2</v>
          </cell>
        </row>
        <row r="250">
          <cell r="A250" t="str">
            <v>20003_3</v>
          </cell>
        </row>
        <row r="251">
          <cell r="A251" t="str">
            <v>20004_1</v>
          </cell>
        </row>
        <row r="252">
          <cell r="A252" t="str">
            <v>20004_2</v>
          </cell>
        </row>
        <row r="253">
          <cell r="A253" t="str">
            <v>20004_3</v>
          </cell>
        </row>
        <row r="254">
          <cell r="A254" t="str">
            <v>20005_1</v>
          </cell>
        </row>
        <row r="255">
          <cell r="A255" t="str">
            <v>20005_2</v>
          </cell>
        </row>
        <row r="256">
          <cell r="A256" t="str">
            <v>20005_3</v>
          </cell>
        </row>
        <row r="257">
          <cell r="A257" t="str">
            <v>20006_1</v>
          </cell>
        </row>
        <row r="258">
          <cell r="A258" t="str">
            <v>20006_2</v>
          </cell>
        </row>
        <row r="259">
          <cell r="A259" t="str">
            <v>20006_3</v>
          </cell>
        </row>
        <row r="260">
          <cell r="A260" t="str">
            <v>20007_1</v>
          </cell>
        </row>
        <row r="261">
          <cell r="A261" t="str">
            <v>20007_2</v>
          </cell>
        </row>
        <row r="262">
          <cell r="A262" t="str">
            <v>20007_3</v>
          </cell>
        </row>
        <row r="263">
          <cell r="A263" t="str">
            <v>20008_1</v>
          </cell>
        </row>
        <row r="264">
          <cell r="A264" t="str">
            <v>20008_2</v>
          </cell>
        </row>
        <row r="265">
          <cell r="A265" t="str">
            <v>20008_3</v>
          </cell>
        </row>
        <row r="266">
          <cell r="A266" t="str">
            <v>20009_1</v>
          </cell>
        </row>
        <row r="267">
          <cell r="A267" t="str">
            <v>20009_2</v>
          </cell>
        </row>
        <row r="268">
          <cell r="A268" t="str">
            <v>20009_3</v>
          </cell>
        </row>
        <row r="269">
          <cell r="A269" t="str">
            <v>20010_1</v>
          </cell>
        </row>
        <row r="270">
          <cell r="A270" t="str">
            <v>20010_2</v>
          </cell>
        </row>
        <row r="271">
          <cell r="A271" t="str">
            <v>20010_3</v>
          </cell>
        </row>
        <row r="272">
          <cell r="A272" t="str">
            <v>20011_1</v>
          </cell>
        </row>
        <row r="273">
          <cell r="A273" t="str">
            <v>20011_2</v>
          </cell>
        </row>
        <row r="274">
          <cell r="A274" t="str">
            <v>20011_3</v>
          </cell>
        </row>
        <row r="275">
          <cell r="A275" t="str">
            <v>20012_1</v>
          </cell>
        </row>
        <row r="276">
          <cell r="A276" t="str">
            <v>20012_2</v>
          </cell>
        </row>
        <row r="277">
          <cell r="A277" t="str">
            <v>20012_3</v>
          </cell>
        </row>
        <row r="278">
          <cell r="A278" t="str">
            <v>30001_1</v>
          </cell>
        </row>
        <row r="279">
          <cell r="A279" t="str">
            <v>30001_2</v>
          </cell>
        </row>
        <row r="280">
          <cell r="A280" t="str">
            <v>30001_3</v>
          </cell>
        </row>
        <row r="281">
          <cell r="A281" t="str">
            <v>30002_1</v>
          </cell>
        </row>
        <row r="282">
          <cell r="A282" t="str">
            <v>30002_2</v>
          </cell>
        </row>
        <row r="283">
          <cell r="A283" t="str">
            <v>30002_3</v>
          </cell>
        </row>
        <row r="284">
          <cell r="A284" t="str">
            <v>30003_1</v>
          </cell>
        </row>
        <row r="285">
          <cell r="A285" t="str">
            <v>30003_2</v>
          </cell>
        </row>
        <row r="286">
          <cell r="A286" t="str">
            <v>30003_3</v>
          </cell>
        </row>
        <row r="287">
          <cell r="A287" t="str">
            <v>30004_1</v>
          </cell>
        </row>
        <row r="288">
          <cell r="A288" t="str">
            <v>30004_2</v>
          </cell>
        </row>
        <row r="289">
          <cell r="A289" t="str">
            <v>30004_3</v>
          </cell>
        </row>
        <row r="290">
          <cell r="A290" t="str">
            <v>30005_1</v>
          </cell>
        </row>
        <row r="291">
          <cell r="A291" t="str">
            <v>30005_2</v>
          </cell>
        </row>
        <row r="292">
          <cell r="A292" t="str">
            <v>30005_3</v>
          </cell>
        </row>
        <row r="293">
          <cell r="A293" t="str">
            <v>30006_1</v>
          </cell>
        </row>
        <row r="294">
          <cell r="A294" t="str">
            <v>30006_2</v>
          </cell>
        </row>
        <row r="295">
          <cell r="A295" t="str">
            <v>30006_3</v>
          </cell>
        </row>
        <row r="296">
          <cell r="A296" t="str">
            <v>30007_1</v>
          </cell>
        </row>
        <row r="297">
          <cell r="A297" t="str">
            <v>30007_2</v>
          </cell>
        </row>
        <row r="298">
          <cell r="A298" t="str">
            <v>30007_3</v>
          </cell>
        </row>
        <row r="299">
          <cell r="A299" t="str">
            <v>30008_1</v>
          </cell>
        </row>
        <row r="300">
          <cell r="A300" t="str">
            <v>30008_2</v>
          </cell>
        </row>
        <row r="301">
          <cell r="A301" t="str">
            <v>30008_3</v>
          </cell>
        </row>
        <row r="302">
          <cell r="A302" t="str">
            <v>30009_1</v>
          </cell>
        </row>
        <row r="303">
          <cell r="A303" t="str">
            <v>30009_2</v>
          </cell>
        </row>
        <row r="304">
          <cell r="A304" t="str">
            <v>30009_3</v>
          </cell>
        </row>
        <row r="305">
          <cell r="A305" t="str">
            <v>30010_1</v>
          </cell>
        </row>
        <row r="306">
          <cell r="A306" t="str">
            <v>30010_2</v>
          </cell>
        </row>
        <row r="307">
          <cell r="A307" t="str">
            <v>30010_3</v>
          </cell>
        </row>
        <row r="308">
          <cell r="A308" t="str">
            <v>30011_1</v>
          </cell>
        </row>
        <row r="309">
          <cell r="A309" t="str">
            <v>30011_2</v>
          </cell>
        </row>
        <row r="310">
          <cell r="A310" t="str">
            <v>30011_3</v>
          </cell>
        </row>
        <row r="311">
          <cell r="A311" t="str">
            <v>30012_1</v>
          </cell>
        </row>
        <row r="312">
          <cell r="A312" t="str">
            <v>30012_2</v>
          </cell>
        </row>
        <row r="313">
          <cell r="A313" t="str">
            <v>30012_3</v>
          </cell>
        </row>
        <row r="314">
          <cell r="A314" t="str">
            <v>40001_1</v>
          </cell>
        </row>
        <row r="315">
          <cell r="A315" t="str">
            <v>40002_1</v>
          </cell>
        </row>
        <row r="316">
          <cell r="A316" t="str">
            <v>40003_1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nemies"/>
      <sheetName val="enemy_base_stats"/>
      <sheetName val="enemies.csv"/>
      <sheetName val="enemy_base_stats.dat"/>
      <sheetName val="enemy_levels_calc.dat"/>
      <sheetName val="サイズ別係数"/>
      <sheetName val="ラベル別係数"/>
      <sheetName val="ターン数別攻撃係数"/>
      <sheetName val="特殊モンスターレベル"/>
    </sheetNames>
    <sheetDataSet>
      <sheetData sheetId="0">
        <row r="1">
          <cell r="A1" t="str">
            <v>別ファイル</v>
          </cell>
        </row>
        <row r="2">
          <cell r="A2" t="str">
            <v>character_id</v>
          </cell>
          <cell r="B2" t="str">
            <v>name</v>
          </cell>
          <cell r="C2" t="str">
            <v>rare</v>
          </cell>
          <cell r="D2" t="str">
            <v>color</v>
          </cell>
          <cell r="E2" t="str">
            <v>HP係数</v>
          </cell>
          <cell r="F2" t="str">
            <v>攻撃係数</v>
          </cell>
          <cell r="G2" t="str">
            <v>防御系数</v>
          </cell>
          <cell r="H2" t="str">
            <v>character_type_id</v>
          </cell>
          <cell r="I2" t="str">
            <v>name</v>
          </cell>
          <cell r="J2" t="str">
            <v>HP係数</v>
          </cell>
          <cell r="K2" t="str">
            <v>攻撃係数</v>
          </cell>
          <cell r="L2" t="str">
            <v>防御係数</v>
          </cell>
          <cell r="M2" t="str">
            <v>character_main_tribe_id</v>
          </cell>
          <cell r="N2" t="str">
            <v>name</v>
          </cell>
          <cell r="O2" t="str">
            <v>HP係数</v>
          </cell>
          <cell r="P2" t="str">
            <v>攻撃係数</v>
          </cell>
          <cell r="Q2" t="str">
            <v>防御係数</v>
          </cell>
          <cell r="R2" t="str">
            <v>ラベル</v>
          </cell>
          <cell r="S2" t="str">
            <v>HP係数</v>
          </cell>
          <cell r="T2" t="str">
            <v>攻撃係数</v>
          </cell>
          <cell r="U2" t="str">
            <v>防御係数</v>
          </cell>
          <cell r="V2" t="str">
            <v>speed</v>
          </cell>
          <cell r="W2" t="str">
            <v>攻撃系数</v>
          </cell>
          <cell r="X2" t="str">
            <v>size</v>
          </cell>
          <cell r="Y2" t="str">
            <v>HP係数</v>
          </cell>
          <cell r="Z2" t="str">
            <v>攻撃係数</v>
          </cell>
          <cell r="AA2" t="str">
            <v>防御係数</v>
          </cell>
          <cell r="AB2" t="str">
            <v>skill_set_id</v>
          </cell>
          <cell r="AC2" t="str">
            <v>comment</v>
          </cell>
          <cell r="AD2" t="str">
            <v>HP係数</v>
          </cell>
          <cell r="AE2" t="str">
            <v>攻撃係数</v>
          </cell>
          <cell r="AF2" t="str">
            <v>防御係数</v>
          </cell>
          <cell r="AG2" t="str">
            <v>min_hp</v>
          </cell>
          <cell r="AH2" t="str">
            <v>min_attack</v>
          </cell>
          <cell r="AI2" t="str">
            <v>min_defense</v>
          </cell>
          <cell r="AJ2" t="str">
            <v>max_hp</v>
          </cell>
          <cell r="AK2" t="str">
            <v>max_attack</v>
          </cell>
          <cell r="AL2" t="str">
            <v>max_defense</v>
          </cell>
          <cell r="AM2" t="str">
            <v>base_reward_bits</v>
          </cell>
          <cell r="AN2" t="str">
            <v>base_reward_exp</v>
          </cell>
          <cell r="AO2" t="str">
            <v>skip</v>
          </cell>
          <cell r="AP2" t="str">
            <v>level_test</v>
          </cell>
          <cell r="AQ2" t="str">
            <v>enemy_id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特殊効果"/>
      <sheetName val="スキル仕様"/>
      <sheetName val="enemy_skills"/>
      <sheetName val="enemy_skill_triggers"/>
      <sheetName val="enemy_skill_sets"/>
      <sheetName val="enemy_skills.csv"/>
      <sheetName val="enemy_skills_i18n.csv"/>
      <sheetName val="enemy_skill_triggers.csv"/>
      <sheetName val="enemy_skill_sets.csv"/>
    </sheetNames>
    <sheetDataSet>
      <sheetData sheetId="0"/>
      <sheetData sheetId="1"/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備考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36</v>
          </cell>
        </row>
        <row r="11">
          <cell r="B11">
            <v>36</v>
          </cell>
        </row>
        <row r="12">
          <cell r="B12">
            <v>37</v>
          </cell>
        </row>
        <row r="13">
          <cell r="B13">
            <v>37</v>
          </cell>
        </row>
        <row r="14">
          <cell r="B14">
            <v>38</v>
          </cell>
        </row>
        <row r="15">
          <cell r="B15">
            <v>38</v>
          </cell>
        </row>
        <row r="16">
          <cell r="B16">
            <v>39</v>
          </cell>
        </row>
        <row r="17">
          <cell r="B17">
            <v>40</v>
          </cell>
        </row>
        <row r="18">
          <cell r="B18">
            <v>42</v>
          </cell>
        </row>
        <row r="19">
          <cell r="B19">
            <v>46</v>
          </cell>
        </row>
        <row r="20">
          <cell r="B20">
            <v>49</v>
          </cell>
        </row>
        <row r="21">
          <cell r="B21">
            <v>50</v>
          </cell>
        </row>
        <row r="22">
          <cell r="B22">
            <v>51</v>
          </cell>
        </row>
        <row r="23">
          <cell r="B23">
            <v>53</v>
          </cell>
        </row>
        <row r="24">
          <cell r="B24">
            <v>55</v>
          </cell>
        </row>
        <row r="25">
          <cell r="B25">
            <v>56</v>
          </cell>
        </row>
        <row r="26">
          <cell r="B26">
            <v>57</v>
          </cell>
        </row>
        <row r="27">
          <cell r="B27">
            <v>59</v>
          </cell>
        </row>
        <row r="28">
          <cell r="B28">
            <v>6001</v>
          </cell>
        </row>
        <row r="29">
          <cell r="B29">
            <v>61</v>
          </cell>
        </row>
        <row r="30">
          <cell r="B30">
            <v>62</v>
          </cell>
        </row>
        <row r="31">
          <cell r="B31">
            <v>63</v>
          </cell>
        </row>
        <row r="32">
          <cell r="B32">
            <v>64</v>
          </cell>
        </row>
        <row r="33">
          <cell r="B33">
            <v>65</v>
          </cell>
        </row>
        <row r="34">
          <cell r="B34">
            <v>66</v>
          </cell>
        </row>
        <row r="35">
          <cell r="B35">
            <v>67</v>
          </cell>
        </row>
        <row r="36">
          <cell r="B36">
            <v>68</v>
          </cell>
        </row>
        <row r="37">
          <cell r="B37">
            <v>69</v>
          </cell>
        </row>
        <row r="38">
          <cell r="B38">
            <v>71</v>
          </cell>
        </row>
        <row r="39">
          <cell r="B39">
            <v>1071</v>
          </cell>
        </row>
        <row r="40">
          <cell r="B40">
            <v>72</v>
          </cell>
        </row>
        <row r="41">
          <cell r="B41">
            <v>74</v>
          </cell>
        </row>
        <row r="42">
          <cell r="B42">
            <v>75</v>
          </cell>
        </row>
        <row r="43">
          <cell r="B43">
            <v>76</v>
          </cell>
        </row>
        <row r="44">
          <cell r="B44">
            <v>77</v>
          </cell>
        </row>
        <row r="45">
          <cell r="B45">
            <v>79</v>
          </cell>
        </row>
        <row r="46">
          <cell r="B46">
            <v>81</v>
          </cell>
        </row>
        <row r="47">
          <cell r="B47">
            <v>83</v>
          </cell>
        </row>
        <row r="48">
          <cell r="B48">
            <v>85</v>
          </cell>
        </row>
        <row r="49">
          <cell r="B49">
            <v>86</v>
          </cell>
        </row>
        <row r="50">
          <cell r="B50">
            <v>88</v>
          </cell>
        </row>
        <row r="51">
          <cell r="B51">
            <v>89</v>
          </cell>
        </row>
        <row r="52">
          <cell r="B52">
            <v>9501</v>
          </cell>
        </row>
        <row r="53">
          <cell r="B53">
            <v>11701</v>
          </cell>
        </row>
        <row r="54">
          <cell r="B54">
            <v>11701</v>
          </cell>
        </row>
        <row r="55">
          <cell r="B55">
            <v>11702</v>
          </cell>
        </row>
        <row r="56">
          <cell r="B56">
            <v>11703</v>
          </cell>
        </row>
        <row r="57">
          <cell r="B57">
            <v>11704</v>
          </cell>
        </row>
        <row r="58">
          <cell r="B58">
            <v>11801</v>
          </cell>
        </row>
        <row r="59">
          <cell r="B59">
            <v>11802</v>
          </cell>
        </row>
        <row r="60">
          <cell r="B60">
            <v>11803</v>
          </cell>
        </row>
        <row r="61">
          <cell r="B61">
            <v>11901</v>
          </cell>
        </row>
        <row r="62">
          <cell r="B62">
            <v>11902</v>
          </cell>
        </row>
        <row r="63">
          <cell r="B63">
            <v>11903</v>
          </cell>
        </row>
        <row r="64">
          <cell r="B64">
            <v>126</v>
          </cell>
        </row>
        <row r="65">
          <cell r="B65">
            <v>12701</v>
          </cell>
        </row>
        <row r="66">
          <cell r="B66">
            <v>128</v>
          </cell>
        </row>
        <row r="67">
          <cell r="B67">
            <v>12801</v>
          </cell>
        </row>
        <row r="68">
          <cell r="B68">
            <v>130</v>
          </cell>
        </row>
        <row r="69">
          <cell r="B69">
            <v>13101</v>
          </cell>
        </row>
        <row r="70">
          <cell r="B70">
            <v>13101</v>
          </cell>
        </row>
        <row r="71">
          <cell r="B71">
            <v>13101</v>
          </cell>
        </row>
        <row r="72">
          <cell r="B72">
            <v>132</v>
          </cell>
        </row>
        <row r="73">
          <cell r="B73">
            <v>13301</v>
          </cell>
        </row>
        <row r="74">
          <cell r="B74">
            <v>13301</v>
          </cell>
        </row>
        <row r="75">
          <cell r="B75">
            <v>13301</v>
          </cell>
        </row>
        <row r="76">
          <cell r="B76">
            <v>13301</v>
          </cell>
        </row>
        <row r="77">
          <cell r="B77">
            <v>134</v>
          </cell>
        </row>
        <row r="78">
          <cell r="B78">
            <v>136</v>
          </cell>
        </row>
        <row r="79">
          <cell r="B79">
            <v>139</v>
          </cell>
        </row>
        <row r="80">
          <cell r="B80">
            <v>140</v>
          </cell>
        </row>
        <row r="81">
          <cell r="B81">
            <v>141</v>
          </cell>
        </row>
        <row r="82">
          <cell r="B82">
            <v>10141</v>
          </cell>
        </row>
        <row r="83">
          <cell r="B83">
            <v>14201</v>
          </cell>
        </row>
        <row r="84">
          <cell r="B84">
            <v>14301</v>
          </cell>
        </row>
        <row r="85">
          <cell r="B85">
            <v>14301</v>
          </cell>
        </row>
        <row r="86">
          <cell r="B86">
            <v>14301</v>
          </cell>
        </row>
        <row r="87">
          <cell r="B87">
            <v>146</v>
          </cell>
        </row>
        <row r="88">
          <cell r="B88">
            <v>14601</v>
          </cell>
        </row>
        <row r="89">
          <cell r="B89">
            <v>14601</v>
          </cell>
        </row>
        <row r="90">
          <cell r="B90">
            <v>14601</v>
          </cell>
        </row>
        <row r="91">
          <cell r="B91">
            <v>148</v>
          </cell>
        </row>
        <row r="92">
          <cell r="B92">
            <v>148</v>
          </cell>
        </row>
        <row r="93">
          <cell r="B93">
            <v>149</v>
          </cell>
        </row>
        <row r="94">
          <cell r="B94">
            <v>149</v>
          </cell>
        </row>
        <row r="95">
          <cell r="B95">
            <v>151</v>
          </cell>
        </row>
        <row r="96">
          <cell r="B96">
            <v>151</v>
          </cell>
        </row>
        <row r="97">
          <cell r="B97">
            <v>152</v>
          </cell>
        </row>
        <row r="98">
          <cell r="B98">
            <v>152</v>
          </cell>
        </row>
        <row r="99">
          <cell r="B99">
            <v>153</v>
          </cell>
        </row>
        <row r="100">
          <cell r="B100">
            <v>153</v>
          </cell>
        </row>
        <row r="101">
          <cell r="B101">
            <v>153</v>
          </cell>
        </row>
        <row r="102">
          <cell r="B102">
            <v>154</v>
          </cell>
        </row>
        <row r="103">
          <cell r="B103">
            <v>15501</v>
          </cell>
        </row>
        <row r="104">
          <cell r="B104">
            <v>15501</v>
          </cell>
        </row>
        <row r="105">
          <cell r="B105">
            <v>15501</v>
          </cell>
        </row>
        <row r="106">
          <cell r="B106">
            <v>156</v>
          </cell>
        </row>
        <row r="107">
          <cell r="B107">
            <v>156</v>
          </cell>
        </row>
        <row r="108">
          <cell r="B108">
            <v>15601</v>
          </cell>
        </row>
        <row r="109">
          <cell r="B109">
            <v>157</v>
          </cell>
        </row>
        <row r="110">
          <cell r="B110">
            <v>160</v>
          </cell>
        </row>
        <row r="111">
          <cell r="B111">
            <v>16201</v>
          </cell>
        </row>
        <row r="112">
          <cell r="B112">
            <v>164</v>
          </cell>
        </row>
        <row r="113">
          <cell r="B113">
            <v>164</v>
          </cell>
        </row>
        <row r="114">
          <cell r="B114">
            <v>169</v>
          </cell>
        </row>
        <row r="115">
          <cell r="B115">
            <v>172</v>
          </cell>
        </row>
        <row r="116">
          <cell r="B116">
            <v>17001</v>
          </cell>
        </row>
        <row r="117">
          <cell r="B117">
            <v>17001</v>
          </cell>
        </row>
        <row r="118">
          <cell r="B118">
            <v>17001</v>
          </cell>
        </row>
        <row r="119">
          <cell r="B119">
            <v>17001</v>
          </cell>
        </row>
        <row r="120">
          <cell r="B120">
            <v>17601</v>
          </cell>
        </row>
        <row r="121">
          <cell r="B121">
            <v>17601</v>
          </cell>
        </row>
        <row r="122">
          <cell r="B122">
            <v>178</v>
          </cell>
        </row>
        <row r="123">
          <cell r="B123">
            <v>182</v>
          </cell>
        </row>
        <row r="124">
          <cell r="B124">
            <v>18201</v>
          </cell>
        </row>
        <row r="125">
          <cell r="B125">
            <v>18201</v>
          </cell>
        </row>
        <row r="126">
          <cell r="B126">
            <v>184</v>
          </cell>
        </row>
        <row r="127">
          <cell r="B127">
            <v>185</v>
          </cell>
        </row>
        <row r="128">
          <cell r="B128">
            <v>18501</v>
          </cell>
        </row>
        <row r="129">
          <cell r="B129">
            <v>18501</v>
          </cell>
        </row>
        <row r="130">
          <cell r="B130">
            <v>18502</v>
          </cell>
        </row>
        <row r="131">
          <cell r="B131">
            <v>18502</v>
          </cell>
        </row>
        <row r="132">
          <cell r="B132">
            <v>187</v>
          </cell>
        </row>
        <row r="133">
          <cell r="B133">
            <v>18801</v>
          </cell>
        </row>
        <row r="134">
          <cell r="B134">
            <v>18801</v>
          </cell>
        </row>
        <row r="135">
          <cell r="B135">
            <v>18801</v>
          </cell>
        </row>
        <row r="136">
          <cell r="B136">
            <v>18801</v>
          </cell>
        </row>
        <row r="137">
          <cell r="B137">
            <v>18801</v>
          </cell>
        </row>
        <row r="138">
          <cell r="B138">
            <v>193</v>
          </cell>
        </row>
        <row r="139">
          <cell r="B139">
            <v>194</v>
          </cell>
        </row>
        <row r="140">
          <cell r="B140">
            <v>197</v>
          </cell>
        </row>
        <row r="141">
          <cell r="B141">
            <v>198</v>
          </cell>
        </row>
        <row r="142">
          <cell r="B142">
            <v>197</v>
          </cell>
        </row>
        <row r="143">
          <cell r="B143">
            <v>198</v>
          </cell>
        </row>
        <row r="144">
          <cell r="B144">
            <v>10197</v>
          </cell>
        </row>
        <row r="145">
          <cell r="B145">
            <v>199</v>
          </cell>
        </row>
        <row r="146">
          <cell r="B146">
            <v>200</v>
          </cell>
        </row>
        <row r="147">
          <cell r="B147">
            <v>202</v>
          </cell>
        </row>
        <row r="148">
          <cell r="B148">
            <v>203</v>
          </cell>
        </row>
        <row r="149">
          <cell r="B149">
            <v>206</v>
          </cell>
        </row>
        <row r="150">
          <cell r="B150">
            <v>211</v>
          </cell>
        </row>
        <row r="151">
          <cell r="B151">
            <v>212</v>
          </cell>
        </row>
        <row r="152">
          <cell r="B152">
            <v>215</v>
          </cell>
        </row>
        <row r="153">
          <cell r="B153">
            <v>215</v>
          </cell>
        </row>
        <row r="154">
          <cell r="B154">
            <v>219</v>
          </cell>
        </row>
        <row r="155">
          <cell r="B155">
            <v>22101</v>
          </cell>
        </row>
        <row r="156">
          <cell r="B156">
            <v>224</v>
          </cell>
        </row>
        <row r="157">
          <cell r="B157">
            <v>224</v>
          </cell>
        </row>
        <row r="158">
          <cell r="B158">
            <v>229</v>
          </cell>
        </row>
        <row r="159">
          <cell r="B159">
            <v>230</v>
          </cell>
        </row>
        <row r="160">
          <cell r="B160">
            <v>231</v>
          </cell>
        </row>
        <row r="161">
          <cell r="B161">
            <v>232</v>
          </cell>
        </row>
        <row r="162">
          <cell r="B162">
            <v>233</v>
          </cell>
        </row>
        <row r="163">
          <cell r="B163">
            <v>23601</v>
          </cell>
        </row>
        <row r="164">
          <cell r="B164">
            <v>241</v>
          </cell>
        </row>
        <row r="165">
          <cell r="B165">
            <v>24701</v>
          </cell>
        </row>
        <row r="166">
          <cell r="B166">
            <v>24801</v>
          </cell>
        </row>
        <row r="167">
          <cell r="B167">
            <v>254</v>
          </cell>
        </row>
        <row r="168">
          <cell r="B168">
            <v>254</v>
          </cell>
        </row>
        <row r="169">
          <cell r="B169">
            <v>256</v>
          </cell>
        </row>
        <row r="170">
          <cell r="B170">
            <v>257</v>
          </cell>
        </row>
        <row r="171">
          <cell r="B171">
            <v>317</v>
          </cell>
        </row>
        <row r="172">
          <cell r="B172">
            <v>317</v>
          </cell>
        </row>
        <row r="173">
          <cell r="B173">
            <v>317</v>
          </cell>
        </row>
        <row r="174">
          <cell r="B174">
            <v>317</v>
          </cell>
        </row>
        <row r="175">
          <cell r="B175">
            <v>317</v>
          </cell>
        </row>
        <row r="176">
          <cell r="B176">
            <v>317</v>
          </cell>
        </row>
        <row r="177">
          <cell r="B177">
            <v>317</v>
          </cell>
        </row>
        <row r="178">
          <cell r="B178">
            <v>319</v>
          </cell>
        </row>
        <row r="179">
          <cell r="B179">
            <v>319</v>
          </cell>
        </row>
        <row r="180">
          <cell r="B180">
            <v>319</v>
          </cell>
        </row>
        <row r="181">
          <cell r="B181">
            <v>319</v>
          </cell>
        </row>
        <row r="182">
          <cell r="B182">
            <v>319</v>
          </cell>
        </row>
        <row r="183">
          <cell r="B183">
            <v>319</v>
          </cell>
        </row>
        <row r="184">
          <cell r="B184">
            <v>2666</v>
          </cell>
        </row>
        <row r="185">
          <cell r="B185">
            <v>20011</v>
          </cell>
        </row>
        <row r="186">
          <cell r="B186">
            <v>263</v>
          </cell>
        </row>
        <row r="187">
          <cell r="B187">
            <v>266</v>
          </cell>
        </row>
        <row r="188">
          <cell r="B188">
            <v>272</v>
          </cell>
        </row>
        <row r="189">
          <cell r="B189">
            <v>272</v>
          </cell>
        </row>
        <row r="190">
          <cell r="B190">
            <v>272</v>
          </cell>
        </row>
        <row r="191">
          <cell r="B191">
            <v>272</v>
          </cell>
        </row>
        <row r="192">
          <cell r="B192">
            <v>274</v>
          </cell>
        </row>
        <row r="193">
          <cell r="B193">
            <v>275</v>
          </cell>
        </row>
        <row r="194">
          <cell r="B194">
            <v>275</v>
          </cell>
        </row>
        <row r="195">
          <cell r="B195">
            <v>268</v>
          </cell>
        </row>
        <row r="196">
          <cell r="B196">
            <v>264</v>
          </cell>
        </row>
        <row r="197">
          <cell r="B197">
            <v>270</v>
          </cell>
        </row>
        <row r="198">
          <cell r="B198">
            <v>271</v>
          </cell>
        </row>
        <row r="199">
          <cell r="B199">
            <v>271</v>
          </cell>
        </row>
        <row r="200">
          <cell r="B200">
            <v>276</v>
          </cell>
        </row>
        <row r="201">
          <cell r="B201">
            <v>276</v>
          </cell>
        </row>
        <row r="202">
          <cell r="B202">
            <v>277</v>
          </cell>
        </row>
        <row r="203">
          <cell r="B203">
            <v>277</v>
          </cell>
        </row>
        <row r="204">
          <cell r="B204">
            <v>277</v>
          </cell>
        </row>
        <row r="205">
          <cell r="B205">
            <v>1063</v>
          </cell>
        </row>
        <row r="206">
          <cell r="B206">
            <v>1055</v>
          </cell>
        </row>
        <row r="207">
          <cell r="B207">
            <v>2063</v>
          </cell>
        </row>
        <row r="208">
          <cell r="B208">
            <v>1123</v>
          </cell>
        </row>
        <row r="209">
          <cell r="B209">
            <v>1221</v>
          </cell>
        </row>
        <row r="210">
          <cell r="B210">
            <v>1221</v>
          </cell>
        </row>
        <row r="211">
          <cell r="B211">
            <v>1211</v>
          </cell>
        </row>
        <row r="212">
          <cell r="B212">
            <v>1231</v>
          </cell>
        </row>
        <row r="213">
          <cell r="B213">
            <v>1045</v>
          </cell>
        </row>
        <row r="214">
          <cell r="B214">
            <v>278</v>
          </cell>
        </row>
        <row r="215">
          <cell r="B215">
            <v>278</v>
          </cell>
        </row>
        <row r="216">
          <cell r="B216">
            <v>279</v>
          </cell>
        </row>
        <row r="217">
          <cell r="B217">
            <v>279</v>
          </cell>
        </row>
        <row r="218">
          <cell r="B218">
            <v>13501</v>
          </cell>
        </row>
        <row r="219">
          <cell r="B219">
            <v>13501</v>
          </cell>
        </row>
        <row r="220">
          <cell r="B220">
            <v>13501</v>
          </cell>
        </row>
        <row r="221">
          <cell r="B221">
            <v>13501</v>
          </cell>
        </row>
        <row r="222">
          <cell r="B222">
            <v>13501</v>
          </cell>
        </row>
        <row r="223">
          <cell r="B223">
            <v>192</v>
          </cell>
        </row>
        <row r="224">
          <cell r="B224">
            <v>266</v>
          </cell>
        </row>
        <row r="225">
          <cell r="B225">
            <v>266</v>
          </cell>
        </row>
        <row r="226">
          <cell r="B226">
            <v>266</v>
          </cell>
        </row>
        <row r="227">
          <cell r="B227">
            <v>266</v>
          </cell>
        </row>
        <row r="228">
          <cell r="B228">
            <v>28201</v>
          </cell>
        </row>
        <row r="229">
          <cell r="B229">
            <v>28202</v>
          </cell>
        </row>
        <row r="230">
          <cell r="B230">
            <v>28201</v>
          </cell>
        </row>
        <row r="231">
          <cell r="B231">
            <v>28202</v>
          </cell>
        </row>
        <row r="232">
          <cell r="B232">
            <v>28202</v>
          </cell>
        </row>
        <row r="233">
          <cell r="B233">
            <v>13201</v>
          </cell>
        </row>
        <row r="234">
          <cell r="B234">
            <v>286</v>
          </cell>
        </row>
        <row r="235">
          <cell r="B235">
            <v>286</v>
          </cell>
        </row>
        <row r="236">
          <cell r="B236">
            <v>286</v>
          </cell>
        </row>
        <row r="237">
          <cell r="B237">
            <v>22401</v>
          </cell>
        </row>
        <row r="238">
          <cell r="B238">
            <v>22401</v>
          </cell>
        </row>
        <row r="239">
          <cell r="B239">
            <v>22401</v>
          </cell>
        </row>
        <row r="240">
          <cell r="B240">
            <v>22401</v>
          </cell>
        </row>
        <row r="241">
          <cell r="B241">
            <v>20601</v>
          </cell>
        </row>
        <row r="242">
          <cell r="B242">
            <v>20601</v>
          </cell>
        </row>
        <row r="243">
          <cell r="B243">
            <v>20901</v>
          </cell>
        </row>
        <row r="244">
          <cell r="B244">
            <v>20901</v>
          </cell>
        </row>
        <row r="245">
          <cell r="B245">
            <v>20901</v>
          </cell>
        </row>
        <row r="246">
          <cell r="B246">
            <v>20901</v>
          </cell>
        </row>
        <row r="247">
          <cell r="B247">
            <v>20901</v>
          </cell>
        </row>
        <row r="248">
          <cell r="B248">
            <v>19101</v>
          </cell>
        </row>
        <row r="249">
          <cell r="B249">
            <v>19101</v>
          </cell>
        </row>
        <row r="250">
          <cell r="B250">
            <v>19101</v>
          </cell>
        </row>
        <row r="251">
          <cell r="B251">
            <v>19101</v>
          </cell>
        </row>
        <row r="252">
          <cell r="B252">
            <v>19101</v>
          </cell>
        </row>
        <row r="253">
          <cell r="B253">
            <v>19101</v>
          </cell>
        </row>
        <row r="254">
          <cell r="B254">
            <v>12901</v>
          </cell>
        </row>
        <row r="255">
          <cell r="B255">
            <v>12901</v>
          </cell>
        </row>
        <row r="256">
          <cell r="B256">
            <v>29001</v>
          </cell>
        </row>
        <row r="257">
          <cell r="B257">
            <v>29001</v>
          </cell>
        </row>
        <row r="258">
          <cell r="B258">
            <v>29001</v>
          </cell>
        </row>
        <row r="259">
          <cell r="B259">
            <v>29002</v>
          </cell>
        </row>
        <row r="260">
          <cell r="B260">
            <v>29002</v>
          </cell>
        </row>
        <row r="261">
          <cell r="B261">
            <v>29002</v>
          </cell>
        </row>
        <row r="262">
          <cell r="B262">
            <v>29002</v>
          </cell>
        </row>
        <row r="263">
          <cell r="B263">
            <v>292</v>
          </cell>
        </row>
        <row r="264">
          <cell r="B264">
            <v>292</v>
          </cell>
        </row>
        <row r="265">
          <cell r="B265">
            <v>29201</v>
          </cell>
        </row>
        <row r="266">
          <cell r="B266">
            <v>29201</v>
          </cell>
        </row>
        <row r="267">
          <cell r="B267">
            <v>29201</v>
          </cell>
        </row>
        <row r="268">
          <cell r="B268">
            <v>293</v>
          </cell>
        </row>
        <row r="269">
          <cell r="B269">
            <v>293</v>
          </cell>
        </row>
        <row r="270">
          <cell r="B270">
            <v>293</v>
          </cell>
        </row>
        <row r="271">
          <cell r="B271">
            <v>293</v>
          </cell>
        </row>
        <row r="272">
          <cell r="B272">
            <v>14101</v>
          </cell>
        </row>
        <row r="273">
          <cell r="B273">
            <v>14101</v>
          </cell>
        </row>
        <row r="274">
          <cell r="B274">
            <v>3301</v>
          </cell>
        </row>
        <row r="275">
          <cell r="B275">
            <v>15101</v>
          </cell>
        </row>
        <row r="276">
          <cell r="B276">
            <v>15101</v>
          </cell>
        </row>
        <row r="277">
          <cell r="B277">
            <v>15101</v>
          </cell>
        </row>
        <row r="278">
          <cell r="B278">
            <v>15101</v>
          </cell>
        </row>
        <row r="279">
          <cell r="B279">
            <v>28701</v>
          </cell>
        </row>
        <row r="280">
          <cell r="B280">
            <v>28701</v>
          </cell>
        </row>
        <row r="281">
          <cell r="B281">
            <v>28701</v>
          </cell>
        </row>
        <row r="282">
          <cell r="B282">
            <v>294</v>
          </cell>
        </row>
        <row r="283">
          <cell r="B283">
            <v>29401</v>
          </cell>
        </row>
        <row r="284">
          <cell r="B284">
            <v>29401</v>
          </cell>
        </row>
        <row r="285">
          <cell r="B285">
            <v>295</v>
          </cell>
        </row>
        <row r="286">
          <cell r="B286">
            <v>295</v>
          </cell>
        </row>
        <row r="287">
          <cell r="B287">
            <v>284</v>
          </cell>
        </row>
        <row r="288">
          <cell r="B288">
            <v>14202</v>
          </cell>
        </row>
        <row r="289">
          <cell r="B289">
            <v>12702</v>
          </cell>
        </row>
        <row r="290">
          <cell r="B290">
            <v>12702</v>
          </cell>
        </row>
        <row r="291">
          <cell r="B291">
            <v>14401</v>
          </cell>
        </row>
        <row r="292">
          <cell r="B292">
            <v>15201</v>
          </cell>
        </row>
        <row r="293">
          <cell r="B293">
            <v>15201</v>
          </cell>
        </row>
        <row r="294">
          <cell r="B294">
            <v>15201</v>
          </cell>
        </row>
        <row r="295">
          <cell r="B295">
            <v>21201</v>
          </cell>
        </row>
        <row r="296">
          <cell r="B296">
            <v>21201</v>
          </cell>
        </row>
        <row r="297">
          <cell r="B297">
            <v>21201</v>
          </cell>
        </row>
        <row r="298">
          <cell r="B298">
            <v>18601</v>
          </cell>
        </row>
        <row r="299">
          <cell r="B299">
            <v>18601</v>
          </cell>
        </row>
        <row r="300">
          <cell r="B300">
            <v>18601</v>
          </cell>
        </row>
        <row r="301">
          <cell r="B301">
            <v>18601</v>
          </cell>
        </row>
        <row r="302">
          <cell r="B302">
            <v>18601</v>
          </cell>
        </row>
        <row r="303">
          <cell r="B303">
            <v>369</v>
          </cell>
        </row>
        <row r="304">
          <cell r="B304">
            <v>369</v>
          </cell>
        </row>
        <row r="305">
          <cell r="B305">
            <v>369</v>
          </cell>
        </row>
        <row r="306">
          <cell r="B306">
            <v>369</v>
          </cell>
        </row>
        <row r="307">
          <cell r="B307">
            <v>369</v>
          </cell>
        </row>
        <row r="308">
          <cell r="B308">
            <v>369</v>
          </cell>
        </row>
        <row r="309">
          <cell r="B309">
            <v>16401</v>
          </cell>
        </row>
        <row r="310">
          <cell r="B310">
            <v>16401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9"/>
  <sheetViews>
    <sheetView showGridLines="0" zoomScale="85" zoomScaleNormal="85" zoomScalePageLayoutView="85" workbookViewId="0">
      <pane ySplit="1" topLeftCell="A24" activePane="bottomLeft" state="frozen"/>
      <selection activeCell="V2" sqref="V2:X34"/>
      <selection pane="bottomLeft" activeCell="K59" sqref="K59"/>
    </sheetView>
  </sheetViews>
  <sheetFormatPr baseColWidth="12" defaultColWidth="13" defaultRowHeight="21" customHeight="1" outlineLevelCol="1" x14ac:dyDescent="0"/>
  <cols>
    <col min="1" max="1" width="8.83203125" style="30" bestFit="1" customWidth="1"/>
    <col min="2" max="2" width="5" style="30" bestFit="1" customWidth="1"/>
    <col min="3" max="3" width="7.1640625" style="4" bestFit="1" customWidth="1"/>
    <col min="4" max="5" width="10.33203125" style="4" customWidth="1" outlineLevel="1"/>
    <col min="6" max="6" width="7" style="4" bestFit="1" customWidth="1"/>
    <col min="7" max="7" width="8.83203125" style="30" customWidth="1" outlineLevel="1"/>
    <col min="8" max="8" width="16.1640625" style="4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>
      <c r="A1" s="21" t="s">
        <v>30</v>
      </c>
      <c r="B1" s="21" t="s">
        <v>37</v>
      </c>
      <c r="C1" s="1" t="s">
        <v>0</v>
      </c>
      <c r="D1" s="2" t="s">
        <v>17</v>
      </c>
      <c r="E1" s="20" t="s">
        <v>34</v>
      </c>
      <c r="F1" s="1" t="s">
        <v>1</v>
      </c>
      <c r="G1" s="33" t="s">
        <v>33</v>
      </c>
      <c r="H1" s="20" t="s">
        <v>35</v>
      </c>
      <c r="I1" s="1" t="s">
        <v>12</v>
      </c>
      <c r="J1" s="1" t="s">
        <v>13</v>
      </c>
      <c r="K1" s="1" t="s">
        <v>51</v>
      </c>
    </row>
    <row r="2" spans="1:11" ht="21" customHeight="1">
      <c r="A2" s="21" t="str">
        <f>G2&amp;"-"&amp;I2</f>
        <v>10008_1-1</v>
      </c>
      <c r="B2" s="21" t="str">
        <f>IF(COUNTIF(enemy_habitats_rank_quests!$H:$H,A2),"OK","NG")</f>
        <v>OK</v>
      </c>
      <c r="C2" s="8">
        <v>10008</v>
      </c>
      <c r="D2" s="12" t="str">
        <f ca="1">VLOOKUP($C2,OFFSET([1]quests!$A$1,0,0,COUNTA([1]quests!$A:$A),MATCH(D$1,[1]quests!$1:$1,0)-MATCH($C$1,[1]quests!$1:$1,0)+1),MATCH(D$1,[1]quests!$1:$1,0)-MATCH($C$1,[1]quests!$1:$1,0)+1,FALSE)</f>
        <v>幸せのカタチ</v>
      </c>
      <c r="E2" s="29" t="str">
        <f ca="1">VLOOKUP($C2,OFFSET([1]quests!$A$1,0,0,COUNTA([1]quests!$A:$A),MATCH(E$1,[1]quests!$1:$1,0)-MATCH($C$1,[1]quests!$1:$1,0)+1),MATCH(E$1,[1]quests!$1:$1,0)-MATCH($C$1,[1]quests!$1:$1,0)+1,FALSE)</f>
        <v>ランク開放クエスト Lv8</v>
      </c>
      <c r="F2" s="31">
        <v>1</v>
      </c>
      <c r="G2" s="33" t="str">
        <f>C2&amp;"_"&amp;F2</f>
        <v>10008_1</v>
      </c>
      <c r="H2" s="20" t="str">
        <f ca="1">VLOOKUP($G2,OFFSET([1]stages!$A$1,0,0,COUNTA([1]stages!$A:$A),MATCH(H$1,[1]stages!$2:$2,0)-MATCH($G$1,[1]stages!$2:$2,0)+1),MATCH(H$1,[1]stages!$2:$2,0)-MATCH($G$1,[1]stages!$2:$2,0)+1,FALSE)</f>
        <v>幸せのカタチ</v>
      </c>
      <c r="I2" s="31">
        <v>1</v>
      </c>
      <c r="J2" s="13">
        <v>45</v>
      </c>
      <c r="K2" s="13">
        <v>45</v>
      </c>
    </row>
    <row r="3" spans="1:11" ht="21" customHeight="1">
      <c r="A3" s="21" t="str">
        <f>G3&amp;"-"&amp;I3</f>
        <v>10010_1-1</v>
      </c>
      <c r="B3" s="21" t="str">
        <f>IF(COUNTIF(enemy_habitats_rank_quests!$H:$H,A3),"OK","NG")</f>
        <v>OK</v>
      </c>
      <c r="C3" s="8">
        <v>10010</v>
      </c>
      <c r="D3" s="12" t="str">
        <f ca="1">VLOOKUP($C3,OFFSET([1]quests!$A$1,0,0,COUNTA([1]quests!$A:$A),MATCH(D$1,[1]quests!$1:$1,0)-MATCH($C$1,[1]quests!$1:$1,0)+1),MATCH(D$1,[1]quests!$1:$1,0)-MATCH($C$1,[1]quests!$1:$1,0)+1,FALSE)</f>
        <v>幼女増殖！！</v>
      </c>
      <c r="E3" s="29" t="str">
        <f ca="1">VLOOKUP($C3,OFFSET([1]quests!$A$1,0,0,COUNTA([1]quests!$A:$A),MATCH(E$1,[1]quests!$1:$1,0)-MATCH($C$1,[1]quests!$1:$1,0)+1),MATCH(E$1,[1]quests!$1:$1,0)-MATCH($C$1,[1]quests!$1:$1,0)+1,FALSE)</f>
        <v>ランク開放クエスト Lv10</v>
      </c>
      <c r="F3" s="31">
        <v>1</v>
      </c>
      <c r="G3" s="33" t="str">
        <f>C3&amp;"_"&amp;F3</f>
        <v>10010_1</v>
      </c>
      <c r="H3" s="20" t="str">
        <f ca="1">VLOOKUP($G3,OFFSET([1]stages!$A$1,0,0,COUNTA([1]stages!$A:$A),MATCH(H$1,[1]stages!$2:$2,0)-MATCH($G$1,[1]stages!$2:$2,0)+1),MATCH(H$1,[1]stages!$2:$2,0)-MATCH($G$1,[1]stages!$2:$2,0)+1,FALSE)</f>
        <v>幼女増殖！！</v>
      </c>
      <c r="I3" s="31">
        <v>1</v>
      </c>
      <c r="J3" s="39">
        <v>15</v>
      </c>
      <c r="K3" s="39">
        <v>30</v>
      </c>
    </row>
    <row r="4" spans="1:11" ht="21" customHeight="1">
      <c r="A4" s="21" t="str">
        <f t="shared" ref="A4:A5" si="0">G4&amp;"-"&amp;I4</f>
        <v>10010_1-2</v>
      </c>
      <c r="B4" s="21" t="str">
        <f>IF(COUNTIF(enemy_habitats_rank_quests!$H:$H,A4),"OK","NG")</f>
        <v>OK</v>
      </c>
      <c r="C4" s="8">
        <v>10010</v>
      </c>
      <c r="D4" s="12" t="str">
        <f ca="1">VLOOKUP($C4,OFFSET([1]quests!$A$1,0,0,COUNTA([1]quests!$A:$A),MATCH(D$1,[1]quests!$1:$1,0)-MATCH($C$1,[1]quests!$1:$1,0)+1),MATCH(D$1,[1]quests!$1:$1,0)-MATCH($C$1,[1]quests!$1:$1,0)+1,FALSE)</f>
        <v>幼女増殖！！</v>
      </c>
      <c r="E4" s="29" t="str">
        <f ca="1">VLOOKUP($C4,OFFSET([1]quests!$A$1,0,0,COUNTA([1]quests!$A:$A),MATCH(E$1,[1]quests!$1:$1,0)-MATCH($C$1,[1]quests!$1:$1,0)+1),MATCH(E$1,[1]quests!$1:$1,0)-MATCH($C$1,[1]quests!$1:$1,0)+1,FALSE)</f>
        <v>ランク開放クエスト Lv10</v>
      </c>
      <c r="F4" s="31">
        <v>1</v>
      </c>
      <c r="G4" s="33" t="str">
        <f t="shared" ref="G4:G5" si="1">C4&amp;"_"&amp;F4</f>
        <v>10010_1</v>
      </c>
      <c r="H4" s="20" t="str">
        <f ca="1">VLOOKUP($G4,OFFSET([1]stages!$A$1,0,0,COUNTA([1]stages!$A:$A),MATCH(H$1,[1]stages!$2:$2,0)-MATCH($G$1,[1]stages!$2:$2,0)+1),MATCH(H$1,[1]stages!$2:$2,0)-MATCH($G$1,[1]stages!$2:$2,0)+1,FALSE)</f>
        <v>幼女増殖！！</v>
      </c>
      <c r="I4" s="31">
        <v>2</v>
      </c>
      <c r="J4" s="39">
        <v>30</v>
      </c>
      <c r="K4" s="39">
        <v>45</v>
      </c>
    </row>
    <row r="5" spans="1:11" ht="21" customHeight="1">
      <c r="A5" s="21" t="str">
        <f t="shared" si="0"/>
        <v>10010_1-3</v>
      </c>
      <c r="B5" s="21" t="str">
        <f>IF(COUNTIF(enemy_habitats_rank_quests!$H:$H,A5),"OK","NG")</f>
        <v>OK</v>
      </c>
      <c r="C5" s="8">
        <v>10010</v>
      </c>
      <c r="D5" s="12" t="str">
        <f ca="1">VLOOKUP($C5,OFFSET([1]quests!$A$1,0,0,COUNTA([1]quests!$A:$A),MATCH(D$1,[1]quests!$1:$1,0)-MATCH($C$1,[1]quests!$1:$1,0)+1),MATCH(D$1,[1]quests!$1:$1,0)-MATCH($C$1,[1]quests!$1:$1,0)+1,FALSE)</f>
        <v>幼女増殖！！</v>
      </c>
      <c r="E5" s="29" t="str">
        <f ca="1">VLOOKUP($C5,OFFSET([1]quests!$A$1,0,0,COUNTA([1]quests!$A:$A),MATCH(E$1,[1]quests!$1:$1,0)-MATCH($C$1,[1]quests!$1:$1,0)+1),MATCH(E$1,[1]quests!$1:$1,0)-MATCH($C$1,[1]quests!$1:$1,0)+1,FALSE)</f>
        <v>ランク開放クエスト Lv10</v>
      </c>
      <c r="F5" s="31">
        <v>1</v>
      </c>
      <c r="G5" s="33" t="str">
        <f t="shared" si="1"/>
        <v>10010_1</v>
      </c>
      <c r="H5" s="20" t="str">
        <f ca="1">VLOOKUP($G5,OFFSET([1]stages!$A$1,0,0,COUNTA([1]stages!$A:$A),MATCH(H$1,[1]stages!$2:$2,0)-MATCH($G$1,[1]stages!$2:$2,0)+1),MATCH(H$1,[1]stages!$2:$2,0)-MATCH($G$1,[1]stages!$2:$2,0)+1,FALSE)</f>
        <v>幼女増殖！！</v>
      </c>
      <c r="I5" s="31">
        <v>3</v>
      </c>
      <c r="J5" s="39">
        <v>45</v>
      </c>
      <c r="K5" s="39">
        <v>60</v>
      </c>
    </row>
    <row r="6" spans="1:11" ht="21" customHeight="1">
      <c r="A6" s="21" t="str">
        <f>G6&amp;"-"&amp;I6</f>
        <v>10015_1-1</v>
      </c>
      <c r="B6" s="21" t="str">
        <f>IF(COUNTIF(enemy_habitats_rank_quests!$H:$H,A6),"OK","NG")</f>
        <v>OK</v>
      </c>
      <c r="C6" s="8">
        <v>10015</v>
      </c>
      <c r="D6" s="12" t="str">
        <f ca="1">VLOOKUP($C6,OFFSET([1]quests!$A$1,0,0,COUNTA([1]quests!$A:$A),MATCH(D$1,[1]quests!$1:$1,0)-MATCH($C$1,[1]quests!$1:$1,0)+1),MATCH(D$1,[1]quests!$1:$1,0)-MATCH($C$1,[1]quests!$1:$1,0)+1,FALSE)</f>
        <v>静かなる混乱</v>
      </c>
      <c r="E6" s="29" t="str">
        <f ca="1">VLOOKUP($C6,OFFSET([1]quests!$A$1,0,0,COUNTA([1]quests!$A:$A),MATCH(E$1,[1]quests!$1:$1,0)-MATCH($C$1,[1]quests!$1:$1,0)+1),MATCH(E$1,[1]quests!$1:$1,0)-MATCH($C$1,[1]quests!$1:$1,0)+1,FALSE)</f>
        <v>ランク開放クエスト Lv15</v>
      </c>
      <c r="F6" s="31">
        <v>1</v>
      </c>
      <c r="G6" s="33" t="str">
        <f>C6&amp;"_"&amp;F6</f>
        <v>10015_1</v>
      </c>
      <c r="H6" s="20" t="str">
        <f ca="1">VLOOKUP($G6,OFFSET([1]stages!$A$1,0,0,COUNTA([1]stages!$A:$A),MATCH(H$1,[1]stages!$2:$2,0)-MATCH($G$1,[1]stages!$2:$2,0)+1),MATCH(H$1,[1]stages!$2:$2,0)-MATCH($G$1,[1]stages!$2:$2,0)+1,FALSE)</f>
        <v>静かなる混乱</v>
      </c>
      <c r="I6" s="31">
        <v>1</v>
      </c>
      <c r="J6" s="39">
        <v>15</v>
      </c>
      <c r="K6" s="39">
        <v>30</v>
      </c>
    </row>
    <row r="7" spans="1:11" ht="21" customHeight="1">
      <c r="A7" s="21" t="str">
        <f t="shared" ref="A7:A8" si="2">G7&amp;"-"&amp;I7</f>
        <v>10015_1-2</v>
      </c>
      <c r="B7" s="21" t="str">
        <f>IF(COUNTIF(enemy_habitats_rank_quests!$H:$H,A7),"OK","NG")</f>
        <v>OK</v>
      </c>
      <c r="C7" s="8">
        <v>10015</v>
      </c>
      <c r="D7" s="12" t="str">
        <f ca="1">VLOOKUP($C7,OFFSET([1]quests!$A$1,0,0,COUNTA([1]quests!$A:$A),MATCH(D$1,[1]quests!$1:$1,0)-MATCH($C$1,[1]quests!$1:$1,0)+1),MATCH(D$1,[1]quests!$1:$1,0)-MATCH($C$1,[1]quests!$1:$1,0)+1,FALSE)</f>
        <v>静かなる混乱</v>
      </c>
      <c r="E7" s="29" t="str">
        <f ca="1">VLOOKUP($C7,OFFSET([1]quests!$A$1,0,0,COUNTA([1]quests!$A:$A),MATCH(E$1,[1]quests!$1:$1,0)-MATCH($C$1,[1]quests!$1:$1,0)+1),MATCH(E$1,[1]quests!$1:$1,0)-MATCH($C$1,[1]quests!$1:$1,0)+1,FALSE)</f>
        <v>ランク開放クエスト Lv15</v>
      </c>
      <c r="F7" s="31">
        <v>1</v>
      </c>
      <c r="G7" s="33" t="str">
        <f t="shared" ref="G7:G8" si="3">C7&amp;"_"&amp;F7</f>
        <v>10015_1</v>
      </c>
      <c r="H7" s="20" t="str">
        <f ca="1">VLOOKUP($G7,OFFSET([1]stages!$A$1,0,0,COUNTA([1]stages!$A:$A),MATCH(H$1,[1]stages!$2:$2,0)-MATCH($G$1,[1]stages!$2:$2,0)+1),MATCH(H$1,[1]stages!$2:$2,0)-MATCH($G$1,[1]stages!$2:$2,0)+1,FALSE)</f>
        <v>静かなる混乱</v>
      </c>
      <c r="I7" s="31">
        <v>2</v>
      </c>
      <c r="J7" s="39">
        <v>30</v>
      </c>
      <c r="K7" s="39">
        <v>45</v>
      </c>
    </row>
    <row r="8" spans="1:11" ht="21" customHeight="1">
      <c r="A8" s="21" t="str">
        <f t="shared" si="2"/>
        <v>10015_1-3</v>
      </c>
      <c r="B8" s="21" t="str">
        <f>IF(COUNTIF(enemy_habitats_rank_quests!$H:$H,A8),"OK","NG")</f>
        <v>OK</v>
      </c>
      <c r="C8" s="8">
        <v>10015</v>
      </c>
      <c r="D8" s="12" t="str">
        <f ca="1">VLOOKUP($C8,OFFSET([1]quests!$A$1,0,0,COUNTA([1]quests!$A:$A),MATCH(D$1,[1]quests!$1:$1,0)-MATCH($C$1,[1]quests!$1:$1,0)+1),MATCH(D$1,[1]quests!$1:$1,0)-MATCH($C$1,[1]quests!$1:$1,0)+1,FALSE)</f>
        <v>静かなる混乱</v>
      </c>
      <c r="E8" s="29" t="str">
        <f ca="1">VLOOKUP($C8,OFFSET([1]quests!$A$1,0,0,COUNTA([1]quests!$A:$A),MATCH(E$1,[1]quests!$1:$1,0)-MATCH($C$1,[1]quests!$1:$1,0)+1),MATCH(E$1,[1]quests!$1:$1,0)-MATCH($C$1,[1]quests!$1:$1,0)+1,FALSE)</f>
        <v>ランク開放クエスト Lv15</v>
      </c>
      <c r="F8" s="31">
        <v>1</v>
      </c>
      <c r="G8" s="33" t="str">
        <f t="shared" si="3"/>
        <v>10015_1</v>
      </c>
      <c r="H8" s="20" t="str">
        <f ca="1">VLOOKUP($G8,OFFSET([1]stages!$A$1,0,0,COUNTA([1]stages!$A:$A),MATCH(H$1,[1]stages!$2:$2,0)-MATCH($G$1,[1]stages!$2:$2,0)+1),MATCH(H$1,[1]stages!$2:$2,0)-MATCH($G$1,[1]stages!$2:$2,0)+1,FALSE)</f>
        <v>静かなる混乱</v>
      </c>
      <c r="I8" s="31">
        <v>3</v>
      </c>
      <c r="J8" s="39">
        <v>45</v>
      </c>
      <c r="K8" s="39">
        <v>60</v>
      </c>
    </row>
    <row r="9" spans="1:11" ht="21" customHeight="1">
      <c r="A9" s="21" t="str">
        <f t="shared" ref="A9" si="4">G9&amp;"-"&amp;I9</f>
        <v>10015_1-4</v>
      </c>
      <c r="B9" s="21" t="str">
        <f>IF(COUNTIF(enemy_habitats_rank_quests!$H:$H,A9),"OK","NG")</f>
        <v>OK</v>
      </c>
      <c r="C9" s="8">
        <v>10015</v>
      </c>
      <c r="D9" s="12" t="str">
        <f ca="1">VLOOKUP($C9,OFFSET([1]quests!$A$1,0,0,COUNTA([1]quests!$A:$A),MATCH(D$1,[1]quests!$1:$1,0)-MATCH($C$1,[1]quests!$1:$1,0)+1),MATCH(D$1,[1]quests!$1:$1,0)-MATCH($C$1,[1]quests!$1:$1,0)+1,FALSE)</f>
        <v>静かなる混乱</v>
      </c>
      <c r="E9" s="29" t="str">
        <f ca="1">VLOOKUP($C9,OFFSET([1]quests!$A$1,0,0,COUNTA([1]quests!$A:$A),MATCH(E$1,[1]quests!$1:$1,0)-MATCH($C$1,[1]quests!$1:$1,0)+1),MATCH(E$1,[1]quests!$1:$1,0)-MATCH($C$1,[1]quests!$1:$1,0)+1,FALSE)</f>
        <v>ランク開放クエスト Lv15</v>
      </c>
      <c r="F9" s="31">
        <v>1</v>
      </c>
      <c r="G9" s="33" t="str">
        <f t="shared" ref="G9" si="5">C9&amp;"_"&amp;F9</f>
        <v>10015_1</v>
      </c>
      <c r="H9" s="20" t="str">
        <f ca="1">VLOOKUP($G9,OFFSET([1]stages!$A$1,0,0,COUNTA([1]stages!$A:$A),MATCH(H$1,[1]stages!$2:$2,0)-MATCH($G$1,[1]stages!$2:$2,0)+1),MATCH(H$1,[1]stages!$2:$2,0)-MATCH($G$1,[1]stages!$2:$2,0)+1,FALSE)</f>
        <v>静かなる混乱</v>
      </c>
      <c r="I9" s="31">
        <v>4</v>
      </c>
      <c r="J9" s="13">
        <v>45</v>
      </c>
      <c r="K9" s="13">
        <v>60</v>
      </c>
    </row>
    <row r="10" spans="1:11" ht="21" customHeight="1">
      <c r="A10" s="21" t="str">
        <f>G10&amp;"-"&amp;I10</f>
        <v>10020_1-1</v>
      </c>
      <c r="B10" s="21" t="str">
        <f>IF(COUNTIF(enemy_habitats_rank_quests!$H:$H,A10),"OK","NG")</f>
        <v>OK</v>
      </c>
      <c r="C10" s="8">
        <v>10020</v>
      </c>
      <c r="D10" s="12" t="str">
        <f ca="1">VLOOKUP($C10,OFFSET([1]quests!$A$1,0,0,COUNTA([1]quests!$A:$A),MATCH(D$1,[1]quests!$1:$1,0)-MATCH($C$1,[1]quests!$1:$1,0)+1),MATCH(D$1,[1]quests!$1:$1,0)-MATCH($C$1,[1]quests!$1:$1,0)+1,FALSE)</f>
        <v>紅き侵入者</v>
      </c>
      <c r="E10" s="29" t="str">
        <f ca="1">VLOOKUP($C10,OFFSET([1]quests!$A$1,0,0,COUNTA([1]quests!$A:$A),MATCH(E$1,[1]quests!$1:$1,0)-MATCH($C$1,[1]quests!$1:$1,0)+1),MATCH(E$1,[1]quests!$1:$1,0)-MATCH($C$1,[1]quests!$1:$1,0)+1,FALSE)</f>
        <v>ランク開放クエスト Lv20</v>
      </c>
      <c r="F10" s="31">
        <v>1</v>
      </c>
      <c r="G10" s="33" t="str">
        <f>C10&amp;"_"&amp;F10</f>
        <v>10020_1</v>
      </c>
      <c r="H10" s="20" t="str">
        <f ca="1">VLOOKUP($G10,OFFSET([1]stages!$A$1,0,0,COUNTA([1]stages!$A:$A),MATCH(H$1,[1]stages!$2:$2,0)-MATCH($G$1,[1]stages!$2:$2,0)+1),MATCH(H$1,[1]stages!$2:$2,0)-MATCH($G$1,[1]stages!$2:$2,0)+1,FALSE)</f>
        <v>紅き侵入者</v>
      </c>
      <c r="I10" s="31">
        <v>1</v>
      </c>
      <c r="J10" s="39">
        <v>15</v>
      </c>
      <c r="K10" s="39">
        <v>30</v>
      </c>
    </row>
    <row r="11" spans="1:11" ht="21" customHeight="1">
      <c r="A11" s="21" t="str">
        <f t="shared" ref="A11:A12" si="6">G11&amp;"-"&amp;I11</f>
        <v>10020_1-2</v>
      </c>
      <c r="B11" s="21" t="str">
        <f>IF(COUNTIF(enemy_habitats_rank_quests!$H:$H,A11),"OK","NG")</f>
        <v>OK</v>
      </c>
      <c r="C11" s="8">
        <v>10020</v>
      </c>
      <c r="D11" s="12" t="str">
        <f ca="1">VLOOKUP($C11,OFFSET([1]quests!$A$1,0,0,COUNTA([1]quests!$A:$A),MATCH(D$1,[1]quests!$1:$1,0)-MATCH($C$1,[1]quests!$1:$1,0)+1),MATCH(D$1,[1]quests!$1:$1,0)-MATCH($C$1,[1]quests!$1:$1,0)+1,FALSE)</f>
        <v>紅き侵入者</v>
      </c>
      <c r="E11" s="29" t="str">
        <f ca="1">VLOOKUP($C11,OFFSET([1]quests!$A$1,0,0,COUNTA([1]quests!$A:$A),MATCH(E$1,[1]quests!$1:$1,0)-MATCH($C$1,[1]quests!$1:$1,0)+1),MATCH(E$1,[1]quests!$1:$1,0)-MATCH($C$1,[1]quests!$1:$1,0)+1,FALSE)</f>
        <v>ランク開放クエスト Lv20</v>
      </c>
      <c r="F11" s="31">
        <v>1</v>
      </c>
      <c r="G11" s="33" t="str">
        <f t="shared" ref="G11:G12" si="7">C11&amp;"_"&amp;F11</f>
        <v>10020_1</v>
      </c>
      <c r="H11" s="20" t="str">
        <f ca="1">VLOOKUP($G11,OFFSET([1]stages!$A$1,0,0,COUNTA([1]stages!$A:$A),MATCH(H$1,[1]stages!$2:$2,0)-MATCH($G$1,[1]stages!$2:$2,0)+1),MATCH(H$1,[1]stages!$2:$2,0)-MATCH($G$1,[1]stages!$2:$2,0)+1,FALSE)</f>
        <v>紅き侵入者</v>
      </c>
      <c r="I11" s="31">
        <v>2</v>
      </c>
      <c r="J11" s="39">
        <v>30</v>
      </c>
      <c r="K11" s="39">
        <v>45</v>
      </c>
    </row>
    <row r="12" spans="1:11" ht="21" customHeight="1">
      <c r="A12" s="21" t="str">
        <f t="shared" si="6"/>
        <v>10020_1-3</v>
      </c>
      <c r="B12" s="21" t="str">
        <f>IF(COUNTIF(enemy_habitats_rank_quests!$H:$H,A12),"OK","NG")</f>
        <v>OK</v>
      </c>
      <c r="C12" s="8">
        <v>10020</v>
      </c>
      <c r="D12" s="12" t="str">
        <f ca="1">VLOOKUP($C12,OFFSET([1]quests!$A$1,0,0,COUNTA([1]quests!$A:$A),MATCH(D$1,[1]quests!$1:$1,0)-MATCH($C$1,[1]quests!$1:$1,0)+1),MATCH(D$1,[1]quests!$1:$1,0)-MATCH($C$1,[1]quests!$1:$1,0)+1,FALSE)</f>
        <v>紅き侵入者</v>
      </c>
      <c r="E12" s="29" t="str">
        <f ca="1">VLOOKUP($C12,OFFSET([1]quests!$A$1,0,0,COUNTA([1]quests!$A:$A),MATCH(E$1,[1]quests!$1:$1,0)-MATCH($C$1,[1]quests!$1:$1,0)+1),MATCH(E$1,[1]quests!$1:$1,0)-MATCH($C$1,[1]quests!$1:$1,0)+1,FALSE)</f>
        <v>ランク開放クエスト Lv20</v>
      </c>
      <c r="F12" s="31">
        <v>1</v>
      </c>
      <c r="G12" s="33" t="str">
        <f t="shared" si="7"/>
        <v>10020_1</v>
      </c>
      <c r="H12" s="20" t="str">
        <f ca="1">VLOOKUP($G12,OFFSET([1]stages!$A$1,0,0,COUNTA([1]stages!$A:$A),MATCH(H$1,[1]stages!$2:$2,0)-MATCH($G$1,[1]stages!$2:$2,0)+1),MATCH(H$1,[1]stages!$2:$2,0)-MATCH($G$1,[1]stages!$2:$2,0)+1,FALSE)</f>
        <v>紅き侵入者</v>
      </c>
      <c r="I12" s="31">
        <v>3</v>
      </c>
      <c r="J12" s="39">
        <v>45</v>
      </c>
      <c r="K12" s="39">
        <v>60</v>
      </c>
    </row>
    <row r="13" spans="1:11" ht="21" customHeight="1">
      <c r="A13" s="21" t="str">
        <f t="shared" ref="A13:A14" si="8">G13&amp;"-"&amp;I13</f>
        <v>10020_1-4</v>
      </c>
      <c r="B13" s="21" t="str">
        <f>IF(COUNTIF(enemy_habitats_rank_quests!$H:$H,A13),"OK","NG")</f>
        <v>OK</v>
      </c>
      <c r="C13" s="8">
        <v>10020</v>
      </c>
      <c r="D13" s="12" t="str">
        <f ca="1">VLOOKUP($C13,OFFSET([1]quests!$A$1,0,0,COUNTA([1]quests!$A:$A),MATCH(D$1,[1]quests!$1:$1,0)-MATCH($C$1,[1]quests!$1:$1,0)+1),MATCH(D$1,[1]quests!$1:$1,0)-MATCH($C$1,[1]quests!$1:$1,0)+1,FALSE)</f>
        <v>紅き侵入者</v>
      </c>
      <c r="E13" s="29" t="str">
        <f ca="1">VLOOKUP($C13,OFFSET([1]quests!$A$1,0,0,COUNTA([1]quests!$A:$A),MATCH(E$1,[1]quests!$1:$1,0)-MATCH($C$1,[1]quests!$1:$1,0)+1),MATCH(E$1,[1]quests!$1:$1,0)-MATCH($C$1,[1]quests!$1:$1,0)+1,FALSE)</f>
        <v>ランク開放クエスト Lv20</v>
      </c>
      <c r="F13" s="31">
        <v>1</v>
      </c>
      <c r="G13" s="33" t="str">
        <f t="shared" ref="G13:G14" si="9">C13&amp;"_"&amp;F13</f>
        <v>10020_1</v>
      </c>
      <c r="H13" s="20" t="str">
        <f ca="1">VLOOKUP($G13,OFFSET([1]stages!$A$1,0,0,COUNTA([1]stages!$A:$A),MATCH(H$1,[1]stages!$2:$2,0)-MATCH($G$1,[1]stages!$2:$2,0)+1),MATCH(H$1,[1]stages!$2:$2,0)-MATCH($G$1,[1]stages!$2:$2,0)+1,FALSE)</f>
        <v>紅き侵入者</v>
      </c>
      <c r="I13" s="31">
        <v>4</v>
      </c>
      <c r="J13" s="39">
        <v>30</v>
      </c>
      <c r="K13" s="39">
        <v>60</v>
      </c>
    </row>
    <row r="14" spans="1:11" ht="21" customHeight="1">
      <c r="A14" s="21" t="str">
        <f t="shared" si="8"/>
        <v>10020_1-5</v>
      </c>
      <c r="B14" s="21" t="str">
        <f>IF(COUNTIF(enemy_habitats_rank_quests!$H:$H,A14),"OK","NG")</f>
        <v>OK</v>
      </c>
      <c r="C14" s="8">
        <v>10020</v>
      </c>
      <c r="D14" s="12" t="str">
        <f ca="1">VLOOKUP($C14,OFFSET([1]quests!$A$1,0,0,COUNTA([1]quests!$A:$A),MATCH(D$1,[1]quests!$1:$1,0)-MATCH($C$1,[1]quests!$1:$1,0)+1),MATCH(D$1,[1]quests!$1:$1,0)-MATCH($C$1,[1]quests!$1:$1,0)+1,FALSE)</f>
        <v>紅き侵入者</v>
      </c>
      <c r="E14" s="29" t="str">
        <f ca="1">VLOOKUP($C14,OFFSET([1]quests!$A$1,0,0,COUNTA([1]quests!$A:$A),MATCH(E$1,[1]quests!$1:$1,0)-MATCH($C$1,[1]quests!$1:$1,0)+1),MATCH(E$1,[1]quests!$1:$1,0)-MATCH($C$1,[1]quests!$1:$1,0)+1,FALSE)</f>
        <v>ランク開放クエスト Lv20</v>
      </c>
      <c r="F14" s="31">
        <v>1</v>
      </c>
      <c r="G14" s="33" t="str">
        <f t="shared" si="9"/>
        <v>10020_1</v>
      </c>
      <c r="H14" s="20" t="str">
        <f ca="1">VLOOKUP($G14,OFFSET([1]stages!$A$1,0,0,COUNTA([1]stages!$A:$A),MATCH(H$1,[1]stages!$2:$2,0)-MATCH($G$1,[1]stages!$2:$2,0)+1),MATCH(H$1,[1]stages!$2:$2,0)-MATCH($G$1,[1]stages!$2:$2,0)+1,FALSE)</f>
        <v>紅き侵入者</v>
      </c>
      <c r="I14" s="31">
        <v>5</v>
      </c>
      <c r="J14" s="39">
        <v>60</v>
      </c>
      <c r="K14" s="39">
        <v>60</v>
      </c>
    </row>
    <row r="15" spans="1:11" ht="21" customHeight="1">
      <c r="A15" s="21" t="str">
        <f>G15&amp;"-"&amp;I15</f>
        <v>10025_1-1</v>
      </c>
      <c r="B15" s="21" t="str">
        <f>IF(COUNTIF(enemy_habitats_rank_quests!$H:$H,A15),"OK","NG")</f>
        <v>OK</v>
      </c>
      <c r="C15" s="8">
        <v>10025</v>
      </c>
      <c r="D15" s="12" t="str">
        <f ca="1">VLOOKUP($C15,OFFSET([1]quests!$A$1,0,0,COUNTA([1]quests!$A:$A),MATCH(D$1,[1]quests!$1:$1,0)-MATCH($C$1,[1]quests!$1:$1,0)+1),MATCH(D$1,[1]quests!$1:$1,0)-MATCH($C$1,[1]quests!$1:$1,0)+1,FALSE)</f>
        <v>イブとトモダチと狼男</v>
      </c>
      <c r="E15" s="29" t="str">
        <f ca="1">VLOOKUP($C15,OFFSET([1]quests!$A$1,0,0,COUNTA([1]quests!$A:$A),MATCH(E$1,[1]quests!$1:$1,0)-MATCH($C$1,[1]quests!$1:$1,0)+1),MATCH(E$1,[1]quests!$1:$1,0)-MATCH($C$1,[1]quests!$1:$1,0)+1,FALSE)</f>
        <v>ランク開放クエスト Lv25</v>
      </c>
      <c r="F15" s="31">
        <v>1</v>
      </c>
      <c r="G15" s="33" t="str">
        <f>C15&amp;"_"&amp;F15</f>
        <v>10025_1</v>
      </c>
      <c r="H15" s="20" t="str">
        <f ca="1">VLOOKUP($G15,OFFSET([1]stages!$A$1,0,0,COUNTA([1]stages!$A:$A),MATCH(H$1,[1]stages!$2:$2,0)-MATCH($G$1,[1]stages!$2:$2,0)+1),MATCH(H$1,[1]stages!$2:$2,0)-MATCH($G$1,[1]stages!$2:$2,0)+1,FALSE)</f>
        <v>イブとトモダチと狼男</v>
      </c>
      <c r="I15" s="31">
        <v>1</v>
      </c>
      <c r="J15" s="39">
        <v>15</v>
      </c>
      <c r="K15" s="39">
        <v>30</v>
      </c>
    </row>
    <row r="16" spans="1:11" ht="21" customHeight="1">
      <c r="A16" s="21" t="str">
        <f t="shared" ref="A16:A19" si="10">G16&amp;"-"&amp;I16</f>
        <v>10025_1-2</v>
      </c>
      <c r="B16" s="21" t="str">
        <f>IF(COUNTIF(enemy_habitats_rank_quests!$H:$H,A16),"OK","NG")</f>
        <v>OK</v>
      </c>
      <c r="C16" s="8">
        <v>10025</v>
      </c>
      <c r="D16" s="12" t="str">
        <f ca="1">VLOOKUP($C16,OFFSET([1]quests!$A$1,0,0,COUNTA([1]quests!$A:$A),MATCH(D$1,[1]quests!$1:$1,0)-MATCH($C$1,[1]quests!$1:$1,0)+1),MATCH(D$1,[1]quests!$1:$1,0)-MATCH($C$1,[1]quests!$1:$1,0)+1,FALSE)</f>
        <v>イブとトモダチと狼男</v>
      </c>
      <c r="E16" s="29" t="str">
        <f ca="1">VLOOKUP($C16,OFFSET([1]quests!$A$1,0,0,COUNTA([1]quests!$A:$A),MATCH(E$1,[1]quests!$1:$1,0)-MATCH($C$1,[1]quests!$1:$1,0)+1),MATCH(E$1,[1]quests!$1:$1,0)-MATCH($C$1,[1]quests!$1:$1,0)+1,FALSE)</f>
        <v>ランク開放クエスト Lv25</v>
      </c>
      <c r="F16" s="31">
        <v>1</v>
      </c>
      <c r="G16" s="33" t="str">
        <f t="shared" ref="G16:G19" si="11">C16&amp;"_"&amp;F16</f>
        <v>10025_1</v>
      </c>
      <c r="H16" s="20" t="str">
        <f ca="1">VLOOKUP($G16,OFFSET([1]stages!$A$1,0,0,COUNTA([1]stages!$A:$A),MATCH(H$1,[1]stages!$2:$2,0)-MATCH($G$1,[1]stages!$2:$2,0)+1),MATCH(H$1,[1]stages!$2:$2,0)-MATCH($G$1,[1]stages!$2:$2,0)+1,FALSE)</f>
        <v>イブとトモダチと狼男</v>
      </c>
      <c r="I16" s="31">
        <v>2</v>
      </c>
      <c r="J16" s="39">
        <v>30</v>
      </c>
      <c r="K16" s="39">
        <v>45</v>
      </c>
    </row>
    <row r="17" spans="1:11" ht="21" customHeight="1">
      <c r="A17" s="21" t="str">
        <f t="shared" si="10"/>
        <v>10025_1-3</v>
      </c>
      <c r="B17" s="21" t="str">
        <f>IF(COUNTIF(enemy_habitats_rank_quests!$H:$H,A17),"OK","NG")</f>
        <v>OK</v>
      </c>
      <c r="C17" s="8">
        <v>10025</v>
      </c>
      <c r="D17" s="12" t="str">
        <f ca="1">VLOOKUP($C17,OFFSET([1]quests!$A$1,0,0,COUNTA([1]quests!$A:$A),MATCH(D$1,[1]quests!$1:$1,0)-MATCH($C$1,[1]quests!$1:$1,0)+1),MATCH(D$1,[1]quests!$1:$1,0)-MATCH($C$1,[1]quests!$1:$1,0)+1,FALSE)</f>
        <v>イブとトモダチと狼男</v>
      </c>
      <c r="E17" s="29" t="str">
        <f ca="1">VLOOKUP($C17,OFFSET([1]quests!$A$1,0,0,COUNTA([1]quests!$A:$A),MATCH(E$1,[1]quests!$1:$1,0)-MATCH($C$1,[1]quests!$1:$1,0)+1),MATCH(E$1,[1]quests!$1:$1,0)-MATCH($C$1,[1]quests!$1:$1,0)+1,FALSE)</f>
        <v>ランク開放クエスト Lv25</v>
      </c>
      <c r="F17" s="31">
        <v>1</v>
      </c>
      <c r="G17" s="33" t="str">
        <f t="shared" si="11"/>
        <v>10025_1</v>
      </c>
      <c r="H17" s="20" t="str">
        <f ca="1">VLOOKUP($G17,OFFSET([1]stages!$A$1,0,0,COUNTA([1]stages!$A:$A),MATCH(H$1,[1]stages!$2:$2,0)-MATCH($G$1,[1]stages!$2:$2,0)+1),MATCH(H$1,[1]stages!$2:$2,0)-MATCH($G$1,[1]stages!$2:$2,0)+1,FALSE)</f>
        <v>イブとトモダチと狼男</v>
      </c>
      <c r="I17" s="31">
        <v>3</v>
      </c>
      <c r="J17" s="39">
        <v>45</v>
      </c>
      <c r="K17" s="39">
        <v>60</v>
      </c>
    </row>
    <row r="18" spans="1:11" ht="21" customHeight="1">
      <c r="A18" s="21" t="str">
        <f t="shared" si="10"/>
        <v>10025_1-4</v>
      </c>
      <c r="B18" s="21" t="str">
        <f>IF(COUNTIF(enemy_habitats_rank_quests!$H:$H,A18),"OK","NG")</f>
        <v>OK</v>
      </c>
      <c r="C18" s="8">
        <v>10025</v>
      </c>
      <c r="D18" s="12" t="str">
        <f ca="1">VLOOKUP($C18,OFFSET([1]quests!$A$1,0,0,COUNTA([1]quests!$A:$A),MATCH(D$1,[1]quests!$1:$1,0)-MATCH($C$1,[1]quests!$1:$1,0)+1),MATCH(D$1,[1]quests!$1:$1,0)-MATCH($C$1,[1]quests!$1:$1,0)+1,FALSE)</f>
        <v>イブとトモダチと狼男</v>
      </c>
      <c r="E18" s="29" t="str">
        <f ca="1">VLOOKUP($C18,OFFSET([1]quests!$A$1,0,0,COUNTA([1]quests!$A:$A),MATCH(E$1,[1]quests!$1:$1,0)-MATCH($C$1,[1]quests!$1:$1,0)+1),MATCH(E$1,[1]quests!$1:$1,0)-MATCH($C$1,[1]quests!$1:$1,0)+1,FALSE)</f>
        <v>ランク開放クエスト Lv25</v>
      </c>
      <c r="F18" s="31">
        <v>1</v>
      </c>
      <c r="G18" s="33" t="str">
        <f t="shared" si="11"/>
        <v>10025_1</v>
      </c>
      <c r="H18" s="20" t="str">
        <f ca="1">VLOOKUP($G18,OFFSET([1]stages!$A$1,0,0,COUNTA([1]stages!$A:$A),MATCH(H$1,[1]stages!$2:$2,0)-MATCH($G$1,[1]stages!$2:$2,0)+1),MATCH(H$1,[1]stages!$2:$2,0)-MATCH($G$1,[1]stages!$2:$2,0)+1,FALSE)</f>
        <v>イブとトモダチと狼男</v>
      </c>
      <c r="I18" s="31">
        <v>4</v>
      </c>
      <c r="J18" s="39">
        <v>30</v>
      </c>
      <c r="K18" s="39">
        <v>60</v>
      </c>
    </row>
    <row r="19" spans="1:11" ht="21" customHeight="1">
      <c r="A19" s="21" t="str">
        <f t="shared" si="10"/>
        <v>10025_1-5</v>
      </c>
      <c r="B19" s="21" t="str">
        <f>IF(COUNTIF(enemy_habitats_rank_quests!$H:$H,A19),"OK","NG")</f>
        <v>OK</v>
      </c>
      <c r="C19" s="8">
        <v>10025</v>
      </c>
      <c r="D19" s="12" t="str">
        <f ca="1">VLOOKUP($C19,OFFSET([1]quests!$A$1,0,0,COUNTA([1]quests!$A:$A),MATCH(D$1,[1]quests!$1:$1,0)-MATCH($C$1,[1]quests!$1:$1,0)+1),MATCH(D$1,[1]quests!$1:$1,0)-MATCH($C$1,[1]quests!$1:$1,0)+1,FALSE)</f>
        <v>イブとトモダチと狼男</v>
      </c>
      <c r="E19" s="29" t="str">
        <f ca="1">VLOOKUP($C19,OFFSET([1]quests!$A$1,0,0,COUNTA([1]quests!$A:$A),MATCH(E$1,[1]quests!$1:$1,0)-MATCH($C$1,[1]quests!$1:$1,0)+1),MATCH(E$1,[1]quests!$1:$1,0)-MATCH($C$1,[1]quests!$1:$1,0)+1,FALSE)</f>
        <v>ランク開放クエスト Lv25</v>
      </c>
      <c r="F19" s="31">
        <v>1</v>
      </c>
      <c r="G19" s="33" t="str">
        <f t="shared" si="11"/>
        <v>10025_1</v>
      </c>
      <c r="H19" s="20" t="str">
        <f ca="1">VLOOKUP($G19,OFFSET([1]stages!$A$1,0,0,COUNTA([1]stages!$A:$A),MATCH(H$1,[1]stages!$2:$2,0)-MATCH($G$1,[1]stages!$2:$2,0)+1),MATCH(H$1,[1]stages!$2:$2,0)-MATCH($G$1,[1]stages!$2:$2,0)+1,FALSE)</f>
        <v>イブとトモダチと狼男</v>
      </c>
      <c r="I19" s="31">
        <v>5</v>
      </c>
      <c r="J19" s="39">
        <v>60</v>
      </c>
      <c r="K19" s="39">
        <v>60</v>
      </c>
    </row>
    <row r="20" spans="1:11" ht="21" customHeight="1">
      <c r="A20" s="21" t="str">
        <f>G20&amp;"-"&amp;I20</f>
        <v>10030_1-1</v>
      </c>
      <c r="B20" s="21" t="str">
        <f>IF(COUNTIF(enemy_habitats_rank_quests!$H:$H,A20),"OK","NG")</f>
        <v>OK</v>
      </c>
      <c r="C20" s="8">
        <v>10030</v>
      </c>
      <c r="D20" s="12" t="str">
        <f ca="1">VLOOKUP($C20,OFFSET([1]quests!$A$1,0,0,COUNTA([1]quests!$A:$A),MATCH(D$1,[1]quests!$1:$1,0)-MATCH($C$1,[1]quests!$1:$1,0)+1),MATCH(D$1,[1]quests!$1:$1,0)-MATCH($C$1,[1]quests!$1:$1,0)+1,FALSE)</f>
        <v>陸と海</v>
      </c>
      <c r="E20" s="29" t="str">
        <f ca="1">VLOOKUP($C20,OFFSET([1]quests!$A$1,0,0,COUNTA([1]quests!$A:$A),MATCH(E$1,[1]quests!$1:$1,0)-MATCH($C$1,[1]quests!$1:$1,0)+1),MATCH(E$1,[1]quests!$1:$1,0)-MATCH($C$1,[1]quests!$1:$1,0)+1,FALSE)</f>
        <v>ランク開放クエスト Lv30</v>
      </c>
      <c r="F20" s="31">
        <v>1</v>
      </c>
      <c r="G20" s="33" t="str">
        <f>C20&amp;"_"&amp;F20</f>
        <v>10030_1</v>
      </c>
      <c r="H20" s="20" t="str">
        <f ca="1">VLOOKUP($G20,OFFSET([1]stages!$A$1,0,0,COUNTA([1]stages!$A:$A),MATCH(H$1,[1]stages!$2:$2,0)-MATCH($G$1,[1]stages!$2:$2,0)+1),MATCH(H$1,[1]stages!$2:$2,0)-MATCH($G$1,[1]stages!$2:$2,0)+1,FALSE)</f>
        <v>陸と海</v>
      </c>
      <c r="I20" s="31">
        <v>1</v>
      </c>
      <c r="J20" s="39">
        <v>15</v>
      </c>
      <c r="K20" s="39">
        <v>30</v>
      </c>
    </row>
    <row r="21" spans="1:11" ht="21" customHeight="1">
      <c r="A21" s="21" t="str">
        <f t="shared" ref="A21:A24" si="12">G21&amp;"-"&amp;I21</f>
        <v>10030_1-2</v>
      </c>
      <c r="B21" s="21" t="str">
        <f>IF(COUNTIF(enemy_habitats_rank_quests!$H:$H,A21),"OK","NG")</f>
        <v>OK</v>
      </c>
      <c r="C21" s="8">
        <v>10030</v>
      </c>
      <c r="D21" s="12" t="str">
        <f ca="1">VLOOKUP($C21,OFFSET([1]quests!$A$1,0,0,COUNTA([1]quests!$A:$A),MATCH(D$1,[1]quests!$1:$1,0)-MATCH($C$1,[1]quests!$1:$1,0)+1),MATCH(D$1,[1]quests!$1:$1,0)-MATCH($C$1,[1]quests!$1:$1,0)+1,FALSE)</f>
        <v>陸と海</v>
      </c>
      <c r="E21" s="29" t="str">
        <f ca="1">VLOOKUP($C21,OFFSET([1]quests!$A$1,0,0,COUNTA([1]quests!$A:$A),MATCH(E$1,[1]quests!$1:$1,0)-MATCH($C$1,[1]quests!$1:$1,0)+1),MATCH(E$1,[1]quests!$1:$1,0)-MATCH($C$1,[1]quests!$1:$1,0)+1,FALSE)</f>
        <v>ランク開放クエスト Lv30</v>
      </c>
      <c r="F21" s="31">
        <v>1</v>
      </c>
      <c r="G21" s="33" t="str">
        <f t="shared" ref="G21:G24" si="13">C21&amp;"_"&amp;F21</f>
        <v>10030_1</v>
      </c>
      <c r="H21" s="20" t="str">
        <f ca="1">VLOOKUP($G21,OFFSET([1]stages!$A$1,0,0,COUNTA([1]stages!$A:$A),MATCH(H$1,[1]stages!$2:$2,0)-MATCH($G$1,[1]stages!$2:$2,0)+1),MATCH(H$1,[1]stages!$2:$2,0)-MATCH($G$1,[1]stages!$2:$2,0)+1,FALSE)</f>
        <v>陸と海</v>
      </c>
      <c r="I21" s="31">
        <v>2</v>
      </c>
      <c r="J21" s="39">
        <v>30</v>
      </c>
      <c r="K21" s="39">
        <v>45</v>
      </c>
    </row>
    <row r="22" spans="1:11" ht="21" customHeight="1">
      <c r="A22" s="21" t="str">
        <f t="shared" si="12"/>
        <v>10030_1-3</v>
      </c>
      <c r="B22" s="21" t="str">
        <f>IF(COUNTIF(enemy_habitats_rank_quests!$H:$H,A22),"OK","NG")</f>
        <v>OK</v>
      </c>
      <c r="C22" s="8">
        <v>10030</v>
      </c>
      <c r="D22" s="12" t="str">
        <f ca="1">VLOOKUP($C22,OFFSET([1]quests!$A$1,0,0,COUNTA([1]quests!$A:$A),MATCH(D$1,[1]quests!$1:$1,0)-MATCH($C$1,[1]quests!$1:$1,0)+1),MATCH(D$1,[1]quests!$1:$1,0)-MATCH($C$1,[1]quests!$1:$1,0)+1,FALSE)</f>
        <v>陸と海</v>
      </c>
      <c r="E22" s="29" t="str">
        <f ca="1">VLOOKUP($C22,OFFSET([1]quests!$A$1,0,0,COUNTA([1]quests!$A:$A),MATCH(E$1,[1]quests!$1:$1,0)-MATCH($C$1,[1]quests!$1:$1,0)+1),MATCH(E$1,[1]quests!$1:$1,0)-MATCH($C$1,[1]quests!$1:$1,0)+1,FALSE)</f>
        <v>ランク開放クエスト Lv30</v>
      </c>
      <c r="F22" s="31">
        <v>1</v>
      </c>
      <c r="G22" s="33" t="str">
        <f t="shared" si="13"/>
        <v>10030_1</v>
      </c>
      <c r="H22" s="20" t="str">
        <f ca="1">VLOOKUP($G22,OFFSET([1]stages!$A$1,0,0,COUNTA([1]stages!$A:$A),MATCH(H$1,[1]stages!$2:$2,0)-MATCH($G$1,[1]stages!$2:$2,0)+1),MATCH(H$1,[1]stages!$2:$2,0)-MATCH($G$1,[1]stages!$2:$2,0)+1,FALSE)</f>
        <v>陸と海</v>
      </c>
      <c r="I22" s="31">
        <v>3</v>
      </c>
      <c r="J22" s="39">
        <v>45</v>
      </c>
      <c r="K22" s="39">
        <v>60</v>
      </c>
    </row>
    <row r="23" spans="1:11" ht="21" customHeight="1">
      <c r="A23" s="21" t="str">
        <f t="shared" si="12"/>
        <v>10030_1-4</v>
      </c>
      <c r="B23" s="21" t="str">
        <f>IF(COUNTIF(enemy_habitats_rank_quests!$H:$H,A23),"OK","NG")</f>
        <v>OK</v>
      </c>
      <c r="C23" s="8">
        <v>10030</v>
      </c>
      <c r="D23" s="12" t="str">
        <f ca="1">VLOOKUP($C23,OFFSET([1]quests!$A$1,0,0,COUNTA([1]quests!$A:$A),MATCH(D$1,[1]quests!$1:$1,0)-MATCH($C$1,[1]quests!$1:$1,0)+1),MATCH(D$1,[1]quests!$1:$1,0)-MATCH($C$1,[1]quests!$1:$1,0)+1,FALSE)</f>
        <v>陸と海</v>
      </c>
      <c r="E23" s="29" t="str">
        <f ca="1">VLOOKUP($C23,OFFSET([1]quests!$A$1,0,0,COUNTA([1]quests!$A:$A),MATCH(E$1,[1]quests!$1:$1,0)-MATCH($C$1,[1]quests!$1:$1,0)+1),MATCH(E$1,[1]quests!$1:$1,0)-MATCH($C$1,[1]quests!$1:$1,0)+1,FALSE)</f>
        <v>ランク開放クエスト Lv30</v>
      </c>
      <c r="F23" s="31">
        <v>1</v>
      </c>
      <c r="G23" s="33" t="str">
        <f t="shared" si="13"/>
        <v>10030_1</v>
      </c>
      <c r="H23" s="20" t="str">
        <f ca="1">VLOOKUP($G23,OFFSET([1]stages!$A$1,0,0,COUNTA([1]stages!$A:$A),MATCH(H$1,[1]stages!$2:$2,0)-MATCH($G$1,[1]stages!$2:$2,0)+1),MATCH(H$1,[1]stages!$2:$2,0)-MATCH($G$1,[1]stages!$2:$2,0)+1,FALSE)</f>
        <v>陸と海</v>
      </c>
      <c r="I23" s="31">
        <v>4</v>
      </c>
      <c r="J23" s="39">
        <v>30</v>
      </c>
      <c r="K23" s="39">
        <v>60</v>
      </c>
    </row>
    <row r="24" spans="1:11" ht="21" customHeight="1">
      <c r="A24" s="21" t="str">
        <f t="shared" si="12"/>
        <v>10030_1-5</v>
      </c>
      <c r="B24" s="21" t="str">
        <f>IF(COUNTIF(enemy_habitats_rank_quests!$H:$H,A24),"OK","NG")</f>
        <v>OK</v>
      </c>
      <c r="C24" s="8">
        <v>10030</v>
      </c>
      <c r="D24" s="12" t="str">
        <f ca="1">VLOOKUP($C24,OFFSET([1]quests!$A$1,0,0,COUNTA([1]quests!$A:$A),MATCH(D$1,[1]quests!$1:$1,0)-MATCH($C$1,[1]quests!$1:$1,0)+1),MATCH(D$1,[1]quests!$1:$1,0)-MATCH($C$1,[1]quests!$1:$1,0)+1,FALSE)</f>
        <v>陸と海</v>
      </c>
      <c r="E24" s="29" t="str">
        <f ca="1">VLOOKUP($C24,OFFSET([1]quests!$A$1,0,0,COUNTA([1]quests!$A:$A),MATCH(E$1,[1]quests!$1:$1,0)-MATCH($C$1,[1]quests!$1:$1,0)+1),MATCH(E$1,[1]quests!$1:$1,0)-MATCH($C$1,[1]quests!$1:$1,0)+1,FALSE)</f>
        <v>ランク開放クエスト Lv30</v>
      </c>
      <c r="F24" s="31">
        <v>1</v>
      </c>
      <c r="G24" s="33" t="str">
        <f t="shared" si="13"/>
        <v>10030_1</v>
      </c>
      <c r="H24" s="20" t="str">
        <f ca="1">VLOOKUP($G24,OFFSET([1]stages!$A$1,0,0,COUNTA([1]stages!$A:$A),MATCH(H$1,[1]stages!$2:$2,0)-MATCH($G$1,[1]stages!$2:$2,0)+1),MATCH(H$1,[1]stages!$2:$2,0)-MATCH($G$1,[1]stages!$2:$2,0)+1,FALSE)</f>
        <v>陸と海</v>
      </c>
      <c r="I24" s="31">
        <v>5</v>
      </c>
      <c r="J24" s="39">
        <v>60</v>
      </c>
      <c r="K24" s="39">
        <v>60</v>
      </c>
    </row>
    <row r="25" spans="1:11" ht="21" customHeight="1">
      <c r="A25" s="21" t="str">
        <f>G25&amp;"-"&amp;I25</f>
        <v>10035_1-1</v>
      </c>
      <c r="B25" s="21" t="str">
        <f>IF(COUNTIF(enemy_habitats_rank_quests!$H:$H,A25),"OK","NG")</f>
        <v>OK</v>
      </c>
      <c r="C25" s="8">
        <v>10035</v>
      </c>
      <c r="D25" s="12" t="str">
        <f ca="1">VLOOKUP($C25,OFFSET([1]quests!$A$1,0,0,COUNTA([1]quests!$A:$A),MATCH(D$1,[1]quests!$1:$1,0)-MATCH($C$1,[1]quests!$1:$1,0)+1),MATCH(D$1,[1]quests!$1:$1,0)-MATCH($C$1,[1]quests!$1:$1,0)+1,FALSE)</f>
        <v>二人の関係は？</v>
      </c>
      <c r="E25" s="29" t="str">
        <f ca="1">VLOOKUP($C25,OFFSET([1]quests!$A$1,0,0,COUNTA([1]quests!$A:$A),MATCH(E$1,[1]quests!$1:$1,0)-MATCH($C$1,[1]quests!$1:$1,0)+1),MATCH(E$1,[1]quests!$1:$1,0)-MATCH($C$1,[1]quests!$1:$1,0)+1,FALSE)</f>
        <v>ランク開放クエスト Lv35</v>
      </c>
      <c r="F25" s="31">
        <v>1</v>
      </c>
      <c r="G25" s="33" t="str">
        <f>C25&amp;"_"&amp;F25</f>
        <v>10035_1</v>
      </c>
      <c r="H25" s="20" t="str">
        <f ca="1">VLOOKUP($G25,OFFSET([1]stages!$A$1,0,0,COUNTA([1]stages!$A:$A),MATCH(H$1,[1]stages!$2:$2,0)-MATCH($G$1,[1]stages!$2:$2,0)+1),MATCH(H$1,[1]stages!$2:$2,0)-MATCH($G$1,[1]stages!$2:$2,0)+1,FALSE)</f>
        <v>二人の関係は？</v>
      </c>
      <c r="I25" s="31">
        <v>1</v>
      </c>
      <c r="J25" s="39">
        <v>15</v>
      </c>
      <c r="K25" s="39">
        <v>30</v>
      </c>
    </row>
    <row r="26" spans="1:11" ht="21" customHeight="1">
      <c r="A26" s="21" t="str">
        <f t="shared" ref="A26:A29" si="14">G26&amp;"-"&amp;I26</f>
        <v>10035_1-2</v>
      </c>
      <c r="B26" s="21" t="str">
        <f>IF(COUNTIF(enemy_habitats_rank_quests!$H:$H,A26),"OK","NG")</f>
        <v>OK</v>
      </c>
      <c r="C26" s="8">
        <v>10035</v>
      </c>
      <c r="D26" s="12" t="str">
        <f ca="1">VLOOKUP($C26,OFFSET([1]quests!$A$1,0,0,COUNTA([1]quests!$A:$A),MATCH(D$1,[1]quests!$1:$1,0)-MATCH($C$1,[1]quests!$1:$1,0)+1),MATCH(D$1,[1]quests!$1:$1,0)-MATCH($C$1,[1]quests!$1:$1,0)+1,FALSE)</f>
        <v>二人の関係は？</v>
      </c>
      <c r="E26" s="29" t="str">
        <f ca="1">VLOOKUP($C26,OFFSET([1]quests!$A$1,0,0,COUNTA([1]quests!$A:$A),MATCH(E$1,[1]quests!$1:$1,0)-MATCH($C$1,[1]quests!$1:$1,0)+1),MATCH(E$1,[1]quests!$1:$1,0)-MATCH($C$1,[1]quests!$1:$1,0)+1,FALSE)</f>
        <v>ランク開放クエスト Lv35</v>
      </c>
      <c r="F26" s="31">
        <v>1</v>
      </c>
      <c r="G26" s="33" t="str">
        <f t="shared" ref="G26:G29" si="15">C26&amp;"_"&amp;F26</f>
        <v>10035_1</v>
      </c>
      <c r="H26" s="20" t="str">
        <f ca="1">VLOOKUP($G26,OFFSET([1]stages!$A$1,0,0,COUNTA([1]stages!$A:$A),MATCH(H$1,[1]stages!$2:$2,0)-MATCH($G$1,[1]stages!$2:$2,0)+1),MATCH(H$1,[1]stages!$2:$2,0)-MATCH($G$1,[1]stages!$2:$2,0)+1,FALSE)</f>
        <v>二人の関係は？</v>
      </c>
      <c r="I26" s="31">
        <v>2</v>
      </c>
      <c r="J26" s="39">
        <v>30</v>
      </c>
      <c r="K26" s="39">
        <v>45</v>
      </c>
    </row>
    <row r="27" spans="1:11" ht="21" customHeight="1">
      <c r="A27" s="21" t="str">
        <f t="shared" si="14"/>
        <v>10035_1-3</v>
      </c>
      <c r="B27" s="21" t="str">
        <f>IF(COUNTIF(enemy_habitats_rank_quests!$H:$H,A27),"OK","NG")</f>
        <v>OK</v>
      </c>
      <c r="C27" s="8">
        <v>10035</v>
      </c>
      <c r="D27" s="12" t="str">
        <f ca="1">VLOOKUP($C27,OFFSET([1]quests!$A$1,0,0,COUNTA([1]quests!$A:$A),MATCH(D$1,[1]quests!$1:$1,0)-MATCH($C$1,[1]quests!$1:$1,0)+1),MATCH(D$1,[1]quests!$1:$1,0)-MATCH($C$1,[1]quests!$1:$1,0)+1,FALSE)</f>
        <v>二人の関係は？</v>
      </c>
      <c r="E27" s="29" t="str">
        <f ca="1">VLOOKUP($C27,OFFSET([1]quests!$A$1,0,0,COUNTA([1]quests!$A:$A),MATCH(E$1,[1]quests!$1:$1,0)-MATCH($C$1,[1]quests!$1:$1,0)+1),MATCH(E$1,[1]quests!$1:$1,0)-MATCH($C$1,[1]quests!$1:$1,0)+1,FALSE)</f>
        <v>ランク開放クエスト Lv35</v>
      </c>
      <c r="F27" s="31">
        <v>1</v>
      </c>
      <c r="G27" s="33" t="str">
        <f t="shared" si="15"/>
        <v>10035_1</v>
      </c>
      <c r="H27" s="20" t="str">
        <f ca="1">VLOOKUP($G27,OFFSET([1]stages!$A$1,0,0,COUNTA([1]stages!$A:$A),MATCH(H$1,[1]stages!$2:$2,0)-MATCH($G$1,[1]stages!$2:$2,0)+1),MATCH(H$1,[1]stages!$2:$2,0)-MATCH($G$1,[1]stages!$2:$2,0)+1,FALSE)</f>
        <v>二人の関係は？</v>
      </c>
      <c r="I27" s="31">
        <v>3</v>
      </c>
      <c r="J27" s="39">
        <v>45</v>
      </c>
      <c r="K27" s="39">
        <v>60</v>
      </c>
    </row>
    <row r="28" spans="1:11" ht="21" customHeight="1">
      <c r="A28" s="21" t="str">
        <f t="shared" si="14"/>
        <v>10035_1-4</v>
      </c>
      <c r="B28" s="21" t="str">
        <f>IF(COUNTIF(enemy_habitats_rank_quests!$H:$H,A28),"OK","NG")</f>
        <v>OK</v>
      </c>
      <c r="C28" s="8">
        <v>10035</v>
      </c>
      <c r="D28" s="12" t="str">
        <f ca="1">VLOOKUP($C28,OFFSET([1]quests!$A$1,0,0,COUNTA([1]quests!$A:$A),MATCH(D$1,[1]quests!$1:$1,0)-MATCH($C$1,[1]quests!$1:$1,0)+1),MATCH(D$1,[1]quests!$1:$1,0)-MATCH($C$1,[1]quests!$1:$1,0)+1,FALSE)</f>
        <v>二人の関係は？</v>
      </c>
      <c r="E28" s="29" t="str">
        <f ca="1">VLOOKUP($C28,OFFSET([1]quests!$A$1,0,0,COUNTA([1]quests!$A:$A),MATCH(E$1,[1]quests!$1:$1,0)-MATCH($C$1,[1]quests!$1:$1,0)+1),MATCH(E$1,[1]quests!$1:$1,0)-MATCH($C$1,[1]quests!$1:$1,0)+1,FALSE)</f>
        <v>ランク開放クエスト Lv35</v>
      </c>
      <c r="F28" s="31">
        <v>1</v>
      </c>
      <c r="G28" s="33" t="str">
        <f t="shared" si="15"/>
        <v>10035_1</v>
      </c>
      <c r="H28" s="20" t="str">
        <f ca="1">VLOOKUP($G28,OFFSET([1]stages!$A$1,0,0,COUNTA([1]stages!$A:$A),MATCH(H$1,[1]stages!$2:$2,0)-MATCH($G$1,[1]stages!$2:$2,0)+1),MATCH(H$1,[1]stages!$2:$2,0)-MATCH($G$1,[1]stages!$2:$2,0)+1,FALSE)</f>
        <v>二人の関係は？</v>
      </c>
      <c r="I28" s="31">
        <v>4</v>
      </c>
      <c r="J28" s="39">
        <v>30</v>
      </c>
      <c r="K28" s="39">
        <v>60</v>
      </c>
    </row>
    <row r="29" spans="1:11" ht="21" customHeight="1">
      <c r="A29" s="21" t="str">
        <f t="shared" si="14"/>
        <v>10035_1-5</v>
      </c>
      <c r="B29" s="21" t="str">
        <f>IF(COUNTIF(enemy_habitats_rank_quests!$H:$H,A29),"OK","NG")</f>
        <v>OK</v>
      </c>
      <c r="C29" s="8">
        <v>10035</v>
      </c>
      <c r="D29" s="12" t="str">
        <f ca="1">VLOOKUP($C29,OFFSET([1]quests!$A$1,0,0,COUNTA([1]quests!$A:$A),MATCH(D$1,[1]quests!$1:$1,0)-MATCH($C$1,[1]quests!$1:$1,0)+1),MATCH(D$1,[1]quests!$1:$1,0)-MATCH($C$1,[1]quests!$1:$1,0)+1,FALSE)</f>
        <v>二人の関係は？</v>
      </c>
      <c r="E29" s="29" t="str">
        <f ca="1">VLOOKUP($C29,OFFSET([1]quests!$A$1,0,0,COUNTA([1]quests!$A:$A),MATCH(E$1,[1]quests!$1:$1,0)-MATCH($C$1,[1]quests!$1:$1,0)+1),MATCH(E$1,[1]quests!$1:$1,0)-MATCH($C$1,[1]quests!$1:$1,0)+1,FALSE)</f>
        <v>ランク開放クエスト Lv35</v>
      </c>
      <c r="F29" s="31">
        <v>1</v>
      </c>
      <c r="G29" s="33" t="str">
        <f t="shared" si="15"/>
        <v>10035_1</v>
      </c>
      <c r="H29" s="20" t="str">
        <f ca="1">VLOOKUP($G29,OFFSET([1]stages!$A$1,0,0,COUNTA([1]stages!$A:$A),MATCH(H$1,[1]stages!$2:$2,0)-MATCH($G$1,[1]stages!$2:$2,0)+1),MATCH(H$1,[1]stages!$2:$2,0)-MATCH($G$1,[1]stages!$2:$2,0)+1,FALSE)</f>
        <v>二人の関係は？</v>
      </c>
      <c r="I29" s="31">
        <v>5</v>
      </c>
      <c r="J29" s="39">
        <v>60</v>
      </c>
      <c r="K29" s="39">
        <v>60</v>
      </c>
    </row>
    <row r="30" spans="1:11" ht="21" customHeight="1">
      <c r="A30" s="21" t="str">
        <f>G30&amp;"-"&amp;I30</f>
        <v>10040_1-1</v>
      </c>
      <c r="B30" s="21" t="str">
        <f>IF(COUNTIF(enemy_habitats_rank_quests!$H:$H,A30),"OK","NG")</f>
        <v>OK</v>
      </c>
      <c r="C30" s="8">
        <v>10040</v>
      </c>
      <c r="D30" s="12" t="str">
        <f ca="1">VLOOKUP($C30,OFFSET([1]quests!$A$1,0,0,COUNTA([1]quests!$A:$A),MATCH(D$1,[1]quests!$1:$1,0)-MATCH($C$1,[1]quests!$1:$1,0)+1),MATCH(D$1,[1]quests!$1:$1,0)-MATCH($C$1,[1]quests!$1:$1,0)+1,FALSE)</f>
        <v>大地の杖</v>
      </c>
      <c r="E30" s="29" t="str">
        <f ca="1">VLOOKUP($C30,OFFSET([1]quests!$A$1,0,0,COUNTA([1]quests!$A:$A),MATCH(E$1,[1]quests!$1:$1,0)-MATCH($C$1,[1]quests!$1:$1,0)+1),MATCH(E$1,[1]quests!$1:$1,0)-MATCH($C$1,[1]quests!$1:$1,0)+1,FALSE)</f>
        <v>ランク開放クエスト Lv40</v>
      </c>
      <c r="F30" s="31">
        <v>1</v>
      </c>
      <c r="G30" s="33" t="str">
        <f>C30&amp;"_"&amp;F30</f>
        <v>10040_1</v>
      </c>
      <c r="H30" s="20" t="str">
        <f ca="1">VLOOKUP($G30,OFFSET([1]stages!$A$1,0,0,COUNTA([1]stages!$A:$A),MATCH(H$1,[1]stages!$2:$2,0)-MATCH($G$1,[1]stages!$2:$2,0)+1),MATCH(H$1,[1]stages!$2:$2,0)-MATCH($G$1,[1]stages!$2:$2,0)+1,FALSE)</f>
        <v>大地の杖</v>
      </c>
      <c r="I30" s="31">
        <v>1</v>
      </c>
      <c r="J30" s="39">
        <v>15</v>
      </c>
      <c r="K30" s="39">
        <v>30</v>
      </c>
    </row>
    <row r="31" spans="1:11" ht="21" customHeight="1">
      <c r="A31" s="21" t="str">
        <f t="shared" ref="A31:A34" si="16">G31&amp;"-"&amp;I31</f>
        <v>10040_1-2</v>
      </c>
      <c r="B31" s="21" t="str">
        <f>IF(COUNTIF(enemy_habitats_rank_quests!$H:$H,A31),"OK","NG")</f>
        <v>OK</v>
      </c>
      <c r="C31" s="8">
        <v>10040</v>
      </c>
      <c r="D31" s="12" t="str">
        <f ca="1">VLOOKUP($C31,OFFSET([1]quests!$A$1,0,0,COUNTA([1]quests!$A:$A),MATCH(D$1,[1]quests!$1:$1,0)-MATCH($C$1,[1]quests!$1:$1,0)+1),MATCH(D$1,[1]quests!$1:$1,0)-MATCH($C$1,[1]quests!$1:$1,0)+1,FALSE)</f>
        <v>大地の杖</v>
      </c>
      <c r="E31" s="29" t="str">
        <f ca="1">VLOOKUP($C31,OFFSET([1]quests!$A$1,0,0,COUNTA([1]quests!$A:$A),MATCH(E$1,[1]quests!$1:$1,0)-MATCH($C$1,[1]quests!$1:$1,0)+1),MATCH(E$1,[1]quests!$1:$1,0)-MATCH($C$1,[1]quests!$1:$1,0)+1,FALSE)</f>
        <v>ランク開放クエスト Lv40</v>
      </c>
      <c r="F31" s="31">
        <v>1</v>
      </c>
      <c r="G31" s="33" t="str">
        <f t="shared" ref="G31:G34" si="17">C31&amp;"_"&amp;F31</f>
        <v>10040_1</v>
      </c>
      <c r="H31" s="20" t="str">
        <f ca="1">VLOOKUP($G31,OFFSET([1]stages!$A$1,0,0,COUNTA([1]stages!$A:$A),MATCH(H$1,[1]stages!$2:$2,0)-MATCH($G$1,[1]stages!$2:$2,0)+1),MATCH(H$1,[1]stages!$2:$2,0)-MATCH($G$1,[1]stages!$2:$2,0)+1,FALSE)</f>
        <v>大地の杖</v>
      </c>
      <c r="I31" s="31">
        <v>2</v>
      </c>
      <c r="J31" s="39">
        <v>30</v>
      </c>
      <c r="K31" s="39">
        <v>45</v>
      </c>
    </row>
    <row r="32" spans="1:11" ht="21" customHeight="1">
      <c r="A32" s="21" t="str">
        <f t="shared" si="16"/>
        <v>10040_1-3</v>
      </c>
      <c r="B32" s="21" t="str">
        <f>IF(COUNTIF(enemy_habitats_rank_quests!$H:$H,A32),"OK","NG")</f>
        <v>OK</v>
      </c>
      <c r="C32" s="8">
        <v>10040</v>
      </c>
      <c r="D32" s="12" t="str">
        <f ca="1">VLOOKUP($C32,OFFSET([1]quests!$A$1,0,0,COUNTA([1]quests!$A:$A),MATCH(D$1,[1]quests!$1:$1,0)-MATCH($C$1,[1]quests!$1:$1,0)+1),MATCH(D$1,[1]quests!$1:$1,0)-MATCH($C$1,[1]quests!$1:$1,0)+1,FALSE)</f>
        <v>大地の杖</v>
      </c>
      <c r="E32" s="29" t="str">
        <f ca="1">VLOOKUP($C32,OFFSET([1]quests!$A$1,0,0,COUNTA([1]quests!$A:$A),MATCH(E$1,[1]quests!$1:$1,0)-MATCH($C$1,[1]quests!$1:$1,0)+1),MATCH(E$1,[1]quests!$1:$1,0)-MATCH($C$1,[1]quests!$1:$1,0)+1,FALSE)</f>
        <v>ランク開放クエスト Lv40</v>
      </c>
      <c r="F32" s="31">
        <v>1</v>
      </c>
      <c r="G32" s="33" t="str">
        <f t="shared" si="17"/>
        <v>10040_1</v>
      </c>
      <c r="H32" s="20" t="str">
        <f ca="1">VLOOKUP($G32,OFFSET([1]stages!$A$1,0,0,COUNTA([1]stages!$A:$A),MATCH(H$1,[1]stages!$2:$2,0)-MATCH($G$1,[1]stages!$2:$2,0)+1),MATCH(H$1,[1]stages!$2:$2,0)-MATCH($G$1,[1]stages!$2:$2,0)+1,FALSE)</f>
        <v>大地の杖</v>
      </c>
      <c r="I32" s="31">
        <v>3</v>
      </c>
      <c r="J32" s="39">
        <v>45</v>
      </c>
      <c r="K32" s="39">
        <v>60</v>
      </c>
    </row>
    <row r="33" spans="1:11" ht="21" customHeight="1">
      <c r="A33" s="21" t="str">
        <f t="shared" si="16"/>
        <v>10040_1-4</v>
      </c>
      <c r="B33" s="21" t="str">
        <f>IF(COUNTIF(enemy_habitats_rank_quests!$H:$H,A33),"OK","NG")</f>
        <v>OK</v>
      </c>
      <c r="C33" s="8">
        <v>10040</v>
      </c>
      <c r="D33" s="12" t="str">
        <f ca="1">VLOOKUP($C33,OFFSET([1]quests!$A$1,0,0,COUNTA([1]quests!$A:$A),MATCH(D$1,[1]quests!$1:$1,0)-MATCH($C$1,[1]quests!$1:$1,0)+1),MATCH(D$1,[1]quests!$1:$1,0)-MATCH($C$1,[1]quests!$1:$1,0)+1,FALSE)</f>
        <v>大地の杖</v>
      </c>
      <c r="E33" s="29" t="str">
        <f ca="1">VLOOKUP($C33,OFFSET([1]quests!$A$1,0,0,COUNTA([1]quests!$A:$A),MATCH(E$1,[1]quests!$1:$1,0)-MATCH($C$1,[1]quests!$1:$1,0)+1),MATCH(E$1,[1]quests!$1:$1,0)-MATCH($C$1,[1]quests!$1:$1,0)+1,FALSE)</f>
        <v>ランク開放クエスト Lv40</v>
      </c>
      <c r="F33" s="31">
        <v>1</v>
      </c>
      <c r="G33" s="33" t="str">
        <f t="shared" si="17"/>
        <v>10040_1</v>
      </c>
      <c r="H33" s="20" t="str">
        <f ca="1">VLOOKUP($G33,OFFSET([1]stages!$A$1,0,0,COUNTA([1]stages!$A:$A),MATCH(H$1,[1]stages!$2:$2,0)-MATCH($G$1,[1]stages!$2:$2,0)+1),MATCH(H$1,[1]stages!$2:$2,0)-MATCH($G$1,[1]stages!$2:$2,0)+1,FALSE)</f>
        <v>大地の杖</v>
      </c>
      <c r="I33" s="31">
        <v>4</v>
      </c>
      <c r="J33" s="39">
        <v>30</v>
      </c>
      <c r="K33" s="39">
        <v>60</v>
      </c>
    </row>
    <row r="34" spans="1:11" ht="21" customHeight="1">
      <c r="A34" s="21" t="str">
        <f t="shared" si="16"/>
        <v>10040_1-5</v>
      </c>
      <c r="B34" s="21" t="str">
        <f>IF(COUNTIF(enemy_habitats_rank_quests!$H:$H,A34),"OK","NG")</f>
        <v>OK</v>
      </c>
      <c r="C34" s="8">
        <v>10040</v>
      </c>
      <c r="D34" s="12" t="str">
        <f ca="1">VLOOKUP($C34,OFFSET([1]quests!$A$1,0,0,COUNTA([1]quests!$A:$A),MATCH(D$1,[1]quests!$1:$1,0)-MATCH($C$1,[1]quests!$1:$1,0)+1),MATCH(D$1,[1]quests!$1:$1,0)-MATCH($C$1,[1]quests!$1:$1,0)+1,FALSE)</f>
        <v>大地の杖</v>
      </c>
      <c r="E34" s="29" t="str">
        <f ca="1">VLOOKUP($C34,OFFSET([1]quests!$A$1,0,0,COUNTA([1]quests!$A:$A),MATCH(E$1,[1]quests!$1:$1,0)-MATCH($C$1,[1]quests!$1:$1,0)+1),MATCH(E$1,[1]quests!$1:$1,0)-MATCH($C$1,[1]quests!$1:$1,0)+1,FALSE)</f>
        <v>ランク開放クエスト Lv40</v>
      </c>
      <c r="F34" s="31">
        <v>1</v>
      </c>
      <c r="G34" s="33" t="str">
        <f t="shared" si="17"/>
        <v>10040_1</v>
      </c>
      <c r="H34" s="20" t="str">
        <f ca="1">VLOOKUP($G34,OFFSET([1]stages!$A$1,0,0,COUNTA([1]stages!$A:$A),MATCH(H$1,[1]stages!$2:$2,0)-MATCH($G$1,[1]stages!$2:$2,0)+1),MATCH(H$1,[1]stages!$2:$2,0)-MATCH($G$1,[1]stages!$2:$2,0)+1,FALSE)</f>
        <v>大地の杖</v>
      </c>
      <c r="I34" s="31">
        <v>5</v>
      </c>
      <c r="J34" s="39">
        <v>60</v>
      </c>
      <c r="K34" s="39">
        <v>60</v>
      </c>
    </row>
    <row r="35" spans="1:11" ht="21" customHeight="1">
      <c r="A35" s="21" t="str">
        <f>G35&amp;"-"&amp;I35</f>
        <v>10045_1-1</v>
      </c>
      <c r="B35" s="21" t="str">
        <f>IF(COUNTIF(enemy_habitats_rank_quests!$H:$H,A35),"OK","NG")</f>
        <v>OK</v>
      </c>
      <c r="C35" s="8">
        <v>10045</v>
      </c>
      <c r="D35" s="12" t="str">
        <f ca="1">VLOOKUP($C35,OFFSET([1]quests!$A$1,0,0,COUNTA([1]quests!$A:$A),MATCH(D$1,[1]quests!$1:$1,0)-MATCH($C$1,[1]quests!$1:$1,0)+1),MATCH(D$1,[1]quests!$1:$1,0)-MATCH($C$1,[1]quests!$1:$1,0)+1,FALSE)</f>
        <v>迅雷</v>
      </c>
      <c r="E35" s="29" t="str">
        <f ca="1">VLOOKUP($C35,OFFSET([1]quests!$A$1,0,0,COUNTA([1]quests!$A:$A),MATCH(E$1,[1]quests!$1:$1,0)-MATCH($C$1,[1]quests!$1:$1,0)+1),MATCH(E$1,[1]quests!$1:$1,0)-MATCH($C$1,[1]quests!$1:$1,0)+1,FALSE)</f>
        <v>ランク開放クエスト Lv45</v>
      </c>
      <c r="F35" s="31">
        <v>1</v>
      </c>
      <c r="G35" s="33" t="str">
        <f>C35&amp;"_"&amp;F35</f>
        <v>10045_1</v>
      </c>
      <c r="H35" s="20" t="str">
        <f ca="1">VLOOKUP($G35,OFFSET([1]stages!$A$1,0,0,COUNTA([1]stages!$A:$A),MATCH(H$1,[1]stages!$2:$2,0)-MATCH($G$1,[1]stages!$2:$2,0)+1),MATCH(H$1,[1]stages!$2:$2,0)-MATCH($G$1,[1]stages!$2:$2,0)+1,FALSE)</f>
        <v>迅雷</v>
      </c>
      <c r="I35" s="31">
        <v>1</v>
      </c>
      <c r="J35" s="39">
        <v>15</v>
      </c>
      <c r="K35" s="39">
        <v>30</v>
      </c>
    </row>
    <row r="36" spans="1:11" ht="21" customHeight="1">
      <c r="A36" s="21" t="str">
        <f t="shared" ref="A36:A39" si="18">G36&amp;"-"&amp;I36</f>
        <v>10045_1-2</v>
      </c>
      <c r="B36" s="21" t="str">
        <f>IF(COUNTIF(enemy_habitats_rank_quests!$H:$H,A36),"OK","NG")</f>
        <v>OK</v>
      </c>
      <c r="C36" s="8">
        <v>10045</v>
      </c>
      <c r="D36" s="12" t="str">
        <f ca="1">VLOOKUP($C36,OFFSET([1]quests!$A$1,0,0,COUNTA([1]quests!$A:$A),MATCH(D$1,[1]quests!$1:$1,0)-MATCH($C$1,[1]quests!$1:$1,0)+1),MATCH(D$1,[1]quests!$1:$1,0)-MATCH($C$1,[1]quests!$1:$1,0)+1,FALSE)</f>
        <v>迅雷</v>
      </c>
      <c r="E36" s="29" t="str">
        <f ca="1">VLOOKUP($C36,OFFSET([1]quests!$A$1,0,0,COUNTA([1]quests!$A:$A),MATCH(E$1,[1]quests!$1:$1,0)-MATCH($C$1,[1]quests!$1:$1,0)+1),MATCH(E$1,[1]quests!$1:$1,0)-MATCH($C$1,[1]quests!$1:$1,0)+1,FALSE)</f>
        <v>ランク開放クエスト Lv45</v>
      </c>
      <c r="F36" s="31">
        <v>1</v>
      </c>
      <c r="G36" s="33" t="str">
        <f t="shared" ref="G36:G39" si="19">C36&amp;"_"&amp;F36</f>
        <v>10045_1</v>
      </c>
      <c r="H36" s="20" t="str">
        <f ca="1">VLOOKUP($G36,OFFSET([1]stages!$A$1,0,0,COUNTA([1]stages!$A:$A),MATCH(H$1,[1]stages!$2:$2,0)-MATCH($G$1,[1]stages!$2:$2,0)+1),MATCH(H$1,[1]stages!$2:$2,0)-MATCH($G$1,[1]stages!$2:$2,0)+1,FALSE)</f>
        <v>迅雷</v>
      </c>
      <c r="I36" s="31">
        <v>2</v>
      </c>
      <c r="J36" s="39">
        <v>30</v>
      </c>
      <c r="K36" s="39">
        <v>45</v>
      </c>
    </row>
    <row r="37" spans="1:11" ht="21" customHeight="1">
      <c r="A37" s="21" t="str">
        <f t="shared" si="18"/>
        <v>10045_1-3</v>
      </c>
      <c r="B37" s="21" t="str">
        <f>IF(COUNTIF(enemy_habitats_rank_quests!$H:$H,A37),"OK","NG")</f>
        <v>OK</v>
      </c>
      <c r="C37" s="8">
        <v>10045</v>
      </c>
      <c r="D37" s="12" t="str">
        <f ca="1">VLOOKUP($C37,OFFSET([1]quests!$A$1,0,0,COUNTA([1]quests!$A:$A),MATCH(D$1,[1]quests!$1:$1,0)-MATCH($C$1,[1]quests!$1:$1,0)+1),MATCH(D$1,[1]quests!$1:$1,0)-MATCH($C$1,[1]quests!$1:$1,0)+1,FALSE)</f>
        <v>迅雷</v>
      </c>
      <c r="E37" s="29" t="str">
        <f ca="1">VLOOKUP($C37,OFFSET([1]quests!$A$1,0,0,COUNTA([1]quests!$A:$A),MATCH(E$1,[1]quests!$1:$1,0)-MATCH($C$1,[1]quests!$1:$1,0)+1),MATCH(E$1,[1]quests!$1:$1,0)-MATCH($C$1,[1]quests!$1:$1,0)+1,FALSE)</f>
        <v>ランク開放クエスト Lv45</v>
      </c>
      <c r="F37" s="31">
        <v>1</v>
      </c>
      <c r="G37" s="33" t="str">
        <f t="shared" si="19"/>
        <v>10045_1</v>
      </c>
      <c r="H37" s="20" t="str">
        <f ca="1">VLOOKUP($G37,OFFSET([1]stages!$A$1,0,0,COUNTA([1]stages!$A:$A),MATCH(H$1,[1]stages!$2:$2,0)-MATCH($G$1,[1]stages!$2:$2,0)+1),MATCH(H$1,[1]stages!$2:$2,0)-MATCH($G$1,[1]stages!$2:$2,0)+1,FALSE)</f>
        <v>迅雷</v>
      </c>
      <c r="I37" s="31">
        <v>3</v>
      </c>
      <c r="J37" s="39">
        <v>45</v>
      </c>
      <c r="K37" s="39">
        <v>60</v>
      </c>
    </row>
    <row r="38" spans="1:11" ht="21" customHeight="1">
      <c r="A38" s="21" t="str">
        <f t="shared" si="18"/>
        <v>10045_1-4</v>
      </c>
      <c r="B38" s="21" t="str">
        <f>IF(COUNTIF(enemy_habitats_rank_quests!$H:$H,A38),"OK","NG")</f>
        <v>OK</v>
      </c>
      <c r="C38" s="8">
        <v>10045</v>
      </c>
      <c r="D38" s="12" t="str">
        <f ca="1">VLOOKUP($C38,OFFSET([1]quests!$A$1,0,0,COUNTA([1]quests!$A:$A),MATCH(D$1,[1]quests!$1:$1,0)-MATCH($C$1,[1]quests!$1:$1,0)+1),MATCH(D$1,[1]quests!$1:$1,0)-MATCH($C$1,[1]quests!$1:$1,0)+1,FALSE)</f>
        <v>迅雷</v>
      </c>
      <c r="E38" s="29" t="str">
        <f ca="1">VLOOKUP($C38,OFFSET([1]quests!$A$1,0,0,COUNTA([1]quests!$A:$A),MATCH(E$1,[1]quests!$1:$1,0)-MATCH($C$1,[1]quests!$1:$1,0)+1),MATCH(E$1,[1]quests!$1:$1,0)-MATCH($C$1,[1]quests!$1:$1,0)+1,FALSE)</f>
        <v>ランク開放クエスト Lv45</v>
      </c>
      <c r="F38" s="31">
        <v>1</v>
      </c>
      <c r="G38" s="33" t="str">
        <f t="shared" si="19"/>
        <v>10045_1</v>
      </c>
      <c r="H38" s="20" t="str">
        <f ca="1">VLOOKUP($G38,OFFSET([1]stages!$A$1,0,0,COUNTA([1]stages!$A:$A),MATCH(H$1,[1]stages!$2:$2,0)-MATCH($G$1,[1]stages!$2:$2,0)+1),MATCH(H$1,[1]stages!$2:$2,0)-MATCH($G$1,[1]stages!$2:$2,0)+1,FALSE)</f>
        <v>迅雷</v>
      </c>
      <c r="I38" s="31">
        <v>4</v>
      </c>
      <c r="J38" s="39">
        <v>30</v>
      </c>
      <c r="K38" s="39">
        <v>60</v>
      </c>
    </row>
    <row r="39" spans="1:11" ht="21" customHeight="1">
      <c r="A39" s="21" t="str">
        <f t="shared" si="18"/>
        <v>10045_1-5</v>
      </c>
      <c r="B39" s="21" t="str">
        <f>IF(COUNTIF(enemy_habitats_rank_quests!$H:$H,A39),"OK","NG")</f>
        <v>OK</v>
      </c>
      <c r="C39" s="8">
        <v>10045</v>
      </c>
      <c r="D39" s="12" t="str">
        <f ca="1">VLOOKUP($C39,OFFSET([1]quests!$A$1,0,0,COUNTA([1]quests!$A:$A),MATCH(D$1,[1]quests!$1:$1,0)-MATCH($C$1,[1]quests!$1:$1,0)+1),MATCH(D$1,[1]quests!$1:$1,0)-MATCH($C$1,[1]quests!$1:$1,0)+1,FALSE)</f>
        <v>迅雷</v>
      </c>
      <c r="E39" s="29" t="str">
        <f ca="1">VLOOKUP($C39,OFFSET([1]quests!$A$1,0,0,COUNTA([1]quests!$A:$A),MATCH(E$1,[1]quests!$1:$1,0)-MATCH($C$1,[1]quests!$1:$1,0)+1),MATCH(E$1,[1]quests!$1:$1,0)-MATCH($C$1,[1]quests!$1:$1,0)+1,FALSE)</f>
        <v>ランク開放クエスト Lv45</v>
      </c>
      <c r="F39" s="31">
        <v>1</v>
      </c>
      <c r="G39" s="33" t="str">
        <f t="shared" si="19"/>
        <v>10045_1</v>
      </c>
      <c r="H39" s="20" t="str">
        <f ca="1">VLOOKUP($G39,OFFSET([1]stages!$A$1,0,0,COUNTA([1]stages!$A:$A),MATCH(H$1,[1]stages!$2:$2,0)-MATCH($G$1,[1]stages!$2:$2,0)+1),MATCH(H$1,[1]stages!$2:$2,0)-MATCH($G$1,[1]stages!$2:$2,0)+1,FALSE)</f>
        <v>迅雷</v>
      </c>
      <c r="I39" s="31">
        <v>5</v>
      </c>
      <c r="J39" s="39">
        <v>60</v>
      </c>
      <c r="K39" s="39">
        <v>60</v>
      </c>
    </row>
    <row r="40" spans="1:11" ht="21" customHeight="1">
      <c r="A40" s="21" t="str">
        <f>G40&amp;"-"&amp;I40</f>
        <v>10050_1-1</v>
      </c>
      <c r="B40" s="21" t="str">
        <f>IF(COUNTIF(enemy_habitats_rank_quests!$H:$H,A40),"OK","NG")</f>
        <v>OK</v>
      </c>
      <c r="C40" s="8">
        <v>10050</v>
      </c>
      <c r="D40" s="12" t="str">
        <f ca="1">VLOOKUP($C40,OFFSET([1]quests!$A$1,0,0,COUNTA([1]quests!$A:$A),MATCH(D$1,[1]quests!$1:$1,0)-MATCH($C$1,[1]quests!$1:$1,0)+1),MATCH(D$1,[1]quests!$1:$1,0)-MATCH($C$1,[1]quests!$1:$1,0)+1,FALSE)</f>
        <v>噛み合ない二柱</v>
      </c>
      <c r="E40" s="29" t="str">
        <f ca="1">VLOOKUP($C40,OFFSET([1]quests!$A$1,0,0,COUNTA([1]quests!$A:$A),MATCH(E$1,[1]quests!$1:$1,0)-MATCH($C$1,[1]quests!$1:$1,0)+1),MATCH(E$1,[1]quests!$1:$1,0)-MATCH($C$1,[1]quests!$1:$1,0)+1,FALSE)</f>
        <v>ランク開放クエスト Lv50</v>
      </c>
      <c r="F40" s="31">
        <v>1</v>
      </c>
      <c r="G40" s="33" t="str">
        <f>C40&amp;"_"&amp;F40</f>
        <v>10050_1</v>
      </c>
      <c r="H40" s="20" t="str">
        <f ca="1">VLOOKUP($G40,OFFSET([1]stages!$A$1,0,0,COUNTA([1]stages!$A:$A),MATCH(H$1,[1]stages!$2:$2,0)-MATCH($G$1,[1]stages!$2:$2,0)+1),MATCH(H$1,[1]stages!$2:$2,0)-MATCH($G$1,[1]stages!$2:$2,0)+1,FALSE)</f>
        <v>噛み合わない二柱</v>
      </c>
      <c r="I40" s="31">
        <v>1</v>
      </c>
      <c r="J40" s="39">
        <v>15</v>
      </c>
      <c r="K40" s="39">
        <v>30</v>
      </c>
    </row>
    <row r="41" spans="1:11" ht="21" customHeight="1">
      <c r="A41" s="21" t="str">
        <f t="shared" ref="A41:A44" si="20">G41&amp;"-"&amp;I41</f>
        <v>10050_1-2</v>
      </c>
      <c r="B41" s="21" t="str">
        <f>IF(COUNTIF(enemy_habitats_rank_quests!$H:$H,A41),"OK","NG")</f>
        <v>OK</v>
      </c>
      <c r="C41" s="8">
        <v>10050</v>
      </c>
      <c r="D41" s="12" t="str">
        <f ca="1">VLOOKUP($C41,OFFSET([1]quests!$A$1,0,0,COUNTA([1]quests!$A:$A),MATCH(D$1,[1]quests!$1:$1,0)-MATCH($C$1,[1]quests!$1:$1,0)+1),MATCH(D$1,[1]quests!$1:$1,0)-MATCH($C$1,[1]quests!$1:$1,0)+1,FALSE)</f>
        <v>噛み合ない二柱</v>
      </c>
      <c r="E41" s="29" t="str">
        <f ca="1">VLOOKUP($C41,OFFSET([1]quests!$A$1,0,0,COUNTA([1]quests!$A:$A),MATCH(E$1,[1]quests!$1:$1,0)-MATCH($C$1,[1]quests!$1:$1,0)+1),MATCH(E$1,[1]quests!$1:$1,0)-MATCH($C$1,[1]quests!$1:$1,0)+1,FALSE)</f>
        <v>ランク開放クエスト Lv50</v>
      </c>
      <c r="F41" s="31">
        <v>1</v>
      </c>
      <c r="G41" s="33" t="str">
        <f t="shared" ref="G41:G44" si="21">C41&amp;"_"&amp;F41</f>
        <v>10050_1</v>
      </c>
      <c r="H41" s="20" t="str">
        <f ca="1">VLOOKUP($G41,OFFSET([1]stages!$A$1,0,0,COUNTA([1]stages!$A:$A),MATCH(H$1,[1]stages!$2:$2,0)-MATCH($G$1,[1]stages!$2:$2,0)+1),MATCH(H$1,[1]stages!$2:$2,0)-MATCH($G$1,[1]stages!$2:$2,0)+1,FALSE)</f>
        <v>噛み合わない二柱</v>
      </c>
      <c r="I41" s="31">
        <v>2</v>
      </c>
      <c r="J41" s="39">
        <v>30</v>
      </c>
      <c r="K41" s="39">
        <v>45</v>
      </c>
    </row>
    <row r="42" spans="1:11" ht="21" customHeight="1">
      <c r="A42" s="21" t="str">
        <f t="shared" si="20"/>
        <v>10050_1-3</v>
      </c>
      <c r="B42" s="21" t="str">
        <f>IF(COUNTIF(enemy_habitats_rank_quests!$H:$H,A42),"OK","NG")</f>
        <v>OK</v>
      </c>
      <c r="C42" s="8">
        <v>10050</v>
      </c>
      <c r="D42" s="12" t="str">
        <f ca="1">VLOOKUP($C42,OFFSET([1]quests!$A$1,0,0,COUNTA([1]quests!$A:$A),MATCH(D$1,[1]quests!$1:$1,0)-MATCH($C$1,[1]quests!$1:$1,0)+1),MATCH(D$1,[1]quests!$1:$1,0)-MATCH($C$1,[1]quests!$1:$1,0)+1,FALSE)</f>
        <v>噛み合ない二柱</v>
      </c>
      <c r="E42" s="29" t="str">
        <f ca="1">VLOOKUP($C42,OFFSET([1]quests!$A$1,0,0,COUNTA([1]quests!$A:$A),MATCH(E$1,[1]quests!$1:$1,0)-MATCH($C$1,[1]quests!$1:$1,0)+1),MATCH(E$1,[1]quests!$1:$1,0)-MATCH($C$1,[1]quests!$1:$1,0)+1,FALSE)</f>
        <v>ランク開放クエスト Lv50</v>
      </c>
      <c r="F42" s="31">
        <v>1</v>
      </c>
      <c r="G42" s="33" t="str">
        <f t="shared" si="21"/>
        <v>10050_1</v>
      </c>
      <c r="H42" s="20" t="str">
        <f ca="1">VLOOKUP($G42,OFFSET([1]stages!$A$1,0,0,COUNTA([1]stages!$A:$A),MATCH(H$1,[1]stages!$2:$2,0)-MATCH($G$1,[1]stages!$2:$2,0)+1),MATCH(H$1,[1]stages!$2:$2,0)-MATCH($G$1,[1]stages!$2:$2,0)+1,FALSE)</f>
        <v>噛み合わない二柱</v>
      </c>
      <c r="I42" s="31">
        <v>3</v>
      </c>
      <c r="J42" s="39">
        <v>45</v>
      </c>
      <c r="K42" s="39">
        <v>60</v>
      </c>
    </row>
    <row r="43" spans="1:11" ht="21" customHeight="1">
      <c r="A43" s="21" t="str">
        <f t="shared" si="20"/>
        <v>10050_1-4</v>
      </c>
      <c r="B43" s="21" t="str">
        <f>IF(COUNTIF(enemy_habitats_rank_quests!$H:$H,A43),"OK","NG")</f>
        <v>OK</v>
      </c>
      <c r="C43" s="8">
        <v>10050</v>
      </c>
      <c r="D43" s="12" t="str">
        <f ca="1">VLOOKUP($C43,OFFSET([1]quests!$A$1,0,0,COUNTA([1]quests!$A:$A),MATCH(D$1,[1]quests!$1:$1,0)-MATCH($C$1,[1]quests!$1:$1,0)+1),MATCH(D$1,[1]quests!$1:$1,0)-MATCH($C$1,[1]quests!$1:$1,0)+1,FALSE)</f>
        <v>噛み合ない二柱</v>
      </c>
      <c r="E43" s="29" t="str">
        <f ca="1">VLOOKUP($C43,OFFSET([1]quests!$A$1,0,0,COUNTA([1]quests!$A:$A),MATCH(E$1,[1]quests!$1:$1,0)-MATCH($C$1,[1]quests!$1:$1,0)+1),MATCH(E$1,[1]quests!$1:$1,0)-MATCH($C$1,[1]quests!$1:$1,0)+1,FALSE)</f>
        <v>ランク開放クエスト Lv50</v>
      </c>
      <c r="F43" s="31">
        <v>1</v>
      </c>
      <c r="G43" s="33" t="str">
        <f t="shared" si="21"/>
        <v>10050_1</v>
      </c>
      <c r="H43" s="20" t="str">
        <f ca="1">VLOOKUP($G43,OFFSET([1]stages!$A$1,0,0,COUNTA([1]stages!$A:$A),MATCH(H$1,[1]stages!$2:$2,0)-MATCH($G$1,[1]stages!$2:$2,0)+1),MATCH(H$1,[1]stages!$2:$2,0)-MATCH($G$1,[1]stages!$2:$2,0)+1,FALSE)</f>
        <v>噛み合わない二柱</v>
      </c>
      <c r="I43" s="31">
        <v>4</v>
      </c>
      <c r="J43" s="39">
        <v>30</v>
      </c>
      <c r="K43" s="39">
        <v>60</v>
      </c>
    </row>
    <row r="44" spans="1:11" ht="21" customHeight="1">
      <c r="A44" s="21" t="str">
        <f t="shared" si="20"/>
        <v>10050_1-5</v>
      </c>
      <c r="B44" s="21" t="str">
        <f>IF(COUNTIF(enemy_habitats_rank_quests!$H:$H,A44),"OK","NG")</f>
        <v>OK</v>
      </c>
      <c r="C44" s="8">
        <v>10050</v>
      </c>
      <c r="D44" s="12" t="str">
        <f ca="1">VLOOKUP($C44,OFFSET([1]quests!$A$1,0,0,COUNTA([1]quests!$A:$A),MATCH(D$1,[1]quests!$1:$1,0)-MATCH($C$1,[1]quests!$1:$1,0)+1),MATCH(D$1,[1]quests!$1:$1,0)-MATCH($C$1,[1]quests!$1:$1,0)+1,FALSE)</f>
        <v>噛み合ない二柱</v>
      </c>
      <c r="E44" s="29" t="str">
        <f ca="1">VLOOKUP($C44,OFFSET([1]quests!$A$1,0,0,COUNTA([1]quests!$A:$A),MATCH(E$1,[1]quests!$1:$1,0)-MATCH($C$1,[1]quests!$1:$1,0)+1),MATCH(E$1,[1]quests!$1:$1,0)-MATCH($C$1,[1]quests!$1:$1,0)+1,FALSE)</f>
        <v>ランク開放クエスト Lv50</v>
      </c>
      <c r="F44" s="31">
        <v>1</v>
      </c>
      <c r="G44" s="33" t="str">
        <f t="shared" si="21"/>
        <v>10050_1</v>
      </c>
      <c r="H44" s="20" t="str">
        <f ca="1">VLOOKUP($G44,OFFSET([1]stages!$A$1,0,0,COUNTA([1]stages!$A:$A),MATCH(H$1,[1]stages!$2:$2,0)-MATCH($G$1,[1]stages!$2:$2,0)+1),MATCH(H$1,[1]stages!$2:$2,0)-MATCH($G$1,[1]stages!$2:$2,0)+1,FALSE)</f>
        <v>噛み合わない二柱</v>
      </c>
      <c r="I44" s="31">
        <v>5</v>
      </c>
      <c r="J44" s="39">
        <v>60</v>
      </c>
      <c r="K44" s="39">
        <v>60</v>
      </c>
    </row>
    <row r="45" spans="1:11" ht="21" customHeight="1">
      <c r="A45" s="21" t="str">
        <f>G45&amp;"-"&amp;I45</f>
        <v>10055_1-1</v>
      </c>
      <c r="B45" s="21" t="str">
        <f>IF(COUNTIF(enemy_habitats_rank_quests!$H:$H,A45),"OK","NG")</f>
        <v>OK</v>
      </c>
      <c r="C45" s="8">
        <v>10055</v>
      </c>
      <c r="D45" s="12" t="str">
        <f ca="1">VLOOKUP($C45,OFFSET([1]quests!$A$1,0,0,COUNTA([1]quests!$A:$A),MATCH(D$1,[1]quests!$1:$1,0)-MATCH($C$1,[1]quests!$1:$1,0)+1),MATCH(D$1,[1]quests!$1:$1,0)-MATCH($C$1,[1]quests!$1:$1,0)+1,FALSE)</f>
        <v>美女と美獣【仮】</v>
      </c>
      <c r="E45" s="29" t="str">
        <f ca="1">VLOOKUP($C45,OFFSET([1]quests!$A$1,0,0,COUNTA([1]quests!$A:$A),MATCH(E$1,[1]quests!$1:$1,0)-MATCH($C$1,[1]quests!$1:$1,0)+1),MATCH(E$1,[1]quests!$1:$1,0)-MATCH($C$1,[1]quests!$1:$1,0)+1,FALSE)</f>
        <v>ランク開放クエスト Lv55</v>
      </c>
      <c r="F45" s="31">
        <v>1</v>
      </c>
      <c r="G45" s="33" t="str">
        <f>C45&amp;"_"&amp;F45</f>
        <v>10055_1</v>
      </c>
      <c r="H45" s="20" t="str">
        <f ca="1">VLOOKUP($G45,OFFSET([1]stages!$A$1,0,0,COUNTA([1]stages!$A:$A),MATCH(H$1,[1]stages!$2:$2,0)-MATCH($G$1,[1]stages!$2:$2,0)+1),MATCH(H$1,[1]stages!$2:$2,0)-MATCH($G$1,[1]stages!$2:$2,0)+1,FALSE)</f>
        <v>美女と美獣【仮】</v>
      </c>
      <c r="I45" s="31">
        <v>1</v>
      </c>
      <c r="J45" s="39">
        <v>30</v>
      </c>
      <c r="K45" s="39">
        <v>30</v>
      </c>
    </row>
    <row r="46" spans="1:11" ht="21" customHeight="1">
      <c r="A46" s="21" t="str">
        <f t="shared" ref="A46:A49" si="22">G46&amp;"-"&amp;I46</f>
        <v>10055_1-2</v>
      </c>
      <c r="B46" s="21" t="str">
        <f>IF(COUNTIF(enemy_habitats_rank_quests!$H:$H,A46),"OK","NG")</f>
        <v>OK</v>
      </c>
      <c r="C46" s="8">
        <v>10055</v>
      </c>
      <c r="D46" s="12" t="str">
        <f ca="1">VLOOKUP($C46,OFFSET([1]quests!$A$1,0,0,COUNTA([1]quests!$A:$A),MATCH(D$1,[1]quests!$1:$1,0)-MATCH($C$1,[1]quests!$1:$1,0)+1),MATCH(D$1,[1]quests!$1:$1,0)-MATCH($C$1,[1]quests!$1:$1,0)+1,FALSE)</f>
        <v>美女と美獣【仮】</v>
      </c>
      <c r="E46" s="29" t="str">
        <f ca="1">VLOOKUP($C46,OFFSET([1]quests!$A$1,0,0,COUNTA([1]quests!$A:$A),MATCH(E$1,[1]quests!$1:$1,0)-MATCH($C$1,[1]quests!$1:$1,0)+1),MATCH(E$1,[1]quests!$1:$1,0)-MATCH($C$1,[1]quests!$1:$1,0)+1,FALSE)</f>
        <v>ランク開放クエスト Lv55</v>
      </c>
      <c r="F46" s="31">
        <v>1</v>
      </c>
      <c r="G46" s="33" t="str">
        <f t="shared" ref="G46:G49" si="23">C46&amp;"_"&amp;F46</f>
        <v>10055_1</v>
      </c>
      <c r="H46" s="20" t="str">
        <f ca="1">VLOOKUP($G46,OFFSET([1]stages!$A$1,0,0,COUNTA([1]stages!$A:$A),MATCH(H$1,[1]stages!$2:$2,0)-MATCH($G$1,[1]stages!$2:$2,0)+1),MATCH(H$1,[1]stages!$2:$2,0)-MATCH($G$1,[1]stages!$2:$2,0)+1,FALSE)</f>
        <v>美女と美獣【仮】</v>
      </c>
      <c r="I46" s="31">
        <v>2</v>
      </c>
      <c r="J46" s="39">
        <v>30</v>
      </c>
      <c r="K46" s="39">
        <v>45</v>
      </c>
    </row>
    <row r="47" spans="1:11" ht="21" customHeight="1">
      <c r="A47" s="21" t="str">
        <f t="shared" si="22"/>
        <v>10055_1-3</v>
      </c>
      <c r="B47" s="21" t="str">
        <f>IF(COUNTIF(enemy_habitats_rank_quests!$H:$H,A47),"OK","NG")</f>
        <v>OK</v>
      </c>
      <c r="C47" s="8">
        <v>10055</v>
      </c>
      <c r="D47" s="12" t="str">
        <f ca="1">VLOOKUP($C47,OFFSET([1]quests!$A$1,0,0,COUNTA([1]quests!$A:$A),MATCH(D$1,[1]quests!$1:$1,0)-MATCH($C$1,[1]quests!$1:$1,0)+1),MATCH(D$1,[1]quests!$1:$1,0)-MATCH($C$1,[1]quests!$1:$1,0)+1,FALSE)</f>
        <v>美女と美獣【仮】</v>
      </c>
      <c r="E47" s="29" t="str">
        <f ca="1">VLOOKUP($C47,OFFSET([1]quests!$A$1,0,0,COUNTA([1]quests!$A:$A),MATCH(E$1,[1]quests!$1:$1,0)-MATCH($C$1,[1]quests!$1:$1,0)+1),MATCH(E$1,[1]quests!$1:$1,0)-MATCH($C$1,[1]quests!$1:$1,0)+1,FALSE)</f>
        <v>ランク開放クエスト Lv55</v>
      </c>
      <c r="F47" s="31">
        <v>1</v>
      </c>
      <c r="G47" s="33" t="str">
        <f t="shared" si="23"/>
        <v>10055_1</v>
      </c>
      <c r="H47" s="20" t="str">
        <f ca="1">VLOOKUP($G47,OFFSET([1]stages!$A$1,0,0,COUNTA([1]stages!$A:$A),MATCH(H$1,[1]stages!$2:$2,0)-MATCH($G$1,[1]stages!$2:$2,0)+1),MATCH(H$1,[1]stages!$2:$2,0)-MATCH($G$1,[1]stages!$2:$2,0)+1,FALSE)</f>
        <v>美女と美獣【仮】</v>
      </c>
      <c r="I47" s="31">
        <v>3</v>
      </c>
      <c r="J47" s="39">
        <v>60</v>
      </c>
      <c r="K47" s="39">
        <v>60</v>
      </c>
    </row>
    <row r="48" spans="1:11" ht="21" customHeight="1">
      <c r="A48" s="21" t="str">
        <f t="shared" si="22"/>
        <v>10055_1-4</v>
      </c>
      <c r="B48" s="21" t="str">
        <f>IF(COUNTIF(enemy_habitats_rank_quests!$H:$H,A48),"OK","NG")</f>
        <v>OK</v>
      </c>
      <c r="C48" s="8">
        <v>10055</v>
      </c>
      <c r="D48" s="12" t="str">
        <f ca="1">VLOOKUP($C48,OFFSET([1]quests!$A$1,0,0,COUNTA([1]quests!$A:$A),MATCH(D$1,[1]quests!$1:$1,0)-MATCH($C$1,[1]quests!$1:$1,0)+1),MATCH(D$1,[1]quests!$1:$1,0)-MATCH($C$1,[1]quests!$1:$1,0)+1,FALSE)</f>
        <v>美女と美獣【仮】</v>
      </c>
      <c r="E48" s="29" t="str">
        <f ca="1">VLOOKUP($C48,OFFSET([1]quests!$A$1,0,0,COUNTA([1]quests!$A:$A),MATCH(E$1,[1]quests!$1:$1,0)-MATCH($C$1,[1]quests!$1:$1,0)+1),MATCH(E$1,[1]quests!$1:$1,0)-MATCH($C$1,[1]quests!$1:$1,0)+1,FALSE)</f>
        <v>ランク開放クエスト Lv55</v>
      </c>
      <c r="F48" s="31">
        <v>1</v>
      </c>
      <c r="G48" s="33" t="str">
        <f t="shared" si="23"/>
        <v>10055_1</v>
      </c>
      <c r="H48" s="20" t="str">
        <f ca="1">VLOOKUP($G48,OFFSET([1]stages!$A$1,0,0,COUNTA([1]stages!$A:$A),MATCH(H$1,[1]stages!$2:$2,0)-MATCH($G$1,[1]stages!$2:$2,0)+1),MATCH(H$1,[1]stages!$2:$2,0)-MATCH($G$1,[1]stages!$2:$2,0)+1,FALSE)</f>
        <v>美女と美獣【仮】</v>
      </c>
      <c r="I48" s="31">
        <v>4</v>
      </c>
      <c r="J48" s="39">
        <v>45</v>
      </c>
      <c r="K48" s="39">
        <v>60</v>
      </c>
    </row>
    <row r="49" spans="1:11" ht="21" customHeight="1">
      <c r="A49" s="21" t="str">
        <f t="shared" si="22"/>
        <v>10055_1-5</v>
      </c>
      <c r="B49" s="21" t="str">
        <f>IF(COUNTIF(enemy_habitats_rank_quests!$H:$H,A49),"OK","NG")</f>
        <v>OK</v>
      </c>
      <c r="C49" s="8">
        <v>10055</v>
      </c>
      <c r="D49" s="12" t="str">
        <f ca="1">VLOOKUP($C49,OFFSET([1]quests!$A$1,0,0,COUNTA([1]quests!$A:$A),MATCH(D$1,[1]quests!$1:$1,0)-MATCH($C$1,[1]quests!$1:$1,0)+1),MATCH(D$1,[1]quests!$1:$1,0)-MATCH($C$1,[1]quests!$1:$1,0)+1,FALSE)</f>
        <v>美女と美獣【仮】</v>
      </c>
      <c r="E49" s="29" t="str">
        <f ca="1">VLOOKUP($C49,OFFSET([1]quests!$A$1,0,0,COUNTA([1]quests!$A:$A),MATCH(E$1,[1]quests!$1:$1,0)-MATCH($C$1,[1]quests!$1:$1,0)+1),MATCH(E$1,[1]quests!$1:$1,0)-MATCH($C$1,[1]quests!$1:$1,0)+1,FALSE)</f>
        <v>ランク開放クエスト Lv55</v>
      </c>
      <c r="F49" s="31">
        <v>1</v>
      </c>
      <c r="G49" s="33" t="str">
        <f t="shared" si="23"/>
        <v>10055_1</v>
      </c>
      <c r="H49" s="20" t="str">
        <f ca="1">VLOOKUP($G49,OFFSET([1]stages!$A$1,0,0,COUNTA([1]stages!$A:$A),MATCH(H$1,[1]stages!$2:$2,0)-MATCH($G$1,[1]stages!$2:$2,0)+1),MATCH(H$1,[1]stages!$2:$2,0)-MATCH($G$1,[1]stages!$2:$2,0)+1,FALSE)</f>
        <v>美女と美獣【仮】</v>
      </c>
      <c r="I49" s="31">
        <v>5</v>
      </c>
      <c r="J49" s="39">
        <v>60</v>
      </c>
      <c r="K49" s="39">
        <v>60</v>
      </c>
    </row>
    <row r="50" spans="1:11" ht="21" customHeight="1">
      <c r="A50" s="21" t="str">
        <f>G50&amp;"-"&amp;I50</f>
        <v>10060_1-1</v>
      </c>
      <c r="B50" s="21" t="str">
        <f>IF(COUNTIF(enemy_habitats_rank_quests!$H:$H,A50),"OK","NG")</f>
        <v>OK</v>
      </c>
      <c r="C50" s="8">
        <v>10060</v>
      </c>
      <c r="D50" s="12" t="str">
        <f ca="1">VLOOKUP($C50,OFFSET([1]quests!$A$1,0,0,COUNTA([1]quests!$A:$A),MATCH(D$1,[1]quests!$1:$1,0)-MATCH($C$1,[1]quests!$1:$1,0)+1),MATCH(D$1,[1]quests!$1:$1,0)-MATCH($C$1,[1]quests!$1:$1,0)+1,FALSE)</f>
        <v>東と西の女神【仮】</v>
      </c>
      <c r="E50" s="29" t="str">
        <f ca="1">VLOOKUP($C50,OFFSET([1]quests!$A$1,0,0,COUNTA([1]quests!$A:$A),MATCH(E$1,[1]quests!$1:$1,0)-MATCH($C$1,[1]quests!$1:$1,0)+1),MATCH(E$1,[1]quests!$1:$1,0)-MATCH($C$1,[1]quests!$1:$1,0)+1,FALSE)</f>
        <v>ランク開放クエスト Lv60</v>
      </c>
      <c r="F50" s="31">
        <v>1</v>
      </c>
      <c r="G50" s="33" t="str">
        <f>C50&amp;"_"&amp;F50</f>
        <v>10060_1</v>
      </c>
      <c r="H50" s="20" t="str">
        <f ca="1">VLOOKUP($G50,OFFSET([1]stages!$A$1,0,0,COUNTA([1]stages!$A:$A),MATCH(H$1,[1]stages!$2:$2,0)-MATCH($G$1,[1]stages!$2:$2,0)+1),MATCH(H$1,[1]stages!$2:$2,0)-MATCH($G$1,[1]stages!$2:$2,0)+1,FALSE)</f>
        <v>東と西の女神【仮】</v>
      </c>
      <c r="I50" s="31">
        <v>1</v>
      </c>
      <c r="J50" s="39">
        <v>30</v>
      </c>
      <c r="K50" s="39">
        <v>30</v>
      </c>
    </row>
    <row r="51" spans="1:11" ht="21" customHeight="1">
      <c r="A51" s="21" t="str">
        <f t="shared" ref="A51:A54" si="24">G51&amp;"-"&amp;I51</f>
        <v>10060_1-2</v>
      </c>
      <c r="B51" s="21" t="str">
        <f>IF(COUNTIF(enemy_habitats_rank_quests!$H:$H,A51),"OK","NG")</f>
        <v>OK</v>
      </c>
      <c r="C51" s="8">
        <v>10060</v>
      </c>
      <c r="D51" s="12" t="str">
        <f ca="1">VLOOKUP($C51,OFFSET([1]quests!$A$1,0,0,COUNTA([1]quests!$A:$A),MATCH(D$1,[1]quests!$1:$1,0)-MATCH($C$1,[1]quests!$1:$1,0)+1),MATCH(D$1,[1]quests!$1:$1,0)-MATCH($C$1,[1]quests!$1:$1,0)+1,FALSE)</f>
        <v>東と西の女神【仮】</v>
      </c>
      <c r="E51" s="29" t="str">
        <f ca="1">VLOOKUP($C51,OFFSET([1]quests!$A$1,0,0,COUNTA([1]quests!$A:$A),MATCH(E$1,[1]quests!$1:$1,0)-MATCH($C$1,[1]quests!$1:$1,0)+1),MATCH(E$1,[1]quests!$1:$1,0)-MATCH($C$1,[1]quests!$1:$1,0)+1,FALSE)</f>
        <v>ランク開放クエスト Lv60</v>
      </c>
      <c r="F51" s="31">
        <v>1</v>
      </c>
      <c r="G51" s="33" t="str">
        <f t="shared" ref="G51:G54" si="25">C51&amp;"_"&amp;F51</f>
        <v>10060_1</v>
      </c>
      <c r="H51" s="20" t="str">
        <f ca="1">VLOOKUP($G51,OFFSET([1]stages!$A$1,0,0,COUNTA([1]stages!$A:$A),MATCH(H$1,[1]stages!$2:$2,0)-MATCH($G$1,[1]stages!$2:$2,0)+1),MATCH(H$1,[1]stages!$2:$2,0)-MATCH($G$1,[1]stages!$2:$2,0)+1,FALSE)</f>
        <v>東と西の女神【仮】</v>
      </c>
      <c r="I51" s="31">
        <v>2</v>
      </c>
      <c r="J51" s="39">
        <v>30</v>
      </c>
      <c r="K51" s="39">
        <v>45</v>
      </c>
    </row>
    <row r="52" spans="1:11" ht="21" customHeight="1">
      <c r="A52" s="21" t="str">
        <f t="shared" si="24"/>
        <v>10060_1-3</v>
      </c>
      <c r="B52" s="21" t="str">
        <f>IF(COUNTIF(enemy_habitats_rank_quests!$H:$H,A52),"OK","NG")</f>
        <v>OK</v>
      </c>
      <c r="C52" s="8">
        <v>10060</v>
      </c>
      <c r="D52" s="12" t="str">
        <f ca="1">VLOOKUP($C52,OFFSET([1]quests!$A$1,0,0,COUNTA([1]quests!$A:$A),MATCH(D$1,[1]quests!$1:$1,0)-MATCH($C$1,[1]quests!$1:$1,0)+1),MATCH(D$1,[1]quests!$1:$1,0)-MATCH($C$1,[1]quests!$1:$1,0)+1,FALSE)</f>
        <v>東と西の女神【仮】</v>
      </c>
      <c r="E52" s="29" t="str">
        <f ca="1">VLOOKUP($C52,OFFSET([1]quests!$A$1,0,0,COUNTA([1]quests!$A:$A),MATCH(E$1,[1]quests!$1:$1,0)-MATCH($C$1,[1]quests!$1:$1,0)+1),MATCH(E$1,[1]quests!$1:$1,0)-MATCH($C$1,[1]quests!$1:$1,0)+1,FALSE)</f>
        <v>ランク開放クエスト Lv60</v>
      </c>
      <c r="F52" s="31">
        <v>1</v>
      </c>
      <c r="G52" s="33" t="str">
        <f t="shared" si="25"/>
        <v>10060_1</v>
      </c>
      <c r="H52" s="20" t="str">
        <f ca="1">VLOOKUP($G52,OFFSET([1]stages!$A$1,0,0,COUNTA([1]stages!$A:$A),MATCH(H$1,[1]stages!$2:$2,0)-MATCH($G$1,[1]stages!$2:$2,0)+1),MATCH(H$1,[1]stages!$2:$2,0)-MATCH($G$1,[1]stages!$2:$2,0)+1,FALSE)</f>
        <v>東と西の女神【仮】</v>
      </c>
      <c r="I52" s="31">
        <v>3</v>
      </c>
      <c r="J52" s="39">
        <v>45</v>
      </c>
      <c r="K52" s="39">
        <v>60</v>
      </c>
    </row>
    <row r="53" spans="1:11" ht="21" customHeight="1">
      <c r="A53" s="21" t="str">
        <f t="shared" si="24"/>
        <v>10060_1-4</v>
      </c>
      <c r="B53" s="21" t="str">
        <f>IF(COUNTIF(enemy_habitats_rank_quests!$H:$H,A53),"OK","NG")</f>
        <v>OK</v>
      </c>
      <c r="C53" s="8">
        <v>10060</v>
      </c>
      <c r="D53" s="12" t="str">
        <f ca="1">VLOOKUP($C53,OFFSET([1]quests!$A$1,0,0,COUNTA([1]quests!$A:$A),MATCH(D$1,[1]quests!$1:$1,0)-MATCH($C$1,[1]quests!$1:$1,0)+1),MATCH(D$1,[1]quests!$1:$1,0)-MATCH($C$1,[1]quests!$1:$1,0)+1,FALSE)</f>
        <v>東と西の女神【仮】</v>
      </c>
      <c r="E53" s="29" t="str">
        <f ca="1">VLOOKUP($C53,OFFSET([1]quests!$A$1,0,0,COUNTA([1]quests!$A:$A),MATCH(E$1,[1]quests!$1:$1,0)-MATCH($C$1,[1]quests!$1:$1,0)+1),MATCH(E$1,[1]quests!$1:$1,0)-MATCH($C$1,[1]quests!$1:$1,0)+1,FALSE)</f>
        <v>ランク開放クエスト Lv60</v>
      </c>
      <c r="F53" s="31">
        <v>1</v>
      </c>
      <c r="G53" s="33" t="str">
        <f t="shared" si="25"/>
        <v>10060_1</v>
      </c>
      <c r="H53" s="20" t="str">
        <f ca="1">VLOOKUP($G53,OFFSET([1]stages!$A$1,0,0,COUNTA([1]stages!$A:$A),MATCH(H$1,[1]stages!$2:$2,0)-MATCH($G$1,[1]stages!$2:$2,0)+1),MATCH(H$1,[1]stages!$2:$2,0)-MATCH($G$1,[1]stages!$2:$2,0)+1,FALSE)</f>
        <v>東と西の女神【仮】</v>
      </c>
      <c r="I53" s="31">
        <v>4</v>
      </c>
      <c r="J53" s="39">
        <v>60</v>
      </c>
      <c r="K53" s="39">
        <v>60</v>
      </c>
    </row>
    <row r="54" spans="1:11" ht="21" customHeight="1">
      <c r="A54" s="21" t="str">
        <f t="shared" si="24"/>
        <v>10060_1-5</v>
      </c>
      <c r="B54" s="21" t="str">
        <f>IF(COUNTIF(enemy_habitats_rank_quests!$H:$H,A54),"OK","NG")</f>
        <v>OK</v>
      </c>
      <c r="C54" s="8">
        <v>10060</v>
      </c>
      <c r="D54" s="12" t="str">
        <f ca="1">VLOOKUP($C54,OFFSET([1]quests!$A$1,0,0,COUNTA([1]quests!$A:$A),MATCH(D$1,[1]quests!$1:$1,0)-MATCH($C$1,[1]quests!$1:$1,0)+1),MATCH(D$1,[1]quests!$1:$1,0)-MATCH($C$1,[1]quests!$1:$1,0)+1,FALSE)</f>
        <v>東と西の女神【仮】</v>
      </c>
      <c r="E54" s="29" t="str">
        <f ca="1">VLOOKUP($C54,OFFSET([1]quests!$A$1,0,0,COUNTA([1]quests!$A:$A),MATCH(E$1,[1]quests!$1:$1,0)-MATCH($C$1,[1]quests!$1:$1,0)+1),MATCH(E$1,[1]quests!$1:$1,0)-MATCH($C$1,[1]quests!$1:$1,0)+1,FALSE)</f>
        <v>ランク開放クエスト Lv60</v>
      </c>
      <c r="F54" s="31">
        <v>1</v>
      </c>
      <c r="G54" s="33" t="str">
        <f t="shared" si="25"/>
        <v>10060_1</v>
      </c>
      <c r="H54" s="20" t="str">
        <f ca="1">VLOOKUP($G54,OFFSET([1]stages!$A$1,0,0,COUNTA([1]stages!$A:$A),MATCH(H$1,[1]stages!$2:$2,0)-MATCH($G$1,[1]stages!$2:$2,0)+1),MATCH(H$1,[1]stages!$2:$2,0)-MATCH($G$1,[1]stages!$2:$2,0)+1,FALSE)</f>
        <v>東と西の女神【仮】</v>
      </c>
      <c r="I54" s="31">
        <v>5</v>
      </c>
      <c r="J54" s="39">
        <v>60</v>
      </c>
      <c r="K54" s="39">
        <v>60</v>
      </c>
    </row>
    <row r="55" spans="1:11" ht="21" customHeight="1">
      <c r="A55" s="21" t="str">
        <f>G55&amp;"-"&amp;I55</f>
        <v>10065_1-1</v>
      </c>
      <c r="B55" s="21" t="str">
        <f>IF(COUNTIF(enemy_habitats_rank_quests!$H:$H,A55),"OK","NG")</f>
        <v>OK</v>
      </c>
      <c r="C55" s="47">
        <v>10065</v>
      </c>
      <c r="D55" s="12" t="str">
        <f ca="1">VLOOKUP($C55,OFFSET([1]quests!$A$1,0,0,COUNTA([1]quests!$A:$A),MATCH(D$1,[1]quests!$1:$1,0)-MATCH($C$1,[1]quests!$1:$1,0)+1),MATCH(D$1,[1]quests!$1:$1,0)-MATCH($C$1,[1]quests!$1:$1,0)+1,FALSE)</f>
        <v>奪還！太陽神！【仮】</v>
      </c>
      <c r="E55" s="29" t="str">
        <f ca="1">VLOOKUP($C55,OFFSET([1]quests!$A$1,0,0,COUNTA([1]quests!$A:$A),MATCH(E$1,[1]quests!$1:$1,0)-MATCH($C$1,[1]quests!$1:$1,0)+1),MATCH(E$1,[1]quests!$1:$1,0)-MATCH($C$1,[1]quests!$1:$1,0)+1,FALSE)</f>
        <v>ランク開放クエスト Lv65</v>
      </c>
      <c r="F55" s="44">
        <v>1</v>
      </c>
      <c r="G55" s="33" t="str">
        <f>C55&amp;"_"&amp;F55</f>
        <v>10065_1</v>
      </c>
      <c r="H55" s="20" t="str">
        <f ca="1">VLOOKUP($G55,OFFSET([1]stages!$A$1,0,0,COUNTA([1]stages!$A:$A),MATCH(H$1,[1]stages!$2:$2,0)-MATCH($G$1,[1]stages!$2:$2,0)+1),MATCH(H$1,[1]stages!$2:$2,0)-MATCH($G$1,[1]stages!$2:$2,0)+1,FALSE)</f>
        <v>奪還！太陽神！【仮】</v>
      </c>
      <c r="I55" s="44">
        <v>1</v>
      </c>
      <c r="J55" s="48">
        <v>30</v>
      </c>
      <c r="K55" s="48">
        <v>30</v>
      </c>
    </row>
    <row r="56" spans="1:11" ht="21" customHeight="1">
      <c r="A56" s="21" t="str">
        <f t="shared" ref="A56:A59" si="26">G56&amp;"-"&amp;I56</f>
        <v>10065_1-2</v>
      </c>
      <c r="B56" s="21" t="str">
        <f>IF(COUNTIF(enemy_habitats_rank_quests!$H:$H,A56),"OK","NG")</f>
        <v>OK</v>
      </c>
      <c r="C56" s="47">
        <v>10065</v>
      </c>
      <c r="D56" s="12" t="str">
        <f ca="1">VLOOKUP($C56,OFFSET([1]quests!$A$1,0,0,COUNTA([1]quests!$A:$A),MATCH(D$1,[1]quests!$1:$1,0)-MATCH($C$1,[1]quests!$1:$1,0)+1),MATCH(D$1,[1]quests!$1:$1,0)-MATCH($C$1,[1]quests!$1:$1,0)+1,FALSE)</f>
        <v>奪還！太陽神！【仮】</v>
      </c>
      <c r="E56" s="29" t="str">
        <f ca="1">VLOOKUP($C56,OFFSET([1]quests!$A$1,0,0,COUNTA([1]quests!$A:$A),MATCH(E$1,[1]quests!$1:$1,0)-MATCH($C$1,[1]quests!$1:$1,0)+1),MATCH(E$1,[1]quests!$1:$1,0)-MATCH($C$1,[1]quests!$1:$1,0)+1,FALSE)</f>
        <v>ランク開放クエスト Lv65</v>
      </c>
      <c r="F56" s="44">
        <v>1</v>
      </c>
      <c r="G56" s="33" t="str">
        <f t="shared" ref="G56:G59" si="27">C56&amp;"_"&amp;F56</f>
        <v>10065_1</v>
      </c>
      <c r="H56" s="20" t="str">
        <f ca="1">VLOOKUP($G56,OFFSET([1]stages!$A$1,0,0,COUNTA([1]stages!$A:$A),MATCH(H$1,[1]stages!$2:$2,0)-MATCH($G$1,[1]stages!$2:$2,0)+1),MATCH(H$1,[1]stages!$2:$2,0)-MATCH($G$1,[1]stages!$2:$2,0)+1,FALSE)</f>
        <v>奪還！太陽神！【仮】</v>
      </c>
      <c r="I56" s="44">
        <v>2</v>
      </c>
      <c r="J56" s="48">
        <v>45</v>
      </c>
      <c r="K56" s="48">
        <v>45</v>
      </c>
    </row>
    <row r="57" spans="1:11" ht="21" customHeight="1">
      <c r="A57" s="21" t="str">
        <f t="shared" si="26"/>
        <v>10065_1-3</v>
      </c>
      <c r="B57" s="21" t="str">
        <f>IF(COUNTIF(enemy_habitats_rank_quests!$H:$H,A57),"OK","NG")</f>
        <v>OK</v>
      </c>
      <c r="C57" s="47">
        <v>10065</v>
      </c>
      <c r="D57" s="12" t="str">
        <f ca="1">VLOOKUP($C57,OFFSET([1]quests!$A$1,0,0,COUNTA([1]quests!$A:$A),MATCH(D$1,[1]quests!$1:$1,0)-MATCH($C$1,[1]quests!$1:$1,0)+1),MATCH(D$1,[1]quests!$1:$1,0)-MATCH($C$1,[1]quests!$1:$1,0)+1,FALSE)</f>
        <v>奪還！太陽神！【仮】</v>
      </c>
      <c r="E57" s="29" t="str">
        <f ca="1">VLOOKUP($C57,OFFSET([1]quests!$A$1,0,0,COUNTA([1]quests!$A:$A),MATCH(E$1,[1]quests!$1:$1,0)-MATCH($C$1,[1]quests!$1:$1,0)+1),MATCH(E$1,[1]quests!$1:$1,0)-MATCH($C$1,[1]quests!$1:$1,0)+1,FALSE)</f>
        <v>ランク開放クエスト Lv65</v>
      </c>
      <c r="F57" s="44">
        <v>1</v>
      </c>
      <c r="G57" s="33" t="str">
        <f t="shared" si="27"/>
        <v>10065_1</v>
      </c>
      <c r="H57" s="20" t="str">
        <f ca="1">VLOOKUP($G57,OFFSET([1]stages!$A$1,0,0,COUNTA([1]stages!$A:$A),MATCH(H$1,[1]stages!$2:$2,0)-MATCH($G$1,[1]stages!$2:$2,0)+1),MATCH(H$1,[1]stages!$2:$2,0)-MATCH($G$1,[1]stages!$2:$2,0)+1,FALSE)</f>
        <v>奪還！太陽神！【仮】</v>
      </c>
      <c r="I57" s="44">
        <v>3</v>
      </c>
      <c r="J57" s="48">
        <v>60</v>
      </c>
      <c r="K57" s="48">
        <v>60</v>
      </c>
    </row>
    <row r="58" spans="1:11" ht="21" customHeight="1">
      <c r="A58" s="21" t="str">
        <f t="shared" si="26"/>
        <v>10065_1-4</v>
      </c>
      <c r="B58" s="21" t="str">
        <f>IF(COUNTIF(enemy_habitats_rank_quests!$H:$H,A58),"OK","NG")</f>
        <v>OK</v>
      </c>
      <c r="C58" s="47">
        <v>10065</v>
      </c>
      <c r="D58" s="12" t="str">
        <f ca="1">VLOOKUP($C58,OFFSET([1]quests!$A$1,0,0,COUNTA([1]quests!$A:$A),MATCH(D$1,[1]quests!$1:$1,0)-MATCH($C$1,[1]quests!$1:$1,0)+1),MATCH(D$1,[1]quests!$1:$1,0)-MATCH($C$1,[1]quests!$1:$1,0)+1,FALSE)</f>
        <v>奪還！太陽神！【仮】</v>
      </c>
      <c r="E58" s="29" t="str">
        <f ca="1">VLOOKUP($C58,OFFSET([1]quests!$A$1,0,0,COUNTA([1]quests!$A:$A),MATCH(E$1,[1]quests!$1:$1,0)-MATCH($C$1,[1]quests!$1:$1,0)+1),MATCH(E$1,[1]quests!$1:$1,0)-MATCH($C$1,[1]quests!$1:$1,0)+1,FALSE)</f>
        <v>ランク開放クエスト Lv65</v>
      </c>
      <c r="F58" s="44">
        <v>1</v>
      </c>
      <c r="G58" s="33" t="str">
        <f t="shared" si="27"/>
        <v>10065_1</v>
      </c>
      <c r="H58" s="20" t="str">
        <f ca="1">VLOOKUP($G58,OFFSET([1]stages!$A$1,0,0,COUNTA([1]stages!$A:$A),MATCH(H$1,[1]stages!$2:$2,0)-MATCH($G$1,[1]stages!$2:$2,0)+1),MATCH(H$1,[1]stages!$2:$2,0)-MATCH($G$1,[1]stages!$2:$2,0)+1,FALSE)</f>
        <v>奪還！太陽神！【仮】</v>
      </c>
      <c r="I58" s="44">
        <v>4</v>
      </c>
      <c r="J58" s="48">
        <v>60</v>
      </c>
      <c r="K58" s="48">
        <v>60</v>
      </c>
    </row>
    <row r="59" spans="1:11" ht="21" customHeight="1">
      <c r="A59" s="21" t="str">
        <f t="shared" si="26"/>
        <v>10065_1-5</v>
      </c>
      <c r="B59" s="21" t="str">
        <f>IF(COUNTIF(enemy_habitats_rank_quests!$H:$H,A59),"OK","NG")</f>
        <v>OK</v>
      </c>
      <c r="C59" s="47">
        <v>10065</v>
      </c>
      <c r="D59" s="12" t="str">
        <f ca="1">VLOOKUP($C59,OFFSET([1]quests!$A$1,0,0,COUNTA([1]quests!$A:$A),MATCH(D$1,[1]quests!$1:$1,0)-MATCH($C$1,[1]quests!$1:$1,0)+1),MATCH(D$1,[1]quests!$1:$1,0)-MATCH($C$1,[1]quests!$1:$1,0)+1,FALSE)</f>
        <v>奪還！太陽神！【仮】</v>
      </c>
      <c r="E59" s="29" t="str">
        <f ca="1">VLOOKUP($C59,OFFSET([1]quests!$A$1,0,0,COUNTA([1]quests!$A:$A),MATCH(E$1,[1]quests!$1:$1,0)-MATCH($C$1,[1]quests!$1:$1,0)+1),MATCH(E$1,[1]quests!$1:$1,0)-MATCH($C$1,[1]quests!$1:$1,0)+1,FALSE)</f>
        <v>ランク開放クエスト Lv65</v>
      </c>
      <c r="F59" s="44">
        <v>1</v>
      </c>
      <c r="G59" s="33" t="str">
        <f t="shared" si="27"/>
        <v>10065_1</v>
      </c>
      <c r="H59" s="20" t="str">
        <f ca="1">VLOOKUP($G59,OFFSET([1]stages!$A$1,0,0,COUNTA([1]stages!$A:$A),MATCH(H$1,[1]stages!$2:$2,0)-MATCH($G$1,[1]stages!$2:$2,0)+1),MATCH(H$1,[1]stages!$2:$2,0)-MATCH($G$1,[1]stages!$2:$2,0)+1,FALSE)</f>
        <v>奪還！太陽神！【仮】</v>
      </c>
      <c r="I59" s="44">
        <v>5</v>
      </c>
      <c r="J59" s="48">
        <v>60</v>
      </c>
      <c r="K59" s="48">
        <v>60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129"/>
  <sheetViews>
    <sheetView showGridLines="0" tabSelected="1" workbookViewId="0">
      <pane xSplit="14" ySplit="1" topLeftCell="X105" activePane="bottomRight" state="frozen"/>
      <selection pane="topRight" activeCell="N1" sqref="N1"/>
      <selection pane="bottomLeft" activeCell="A2" sqref="A2"/>
      <selection pane="bottomRight" activeCell="X128" sqref="X128"/>
    </sheetView>
  </sheetViews>
  <sheetFormatPr baseColWidth="12" defaultColWidth="13" defaultRowHeight="21" customHeight="1" outlineLevelCol="1" x14ac:dyDescent="0"/>
  <cols>
    <col min="1" max="1" width="17" style="30" bestFit="1" customWidth="1"/>
    <col min="2" max="2" width="12.5" style="4" bestFit="1" customWidth="1"/>
    <col min="3" max="3" width="12.33203125" style="4" bestFit="1" customWidth="1"/>
    <col min="4" max="4" width="14.6640625" style="15" customWidth="1" outlineLevel="1"/>
    <col min="5" max="6" width="15.6640625" style="4" customWidth="1" outlineLevel="1"/>
    <col min="7" max="7" width="11.83203125" style="4" bestFit="1" customWidth="1"/>
    <col min="8" max="8" width="11.83203125" style="4" customWidth="1" outlineLevel="1"/>
    <col min="9" max="9" width="15.33203125" style="10" bestFit="1" customWidth="1"/>
    <col min="10" max="10" width="17.6640625" style="4" customWidth="1" outlineLevel="1"/>
    <col min="11" max="11" width="10.33203125" style="4" customWidth="1" outlineLevel="1"/>
    <col min="12" max="12" width="13.6640625" style="4" customWidth="1" outlineLevel="1"/>
    <col min="13" max="13" width="22.83203125" style="4" customWidth="1" outlineLevel="1"/>
    <col min="14" max="14" width="11.6640625" style="4" customWidth="1" outlineLevel="1"/>
    <col min="15" max="15" width="10.1640625" style="4" bestFit="1" customWidth="1"/>
    <col min="16" max="16" width="14.83203125" style="4" bestFit="1" customWidth="1"/>
    <col min="17" max="17" width="17.5" style="4" bestFit="1" customWidth="1"/>
    <col min="18" max="18" width="18.33203125" style="4" bestFit="1" customWidth="1"/>
    <col min="19" max="19" width="14" style="4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3203125" style="4" bestFit="1" customWidth="1"/>
    <col min="24" max="24" width="11" style="4" bestFit="1" customWidth="1"/>
    <col min="25" max="25" width="14.83203125" style="4" bestFit="1" customWidth="1"/>
    <col min="26" max="26" width="17.6640625" style="14" customWidth="1" outlineLevel="1"/>
    <col min="27" max="28" width="13.6640625" style="15" customWidth="1" outlineLevel="1"/>
    <col min="29" max="29" width="16.83203125" style="11" bestFit="1" customWidth="1" collapsed="1"/>
    <col min="30" max="31" width="16.5" style="4" bestFit="1" customWidth="1"/>
    <col min="32" max="32" width="15.33203125" style="4" customWidth="1"/>
    <col min="33" max="16384" width="13" style="4"/>
  </cols>
  <sheetData>
    <row r="1" spans="1:36" ht="21" customHeight="1">
      <c r="A1" s="21" t="s">
        <v>28</v>
      </c>
      <c r="B1" s="1" t="s">
        <v>0</v>
      </c>
      <c r="C1" s="1" t="s">
        <v>1</v>
      </c>
      <c r="D1" s="20" t="s">
        <v>27</v>
      </c>
      <c r="E1" s="2" t="s">
        <v>19</v>
      </c>
      <c r="F1" s="2" t="s">
        <v>19</v>
      </c>
      <c r="G1" s="1" t="s">
        <v>18</v>
      </c>
      <c r="H1" s="20" t="s">
        <v>36</v>
      </c>
      <c r="I1" s="1" t="s">
        <v>2</v>
      </c>
      <c r="J1" s="25" t="s">
        <v>20</v>
      </c>
      <c r="K1" s="20" t="s">
        <v>23</v>
      </c>
      <c r="L1" s="20" t="s">
        <v>22</v>
      </c>
      <c r="M1" s="27" t="s">
        <v>25</v>
      </c>
      <c r="N1" s="2" t="s">
        <v>24</v>
      </c>
      <c r="O1" s="1" t="s">
        <v>3</v>
      </c>
      <c r="P1" s="40" t="s">
        <v>52</v>
      </c>
      <c r="Q1" s="40" t="s">
        <v>53</v>
      </c>
      <c r="R1" s="40" t="s">
        <v>54</v>
      </c>
      <c r="S1" s="20" t="s">
        <v>32</v>
      </c>
      <c r="T1" s="1" t="s">
        <v>4</v>
      </c>
      <c r="U1" s="1" t="s">
        <v>5</v>
      </c>
      <c r="V1" s="1" t="s">
        <v>6</v>
      </c>
      <c r="W1" s="1" t="s">
        <v>7</v>
      </c>
      <c r="X1" s="1" t="s">
        <v>8</v>
      </c>
      <c r="Y1" s="3" t="s">
        <v>9</v>
      </c>
      <c r="Z1" s="22" t="s">
        <v>15</v>
      </c>
      <c r="AA1" s="22" t="s">
        <v>16</v>
      </c>
      <c r="AB1" s="22" t="s">
        <v>26</v>
      </c>
      <c r="AC1" s="3" t="s">
        <v>10</v>
      </c>
      <c r="AD1" s="1" t="s">
        <v>11</v>
      </c>
      <c r="AE1" s="1" t="s">
        <v>50</v>
      </c>
      <c r="AF1" s="1" t="s">
        <v>39</v>
      </c>
      <c r="AG1" s="1" t="s">
        <v>41</v>
      </c>
      <c r="AH1" s="1" t="s">
        <v>43</v>
      </c>
      <c r="AI1" s="1" t="s">
        <v>45</v>
      </c>
      <c r="AJ1" s="1" t="s">
        <v>47</v>
      </c>
    </row>
    <row r="2" spans="1:36" ht="21" customHeight="1">
      <c r="A2" s="21" t="str">
        <f t="shared" ref="A2:A52" si="0">B2&amp;"_"&amp;C2&amp;"-"&amp;G2&amp;"/"&amp;I2&amp;"&lt;lv"&amp;O2&amp;"&gt;"</f>
        <v>10008_1-1/79&lt;lv5&gt;</v>
      </c>
      <c r="B2" s="32">
        <v>10008</v>
      </c>
      <c r="C2" s="35">
        <v>1</v>
      </c>
      <c r="D2" s="20" t="str">
        <f t="shared" ref="D2:D8" si="1">B2&amp;"_"&amp;C2</f>
        <v>10008_1</v>
      </c>
      <c r="E2" s="5" t="str">
        <f ca="1">VLOOKUP($B2,OFFSET([1]quests!$A$1,0,0,COUNTA([1]quests!$A:$A),MATCH(E$1,[1]quests!$1:$1,0)-MATCH($B$1,[1]quests!$1:$1,0)+1),MATCH(E$1,[1]quests!$1:$1,0)-MATCH($B$1,[1]quests!$1:$1,0)+1,FALSE)</f>
        <v>幸せのカタチ</v>
      </c>
      <c r="F2" s="5" t="str">
        <f ca="1">VLOOKUP($D2,OFFSET([1]stages!$A$1,0,0,COUNTA([1]stages!$A:$A),MATCH(F$1,[1]stages!$2:$2,0)-MATCH($D$1,[1]stages!$2:$2,0)+1),MATCH(F$1,[1]stages!$2:$2,0)-MATCH($D$1,[1]stages!$2:$2,0)+1,FALSE)</f>
        <v>幸せのカタチ</v>
      </c>
      <c r="G2" s="35">
        <v>1</v>
      </c>
      <c r="H2" s="20" t="str">
        <f t="shared" ref="H2:H8" si="2">B2&amp;"_"&amp;C2&amp;"-"&amp;G2</f>
        <v>10008_1-1</v>
      </c>
      <c r="I2" s="36">
        <v>79</v>
      </c>
      <c r="J2" s="26" t="str">
        <f ca="1">VLOOKUP($I2,OFFSET([2]enemies!$A$1,0,0,COUNTA([2]enemies!$A:$A),MATCH(J$1,[2]enemies!$2:$2,0)-MATCH($I$1,[2]enemies!$2:$2,0)+1),MATCH(J$1,[2]enemies!$2:$2,0)-MATCH($I$1,[2]enemies!$2:$2,0)+1,FALSE)</f>
        <v>ハッピー100</v>
      </c>
      <c r="K2" s="29" t="str">
        <f ca="1">VLOOKUP($I2,OFFSET([2]enemies!$A$1,0,0,COUNTA([2]enemies!$A:$A),MATCH(K$1,[2]enemies!$2:$2,0)-MATCH($I$1,[2]enemies!$2:$2,0)+1),MATCH(K$1,[2]enemies!$2:$2,0)-MATCH($I$1,[2]enemies!$2:$2,0)+1,FALSE)</f>
        <v>green</v>
      </c>
      <c r="L2" s="29" t="str">
        <f ca="1">VLOOKUP($I2,OFFSET([3]characters!$A$1,0,0,COUNTA([3]characters!$A:$A),MATCH(L$1,[3]characters!$2:$2,0)-MATCH($I$1,[3]characters!$2:$2,0)+1),MATCH(L$1,[3]characters!$2:$2,0)-MATCH($I$1,[3]characters!$2:$2,0)+1,FALSE)</f>
        <v>PremiumW</v>
      </c>
      <c r="M2" s="28" t="str">
        <f ca="1">VLOOKUP($I2,OFFSET([3]characters!$A$1,0,0,COUNTA([3]characters!$A:$A),MATCH(M$1,[3]characters!$2:$2,0)-MATCH($I$1,[3]characters!$2:$2,0)+2),MATCH(M$1,[3]characters!$2:$2,0)-MATCH($I$1,[3]characters!$2:$2,0)+2,FALSE)</f>
        <v>Unknown</v>
      </c>
      <c r="N2" s="5">
        <f ca="1">VLOOKUP($I2,OFFSET([2]enemies!$A$1,0,0,COUNTA([2]enemies!$A:$A),MATCH(N$1,[2]enemies!$2:$2,0)-MATCH($I$1,[2]enemies!$2:$2,0)+1),MATCH(N$1,[2]enemies!$2:$2,0)-MATCH($I$1,[2]enemies!$2:$2,0)+1,FALSE)</f>
        <v>20</v>
      </c>
      <c r="O2" s="6">
        <v>5</v>
      </c>
      <c r="P2" s="41">
        <v>1</v>
      </c>
      <c r="Q2" s="41">
        <v>1</v>
      </c>
      <c r="R2" s="6">
        <v>0</v>
      </c>
      <c r="S2" s="5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とても幸せそうだ</v>
      </c>
      <c r="T2" s="5">
        <f ca="1">VLOOKUP($I2,OFFSET([2]enemies!$A$1,0,0,COUNTA([2]enemies!$A:$A),MATCH(T$1,[2]enemies!$2:$2,0)-MATCH($I$1,[2]enemies!$2:$2,0)+1),MATCH(T$1,[2]enemies!$2:$2,0)-MATCH($I$1,[2]enemies!$2:$2,0)+1,FALSE)</f>
        <v>79</v>
      </c>
      <c r="U2" s="7">
        <v>1</v>
      </c>
      <c r="V2" s="7">
        <v>100</v>
      </c>
      <c r="W2" s="7">
        <v>1</v>
      </c>
      <c r="X2" s="26">
        <f ca="1">VLOOKUP($I2,OFFSET([2]enemies!$A$1,0,0,COUNTA([2]enemies!$A:$A),MATCH(X$1,[2]enemies!$2:$2,0)-MATCH($I$1,[2]enemies!$2:$2,0)+1),MATCH(X$1,[2]enemies!$2:$2,0)-MATCH($I$1,[2]enemies!$2:$2,0)+1,FALSE)</f>
        <v>2</v>
      </c>
      <c r="Y2" s="36">
        <v>79</v>
      </c>
      <c r="Z2" s="5" t="str">
        <f ca="1">IFERROR(VLOOKUP($Y2,OFFSET([3]characters!$A$1,0,0,COUNTA([3]characters!$A:$A),MATCH(Z$1,[3]characters!$2:$2,0)-MATCH("character_id",[3]characters!$2:$2,0)+1),MATCH(Z$1,[3]characters!$2:$2,0)-MATCH("character_id",[3]characters!$2:$2,0)+1,FALSE),"")</f>
        <v>ハッピー100</v>
      </c>
      <c r="AA2" s="5">
        <f ca="1">IFERROR(VLOOKUP($Y2,OFFSET([3]characters!$A$1,0,0,COUNTA([3]characters!$A:$A),MATCH(AA$1,[3]characters!$2:$2,0)-MATCH("character_id",[3]characters!$2:$2,0)+1),MATCH(AA$1,[3]characters!$2:$2,0)-MATCH("character_id",[3]characters!$2:$2,0)+1,FALSE),"")</f>
        <v>3</v>
      </c>
      <c r="AB2" s="5" t="str">
        <f ca="1">IFERROR(VLOOKUP($Y2,OFFSET([3]characters!$A$1,0,0,COUNTA([3]characters!$A:$A),MATCH(AB$1,[3]characters!$2:$2,0)-MATCH("character_id",[3]characters!$2:$2,0)+1),MATCH(AB$1,[3]characters!$2:$2,0)-MATCH("character_id",[3]characters!$2:$2,0)+1,FALSE),"")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2" s="34">
        <v>1</v>
      </c>
      <c r="AD2" s="34">
        <f t="shared" ref="AD2:AD8" ca="1" si="3">AA2</f>
        <v>3</v>
      </c>
      <c r="AE2" s="9">
        <v>0</v>
      </c>
      <c r="AF2" s="34">
        <v>0</v>
      </c>
      <c r="AG2" s="34">
        <v>0</v>
      </c>
      <c r="AH2" s="34">
        <v>0</v>
      </c>
      <c r="AI2" s="34">
        <v>0</v>
      </c>
      <c r="AJ2" s="34">
        <v>1</v>
      </c>
    </row>
    <row r="3" spans="1:36" ht="21" customHeight="1">
      <c r="A3" s="21" t="str">
        <f t="shared" si="0"/>
        <v>10010_1-1/7&lt;lv8&gt;</v>
      </c>
      <c r="B3" s="32">
        <v>10010</v>
      </c>
      <c r="C3" s="35">
        <v>1</v>
      </c>
      <c r="D3" s="20" t="str">
        <f t="shared" si="1"/>
        <v>10010_1</v>
      </c>
      <c r="E3" s="5" t="str">
        <f ca="1">VLOOKUP($B3,OFFSET([1]quests!$A$1,0,0,COUNTA([1]quests!$A:$A),MATCH(E$1,[1]quests!$1:$1,0)-MATCH($B$1,[1]quests!$1:$1,0)+1),MATCH(E$1,[1]quests!$1:$1,0)-MATCH($B$1,[1]quests!$1:$1,0)+1,FALSE)</f>
        <v>幼女増殖！！</v>
      </c>
      <c r="F3" s="5" t="str">
        <f ca="1">VLOOKUP($D3,OFFSET([1]stages!$A$1,0,0,COUNTA([1]stages!$A:$A),MATCH(F$1,[1]stages!$2:$2,0)-MATCH($D$1,[1]stages!$2:$2,0)+1),MATCH(F$1,[1]stages!$2:$2,0)-MATCH($D$1,[1]stages!$2:$2,0)+1,FALSE)</f>
        <v>幼女増殖！！</v>
      </c>
      <c r="G3" s="35">
        <v>1</v>
      </c>
      <c r="H3" s="20" t="str">
        <f t="shared" si="2"/>
        <v>10010_1-1</v>
      </c>
      <c r="I3" s="36">
        <v>7</v>
      </c>
      <c r="J3" s="26" t="str">
        <f ca="1">VLOOKUP($I3,OFFSET([2]enemies!$A$1,0,0,COUNTA([2]enemies!$A:$A),MATCH(J$1,[2]enemies!$2:$2,0)-MATCH($I$1,[2]enemies!$2:$2,0)+1),MATCH(J$1,[2]enemies!$2:$2,0)-MATCH($I$1,[2]enemies!$2:$2,0)+1,FALSE)</f>
        <v>エレキポット</v>
      </c>
      <c r="K3" s="29" t="str">
        <f ca="1">VLOOKUP($I3,OFFSET([2]enemies!$A$1,0,0,COUNTA([2]enemies!$A:$A),MATCH(K$1,[2]enemies!$2:$2,0)-MATCH($I$1,[2]enemies!$2:$2,0)+1),MATCH(K$1,[2]enemies!$2:$2,0)-MATCH($I$1,[2]enemies!$2:$2,0)+1,FALSE)</f>
        <v>yellow</v>
      </c>
      <c r="L3" s="29" t="str">
        <f ca="1">VLOOKUP($I3,OFFSET([3]characters!$A$1,0,0,COUNTA([3]characters!$A:$A),MATCH(L$1,[3]characters!$2:$2,0)-MATCH($I$1,[3]characters!$2:$2,0)+1),MATCH(L$1,[3]characters!$2:$2,0)-MATCH($I$1,[3]characters!$2:$2,0)+1,FALSE)</f>
        <v>Drop1T</v>
      </c>
      <c r="M3" s="28" t="str">
        <f ca="1">VLOOKUP($I3,OFFSET([3]characters!$A$1,0,0,COUNTA([3]characters!$A:$A),MATCH(M$1,[3]characters!$2:$2,0)-MATCH($I$1,[3]characters!$2:$2,0)+2),MATCH(M$1,[3]characters!$2:$2,0)-MATCH($I$1,[3]characters!$2:$2,0)+2,FALSE)</f>
        <v>Unknown</v>
      </c>
      <c r="N3" s="5">
        <f ca="1">VLOOKUP($I3,OFFSET([2]enemies!$A$1,0,0,COUNTA([2]enemies!$A:$A),MATCH(N$1,[2]enemies!$2:$2,0)-MATCH($I$1,[2]enemies!$2:$2,0)+1),MATCH(N$1,[2]enemies!$2:$2,0)-MATCH($I$1,[2]enemies!$2:$2,0)+1,FALSE)</f>
        <v>15</v>
      </c>
      <c r="O3" s="6">
        <v>8</v>
      </c>
      <c r="P3" s="41">
        <v>1</v>
      </c>
      <c r="Q3" s="41">
        <v>1</v>
      </c>
      <c r="R3" s="6">
        <v>0</v>
      </c>
      <c r="S3" s="5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5">
        <f ca="1">VLOOKUP($I3,OFFSET([2]enemies!$A$1,0,0,COUNTA([2]enemies!$A:$A),MATCH(T$1,[2]enemies!$2:$2,0)-MATCH($I$1,[2]enemies!$2:$2,0)+1),MATCH(T$1,[2]enemies!$2:$2,0)-MATCH($I$1,[2]enemies!$2:$2,0)+1,FALSE)</f>
        <v>0</v>
      </c>
      <c r="U3" s="7">
        <v>0</v>
      </c>
      <c r="V3" s="7">
        <v>100</v>
      </c>
      <c r="W3" s="7">
        <v>0</v>
      </c>
      <c r="X3" s="26">
        <f ca="1">VLOOKUP($I3,OFFSET([2]enemies!$A$1,0,0,COUNTA([2]enemies!$A:$A),MATCH(X$1,[2]enemies!$2:$2,0)-MATCH($I$1,[2]enemies!$2:$2,0)+1),MATCH(X$1,[2]enemies!$2:$2,0)-MATCH($I$1,[2]enemies!$2:$2,0)+1,FALSE)</f>
        <v>2</v>
      </c>
      <c r="Y3" s="36">
        <v>7</v>
      </c>
      <c r="Z3" s="5" t="str">
        <f ca="1">IFERROR(VLOOKUP($Y3,OFFSET([3]characters!$A$1,0,0,COUNTA([3]characters!$A:$A),MATCH(Z$1,[3]characters!$2:$2,0)-MATCH("character_id",[3]characters!$2:$2,0)+1),MATCH(Z$1,[3]characters!$2:$2,0)-MATCH("character_id",[3]characters!$2:$2,0)+1,FALSE),"")</f>
        <v>エレキポット</v>
      </c>
      <c r="AA3" s="5">
        <f ca="1">IFERROR(VLOOKUP($Y3,OFFSET([3]characters!$A$1,0,0,COUNTA([3]characters!$A:$A),MATCH(AA$1,[3]characters!$2:$2,0)-MATCH("character_id",[3]characters!$2:$2,0)+1),MATCH(AA$1,[3]characters!$2:$2,0)-MATCH("character_id",[3]characters!$2:$2,0)+1,FALSE),"")</f>
        <v>1</v>
      </c>
      <c r="AB3" s="5" t="str">
        <f ca="1">IFERROR(VLOOKUP($Y3,OFFSET([3]characters!$A$1,0,0,COUNTA([3]characters!$A:$A),MATCH(AB$1,[3]characters!$2:$2,0)-MATCH("character_id",[3]characters!$2:$2,0)+1),MATCH(AB$1,[3]characters!$2:$2,0)-MATCH("character_id",[3]characters!$2:$2,0)+1,FALSE),"")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" s="34">
        <v>1</v>
      </c>
      <c r="AD3" s="34">
        <f t="shared" ca="1" si="3"/>
        <v>1</v>
      </c>
      <c r="AE3" s="9">
        <v>25</v>
      </c>
      <c r="AF3" s="34">
        <v>0</v>
      </c>
      <c r="AG3" s="34">
        <v>0</v>
      </c>
      <c r="AH3" s="34">
        <v>0</v>
      </c>
      <c r="AI3" s="34">
        <v>0</v>
      </c>
      <c r="AJ3" s="34">
        <v>1</v>
      </c>
    </row>
    <row r="4" spans="1:36" ht="21" customHeight="1">
      <c r="A4" s="21" t="str">
        <f t="shared" si="0"/>
        <v>10010_1-1/13&lt;lv8&gt;</v>
      </c>
      <c r="B4" s="32">
        <v>10010</v>
      </c>
      <c r="C4" s="35">
        <v>1</v>
      </c>
      <c r="D4" s="20" t="str">
        <f t="shared" si="1"/>
        <v>10010_1</v>
      </c>
      <c r="E4" s="5" t="str">
        <f ca="1">VLOOKUP($B4,OFFSET([1]quests!$A$1,0,0,COUNTA([1]quests!$A:$A),MATCH(E$1,[1]quests!$1:$1,0)-MATCH($B$1,[1]quests!$1:$1,0)+1),MATCH(E$1,[1]quests!$1:$1,0)-MATCH($B$1,[1]quests!$1:$1,0)+1,FALSE)</f>
        <v>幼女増殖！！</v>
      </c>
      <c r="F4" s="5" t="str">
        <f ca="1">VLOOKUP($D4,OFFSET([1]stages!$A$1,0,0,COUNTA([1]stages!$A:$A),MATCH(F$1,[1]stages!$2:$2,0)-MATCH($D$1,[1]stages!$2:$2,0)+1),MATCH(F$1,[1]stages!$2:$2,0)-MATCH($D$1,[1]stages!$2:$2,0)+1,FALSE)</f>
        <v>幼女増殖！！</v>
      </c>
      <c r="G4" s="35">
        <v>1</v>
      </c>
      <c r="H4" s="20" t="str">
        <f t="shared" si="2"/>
        <v>10010_1-1</v>
      </c>
      <c r="I4" s="36">
        <v>13</v>
      </c>
      <c r="J4" s="26" t="str">
        <f ca="1">VLOOKUP($I4,OFFSET([2]enemies!$A$1,0,0,COUNTA([2]enemies!$A:$A),MATCH(J$1,[2]enemies!$2:$2,0)-MATCH($I$1,[2]enemies!$2:$2,0)+1),MATCH(J$1,[2]enemies!$2:$2,0)-MATCH($I$1,[2]enemies!$2:$2,0)+1,FALSE)</f>
        <v>ミミ</v>
      </c>
      <c r="K4" s="29" t="str">
        <f ca="1">VLOOKUP($I4,OFFSET([2]enemies!$A$1,0,0,COUNTA([2]enemies!$A:$A),MATCH(K$1,[2]enemies!$2:$2,0)-MATCH($I$1,[2]enemies!$2:$2,0)+1),MATCH(K$1,[2]enemies!$2:$2,0)-MATCH($I$1,[2]enemies!$2:$2,0)+1,FALSE)</f>
        <v>yellow</v>
      </c>
      <c r="L4" s="29" t="str">
        <f ca="1">VLOOKUP($I4,OFFSET([3]characters!$A$1,0,0,COUNTA([3]characters!$A:$A),MATCH(L$1,[3]characters!$2:$2,0)-MATCH($I$1,[3]characters!$2:$2,0)+1),MATCH(L$1,[3]characters!$2:$2,0)-MATCH($I$1,[3]characters!$2:$2,0)+1,FALSE)</f>
        <v>Drop1W</v>
      </c>
      <c r="M4" s="28" t="str">
        <f ca="1">VLOOKUP($I4,OFFSET([3]characters!$A$1,0,0,COUNTA([3]characters!$A:$A),MATCH(M$1,[3]characters!$2:$2,0)-MATCH($I$1,[3]characters!$2:$2,0)+2),MATCH(M$1,[3]characters!$2:$2,0)-MATCH($I$1,[3]characters!$2:$2,0)+2,FALSE)</f>
        <v>アニマル</v>
      </c>
      <c r="N4" s="5">
        <f ca="1">VLOOKUP($I4,OFFSET([2]enemies!$A$1,0,0,COUNTA([2]enemies!$A:$A),MATCH(N$1,[2]enemies!$2:$2,0)-MATCH($I$1,[2]enemies!$2:$2,0)+1),MATCH(N$1,[2]enemies!$2:$2,0)-MATCH($I$1,[2]enemies!$2:$2,0)+1,FALSE)</f>
        <v>15</v>
      </c>
      <c r="O4" s="6">
        <v>8</v>
      </c>
      <c r="P4" s="41">
        <v>1</v>
      </c>
      <c r="Q4" s="41">
        <v>1</v>
      </c>
      <c r="R4" s="6">
        <v>0</v>
      </c>
      <c r="S4" s="5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5">
        <f ca="1">VLOOKUP($I4,OFFSET([2]enemies!$A$1,0,0,COUNTA([2]enemies!$A:$A),MATCH(T$1,[2]enemies!$2:$2,0)-MATCH($I$1,[2]enemies!$2:$2,0)+1),MATCH(T$1,[2]enemies!$2:$2,0)-MATCH($I$1,[2]enemies!$2:$2,0)+1,FALSE)</f>
        <v>0</v>
      </c>
      <c r="U4" s="7">
        <v>0</v>
      </c>
      <c r="V4" s="7">
        <v>100</v>
      </c>
      <c r="W4" s="7">
        <v>0</v>
      </c>
      <c r="X4" s="26">
        <f ca="1">VLOOKUP($I4,OFFSET([2]enemies!$A$1,0,0,COUNTA([2]enemies!$A:$A),MATCH(X$1,[2]enemies!$2:$2,0)-MATCH($I$1,[2]enemies!$2:$2,0)+1),MATCH(X$1,[2]enemies!$2:$2,0)-MATCH($I$1,[2]enemies!$2:$2,0)+1,FALSE)</f>
        <v>2</v>
      </c>
      <c r="Y4" s="36">
        <v>13</v>
      </c>
      <c r="Z4" s="5" t="str">
        <f ca="1">IFERROR(VLOOKUP($Y4,OFFSET([3]characters!$A$1,0,0,COUNTA([3]characters!$A:$A),MATCH(Z$1,[3]characters!$2:$2,0)-MATCH("character_id",[3]characters!$2:$2,0)+1),MATCH(Z$1,[3]characters!$2:$2,0)-MATCH("character_id",[3]characters!$2:$2,0)+1,FALSE),"")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4" s="5">
        <f ca="1">IFERROR(VLOOKUP($Y4,OFFSET([3]characters!$A$1,0,0,COUNTA([3]characters!$A:$A),MATCH(AA$1,[3]characters!$2:$2,0)-MATCH("character_id",[3]characters!$2:$2,0)+1),MATCH(AA$1,[3]characters!$2:$2,0)-MATCH("character_id",[3]characters!$2:$2,0)+1,FALSE),"")</f>
        <v>1</v>
      </c>
      <c r="AB4" s="5" t="str">
        <f ca="1">IFERROR(VLOOKUP($Y4,OFFSET([3]characters!$A$1,0,0,COUNTA([3]characters!$A:$A),MATCH(AB$1,[3]characters!$2:$2,0)-MATCH("character_id",[3]characters!$2:$2,0)+1),MATCH(AB$1,[3]characters!$2:$2,0)-MATCH("character_id",[3]characters!$2:$2,0)+1,FALSE),"")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" s="34">
        <v>1</v>
      </c>
      <c r="AD4" s="34">
        <f t="shared" ca="1" si="3"/>
        <v>1</v>
      </c>
      <c r="AE4" s="9">
        <v>25</v>
      </c>
      <c r="AF4" s="34">
        <v>0</v>
      </c>
      <c r="AG4" s="34">
        <v>0</v>
      </c>
      <c r="AH4" s="34">
        <v>0</v>
      </c>
      <c r="AI4" s="34">
        <v>0</v>
      </c>
      <c r="AJ4" s="34">
        <v>1</v>
      </c>
    </row>
    <row r="5" spans="1:36" ht="21" customHeight="1">
      <c r="A5" s="21" t="str">
        <f t="shared" si="0"/>
        <v>10010_1-1/19&lt;lv8&gt;</v>
      </c>
      <c r="B5" s="32">
        <v>10010</v>
      </c>
      <c r="C5" s="35">
        <v>1</v>
      </c>
      <c r="D5" s="20" t="str">
        <f t="shared" si="1"/>
        <v>10010_1</v>
      </c>
      <c r="E5" s="5" t="str">
        <f ca="1">VLOOKUP($B5,OFFSET([1]quests!$A$1,0,0,COUNTA([1]quests!$A:$A),MATCH(E$1,[1]quests!$1:$1,0)-MATCH($B$1,[1]quests!$1:$1,0)+1),MATCH(E$1,[1]quests!$1:$1,0)-MATCH($B$1,[1]quests!$1:$1,0)+1,FALSE)</f>
        <v>幼女増殖！！</v>
      </c>
      <c r="F5" s="5" t="str">
        <f ca="1">VLOOKUP($D5,OFFSET([1]stages!$A$1,0,0,COUNTA([1]stages!$A:$A),MATCH(F$1,[1]stages!$2:$2,0)-MATCH($D$1,[1]stages!$2:$2,0)+1),MATCH(F$1,[1]stages!$2:$2,0)-MATCH($D$1,[1]stages!$2:$2,0)+1,FALSE)</f>
        <v>幼女増殖！！</v>
      </c>
      <c r="G5" s="35">
        <v>1</v>
      </c>
      <c r="H5" s="20" t="str">
        <f t="shared" si="2"/>
        <v>10010_1-1</v>
      </c>
      <c r="I5" s="36">
        <v>19</v>
      </c>
      <c r="J5" s="26" t="str">
        <f ca="1">VLOOKUP($I5,OFFSET([2]enemies!$A$1,0,0,COUNTA([2]enemies!$A:$A),MATCH(J$1,[2]enemies!$2:$2,0)-MATCH($I$1,[2]enemies!$2:$2,0)+1),MATCH(J$1,[2]enemies!$2:$2,0)-MATCH($I$1,[2]enemies!$2:$2,0)+1,FALSE)</f>
        <v>ティンク</v>
      </c>
      <c r="K5" s="29" t="str">
        <f ca="1">VLOOKUP($I5,OFFSET([2]enemies!$A$1,0,0,COUNTA([2]enemies!$A:$A),MATCH(K$1,[2]enemies!$2:$2,0)-MATCH($I$1,[2]enemies!$2:$2,0)+1),MATCH(K$1,[2]enemies!$2:$2,0)-MATCH($I$1,[2]enemies!$2:$2,0)+1,FALSE)</f>
        <v>yellow</v>
      </c>
      <c r="L5" s="29" t="str">
        <f ca="1">VLOOKUP($I5,OFFSET([3]characters!$A$1,0,0,COUNTA([3]characters!$A:$A),MATCH(L$1,[3]characters!$2:$2,0)-MATCH($I$1,[3]characters!$2:$2,0)+1),MATCH(L$1,[3]characters!$2:$2,0)-MATCH($I$1,[3]characters!$2:$2,0)+1,FALSE)</f>
        <v>Drop1W</v>
      </c>
      <c r="M5" s="28" t="str">
        <f ca="1">VLOOKUP($I5,OFFSET([3]characters!$A$1,0,0,COUNTA([3]characters!$A:$A),MATCH(M$1,[3]characters!$2:$2,0)-MATCH($I$1,[3]characters!$2:$2,0)+2),MATCH(M$1,[3]characters!$2:$2,0)-MATCH($I$1,[3]characters!$2:$2,0)+2,FALSE)</f>
        <v>ヒューマン</v>
      </c>
      <c r="N5" s="5">
        <f ca="1">VLOOKUP($I5,OFFSET([2]enemies!$A$1,0,0,COUNTA([2]enemies!$A:$A),MATCH(N$1,[2]enemies!$2:$2,0)-MATCH($I$1,[2]enemies!$2:$2,0)+1),MATCH(N$1,[2]enemies!$2:$2,0)-MATCH($I$1,[2]enemies!$2:$2,0)+1,FALSE)</f>
        <v>15</v>
      </c>
      <c r="O5" s="6">
        <v>8</v>
      </c>
      <c r="P5" s="41">
        <v>1</v>
      </c>
      <c r="Q5" s="41">
        <v>1</v>
      </c>
      <c r="R5" s="6">
        <v>0</v>
      </c>
      <c r="S5" s="5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5">
        <f ca="1">VLOOKUP($I5,OFFSET([2]enemies!$A$1,0,0,COUNTA([2]enemies!$A:$A),MATCH(T$1,[2]enemies!$2:$2,0)-MATCH($I$1,[2]enemies!$2:$2,0)+1),MATCH(T$1,[2]enemies!$2:$2,0)-MATCH($I$1,[2]enemies!$2:$2,0)+1,FALSE)</f>
        <v>0</v>
      </c>
      <c r="U5" s="7">
        <v>0</v>
      </c>
      <c r="V5" s="7">
        <v>100</v>
      </c>
      <c r="W5" s="7">
        <v>0</v>
      </c>
      <c r="X5" s="26">
        <f ca="1">VLOOKUP($I5,OFFSET([2]enemies!$A$1,0,0,COUNTA([2]enemies!$A:$A),MATCH(X$1,[2]enemies!$2:$2,0)-MATCH($I$1,[2]enemies!$2:$2,0)+1),MATCH(X$1,[2]enemies!$2:$2,0)-MATCH($I$1,[2]enemies!$2:$2,0)+1,FALSE)</f>
        <v>3</v>
      </c>
      <c r="Y5" s="36">
        <v>19</v>
      </c>
      <c r="Z5" s="5" t="str">
        <f ca="1">IFERROR(VLOOKUP($Y5,OFFSET([3]characters!$A$1,0,0,COUNTA([3]characters!$A:$A),MATCH(Z$1,[3]characters!$2:$2,0)-MATCH("character_id",[3]characters!$2:$2,0)+1),MATCH(Z$1,[3]characters!$2:$2,0)-MATCH("character_id",[3]characters!$2:$2,0)+1,FALSE),"")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" s="5">
        <f ca="1">IFERROR(VLOOKUP($Y5,OFFSET([3]characters!$A$1,0,0,COUNTA([3]characters!$A:$A),MATCH(AA$1,[3]characters!$2:$2,0)-MATCH("character_id",[3]characters!$2:$2,0)+1),MATCH(AA$1,[3]characters!$2:$2,0)-MATCH("character_id",[3]characters!$2:$2,0)+1,FALSE),"")</f>
        <v>1</v>
      </c>
      <c r="AB5" s="5" t="str">
        <f ca="1">IFERROR(VLOOKUP($Y5,OFFSET([3]characters!$A$1,0,0,COUNTA([3]characters!$A:$A),MATCH(AB$1,[3]characters!$2:$2,0)-MATCH("character_id",[3]characters!$2:$2,0)+1),MATCH(AB$1,[3]characters!$2:$2,0)-MATCH("character_id",[3]characters!$2:$2,0)+1,FALSE),"")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" s="34">
        <v>1</v>
      </c>
      <c r="AD5" s="34">
        <f t="shared" ca="1" si="3"/>
        <v>1</v>
      </c>
      <c r="AE5" s="9">
        <v>25</v>
      </c>
      <c r="AF5" s="34">
        <v>0</v>
      </c>
      <c r="AG5" s="34">
        <v>0</v>
      </c>
      <c r="AH5" s="34">
        <v>0</v>
      </c>
      <c r="AI5" s="34">
        <v>0</v>
      </c>
      <c r="AJ5" s="34">
        <v>1</v>
      </c>
    </row>
    <row r="6" spans="1:36" ht="21" customHeight="1">
      <c r="A6" s="21" t="str">
        <f t="shared" si="0"/>
        <v>10010_1-2/7&lt;lv8&gt;</v>
      </c>
      <c r="B6" s="32">
        <v>10010</v>
      </c>
      <c r="C6" s="35">
        <v>1</v>
      </c>
      <c r="D6" s="20" t="str">
        <f t="shared" si="1"/>
        <v>10010_1</v>
      </c>
      <c r="E6" s="5" t="str">
        <f ca="1">VLOOKUP($B6,OFFSET([1]quests!$A$1,0,0,COUNTA([1]quests!$A:$A),MATCH(E$1,[1]quests!$1:$1,0)-MATCH($B$1,[1]quests!$1:$1,0)+1),MATCH(E$1,[1]quests!$1:$1,0)-MATCH($B$1,[1]quests!$1:$1,0)+1,FALSE)</f>
        <v>幼女増殖！！</v>
      </c>
      <c r="F6" s="5" t="str">
        <f ca="1">VLOOKUP($D6,OFFSET([1]stages!$A$1,0,0,COUNTA([1]stages!$A:$A),MATCH(F$1,[1]stages!$2:$2,0)-MATCH($D$1,[1]stages!$2:$2,0)+1),MATCH(F$1,[1]stages!$2:$2,0)-MATCH($D$1,[1]stages!$2:$2,0)+1,FALSE)</f>
        <v>幼女増殖！！</v>
      </c>
      <c r="G6" s="35">
        <v>2</v>
      </c>
      <c r="H6" s="20" t="str">
        <f t="shared" si="2"/>
        <v>10010_1-2</v>
      </c>
      <c r="I6" s="36">
        <v>7</v>
      </c>
      <c r="J6" s="26" t="str">
        <f ca="1">VLOOKUP($I6,OFFSET([2]enemies!$A$1,0,0,COUNTA([2]enemies!$A:$A),MATCH(J$1,[2]enemies!$2:$2,0)-MATCH($I$1,[2]enemies!$2:$2,0)+1),MATCH(J$1,[2]enemies!$2:$2,0)-MATCH($I$1,[2]enemies!$2:$2,0)+1,FALSE)</f>
        <v>エレキポット</v>
      </c>
      <c r="K6" s="29" t="str">
        <f ca="1">VLOOKUP($I6,OFFSET([2]enemies!$A$1,0,0,COUNTA([2]enemies!$A:$A),MATCH(K$1,[2]enemies!$2:$2,0)-MATCH($I$1,[2]enemies!$2:$2,0)+1),MATCH(K$1,[2]enemies!$2:$2,0)-MATCH($I$1,[2]enemies!$2:$2,0)+1,FALSE)</f>
        <v>yellow</v>
      </c>
      <c r="L6" s="29" t="str">
        <f ca="1">VLOOKUP($I6,OFFSET([3]characters!$A$1,0,0,COUNTA([3]characters!$A:$A),MATCH(L$1,[3]characters!$2:$2,0)-MATCH($I$1,[3]characters!$2:$2,0)+1),MATCH(L$1,[3]characters!$2:$2,0)-MATCH($I$1,[3]characters!$2:$2,0)+1,FALSE)</f>
        <v>Drop1T</v>
      </c>
      <c r="M6" s="28" t="str">
        <f ca="1">VLOOKUP($I6,OFFSET([3]characters!$A$1,0,0,COUNTA([3]characters!$A:$A),MATCH(M$1,[3]characters!$2:$2,0)-MATCH($I$1,[3]characters!$2:$2,0)+2),MATCH(M$1,[3]characters!$2:$2,0)-MATCH($I$1,[3]characters!$2:$2,0)+2,FALSE)</f>
        <v>Unknown</v>
      </c>
      <c r="N6" s="5">
        <f ca="1">VLOOKUP($I6,OFFSET([2]enemies!$A$1,0,0,COUNTA([2]enemies!$A:$A),MATCH(N$1,[2]enemies!$2:$2,0)-MATCH($I$1,[2]enemies!$2:$2,0)+1),MATCH(N$1,[2]enemies!$2:$2,0)-MATCH($I$1,[2]enemies!$2:$2,0)+1,FALSE)</f>
        <v>15</v>
      </c>
      <c r="O6" s="6">
        <v>8</v>
      </c>
      <c r="P6" s="41">
        <v>1</v>
      </c>
      <c r="Q6" s="41">
        <v>1</v>
      </c>
      <c r="R6" s="6">
        <v>0</v>
      </c>
      <c r="S6" s="5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5">
        <f ca="1">VLOOKUP($I6,OFFSET([2]enemies!$A$1,0,0,COUNTA([2]enemies!$A:$A),MATCH(T$1,[2]enemies!$2:$2,0)-MATCH($I$1,[2]enemies!$2:$2,0)+1),MATCH(T$1,[2]enemies!$2:$2,0)-MATCH($I$1,[2]enemies!$2:$2,0)+1,FALSE)</f>
        <v>0</v>
      </c>
      <c r="U6" s="7">
        <v>0</v>
      </c>
      <c r="V6" s="7">
        <v>100</v>
      </c>
      <c r="W6" s="7">
        <v>0</v>
      </c>
      <c r="X6" s="26">
        <f ca="1">VLOOKUP($I6,OFFSET([2]enemies!$A$1,0,0,COUNTA([2]enemies!$A:$A),MATCH(X$1,[2]enemies!$2:$2,0)-MATCH($I$1,[2]enemies!$2:$2,0)+1),MATCH(X$1,[2]enemies!$2:$2,0)-MATCH($I$1,[2]enemies!$2:$2,0)+1,FALSE)</f>
        <v>2</v>
      </c>
      <c r="Y6" s="36">
        <v>7</v>
      </c>
      <c r="Z6" s="5" t="str">
        <f ca="1">IFERROR(VLOOKUP($Y6,OFFSET([3]characters!$A$1,0,0,COUNTA([3]characters!$A:$A),MATCH(Z$1,[3]characters!$2:$2,0)-MATCH("character_id",[3]characters!$2:$2,0)+1),MATCH(Z$1,[3]characters!$2:$2,0)-MATCH("character_id",[3]characters!$2:$2,0)+1,FALSE),"")</f>
        <v>エレキポット</v>
      </c>
      <c r="AA6" s="5">
        <f ca="1">IFERROR(VLOOKUP($Y6,OFFSET([3]characters!$A$1,0,0,COUNTA([3]characters!$A:$A),MATCH(AA$1,[3]characters!$2:$2,0)-MATCH("character_id",[3]characters!$2:$2,0)+1),MATCH(AA$1,[3]characters!$2:$2,0)-MATCH("character_id",[3]characters!$2:$2,0)+1,FALSE),"")</f>
        <v>1</v>
      </c>
      <c r="AB6" s="5" t="str">
        <f ca="1">IFERROR(VLOOKUP($Y6,OFFSET([3]characters!$A$1,0,0,COUNTA([3]characters!$A:$A),MATCH(AB$1,[3]characters!$2:$2,0)-MATCH("character_id",[3]characters!$2:$2,0)+1),MATCH(AB$1,[3]characters!$2:$2,0)-MATCH("character_id",[3]characters!$2:$2,0)+1,FALSE),"")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6" s="34">
        <v>1</v>
      </c>
      <c r="AD6" s="34">
        <f t="shared" ca="1" si="3"/>
        <v>1</v>
      </c>
      <c r="AE6" s="9">
        <v>25</v>
      </c>
      <c r="AF6" s="34">
        <v>0</v>
      </c>
      <c r="AG6" s="34">
        <v>0</v>
      </c>
      <c r="AH6" s="34">
        <v>0</v>
      </c>
      <c r="AI6" s="34">
        <v>0</v>
      </c>
      <c r="AJ6" s="34">
        <v>1</v>
      </c>
    </row>
    <row r="7" spans="1:36" ht="21" customHeight="1">
      <c r="A7" s="21" t="str">
        <f t="shared" si="0"/>
        <v>10010_1-2/13&lt;lv8&gt;</v>
      </c>
      <c r="B7" s="32">
        <v>10010</v>
      </c>
      <c r="C7" s="35">
        <v>1</v>
      </c>
      <c r="D7" s="20" t="str">
        <f t="shared" si="1"/>
        <v>10010_1</v>
      </c>
      <c r="E7" s="5" t="str">
        <f ca="1">VLOOKUP($B7,OFFSET([1]quests!$A$1,0,0,COUNTA([1]quests!$A:$A),MATCH(E$1,[1]quests!$1:$1,0)-MATCH($B$1,[1]quests!$1:$1,0)+1),MATCH(E$1,[1]quests!$1:$1,0)-MATCH($B$1,[1]quests!$1:$1,0)+1,FALSE)</f>
        <v>幼女増殖！！</v>
      </c>
      <c r="F7" s="5" t="str">
        <f ca="1">VLOOKUP($D7,OFFSET([1]stages!$A$1,0,0,COUNTA([1]stages!$A:$A),MATCH(F$1,[1]stages!$2:$2,0)-MATCH($D$1,[1]stages!$2:$2,0)+1),MATCH(F$1,[1]stages!$2:$2,0)-MATCH($D$1,[1]stages!$2:$2,0)+1,FALSE)</f>
        <v>幼女増殖！！</v>
      </c>
      <c r="G7" s="35">
        <v>2</v>
      </c>
      <c r="H7" s="20" t="str">
        <f t="shared" si="2"/>
        <v>10010_1-2</v>
      </c>
      <c r="I7" s="36">
        <v>13</v>
      </c>
      <c r="J7" s="26" t="str">
        <f ca="1">VLOOKUP($I7,OFFSET([2]enemies!$A$1,0,0,COUNTA([2]enemies!$A:$A),MATCH(J$1,[2]enemies!$2:$2,0)-MATCH($I$1,[2]enemies!$2:$2,0)+1),MATCH(J$1,[2]enemies!$2:$2,0)-MATCH($I$1,[2]enemies!$2:$2,0)+1,FALSE)</f>
        <v>ミミ</v>
      </c>
      <c r="K7" s="29" t="str">
        <f ca="1">VLOOKUP($I7,OFFSET([2]enemies!$A$1,0,0,COUNTA([2]enemies!$A:$A),MATCH(K$1,[2]enemies!$2:$2,0)-MATCH($I$1,[2]enemies!$2:$2,0)+1),MATCH(K$1,[2]enemies!$2:$2,0)-MATCH($I$1,[2]enemies!$2:$2,0)+1,FALSE)</f>
        <v>yellow</v>
      </c>
      <c r="L7" s="29" t="str">
        <f ca="1">VLOOKUP($I7,OFFSET([3]characters!$A$1,0,0,COUNTA([3]characters!$A:$A),MATCH(L$1,[3]characters!$2:$2,0)-MATCH($I$1,[3]characters!$2:$2,0)+1),MATCH(L$1,[3]characters!$2:$2,0)-MATCH($I$1,[3]characters!$2:$2,0)+1,FALSE)</f>
        <v>Drop1W</v>
      </c>
      <c r="M7" s="28" t="str">
        <f ca="1">VLOOKUP($I7,OFFSET([3]characters!$A$1,0,0,COUNTA([3]characters!$A:$A),MATCH(M$1,[3]characters!$2:$2,0)-MATCH($I$1,[3]characters!$2:$2,0)+2),MATCH(M$1,[3]characters!$2:$2,0)-MATCH($I$1,[3]characters!$2:$2,0)+2,FALSE)</f>
        <v>アニマル</v>
      </c>
      <c r="N7" s="5">
        <f ca="1">VLOOKUP($I7,OFFSET([2]enemies!$A$1,0,0,COUNTA([2]enemies!$A:$A),MATCH(N$1,[2]enemies!$2:$2,0)-MATCH($I$1,[2]enemies!$2:$2,0)+1),MATCH(N$1,[2]enemies!$2:$2,0)-MATCH($I$1,[2]enemies!$2:$2,0)+1,FALSE)</f>
        <v>15</v>
      </c>
      <c r="O7" s="6">
        <v>8</v>
      </c>
      <c r="P7" s="41">
        <v>1</v>
      </c>
      <c r="Q7" s="41">
        <v>1</v>
      </c>
      <c r="R7" s="6">
        <v>0</v>
      </c>
      <c r="S7" s="5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5">
        <f ca="1">VLOOKUP($I7,OFFSET([2]enemies!$A$1,0,0,COUNTA([2]enemies!$A:$A),MATCH(T$1,[2]enemies!$2:$2,0)-MATCH($I$1,[2]enemies!$2:$2,0)+1),MATCH(T$1,[2]enemies!$2:$2,0)-MATCH($I$1,[2]enemies!$2:$2,0)+1,FALSE)</f>
        <v>0</v>
      </c>
      <c r="U7" s="7">
        <v>0</v>
      </c>
      <c r="V7" s="7">
        <v>100</v>
      </c>
      <c r="W7" s="7">
        <v>0</v>
      </c>
      <c r="X7" s="26">
        <f ca="1">VLOOKUP($I7,OFFSET([2]enemies!$A$1,0,0,COUNTA([2]enemies!$A:$A),MATCH(X$1,[2]enemies!$2:$2,0)-MATCH($I$1,[2]enemies!$2:$2,0)+1),MATCH(X$1,[2]enemies!$2:$2,0)-MATCH($I$1,[2]enemies!$2:$2,0)+1,FALSE)</f>
        <v>2</v>
      </c>
      <c r="Y7" s="36">
        <v>13</v>
      </c>
      <c r="Z7" s="5" t="str">
        <f ca="1">IFERROR(VLOOKUP($Y7,OFFSET([3]characters!$A$1,0,0,COUNTA([3]characters!$A:$A),MATCH(Z$1,[3]characters!$2:$2,0)-MATCH("character_id",[3]characters!$2:$2,0)+1),MATCH(Z$1,[3]characters!$2:$2,0)-MATCH("character_id",[3]characters!$2:$2,0)+1,FALSE),"")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7" s="5">
        <f ca="1">IFERROR(VLOOKUP($Y7,OFFSET([3]characters!$A$1,0,0,COUNTA([3]characters!$A:$A),MATCH(AA$1,[3]characters!$2:$2,0)-MATCH("character_id",[3]characters!$2:$2,0)+1),MATCH(AA$1,[3]characters!$2:$2,0)-MATCH("character_id",[3]characters!$2:$2,0)+1,FALSE),"")</f>
        <v>1</v>
      </c>
      <c r="AB7" s="5" t="str">
        <f ca="1">IFERROR(VLOOKUP($Y7,OFFSET([3]characters!$A$1,0,0,COUNTA([3]characters!$A:$A),MATCH(AB$1,[3]characters!$2:$2,0)-MATCH("character_id",[3]characters!$2:$2,0)+1),MATCH(AB$1,[3]characters!$2:$2,0)-MATCH("character_id",[3]characters!$2:$2,0)+1,FALSE),"")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7" s="34">
        <v>1</v>
      </c>
      <c r="AD7" s="34">
        <f t="shared" ca="1" si="3"/>
        <v>1</v>
      </c>
      <c r="AE7" s="9">
        <v>25</v>
      </c>
      <c r="AF7" s="34">
        <v>0</v>
      </c>
      <c r="AG7" s="34">
        <v>0</v>
      </c>
      <c r="AH7" s="34">
        <v>0</v>
      </c>
      <c r="AI7" s="34">
        <v>0</v>
      </c>
      <c r="AJ7" s="34">
        <v>1</v>
      </c>
    </row>
    <row r="8" spans="1:36" ht="21" customHeight="1">
      <c r="A8" s="21" t="str">
        <f t="shared" si="0"/>
        <v>10010_1-2/19&lt;lv8&gt;</v>
      </c>
      <c r="B8" s="32">
        <v>10010</v>
      </c>
      <c r="C8" s="35">
        <v>1</v>
      </c>
      <c r="D8" s="20" t="str">
        <f t="shared" si="1"/>
        <v>10010_1</v>
      </c>
      <c r="E8" s="5" t="str">
        <f ca="1">VLOOKUP($B8,OFFSET([1]quests!$A$1,0,0,COUNTA([1]quests!$A:$A),MATCH(E$1,[1]quests!$1:$1,0)-MATCH($B$1,[1]quests!$1:$1,0)+1),MATCH(E$1,[1]quests!$1:$1,0)-MATCH($B$1,[1]quests!$1:$1,0)+1,FALSE)</f>
        <v>幼女増殖！！</v>
      </c>
      <c r="F8" s="5" t="str">
        <f ca="1">VLOOKUP($D8,OFFSET([1]stages!$A$1,0,0,COUNTA([1]stages!$A:$A),MATCH(F$1,[1]stages!$2:$2,0)-MATCH($D$1,[1]stages!$2:$2,0)+1),MATCH(F$1,[1]stages!$2:$2,0)-MATCH($D$1,[1]stages!$2:$2,0)+1,FALSE)</f>
        <v>幼女増殖！！</v>
      </c>
      <c r="G8" s="35">
        <v>2</v>
      </c>
      <c r="H8" s="20" t="str">
        <f t="shared" si="2"/>
        <v>10010_1-2</v>
      </c>
      <c r="I8" s="36">
        <v>19</v>
      </c>
      <c r="J8" s="26" t="str">
        <f ca="1">VLOOKUP($I8,OFFSET([2]enemies!$A$1,0,0,COUNTA([2]enemies!$A:$A),MATCH(J$1,[2]enemies!$2:$2,0)-MATCH($I$1,[2]enemies!$2:$2,0)+1),MATCH(J$1,[2]enemies!$2:$2,0)-MATCH($I$1,[2]enemies!$2:$2,0)+1,FALSE)</f>
        <v>ティンク</v>
      </c>
      <c r="K8" s="29" t="str">
        <f ca="1">VLOOKUP($I8,OFFSET([2]enemies!$A$1,0,0,COUNTA([2]enemies!$A:$A),MATCH(K$1,[2]enemies!$2:$2,0)-MATCH($I$1,[2]enemies!$2:$2,0)+1),MATCH(K$1,[2]enemies!$2:$2,0)-MATCH($I$1,[2]enemies!$2:$2,0)+1,FALSE)</f>
        <v>yellow</v>
      </c>
      <c r="L8" s="29" t="str">
        <f ca="1">VLOOKUP($I8,OFFSET([3]characters!$A$1,0,0,COUNTA([3]characters!$A:$A),MATCH(L$1,[3]characters!$2:$2,0)-MATCH($I$1,[3]characters!$2:$2,0)+1),MATCH(L$1,[3]characters!$2:$2,0)-MATCH($I$1,[3]characters!$2:$2,0)+1,FALSE)</f>
        <v>Drop1W</v>
      </c>
      <c r="M8" s="28" t="str">
        <f ca="1">VLOOKUP($I8,OFFSET([3]characters!$A$1,0,0,COUNTA([3]characters!$A:$A),MATCH(M$1,[3]characters!$2:$2,0)-MATCH($I$1,[3]characters!$2:$2,0)+2),MATCH(M$1,[3]characters!$2:$2,0)-MATCH($I$1,[3]characters!$2:$2,0)+2,FALSE)</f>
        <v>ヒューマン</v>
      </c>
      <c r="N8" s="5">
        <f ca="1">VLOOKUP($I8,OFFSET([2]enemies!$A$1,0,0,COUNTA([2]enemies!$A:$A),MATCH(N$1,[2]enemies!$2:$2,0)-MATCH($I$1,[2]enemies!$2:$2,0)+1),MATCH(N$1,[2]enemies!$2:$2,0)-MATCH($I$1,[2]enemies!$2:$2,0)+1,FALSE)</f>
        <v>15</v>
      </c>
      <c r="O8" s="6">
        <v>8</v>
      </c>
      <c r="P8" s="41">
        <v>1</v>
      </c>
      <c r="Q8" s="41">
        <v>1</v>
      </c>
      <c r="R8" s="6">
        <v>0</v>
      </c>
      <c r="S8" s="5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5">
        <f ca="1">VLOOKUP($I8,OFFSET([2]enemies!$A$1,0,0,COUNTA([2]enemies!$A:$A),MATCH(T$1,[2]enemies!$2:$2,0)-MATCH($I$1,[2]enemies!$2:$2,0)+1),MATCH(T$1,[2]enemies!$2:$2,0)-MATCH($I$1,[2]enemies!$2:$2,0)+1,FALSE)</f>
        <v>0</v>
      </c>
      <c r="U8" s="7">
        <v>0</v>
      </c>
      <c r="V8" s="7">
        <v>100</v>
      </c>
      <c r="W8" s="7">
        <v>0</v>
      </c>
      <c r="X8" s="26">
        <f ca="1">VLOOKUP($I8,OFFSET([2]enemies!$A$1,0,0,COUNTA([2]enemies!$A:$A),MATCH(X$1,[2]enemies!$2:$2,0)-MATCH($I$1,[2]enemies!$2:$2,0)+1),MATCH(X$1,[2]enemies!$2:$2,0)-MATCH($I$1,[2]enemies!$2:$2,0)+1,FALSE)</f>
        <v>3</v>
      </c>
      <c r="Y8" s="36">
        <v>19</v>
      </c>
      <c r="Z8" s="5" t="str">
        <f ca="1">IFERROR(VLOOKUP($Y8,OFFSET([3]characters!$A$1,0,0,COUNTA([3]characters!$A:$A),MATCH(Z$1,[3]characters!$2:$2,0)-MATCH("character_id",[3]characters!$2:$2,0)+1),MATCH(Z$1,[3]characters!$2:$2,0)-MATCH("character_id",[3]characters!$2:$2,0)+1,FALSE),"")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8" s="5">
        <f ca="1">IFERROR(VLOOKUP($Y8,OFFSET([3]characters!$A$1,0,0,COUNTA([3]characters!$A:$A),MATCH(AA$1,[3]characters!$2:$2,0)-MATCH("character_id",[3]characters!$2:$2,0)+1),MATCH(AA$1,[3]characters!$2:$2,0)-MATCH("character_id",[3]characters!$2:$2,0)+1,FALSE),"")</f>
        <v>1</v>
      </c>
      <c r="AB8" s="5" t="str">
        <f ca="1">IFERROR(VLOOKUP($Y8,OFFSET([3]characters!$A$1,0,0,COUNTA([3]characters!$A:$A),MATCH(AB$1,[3]characters!$2:$2,0)-MATCH("character_id",[3]characters!$2:$2,0)+1),MATCH(AB$1,[3]characters!$2:$2,0)-MATCH("character_id",[3]characters!$2:$2,0)+1,FALSE),"")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8" s="34">
        <v>1</v>
      </c>
      <c r="AD8" s="34">
        <f t="shared" ca="1" si="3"/>
        <v>1</v>
      </c>
      <c r="AE8" s="9">
        <v>25</v>
      </c>
      <c r="AF8" s="34">
        <v>0</v>
      </c>
      <c r="AG8" s="34">
        <v>0</v>
      </c>
      <c r="AH8" s="34">
        <v>0</v>
      </c>
      <c r="AI8" s="34">
        <v>0</v>
      </c>
      <c r="AJ8" s="34">
        <v>1</v>
      </c>
    </row>
    <row r="9" spans="1:36" ht="21" customHeight="1">
      <c r="A9" s="21" t="str">
        <f t="shared" si="0"/>
        <v>10010_1-3/83&lt;lv15&gt;</v>
      </c>
      <c r="B9" s="32">
        <v>10010</v>
      </c>
      <c r="C9" s="35">
        <v>1</v>
      </c>
      <c r="D9" s="20" t="str">
        <f t="shared" ref="D9:D15" si="4">B9&amp;"_"&amp;C9</f>
        <v>10010_1</v>
      </c>
      <c r="E9" s="5" t="str">
        <f ca="1">VLOOKUP($B9,OFFSET([1]quests!$A$1,0,0,COUNTA([1]quests!$A:$A),MATCH(E$1,[1]quests!$1:$1,0)-MATCH($B$1,[1]quests!$1:$1,0)+1),MATCH(E$1,[1]quests!$1:$1,0)-MATCH($B$1,[1]quests!$1:$1,0)+1,FALSE)</f>
        <v>幼女増殖！！</v>
      </c>
      <c r="F9" s="5" t="str">
        <f ca="1">VLOOKUP($D9,OFFSET([1]stages!$A$1,0,0,COUNTA([1]stages!$A:$A),MATCH(F$1,[1]stages!$2:$2,0)-MATCH($D$1,[1]stages!$2:$2,0)+1),MATCH(F$1,[1]stages!$2:$2,0)-MATCH($D$1,[1]stages!$2:$2,0)+1,FALSE)</f>
        <v>幼女増殖！！</v>
      </c>
      <c r="G9" s="35">
        <v>3</v>
      </c>
      <c r="H9" s="20" t="str">
        <f t="shared" ref="H9:H15" si="5">B9&amp;"_"&amp;C9&amp;"-"&amp;G9</f>
        <v>10010_1-3</v>
      </c>
      <c r="I9" s="36">
        <v>83</v>
      </c>
      <c r="J9" s="26" t="str">
        <f ca="1">VLOOKUP($I9,OFFSET([2]enemies!$A$1,0,0,COUNTA([2]enemies!$A:$A),MATCH(J$1,[2]enemies!$2:$2,0)-MATCH($I$1,[2]enemies!$2:$2,0)+1),MATCH(J$1,[2]enemies!$2:$2,0)-MATCH($I$1,[2]enemies!$2:$2,0)+1,FALSE)</f>
        <v>拡散性ニムダ</v>
      </c>
      <c r="K9" s="29" t="str">
        <f ca="1">VLOOKUP($I9,OFFSET([2]enemies!$A$1,0,0,COUNTA([2]enemies!$A:$A),MATCH(K$1,[2]enemies!$2:$2,0)-MATCH($I$1,[2]enemies!$2:$2,0)+1),MATCH(K$1,[2]enemies!$2:$2,0)-MATCH($I$1,[2]enemies!$2:$2,0)+1,FALSE)</f>
        <v>yellow</v>
      </c>
      <c r="L9" s="29" t="str">
        <f ca="1">VLOOKUP($I9,OFFSET([3]characters!$A$1,0,0,COUNTA([3]characters!$A:$A),MATCH(L$1,[3]characters!$2:$2,0)-MATCH($I$1,[3]characters!$2:$2,0)+1),MATCH(L$1,[3]characters!$2:$2,0)-MATCH($I$1,[3]characters!$2:$2,0)+1,FALSE)</f>
        <v>PremiumW</v>
      </c>
      <c r="M9" s="28" t="str">
        <f ca="1">VLOOKUP($I9,OFFSET([3]characters!$A$1,0,0,COUNTA([3]characters!$A:$A),MATCH(M$1,[3]characters!$2:$2,0)-MATCH($I$1,[3]characters!$2:$2,0)+2),MATCH(M$1,[3]characters!$2:$2,0)-MATCH($I$1,[3]characters!$2:$2,0)+2,FALSE)</f>
        <v>Unknown</v>
      </c>
      <c r="N9" s="5">
        <f ca="1">VLOOKUP($I9,OFFSET([2]enemies!$A$1,0,0,COUNTA([2]enemies!$A:$A),MATCH(N$1,[2]enemies!$2:$2,0)-MATCH($I$1,[2]enemies!$2:$2,0)+1),MATCH(N$1,[2]enemies!$2:$2,0)-MATCH($I$1,[2]enemies!$2:$2,0)+1,FALSE)</f>
        <v>20</v>
      </c>
      <c r="O9" s="6">
        <v>15</v>
      </c>
      <c r="P9" s="41">
        <v>1</v>
      </c>
      <c r="Q9" s="41">
        <v>1</v>
      </c>
      <c r="R9" s="6">
        <v>0</v>
      </c>
      <c r="S9" s="5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3回連続攻撃</v>
      </c>
      <c r="T9" s="5">
        <f ca="1">VLOOKUP($I9,OFFSET([2]enemies!$A$1,0,0,COUNTA([2]enemies!$A:$A),MATCH(T$1,[2]enemies!$2:$2,0)-MATCH($I$1,[2]enemies!$2:$2,0)+1),MATCH(T$1,[2]enemies!$2:$2,0)-MATCH($I$1,[2]enemies!$2:$2,0)+1,FALSE)</f>
        <v>83</v>
      </c>
      <c r="U9" s="7">
        <v>1</v>
      </c>
      <c r="V9" s="7">
        <v>100</v>
      </c>
      <c r="W9" s="7">
        <v>1</v>
      </c>
      <c r="X9" s="26">
        <f ca="1">VLOOKUP($I9,OFFSET([2]enemies!$A$1,0,0,COUNTA([2]enemies!$A:$A),MATCH(X$1,[2]enemies!$2:$2,0)-MATCH($I$1,[2]enemies!$2:$2,0)+1),MATCH(X$1,[2]enemies!$2:$2,0)-MATCH($I$1,[2]enemies!$2:$2,0)+1,FALSE)</f>
        <v>2</v>
      </c>
      <c r="Y9" s="36">
        <v>83</v>
      </c>
      <c r="Z9" s="5" t="str">
        <f ca="1">IFERROR(VLOOKUP($Y9,OFFSET([3]characters!$A$1,0,0,COUNTA([3]characters!$A:$A),MATCH(Z$1,[3]characters!$2:$2,0)-MATCH("character_id",[3]characters!$2:$2,0)+1),MATCH(Z$1,[3]characters!$2:$2,0)-MATCH("character_id",[3]characters!$2:$2,0)+1,FALSE),"")</f>
        <v>拡散性ニムダ</v>
      </c>
      <c r="AA9" s="5">
        <f ca="1">IFERROR(VLOOKUP($Y9,OFFSET([3]characters!$A$1,0,0,COUNTA([3]characters!$A:$A),MATCH(AA$1,[3]characters!$2:$2,0)-MATCH("character_id",[3]characters!$2:$2,0)+1),MATCH(AA$1,[3]characters!$2:$2,0)-MATCH("character_id",[3]characters!$2:$2,0)+1,FALSE),"")</f>
        <v>3</v>
      </c>
      <c r="AB9" s="5" t="str">
        <f ca="1">IFERROR(VLOOKUP($Y9,OFFSET([3]characters!$A$1,0,0,COUNTA([3]characters!$A:$A),MATCH(AB$1,[3]characters!$2:$2,0)-MATCH("character_id",[3]characters!$2:$2,0)+1),MATCH(AB$1,[3]characters!$2:$2,0)-MATCH("character_id",[3]characters!$2:$2,0)+1,FALSE),"")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9" s="34">
        <v>1</v>
      </c>
      <c r="AD9" s="34">
        <f t="shared" ref="AD9:AD15" ca="1" si="6">AA9</f>
        <v>3</v>
      </c>
      <c r="AE9" s="9">
        <v>0</v>
      </c>
      <c r="AF9" s="34">
        <v>0</v>
      </c>
      <c r="AG9" s="34">
        <v>0</v>
      </c>
      <c r="AH9" s="34">
        <v>0</v>
      </c>
      <c r="AI9" s="34">
        <v>0</v>
      </c>
      <c r="AJ9" s="34">
        <v>1</v>
      </c>
    </row>
    <row r="10" spans="1:36" ht="21" customHeight="1">
      <c r="A10" s="21" t="str">
        <f t="shared" si="0"/>
        <v>10015_1-1/17&lt;lv12&gt;</v>
      </c>
      <c r="B10" s="32">
        <v>10015</v>
      </c>
      <c r="C10" s="35">
        <v>1</v>
      </c>
      <c r="D10" s="20" t="str">
        <f t="shared" si="4"/>
        <v>10015_1</v>
      </c>
      <c r="E10" s="5" t="str">
        <f ca="1">VLOOKUP($B10,OFFSET([1]quests!$A$1,0,0,COUNTA([1]quests!$A:$A),MATCH(E$1,[1]quests!$1:$1,0)-MATCH($B$1,[1]quests!$1:$1,0)+1),MATCH(E$1,[1]quests!$1:$1,0)-MATCH($B$1,[1]quests!$1:$1,0)+1,FALSE)</f>
        <v>静かなる混乱</v>
      </c>
      <c r="F10" s="5" t="str">
        <f ca="1">VLOOKUP($D10,OFFSET([1]stages!$A$1,0,0,COUNTA([1]stages!$A:$A),MATCH(F$1,[1]stages!$2:$2,0)-MATCH($D$1,[1]stages!$2:$2,0)+1),MATCH(F$1,[1]stages!$2:$2,0)-MATCH($D$1,[1]stages!$2:$2,0)+1,FALSE)</f>
        <v>静かなる混乱</v>
      </c>
      <c r="G10" s="35">
        <v>1</v>
      </c>
      <c r="H10" s="20" t="str">
        <f t="shared" si="5"/>
        <v>10015_1-1</v>
      </c>
      <c r="I10" s="37">
        <v>17</v>
      </c>
      <c r="J10" s="26" t="str">
        <f ca="1">VLOOKUP($I10,OFFSET([2]enemies!$A$1,0,0,COUNTA([2]enemies!$A:$A),MATCH(J$1,[2]enemies!$2:$2,0)-MATCH($I$1,[2]enemies!$2:$2,0)+1),MATCH(J$1,[2]enemies!$2:$2,0)-MATCH($I$1,[2]enemies!$2:$2,0)+1,FALSE)</f>
        <v>リム</v>
      </c>
      <c r="K10" s="29" t="str">
        <f ca="1">VLOOKUP($I10,OFFSET([2]enemies!$A$1,0,0,COUNTA([2]enemies!$A:$A),MATCH(K$1,[2]enemies!$2:$2,0)-MATCH($I$1,[2]enemies!$2:$2,0)+1),MATCH(K$1,[2]enemies!$2:$2,0)-MATCH($I$1,[2]enemies!$2:$2,0)+1,FALSE)</f>
        <v>blue</v>
      </c>
      <c r="L10" s="29" t="str">
        <f ca="1">VLOOKUP($I10,OFFSET([3]characters!$A$1,0,0,COUNTA([3]characters!$A:$A),MATCH(L$1,[3]characters!$2:$2,0)-MATCH($I$1,[3]characters!$2:$2,0)+1),MATCH(L$1,[3]characters!$2:$2,0)-MATCH($I$1,[3]characters!$2:$2,0)+1,FALSE)</f>
        <v>Drop1W</v>
      </c>
      <c r="M10" s="28" t="str">
        <f ca="1">VLOOKUP($I10,OFFSET([3]characters!$A$1,0,0,COUNTA([3]characters!$A:$A),MATCH(M$1,[3]characters!$2:$2,0)-MATCH($I$1,[3]characters!$2:$2,0)+2),MATCH(M$1,[3]characters!$2:$2,0)-MATCH($I$1,[3]characters!$2:$2,0)+2,FALSE)</f>
        <v>ヒューマン</v>
      </c>
      <c r="N10" s="5">
        <f ca="1">VLOOKUP($I10,OFFSET([2]enemies!$A$1,0,0,COUNTA([2]enemies!$A:$A),MATCH(N$1,[2]enemies!$2:$2,0)-MATCH($I$1,[2]enemies!$2:$2,0)+1),MATCH(N$1,[2]enemies!$2:$2,0)-MATCH($I$1,[2]enemies!$2:$2,0)+1,FALSE)</f>
        <v>15</v>
      </c>
      <c r="O10" s="6">
        <v>12</v>
      </c>
      <c r="P10" s="41">
        <v>1</v>
      </c>
      <c r="Q10" s="41">
        <v>1</v>
      </c>
      <c r="R10" s="6">
        <v>0</v>
      </c>
      <c r="S10" s="5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5">
        <f ca="1">VLOOKUP($I10,OFFSET([2]enemies!$A$1,0,0,COUNTA([2]enemies!$A:$A),MATCH(T$1,[2]enemies!$2:$2,0)-MATCH($I$1,[2]enemies!$2:$2,0)+1),MATCH(T$1,[2]enemies!$2:$2,0)-MATCH($I$1,[2]enemies!$2:$2,0)+1,FALSE)</f>
        <v>0</v>
      </c>
      <c r="U10" s="7">
        <v>0</v>
      </c>
      <c r="V10" s="7">
        <v>100</v>
      </c>
      <c r="W10" s="7">
        <v>0</v>
      </c>
      <c r="X10" s="26">
        <f ca="1">VLOOKUP($I10,OFFSET([2]enemies!$A$1,0,0,COUNTA([2]enemies!$A:$A),MATCH(X$1,[2]enemies!$2:$2,0)-MATCH($I$1,[2]enemies!$2:$2,0)+1),MATCH(X$1,[2]enemies!$2:$2,0)-MATCH($I$1,[2]enemies!$2:$2,0)+1,FALSE)</f>
        <v>2</v>
      </c>
      <c r="Y10" s="37">
        <v>17</v>
      </c>
      <c r="Z10" s="5" t="str">
        <f ca="1">IFERROR(VLOOKUP($Y10,OFFSET([3]characters!$A$1,0,0,COUNTA([3]characters!$A:$A),MATCH(Z$1,[3]characters!$2:$2,0)-MATCH("character_id",[3]characters!$2:$2,0)+1),MATCH(Z$1,[3]characters!$2:$2,0)-MATCH("character_id",[3]characters!$2:$2,0)+1,FALSE),"")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0" s="5">
        <f ca="1">IFERROR(VLOOKUP($Y10,OFFSET([3]characters!$A$1,0,0,COUNTA([3]characters!$A:$A),MATCH(AA$1,[3]characters!$2:$2,0)-MATCH("character_id",[3]characters!$2:$2,0)+1),MATCH(AA$1,[3]characters!$2:$2,0)-MATCH("character_id",[3]characters!$2:$2,0)+1,FALSE),"")</f>
        <v>1</v>
      </c>
      <c r="AB10" s="5" t="str">
        <f ca="1">IFERROR(VLOOKUP($Y10,OFFSET([3]characters!$A$1,0,0,COUNTA([3]characters!$A:$A),MATCH(AB$1,[3]characters!$2:$2,0)-MATCH("character_id",[3]characters!$2:$2,0)+1),MATCH(AB$1,[3]characters!$2:$2,0)-MATCH("character_id",[3]characters!$2:$2,0)+1,FALSE),"")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0" s="34">
        <v>1</v>
      </c>
      <c r="AD10" s="34">
        <f t="shared" ca="1" si="6"/>
        <v>1</v>
      </c>
      <c r="AE10" s="9">
        <v>25</v>
      </c>
      <c r="AF10" s="34">
        <v>0</v>
      </c>
      <c r="AG10" s="34">
        <v>0</v>
      </c>
      <c r="AH10" s="34">
        <v>0</v>
      </c>
      <c r="AI10" s="34">
        <v>0</v>
      </c>
      <c r="AJ10" s="34">
        <v>1</v>
      </c>
    </row>
    <row r="11" spans="1:36" ht="21" customHeight="1">
      <c r="A11" s="21" t="str">
        <f t="shared" si="0"/>
        <v>10015_1-1/29&lt;lv12&gt;</v>
      </c>
      <c r="B11" s="32">
        <v>10015</v>
      </c>
      <c r="C11" s="35">
        <v>1</v>
      </c>
      <c r="D11" s="20" t="str">
        <f t="shared" si="4"/>
        <v>10015_1</v>
      </c>
      <c r="E11" s="5" t="str">
        <f ca="1">VLOOKUP($B11,OFFSET([1]quests!$A$1,0,0,COUNTA([1]quests!$A:$A),MATCH(E$1,[1]quests!$1:$1,0)-MATCH($B$1,[1]quests!$1:$1,0)+1),MATCH(E$1,[1]quests!$1:$1,0)-MATCH($B$1,[1]quests!$1:$1,0)+1,FALSE)</f>
        <v>静かなる混乱</v>
      </c>
      <c r="F11" s="5" t="str">
        <f ca="1">VLOOKUP($D11,OFFSET([1]stages!$A$1,0,0,COUNTA([1]stages!$A:$A),MATCH(F$1,[1]stages!$2:$2,0)-MATCH($D$1,[1]stages!$2:$2,0)+1),MATCH(F$1,[1]stages!$2:$2,0)-MATCH($D$1,[1]stages!$2:$2,0)+1,FALSE)</f>
        <v>静かなる混乱</v>
      </c>
      <c r="G11" s="35">
        <v>1</v>
      </c>
      <c r="H11" s="20" t="str">
        <f t="shared" si="5"/>
        <v>10015_1-1</v>
      </c>
      <c r="I11" s="37">
        <v>29</v>
      </c>
      <c r="J11" s="26" t="str">
        <f ca="1">VLOOKUP($I11,OFFSET([2]enemies!$A$1,0,0,COUNTA([2]enemies!$A:$A),MATCH(J$1,[2]enemies!$2:$2,0)-MATCH($I$1,[2]enemies!$2:$2,0)+1),MATCH(J$1,[2]enemies!$2:$2,0)-MATCH($I$1,[2]enemies!$2:$2,0)+1,FALSE)</f>
        <v>スケアクロウ</v>
      </c>
      <c r="K11" s="29" t="str">
        <f ca="1">VLOOKUP($I11,OFFSET([2]enemies!$A$1,0,0,COUNTA([2]enemies!$A:$A),MATCH(K$1,[2]enemies!$2:$2,0)-MATCH($I$1,[2]enemies!$2:$2,0)+1),MATCH(K$1,[2]enemies!$2:$2,0)-MATCH($I$1,[2]enemies!$2:$2,0)+1,FALSE)</f>
        <v>blue</v>
      </c>
      <c r="L11" s="29" t="str">
        <f ca="1">VLOOKUP($I11,OFFSET([3]characters!$A$1,0,0,COUNTA([3]characters!$A:$A),MATCH(L$1,[3]characters!$2:$2,0)-MATCH($I$1,[3]characters!$2:$2,0)+1),MATCH(L$1,[3]characters!$2:$2,0)-MATCH($I$1,[3]characters!$2:$2,0)+1,FALSE)</f>
        <v>Drop1N</v>
      </c>
      <c r="M11" s="28" t="str">
        <f ca="1">VLOOKUP($I11,OFFSET([3]characters!$A$1,0,0,COUNTA([3]characters!$A:$A),MATCH(M$1,[3]characters!$2:$2,0)-MATCH($I$1,[3]characters!$2:$2,0)+2),MATCH(M$1,[3]characters!$2:$2,0)-MATCH($I$1,[3]characters!$2:$2,0)+2,FALSE)</f>
        <v>マシン</v>
      </c>
      <c r="N11" s="5">
        <f ca="1">VLOOKUP($I11,OFFSET([2]enemies!$A$1,0,0,COUNTA([2]enemies!$A:$A),MATCH(N$1,[2]enemies!$2:$2,0)-MATCH($I$1,[2]enemies!$2:$2,0)+1),MATCH(N$1,[2]enemies!$2:$2,0)-MATCH($I$1,[2]enemies!$2:$2,0)+1,FALSE)</f>
        <v>15</v>
      </c>
      <c r="O11" s="6">
        <v>12</v>
      </c>
      <c r="P11" s="41">
        <v>1</v>
      </c>
      <c r="Q11" s="41">
        <v>1</v>
      </c>
      <c r="R11" s="6">
        <v>0</v>
      </c>
      <c r="S11" s="5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5">
        <f ca="1">VLOOKUP($I11,OFFSET([2]enemies!$A$1,0,0,COUNTA([2]enemies!$A:$A),MATCH(T$1,[2]enemies!$2:$2,0)-MATCH($I$1,[2]enemies!$2:$2,0)+1),MATCH(T$1,[2]enemies!$2:$2,0)-MATCH($I$1,[2]enemies!$2:$2,0)+1,FALSE)</f>
        <v>0</v>
      </c>
      <c r="U11" s="7">
        <v>0</v>
      </c>
      <c r="V11" s="7">
        <v>100</v>
      </c>
      <c r="W11" s="7">
        <v>0</v>
      </c>
      <c r="X11" s="26">
        <f ca="1">VLOOKUP($I11,OFFSET([2]enemies!$A$1,0,0,COUNTA([2]enemies!$A:$A),MATCH(X$1,[2]enemies!$2:$2,0)-MATCH($I$1,[2]enemies!$2:$2,0)+1),MATCH(X$1,[2]enemies!$2:$2,0)-MATCH($I$1,[2]enemies!$2:$2,0)+1,FALSE)</f>
        <v>2</v>
      </c>
      <c r="Y11" s="37">
        <v>29</v>
      </c>
      <c r="Z11" s="5" t="str">
        <f ca="1">IFERROR(VLOOKUP($Y11,OFFSET([3]characters!$A$1,0,0,COUNTA([3]characters!$A:$A),MATCH(Z$1,[3]characters!$2:$2,0)-MATCH("character_id",[3]characters!$2:$2,0)+1),MATCH(Z$1,[3]characters!$2:$2,0)-MATCH("character_id",[3]characters!$2:$2,0)+1,FALSE),"")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11" s="5">
        <f ca="1">IFERROR(VLOOKUP($Y11,OFFSET([3]characters!$A$1,0,0,COUNTA([3]characters!$A:$A),MATCH(AA$1,[3]characters!$2:$2,0)-MATCH("character_id",[3]characters!$2:$2,0)+1),MATCH(AA$1,[3]characters!$2:$2,0)-MATCH("character_id",[3]characters!$2:$2,0)+1,FALSE),"")</f>
        <v>1</v>
      </c>
      <c r="AB11" s="5" t="str">
        <f ca="1">IFERROR(VLOOKUP($Y11,OFFSET([3]characters!$A$1,0,0,COUNTA([3]characters!$A:$A),MATCH(AB$1,[3]characters!$2:$2,0)-MATCH("character_id",[3]characters!$2:$2,0)+1),MATCH(AB$1,[3]characters!$2:$2,0)-MATCH("character_id",[3]characters!$2:$2,0)+1,FALSE),"")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" s="34">
        <v>1</v>
      </c>
      <c r="AD11" s="34">
        <f t="shared" ca="1" si="6"/>
        <v>1</v>
      </c>
      <c r="AE11" s="9">
        <v>25</v>
      </c>
      <c r="AF11" s="34">
        <v>0</v>
      </c>
      <c r="AG11" s="34">
        <v>0</v>
      </c>
      <c r="AH11" s="34">
        <v>0</v>
      </c>
      <c r="AI11" s="34">
        <v>0</v>
      </c>
      <c r="AJ11" s="34">
        <v>1</v>
      </c>
    </row>
    <row r="12" spans="1:36" ht="21" customHeight="1">
      <c r="A12" s="21" t="str">
        <f t="shared" si="0"/>
        <v>10015_1-1/25&lt;lv12&gt;</v>
      </c>
      <c r="B12" s="32">
        <v>10015</v>
      </c>
      <c r="C12" s="35">
        <v>1</v>
      </c>
      <c r="D12" s="20" t="str">
        <f t="shared" si="4"/>
        <v>10015_1</v>
      </c>
      <c r="E12" s="5" t="str">
        <f ca="1">VLOOKUP($B12,OFFSET([1]quests!$A$1,0,0,COUNTA([1]quests!$A:$A),MATCH(E$1,[1]quests!$1:$1,0)-MATCH($B$1,[1]quests!$1:$1,0)+1),MATCH(E$1,[1]quests!$1:$1,0)-MATCH($B$1,[1]quests!$1:$1,0)+1,FALSE)</f>
        <v>静かなる混乱</v>
      </c>
      <c r="F12" s="5" t="str">
        <f ca="1">VLOOKUP($D12,OFFSET([1]stages!$A$1,0,0,COUNTA([1]stages!$A:$A),MATCH(F$1,[1]stages!$2:$2,0)-MATCH($D$1,[1]stages!$2:$2,0)+1),MATCH(F$1,[1]stages!$2:$2,0)-MATCH($D$1,[1]stages!$2:$2,0)+1,FALSE)</f>
        <v>静かなる混乱</v>
      </c>
      <c r="G12" s="35">
        <v>1</v>
      </c>
      <c r="H12" s="20" t="str">
        <f t="shared" si="5"/>
        <v>10015_1-1</v>
      </c>
      <c r="I12" s="37">
        <v>25</v>
      </c>
      <c r="J12" s="26" t="str">
        <f ca="1">VLOOKUP($I12,OFFSET([2]enemies!$A$1,0,0,COUNTA([2]enemies!$A:$A),MATCH(J$1,[2]enemies!$2:$2,0)-MATCH($I$1,[2]enemies!$2:$2,0)+1),MATCH(J$1,[2]enemies!$2:$2,0)-MATCH($I$1,[2]enemies!$2:$2,0)+1,FALSE)</f>
        <v>ハチ</v>
      </c>
      <c r="K12" s="29" t="str">
        <f ca="1">VLOOKUP($I12,OFFSET([2]enemies!$A$1,0,0,COUNTA([2]enemies!$A:$A),MATCH(K$1,[2]enemies!$2:$2,0)-MATCH($I$1,[2]enemies!$2:$2,0)+1),MATCH(K$1,[2]enemies!$2:$2,0)-MATCH($I$1,[2]enemies!$2:$2,0)+1,FALSE)</f>
        <v>blue</v>
      </c>
      <c r="L12" s="29" t="str">
        <f ca="1">VLOOKUP($I12,OFFSET([3]characters!$A$1,0,0,COUNTA([3]characters!$A:$A),MATCH(L$1,[3]characters!$2:$2,0)-MATCH($I$1,[3]characters!$2:$2,0)+1),MATCH(L$1,[3]characters!$2:$2,0)-MATCH($I$1,[3]characters!$2:$2,0)+1,FALSE)</f>
        <v>Drop1N</v>
      </c>
      <c r="M12" s="28" t="str">
        <f ca="1">VLOOKUP($I12,OFFSET([3]characters!$A$1,0,0,COUNTA([3]characters!$A:$A),MATCH(M$1,[3]characters!$2:$2,0)-MATCH($I$1,[3]characters!$2:$2,0)+2),MATCH(M$1,[3]characters!$2:$2,0)-MATCH($I$1,[3]characters!$2:$2,0)+2,FALSE)</f>
        <v>アニマル</v>
      </c>
      <c r="N12" s="5">
        <f ca="1">VLOOKUP($I12,OFFSET([2]enemies!$A$1,0,0,COUNTA([2]enemies!$A:$A),MATCH(N$1,[2]enemies!$2:$2,0)-MATCH($I$1,[2]enemies!$2:$2,0)+1),MATCH(N$1,[2]enemies!$2:$2,0)-MATCH($I$1,[2]enemies!$2:$2,0)+1,FALSE)</f>
        <v>15</v>
      </c>
      <c r="O12" s="6">
        <v>12</v>
      </c>
      <c r="P12" s="41">
        <v>1</v>
      </c>
      <c r="Q12" s="41">
        <v>1</v>
      </c>
      <c r="R12" s="6">
        <v>0</v>
      </c>
      <c r="S12" s="5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5">
        <f ca="1">VLOOKUP($I12,OFFSET([2]enemies!$A$1,0,0,COUNTA([2]enemies!$A:$A),MATCH(T$1,[2]enemies!$2:$2,0)-MATCH($I$1,[2]enemies!$2:$2,0)+1),MATCH(T$1,[2]enemies!$2:$2,0)-MATCH($I$1,[2]enemies!$2:$2,0)+1,FALSE)</f>
        <v>0</v>
      </c>
      <c r="U12" s="7">
        <v>0</v>
      </c>
      <c r="V12" s="7">
        <v>100</v>
      </c>
      <c r="W12" s="7">
        <v>0</v>
      </c>
      <c r="X12" s="26">
        <f ca="1">VLOOKUP($I12,OFFSET([2]enemies!$A$1,0,0,COUNTA([2]enemies!$A:$A),MATCH(X$1,[2]enemies!$2:$2,0)-MATCH($I$1,[2]enemies!$2:$2,0)+1),MATCH(X$1,[2]enemies!$2:$2,0)-MATCH($I$1,[2]enemies!$2:$2,0)+1,FALSE)</f>
        <v>3</v>
      </c>
      <c r="Y12" s="37">
        <v>25</v>
      </c>
      <c r="Z12" s="5" t="str">
        <f ca="1">IFERROR(VLOOKUP($Y12,OFFSET([3]characters!$A$1,0,0,COUNTA([3]characters!$A:$A),MATCH(Z$1,[3]characters!$2:$2,0)-MATCH("character_id",[3]characters!$2:$2,0)+1),MATCH(Z$1,[3]characters!$2:$2,0)-MATCH("character_id",[3]characters!$2:$2,0)+1,FALSE),"")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2" s="5">
        <f ca="1">IFERROR(VLOOKUP($Y12,OFFSET([3]characters!$A$1,0,0,COUNTA([3]characters!$A:$A),MATCH(AA$1,[3]characters!$2:$2,0)-MATCH("character_id",[3]characters!$2:$2,0)+1),MATCH(AA$1,[3]characters!$2:$2,0)-MATCH("character_id",[3]characters!$2:$2,0)+1,FALSE),"")</f>
        <v>1</v>
      </c>
      <c r="AB12" s="5" t="str">
        <f ca="1">IFERROR(VLOOKUP($Y12,OFFSET([3]characters!$A$1,0,0,COUNTA([3]characters!$A:$A),MATCH(AB$1,[3]characters!$2:$2,0)-MATCH("character_id",[3]characters!$2:$2,0)+1),MATCH(AB$1,[3]characters!$2:$2,0)-MATCH("character_id",[3]characters!$2:$2,0)+1,FALSE),"")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" s="34">
        <v>1</v>
      </c>
      <c r="AD12" s="34">
        <f t="shared" ca="1" si="6"/>
        <v>1</v>
      </c>
      <c r="AE12" s="9">
        <v>25</v>
      </c>
      <c r="AF12" s="34">
        <v>0</v>
      </c>
      <c r="AG12" s="34">
        <v>0</v>
      </c>
      <c r="AH12" s="34">
        <v>0</v>
      </c>
      <c r="AI12" s="34">
        <v>0</v>
      </c>
      <c r="AJ12" s="34">
        <v>1</v>
      </c>
    </row>
    <row r="13" spans="1:36" ht="21" customHeight="1">
      <c r="A13" s="21" t="str">
        <f t="shared" si="0"/>
        <v>10015_1-2/17&lt;lv12&gt;</v>
      </c>
      <c r="B13" s="32">
        <v>10015</v>
      </c>
      <c r="C13" s="35">
        <v>1</v>
      </c>
      <c r="D13" s="20" t="str">
        <f t="shared" si="4"/>
        <v>10015_1</v>
      </c>
      <c r="E13" s="5" t="str">
        <f ca="1">VLOOKUP($B13,OFFSET([1]quests!$A$1,0,0,COUNTA([1]quests!$A:$A),MATCH(E$1,[1]quests!$1:$1,0)-MATCH($B$1,[1]quests!$1:$1,0)+1),MATCH(E$1,[1]quests!$1:$1,0)-MATCH($B$1,[1]quests!$1:$1,0)+1,FALSE)</f>
        <v>静かなる混乱</v>
      </c>
      <c r="F13" s="5" t="str">
        <f ca="1">VLOOKUP($D13,OFFSET([1]stages!$A$1,0,0,COUNTA([1]stages!$A:$A),MATCH(F$1,[1]stages!$2:$2,0)-MATCH($D$1,[1]stages!$2:$2,0)+1),MATCH(F$1,[1]stages!$2:$2,0)-MATCH($D$1,[1]stages!$2:$2,0)+1,FALSE)</f>
        <v>静かなる混乱</v>
      </c>
      <c r="G13" s="35">
        <v>2</v>
      </c>
      <c r="H13" s="20" t="str">
        <f t="shared" si="5"/>
        <v>10015_1-2</v>
      </c>
      <c r="I13" s="37">
        <v>17</v>
      </c>
      <c r="J13" s="26" t="str">
        <f ca="1">VLOOKUP($I13,OFFSET([2]enemies!$A$1,0,0,COUNTA([2]enemies!$A:$A),MATCH(J$1,[2]enemies!$2:$2,0)-MATCH($I$1,[2]enemies!$2:$2,0)+1),MATCH(J$1,[2]enemies!$2:$2,0)-MATCH($I$1,[2]enemies!$2:$2,0)+1,FALSE)</f>
        <v>リム</v>
      </c>
      <c r="K13" s="29" t="str">
        <f ca="1">VLOOKUP($I13,OFFSET([2]enemies!$A$1,0,0,COUNTA([2]enemies!$A:$A),MATCH(K$1,[2]enemies!$2:$2,0)-MATCH($I$1,[2]enemies!$2:$2,0)+1),MATCH(K$1,[2]enemies!$2:$2,0)-MATCH($I$1,[2]enemies!$2:$2,0)+1,FALSE)</f>
        <v>blue</v>
      </c>
      <c r="L13" s="29" t="str">
        <f ca="1">VLOOKUP($I13,OFFSET([3]characters!$A$1,0,0,COUNTA([3]characters!$A:$A),MATCH(L$1,[3]characters!$2:$2,0)-MATCH($I$1,[3]characters!$2:$2,0)+1),MATCH(L$1,[3]characters!$2:$2,0)-MATCH($I$1,[3]characters!$2:$2,0)+1,FALSE)</f>
        <v>Drop1W</v>
      </c>
      <c r="M13" s="28" t="str">
        <f ca="1">VLOOKUP($I13,OFFSET([3]characters!$A$1,0,0,COUNTA([3]characters!$A:$A),MATCH(M$1,[3]characters!$2:$2,0)-MATCH($I$1,[3]characters!$2:$2,0)+2),MATCH(M$1,[3]characters!$2:$2,0)-MATCH($I$1,[3]characters!$2:$2,0)+2,FALSE)</f>
        <v>ヒューマン</v>
      </c>
      <c r="N13" s="5">
        <f ca="1">VLOOKUP($I13,OFFSET([2]enemies!$A$1,0,0,COUNTA([2]enemies!$A:$A),MATCH(N$1,[2]enemies!$2:$2,0)-MATCH($I$1,[2]enemies!$2:$2,0)+1),MATCH(N$1,[2]enemies!$2:$2,0)-MATCH($I$1,[2]enemies!$2:$2,0)+1,FALSE)</f>
        <v>15</v>
      </c>
      <c r="O13" s="6">
        <v>12</v>
      </c>
      <c r="P13" s="41">
        <v>1</v>
      </c>
      <c r="Q13" s="41">
        <v>1</v>
      </c>
      <c r="R13" s="6">
        <v>0</v>
      </c>
      <c r="S13" s="5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5">
        <f ca="1">VLOOKUP($I13,OFFSET([2]enemies!$A$1,0,0,COUNTA([2]enemies!$A:$A),MATCH(T$1,[2]enemies!$2:$2,0)-MATCH($I$1,[2]enemies!$2:$2,0)+1),MATCH(T$1,[2]enemies!$2:$2,0)-MATCH($I$1,[2]enemies!$2:$2,0)+1,FALSE)</f>
        <v>0</v>
      </c>
      <c r="U13" s="7">
        <v>0</v>
      </c>
      <c r="V13" s="7">
        <v>100</v>
      </c>
      <c r="W13" s="7">
        <v>0</v>
      </c>
      <c r="X13" s="26">
        <f ca="1">VLOOKUP($I13,OFFSET([2]enemies!$A$1,0,0,COUNTA([2]enemies!$A:$A),MATCH(X$1,[2]enemies!$2:$2,0)-MATCH($I$1,[2]enemies!$2:$2,0)+1),MATCH(X$1,[2]enemies!$2:$2,0)-MATCH($I$1,[2]enemies!$2:$2,0)+1,FALSE)</f>
        <v>2</v>
      </c>
      <c r="Y13" s="37">
        <v>17</v>
      </c>
      <c r="Z13" s="5" t="str">
        <f ca="1">IFERROR(VLOOKUP($Y13,OFFSET([3]characters!$A$1,0,0,COUNTA([3]characters!$A:$A),MATCH(Z$1,[3]characters!$2:$2,0)-MATCH("character_id",[3]characters!$2:$2,0)+1),MATCH(Z$1,[3]characters!$2:$2,0)-MATCH("character_id",[3]characters!$2:$2,0)+1,FALSE),"")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3" s="5">
        <f ca="1">IFERROR(VLOOKUP($Y13,OFFSET([3]characters!$A$1,0,0,COUNTA([3]characters!$A:$A),MATCH(AA$1,[3]characters!$2:$2,0)-MATCH("character_id",[3]characters!$2:$2,0)+1),MATCH(AA$1,[3]characters!$2:$2,0)-MATCH("character_id",[3]characters!$2:$2,0)+1,FALSE),"")</f>
        <v>1</v>
      </c>
      <c r="AB13" s="5" t="str">
        <f ca="1">IFERROR(VLOOKUP($Y13,OFFSET([3]characters!$A$1,0,0,COUNTA([3]characters!$A:$A),MATCH(AB$1,[3]characters!$2:$2,0)-MATCH("character_id",[3]characters!$2:$2,0)+1),MATCH(AB$1,[3]characters!$2:$2,0)-MATCH("character_id",[3]characters!$2:$2,0)+1,FALSE),"")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3" s="34">
        <v>1</v>
      </c>
      <c r="AD13" s="34">
        <f t="shared" ca="1" si="6"/>
        <v>1</v>
      </c>
      <c r="AE13" s="9">
        <v>25</v>
      </c>
      <c r="AF13" s="34">
        <v>0</v>
      </c>
      <c r="AG13" s="34">
        <v>0</v>
      </c>
      <c r="AH13" s="34">
        <v>0</v>
      </c>
      <c r="AI13" s="34">
        <v>0</v>
      </c>
      <c r="AJ13" s="34">
        <v>1</v>
      </c>
    </row>
    <row r="14" spans="1:36" ht="21" customHeight="1">
      <c r="A14" s="21" t="str">
        <f t="shared" si="0"/>
        <v>10015_1-2/25&lt;lv12&gt;</v>
      </c>
      <c r="B14" s="32">
        <v>10015</v>
      </c>
      <c r="C14" s="35">
        <v>1</v>
      </c>
      <c r="D14" s="20" t="str">
        <f t="shared" si="4"/>
        <v>10015_1</v>
      </c>
      <c r="E14" s="5" t="str">
        <f ca="1">VLOOKUP($B14,OFFSET([1]quests!$A$1,0,0,COUNTA([1]quests!$A:$A),MATCH(E$1,[1]quests!$1:$1,0)-MATCH($B$1,[1]quests!$1:$1,0)+1),MATCH(E$1,[1]quests!$1:$1,0)-MATCH($B$1,[1]quests!$1:$1,0)+1,FALSE)</f>
        <v>静かなる混乱</v>
      </c>
      <c r="F14" s="5" t="str">
        <f ca="1">VLOOKUP($D14,OFFSET([1]stages!$A$1,0,0,COUNTA([1]stages!$A:$A),MATCH(F$1,[1]stages!$2:$2,0)-MATCH($D$1,[1]stages!$2:$2,0)+1),MATCH(F$1,[1]stages!$2:$2,0)-MATCH($D$1,[1]stages!$2:$2,0)+1,FALSE)</f>
        <v>静かなる混乱</v>
      </c>
      <c r="G14" s="35">
        <v>2</v>
      </c>
      <c r="H14" s="20" t="str">
        <f t="shared" si="5"/>
        <v>10015_1-2</v>
      </c>
      <c r="I14" s="37">
        <v>25</v>
      </c>
      <c r="J14" s="26" t="str">
        <f ca="1">VLOOKUP($I14,OFFSET([2]enemies!$A$1,0,0,COUNTA([2]enemies!$A:$A),MATCH(J$1,[2]enemies!$2:$2,0)-MATCH($I$1,[2]enemies!$2:$2,0)+1),MATCH(J$1,[2]enemies!$2:$2,0)-MATCH($I$1,[2]enemies!$2:$2,0)+1,FALSE)</f>
        <v>ハチ</v>
      </c>
      <c r="K14" s="29" t="str">
        <f ca="1">VLOOKUP($I14,OFFSET([2]enemies!$A$1,0,0,COUNTA([2]enemies!$A:$A),MATCH(K$1,[2]enemies!$2:$2,0)-MATCH($I$1,[2]enemies!$2:$2,0)+1),MATCH(K$1,[2]enemies!$2:$2,0)-MATCH($I$1,[2]enemies!$2:$2,0)+1,FALSE)</f>
        <v>blue</v>
      </c>
      <c r="L14" s="29" t="str">
        <f ca="1">VLOOKUP($I14,OFFSET([3]characters!$A$1,0,0,COUNTA([3]characters!$A:$A),MATCH(L$1,[3]characters!$2:$2,0)-MATCH($I$1,[3]characters!$2:$2,0)+1),MATCH(L$1,[3]characters!$2:$2,0)-MATCH($I$1,[3]characters!$2:$2,0)+1,FALSE)</f>
        <v>Drop1N</v>
      </c>
      <c r="M14" s="28" t="str">
        <f ca="1">VLOOKUP($I14,OFFSET([3]characters!$A$1,0,0,COUNTA([3]characters!$A:$A),MATCH(M$1,[3]characters!$2:$2,0)-MATCH($I$1,[3]characters!$2:$2,0)+2),MATCH(M$1,[3]characters!$2:$2,0)-MATCH($I$1,[3]characters!$2:$2,0)+2,FALSE)</f>
        <v>アニマル</v>
      </c>
      <c r="N14" s="5">
        <f ca="1">VLOOKUP($I14,OFFSET([2]enemies!$A$1,0,0,COUNTA([2]enemies!$A:$A),MATCH(N$1,[2]enemies!$2:$2,0)-MATCH($I$1,[2]enemies!$2:$2,0)+1),MATCH(N$1,[2]enemies!$2:$2,0)-MATCH($I$1,[2]enemies!$2:$2,0)+1,FALSE)</f>
        <v>15</v>
      </c>
      <c r="O14" s="6">
        <v>12</v>
      </c>
      <c r="P14" s="41">
        <v>1</v>
      </c>
      <c r="Q14" s="41">
        <v>1</v>
      </c>
      <c r="R14" s="6">
        <v>0</v>
      </c>
      <c r="S14" s="5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5">
        <f ca="1">VLOOKUP($I14,OFFSET([2]enemies!$A$1,0,0,COUNTA([2]enemies!$A:$A),MATCH(T$1,[2]enemies!$2:$2,0)-MATCH($I$1,[2]enemies!$2:$2,0)+1),MATCH(T$1,[2]enemies!$2:$2,0)-MATCH($I$1,[2]enemies!$2:$2,0)+1,FALSE)</f>
        <v>0</v>
      </c>
      <c r="U14" s="7">
        <v>0</v>
      </c>
      <c r="V14" s="7">
        <v>100</v>
      </c>
      <c r="W14" s="7">
        <v>0</v>
      </c>
      <c r="X14" s="26">
        <f ca="1">VLOOKUP($I14,OFFSET([2]enemies!$A$1,0,0,COUNTA([2]enemies!$A:$A),MATCH(X$1,[2]enemies!$2:$2,0)-MATCH($I$1,[2]enemies!$2:$2,0)+1),MATCH(X$1,[2]enemies!$2:$2,0)-MATCH($I$1,[2]enemies!$2:$2,0)+1,FALSE)</f>
        <v>3</v>
      </c>
      <c r="Y14" s="37">
        <v>25</v>
      </c>
      <c r="Z14" s="5" t="str">
        <f ca="1">IFERROR(VLOOKUP($Y14,OFFSET([3]characters!$A$1,0,0,COUNTA([3]characters!$A:$A),MATCH(Z$1,[3]characters!$2:$2,0)-MATCH("character_id",[3]characters!$2:$2,0)+1),MATCH(Z$1,[3]characters!$2:$2,0)-MATCH("character_id",[3]characters!$2:$2,0)+1,FALSE),"")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4" s="5">
        <f ca="1">IFERROR(VLOOKUP($Y14,OFFSET([3]characters!$A$1,0,0,COUNTA([3]characters!$A:$A),MATCH(AA$1,[3]characters!$2:$2,0)-MATCH("character_id",[3]characters!$2:$2,0)+1),MATCH(AA$1,[3]characters!$2:$2,0)-MATCH("character_id",[3]characters!$2:$2,0)+1,FALSE),"")</f>
        <v>1</v>
      </c>
      <c r="AB14" s="5" t="str">
        <f ca="1">IFERROR(VLOOKUP($Y14,OFFSET([3]characters!$A$1,0,0,COUNTA([3]characters!$A:$A),MATCH(AB$1,[3]characters!$2:$2,0)-MATCH("character_id",[3]characters!$2:$2,0)+1),MATCH(AB$1,[3]characters!$2:$2,0)-MATCH("character_id",[3]characters!$2:$2,0)+1,FALSE),"")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" s="34">
        <v>1</v>
      </c>
      <c r="AD14" s="34">
        <f t="shared" ca="1" si="6"/>
        <v>1</v>
      </c>
      <c r="AE14" s="9">
        <v>25</v>
      </c>
      <c r="AF14" s="34">
        <v>0</v>
      </c>
      <c r="AG14" s="34">
        <v>0</v>
      </c>
      <c r="AH14" s="34">
        <v>0</v>
      </c>
      <c r="AI14" s="34">
        <v>0</v>
      </c>
      <c r="AJ14" s="34">
        <v>1</v>
      </c>
    </row>
    <row r="15" spans="1:36" ht="21" customHeight="1">
      <c r="A15" s="21" t="str">
        <f t="shared" si="0"/>
        <v>10015_1-2/29&lt;lv12&gt;</v>
      </c>
      <c r="B15" s="32">
        <v>10015</v>
      </c>
      <c r="C15" s="35">
        <v>1</v>
      </c>
      <c r="D15" s="20" t="str">
        <f t="shared" si="4"/>
        <v>10015_1</v>
      </c>
      <c r="E15" s="5" t="str">
        <f ca="1">VLOOKUP($B15,OFFSET([1]quests!$A$1,0,0,COUNTA([1]quests!$A:$A),MATCH(E$1,[1]quests!$1:$1,0)-MATCH($B$1,[1]quests!$1:$1,0)+1),MATCH(E$1,[1]quests!$1:$1,0)-MATCH($B$1,[1]quests!$1:$1,0)+1,FALSE)</f>
        <v>静かなる混乱</v>
      </c>
      <c r="F15" s="5" t="str">
        <f ca="1">VLOOKUP($D15,OFFSET([1]stages!$A$1,0,0,COUNTA([1]stages!$A:$A),MATCH(F$1,[1]stages!$2:$2,0)-MATCH($D$1,[1]stages!$2:$2,0)+1),MATCH(F$1,[1]stages!$2:$2,0)-MATCH($D$1,[1]stages!$2:$2,0)+1,FALSE)</f>
        <v>静かなる混乱</v>
      </c>
      <c r="G15" s="35">
        <v>2</v>
      </c>
      <c r="H15" s="20" t="str">
        <f t="shared" si="5"/>
        <v>10015_1-2</v>
      </c>
      <c r="I15" s="37">
        <v>29</v>
      </c>
      <c r="J15" s="26" t="str">
        <f ca="1">VLOOKUP($I15,OFFSET([2]enemies!$A$1,0,0,COUNTA([2]enemies!$A:$A),MATCH(J$1,[2]enemies!$2:$2,0)-MATCH($I$1,[2]enemies!$2:$2,0)+1),MATCH(J$1,[2]enemies!$2:$2,0)-MATCH($I$1,[2]enemies!$2:$2,0)+1,FALSE)</f>
        <v>スケアクロウ</v>
      </c>
      <c r="K15" s="29" t="str">
        <f ca="1">VLOOKUP($I15,OFFSET([2]enemies!$A$1,0,0,COUNTA([2]enemies!$A:$A),MATCH(K$1,[2]enemies!$2:$2,0)-MATCH($I$1,[2]enemies!$2:$2,0)+1),MATCH(K$1,[2]enemies!$2:$2,0)-MATCH($I$1,[2]enemies!$2:$2,0)+1,FALSE)</f>
        <v>blue</v>
      </c>
      <c r="L15" s="29" t="str">
        <f ca="1">VLOOKUP($I15,OFFSET([3]characters!$A$1,0,0,COUNTA([3]characters!$A:$A),MATCH(L$1,[3]characters!$2:$2,0)-MATCH($I$1,[3]characters!$2:$2,0)+1),MATCH(L$1,[3]characters!$2:$2,0)-MATCH($I$1,[3]characters!$2:$2,0)+1,FALSE)</f>
        <v>Drop1N</v>
      </c>
      <c r="M15" s="28" t="str">
        <f ca="1">VLOOKUP($I15,OFFSET([3]characters!$A$1,0,0,COUNTA([3]characters!$A:$A),MATCH(M$1,[3]characters!$2:$2,0)-MATCH($I$1,[3]characters!$2:$2,0)+2),MATCH(M$1,[3]characters!$2:$2,0)-MATCH($I$1,[3]characters!$2:$2,0)+2,FALSE)</f>
        <v>マシン</v>
      </c>
      <c r="N15" s="5">
        <f ca="1">VLOOKUP($I15,OFFSET([2]enemies!$A$1,0,0,COUNTA([2]enemies!$A:$A),MATCH(N$1,[2]enemies!$2:$2,0)-MATCH($I$1,[2]enemies!$2:$2,0)+1),MATCH(N$1,[2]enemies!$2:$2,0)-MATCH($I$1,[2]enemies!$2:$2,0)+1,FALSE)</f>
        <v>15</v>
      </c>
      <c r="O15" s="6">
        <v>12</v>
      </c>
      <c r="P15" s="41">
        <v>1</v>
      </c>
      <c r="Q15" s="41">
        <v>1</v>
      </c>
      <c r="R15" s="6">
        <v>0</v>
      </c>
      <c r="S15" s="5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5">
        <f ca="1">VLOOKUP($I15,OFFSET([2]enemies!$A$1,0,0,COUNTA([2]enemies!$A:$A),MATCH(T$1,[2]enemies!$2:$2,0)-MATCH($I$1,[2]enemies!$2:$2,0)+1),MATCH(T$1,[2]enemies!$2:$2,0)-MATCH($I$1,[2]enemies!$2:$2,0)+1,FALSE)</f>
        <v>0</v>
      </c>
      <c r="U15" s="7">
        <v>0</v>
      </c>
      <c r="V15" s="7">
        <v>100</v>
      </c>
      <c r="W15" s="7">
        <v>0</v>
      </c>
      <c r="X15" s="26">
        <f ca="1">VLOOKUP($I15,OFFSET([2]enemies!$A$1,0,0,COUNTA([2]enemies!$A:$A),MATCH(X$1,[2]enemies!$2:$2,0)-MATCH($I$1,[2]enemies!$2:$2,0)+1),MATCH(X$1,[2]enemies!$2:$2,0)-MATCH($I$1,[2]enemies!$2:$2,0)+1,FALSE)</f>
        <v>2</v>
      </c>
      <c r="Y15" s="37">
        <v>29</v>
      </c>
      <c r="Z15" s="5" t="str">
        <f ca="1">IFERROR(VLOOKUP($Y15,OFFSET([3]characters!$A$1,0,0,COUNTA([3]characters!$A:$A),MATCH(Z$1,[3]characters!$2:$2,0)-MATCH("character_id",[3]characters!$2:$2,0)+1),MATCH(Z$1,[3]characters!$2:$2,0)-MATCH("character_id",[3]characters!$2:$2,0)+1,FALSE),"")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15" s="5">
        <f ca="1">IFERROR(VLOOKUP($Y15,OFFSET([3]characters!$A$1,0,0,COUNTA([3]characters!$A:$A),MATCH(AA$1,[3]characters!$2:$2,0)-MATCH("character_id",[3]characters!$2:$2,0)+1),MATCH(AA$1,[3]characters!$2:$2,0)-MATCH("character_id",[3]characters!$2:$2,0)+1,FALSE),"")</f>
        <v>1</v>
      </c>
      <c r="AB15" s="5" t="str">
        <f ca="1">IFERROR(VLOOKUP($Y15,OFFSET([3]characters!$A$1,0,0,COUNTA([3]characters!$A:$A),MATCH(AB$1,[3]characters!$2:$2,0)-MATCH("character_id",[3]characters!$2:$2,0)+1),MATCH(AB$1,[3]characters!$2:$2,0)-MATCH("character_id",[3]characters!$2:$2,0)+1,FALSE),"")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" s="34">
        <v>1</v>
      </c>
      <c r="AD15" s="34">
        <f t="shared" ca="1" si="6"/>
        <v>1</v>
      </c>
      <c r="AE15" s="9">
        <v>25</v>
      </c>
      <c r="AF15" s="34">
        <v>0</v>
      </c>
      <c r="AG15" s="34">
        <v>0</v>
      </c>
      <c r="AH15" s="34">
        <v>0</v>
      </c>
      <c r="AI15" s="34">
        <v>0</v>
      </c>
      <c r="AJ15" s="34">
        <v>1</v>
      </c>
    </row>
    <row r="16" spans="1:36" ht="21" customHeight="1">
      <c r="A16" s="21" t="str">
        <f t="shared" ref="A16:A17" si="7">B16&amp;"_"&amp;C16&amp;"-"&amp;G16&amp;"/"&amp;I16&amp;"&lt;lv"&amp;O16&amp;"&gt;"</f>
        <v>10015_1-3/25&lt;lv12&gt;</v>
      </c>
      <c r="B16" s="32">
        <v>10015</v>
      </c>
      <c r="C16" s="35">
        <v>1</v>
      </c>
      <c r="D16" s="20" t="str">
        <f t="shared" ref="D16:D17" si="8">B16&amp;"_"&amp;C16</f>
        <v>10015_1</v>
      </c>
      <c r="E16" s="5" t="str">
        <f ca="1">VLOOKUP($B16,OFFSET([1]quests!$A$1,0,0,COUNTA([1]quests!$A:$A),MATCH(E$1,[1]quests!$1:$1,0)-MATCH($B$1,[1]quests!$1:$1,0)+1),MATCH(E$1,[1]quests!$1:$1,0)-MATCH($B$1,[1]quests!$1:$1,0)+1,FALSE)</f>
        <v>静かなる混乱</v>
      </c>
      <c r="F16" s="5" t="str">
        <f ca="1">VLOOKUP($D16,OFFSET([1]stages!$A$1,0,0,COUNTA([1]stages!$A:$A),MATCH(F$1,[1]stages!$2:$2,0)-MATCH($D$1,[1]stages!$2:$2,0)+1),MATCH(F$1,[1]stages!$2:$2,0)-MATCH($D$1,[1]stages!$2:$2,0)+1,FALSE)</f>
        <v>静かなる混乱</v>
      </c>
      <c r="G16" s="35">
        <v>3</v>
      </c>
      <c r="H16" s="20" t="str">
        <f t="shared" ref="H16:H17" si="9">B16&amp;"_"&amp;C16&amp;"-"&amp;G16</f>
        <v>10015_1-3</v>
      </c>
      <c r="I16" s="37">
        <v>25</v>
      </c>
      <c r="J16" s="26" t="str">
        <f ca="1">VLOOKUP($I16,OFFSET([2]enemies!$A$1,0,0,COUNTA([2]enemies!$A:$A),MATCH(J$1,[2]enemies!$2:$2,0)-MATCH($I$1,[2]enemies!$2:$2,0)+1),MATCH(J$1,[2]enemies!$2:$2,0)-MATCH($I$1,[2]enemies!$2:$2,0)+1,FALSE)</f>
        <v>ハチ</v>
      </c>
      <c r="K16" s="29" t="str">
        <f ca="1">VLOOKUP($I16,OFFSET([2]enemies!$A$1,0,0,COUNTA([2]enemies!$A:$A),MATCH(K$1,[2]enemies!$2:$2,0)-MATCH($I$1,[2]enemies!$2:$2,0)+1),MATCH(K$1,[2]enemies!$2:$2,0)-MATCH($I$1,[2]enemies!$2:$2,0)+1,FALSE)</f>
        <v>blue</v>
      </c>
      <c r="L16" s="29" t="str">
        <f ca="1">VLOOKUP($I16,OFFSET([3]characters!$A$1,0,0,COUNTA([3]characters!$A:$A),MATCH(L$1,[3]characters!$2:$2,0)-MATCH($I$1,[3]characters!$2:$2,0)+1),MATCH(L$1,[3]characters!$2:$2,0)-MATCH($I$1,[3]characters!$2:$2,0)+1,FALSE)</f>
        <v>Drop1N</v>
      </c>
      <c r="M16" s="28" t="str">
        <f ca="1">VLOOKUP($I16,OFFSET([3]characters!$A$1,0,0,COUNTA([3]characters!$A:$A),MATCH(M$1,[3]characters!$2:$2,0)-MATCH($I$1,[3]characters!$2:$2,0)+2),MATCH(M$1,[3]characters!$2:$2,0)-MATCH($I$1,[3]characters!$2:$2,0)+2,FALSE)</f>
        <v>アニマル</v>
      </c>
      <c r="N16" s="5">
        <f ca="1">VLOOKUP($I16,OFFSET([2]enemies!$A$1,0,0,COUNTA([2]enemies!$A:$A),MATCH(N$1,[2]enemies!$2:$2,0)-MATCH($I$1,[2]enemies!$2:$2,0)+1),MATCH(N$1,[2]enemies!$2:$2,0)-MATCH($I$1,[2]enemies!$2:$2,0)+1,FALSE)</f>
        <v>15</v>
      </c>
      <c r="O16" s="6">
        <v>12</v>
      </c>
      <c r="P16" s="41">
        <v>1</v>
      </c>
      <c r="Q16" s="41">
        <v>1</v>
      </c>
      <c r="R16" s="6">
        <v>0</v>
      </c>
      <c r="S16" s="5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5">
        <f ca="1">VLOOKUP($I16,OFFSET([2]enemies!$A$1,0,0,COUNTA([2]enemies!$A:$A),MATCH(T$1,[2]enemies!$2:$2,0)-MATCH($I$1,[2]enemies!$2:$2,0)+1),MATCH(T$1,[2]enemies!$2:$2,0)-MATCH($I$1,[2]enemies!$2:$2,0)+1,FALSE)</f>
        <v>0</v>
      </c>
      <c r="U16" s="7">
        <v>1</v>
      </c>
      <c r="V16" s="7">
        <v>100</v>
      </c>
      <c r="W16" s="7">
        <v>1</v>
      </c>
      <c r="X16" s="26">
        <f ca="1">VLOOKUP($I16,OFFSET([2]enemies!$A$1,0,0,COUNTA([2]enemies!$A:$A),MATCH(X$1,[2]enemies!$2:$2,0)-MATCH($I$1,[2]enemies!$2:$2,0)+1),MATCH(X$1,[2]enemies!$2:$2,0)-MATCH($I$1,[2]enemies!$2:$2,0)+1,FALSE)</f>
        <v>3</v>
      </c>
      <c r="Y16" s="37">
        <v>25</v>
      </c>
      <c r="Z16" s="5" t="str">
        <f ca="1">IFERROR(VLOOKUP($Y16,OFFSET([3]characters!$A$1,0,0,COUNTA([3]characters!$A:$A),MATCH(Z$1,[3]characters!$2:$2,0)-MATCH("character_id",[3]characters!$2:$2,0)+1),MATCH(Z$1,[3]characters!$2:$2,0)-MATCH("character_id",[3]characters!$2:$2,0)+1,FALSE),"")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6" s="5">
        <f ca="1">IFERROR(VLOOKUP($Y16,OFFSET([3]characters!$A$1,0,0,COUNTA([3]characters!$A:$A),MATCH(AA$1,[3]characters!$2:$2,0)-MATCH("character_id",[3]characters!$2:$2,0)+1),MATCH(AA$1,[3]characters!$2:$2,0)-MATCH("character_id",[3]characters!$2:$2,0)+1,FALSE),"")</f>
        <v>1</v>
      </c>
      <c r="AB16" s="5" t="str">
        <f ca="1">IFERROR(VLOOKUP($Y16,OFFSET([3]characters!$A$1,0,0,COUNTA([3]characters!$A:$A),MATCH(AB$1,[3]characters!$2:$2,0)-MATCH("character_id",[3]characters!$2:$2,0)+1),MATCH(AB$1,[3]characters!$2:$2,0)-MATCH("character_id",[3]characters!$2:$2,0)+1,FALSE),"")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" s="34">
        <v>1</v>
      </c>
      <c r="AD16" s="34">
        <f t="shared" ref="AD16:AD17" ca="1" si="10">AA16</f>
        <v>1</v>
      </c>
      <c r="AE16" s="9">
        <v>25</v>
      </c>
      <c r="AF16" s="34">
        <v>0</v>
      </c>
      <c r="AG16" s="34">
        <v>0</v>
      </c>
      <c r="AH16" s="34">
        <v>0</v>
      </c>
      <c r="AI16" s="34">
        <v>0</v>
      </c>
      <c r="AJ16" s="34">
        <v>1</v>
      </c>
    </row>
    <row r="17" spans="1:36" ht="21" customHeight="1">
      <c r="A17" s="21" t="str">
        <f t="shared" si="7"/>
        <v>10015_1-3/17&lt;lv12&gt;</v>
      </c>
      <c r="B17" s="32">
        <v>10015</v>
      </c>
      <c r="C17" s="35">
        <v>1</v>
      </c>
      <c r="D17" s="20" t="str">
        <f t="shared" si="8"/>
        <v>10015_1</v>
      </c>
      <c r="E17" s="5" t="str">
        <f ca="1">VLOOKUP($B17,OFFSET([1]quests!$A$1,0,0,COUNTA([1]quests!$A:$A),MATCH(E$1,[1]quests!$1:$1,0)-MATCH($B$1,[1]quests!$1:$1,0)+1),MATCH(E$1,[1]quests!$1:$1,0)-MATCH($B$1,[1]quests!$1:$1,0)+1,FALSE)</f>
        <v>静かなる混乱</v>
      </c>
      <c r="F17" s="5" t="str">
        <f ca="1">VLOOKUP($D17,OFFSET([1]stages!$A$1,0,0,COUNTA([1]stages!$A:$A),MATCH(F$1,[1]stages!$2:$2,0)-MATCH($D$1,[1]stages!$2:$2,0)+1),MATCH(F$1,[1]stages!$2:$2,0)-MATCH($D$1,[1]stages!$2:$2,0)+1,FALSE)</f>
        <v>静かなる混乱</v>
      </c>
      <c r="G17" s="35">
        <v>3</v>
      </c>
      <c r="H17" s="20" t="str">
        <f t="shared" si="9"/>
        <v>10015_1-3</v>
      </c>
      <c r="I17" s="37">
        <v>17</v>
      </c>
      <c r="J17" s="26" t="str">
        <f ca="1">VLOOKUP($I17,OFFSET([2]enemies!$A$1,0,0,COUNTA([2]enemies!$A:$A),MATCH(J$1,[2]enemies!$2:$2,0)-MATCH($I$1,[2]enemies!$2:$2,0)+1),MATCH(J$1,[2]enemies!$2:$2,0)-MATCH($I$1,[2]enemies!$2:$2,0)+1,FALSE)</f>
        <v>リム</v>
      </c>
      <c r="K17" s="29" t="str">
        <f ca="1">VLOOKUP($I17,OFFSET([2]enemies!$A$1,0,0,COUNTA([2]enemies!$A:$A),MATCH(K$1,[2]enemies!$2:$2,0)-MATCH($I$1,[2]enemies!$2:$2,0)+1),MATCH(K$1,[2]enemies!$2:$2,0)-MATCH($I$1,[2]enemies!$2:$2,0)+1,FALSE)</f>
        <v>blue</v>
      </c>
      <c r="L17" s="29" t="str">
        <f ca="1">VLOOKUP($I17,OFFSET([3]characters!$A$1,0,0,COUNTA([3]characters!$A:$A),MATCH(L$1,[3]characters!$2:$2,0)-MATCH($I$1,[3]characters!$2:$2,0)+1),MATCH(L$1,[3]characters!$2:$2,0)-MATCH($I$1,[3]characters!$2:$2,0)+1,FALSE)</f>
        <v>Drop1W</v>
      </c>
      <c r="M17" s="28" t="str">
        <f ca="1">VLOOKUP($I17,OFFSET([3]characters!$A$1,0,0,COUNTA([3]characters!$A:$A),MATCH(M$1,[3]characters!$2:$2,0)-MATCH($I$1,[3]characters!$2:$2,0)+2),MATCH(M$1,[3]characters!$2:$2,0)-MATCH($I$1,[3]characters!$2:$2,0)+2,FALSE)</f>
        <v>ヒューマン</v>
      </c>
      <c r="N17" s="5">
        <f ca="1">VLOOKUP($I17,OFFSET([2]enemies!$A$1,0,0,COUNTA([2]enemies!$A:$A),MATCH(N$1,[2]enemies!$2:$2,0)-MATCH($I$1,[2]enemies!$2:$2,0)+1),MATCH(N$1,[2]enemies!$2:$2,0)-MATCH($I$1,[2]enemies!$2:$2,0)+1,FALSE)</f>
        <v>15</v>
      </c>
      <c r="O17" s="6">
        <v>12</v>
      </c>
      <c r="P17" s="41">
        <v>1</v>
      </c>
      <c r="Q17" s="41">
        <v>1</v>
      </c>
      <c r="R17" s="6">
        <v>0</v>
      </c>
      <c r="S17" s="5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5">
        <f ca="1">VLOOKUP($I17,OFFSET([2]enemies!$A$1,0,0,COUNTA([2]enemies!$A:$A),MATCH(T$1,[2]enemies!$2:$2,0)-MATCH($I$1,[2]enemies!$2:$2,0)+1),MATCH(T$1,[2]enemies!$2:$2,0)-MATCH($I$1,[2]enemies!$2:$2,0)+1,FALSE)</f>
        <v>0</v>
      </c>
      <c r="U17" s="7">
        <v>2</v>
      </c>
      <c r="V17" s="7">
        <v>100</v>
      </c>
      <c r="W17" s="7">
        <v>0</v>
      </c>
      <c r="X17" s="26">
        <f ca="1">VLOOKUP($I17,OFFSET([2]enemies!$A$1,0,0,COUNTA([2]enemies!$A:$A),MATCH(X$1,[2]enemies!$2:$2,0)-MATCH($I$1,[2]enemies!$2:$2,0)+1),MATCH(X$1,[2]enemies!$2:$2,0)-MATCH($I$1,[2]enemies!$2:$2,0)+1,FALSE)</f>
        <v>2</v>
      </c>
      <c r="Y17" s="37">
        <v>17</v>
      </c>
      <c r="Z17" s="5" t="str">
        <f ca="1">IFERROR(VLOOKUP($Y17,OFFSET([3]characters!$A$1,0,0,COUNTA([3]characters!$A:$A),MATCH(Z$1,[3]characters!$2:$2,0)-MATCH("character_id",[3]characters!$2:$2,0)+1),MATCH(Z$1,[3]characters!$2:$2,0)-MATCH("character_id",[3]characters!$2:$2,0)+1,FALSE),"")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7" s="5">
        <f ca="1">IFERROR(VLOOKUP($Y17,OFFSET([3]characters!$A$1,0,0,COUNTA([3]characters!$A:$A),MATCH(AA$1,[3]characters!$2:$2,0)-MATCH("character_id",[3]characters!$2:$2,0)+1),MATCH(AA$1,[3]characters!$2:$2,0)-MATCH("character_id",[3]characters!$2:$2,0)+1,FALSE),"")</f>
        <v>1</v>
      </c>
      <c r="AB17" s="5" t="str">
        <f ca="1">IFERROR(VLOOKUP($Y17,OFFSET([3]characters!$A$1,0,0,COUNTA([3]characters!$A:$A),MATCH(AB$1,[3]characters!$2:$2,0)-MATCH("character_id",[3]characters!$2:$2,0)+1),MATCH(AB$1,[3]characters!$2:$2,0)-MATCH("character_id",[3]characters!$2:$2,0)+1,FALSE),"")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7" s="34">
        <v>1</v>
      </c>
      <c r="AD17" s="34">
        <f t="shared" ca="1" si="10"/>
        <v>1</v>
      </c>
      <c r="AE17" s="9">
        <v>25</v>
      </c>
      <c r="AF17" s="34">
        <v>0</v>
      </c>
      <c r="AG17" s="34">
        <v>0</v>
      </c>
      <c r="AH17" s="34">
        <v>0</v>
      </c>
      <c r="AI17" s="34">
        <v>0</v>
      </c>
      <c r="AJ17" s="34">
        <v>1</v>
      </c>
    </row>
    <row r="18" spans="1:36" ht="21" customHeight="1">
      <c r="A18" s="21" t="str">
        <f t="shared" si="0"/>
        <v>10015_1-4/81&lt;lv16&gt;</v>
      </c>
      <c r="B18" s="32">
        <v>10015</v>
      </c>
      <c r="C18" s="35">
        <v>1</v>
      </c>
      <c r="D18" s="20" t="str">
        <f t="shared" ref="D18:D24" si="11">B18&amp;"_"&amp;C18</f>
        <v>10015_1</v>
      </c>
      <c r="E18" s="5" t="str">
        <f ca="1">VLOOKUP($B18,OFFSET([1]quests!$A$1,0,0,COUNTA([1]quests!$A:$A),MATCH(E$1,[1]quests!$1:$1,0)-MATCH($B$1,[1]quests!$1:$1,0)+1),MATCH(E$1,[1]quests!$1:$1,0)-MATCH($B$1,[1]quests!$1:$1,0)+1,FALSE)</f>
        <v>静かなる混乱</v>
      </c>
      <c r="F18" s="5" t="str">
        <f ca="1">VLOOKUP($D18,OFFSET([1]stages!$A$1,0,0,COUNTA([1]stages!$A:$A),MATCH(F$1,[1]stages!$2:$2,0)-MATCH($D$1,[1]stages!$2:$2,0)+1),MATCH(F$1,[1]stages!$2:$2,0)-MATCH($D$1,[1]stages!$2:$2,0)+1,FALSE)</f>
        <v>静かなる混乱</v>
      </c>
      <c r="G18" s="35">
        <v>4</v>
      </c>
      <c r="H18" s="20" t="str">
        <f t="shared" ref="H18:H24" si="12">B18&amp;"_"&amp;C18&amp;"-"&amp;G18</f>
        <v>10015_1-4</v>
      </c>
      <c r="I18" s="37">
        <v>81</v>
      </c>
      <c r="J18" s="26" t="str">
        <f ca="1">VLOOKUP($I18,OFFSET([2]enemies!$A$1,0,0,COUNTA([2]enemies!$A:$A),MATCH(J$1,[2]enemies!$2:$2,0)-MATCH($I$1,[2]enemies!$2:$2,0)+1),MATCH(J$1,[2]enemies!$2:$2,0)-MATCH($I$1,[2]enemies!$2:$2,0)+1,FALSE)</f>
        <v>増幅型モリス</v>
      </c>
      <c r="K18" s="29" t="str">
        <f ca="1">VLOOKUP($I18,OFFSET([2]enemies!$A$1,0,0,COUNTA([2]enemies!$A:$A),MATCH(K$1,[2]enemies!$2:$2,0)-MATCH($I$1,[2]enemies!$2:$2,0)+1),MATCH(K$1,[2]enemies!$2:$2,0)-MATCH($I$1,[2]enemies!$2:$2,0)+1,FALSE)</f>
        <v>blue</v>
      </c>
      <c r="L18" s="29" t="str">
        <f ca="1">VLOOKUP($I18,OFFSET([3]characters!$A$1,0,0,COUNTA([3]characters!$A:$A),MATCH(L$1,[3]characters!$2:$2,0)-MATCH($I$1,[3]characters!$2:$2,0)+1),MATCH(L$1,[3]characters!$2:$2,0)-MATCH($I$1,[3]characters!$2:$2,0)+1,FALSE)</f>
        <v>PremiumW</v>
      </c>
      <c r="M18" s="28" t="str">
        <f ca="1">VLOOKUP($I18,OFFSET([3]characters!$A$1,0,0,COUNTA([3]characters!$A:$A),MATCH(M$1,[3]characters!$2:$2,0)-MATCH($I$1,[3]characters!$2:$2,0)+2),MATCH(M$1,[3]characters!$2:$2,0)-MATCH($I$1,[3]characters!$2:$2,0)+2,FALSE)</f>
        <v>Unknown</v>
      </c>
      <c r="N18" s="5">
        <f ca="1">VLOOKUP($I18,OFFSET([2]enemies!$A$1,0,0,COUNTA([2]enemies!$A:$A),MATCH(N$1,[2]enemies!$2:$2,0)-MATCH($I$1,[2]enemies!$2:$2,0)+1),MATCH(N$1,[2]enemies!$2:$2,0)-MATCH($I$1,[2]enemies!$2:$2,0)+1,FALSE)</f>
        <v>20</v>
      </c>
      <c r="O18" s="6">
        <v>16</v>
      </c>
      <c r="P18" s="41">
        <v>1.5</v>
      </c>
      <c r="Q18" s="41">
        <v>1.2</v>
      </c>
      <c r="R18" s="6">
        <v>0</v>
      </c>
      <c r="S18" s="5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18" s="5">
        <f ca="1">VLOOKUP($I18,OFFSET([2]enemies!$A$1,0,0,COUNTA([2]enemies!$A:$A),MATCH(T$1,[2]enemies!$2:$2,0)-MATCH($I$1,[2]enemies!$2:$2,0)+1),MATCH(T$1,[2]enemies!$2:$2,0)-MATCH($I$1,[2]enemies!$2:$2,0)+1,FALSE)</f>
        <v>81</v>
      </c>
      <c r="U18" s="7">
        <v>1</v>
      </c>
      <c r="V18" s="7">
        <v>100</v>
      </c>
      <c r="W18" s="7">
        <v>1</v>
      </c>
      <c r="X18" s="26">
        <f ca="1">VLOOKUP($I18,OFFSET([2]enemies!$A$1,0,0,COUNTA([2]enemies!$A:$A),MATCH(X$1,[2]enemies!$2:$2,0)-MATCH($I$1,[2]enemies!$2:$2,0)+1),MATCH(X$1,[2]enemies!$2:$2,0)-MATCH($I$1,[2]enemies!$2:$2,0)+1,FALSE)</f>
        <v>5</v>
      </c>
      <c r="Y18" s="36">
        <v>81</v>
      </c>
      <c r="Z18" s="5" t="str">
        <f ca="1">IFERROR(VLOOKUP($Y18,OFFSET([3]characters!$A$1,0,0,COUNTA([3]characters!$A:$A),MATCH(Z$1,[3]characters!$2:$2,0)-MATCH("character_id",[3]characters!$2:$2,0)+1),MATCH(Z$1,[3]characters!$2:$2,0)-MATCH("character_id",[3]characters!$2:$2,0)+1,FALSE),"")</f>
        <v>増幅型モリス</v>
      </c>
      <c r="AA18" s="5">
        <f ca="1">IFERROR(VLOOKUP($Y18,OFFSET([3]characters!$A$1,0,0,COUNTA([3]characters!$A:$A),MATCH(AA$1,[3]characters!$2:$2,0)-MATCH("character_id",[3]characters!$2:$2,0)+1),MATCH(AA$1,[3]characters!$2:$2,0)-MATCH("character_id",[3]characters!$2:$2,0)+1,FALSE),"")</f>
        <v>3</v>
      </c>
      <c r="AB18" s="5" t="str">
        <f ca="1">IFERROR(VLOOKUP($Y18,OFFSET([3]characters!$A$1,0,0,COUNTA([3]characters!$A:$A),MATCH(AB$1,[3]characters!$2:$2,0)-MATCH("character_id",[3]characters!$2:$2,0)+1),MATCH(AB$1,[3]characters!$2:$2,0)-MATCH("character_id",[3]characters!$2:$2,0)+1,FALSE),"")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8" s="34">
        <v>1</v>
      </c>
      <c r="AD18" s="34">
        <f t="shared" ref="AD18:AD24" ca="1" si="13">AA18</f>
        <v>3</v>
      </c>
      <c r="AE18" s="9">
        <v>0</v>
      </c>
      <c r="AF18" s="34">
        <v>0</v>
      </c>
      <c r="AG18" s="34">
        <v>0</v>
      </c>
      <c r="AH18" s="34">
        <v>0</v>
      </c>
      <c r="AI18" s="34">
        <v>0</v>
      </c>
      <c r="AJ18" s="34">
        <v>1</v>
      </c>
    </row>
    <row r="19" spans="1:36" ht="21" customHeight="1">
      <c r="A19" s="21" t="str">
        <f t="shared" si="0"/>
        <v>10020_1-1/9&lt;lv13&gt;</v>
      </c>
      <c r="B19" s="31">
        <v>10020</v>
      </c>
      <c r="C19" s="35">
        <v>1</v>
      </c>
      <c r="D19" s="20" t="str">
        <f t="shared" si="11"/>
        <v>10020_1</v>
      </c>
      <c r="E19" s="5" t="str">
        <f ca="1">VLOOKUP($B19,OFFSET([1]quests!$A$1,0,0,COUNTA([1]quests!$A:$A),MATCH(E$1,[1]quests!$1:$1,0)-MATCH($B$1,[1]quests!$1:$1,0)+1),MATCH(E$1,[1]quests!$1:$1,0)-MATCH($B$1,[1]quests!$1:$1,0)+1,FALSE)</f>
        <v>紅き侵入者</v>
      </c>
      <c r="F19" s="5" t="str">
        <f ca="1">VLOOKUP($D19,OFFSET([1]stages!$A$1,0,0,COUNTA([1]stages!$A:$A),MATCH(F$1,[1]stages!$2:$2,0)-MATCH($D$1,[1]stages!$2:$2,0)+1),MATCH(F$1,[1]stages!$2:$2,0)-MATCH($D$1,[1]stages!$2:$2,0)+1,FALSE)</f>
        <v>紅き侵入者</v>
      </c>
      <c r="G19" s="35">
        <v>1</v>
      </c>
      <c r="H19" s="20" t="str">
        <f t="shared" si="12"/>
        <v>10020_1-1</v>
      </c>
      <c r="I19" s="38">
        <v>9</v>
      </c>
      <c r="J19" s="26" t="str">
        <f ca="1">VLOOKUP($I19,OFFSET([2]enemies!$A$1,0,0,COUNTA([2]enemies!$A:$A),MATCH(J$1,[2]enemies!$2:$2,0)-MATCH($I$1,[2]enemies!$2:$2,0)+1),MATCH(J$1,[2]enemies!$2:$2,0)-MATCH($I$1,[2]enemies!$2:$2,0)+1,FALSE)</f>
        <v>ブレット</v>
      </c>
      <c r="K19" s="29" t="str">
        <f ca="1">VLOOKUP($I19,OFFSET([2]enemies!$A$1,0,0,COUNTA([2]enemies!$A:$A),MATCH(K$1,[2]enemies!$2:$2,0)-MATCH($I$1,[2]enemies!$2:$2,0)+1),MATCH(K$1,[2]enemies!$2:$2,0)-MATCH($I$1,[2]enemies!$2:$2,0)+1,FALSE)</f>
        <v>red</v>
      </c>
      <c r="L19" s="29" t="str">
        <f ca="1">VLOOKUP($I19,OFFSET([3]characters!$A$1,0,0,COUNTA([3]characters!$A:$A),MATCH(L$1,[3]characters!$2:$2,0)-MATCH($I$1,[3]characters!$2:$2,0)+1),MATCH(L$1,[3]characters!$2:$2,0)-MATCH($I$1,[3]characters!$2:$2,0)+1,FALSE)</f>
        <v>Drop1W</v>
      </c>
      <c r="M19" s="28" t="str">
        <f ca="1">VLOOKUP($I19,OFFSET([3]characters!$A$1,0,0,COUNTA([3]characters!$A:$A),MATCH(M$1,[3]characters!$2:$2,0)-MATCH($I$1,[3]characters!$2:$2,0)+2),MATCH(M$1,[3]characters!$2:$2,0)-MATCH($I$1,[3]characters!$2:$2,0)+2,FALSE)</f>
        <v>アニマル</v>
      </c>
      <c r="N19" s="5">
        <f ca="1">VLOOKUP($I19,OFFSET([2]enemies!$A$1,0,0,COUNTA([2]enemies!$A:$A),MATCH(N$1,[2]enemies!$2:$2,0)-MATCH($I$1,[2]enemies!$2:$2,0)+1),MATCH(N$1,[2]enemies!$2:$2,0)-MATCH($I$1,[2]enemies!$2:$2,0)+1,FALSE)</f>
        <v>15</v>
      </c>
      <c r="O19" s="6">
        <v>13</v>
      </c>
      <c r="P19" s="41">
        <v>1</v>
      </c>
      <c r="Q19" s="41">
        <v>1</v>
      </c>
      <c r="R19" s="6">
        <v>0</v>
      </c>
      <c r="S19" s="5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5">
        <f ca="1">VLOOKUP($I19,OFFSET([2]enemies!$A$1,0,0,COUNTA([2]enemies!$A:$A),MATCH(T$1,[2]enemies!$2:$2,0)-MATCH($I$1,[2]enemies!$2:$2,0)+1),MATCH(T$1,[2]enemies!$2:$2,0)-MATCH($I$1,[2]enemies!$2:$2,0)+1,FALSE)</f>
        <v>0</v>
      </c>
      <c r="U19" s="7">
        <v>0</v>
      </c>
      <c r="V19" s="7">
        <v>100</v>
      </c>
      <c r="W19" s="7">
        <v>0</v>
      </c>
      <c r="X19" s="26">
        <f ca="1">VLOOKUP($I19,OFFSET([2]enemies!$A$1,0,0,COUNTA([2]enemies!$A:$A),MATCH(X$1,[2]enemies!$2:$2,0)-MATCH($I$1,[2]enemies!$2:$2,0)+1),MATCH(X$1,[2]enemies!$2:$2,0)-MATCH($I$1,[2]enemies!$2:$2,0)+1,FALSE)</f>
        <v>2</v>
      </c>
      <c r="Y19" s="38">
        <v>9</v>
      </c>
      <c r="Z19" s="5" t="str">
        <f ca="1">IFERROR(VLOOKUP($Y19,OFFSET([3]characters!$A$1,0,0,COUNTA([3]characters!$A:$A),MATCH(Z$1,[3]characters!$2:$2,0)-MATCH("character_id",[3]characters!$2:$2,0)+1),MATCH(Z$1,[3]characters!$2:$2,0)-MATCH("character_id",[3]characters!$2:$2,0)+1,FALSE),"")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19" s="5">
        <f ca="1">IFERROR(VLOOKUP($Y19,OFFSET([3]characters!$A$1,0,0,COUNTA([3]characters!$A:$A),MATCH(AA$1,[3]characters!$2:$2,0)-MATCH("character_id",[3]characters!$2:$2,0)+1),MATCH(AA$1,[3]characters!$2:$2,0)-MATCH("character_id",[3]characters!$2:$2,0)+1,FALSE),"")</f>
        <v>1</v>
      </c>
      <c r="AB19" s="5" t="str">
        <f ca="1">IFERROR(VLOOKUP($Y19,OFFSET([3]characters!$A$1,0,0,COUNTA([3]characters!$A:$A),MATCH(AB$1,[3]characters!$2:$2,0)-MATCH("character_id",[3]characters!$2:$2,0)+1),MATCH(AB$1,[3]characters!$2:$2,0)-MATCH("character_id",[3]characters!$2:$2,0)+1,FALSE),"")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9" s="34">
        <v>1</v>
      </c>
      <c r="AD19" s="34">
        <f t="shared" ca="1" si="13"/>
        <v>1</v>
      </c>
      <c r="AE19" s="9">
        <v>25</v>
      </c>
      <c r="AF19" s="34">
        <v>0</v>
      </c>
      <c r="AG19" s="34">
        <v>0</v>
      </c>
      <c r="AH19" s="34">
        <v>0</v>
      </c>
      <c r="AI19" s="34">
        <v>0</v>
      </c>
      <c r="AJ19" s="34">
        <v>1</v>
      </c>
    </row>
    <row r="20" spans="1:36" ht="21" customHeight="1">
      <c r="A20" s="21" t="str">
        <f t="shared" si="0"/>
        <v>10020_1-1/15&lt;lv13&gt;</v>
      </c>
      <c r="B20" s="31">
        <v>10020</v>
      </c>
      <c r="C20" s="35">
        <v>1</v>
      </c>
      <c r="D20" s="20" t="str">
        <f t="shared" si="11"/>
        <v>10020_1</v>
      </c>
      <c r="E20" s="5" t="str">
        <f ca="1">VLOOKUP($B20,OFFSET([1]quests!$A$1,0,0,COUNTA([1]quests!$A:$A),MATCH(E$1,[1]quests!$1:$1,0)-MATCH($B$1,[1]quests!$1:$1,0)+1),MATCH(E$1,[1]quests!$1:$1,0)-MATCH($B$1,[1]quests!$1:$1,0)+1,FALSE)</f>
        <v>紅き侵入者</v>
      </c>
      <c r="F20" s="5" t="str">
        <f ca="1">VLOOKUP($D20,OFFSET([1]stages!$A$1,0,0,COUNTA([1]stages!$A:$A),MATCH(F$1,[1]stages!$2:$2,0)-MATCH($D$1,[1]stages!$2:$2,0)+1),MATCH(F$1,[1]stages!$2:$2,0)-MATCH($D$1,[1]stages!$2:$2,0)+1,FALSE)</f>
        <v>紅き侵入者</v>
      </c>
      <c r="G20" s="35">
        <v>1</v>
      </c>
      <c r="H20" s="20" t="str">
        <f t="shared" si="12"/>
        <v>10020_1-1</v>
      </c>
      <c r="I20" s="38">
        <v>15</v>
      </c>
      <c r="J20" s="26" t="str">
        <f ca="1">VLOOKUP($I20,OFFSET([2]enemies!$A$1,0,0,COUNTA([2]enemies!$A:$A),MATCH(J$1,[2]enemies!$2:$2,0)-MATCH($I$1,[2]enemies!$2:$2,0)+1),MATCH(J$1,[2]enemies!$2:$2,0)-MATCH($I$1,[2]enemies!$2:$2,0)+1,FALSE)</f>
        <v>アカネ</v>
      </c>
      <c r="K20" s="29" t="str">
        <f ca="1">VLOOKUP($I20,OFFSET([2]enemies!$A$1,0,0,COUNTA([2]enemies!$A:$A),MATCH(K$1,[2]enemies!$2:$2,0)-MATCH($I$1,[2]enemies!$2:$2,0)+1),MATCH(K$1,[2]enemies!$2:$2,0)-MATCH($I$1,[2]enemies!$2:$2,0)+1,FALSE)</f>
        <v>red</v>
      </c>
      <c r="L20" s="29" t="str">
        <f ca="1">VLOOKUP($I20,OFFSET([3]characters!$A$1,0,0,COUNTA([3]characters!$A:$A),MATCH(L$1,[3]characters!$2:$2,0)-MATCH($I$1,[3]characters!$2:$2,0)+1),MATCH(L$1,[3]characters!$2:$2,0)-MATCH($I$1,[3]characters!$2:$2,0)+1,FALSE)</f>
        <v>Drop1W</v>
      </c>
      <c r="M20" s="28" t="str">
        <f ca="1">VLOOKUP($I20,OFFSET([3]characters!$A$1,0,0,COUNTA([3]characters!$A:$A),MATCH(M$1,[3]characters!$2:$2,0)-MATCH($I$1,[3]characters!$2:$2,0)+2),MATCH(M$1,[3]characters!$2:$2,0)-MATCH($I$1,[3]characters!$2:$2,0)+2,FALSE)</f>
        <v>ヒューマン</v>
      </c>
      <c r="N20" s="5">
        <f ca="1">VLOOKUP($I20,OFFSET([2]enemies!$A$1,0,0,COUNTA([2]enemies!$A:$A),MATCH(N$1,[2]enemies!$2:$2,0)-MATCH($I$1,[2]enemies!$2:$2,0)+1),MATCH(N$1,[2]enemies!$2:$2,0)-MATCH($I$1,[2]enemies!$2:$2,0)+1,FALSE)</f>
        <v>15</v>
      </c>
      <c r="O20" s="6">
        <v>13</v>
      </c>
      <c r="P20" s="41">
        <v>1</v>
      </c>
      <c r="Q20" s="41">
        <v>1</v>
      </c>
      <c r="R20" s="6">
        <v>0</v>
      </c>
      <c r="S20" s="5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5">
        <f ca="1">VLOOKUP($I20,OFFSET([2]enemies!$A$1,0,0,COUNTA([2]enemies!$A:$A),MATCH(T$1,[2]enemies!$2:$2,0)-MATCH($I$1,[2]enemies!$2:$2,0)+1),MATCH(T$1,[2]enemies!$2:$2,0)-MATCH($I$1,[2]enemies!$2:$2,0)+1,FALSE)</f>
        <v>0</v>
      </c>
      <c r="U20" s="7">
        <v>0</v>
      </c>
      <c r="V20" s="7">
        <v>100</v>
      </c>
      <c r="W20" s="7">
        <v>0</v>
      </c>
      <c r="X20" s="26">
        <f ca="1">VLOOKUP($I20,OFFSET([2]enemies!$A$1,0,0,COUNTA([2]enemies!$A:$A),MATCH(X$1,[2]enemies!$2:$2,0)-MATCH($I$1,[2]enemies!$2:$2,0)+1),MATCH(X$1,[2]enemies!$2:$2,0)-MATCH($I$1,[2]enemies!$2:$2,0)+1,FALSE)</f>
        <v>3</v>
      </c>
      <c r="Y20" s="38">
        <v>15</v>
      </c>
      <c r="Z20" s="5" t="str">
        <f ca="1">IFERROR(VLOOKUP($Y20,OFFSET([3]characters!$A$1,0,0,COUNTA([3]characters!$A:$A),MATCH(Z$1,[3]characters!$2:$2,0)-MATCH("character_id",[3]characters!$2:$2,0)+1),MATCH(Z$1,[3]characters!$2:$2,0)-MATCH("character_id",[3]characters!$2:$2,0)+1,FALSE),"")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0" s="5">
        <f ca="1">IFERROR(VLOOKUP($Y20,OFFSET([3]characters!$A$1,0,0,COUNTA([3]characters!$A:$A),MATCH(AA$1,[3]characters!$2:$2,0)-MATCH("character_id",[3]characters!$2:$2,0)+1),MATCH(AA$1,[3]characters!$2:$2,0)-MATCH("character_id",[3]characters!$2:$2,0)+1,FALSE),"")</f>
        <v>1</v>
      </c>
      <c r="AB20" s="5" t="str">
        <f ca="1">IFERROR(VLOOKUP($Y20,OFFSET([3]characters!$A$1,0,0,COUNTA([3]characters!$A:$A),MATCH(AB$1,[3]characters!$2:$2,0)-MATCH("character_id",[3]characters!$2:$2,0)+1),MATCH(AB$1,[3]characters!$2:$2,0)-MATCH("character_id",[3]characters!$2:$2,0)+1,FALSE),"")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0" s="34">
        <v>1</v>
      </c>
      <c r="AD20" s="34">
        <f t="shared" ca="1" si="13"/>
        <v>1</v>
      </c>
      <c r="AE20" s="9">
        <v>25</v>
      </c>
      <c r="AF20" s="34">
        <v>0</v>
      </c>
      <c r="AG20" s="34">
        <v>0</v>
      </c>
      <c r="AH20" s="34">
        <v>0</v>
      </c>
      <c r="AI20" s="34">
        <v>0</v>
      </c>
      <c r="AJ20" s="34">
        <v>1</v>
      </c>
    </row>
    <row r="21" spans="1:36" ht="21" customHeight="1">
      <c r="A21" s="21" t="str">
        <f t="shared" si="0"/>
        <v>10020_1-1/21&lt;lv13&gt;</v>
      </c>
      <c r="B21" s="31">
        <v>10020</v>
      </c>
      <c r="C21" s="35">
        <v>1</v>
      </c>
      <c r="D21" s="20" t="str">
        <f t="shared" si="11"/>
        <v>10020_1</v>
      </c>
      <c r="E21" s="5" t="str">
        <f ca="1">VLOOKUP($B21,OFFSET([1]quests!$A$1,0,0,COUNTA([1]quests!$A:$A),MATCH(E$1,[1]quests!$1:$1,0)-MATCH($B$1,[1]quests!$1:$1,0)+1),MATCH(E$1,[1]quests!$1:$1,0)-MATCH($B$1,[1]quests!$1:$1,0)+1,FALSE)</f>
        <v>紅き侵入者</v>
      </c>
      <c r="F21" s="5" t="str">
        <f ca="1">VLOOKUP($D21,OFFSET([1]stages!$A$1,0,0,COUNTA([1]stages!$A:$A),MATCH(F$1,[1]stages!$2:$2,0)-MATCH($D$1,[1]stages!$2:$2,0)+1),MATCH(F$1,[1]stages!$2:$2,0)-MATCH($D$1,[1]stages!$2:$2,0)+1,FALSE)</f>
        <v>紅き侵入者</v>
      </c>
      <c r="G21" s="35">
        <v>1</v>
      </c>
      <c r="H21" s="20" t="str">
        <f t="shared" si="12"/>
        <v>10020_1-1</v>
      </c>
      <c r="I21" s="38">
        <v>21</v>
      </c>
      <c r="J21" s="26" t="str">
        <f ca="1">VLOOKUP($I21,OFFSET([2]enemies!$A$1,0,0,COUNTA([2]enemies!$A:$A),MATCH(J$1,[2]enemies!$2:$2,0)-MATCH($I$1,[2]enemies!$2:$2,0)+1),MATCH(J$1,[2]enemies!$2:$2,0)-MATCH($I$1,[2]enemies!$2:$2,0)+1,FALSE)</f>
        <v>ヴェロキー</v>
      </c>
      <c r="K21" s="29" t="str">
        <f ca="1">VLOOKUP($I21,OFFSET([2]enemies!$A$1,0,0,COUNTA([2]enemies!$A:$A),MATCH(K$1,[2]enemies!$2:$2,0)-MATCH($I$1,[2]enemies!$2:$2,0)+1),MATCH(K$1,[2]enemies!$2:$2,0)-MATCH($I$1,[2]enemies!$2:$2,0)+1,FALSE)</f>
        <v>red</v>
      </c>
      <c r="L21" s="29" t="str">
        <f ca="1">VLOOKUP($I21,OFFSET([3]characters!$A$1,0,0,COUNTA([3]characters!$A:$A),MATCH(L$1,[3]characters!$2:$2,0)-MATCH($I$1,[3]characters!$2:$2,0)+1),MATCH(L$1,[3]characters!$2:$2,0)-MATCH($I$1,[3]characters!$2:$2,0)+1,FALSE)</f>
        <v>Drop1N</v>
      </c>
      <c r="M21" s="28" t="str">
        <f ca="1">VLOOKUP($I21,OFFSET([3]characters!$A$1,0,0,COUNTA([3]characters!$A:$A),MATCH(M$1,[3]characters!$2:$2,0)-MATCH($I$1,[3]characters!$2:$2,0)+2),MATCH(M$1,[3]characters!$2:$2,0)-MATCH($I$1,[3]characters!$2:$2,0)+2,FALSE)</f>
        <v>ドラゴン</v>
      </c>
      <c r="N21" s="5">
        <f ca="1">VLOOKUP($I21,OFFSET([2]enemies!$A$1,0,0,COUNTA([2]enemies!$A:$A),MATCH(N$1,[2]enemies!$2:$2,0)-MATCH($I$1,[2]enemies!$2:$2,0)+1),MATCH(N$1,[2]enemies!$2:$2,0)-MATCH($I$1,[2]enemies!$2:$2,0)+1,FALSE)</f>
        <v>15</v>
      </c>
      <c r="O21" s="6">
        <v>13</v>
      </c>
      <c r="P21" s="41">
        <v>1</v>
      </c>
      <c r="Q21" s="41">
        <v>1</v>
      </c>
      <c r="R21" s="6">
        <v>0</v>
      </c>
      <c r="S21" s="5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5">
        <f ca="1">VLOOKUP($I21,OFFSET([2]enemies!$A$1,0,0,COUNTA([2]enemies!$A:$A),MATCH(T$1,[2]enemies!$2:$2,0)-MATCH($I$1,[2]enemies!$2:$2,0)+1),MATCH(T$1,[2]enemies!$2:$2,0)-MATCH($I$1,[2]enemies!$2:$2,0)+1,FALSE)</f>
        <v>0</v>
      </c>
      <c r="U21" s="7">
        <v>0</v>
      </c>
      <c r="V21" s="7">
        <v>100</v>
      </c>
      <c r="W21" s="7">
        <v>0</v>
      </c>
      <c r="X21" s="26">
        <f ca="1">VLOOKUP($I21,OFFSET([2]enemies!$A$1,0,0,COUNTA([2]enemies!$A:$A),MATCH(X$1,[2]enemies!$2:$2,0)-MATCH($I$1,[2]enemies!$2:$2,0)+1),MATCH(X$1,[2]enemies!$2:$2,0)-MATCH($I$1,[2]enemies!$2:$2,0)+1,FALSE)</f>
        <v>2</v>
      </c>
      <c r="Y21" s="38">
        <v>21</v>
      </c>
      <c r="Z21" s="5" t="str">
        <f ca="1">IFERROR(VLOOKUP($Y21,OFFSET([3]characters!$A$1,0,0,COUNTA([3]characters!$A:$A),MATCH(Z$1,[3]characters!$2:$2,0)-MATCH("character_id",[3]characters!$2:$2,0)+1),MATCH(Z$1,[3]characters!$2:$2,0)-MATCH("character_id",[3]characters!$2:$2,0)+1,FALSE),"")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1" s="5">
        <f ca="1">IFERROR(VLOOKUP($Y21,OFFSET([3]characters!$A$1,0,0,COUNTA([3]characters!$A:$A),MATCH(AA$1,[3]characters!$2:$2,0)-MATCH("character_id",[3]characters!$2:$2,0)+1),MATCH(AA$1,[3]characters!$2:$2,0)-MATCH("character_id",[3]characters!$2:$2,0)+1,FALSE),"")</f>
        <v>1</v>
      </c>
      <c r="AB21" s="5" t="str">
        <f ca="1">IFERROR(VLOOKUP($Y21,OFFSET([3]characters!$A$1,0,0,COUNTA([3]characters!$A:$A),MATCH(AB$1,[3]characters!$2:$2,0)-MATCH("character_id",[3]characters!$2:$2,0)+1),MATCH(AB$1,[3]characters!$2:$2,0)-MATCH("character_id",[3]characters!$2:$2,0)+1,FALSE),"")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" s="34">
        <v>1</v>
      </c>
      <c r="AD21" s="34">
        <f t="shared" ca="1" si="13"/>
        <v>1</v>
      </c>
      <c r="AE21" s="9">
        <v>25</v>
      </c>
      <c r="AF21" s="34">
        <v>0</v>
      </c>
      <c r="AG21" s="34">
        <v>0</v>
      </c>
      <c r="AH21" s="34">
        <v>0</v>
      </c>
      <c r="AI21" s="34">
        <v>0</v>
      </c>
      <c r="AJ21" s="34">
        <v>1</v>
      </c>
    </row>
    <row r="22" spans="1:36" ht="21" customHeight="1">
      <c r="A22" s="21" t="str">
        <f t="shared" si="0"/>
        <v>10020_1-2/15&lt;lv13&gt;</v>
      </c>
      <c r="B22" s="31">
        <v>10020</v>
      </c>
      <c r="C22" s="35">
        <v>1</v>
      </c>
      <c r="D22" s="20" t="str">
        <f t="shared" si="11"/>
        <v>10020_1</v>
      </c>
      <c r="E22" s="5" t="str">
        <f ca="1">VLOOKUP($B22,OFFSET([1]quests!$A$1,0,0,COUNTA([1]quests!$A:$A),MATCH(E$1,[1]quests!$1:$1,0)-MATCH($B$1,[1]quests!$1:$1,0)+1),MATCH(E$1,[1]quests!$1:$1,0)-MATCH($B$1,[1]quests!$1:$1,0)+1,FALSE)</f>
        <v>紅き侵入者</v>
      </c>
      <c r="F22" s="5" t="str">
        <f ca="1">VLOOKUP($D22,OFFSET([1]stages!$A$1,0,0,COUNTA([1]stages!$A:$A),MATCH(F$1,[1]stages!$2:$2,0)-MATCH($D$1,[1]stages!$2:$2,0)+1),MATCH(F$1,[1]stages!$2:$2,0)-MATCH($D$1,[1]stages!$2:$2,0)+1,FALSE)</f>
        <v>紅き侵入者</v>
      </c>
      <c r="G22" s="35">
        <v>2</v>
      </c>
      <c r="H22" s="20" t="str">
        <f t="shared" si="12"/>
        <v>10020_1-2</v>
      </c>
      <c r="I22" s="38">
        <v>15</v>
      </c>
      <c r="J22" s="26" t="str">
        <f ca="1">VLOOKUP($I22,OFFSET([2]enemies!$A$1,0,0,COUNTA([2]enemies!$A:$A),MATCH(J$1,[2]enemies!$2:$2,0)-MATCH($I$1,[2]enemies!$2:$2,0)+1),MATCH(J$1,[2]enemies!$2:$2,0)-MATCH($I$1,[2]enemies!$2:$2,0)+1,FALSE)</f>
        <v>アカネ</v>
      </c>
      <c r="K22" s="29" t="str">
        <f ca="1">VLOOKUP($I22,OFFSET([2]enemies!$A$1,0,0,COUNTA([2]enemies!$A:$A),MATCH(K$1,[2]enemies!$2:$2,0)-MATCH($I$1,[2]enemies!$2:$2,0)+1),MATCH(K$1,[2]enemies!$2:$2,0)-MATCH($I$1,[2]enemies!$2:$2,0)+1,FALSE)</f>
        <v>red</v>
      </c>
      <c r="L22" s="29" t="str">
        <f ca="1">VLOOKUP($I22,OFFSET([3]characters!$A$1,0,0,COUNTA([3]characters!$A:$A),MATCH(L$1,[3]characters!$2:$2,0)-MATCH($I$1,[3]characters!$2:$2,0)+1),MATCH(L$1,[3]characters!$2:$2,0)-MATCH($I$1,[3]characters!$2:$2,0)+1,FALSE)</f>
        <v>Drop1W</v>
      </c>
      <c r="M22" s="28" t="str">
        <f ca="1">VLOOKUP($I22,OFFSET([3]characters!$A$1,0,0,COUNTA([3]characters!$A:$A),MATCH(M$1,[3]characters!$2:$2,0)-MATCH($I$1,[3]characters!$2:$2,0)+2),MATCH(M$1,[3]characters!$2:$2,0)-MATCH($I$1,[3]characters!$2:$2,0)+2,FALSE)</f>
        <v>ヒューマン</v>
      </c>
      <c r="N22" s="5">
        <f ca="1">VLOOKUP($I22,OFFSET([2]enemies!$A$1,0,0,COUNTA([2]enemies!$A:$A),MATCH(N$1,[2]enemies!$2:$2,0)-MATCH($I$1,[2]enemies!$2:$2,0)+1),MATCH(N$1,[2]enemies!$2:$2,0)-MATCH($I$1,[2]enemies!$2:$2,0)+1,FALSE)</f>
        <v>15</v>
      </c>
      <c r="O22" s="6">
        <v>13</v>
      </c>
      <c r="P22" s="41">
        <v>1</v>
      </c>
      <c r="Q22" s="41">
        <v>1</v>
      </c>
      <c r="R22" s="6">
        <v>0</v>
      </c>
      <c r="S22" s="5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5">
        <f ca="1">VLOOKUP($I22,OFFSET([2]enemies!$A$1,0,0,COUNTA([2]enemies!$A:$A),MATCH(T$1,[2]enemies!$2:$2,0)-MATCH($I$1,[2]enemies!$2:$2,0)+1),MATCH(T$1,[2]enemies!$2:$2,0)-MATCH($I$1,[2]enemies!$2:$2,0)+1,FALSE)</f>
        <v>0</v>
      </c>
      <c r="U22" s="7">
        <v>0</v>
      </c>
      <c r="V22" s="7">
        <v>100</v>
      </c>
      <c r="W22" s="7">
        <v>0</v>
      </c>
      <c r="X22" s="26">
        <f ca="1">VLOOKUP($I22,OFFSET([2]enemies!$A$1,0,0,COUNTA([2]enemies!$A:$A),MATCH(X$1,[2]enemies!$2:$2,0)-MATCH($I$1,[2]enemies!$2:$2,0)+1),MATCH(X$1,[2]enemies!$2:$2,0)-MATCH($I$1,[2]enemies!$2:$2,0)+1,FALSE)</f>
        <v>3</v>
      </c>
      <c r="Y22" s="38">
        <v>15</v>
      </c>
      <c r="Z22" s="5" t="str">
        <f ca="1">IFERROR(VLOOKUP($Y22,OFFSET([3]characters!$A$1,0,0,COUNTA([3]characters!$A:$A),MATCH(Z$1,[3]characters!$2:$2,0)-MATCH("character_id",[3]characters!$2:$2,0)+1),MATCH(Z$1,[3]characters!$2:$2,0)-MATCH("character_id",[3]characters!$2:$2,0)+1,FALSE),"")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2" s="5">
        <f ca="1">IFERROR(VLOOKUP($Y22,OFFSET([3]characters!$A$1,0,0,COUNTA([3]characters!$A:$A),MATCH(AA$1,[3]characters!$2:$2,0)-MATCH("character_id",[3]characters!$2:$2,0)+1),MATCH(AA$1,[3]characters!$2:$2,0)-MATCH("character_id",[3]characters!$2:$2,0)+1,FALSE),"")</f>
        <v>1</v>
      </c>
      <c r="AB22" s="5" t="str">
        <f ca="1">IFERROR(VLOOKUP($Y22,OFFSET([3]characters!$A$1,0,0,COUNTA([3]characters!$A:$A),MATCH(AB$1,[3]characters!$2:$2,0)-MATCH("character_id",[3]characters!$2:$2,0)+1),MATCH(AB$1,[3]characters!$2:$2,0)-MATCH("character_id",[3]characters!$2:$2,0)+1,FALSE),"")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2" s="34">
        <v>1</v>
      </c>
      <c r="AD22" s="34">
        <f t="shared" ca="1" si="13"/>
        <v>1</v>
      </c>
      <c r="AE22" s="9">
        <v>25</v>
      </c>
      <c r="AF22" s="34">
        <v>0</v>
      </c>
      <c r="AG22" s="34">
        <v>0</v>
      </c>
      <c r="AH22" s="34">
        <v>0</v>
      </c>
      <c r="AI22" s="34">
        <v>0</v>
      </c>
      <c r="AJ22" s="34">
        <v>1</v>
      </c>
    </row>
    <row r="23" spans="1:36" ht="21" customHeight="1">
      <c r="A23" s="21" t="str">
        <f t="shared" si="0"/>
        <v>10020_1-2/21&lt;lv13&gt;</v>
      </c>
      <c r="B23" s="31">
        <v>10020</v>
      </c>
      <c r="C23" s="35">
        <v>1</v>
      </c>
      <c r="D23" s="20" t="str">
        <f t="shared" si="11"/>
        <v>10020_1</v>
      </c>
      <c r="E23" s="5" t="str">
        <f ca="1">VLOOKUP($B23,OFFSET([1]quests!$A$1,0,0,COUNTA([1]quests!$A:$A),MATCH(E$1,[1]quests!$1:$1,0)-MATCH($B$1,[1]quests!$1:$1,0)+1),MATCH(E$1,[1]quests!$1:$1,0)-MATCH($B$1,[1]quests!$1:$1,0)+1,FALSE)</f>
        <v>紅き侵入者</v>
      </c>
      <c r="F23" s="5" t="str">
        <f ca="1">VLOOKUP($D23,OFFSET([1]stages!$A$1,0,0,COUNTA([1]stages!$A:$A),MATCH(F$1,[1]stages!$2:$2,0)-MATCH($D$1,[1]stages!$2:$2,0)+1),MATCH(F$1,[1]stages!$2:$2,0)-MATCH($D$1,[1]stages!$2:$2,0)+1,FALSE)</f>
        <v>紅き侵入者</v>
      </c>
      <c r="G23" s="35">
        <v>2</v>
      </c>
      <c r="H23" s="20" t="str">
        <f t="shared" si="12"/>
        <v>10020_1-2</v>
      </c>
      <c r="I23" s="38">
        <v>21</v>
      </c>
      <c r="J23" s="26" t="str">
        <f ca="1">VLOOKUP($I23,OFFSET([2]enemies!$A$1,0,0,COUNTA([2]enemies!$A:$A),MATCH(J$1,[2]enemies!$2:$2,0)-MATCH($I$1,[2]enemies!$2:$2,0)+1),MATCH(J$1,[2]enemies!$2:$2,0)-MATCH($I$1,[2]enemies!$2:$2,0)+1,FALSE)</f>
        <v>ヴェロキー</v>
      </c>
      <c r="K23" s="29" t="str">
        <f ca="1">VLOOKUP($I23,OFFSET([2]enemies!$A$1,0,0,COUNTA([2]enemies!$A:$A),MATCH(K$1,[2]enemies!$2:$2,0)-MATCH($I$1,[2]enemies!$2:$2,0)+1),MATCH(K$1,[2]enemies!$2:$2,0)-MATCH($I$1,[2]enemies!$2:$2,0)+1,FALSE)</f>
        <v>red</v>
      </c>
      <c r="L23" s="29" t="str">
        <f ca="1">VLOOKUP($I23,OFFSET([3]characters!$A$1,0,0,COUNTA([3]characters!$A:$A),MATCH(L$1,[3]characters!$2:$2,0)-MATCH($I$1,[3]characters!$2:$2,0)+1),MATCH(L$1,[3]characters!$2:$2,0)-MATCH($I$1,[3]characters!$2:$2,0)+1,FALSE)</f>
        <v>Drop1N</v>
      </c>
      <c r="M23" s="28" t="str">
        <f ca="1">VLOOKUP($I23,OFFSET([3]characters!$A$1,0,0,COUNTA([3]characters!$A:$A),MATCH(M$1,[3]characters!$2:$2,0)-MATCH($I$1,[3]characters!$2:$2,0)+2),MATCH(M$1,[3]characters!$2:$2,0)-MATCH($I$1,[3]characters!$2:$2,0)+2,FALSE)</f>
        <v>ドラゴン</v>
      </c>
      <c r="N23" s="5">
        <f ca="1">VLOOKUP($I23,OFFSET([2]enemies!$A$1,0,0,COUNTA([2]enemies!$A:$A),MATCH(N$1,[2]enemies!$2:$2,0)-MATCH($I$1,[2]enemies!$2:$2,0)+1),MATCH(N$1,[2]enemies!$2:$2,0)-MATCH($I$1,[2]enemies!$2:$2,0)+1,FALSE)</f>
        <v>15</v>
      </c>
      <c r="O23" s="6">
        <v>13</v>
      </c>
      <c r="P23" s="41">
        <v>1</v>
      </c>
      <c r="Q23" s="41">
        <v>1</v>
      </c>
      <c r="R23" s="6">
        <v>0</v>
      </c>
      <c r="S23" s="5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5">
        <f ca="1">VLOOKUP($I23,OFFSET([2]enemies!$A$1,0,0,COUNTA([2]enemies!$A:$A),MATCH(T$1,[2]enemies!$2:$2,0)-MATCH($I$1,[2]enemies!$2:$2,0)+1),MATCH(T$1,[2]enemies!$2:$2,0)-MATCH($I$1,[2]enemies!$2:$2,0)+1,FALSE)</f>
        <v>0</v>
      </c>
      <c r="U23" s="7">
        <v>0</v>
      </c>
      <c r="V23" s="7">
        <v>100</v>
      </c>
      <c r="W23" s="7">
        <v>0</v>
      </c>
      <c r="X23" s="26">
        <f ca="1">VLOOKUP($I23,OFFSET([2]enemies!$A$1,0,0,COUNTA([2]enemies!$A:$A),MATCH(X$1,[2]enemies!$2:$2,0)-MATCH($I$1,[2]enemies!$2:$2,0)+1),MATCH(X$1,[2]enemies!$2:$2,0)-MATCH($I$1,[2]enemies!$2:$2,0)+1,FALSE)</f>
        <v>2</v>
      </c>
      <c r="Y23" s="38">
        <v>21</v>
      </c>
      <c r="Z23" s="5" t="str">
        <f ca="1">IFERROR(VLOOKUP($Y23,OFFSET([3]characters!$A$1,0,0,COUNTA([3]characters!$A:$A),MATCH(Z$1,[3]characters!$2:$2,0)-MATCH("character_id",[3]characters!$2:$2,0)+1),MATCH(Z$1,[3]characters!$2:$2,0)-MATCH("character_id",[3]characters!$2:$2,0)+1,FALSE),"")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3" s="5">
        <f ca="1">IFERROR(VLOOKUP($Y23,OFFSET([3]characters!$A$1,0,0,COUNTA([3]characters!$A:$A),MATCH(AA$1,[3]characters!$2:$2,0)-MATCH("character_id",[3]characters!$2:$2,0)+1),MATCH(AA$1,[3]characters!$2:$2,0)-MATCH("character_id",[3]characters!$2:$2,0)+1,FALSE),"")</f>
        <v>1</v>
      </c>
      <c r="AB23" s="5" t="str">
        <f ca="1">IFERROR(VLOOKUP($Y23,OFFSET([3]characters!$A$1,0,0,COUNTA([3]characters!$A:$A),MATCH(AB$1,[3]characters!$2:$2,0)-MATCH("character_id",[3]characters!$2:$2,0)+1),MATCH(AB$1,[3]characters!$2:$2,0)-MATCH("character_id",[3]characters!$2:$2,0)+1,FALSE),"")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" s="34">
        <v>1</v>
      </c>
      <c r="AD23" s="34">
        <f t="shared" ca="1" si="13"/>
        <v>1</v>
      </c>
      <c r="AE23" s="9">
        <v>25</v>
      </c>
      <c r="AF23" s="34">
        <v>0</v>
      </c>
      <c r="AG23" s="34">
        <v>0</v>
      </c>
      <c r="AH23" s="34">
        <v>0</v>
      </c>
      <c r="AI23" s="34">
        <v>0</v>
      </c>
      <c r="AJ23" s="34">
        <v>1</v>
      </c>
    </row>
    <row r="24" spans="1:36" ht="21" customHeight="1">
      <c r="A24" s="21" t="str">
        <f t="shared" si="0"/>
        <v>10020_1-2/41&lt;lv13&gt;</v>
      </c>
      <c r="B24" s="31">
        <v>10020</v>
      </c>
      <c r="C24" s="35">
        <v>1</v>
      </c>
      <c r="D24" s="20" t="str">
        <f t="shared" si="11"/>
        <v>10020_1</v>
      </c>
      <c r="E24" s="5" t="str">
        <f ca="1">VLOOKUP($B24,OFFSET([1]quests!$A$1,0,0,COUNTA([1]quests!$A:$A),MATCH(E$1,[1]quests!$1:$1,0)-MATCH($B$1,[1]quests!$1:$1,0)+1),MATCH(E$1,[1]quests!$1:$1,0)-MATCH($B$1,[1]quests!$1:$1,0)+1,FALSE)</f>
        <v>紅き侵入者</v>
      </c>
      <c r="F24" s="5" t="str">
        <f ca="1">VLOOKUP($D24,OFFSET([1]stages!$A$1,0,0,COUNTA([1]stages!$A:$A),MATCH(F$1,[1]stages!$2:$2,0)-MATCH($D$1,[1]stages!$2:$2,0)+1),MATCH(F$1,[1]stages!$2:$2,0)-MATCH($D$1,[1]stages!$2:$2,0)+1,FALSE)</f>
        <v>紅き侵入者</v>
      </c>
      <c r="G24" s="35">
        <v>2</v>
      </c>
      <c r="H24" s="20" t="str">
        <f t="shared" si="12"/>
        <v>10020_1-2</v>
      </c>
      <c r="I24" s="38">
        <v>41</v>
      </c>
      <c r="J24" s="26" t="str">
        <f ca="1">VLOOKUP($I24,OFFSET([2]enemies!$A$1,0,0,COUNTA([2]enemies!$A:$A),MATCH(J$1,[2]enemies!$2:$2,0)-MATCH($I$1,[2]enemies!$2:$2,0)+1),MATCH(J$1,[2]enemies!$2:$2,0)-MATCH($I$1,[2]enemies!$2:$2,0)+1,FALSE)</f>
        <v>ヒュウガ</v>
      </c>
      <c r="K24" s="29" t="str">
        <f ca="1">VLOOKUP($I24,OFFSET([2]enemies!$A$1,0,0,COUNTA([2]enemies!$A:$A),MATCH(K$1,[2]enemies!$2:$2,0)-MATCH($I$1,[2]enemies!$2:$2,0)+1),MATCH(K$1,[2]enemies!$2:$2,0)-MATCH($I$1,[2]enemies!$2:$2,0)+1,FALSE)</f>
        <v>red</v>
      </c>
      <c r="L24" s="29" t="str">
        <f ca="1">VLOOKUP($I24,OFFSET([3]characters!$A$1,0,0,COUNTA([3]characters!$A:$A),MATCH(L$1,[3]characters!$2:$2,0)-MATCH($I$1,[3]characters!$2:$2,0)+1),MATCH(L$1,[3]characters!$2:$2,0)-MATCH($I$1,[3]characters!$2:$2,0)+1,FALSE)</f>
        <v>Drop1N</v>
      </c>
      <c r="M24" s="28" t="str">
        <f ca="1">VLOOKUP($I24,OFFSET([3]characters!$A$1,0,0,COUNTA([3]characters!$A:$A),MATCH(M$1,[3]characters!$2:$2,0)-MATCH($I$1,[3]characters!$2:$2,0)+2),MATCH(M$1,[3]characters!$2:$2,0)-MATCH($I$1,[3]characters!$2:$2,0)+2,FALSE)</f>
        <v>ドラゴン</v>
      </c>
      <c r="N24" s="5">
        <f ca="1">VLOOKUP($I24,OFFSET([2]enemies!$A$1,0,0,COUNTA([2]enemies!$A:$A),MATCH(N$1,[2]enemies!$2:$2,0)-MATCH($I$1,[2]enemies!$2:$2,0)+1),MATCH(N$1,[2]enemies!$2:$2,0)-MATCH($I$1,[2]enemies!$2:$2,0)+1,FALSE)</f>
        <v>15</v>
      </c>
      <c r="O24" s="6">
        <v>13</v>
      </c>
      <c r="P24" s="41">
        <v>1</v>
      </c>
      <c r="Q24" s="41">
        <v>1</v>
      </c>
      <c r="R24" s="6">
        <v>0</v>
      </c>
      <c r="S24" s="5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5">
        <f ca="1">VLOOKUP($I24,OFFSET([2]enemies!$A$1,0,0,COUNTA([2]enemies!$A:$A),MATCH(T$1,[2]enemies!$2:$2,0)-MATCH($I$1,[2]enemies!$2:$2,0)+1),MATCH(T$1,[2]enemies!$2:$2,0)-MATCH($I$1,[2]enemies!$2:$2,0)+1,FALSE)</f>
        <v>0</v>
      </c>
      <c r="U24" s="7">
        <v>0</v>
      </c>
      <c r="V24" s="7">
        <v>100</v>
      </c>
      <c r="W24" s="7">
        <v>0</v>
      </c>
      <c r="X24" s="26">
        <f ca="1">VLOOKUP($I24,OFFSET([2]enemies!$A$1,0,0,COUNTA([2]enemies!$A:$A),MATCH(X$1,[2]enemies!$2:$2,0)-MATCH($I$1,[2]enemies!$2:$2,0)+1),MATCH(X$1,[2]enemies!$2:$2,0)-MATCH($I$1,[2]enemies!$2:$2,0)+1,FALSE)</f>
        <v>1</v>
      </c>
      <c r="Y24" s="38">
        <v>41</v>
      </c>
      <c r="Z24" s="5" t="str">
        <f ca="1">IFERROR(VLOOKUP($Y24,OFFSET([3]characters!$A$1,0,0,COUNTA([3]characters!$A:$A),MATCH(Z$1,[3]characters!$2:$2,0)-MATCH("character_id",[3]characters!$2:$2,0)+1),MATCH(Z$1,[3]characters!$2:$2,0)-MATCH("character_id",[3]characters!$2:$2,0)+1,FALSE),"")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4" s="5">
        <f ca="1">IFERROR(VLOOKUP($Y24,OFFSET([3]characters!$A$1,0,0,COUNTA([3]characters!$A:$A),MATCH(AA$1,[3]characters!$2:$2,0)-MATCH("character_id",[3]characters!$2:$2,0)+1),MATCH(AA$1,[3]characters!$2:$2,0)-MATCH("character_id",[3]characters!$2:$2,0)+1,FALSE),"")</f>
        <v>2</v>
      </c>
      <c r="AB24" s="5" t="str">
        <f ca="1">IFERROR(VLOOKUP($Y24,OFFSET([3]characters!$A$1,0,0,COUNTA([3]characters!$A:$A),MATCH(AB$1,[3]characters!$2:$2,0)-MATCH("character_id",[3]characters!$2:$2,0)+1),MATCH(AB$1,[3]characters!$2:$2,0)-MATCH("character_id",[3]characters!$2:$2,0)+1,FALSE),"")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" s="34">
        <v>1</v>
      </c>
      <c r="AD24" s="34">
        <f t="shared" ca="1" si="13"/>
        <v>2</v>
      </c>
      <c r="AE24" s="9">
        <v>25</v>
      </c>
      <c r="AF24" s="34">
        <v>0</v>
      </c>
      <c r="AG24" s="34">
        <v>0</v>
      </c>
      <c r="AH24" s="34">
        <v>0</v>
      </c>
      <c r="AI24" s="34">
        <v>0</v>
      </c>
      <c r="AJ24" s="34">
        <v>1</v>
      </c>
    </row>
    <row r="25" spans="1:36" ht="21" customHeight="1">
      <c r="A25" s="21" t="str">
        <f t="shared" ref="A25:A28" si="14">B25&amp;"_"&amp;C25&amp;"-"&amp;G25&amp;"/"&amp;I25&amp;"&lt;lv"&amp;O25&amp;"&gt;"</f>
        <v>10020_1-3/15&lt;lv13&gt;</v>
      </c>
      <c r="B25" s="31">
        <v>10020</v>
      </c>
      <c r="C25" s="35">
        <v>1</v>
      </c>
      <c r="D25" s="20" t="str">
        <f t="shared" ref="D25:D28" si="15">B25&amp;"_"&amp;C25</f>
        <v>10020_1</v>
      </c>
      <c r="E25" s="5" t="str">
        <f ca="1">VLOOKUP($B25,OFFSET([1]quests!$A$1,0,0,COUNTA([1]quests!$A:$A),MATCH(E$1,[1]quests!$1:$1,0)-MATCH($B$1,[1]quests!$1:$1,0)+1),MATCH(E$1,[1]quests!$1:$1,0)-MATCH($B$1,[1]quests!$1:$1,0)+1,FALSE)</f>
        <v>紅き侵入者</v>
      </c>
      <c r="F25" s="5" t="str">
        <f ca="1">VLOOKUP($D25,OFFSET([1]stages!$A$1,0,0,COUNTA([1]stages!$A:$A),MATCH(F$1,[1]stages!$2:$2,0)-MATCH($D$1,[1]stages!$2:$2,0)+1),MATCH(F$1,[1]stages!$2:$2,0)-MATCH($D$1,[1]stages!$2:$2,0)+1,FALSE)</f>
        <v>紅き侵入者</v>
      </c>
      <c r="G25" s="35">
        <v>3</v>
      </c>
      <c r="H25" s="20" t="str">
        <f t="shared" ref="H25:H28" si="16">B25&amp;"_"&amp;C25&amp;"-"&amp;G25</f>
        <v>10020_1-3</v>
      </c>
      <c r="I25" s="38">
        <v>15</v>
      </c>
      <c r="J25" s="26" t="str">
        <f ca="1">VLOOKUP($I25,OFFSET([2]enemies!$A$1,0,0,COUNTA([2]enemies!$A:$A),MATCH(J$1,[2]enemies!$2:$2,0)-MATCH($I$1,[2]enemies!$2:$2,0)+1),MATCH(J$1,[2]enemies!$2:$2,0)-MATCH($I$1,[2]enemies!$2:$2,0)+1,FALSE)</f>
        <v>アカネ</v>
      </c>
      <c r="K25" s="29" t="str">
        <f ca="1">VLOOKUP($I25,OFFSET([2]enemies!$A$1,0,0,COUNTA([2]enemies!$A:$A),MATCH(K$1,[2]enemies!$2:$2,0)-MATCH($I$1,[2]enemies!$2:$2,0)+1),MATCH(K$1,[2]enemies!$2:$2,0)-MATCH($I$1,[2]enemies!$2:$2,0)+1,FALSE)</f>
        <v>red</v>
      </c>
      <c r="L25" s="29" t="str">
        <f ca="1">VLOOKUP($I25,OFFSET([3]characters!$A$1,0,0,COUNTA([3]characters!$A:$A),MATCH(L$1,[3]characters!$2:$2,0)-MATCH($I$1,[3]characters!$2:$2,0)+1),MATCH(L$1,[3]characters!$2:$2,0)-MATCH($I$1,[3]characters!$2:$2,0)+1,FALSE)</f>
        <v>Drop1W</v>
      </c>
      <c r="M25" s="28" t="str">
        <f ca="1">VLOOKUP($I25,OFFSET([3]characters!$A$1,0,0,COUNTA([3]characters!$A:$A),MATCH(M$1,[3]characters!$2:$2,0)-MATCH($I$1,[3]characters!$2:$2,0)+2),MATCH(M$1,[3]characters!$2:$2,0)-MATCH($I$1,[3]characters!$2:$2,0)+2,FALSE)</f>
        <v>ヒューマン</v>
      </c>
      <c r="N25" s="5">
        <f ca="1">VLOOKUP($I25,OFFSET([2]enemies!$A$1,0,0,COUNTA([2]enemies!$A:$A),MATCH(N$1,[2]enemies!$2:$2,0)-MATCH($I$1,[2]enemies!$2:$2,0)+1),MATCH(N$1,[2]enemies!$2:$2,0)-MATCH($I$1,[2]enemies!$2:$2,0)+1,FALSE)</f>
        <v>15</v>
      </c>
      <c r="O25" s="6">
        <v>13</v>
      </c>
      <c r="P25" s="41">
        <v>1</v>
      </c>
      <c r="Q25" s="41">
        <v>1</v>
      </c>
      <c r="R25" s="6">
        <v>0</v>
      </c>
      <c r="S25" s="5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5">
        <f ca="1">VLOOKUP($I25,OFFSET([2]enemies!$A$1,0,0,COUNTA([2]enemies!$A:$A),MATCH(T$1,[2]enemies!$2:$2,0)-MATCH($I$1,[2]enemies!$2:$2,0)+1),MATCH(T$1,[2]enemies!$2:$2,0)-MATCH($I$1,[2]enemies!$2:$2,0)+1,FALSE)</f>
        <v>0</v>
      </c>
      <c r="U25" s="7">
        <v>4</v>
      </c>
      <c r="V25" s="7">
        <v>100</v>
      </c>
      <c r="W25" s="7">
        <v>0</v>
      </c>
      <c r="X25" s="26">
        <f ca="1">VLOOKUP($I25,OFFSET([2]enemies!$A$1,0,0,COUNTA([2]enemies!$A:$A),MATCH(X$1,[2]enemies!$2:$2,0)-MATCH($I$1,[2]enemies!$2:$2,0)+1),MATCH(X$1,[2]enemies!$2:$2,0)-MATCH($I$1,[2]enemies!$2:$2,0)+1,FALSE)</f>
        <v>3</v>
      </c>
      <c r="Y25" s="38">
        <v>15</v>
      </c>
      <c r="Z25" s="5" t="str">
        <f ca="1">IFERROR(VLOOKUP($Y25,OFFSET([3]characters!$A$1,0,0,COUNTA([3]characters!$A:$A),MATCH(Z$1,[3]characters!$2:$2,0)-MATCH("character_id",[3]characters!$2:$2,0)+1),MATCH(Z$1,[3]characters!$2:$2,0)-MATCH("character_id",[3]characters!$2:$2,0)+1,FALSE),"")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25" s="5">
        <f ca="1">IFERROR(VLOOKUP($Y25,OFFSET([3]characters!$A$1,0,0,COUNTA([3]characters!$A:$A),MATCH(AA$1,[3]characters!$2:$2,0)-MATCH("character_id",[3]characters!$2:$2,0)+1),MATCH(AA$1,[3]characters!$2:$2,0)-MATCH("character_id",[3]characters!$2:$2,0)+1,FALSE),"")</f>
        <v>1</v>
      </c>
      <c r="AB25" s="5" t="str">
        <f ca="1">IFERROR(VLOOKUP($Y25,OFFSET([3]characters!$A$1,0,0,COUNTA([3]characters!$A:$A),MATCH(AB$1,[3]characters!$2:$2,0)-MATCH("character_id",[3]characters!$2:$2,0)+1),MATCH(AB$1,[3]characters!$2:$2,0)-MATCH("character_id",[3]characters!$2:$2,0)+1,FALSE),"")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5" s="34">
        <v>1</v>
      </c>
      <c r="AD25" s="34">
        <f t="shared" ref="AD25:AD28" ca="1" si="17">AA25</f>
        <v>1</v>
      </c>
      <c r="AE25" s="9">
        <v>25</v>
      </c>
      <c r="AF25" s="34">
        <v>0</v>
      </c>
      <c r="AG25" s="34">
        <v>0</v>
      </c>
      <c r="AH25" s="34">
        <v>0</v>
      </c>
      <c r="AI25" s="34">
        <v>0</v>
      </c>
      <c r="AJ25" s="34">
        <v>1</v>
      </c>
    </row>
    <row r="26" spans="1:36" ht="21" customHeight="1">
      <c r="A26" s="21" t="str">
        <f t="shared" si="14"/>
        <v>10020_1-4/9&lt;lv13&gt;</v>
      </c>
      <c r="B26" s="31">
        <v>10020</v>
      </c>
      <c r="C26" s="35">
        <v>1</v>
      </c>
      <c r="D26" s="20" t="str">
        <f t="shared" si="15"/>
        <v>10020_1</v>
      </c>
      <c r="E26" s="5" t="str">
        <f ca="1">VLOOKUP($B26,OFFSET([1]quests!$A$1,0,0,COUNTA([1]quests!$A:$A),MATCH(E$1,[1]quests!$1:$1,0)-MATCH($B$1,[1]quests!$1:$1,0)+1),MATCH(E$1,[1]quests!$1:$1,0)-MATCH($B$1,[1]quests!$1:$1,0)+1,FALSE)</f>
        <v>紅き侵入者</v>
      </c>
      <c r="F26" s="5" t="str">
        <f ca="1">VLOOKUP($D26,OFFSET([1]stages!$A$1,0,0,COUNTA([1]stages!$A:$A),MATCH(F$1,[1]stages!$2:$2,0)-MATCH($D$1,[1]stages!$2:$2,0)+1),MATCH(F$1,[1]stages!$2:$2,0)-MATCH($D$1,[1]stages!$2:$2,0)+1,FALSE)</f>
        <v>紅き侵入者</v>
      </c>
      <c r="G26" s="35">
        <v>4</v>
      </c>
      <c r="H26" s="20" t="str">
        <f t="shared" si="16"/>
        <v>10020_1-4</v>
      </c>
      <c r="I26" s="38">
        <v>9</v>
      </c>
      <c r="J26" s="26" t="str">
        <f ca="1">VLOOKUP($I26,OFFSET([2]enemies!$A$1,0,0,COUNTA([2]enemies!$A:$A),MATCH(J$1,[2]enemies!$2:$2,0)-MATCH($I$1,[2]enemies!$2:$2,0)+1),MATCH(J$1,[2]enemies!$2:$2,0)-MATCH($I$1,[2]enemies!$2:$2,0)+1,FALSE)</f>
        <v>ブレット</v>
      </c>
      <c r="K26" s="29" t="str">
        <f ca="1">VLOOKUP($I26,OFFSET([2]enemies!$A$1,0,0,COUNTA([2]enemies!$A:$A),MATCH(K$1,[2]enemies!$2:$2,0)-MATCH($I$1,[2]enemies!$2:$2,0)+1),MATCH(K$1,[2]enemies!$2:$2,0)-MATCH($I$1,[2]enemies!$2:$2,0)+1,FALSE)</f>
        <v>red</v>
      </c>
      <c r="L26" s="29" t="str">
        <f ca="1">VLOOKUP($I26,OFFSET([3]characters!$A$1,0,0,COUNTA([3]characters!$A:$A),MATCH(L$1,[3]characters!$2:$2,0)-MATCH($I$1,[3]characters!$2:$2,0)+1),MATCH(L$1,[3]characters!$2:$2,0)-MATCH($I$1,[3]characters!$2:$2,0)+1,FALSE)</f>
        <v>Drop1W</v>
      </c>
      <c r="M26" s="28" t="str">
        <f ca="1">VLOOKUP($I26,OFFSET([3]characters!$A$1,0,0,COUNTA([3]characters!$A:$A),MATCH(M$1,[3]characters!$2:$2,0)-MATCH($I$1,[3]characters!$2:$2,0)+2),MATCH(M$1,[3]characters!$2:$2,0)-MATCH($I$1,[3]characters!$2:$2,0)+2,FALSE)</f>
        <v>アニマル</v>
      </c>
      <c r="N26" s="5">
        <f ca="1">VLOOKUP($I26,OFFSET([2]enemies!$A$1,0,0,COUNTA([2]enemies!$A:$A),MATCH(N$1,[2]enemies!$2:$2,0)-MATCH($I$1,[2]enemies!$2:$2,0)+1),MATCH(N$1,[2]enemies!$2:$2,0)-MATCH($I$1,[2]enemies!$2:$2,0)+1,FALSE)</f>
        <v>15</v>
      </c>
      <c r="O26" s="6">
        <v>13</v>
      </c>
      <c r="P26" s="41">
        <v>1</v>
      </c>
      <c r="Q26" s="41">
        <v>1</v>
      </c>
      <c r="R26" s="6">
        <v>0</v>
      </c>
      <c r="S26" s="5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5">
        <f ca="1">VLOOKUP($I26,OFFSET([2]enemies!$A$1,0,0,COUNTA([2]enemies!$A:$A),MATCH(T$1,[2]enemies!$2:$2,0)-MATCH($I$1,[2]enemies!$2:$2,0)+1),MATCH(T$1,[2]enemies!$2:$2,0)-MATCH($I$1,[2]enemies!$2:$2,0)+1,FALSE)</f>
        <v>0</v>
      </c>
      <c r="U26" s="7">
        <v>0</v>
      </c>
      <c r="V26" s="7">
        <v>100</v>
      </c>
      <c r="W26" s="7">
        <v>0</v>
      </c>
      <c r="X26" s="26">
        <f ca="1">VLOOKUP($I26,OFFSET([2]enemies!$A$1,0,0,COUNTA([2]enemies!$A:$A),MATCH(X$1,[2]enemies!$2:$2,0)-MATCH($I$1,[2]enemies!$2:$2,0)+1),MATCH(X$1,[2]enemies!$2:$2,0)-MATCH($I$1,[2]enemies!$2:$2,0)+1,FALSE)</f>
        <v>2</v>
      </c>
      <c r="Y26" s="38">
        <v>9</v>
      </c>
      <c r="Z26" s="5" t="str">
        <f ca="1">IFERROR(VLOOKUP($Y26,OFFSET([3]characters!$A$1,0,0,COUNTA([3]characters!$A:$A),MATCH(Z$1,[3]characters!$2:$2,0)-MATCH("character_id",[3]characters!$2:$2,0)+1),MATCH(Z$1,[3]characters!$2:$2,0)-MATCH("character_id",[3]characters!$2:$2,0)+1,FALSE),"")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26" s="5">
        <f ca="1">IFERROR(VLOOKUP($Y26,OFFSET([3]characters!$A$1,0,0,COUNTA([3]characters!$A:$A),MATCH(AA$1,[3]characters!$2:$2,0)-MATCH("character_id",[3]characters!$2:$2,0)+1),MATCH(AA$1,[3]characters!$2:$2,0)-MATCH("character_id",[3]characters!$2:$2,0)+1,FALSE),"")</f>
        <v>1</v>
      </c>
      <c r="AB26" s="5" t="str">
        <f ca="1">IFERROR(VLOOKUP($Y26,OFFSET([3]characters!$A$1,0,0,COUNTA([3]characters!$A:$A),MATCH(AB$1,[3]characters!$2:$2,0)-MATCH("character_id",[3]characters!$2:$2,0)+1),MATCH(AB$1,[3]characters!$2:$2,0)-MATCH("character_id",[3]characters!$2:$2,0)+1,FALSE),"")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6" s="34">
        <v>1</v>
      </c>
      <c r="AD26" s="34">
        <f t="shared" ca="1" si="17"/>
        <v>1</v>
      </c>
      <c r="AE26" s="9">
        <v>25</v>
      </c>
      <c r="AF26" s="34">
        <v>0</v>
      </c>
      <c r="AG26" s="34">
        <v>0</v>
      </c>
      <c r="AH26" s="34">
        <v>0</v>
      </c>
      <c r="AI26" s="34">
        <v>0</v>
      </c>
      <c r="AJ26" s="34">
        <v>1</v>
      </c>
    </row>
    <row r="27" spans="1:36" ht="21" customHeight="1">
      <c r="A27" s="21" t="str">
        <f t="shared" si="14"/>
        <v>10020_1-4/21&lt;lv13&gt;</v>
      </c>
      <c r="B27" s="31">
        <v>10020</v>
      </c>
      <c r="C27" s="35">
        <v>1</v>
      </c>
      <c r="D27" s="20" t="str">
        <f t="shared" si="15"/>
        <v>10020_1</v>
      </c>
      <c r="E27" s="5" t="str">
        <f ca="1">VLOOKUP($B27,OFFSET([1]quests!$A$1,0,0,COUNTA([1]quests!$A:$A),MATCH(E$1,[1]quests!$1:$1,0)-MATCH($B$1,[1]quests!$1:$1,0)+1),MATCH(E$1,[1]quests!$1:$1,0)-MATCH($B$1,[1]quests!$1:$1,0)+1,FALSE)</f>
        <v>紅き侵入者</v>
      </c>
      <c r="F27" s="5" t="str">
        <f ca="1">VLOOKUP($D27,OFFSET([1]stages!$A$1,0,0,COUNTA([1]stages!$A:$A),MATCH(F$1,[1]stages!$2:$2,0)-MATCH($D$1,[1]stages!$2:$2,0)+1),MATCH(F$1,[1]stages!$2:$2,0)-MATCH($D$1,[1]stages!$2:$2,0)+1,FALSE)</f>
        <v>紅き侵入者</v>
      </c>
      <c r="G27" s="35">
        <v>4</v>
      </c>
      <c r="H27" s="20" t="str">
        <f t="shared" si="16"/>
        <v>10020_1-4</v>
      </c>
      <c r="I27" s="38">
        <v>21</v>
      </c>
      <c r="J27" s="26" t="str">
        <f ca="1">VLOOKUP($I27,OFFSET([2]enemies!$A$1,0,0,COUNTA([2]enemies!$A:$A),MATCH(J$1,[2]enemies!$2:$2,0)-MATCH($I$1,[2]enemies!$2:$2,0)+1),MATCH(J$1,[2]enemies!$2:$2,0)-MATCH($I$1,[2]enemies!$2:$2,0)+1,FALSE)</f>
        <v>ヴェロキー</v>
      </c>
      <c r="K27" s="29" t="str">
        <f ca="1">VLOOKUP($I27,OFFSET([2]enemies!$A$1,0,0,COUNTA([2]enemies!$A:$A),MATCH(K$1,[2]enemies!$2:$2,0)-MATCH($I$1,[2]enemies!$2:$2,0)+1),MATCH(K$1,[2]enemies!$2:$2,0)-MATCH($I$1,[2]enemies!$2:$2,0)+1,FALSE)</f>
        <v>red</v>
      </c>
      <c r="L27" s="29" t="str">
        <f ca="1">VLOOKUP($I27,OFFSET([3]characters!$A$1,0,0,COUNTA([3]characters!$A:$A),MATCH(L$1,[3]characters!$2:$2,0)-MATCH($I$1,[3]characters!$2:$2,0)+1),MATCH(L$1,[3]characters!$2:$2,0)-MATCH($I$1,[3]characters!$2:$2,0)+1,FALSE)</f>
        <v>Drop1N</v>
      </c>
      <c r="M27" s="28" t="str">
        <f ca="1">VLOOKUP($I27,OFFSET([3]characters!$A$1,0,0,COUNTA([3]characters!$A:$A),MATCH(M$1,[3]characters!$2:$2,0)-MATCH($I$1,[3]characters!$2:$2,0)+2),MATCH(M$1,[3]characters!$2:$2,0)-MATCH($I$1,[3]characters!$2:$2,0)+2,FALSE)</f>
        <v>ドラゴン</v>
      </c>
      <c r="N27" s="5">
        <f ca="1">VLOOKUP($I27,OFFSET([2]enemies!$A$1,0,0,COUNTA([2]enemies!$A:$A),MATCH(N$1,[2]enemies!$2:$2,0)-MATCH($I$1,[2]enemies!$2:$2,0)+1),MATCH(N$1,[2]enemies!$2:$2,0)-MATCH($I$1,[2]enemies!$2:$2,0)+1,FALSE)</f>
        <v>15</v>
      </c>
      <c r="O27" s="6">
        <v>13</v>
      </c>
      <c r="P27" s="41">
        <v>1</v>
      </c>
      <c r="Q27" s="41">
        <v>1</v>
      </c>
      <c r="R27" s="6">
        <v>0</v>
      </c>
      <c r="S27" s="5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5">
        <f ca="1">VLOOKUP($I27,OFFSET([2]enemies!$A$1,0,0,COUNTA([2]enemies!$A:$A),MATCH(T$1,[2]enemies!$2:$2,0)-MATCH($I$1,[2]enemies!$2:$2,0)+1),MATCH(T$1,[2]enemies!$2:$2,0)-MATCH($I$1,[2]enemies!$2:$2,0)+1,FALSE)</f>
        <v>0</v>
      </c>
      <c r="U27" s="7">
        <v>0</v>
      </c>
      <c r="V27" s="7">
        <v>100</v>
      </c>
      <c r="W27" s="7">
        <v>0</v>
      </c>
      <c r="X27" s="26">
        <f ca="1">VLOOKUP($I27,OFFSET([2]enemies!$A$1,0,0,COUNTA([2]enemies!$A:$A),MATCH(X$1,[2]enemies!$2:$2,0)-MATCH($I$1,[2]enemies!$2:$2,0)+1),MATCH(X$1,[2]enemies!$2:$2,0)-MATCH($I$1,[2]enemies!$2:$2,0)+1,FALSE)</f>
        <v>2</v>
      </c>
      <c r="Y27" s="38">
        <v>21</v>
      </c>
      <c r="Z27" s="5" t="str">
        <f ca="1">IFERROR(VLOOKUP($Y27,OFFSET([3]characters!$A$1,0,0,COUNTA([3]characters!$A:$A),MATCH(Z$1,[3]characters!$2:$2,0)-MATCH("character_id",[3]characters!$2:$2,0)+1),MATCH(Z$1,[3]characters!$2:$2,0)-MATCH("character_id",[3]characters!$2:$2,0)+1,FALSE),"")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27" s="5">
        <f ca="1">IFERROR(VLOOKUP($Y27,OFFSET([3]characters!$A$1,0,0,COUNTA([3]characters!$A:$A),MATCH(AA$1,[3]characters!$2:$2,0)-MATCH("character_id",[3]characters!$2:$2,0)+1),MATCH(AA$1,[3]characters!$2:$2,0)-MATCH("character_id",[3]characters!$2:$2,0)+1,FALSE),"")</f>
        <v>1</v>
      </c>
      <c r="AB27" s="5" t="str">
        <f ca="1">IFERROR(VLOOKUP($Y27,OFFSET([3]characters!$A$1,0,0,COUNTA([3]characters!$A:$A),MATCH(AB$1,[3]characters!$2:$2,0)-MATCH("character_id",[3]characters!$2:$2,0)+1),MATCH(AB$1,[3]characters!$2:$2,0)-MATCH("character_id",[3]characters!$2:$2,0)+1,FALSE),"")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7" s="34">
        <v>1</v>
      </c>
      <c r="AD27" s="34">
        <f t="shared" ca="1" si="17"/>
        <v>1</v>
      </c>
      <c r="AE27" s="9">
        <v>25</v>
      </c>
      <c r="AF27" s="34">
        <v>0</v>
      </c>
      <c r="AG27" s="34">
        <v>0</v>
      </c>
      <c r="AH27" s="34">
        <v>0</v>
      </c>
      <c r="AI27" s="34">
        <v>0</v>
      </c>
      <c r="AJ27" s="34">
        <v>1</v>
      </c>
    </row>
    <row r="28" spans="1:36" ht="21" customHeight="1">
      <c r="A28" s="21" t="str">
        <f t="shared" si="14"/>
        <v>10020_1-4/41&lt;lv13&gt;</v>
      </c>
      <c r="B28" s="31">
        <v>10020</v>
      </c>
      <c r="C28" s="35">
        <v>1</v>
      </c>
      <c r="D28" s="20" t="str">
        <f t="shared" si="15"/>
        <v>10020_1</v>
      </c>
      <c r="E28" s="5" t="str">
        <f ca="1">VLOOKUP($B28,OFFSET([1]quests!$A$1,0,0,COUNTA([1]quests!$A:$A),MATCH(E$1,[1]quests!$1:$1,0)-MATCH($B$1,[1]quests!$1:$1,0)+1),MATCH(E$1,[1]quests!$1:$1,0)-MATCH($B$1,[1]quests!$1:$1,0)+1,FALSE)</f>
        <v>紅き侵入者</v>
      </c>
      <c r="F28" s="5" t="str">
        <f ca="1">VLOOKUP($D28,OFFSET([1]stages!$A$1,0,0,COUNTA([1]stages!$A:$A),MATCH(F$1,[1]stages!$2:$2,0)-MATCH($D$1,[1]stages!$2:$2,0)+1),MATCH(F$1,[1]stages!$2:$2,0)-MATCH($D$1,[1]stages!$2:$2,0)+1,FALSE)</f>
        <v>紅き侵入者</v>
      </c>
      <c r="G28" s="35">
        <v>4</v>
      </c>
      <c r="H28" s="20" t="str">
        <f t="shared" si="16"/>
        <v>10020_1-4</v>
      </c>
      <c r="I28" s="38">
        <v>41</v>
      </c>
      <c r="J28" s="26" t="str">
        <f ca="1">VLOOKUP($I28,OFFSET([2]enemies!$A$1,0,0,COUNTA([2]enemies!$A:$A),MATCH(J$1,[2]enemies!$2:$2,0)-MATCH($I$1,[2]enemies!$2:$2,0)+1),MATCH(J$1,[2]enemies!$2:$2,0)-MATCH($I$1,[2]enemies!$2:$2,0)+1,FALSE)</f>
        <v>ヒュウガ</v>
      </c>
      <c r="K28" s="29" t="str">
        <f ca="1">VLOOKUP($I28,OFFSET([2]enemies!$A$1,0,0,COUNTA([2]enemies!$A:$A),MATCH(K$1,[2]enemies!$2:$2,0)-MATCH($I$1,[2]enemies!$2:$2,0)+1),MATCH(K$1,[2]enemies!$2:$2,0)-MATCH($I$1,[2]enemies!$2:$2,0)+1,FALSE)</f>
        <v>red</v>
      </c>
      <c r="L28" s="29" t="str">
        <f ca="1">VLOOKUP($I28,OFFSET([3]characters!$A$1,0,0,COUNTA([3]characters!$A:$A),MATCH(L$1,[3]characters!$2:$2,0)-MATCH($I$1,[3]characters!$2:$2,0)+1),MATCH(L$1,[3]characters!$2:$2,0)-MATCH($I$1,[3]characters!$2:$2,0)+1,FALSE)</f>
        <v>Drop1N</v>
      </c>
      <c r="M28" s="28" t="str">
        <f ca="1">VLOOKUP($I28,OFFSET([3]characters!$A$1,0,0,COUNTA([3]characters!$A:$A),MATCH(M$1,[3]characters!$2:$2,0)-MATCH($I$1,[3]characters!$2:$2,0)+2),MATCH(M$1,[3]characters!$2:$2,0)-MATCH($I$1,[3]characters!$2:$2,0)+2,FALSE)</f>
        <v>ドラゴン</v>
      </c>
      <c r="N28" s="5">
        <f ca="1">VLOOKUP($I28,OFFSET([2]enemies!$A$1,0,0,COUNTA([2]enemies!$A:$A),MATCH(N$1,[2]enemies!$2:$2,0)-MATCH($I$1,[2]enemies!$2:$2,0)+1),MATCH(N$1,[2]enemies!$2:$2,0)-MATCH($I$1,[2]enemies!$2:$2,0)+1,FALSE)</f>
        <v>15</v>
      </c>
      <c r="O28" s="6">
        <v>13</v>
      </c>
      <c r="P28" s="41">
        <v>1</v>
      </c>
      <c r="Q28" s="41">
        <v>1</v>
      </c>
      <c r="R28" s="6">
        <v>0</v>
      </c>
      <c r="S28" s="5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5">
        <f ca="1">VLOOKUP($I28,OFFSET([2]enemies!$A$1,0,0,COUNTA([2]enemies!$A:$A),MATCH(T$1,[2]enemies!$2:$2,0)-MATCH($I$1,[2]enemies!$2:$2,0)+1),MATCH(T$1,[2]enemies!$2:$2,0)-MATCH($I$1,[2]enemies!$2:$2,0)+1,FALSE)</f>
        <v>0</v>
      </c>
      <c r="U28" s="7">
        <v>0</v>
      </c>
      <c r="V28" s="7">
        <v>100</v>
      </c>
      <c r="W28" s="7">
        <v>0</v>
      </c>
      <c r="X28" s="26">
        <f ca="1">VLOOKUP($I28,OFFSET([2]enemies!$A$1,0,0,COUNTA([2]enemies!$A:$A),MATCH(X$1,[2]enemies!$2:$2,0)-MATCH($I$1,[2]enemies!$2:$2,0)+1),MATCH(X$1,[2]enemies!$2:$2,0)-MATCH($I$1,[2]enemies!$2:$2,0)+1,FALSE)</f>
        <v>1</v>
      </c>
      <c r="Y28" s="38">
        <v>41</v>
      </c>
      <c r="Z28" s="5" t="str">
        <f ca="1">IFERROR(VLOOKUP($Y28,OFFSET([3]characters!$A$1,0,0,COUNTA([3]characters!$A:$A),MATCH(Z$1,[3]characters!$2:$2,0)-MATCH("character_id",[3]characters!$2:$2,0)+1),MATCH(Z$1,[3]characters!$2:$2,0)-MATCH("character_id",[3]characters!$2:$2,0)+1,FALSE),"")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28" s="5">
        <f ca="1">IFERROR(VLOOKUP($Y28,OFFSET([3]characters!$A$1,0,0,COUNTA([3]characters!$A:$A),MATCH(AA$1,[3]characters!$2:$2,0)-MATCH("character_id",[3]characters!$2:$2,0)+1),MATCH(AA$1,[3]characters!$2:$2,0)-MATCH("character_id",[3]characters!$2:$2,0)+1,FALSE),"")</f>
        <v>2</v>
      </c>
      <c r="AB28" s="5" t="str">
        <f ca="1">IFERROR(VLOOKUP($Y28,OFFSET([3]characters!$A$1,0,0,COUNTA([3]characters!$A:$A),MATCH(AB$1,[3]characters!$2:$2,0)-MATCH("character_id",[3]characters!$2:$2,0)+1),MATCH(AB$1,[3]characters!$2:$2,0)-MATCH("character_id",[3]characters!$2:$2,0)+1,FALSE),"")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" s="34">
        <v>1</v>
      </c>
      <c r="AD28" s="34">
        <f t="shared" ca="1" si="17"/>
        <v>2</v>
      </c>
      <c r="AE28" s="9">
        <v>25</v>
      </c>
      <c r="AF28" s="34">
        <v>0</v>
      </c>
      <c r="AG28" s="34">
        <v>0</v>
      </c>
      <c r="AH28" s="34">
        <v>0</v>
      </c>
      <c r="AI28" s="34">
        <v>0</v>
      </c>
      <c r="AJ28" s="34">
        <v>1</v>
      </c>
    </row>
    <row r="29" spans="1:36" ht="21" customHeight="1">
      <c r="A29" s="21" t="str">
        <f t="shared" ref="A29" si="18">B29&amp;"_"&amp;C29&amp;"-"&amp;G29&amp;"/"&amp;I29&amp;"&lt;lv"&amp;O29&amp;"&gt;"</f>
        <v>10020_1-5/77&lt;lv23&gt;</v>
      </c>
      <c r="B29" s="31">
        <v>10020</v>
      </c>
      <c r="C29" s="35">
        <v>1</v>
      </c>
      <c r="D29" s="20" t="str">
        <f t="shared" ref="D29" si="19">B29&amp;"_"&amp;C29</f>
        <v>10020_1</v>
      </c>
      <c r="E29" s="5" t="str">
        <f ca="1">VLOOKUP($B29,OFFSET([1]quests!$A$1,0,0,COUNTA([1]quests!$A:$A),MATCH(E$1,[1]quests!$1:$1,0)-MATCH($B$1,[1]quests!$1:$1,0)+1),MATCH(E$1,[1]quests!$1:$1,0)-MATCH($B$1,[1]quests!$1:$1,0)+1,FALSE)</f>
        <v>紅き侵入者</v>
      </c>
      <c r="F29" s="5" t="str">
        <f ca="1">VLOOKUP($D29,OFFSET([1]stages!$A$1,0,0,COUNTA([1]stages!$A:$A),MATCH(F$1,[1]stages!$2:$2,0)-MATCH($D$1,[1]stages!$2:$2,0)+1),MATCH(F$1,[1]stages!$2:$2,0)-MATCH($D$1,[1]stages!$2:$2,0)+1,FALSE)</f>
        <v>紅き侵入者</v>
      </c>
      <c r="G29" s="35">
        <v>5</v>
      </c>
      <c r="H29" s="20" t="str">
        <f t="shared" ref="H29" si="20">B29&amp;"_"&amp;C29&amp;"-"&amp;G29</f>
        <v>10020_1-5</v>
      </c>
      <c r="I29" s="37">
        <v>77</v>
      </c>
      <c r="J29" s="26" t="str">
        <f ca="1">VLOOKUP($I29,OFFSET([2]enemies!$A$1,0,0,COUNTA([2]enemies!$A:$A),MATCH(J$1,[2]enemies!$2:$2,0)-MATCH($I$1,[2]enemies!$2:$2,0)+1),MATCH(J$1,[2]enemies!$2:$2,0)-MATCH($I$1,[2]enemies!$2:$2,0)+1,FALSE)</f>
        <v>潜伏型メリッサ</v>
      </c>
      <c r="K29" s="29" t="str">
        <f ca="1">VLOOKUP($I29,OFFSET([2]enemies!$A$1,0,0,COUNTA([2]enemies!$A:$A),MATCH(K$1,[2]enemies!$2:$2,0)-MATCH($I$1,[2]enemies!$2:$2,0)+1),MATCH(K$1,[2]enemies!$2:$2,0)-MATCH($I$1,[2]enemies!$2:$2,0)+1,FALSE)</f>
        <v>red</v>
      </c>
      <c r="L29" s="29" t="str">
        <f ca="1">VLOOKUP($I29,OFFSET([3]characters!$A$1,0,0,COUNTA([3]characters!$A:$A),MATCH(L$1,[3]characters!$2:$2,0)-MATCH($I$1,[3]characters!$2:$2,0)+1),MATCH(L$1,[3]characters!$2:$2,0)-MATCH($I$1,[3]characters!$2:$2,0)+1,FALSE)</f>
        <v>PremiumW</v>
      </c>
      <c r="M29" s="28" t="str">
        <f ca="1">VLOOKUP($I29,OFFSET([3]characters!$A$1,0,0,COUNTA([3]characters!$A:$A),MATCH(M$1,[3]characters!$2:$2,0)-MATCH($I$1,[3]characters!$2:$2,0)+2),MATCH(M$1,[3]characters!$2:$2,0)-MATCH($I$1,[3]characters!$2:$2,0)+2,FALSE)</f>
        <v>Unknown</v>
      </c>
      <c r="N29" s="5">
        <f ca="1">VLOOKUP($I29,OFFSET([2]enemies!$A$1,0,0,COUNTA([2]enemies!$A:$A),MATCH(N$1,[2]enemies!$2:$2,0)-MATCH($I$1,[2]enemies!$2:$2,0)+1),MATCH(N$1,[2]enemies!$2:$2,0)-MATCH($I$1,[2]enemies!$2:$2,0)+1,FALSE)</f>
        <v>20</v>
      </c>
      <c r="O29" s="6">
        <v>23</v>
      </c>
      <c r="P29" s="41">
        <v>1</v>
      </c>
      <c r="Q29" s="41">
        <v>1</v>
      </c>
      <c r="R29" s="6">
        <v>0</v>
      </c>
      <c r="S29" s="5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5ターンの間ダメージを受ける</v>
      </c>
      <c r="T29" s="5">
        <f ca="1">VLOOKUP($I29,OFFSET([2]enemies!$A$1,0,0,COUNTA([2]enemies!$A:$A),MATCH(T$1,[2]enemies!$2:$2,0)-MATCH($I$1,[2]enemies!$2:$2,0)+1),MATCH(T$1,[2]enemies!$2:$2,0)-MATCH($I$1,[2]enemies!$2:$2,0)+1,FALSE)</f>
        <v>77</v>
      </c>
      <c r="U29" s="7">
        <v>1</v>
      </c>
      <c r="V29" s="7">
        <v>100</v>
      </c>
      <c r="W29" s="7">
        <v>1</v>
      </c>
      <c r="X29" s="26">
        <f ca="1">VLOOKUP($I29,OFFSET([2]enemies!$A$1,0,0,COUNTA([2]enemies!$A:$A),MATCH(X$1,[2]enemies!$2:$2,0)-MATCH($I$1,[2]enemies!$2:$2,0)+1),MATCH(X$1,[2]enemies!$2:$2,0)-MATCH($I$1,[2]enemies!$2:$2,0)+1,FALSE)</f>
        <v>1</v>
      </c>
      <c r="Y29" s="36">
        <v>77</v>
      </c>
      <c r="Z29" s="5" t="str">
        <f ca="1">IFERROR(VLOOKUP($Y29,OFFSET([3]characters!$A$1,0,0,COUNTA([3]characters!$A:$A),MATCH(Z$1,[3]characters!$2:$2,0)-MATCH("character_id",[3]characters!$2:$2,0)+1),MATCH(Z$1,[3]characters!$2:$2,0)-MATCH("character_id",[3]characters!$2:$2,0)+1,FALSE),"")</f>
        <v>潜伏型メリッサ</v>
      </c>
      <c r="AA29" s="5">
        <f ca="1">IFERROR(VLOOKUP($Y29,OFFSET([3]characters!$A$1,0,0,COUNTA([3]characters!$A:$A),MATCH(AA$1,[3]characters!$2:$2,0)-MATCH("character_id",[3]characters!$2:$2,0)+1),MATCH(AA$1,[3]characters!$2:$2,0)-MATCH("character_id",[3]characters!$2:$2,0)+1,FALSE),"")</f>
        <v>3</v>
      </c>
      <c r="AB29" s="5" t="str">
        <f ca="1">IFERROR(VLOOKUP($Y29,OFFSET([3]characters!$A$1,0,0,COUNTA([3]characters!$A:$A),MATCH(AB$1,[3]characters!$2:$2,0)-MATCH("character_id",[3]characters!$2:$2,0)+1),MATCH(AB$1,[3]characters!$2:$2,0)-MATCH("character_id",[3]characters!$2:$2,0)+1,FALSE),"")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29" s="34">
        <v>1</v>
      </c>
      <c r="AD29" s="34">
        <f t="shared" ref="AD29" ca="1" si="21">AA29</f>
        <v>3</v>
      </c>
      <c r="AE29" s="9">
        <v>0</v>
      </c>
      <c r="AF29" s="34">
        <v>0</v>
      </c>
      <c r="AG29" s="34">
        <v>0</v>
      </c>
      <c r="AH29" s="34">
        <v>0</v>
      </c>
      <c r="AI29" s="34">
        <v>0</v>
      </c>
      <c r="AJ29" s="34">
        <v>1</v>
      </c>
    </row>
    <row r="30" spans="1:36" ht="21" customHeight="1">
      <c r="A30" s="21" t="str">
        <f t="shared" si="0"/>
        <v>10025_1-1/25&lt;lv30&gt;</v>
      </c>
      <c r="B30" s="31">
        <v>10025</v>
      </c>
      <c r="C30" s="35">
        <v>1</v>
      </c>
      <c r="D30" s="20" t="str">
        <f t="shared" ref="D30:D38" si="22">B30&amp;"_"&amp;C30</f>
        <v>10025_1</v>
      </c>
      <c r="E30" s="5" t="str">
        <f ca="1">VLOOKUP($B30,OFFSET([1]quests!$A$1,0,0,COUNTA([1]quests!$A:$A),MATCH(E$1,[1]quests!$1:$1,0)-MATCH($B$1,[1]quests!$1:$1,0)+1),MATCH(E$1,[1]quests!$1:$1,0)-MATCH($B$1,[1]quests!$1:$1,0)+1,FALSE)</f>
        <v>イブとトモダチと狼男</v>
      </c>
      <c r="F30" s="5" t="str">
        <f ca="1">VLOOKUP($D30,OFFSET([1]stages!$A$1,0,0,COUNTA([1]stages!$A:$A),MATCH(F$1,[1]stages!$2:$2,0)-MATCH($D$1,[1]stages!$2:$2,0)+1),MATCH(F$1,[1]stages!$2:$2,0)-MATCH($D$1,[1]stages!$2:$2,0)+1,FALSE)</f>
        <v>イブとトモダチと狼男</v>
      </c>
      <c r="G30" s="35">
        <v>1</v>
      </c>
      <c r="H30" s="20" t="str">
        <f t="shared" ref="H30:H38" si="23">B30&amp;"_"&amp;C30&amp;"-"&amp;G30</f>
        <v>10025_1-1</v>
      </c>
      <c r="I30" s="37">
        <v>25</v>
      </c>
      <c r="J30" s="26" t="str">
        <f ca="1">VLOOKUP($I30,OFFSET([2]enemies!$A$1,0,0,COUNTA([2]enemies!$A:$A),MATCH(J$1,[2]enemies!$2:$2,0)-MATCH($I$1,[2]enemies!$2:$2,0)+1),MATCH(J$1,[2]enemies!$2:$2,0)-MATCH($I$1,[2]enemies!$2:$2,0)+1,FALSE)</f>
        <v>ハチ</v>
      </c>
      <c r="K30" s="29" t="str">
        <f ca="1">VLOOKUP($I30,OFFSET([2]enemies!$A$1,0,0,COUNTA([2]enemies!$A:$A),MATCH(K$1,[2]enemies!$2:$2,0)-MATCH($I$1,[2]enemies!$2:$2,0)+1),MATCH(K$1,[2]enemies!$2:$2,0)-MATCH($I$1,[2]enemies!$2:$2,0)+1,FALSE)</f>
        <v>blue</v>
      </c>
      <c r="L30" s="29" t="str">
        <f ca="1">VLOOKUP($I30,OFFSET([3]characters!$A$1,0,0,COUNTA([3]characters!$A:$A),MATCH(L$1,[3]characters!$2:$2,0)-MATCH($I$1,[3]characters!$2:$2,0)+1),MATCH(L$1,[3]characters!$2:$2,0)-MATCH($I$1,[3]characters!$2:$2,0)+1,FALSE)</f>
        <v>Drop1N</v>
      </c>
      <c r="M30" s="28" t="str">
        <f ca="1">VLOOKUP($I30,OFFSET([3]characters!$A$1,0,0,COUNTA([3]characters!$A:$A),MATCH(M$1,[3]characters!$2:$2,0)-MATCH($I$1,[3]characters!$2:$2,0)+2),MATCH(M$1,[3]characters!$2:$2,0)-MATCH($I$1,[3]characters!$2:$2,0)+2,FALSE)</f>
        <v>アニマル</v>
      </c>
      <c r="N30" s="5">
        <f ca="1">VLOOKUP($I30,OFFSET([2]enemies!$A$1,0,0,COUNTA([2]enemies!$A:$A),MATCH(N$1,[2]enemies!$2:$2,0)-MATCH($I$1,[2]enemies!$2:$2,0)+1),MATCH(N$1,[2]enemies!$2:$2,0)-MATCH($I$1,[2]enemies!$2:$2,0)+1,FALSE)</f>
        <v>15</v>
      </c>
      <c r="O30" s="6">
        <v>30</v>
      </c>
      <c r="P30" s="41">
        <v>1</v>
      </c>
      <c r="Q30" s="41">
        <v>1</v>
      </c>
      <c r="R30" s="6">
        <v>0</v>
      </c>
      <c r="S30" s="5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5">
        <f ca="1">VLOOKUP($I30,OFFSET([2]enemies!$A$1,0,0,COUNTA([2]enemies!$A:$A),MATCH(T$1,[2]enemies!$2:$2,0)-MATCH($I$1,[2]enemies!$2:$2,0)+1),MATCH(T$1,[2]enemies!$2:$2,0)-MATCH($I$1,[2]enemies!$2:$2,0)+1,FALSE)</f>
        <v>0</v>
      </c>
      <c r="U30" s="7">
        <v>0</v>
      </c>
      <c r="V30" s="7">
        <v>100</v>
      </c>
      <c r="W30" s="7">
        <v>0</v>
      </c>
      <c r="X30" s="26">
        <f ca="1">VLOOKUP($I30,OFFSET([2]enemies!$A$1,0,0,COUNTA([2]enemies!$A:$A),MATCH(X$1,[2]enemies!$2:$2,0)-MATCH($I$1,[2]enemies!$2:$2,0)+1),MATCH(X$1,[2]enemies!$2:$2,0)-MATCH($I$1,[2]enemies!$2:$2,0)+1,FALSE)</f>
        <v>3</v>
      </c>
      <c r="Y30" s="37">
        <v>25</v>
      </c>
      <c r="Z30" s="5" t="str">
        <f ca="1">IFERROR(VLOOKUP($Y30,OFFSET([3]characters!$A$1,0,0,COUNTA([3]characters!$A:$A),MATCH(Z$1,[3]characters!$2:$2,0)-MATCH("character_id",[3]characters!$2:$2,0)+1),MATCH(Z$1,[3]characters!$2:$2,0)-MATCH("character_id",[3]characters!$2:$2,0)+1,FALSE),"")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30" s="5">
        <f ca="1">IFERROR(VLOOKUP($Y30,OFFSET([3]characters!$A$1,0,0,COUNTA([3]characters!$A:$A),MATCH(AA$1,[3]characters!$2:$2,0)-MATCH("character_id",[3]characters!$2:$2,0)+1),MATCH(AA$1,[3]characters!$2:$2,0)-MATCH("character_id",[3]characters!$2:$2,0)+1,FALSE),"")</f>
        <v>1</v>
      </c>
      <c r="AB30" s="5" t="str">
        <f ca="1">IFERROR(VLOOKUP($Y30,OFFSET([3]characters!$A$1,0,0,COUNTA([3]characters!$A:$A),MATCH(AB$1,[3]characters!$2:$2,0)-MATCH("character_id",[3]characters!$2:$2,0)+1),MATCH(AB$1,[3]characters!$2:$2,0)-MATCH("character_id",[3]characters!$2:$2,0)+1,FALSE),"")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" s="34">
        <v>1</v>
      </c>
      <c r="AD30" s="34">
        <f t="shared" ref="AD30:AD38" ca="1" si="24">AA30</f>
        <v>1</v>
      </c>
      <c r="AE30" s="9">
        <v>25</v>
      </c>
      <c r="AF30" s="34">
        <v>0</v>
      </c>
      <c r="AG30" s="34">
        <v>0</v>
      </c>
      <c r="AH30" s="34">
        <v>0</v>
      </c>
      <c r="AI30" s="34">
        <v>0</v>
      </c>
      <c r="AJ30" s="34">
        <v>1</v>
      </c>
    </row>
    <row r="31" spans="1:36" ht="21" customHeight="1">
      <c r="A31" s="21" t="str">
        <f t="shared" si="0"/>
        <v>10025_1-1/47&lt;lv30&gt;</v>
      </c>
      <c r="B31" s="31">
        <v>10025</v>
      </c>
      <c r="C31" s="35">
        <v>1</v>
      </c>
      <c r="D31" s="20" t="str">
        <f t="shared" si="22"/>
        <v>10025_1</v>
      </c>
      <c r="E31" s="5" t="str">
        <f ca="1">VLOOKUP($B31,OFFSET([1]quests!$A$1,0,0,COUNTA([1]quests!$A:$A),MATCH(E$1,[1]quests!$1:$1,0)-MATCH($B$1,[1]quests!$1:$1,0)+1),MATCH(E$1,[1]quests!$1:$1,0)-MATCH($B$1,[1]quests!$1:$1,0)+1,FALSE)</f>
        <v>イブとトモダチと狼男</v>
      </c>
      <c r="F31" s="5" t="str">
        <f ca="1">VLOOKUP($D31,OFFSET([1]stages!$A$1,0,0,COUNTA([1]stages!$A:$A),MATCH(F$1,[1]stages!$2:$2,0)-MATCH($D$1,[1]stages!$2:$2,0)+1),MATCH(F$1,[1]stages!$2:$2,0)-MATCH($D$1,[1]stages!$2:$2,0)+1,FALSE)</f>
        <v>イブとトモダチと狼男</v>
      </c>
      <c r="G31" s="35">
        <v>1</v>
      </c>
      <c r="H31" s="20" t="str">
        <f t="shared" si="23"/>
        <v>10025_1-1</v>
      </c>
      <c r="I31" s="38">
        <v>47</v>
      </c>
      <c r="J31" s="26" t="str">
        <f ca="1">VLOOKUP($I31,OFFSET([2]enemies!$A$1,0,0,COUNTA([2]enemies!$A:$A),MATCH(J$1,[2]enemies!$2:$2,0)-MATCH($I$1,[2]enemies!$2:$2,0)+1),MATCH(J$1,[2]enemies!$2:$2,0)-MATCH($I$1,[2]enemies!$2:$2,0)+1,FALSE)</f>
        <v>ヒロ</v>
      </c>
      <c r="K31" s="29" t="str">
        <f ca="1">VLOOKUP($I31,OFFSET([2]enemies!$A$1,0,0,COUNTA([2]enemies!$A:$A),MATCH(K$1,[2]enemies!$2:$2,0)-MATCH($I$1,[2]enemies!$2:$2,0)+1),MATCH(K$1,[2]enemies!$2:$2,0)-MATCH($I$1,[2]enemies!$2:$2,0)+1,FALSE)</f>
        <v>yellow</v>
      </c>
      <c r="L31" s="29" t="str">
        <f ca="1">VLOOKUP($I31,OFFSET([3]characters!$A$1,0,0,COUNTA([3]characters!$A:$A),MATCH(L$1,[3]characters!$2:$2,0)-MATCH($I$1,[3]characters!$2:$2,0)+1),MATCH(L$1,[3]characters!$2:$2,0)-MATCH($I$1,[3]characters!$2:$2,0)+1,FALSE)</f>
        <v>Drop1N</v>
      </c>
      <c r="M31" s="28" t="str">
        <f ca="1">VLOOKUP($I31,OFFSET([3]characters!$A$1,0,0,COUNTA([3]characters!$A:$A),MATCH(M$1,[3]characters!$2:$2,0)-MATCH($I$1,[3]characters!$2:$2,0)+2),MATCH(M$1,[3]characters!$2:$2,0)-MATCH($I$1,[3]characters!$2:$2,0)+2,FALSE)</f>
        <v>アニマル</v>
      </c>
      <c r="N31" s="5">
        <f ca="1">VLOOKUP($I31,OFFSET([2]enemies!$A$1,0,0,COUNTA([2]enemies!$A:$A),MATCH(N$1,[2]enemies!$2:$2,0)-MATCH($I$1,[2]enemies!$2:$2,0)+1),MATCH(N$1,[2]enemies!$2:$2,0)-MATCH($I$1,[2]enemies!$2:$2,0)+1,FALSE)</f>
        <v>15</v>
      </c>
      <c r="O31" s="6">
        <v>30</v>
      </c>
      <c r="P31" s="41">
        <v>1</v>
      </c>
      <c r="Q31" s="41">
        <v>1</v>
      </c>
      <c r="R31" s="6">
        <v>0</v>
      </c>
      <c r="S31" s="5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5">
        <f ca="1">VLOOKUP($I31,OFFSET([2]enemies!$A$1,0,0,COUNTA([2]enemies!$A:$A),MATCH(T$1,[2]enemies!$2:$2,0)-MATCH($I$1,[2]enemies!$2:$2,0)+1),MATCH(T$1,[2]enemies!$2:$2,0)-MATCH($I$1,[2]enemies!$2:$2,0)+1,FALSE)</f>
        <v>0</v>
      </c>
      <c r="U31" s="7">
        <v>0</v>
      </c>
      <c r="V31" s="7">
        <v>100</v>
      </c>
      <c r="W31" s="7">
        <v>0</v>
      </c>
      <c r="X31" s="26">
        <f ca="1">VLOOKUP($I31,OFFSET([2]enemies!$A$1,0,0,COUNTA([2]enemies!$A:$A),MATCH(X$1,[2]enemies!$2:$2,0)-MATCH($I$1,[2]enemies!$2:$2,0)+1),MATCH(X$1,[2]enemies!$2:$2,0)-MATCH($I$1,[2]enemies!$2:$2,0)+1,FALSE)</f>
        <v>1</v>
      </c>
      <c r="Y31" s="38">
        <v>47</v>
      </c>
      <c r="Z31" s="5" t="str">
        <f ca="1">IFERROR(VLOOKUP($Y31,OFFSET([3]characters!$A$1,0,0,COUNTA([3]characters!$A:$A),MATCH(Z$1,[3]characters!$2:$2,0)-MATCH("character_id",[3]characters!$2:$2,0)+1),MATCH(Z$1,[3]characters!$2:$2,0)-MATCH("character_id",[3]characters!$2:$2,0)+1,FALSE),"")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1" s="5">
        <f ca="1">IFERROR(VLOOKUP($Y31,OFFSET([3]characters!$A$1,0,0,COUNTA([3]characters!$A:$A),MATCH(AA$1,[3]characters!$2:$2,0)-MATCH("character_id",[3]characters!$2:$2,0)+1),MATCH(AA$1,[3]characters!$2:$2,0)-MATCH("character_id",[3]characters!$2:$2,0)+1,FALSE),"")</f>
        <v>2</v>
      </c>
      <c r="AB31" s="5" t="str">
        <f ca="1">IFERROR(VLOOKUP($Y31,OFFSET([3]characters!$A$1,0,0,COUNTA([3]characters!$A:$A),MATCH(AB$1,[3]characters!$2:$2,0)-MATCH("character_id",[3]characters!$2:$2,0)+1),MATCH(AB$1,[3]characters!$2:$2,0)-MATCH("character_id",[3]characters!$2:$2,0)+1,FALSE),"")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" s="34">
        <v>1</v>
      </c>
      <c r="AD31" s="34">
        <f t="shared" ca="1" si="24"/>
        <v>2</v>
      </c>
      <c r="AE31" s="9">
        <v>25</v>
      </c>
      <c r="AF31" s="34">
        <v>0</v>
      </c>
      <c r="AG31" s="34">
        <v>0</v>
      </c>
      <c r="AH31" s="34">
        <v>0</v>
      </c>
      <c r="AI31" s="34">
        <v>0</v>
      </c>
      <c r="AJ31" s="34">
        <v>1</v>
      </c>
    </row>
    <row r="32" spans="1:36" ht="21" customHeight="1">
      <c r="A32" s="21" t="str">
        <f t="shared" si="0"/>
        <v>10025_1-2/31&lt;lv30&gt;</v>
      </c>
      <c r="B32" s="31">
        <v>10025</v>
      </c>
      <c r="C32" s="35">
        <v>1</v>
      </c>
      <c r="D32" s="20" t="str">
        <f t="shared" si="22"/>
        <v>10025_1</v>
      </c>
      <c r="E32" s="5" t="str">
        <f ca="1">VLOOKUP($B32,OFFSET([1]quests!$A$1,0,0,COUNTA([1]quests!$A:$A),MATCH(E$1,[1]quests!$1:$1,0)-MATCH($B$1,[1]quests!$1:$1,0)+1),MATCH(E$1,[1]quests!$1:$1,0)-MATCH($B$1,[1]quests!$1:$1,0)+1,FALSE)</f>
        <v>イブとトモダチと狼男</v>
      </c>
      <c r="F32" s="5" t="str">
        <f ca="1">VLOOKUP($D32,OFFSET([1]stages!$A$1,0,0,COUNTA([1]stages!$A:$A),MATCH(F$1,[1]stages!$2:$2,0)-MATCH($D$1,[1]stages!$2:$2,0)+1),MATCH(F$1,[1]stages!$2:$2,0)-MATCH($D$1,[1]stages!$2:$2,0)+1,FALSE)</f>
        <v>イブとトモダチと狼男</v>
      </c>
      <c r="G32" s="35">
        <v>2</v>
      </c>
      <c r="H32" s="20" t="str">
        <f t="shared" si="23"/>
        <v>10025_1-2</v>
      </c>
      <c r="I32" s="36">
        <v>31</v>
      </c>
      <c r="J32" s="26" t="str">
        <f ca="1">VLOOKUP($I32,OFFSET([2]enemies!$A$1,0,0,COUNTA([2]enemies!$A:$A),MATCH(J$1,[2]enemies!$2:$2,0)-MATCH($I$1,[2]enemies!$2:$2,0)+1),MATCH(J$1,[2]enemies!$2:$2,0)-MATCH($I$1,[2]enemies!$2:$2,0)+1,FALSE)</f>
        <v>マービー</v>
      </c>
      <c r="K32" s="29" t="str">
        <f ca="1">VLOOKUP($I32,OFFSET([2]enemies!$A$1,0,0,COUNTA([2]enemies!$A:$A),MATCH(K$1,[2]enemies!$2:$2,0)-MATCH($I$1,[2]enemies!$2:$2,0)+1),MATCH(K$1,[2]enemies!$2:$2,0)-MATCH($I$1,[2]enemies!$2:$2,0)+1,FALSE)</f>
        <v>yellow</v>
      </c>
      <c r="L32" s="29" t="str">
        <f ca="1">VLOOKUP($I32,OFFSET([3]characters!$A$1,0,0,COUNTA([3]characters!$A:$A),MATCH(L$1,[3]characters!$2:$2,0)-MATCH($I$1,[3]characters!$2:$2,0)+1),MATCH(L$1,[3]characters!$2:$2,0)-MATCH($I$1,[3]characters!$2:$2,0)+1,FALSE)</f>
        <v>Drop1N</v>
      </c>
      <c r="M32" s="28" t="str">
        <f ca="1">VLOOKUP($I32,OFFSET([3]characters!$A$1,0,0,COUNTA([3]characters!$A:$A),MATCH(M$1,[3]characters!$2:$2,0)-MATCH($I$1,[3]characters!$2:$2,0)+2),MATCH(M$1,[3]characters!$2:$2,0)-MATCH($I$1,[3]characters!$2:$2,0)+2,FALSE)</f>
        <v>マシン</v>
      </c>
      <c r="N32" s="5">
        <f ca="1">VLOOKUP($I32,OFFSET([2]enemies!$A$1,0,0,COUNTA([2]enemies!$A:$A),MATCH(N$1,[2]enemies!$2:$2,0)-MATCH($I$1,[2]enemies!$2:$2,0)+1),MATCH(N$1,[2]enemies!$2:$2,0)-MATCH($I$1,[2]enemies!$2:$2,0)+1,FALSE)</f>
        <v>15</v>
      </c>
      <c r="O32" s="6">
        <v>30</v>
      </c>
      <c r="P32" s="41">
        <v>1</v>
      </c>
      <c r="Q32" s="41">
        <v>1</v>
      </c>
      <c r="R32" s="6">
        <v>0</v>
      </c>
      <c r="S32" s="5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5">
        <f ca="1">VLOOKUP($I32,OFFSET([2]enemies!$A$1,0,0,COUNTA([2]enemies!$A:$A),MATCH(T$1,[2]enemies!$2:$2,0)-MATCH($I$1,[2]enemies!$2:$2,0)+1),MATCH(T$1,[2]enemies!$2:$2,0)-MATCH($I$1,[2]enemies!$2:$2,0)+1,FALSE)</f>
        <v>0</v>
      </c>
      <c r="U32" s="7">
        <v>0</v>
      </c>
      <c r="V32" s="7">
        <v>100</v>
      </c>
      <c r="W32" s="7">
        <v>0</v>
      </c>
      <c r="X32" s="26">
        <f ca="1">VLOOKUP($I32,OFFSET([2]enemies!$A$1,0,0,COUNTA([2]enemies!$A:$A),MATCH(X$1,[2]enemies!$2:$2,0)-MATCH($I$1,[2]enemies!$2:$2,0)+1),MATCH(X$1,[2]enemies!$2:$2,0)-MATCH($I$1,[2]enemies!$2:$2,0)+1,FALSE)</f>
        <v>2</v>
      </c>
      <c r="Y32" s="36">
        <v>31</v>
      </c>
      <c r="Z32" s="5" t="str">
        <f ca="1">IFERROR(VLOOKUP($Y32,OFFSET([3]characters!$A$1,0,0,COUNTA([3]characters!$A:$A),MATCH(Z$1,[3]characters!$2:$2,0)-MATCH("character_id",[3]characters!$2:$2,0)+1),MATCH(Z$1,[3]characters!$2:$2,0)-MATCH("character_id",[3]characters!$2:$2,0)+1,FALSE),"")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2" s="5">
        <f ca="1">IFERROR(VLOOKUP($Y32,OFFSET([3]characters!$A$1,0,0,COUNTA([3]characters!$A:$A),MATCH(AA$1,[3]characters!$2:$2,0)-MATCH("character_id",[3]characters!$2:$2,0)+1),MATCH(AA$1,[3]characters!$2:$2,0)-MATCH("character_id",[3]characters!$2:$2,0)+1,FALSE),"")</f>
        <v>1</v>
      </c>
      <c r="AB32" s="5" t="str">
        <f ca="1">IFERROR(VLOOKUP($Y32,OFFSET([3]characters!$A$1,0,0,COUNTA([3]characters!$A:$A),MATCH(AB$1,[3]characters!$2:$2,0)-MATCH("character_id",[3]characters!$2:$2,0)+1),MATCH(AB$1,[3]characters!$2:$2,0)-MATCH("character_id",[3]characters!$2:$2,0)+1,FALSE),"")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" s="34">
        <v>1</v>
      </c>
      <c r="AD32" s="34">
        <f t="shared" ca="1" si="24"/>
        <v>1</v>
      </c>
      <c r="AE32" s="9">
        <v>25</v>
      </c>
      <c r="AF32" s="34">
        <v>0</v>
      </c>
      <c r="AG32" s="34">
        <v>0</v>
      </c>
      <c r="AH32" s="34">
        <v>0</v>
      </c>
      <c r="AI32" s="34">
        <v>0</v>
      </c>
      <c r="AJ32" s="34">
        <v>1</v>
      </c>
    </row>
    <row r="33" spans="1:36" ht="21" customHeight="1">
      <c r="A33" s="21" t="str">
        <f t="shared" si="0"/>
        <v>10025_1-2/17&lt;lv30&gt;</v>
      </c>
      <c r="B33" s="31">
        <v>10025</v>
      </c>
      <c r="C33" s="35">
        <v>1</v>
      </c>
      <c r="D33" s="20" t="str">
        <f t="shared" si="22"/>
        <v>10025_1</v>
      </c>
      <c r="E33" s="5" t="str">
        <f ca="1">VLOOKUP($B33,OFFSET([1]quests!$A$1,0,0,COUNTA([1]quests!$A:$A),MATCH(E$1,[1]quests!$1:$1,0)-MATCH($B$1,[1]quests!$1:$1,0)+1),MATCH(E$1,[1]quests!$1:$1,0)-MATCH($B$1,[1]quests!$1:$1,0)+1,FALSE)</f>
        <v>イブとトモダチと狼男</v>
      </c>
      <c r="F33" s="5" t="str">
        <f ca="1">VLOOKUP($D33,OFFSET([1]stages!$A$1,0,0,COUNTA([1]stages!$A:$A),MATCH(F$1,[1]stages!$2:$2,0)-MATCH($D$1,[1]stages!$2:$2,0)+1),MATCH(F$1,[1]stages!$2:$2,0)-MATCH($D$1,[1]stages!$2:$2,0)+1,FALSE)</f>
        <v>イブとトモダチと狼男</v>
      </c>
      <c r="G33" s="35">
        <v>2</v>
      </c>
      <c r="H33" s="20" t="str">
        <f t="shared" si="23"/>
        <v>10025_1-2</v>
      </c>
      <c r="I33" s="37">
        <v>17</v>
      </c>
      <c r="J33" s="26" t="str">
        <f ca="1">VLOOKUP($I33,OFFSET([2]enemies!$A$1,0,0,COUNTA([2]enemies!$A:$A),MATCH(J$1,[2]enemies!$2:$2,0)-MATCH($I$1,[2]enemies!$2:$2,0)+1),MATCH(J$1,[2]enemies!$2:$2,0)-MATCH($I$1,[2]enemies!$2:$2,0)+1,FALSE)</f>
        <v>リム</v>
      </c>
      <c r="K33" s="29" t="str">
        <f ca="1">VLOOKUP($I33,OFFSET([2]enemies!$A$1,0,0,COUNTA([2]enemies!$A:$A),MATCH(K$1,[2]enemies!$2:$2,0)-MATCH($I$1,[2]enemies!$2:$2,0)+1),MATCH(K$1,[2]enemies!$2:$2,0)-MATCH($I$1,[2]enemies!$2:$2,0)+1,FALSE)</f>
        <v>blue</v>
      </c>
      <c r="L33" s="29" t="str">
        <f ca="1">VLOOKUP($I33,OFFSET([3]characters!$A$1,0,0,COUNTA([3]characters!$A:$A),MATCH(L$1,[3]characters!$2:$2,0)-MATCH($I$1,[3]characters!$2:$2,0)+1),MATCH(L$1,[3]characters!$2:$2,0)-MATCH($I$1,[3]characters!$2:$2,0)+1,FALSE)</f>
        <v>Drop1W</v>
      </c>
      <c r="M33" s="28" t="str">
        <f ca="1">VLOOKUP($I33,OFFSET([3]characters!$A$1,0,0,COUNTA([3]characters!$A:$A),MATCH(M$1,[3]characters!$2:$2,0)-MATCH($I$1,[3]characters!$2:$2,0)+2),MATCH(M$1,[3]characters!$2:$2,0)-MATCH($I$1,[3]characters!$2:$2,0)+2,FALSE)</f>
        <v>ヒューマン</v>
      </c>
      <c r="N33" s="5">
        <f ca="1">VLOOKUP($I33,OFFSET([2]enemies!$A$1,0,0,COUNTA([2]enemies!$A:$A),MATCH(N$1,[2]enemies!$2:$2,0)-MATCH($I$1,[2]enemies!$2:$2,0)+1),MATCH(N$1,[2]enemies!$2:$2,0)-MATCH($I$1,[2]enemies!$2:$2,0)+1,FALSE)</f>
        <v>15</v>
      </c>
      <c r="O33" s="6">
        <v>30</v>
      </c>
      <c r="P33" s="41">
        <v>1</v>
      </c>
      <c r="Q33" s="41">
        <v>1</v>
      </c>
      <c r="R33" s="6">
        <v>0</v>
      </c>
      <c r="S33" s="5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5">
        <f ca="1">VLOOKUP($I33,OFFSET([2]enemies!$A$1,0,0,COUNTA([2]enemies!$A:$A),MATCH(T$1,[2]enemies!$2:$2,0)-MATCH($I$1,[2]enemies!$2:$2,0)+1),MATCH(T$1,[2]enemies!$2:$2,0)-MATCH($I$1,[2]enemies!$2:$2,0)+1,FALSE)</f>
        <v>0</v>
      </c>
      <c r="U33" s="7">
        <v>0</v>
      </c>
      <c r="V33" s="7">
        <v>100</v>
      </c>
      <c r="W33" s="7">
        <v>0</v>
      </c>
      <c r="X33" s="26">
        <f ca="1">VLOOKUP($I33,OFFSET([2]enemies!$A$1,0,0,COUNTA([2]enemies!$A:$A),MATCH(X$1,[2]enemies!$2:$2,0)-MATCH($I$1,[2]enemies!$2:$2,0)+1),MATCH(X$1,[2]enemies!$2:$2,0)-MATCH($I$1,[2]enemies!$2:$2,0)+1,FALSE)</f>
        <v>2</v>
      </c>
      <c r="Y33" s="37">
        <v>17</v>
      </c>
      <c r="Z33" s="5" t="str">
        <f ca="1">IFERROR(VLOOKUP($Y33,OFFSET([3]characters!$A$1,0,0,COUNTA([3]characters!$A:$A),MATCH(Z$1,[3]characters!$2:$2,0)-MATCH("character_id",[3]characters!$2:$2,0)+1),MATCH(Z$1,[3]characters!$2:$2,0)-MATCH("character_id",[3]characters!$2:$2,0)+1,FALSE),"")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33" s="5">
        <f ca="1">IFERROR(VLOOKUP($Y33,OFFSET([3]characters!$A$1,0,0,COUNTA([3]characters!$A:$A),MATCH(AA$1,[3]characters!$2:$2,0)-MATCH("character_id",[3]characters!$2:$2,0)+1),MATCH(AA$1,[3]characters!$2:$2,0)-MATCH("character_id",[3]characters!$2:$2,0)+1,FALSE),"")</f>
        <v>1</v>
      </c>
      <c r="AB33" s="5" t="str">
        <f ca="1">IFERROR(VLOOKUP($Y33,OFFSET([3]characters!$A$1,0,0,COUNTA([3]characters!$A:$A),MATCH(AB$1,[3]characters!$2:$2,0)-MATCH("character_id",[3]characters!$2:$2,0)+1),MATCH(AB$1,[3]characters!$2:$2,0)-MATCH("character_id",[3]characters!$2:$2,0)+1,FALSE),"")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3" s="34">
        <v>1</v>
      </c>
      <c r="AD33" s="34">
        <f t="shared" ca="1" si="24"/>
        <v>1</v>
      </c>
      <c r="AE33" s="9">
        <v>25</v>
      </c>
      <c r="AF33" s="34">
        <v>0</v>
      </c>
      <c r="AG33" s="34">
        <v>0</v>
      </c>
      <c r="AH33" s="34">
        <v>0</v>
      </c>
      <c r="AI33" s="34">
        <v>0</v>
      </c>
      <c r="AJ33" s="34">
        <v>1</v>
      </c>
    </row>
    <row r="34" spans="1:36" ht="21" customHeight="1">
      <c r="A34" s="21" t="str">
        <f t="shared" si="0"/>
        <v>10025_1-2/19&lt;lv30&gt;</v>
      </c>
      <c r="B34" s="31">
        <v>10025</v>
      </c>
      <c r="C34" s="35">
        <v>1</v>
      </c>
      <c r="D34" s="20" t="str">
        <f t="shared" si="22"/>
        <v>10025_1</v>
      </c>
      <c r="E34" s="5" t="str">
        <f ca="1">VLOOKUP($B34,OFFSET([1]quests!$A$1,0,0,COUNTA([1]quests!$A:$A),MATCH(E$1,[1]quests!$1:$1,0)-MATCH($B$1,[1]quests!$1:$1,0)+1),MATCH(E$1,[1]quests!$1:$1,0)-MATCH($B$1,[1]quests!$1:$1,0)+1,FALSE)</f>
        <v>イブとトモダチと狼男</v>
      </c>
      <c r="F34" s="5" t="str">
        <f ca="1">VLOOKUP($D34,OFFSET([1]stages!$A$1,0,0,COUNTA([1]stages!$A:$A),MATCH(F$1,[1]stages!$2:$2,0)-MATCH($D$1,[1]stages!$2:$2,0)+1),MATCH(F$1,[1]stages!$2:$2,0)-MATCH($D$1,[1]stages!$2:$2,0)+1,FALSE)</f>
        <v>イブとトモダチと狼男</v>
      </c>
      <c r="G34" s="35">
        <v>2</v>
      </c>
      <c r="H34" s="20" t="str">
        <f t="shared" si="23"/>
        <v>10025_1-2</v>
      </c>
      <c r="I34" s="36">
        <v>19</v>
      </c>
      <c r="J34" s="26" t="str">
        <f ca="1">VLOOKUP($I34,OFFSET([2]enemies!$A$1,0,0,COUNTA([2]enemies!$A:$A),MATCH(J$1,[2]enemies!$2:$2,0)-MATCH($I$1,[2]enemies!$2:$2,0)+1),MATCH(J$1,[2]enemies!$2:$2,0)-MATCH($I$1,[2]enemies!$2:$2,0)+1,FALSE)</f>
        <v>ティンク</v>
      </c>
      <c r="K34" s="29" t="str">
        <f ca="1">VLOOKUP($I34,OFFSET([2]enemies!$A$1,0,0,COUNTA([2]enemies!$A:$A),MATCH(K$1,[2]enemies!$2:$2,0)-MATCH($I$1,[2]enemies!$2:$2,0)+1),MATCH(K$1,[2]enemies!$2:$2,0)-MATCH($I$1,[2]enemies!$2:$2,0)+1,FALSE)</f>
        <v>yellow</v>
      </c>
      <c r="L34" s="29" t="str">
        <f ca="1">VLOOKUP($I34,OFFSET([3]characters!$A$1,0,0,COUNTA([3]characters!$A:$A),MATCH(L$1,[3]characters!$2:$2,0)-MATCH($I$1,[3]characters!$2:$2,0)+1),MATCH(L$1,[3]characters!$2:$2,0)-MATCH($I$1,[3]characters!$2:$2,0)+1,FALSE)</f>
        <v>Drop1W</v>
      </c>
      <c r="M34" s="28" t="str">
        <f ca="1">VLOOKUP($I34,OFFSET([3]characters!$A$1,0,0,COUNTA([3]characters!$A:$A),MATCH(M$1,[3]characters!$2:$2,0)-MATCH($I$1,[3]characters!$2:$2,0)+2),MATCH(M$1,[3]characters!$2:$2,0)-MATCH($I$1,[3]characters!$2:$2,0)+2,FALSE)</f>
        <v>ヒューマン</v>
      </c>
      <c r="N34" s="5">
        <f ca="1">VLOOKUP($I34,OFFSET([2]enemies!$A$1,0,0,COUNTA([2]enemies!$A:$A),MATCH(N$1,[2]enemies!$2:$2,0)-MATCH($I$1,[2]enemies!$2:$2,0)+1),MATCH(N$1,[2]enemies!$2:$2,0)-MATCH($I$1,[2]enemies!$2:$2,0)+1,FALSE)</f>
        <v>15</v>
      </c>
      <c r="O34" s="6">
        <v>30</v>
      </c>
      <c r="P34" s="41">
        <v>1</v>
      </c>
      <c r="Q34" s="41">
        <v>1</v>
      </c>
      <c r="R34" s="6">
        <v>0</v>
      </c>
      <c r="S34" s="5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5">
        <f ca="1">VLOOKUP($I34,OFFSET([2]enemies!$A$1,0,0,COUNTA([2]enemies!$A:$A),MATCH(T$1,[2]enemies!$2:$2,0)-MATCH($I$1,[2]enemies!$2:$2,0)+1),MATCH(T$1,[2]enemies!$2:$2,0)-MATCH($I$1,[2]enemies!$2:$2,0)+1,FALSE)</f>
        <v>0</v>
      </c>
      <c r="U34" s="7">
        <v>0</v>
      </c>
      <c r="V34" s="7">
        <v>100</v>
      </c>
      <c r="W34" s="7">
        <v>0</v>
      </c>
      <c r="X34" s="26">
        <f ca="1">VLOOKUP($I34,OFFSET([2]enemies!$A$1,0,0,COUNTA([2]enemies!$A:$A),MATCH(X$1,[2]enemies!$2:$2,0)-MATCH($I$1,[2]enemies!$2:$2,0)+1),MATCH(X$1,[2]enemies!$2:$2,0)-MATCH($I$1,[2]enemies!$2:$2,0)+1,FALSE)</f>
        <v>3</v>
      </c>
      <c r="Y34" s="36">
        <v>19</v>
      </c>
      <c r="Z34" s="5" t="str">
        <f ca="1">IFERROR(VLOOKUP($Y34,OFFSET([3]characters!$A$1,0,0,COUNTA([3]characters!$A:$A),MATCH(Z$1,[3]characters!$2:$2,0)-MATCH("character_id",[3]characters!$2:$2,0)+1),MATCH(Z$1,[3]characters!$2:$2,0)-MATCH("character_id",[3]characters!$2:$2,0)+1,FALSE),"")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4" s="5">
        <f ca="1">IFERROR(VLOOKUP($Y34,OFFSET([3]characters!$A$1,0,0,COUNTA([3]characters!$A:$A),MATCH(AA$1,[3]characters!$2:$2,0)-MATCH("character_id",[3]characters!$2:$2,0)+1),MATCH(AA$1,[3]characters!$2:$2,0)-MATCH("character_id",[3]characters!$2:$2,0)+1,FALSE),"")</f>
        <v>1</v>
      </c>
      <c r="AB34" s="5" t="str">
        <f ca="1">IFERROR(VLOOKUP($Y34,OFFSET([3]characters!$A$1,0,0,COUNTA([3]characters!$A:$A),MATCH(AB$1,[3]characters!$2:$2,0)-MATCH("character_id",[3]characters!$2:$2,0)+1),MATCH(AB$1,[3]characters!$2:$2,0)-MATCH("character_id",[3]characters!$2:$2,0)+1,FALSE),"")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4" s="34">
        <v>1</v>
      </c>
      <c r="AD34" s="34">
        <f t="shared" ca="1" si="24"/>
        <v>1</v>
      </c>
      <c r="AE34" s="9">
        <v>25</v>
      </c>
      <c r="AF34" s="34">
        <v>0</v>
      </c>
      <c r="AG34" s="34">
        <v>0</v>
      </c>
      <c r="AH34" s="34">
        <v>0</v>
      </c>
      <c r="AI34" s="34">
        <v>0</v>
      </c>
      <c r="AJ34" s="34">
        <v>1</v>
      </c>
    </row>
    <row r="35" spans="1:36" ht="21" customHeight="1">
      <c r="A35" s="21" t="str">
        <f t="shared" si="0"/>
        <v>10025_1-3/25&lt;lv30&gt;</v>
      </c>
      <c r="B35" s="31">
        <v>10025</v>
      </c>
      <c r="C35" s="35">
        <v>1</v>
      </c>
      <c r="D35" s="20" t="str">
        <f t="shared" si="22"/>
        <v>10025_1</v>
      </c>
      <c r="E35" s="5" t="str">
        <f ca="1">VLOOKUP($B35,OFFSET([1]quests!$A$1,0,0,COUNTA([1]quests!$A:$A),MATCH(E$1,[1]quests!$1:$1,0)-MATCH($B$1,[1]quests!$1:$1,0)+1),MATCH(E$1,[1]quests!$1:$1,0)-MATCH($B$1,[1]quests!$1:$1,0)+1,FALSE)</f>
        <v>イブとトモダチと狼男</v>
      </c>
      <c r="F35" s="5" t="str">
        <f ca="1">VLOOKUP($D35,OFFSET([1]stages!$A$1,0,0,COUNTA([1]stages!$A:$A),MATCH(F$1,[1]stages!$2:$2,0)-MATCH($D$1,[1]stages!$2:$2,0)+1),MATCH(F$1,[1]stages!$2:$2,0)-MATCH($D$1,[1]stages!$2:$2,0)+1,FALSE)</f>
        <v>イブとトモダチと狼男</v>
      </c>
      <c r="G35" s="35">
        <v>3</v>
      </c>
      <c r="H35" s="20" t="str">
        <f t="shared" si="23"/>
        <v>10025_1-3</v>
      </c>
      <c r="I35" s="37">
        <v>25</v>
      </c>
      <c r="J35" s="26" t="str">
        <f ca="1">VLOOKUP($I35,OFFSET([2]enemies!$A$1,0,0,COUNTA([2]enemies!$A:$A),MATCH(J$1,[2]enemies!$2:$2,0)-MATCH($I$1,[2]enemies!$2:$2,0)+1),MATCH(J$1,[2]enemies!$2:$2,0)-MATCH($I$1,[2]enemies!$2:$2,0)+1,FALSE)</f>
        <v>ハチ</v>
      </c>
      <c r="K35" s="29" t="str">
        <f ca="1">VLOOKUP($I35,OFFSET([2]enemies!$A$1,0,0,COUNTA([2]enemies!$A:$A),MATCH(K$1,[2]enemies!$2:$2,0)-MATCH($I$1,[2]enemies!$2:$2,0)+1),MATCH(K$1,[2]enemies!$2:$2,0)-MATCH($I$1,[2]enemies!$2:$2,0)+1,FALSE)</f>
        <v>blue</v>
      </c>
      <c r="L35" s="29" t="str">
        <f ca="1">VLOOKUP($I35,OFFSET([3]characters!$A$1,0,0,COUNTA([3]characters!$A:$A),MATCH(L$1,[3]characters!$2:$2,0)-MATCH($I$1,[3]characters!$2:$2,0)+1),MATCH(L$1,[3]characters!$2:$2,0)-MATCH($I$1,[3]characters!$2:$2,0)+1,FALSE)</f>
        <v>Drop1N</v>
      </c>
      <c r="M35" s="28" t="str">
        <f ca="1">VLOOKUP($I35,OFFSET([3]characters!$A$1,0,0,COUNTA([3]characters!$A:$A),MATCH(M$1,[3]characters!$2:$2,0)-MATCH($I$1,[3]characters!$2:$2,0)+2),MATCH(M$1,[3]characters!$2:$2,0)-MATCH($I$1,[3]characters!$2:$2,0)+2,FALSE)</f>
        <v>アニマル</v>
      </c>
      <c r="N35" s="5">
        <f ca="1">VLOOKUP($I35,OFFSET([2]enemies!$A$1,0,0,COUNTA([2]enemies!$A:$A),MATCH(N$1,[2]enemies!$2:$2,0)-MATCH($I$1,[2]enemies!$2:$2,0)+1),MATCH(N$1,[2]enemies!$2:$2,0)-MATCH($I$1,[2]enemies!$2:$2,0)+1,FALSE)</f>
        <v>15</v>
      </c>
      <c r="O35" s="6">
        <v>30</v>
      </c>
      <c r="P35" s="41">
        <v>1</v>
      </c>
      <c r="Q35" s="41">
        <v>1</v>
      </c>
      <c r="R35" s="6">
        <v>0</v>
      </c>
      <c r="S35" s="5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" s="5">
        <f ca="1">VLOOKUP($I35,OFFSET([2]enemies!$A$1,0,0,COUNTA([2]enemies!$A:$A),MATCH(T$1,[2]enemies!$2:$2,0)-MATCH($I$1,[2]enemies!$2:$2,0)+1),MATCH(T$1,[2]enemies!$2:$2,0)-MATCH($I$1,[2]enemies!$2:$2,0)+1,FALSE)</f>
        <v>0</v>
      </c>
      <c r="U35" s="7">
        <v>0</v>
      </c>
      <c r="V35" s="7">
        <v>100</v>
      </c>
      <c r="W35" s="7">
        <v>0</v>
      </c>
      <c r="X35" s="26">
        <f ca="1">VLOOKUP($I35,OFFSET([2]enemies!$A$1,0,0,COUNTA([2]enemies!$A:$A),MATCH(X$1,[2]enemies!$2:$2,0)-MATCH($I$1,[2]enemies!$2:$2,0)+1),MATCH(X$1,[2]enemies!$2:$2,0)-MATCH($I$1,[2]enemies!$2:$2,0)+1,FALSE)</f>
        <v>3</v>
      </c>
      <c r="Y35" s="37">
        <v>25</v>
      </c>
      <c r="Z35" s="5" t="str">
        <f ca="1">IFERROR(VLOOKUP($Y35,OFFSET([3]characters!$A$1,0,0,COUNTA([3]characters!$A:$A),MATCH(Z$1,[3]characters!$2:$2,0)-MATCH("character_id",[3]characters!$2:$2,0)+1),MATCH(Z$1,[3]characters!$2:$2,0)-MATCH("character_id",[3]characters!$2:$2,0)+1,FALSE),"")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35" s="5">
        <f ca="1">IFERROR(VLOOKUP($Y35,OFFSET([3]characters!$A$1,0,0,COUNTA([3]characters!$A:$A),MATCH(AA$1,[3]characters!$2:$2,0)-MATCH("character_id",[3]characters!$2:$2,0)+1),MATCH(AA$1,[3]characters!$2:$2,0)-MATCH("character_id",[3]characters!$2:$2,0)+1,FALSE),"")</f>
        <v>1</v>
      </c>
      <c r="AB35" s="5" t="str">
        <f ca="1">IFERROR(VLOOKUP($Y35,OFFSET([3]characters!$A$1,0,0,COUNTA([3]characters!$A:$A),MATCH(AB$1,[3]characters!$2:$2,0)-MATCH("character_id",[3]characters!$2:$2,0)+1),MATCH(AB$1,[3]characters!$2:$2,0)-MATCH("character_id",[3]characters!$2:$2,0)+1,FALSE),"")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" s="34">
        <v>1</v>
      </c>
      <c r="AD35" s="34">
        <f t="shared" ca="1" si="24"/>
        <v>1</v>
      </c>
      <c r="AE35" s="9">
        <v>25</v>
      </c>
      <c r="AF35" s="34">
        <v>0</v>
      </c>
      <c r="AG35" s="34">
        <v>0</v>
      </c>
      <c r="AH35" s="34">
        <v>0</v>
      </c>
      <c r="AI35" s="34">
        <v>0</v>
      </c>
      <c r="AJ35" s="34">
        <v>1</v>
      </c>
    </row>
    <row r="36" spans="1:36" ht="21" customHeight="1">
      <c r="A36" s="21" t="str">
        <f t="shared" si="0"/>
        <v>10025_1-3/47&lt;lv30&gt;</v>
      </c>
      <c r="B36" s="31">
        <v>10025</v>
      </c>
      <c r="C36" s="35">
        <v>1</v>
      </c>
      <c r="D36" s="20" t="str">
        <f t="shared" si="22"/>
        <v>10025_1</v>
      </c>
      <c r="E36" s="5" t="str">
        <f ca="1">VLOOKUP($B36,OFFSET([1]quests!$A$1,0,0,COUNTA([1]quests!$A:$A),MATCH(E$1,[1]quests!$1:$1,0)-MATCH($B$1,[1]quests!$1:$1,0)+1),MATCH(E$1,[1]quests!$1:$1,0)-MATCH($B$1,[1]quests!$1:$1,0)+1,FALSE)</f>
        <v>イブとトモダチと狼男</v>
      </c>
      <c r="F36" s="5" t="str">
        <f ca="1">VLOOKUP($D36,OFFSET([1]stages!$A$1,0,0,COUNTA([1]stages!$A:$A),MATCH(F$1,[1]stages!$2:$2,0)-MATCH($D$1,[1]stages!$2:$2,0)+1),MATCH(F$1,[1]stages!$2:$2,0)-MATCH($D$1,[1]stages!$2:$2,0)+1,FALSE)</f>
        <v>イブとトモダチと狼男</v>
      </c>
      <c r="G36" s="35">
        <v>3</v>
      </c>
      <c r="H36" s="20" t="str">
        <f t="shared" si="23"/>
        <v>10025_1-3</v>
      </c>
      <c r="I36" s="38">
        <v>47</v>
      </c>
      <c r="J36" s="26" t="str">
        <f ca="1">VLOOKUP($I36,OFFSET([2]enemies!$A$1,0,0,COUNTA([2]enemies!$A:$A),MATCH(J$1,[2]enemies!$2:$2,0)-MATCH($I$1,[2]enemies!$2:$2,0)+1),MATCH(J$1,[2]enemies!$2:$2,0)-MATCH($I$1,[2]enemies!$2:$2,0)+1,FALSE)</f>
        <v>ヒロ</v>
      </c>
      <c r="K36" s="29" t="str">
        <f ca="1">VLOOKUP($I36,OFFSET([2]enemies!$A$1,0,0,COUNTA([2]enemies!$A:$A),MATCH(K$1,[2]enemies!$2:$2,0)-MATCH($I$1,[2]enemies!$2:$2,0)+1),MATCH(K$1,[2]enemies!$2:$2,0)-MATCH($I$1,[2]enemies!$2:$2,0)+1,FALSE)</f>
        <v>yellow</v>
      </c>
      <c r="L36" s="29" t="str">
        <f ca="1">VLOOKUP($I36,OFFSET([3]characters!$A$1,0,0,COUNTA([3]characters!$A:$A),MATCH(L$1,[3]characters!$2:$2,0)-MATCH($I$1,[3]characters!$2:$2,0)+1),MATCH(L$1,[3]characters!$2:$2,0)-MATCH($I$1,[3]characters!$2:$2,0)+1,FALSE)</f>
        <v>Drop1N</v>
      </c>
      <c r="M36" s="28" t="str">
        <f ca="1">VLOOKUP($I36,OFFSET([3]characters!$A$1,0,0,COUNTA([3]characters!$A:$A),MATCH(M$1,[3]characters!$2:$2,0)-MATCH($I$1,[3]characters!$2:$2,0)+2),MATCH(M$1,[3]characters!$2:$2,0)-MATCH($I$1,[3]characters!$2:$2,0)+2,FALSE)</f>
        <v>アニマル</v>
      </c>
      <c r="N36" s="5">
        <f ca="1">VLOOKUP($I36,OFFSET([2]enemies!$A$1,0,0,COUNTA([2]enemies!$A:$A),MATCH(N$1,[2]enemies!$2:$2,0)-MATCH($I$1,[2]enemies!$2:$2,0)+1),MATCH(N$1,[2]enemies!$2:$2,0)-MATCH($I$1,[2]enemies!$2:$2,0)+1,FALSE)</f>
        <v>15</v>
      </c>
      <c r="O36" s="6">
        <v>30</v>
      </c>
      <c r="P36" s="41">
        <v>1</v>
      </c>
      <c r="Q36" s="41">
        <v>1</v>
      </c>
      <c r="R36" s="6">
        <v>0</v>
      </c>
      <c r="S36" s="5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" s="5">
        <f ca="1">VLOOKUP($I36,OFFSET([2]enemies!$A$1,0,0,COUNTA([2]enemies!$A:$A),MATCH(T$1,[2]enemies!$2:$2,0)-MATCH($I$1,[2]enemies!$2:$2,0)+1),MATCH(T$1,[2]enemies!$2:$2,0)-MATCH($I$1,[2]enemies!$2:$2,0)+1,FALSE)</f>
        <v>0</v>
      </c>
      <c r="U36" s="7">
        <v>0</v>
      </c>
      <c r="V36" s="7">
        <v>100</v>
      </c>
      <c r="W36" s="7">
        <v>0</v>
      </c>
      <c r="X36" s="26">
        <f ca="1">VLOOKUP($I36,OFFSET([2]enemies!$A$1,0,0,COUNTA([2]enemies!$A:$A),MATCH(X$1,[2]enemies!$2:$2,0)-MATCH($I$1,[2]enemies!$2:$2,0)+1),MATCH(X$1,[2]enemies!$2:$2,0)-MATCH($I$1,[2]enemies!$2:$2,0)+1,FALSE)</f>
        <v>1</v>
      </c>
      <c r="Y36" s="38">
        <v>47</v>
      </c>
      <c r="Z36" s="5" t="str">
        <f ca="1">IFERROR(VLOOKUP($Y36,OFFSET([3]characters!$A$1,0,0,COUNTA([3]characters!$A:$A),MATCH(Z$1,[3]characters!$2:$2,0)-MATCH("character_id",[3]characters!$2:$2,0)+1),MATCH(Z$1,[3]characters!$2:$2,0)-MATCH("character_id",[3]characters!$2:$2,0)+1,FALSE),"")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6" s="5">
        <f ca="1">IFERROR(VLOOKUP($Y36,OFFSET([3]characters!$A$1,0,0,COUNTA([3]characters!$A:$A),MATCH(AA$1,[3]characters!$2:$2,0)-MATCH("character_id",[3]characters!$2:$2,0)+1),MATCH(AA$1,[3]characters!$2:$2,0)-MATCH("character_id",[3]characters!$2:$2,0)+1,FALSE),"")</f>
        <v>2</v>
      </c>
      <c r="AB36" s="5" t="str">
        <f ca="1">IFERROR(VLOOKUP($Y36,OFFSET([3]characters!$A$1,0,0,COUNTA([3]characters!$A:$A),MATCH(AB$1,[3]characters!$2:$2,0)-MATCH("character_id",[3]characters!$2:$2,0)+1),MATCH(AB$1,[3]characters!$2:$2,0)-MATCH("character_id",[3]characters!$2:$2,0)+1,FALSE),"")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" s="34">
        <v>1</v>
      </c>
      <c r="AD36" s="34">
        <f t="shared" ca="1" si="24"/>
        <v>2</v>
      </c>
      <c r="AE36" s="9">
        <v>25</v>
      </c>
      <c r="AF36" s="34">
        <v>0</v>
      </c>
      <c r="AG36" s="34">
        <v>0</v>
      </c>
      <c r="AH36" s="34">
        <v>0</v>
      </c>
      <c r="AI36" s="34">
        <v>0</v>
      </c>
      <c r="AJ36" s="34">
        <v>1</v>
      </c>
    </row>
    <row r="37" spans="1:36" ht="21" customHeight="1">
      <c r="A37" s="21" t="str">
        <f t="shared" si="0"/>
        <v>10025_1-3/45&lt;lv30&gt;</v>
      </c>
      <c r="B37" s="31">
        <v>10025</v>
      </c>
      <c r="C37" s="35">
        <v>1</v>
      </c>
      <c r="D37" s="20" t="str">
        <f t="shared" si="22"/>
        <v>10025_1</v>
      </c>
      <c r="E37" s="5" t="str">
        <f ca="1">VLOOKUP($B37,OFFSET([1]quests!$A$1,0,0,COUNTA([1]quests!$A:$A),MATCH(E$1,[1]quests!$1:$1,0)-MATCH($B$1,[1]quests!$1:$1,0)+1),MATCH(E$1,[1]quests!$1:$1,0)-MATCH($B$1,[1]quests!$1:$1,0)+1,FALSE)</f>
        <v>イブとトモダチと狼男</v>
      </c>
      <c r="F37" s="5" t="str">
        <f ca="1">VLOOKUP($D37,OFFSET([1]stages!$A$1,0,0,COUNTA([1]stages!$A:$A),MATCH(F$1,[1]stages!$2:$2,0)-MATCH($D$1,[1]stages!$2:$2,0)+1),MATCH(F$1,[1]stages!$2:$2,0)-MATCH($D$1,[1]stages!$2:$2,0)+1,FALSE)</f>
        <v>イブとトモダチと狼男</v>
      </c>
      <c r="G37" s="35">
        <v>3</v>
      </c>
      <c r="H37" s="20" t="str">
        <f t="shared" si="23"/>
        <v>10025_1-3</v>
      </c>
      <c r="I37" s="37">
        <v>45</v>
      </c>
      <c r="J37" s="26" t="str">
        <f ca="1">VLOOKUP($I37,OFFSET([2]enemies!$A$1,0,0,COUNTA([2]enemies!$A:$A),MATCH(J$1,[2]enemies!$2:$2,0)-MATCH($I$1,[2]enemies!$2:$2,0)+1),MATCH(J$1,[2]enemies!$2:$2,0)-MATCH($I$1,[2]enemies!$2:$2,0)+1,FALSE)</f>
        <v>ショウイン</v>
      </c>
      <c r="K37" s="29" t="str">
        <f ca="1">VLOOKUP($I37,OFFSET([2]enemies!$A$1,0,0,COUNTA([2]enemies!$A:$A),MATCH(K$1,[2]enemies!$2:$2,0)-MATCH($I$1,[2]enemies!$2:$2,0)+1),MATCH(K$1,[2]enemies!$2:$2,0)-MATCH($I$1,[2]enemies!$2:$2,0)+1,FALSE)</f>
        <v>blue</v>
      </c>
      <c r="L37" s="29" t="str">
        <f ca="1">VLOOKUP($I37,OFFSET([3]characters!$A$1,0,0,COUNTA([3]characters!$A:$A),MATCH(L$1,[3]characters!$2:$2,0)-MATCH($I$1,[3]characters!$2:$2,0)+1),MATCH(L$1,[3]characters!$2:$2,0)-MATCH($I$1,[3]characters!$2:$2,0)+1,FALSE)</f>
        <v>Drop1N</v>
      </c>
      <c r="M37" s="28" t="str">
        <f ca="1">VLOOKUP($I37,OFFSET([3]characters!$A$1,0,0,COUNTA([3]characters!$A:$A),MATCH(M$1,[3]characters!$2:$2,0)-MATCH($I$1,[3]characters!$2:$2,0)+2),MATCH(M$1,[3]characters!$2:$2,0)-MATCH($I$1,[3]characters!$2:$2,0)+2,FALSE)</f>
        <v>アニマル</v>
      </c>
      <c r="N37" s="5">
        <f ca="1">VLOOKUP($I37,OFFSET([2]enemies!$A$1,0,0,COUNTA([2]enemies!$A:$A),MATCH(N$1,[2]enemies!$2:$2,0)-MATCH($I$1,[2]enemies!$2:$2,0)+1),MATCH(N$1,[2]enemies!$2:$2,0)-MATCH($I$1,[2]enemies!$2:$2,0)+1,FALSE)</f>
        <v>15</v>
      </c>
      <c r="O37" s="6">
        <v>30</v>
      </c>
      <c r="P37" s="41">
        <v>1</v>
      </c>
      <c r="Q37" s="41">
        <v>1</v>
      </c>
      <c r="R37" s="6">
        <v>0</v>
      </c>
      <c r="S37" s="5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5">
        <f ca="1">VLOOKUP($I37,OFFSET([2]enemies!$A$1,0,0,COUNTA([2]enemies!$A:$A),MATCH(T$1,[2]enemies!$2:$2,0)-MATCH($I$1,[2]enemies!$2:$2,0)+1),MATCH(T$1,[2]enemies!$2:$2,0)-MATCH($I$1,[2]enemies!$2:$2,0)+1,FALSE)</f>
        <v>0</v>
      </c>
      <c r="U37" s="7">
        <v>1</v>
      </c>
      <c r="V37" s="7">
        <v>100</v>
      </c>
      <c r="W37" s="7">
        <v>0</v>
      </c>
      <c r="X37" s="26">
        <f ca="1">VLOOKUP($I37,OFFSET([2]enemies!$A$1,0,0,COUNTA([2]enemies!$A:$A),MATCH(X$1,[2]enemies!$2:$2,0)-MATCH($I$1,[2]enemies!$2:$2,0)+1),MATCH(X$1,[2]enemies!$2:$2,0)-MATCH($I$1,[2]enemies!$2:$2,0)+1,FALSE)</f>
        <v>3</v>
      </c>
      <c r="Y37" s="37">
        <v>45</v>
      </c>
      <c r="Z37" s="5" t="str">
        <f ca="1">IFERROR(VLOOKUP($Y37,OFFSET([3]characters!$A$1,0,0,COUNTA([3]characters!$A:$A),MATCH(Z$1,[3]characters!$2:$2,0)-MATCH("character_id",[3]characters!$2:$2,0)+1),MATCH(Z$1,[3]characters!$2:$2,0)-MATCH("character_id",[3]characters!$2:$2,0)+1,FALSE),"")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37" s="5">
        <f ca="1">IFERROR(VLOOKUP($Y37,OFFSET([3]characters!$A$1,0,0,COUNTA([3]characters!$A:$A),MATCH(AA$1,[3]characters!$2:$2,0)-MATCH("character_id",[3]characters!$2:$2,0)+1),MATCH(AA$1,[3]characters!$2:$2,0)-MATCH("character_id",[3]characters!$2:$2,0)+1,FALSE),"")</f>
        <v>2</v>
      </c>
      <c r="AB37" s="5" t="str">
        <f ca="1">IFERROR(VLOOKUP($Y37,OFFSET([3]characters!$A$1,0,0,COUNTA([3]characters!$A:$A),MATCH(AB$1,[3]characters!$2:$2,0)-MATCH("character_id",[3]characters!$2:$2,0)+1),MATCH(AB$1,[3]characters!$2:$2,0)-MATCH("character_id",[3]characters!$2:$2,0)+1,FALSE),"")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" s="34">
        <v>1</v>
      </c>
      <c r="AD37" s="34">
        <f t="shared" ca="1" si="24"/>
        <v>2</v>
      </c>
      <c r="AE37" s="9">
        <v>25</v>
      </c>
      <c r="AF37" s="34">
        <v>0</v>
      </c>
      <c r="AG37" s="34">
        <v>0</v>
      </c>
      <c r="AH37" s="34">
        <v>0</v>
      </c>
      <c r="AI37" s="34">
        <v>0</v>
      </c>
      <c r="AJ37" s="34">
        <v>1</v>
      </c>
    </row>
    <row r="38" spans="1:36" ht="21" customHeight="1">
      <c r="A38" s="21" t="str">
        <f t="shared" si="0"/>
        <v>10025_1-4/47&lt;lv30&gt;</v>
      </c>
      <c r="B38" s="31">
        <v>10025</v>
      </c>
      <c r="C38" s="35">
        <v>1</v>
      </c>
      <c r="D38" s="20" t="str">
        <f t="shared" si="22"/>
        <v>10025_1</v>
      </c>
      <c r="E38" s="5" t="str">
        <f ca="1">VLOOKUP($B38,OFFSET([1]quests!$A$1,0,0,COUNTA([1]quests!$A:$A),MATCH(E$1,[1]quests!$1:$1,0)-MATCH($B$1,[1]quests!$1:$1,0)+1),MATCH(E$1,[1]quests!$1:$1,0)-MATCH($B$1,[1]quests!$1:$1,0)+1,FALSE)</f>
        <v>イブとトモダチと狼男</v>
      </c>
      <c r="F38" s="5" t="str">
        <f ca="1">VLOOKUP($D38,OFFSET([1]stages!$A$1,0,0,COUNTA([1]stages!$A:$A),MATCH(F$1,[1]stages!$2:$2,0)-MATCH($D$1,[1]stages!$2:$2,0)+1),MATCH(F$1,[1]stages!$2:$2,0)-MATCH($D$1,[1]stages!$2:$2,0)+1,FALSE)</f>
        <v>イブとトモダチと狼男</v>
      </c>
      <c r="G38" s="35">
        <v>4</v>
      </c>
      <c r="H38" s="20" t="str">
        <f t="shared" si="23"/>
        <v>10025_1-4</v>
      </c>
      <c r="I38" s="38">
        <v>47</v>
      </c>
      <c r="J38" s="26" t="str">
        <f ca="1">VLOOKUP($I38,OFFSET([2]enemies!$A$1,0,0,COUNTA([2]enemies!$A:$A),MATCH(J$1,[2]enemies!$2:$2,0)-MATCH($I$1,[2]enemies!$2:$2,0)+1),MATCH(J$1,[2]enemies!$2:$2,0)-MATCH($I$1,[2]enemies!$2:$2,0)+1,FALSE)</f>
        <v>ヒロ</v>
      </c>
      <c r="K38" s="29" t="str">
        <f ca="1">VLOOKUP($I38,OFFSET([2]enemies!$A$1,0,0,COUNTA([2]enemies!$A:$A),MATCH(K$1,[2]enemies!$2:$2,0)-MATCH($I$1,[2]enemies!$2:$2,0)+1),MATCH(K$1,[2]enemies!$2:$2,0)-MATCH($I$1,[2]enemies!$2:$2,0)+1,FALSE)</f>
        <v>yellow</v>
      </c>
      <c r="L38" s="29" t="str">
        <f ca="1">VLOOKUP($I38,OFFSET([3]characters!$A$1,0,0,COUNTA([3]characters!$A:$A),MATCH(L$1,[3]characters!$2:$2,0)-MATCH($I$1,[3]characters!$2:$2,0)+1),MATCH(L$1,[3]characters!$2:$2,0)-MATCH($I$1,[3]characters!$2:$2,0)+1,FALSE)</f>
        <v>Drop1N</v>
      </c>
      <c r="M38" s="28" t="str">
        <f ca="1">VLOOKUP($I38,OFFSET([3]characters!$A$1,0,0,COUNTA([3]characters!$A:$A),MATCH(M$1,[3]characters!$2:$2,0)-MATCH($I$1,[3]characters!$2:$2,0)+2),MATCH(M$1,[3]characters!$2:$2,0)-MATCH($I$1,[3]characters!$2:$2,0)+2,FALSE)</f>
        <v>アニマル</v>
      </c>
      <c r="N38" s="5">
        <f ca="1">VLOOKUP($I38,OFFSET([2]enemies!$A$1,0,0,COUNTA([2]enemies!$A:$A),MATCH(N$1,[2]enemies!$2:$2,0)-MATCH($I$1,[2]enemies!$2:$2,0)+1),MATCH(N$1,[2]enemies!$2:$2,0)-MATCH($I$1,[2]enemies!$2:$2,0)+1,FALSE)</f>
        <v>15</v>
      </c>
      <c r="O38" s="6">
        <v>30</v>
      </c>
      <c r="P38" s="41">
        <v>1</v>
      </c>
      <c r="Q38" s="41">
        <v>1</v>
      </c>
      <c r="R38" s="6">
        <v>0</v>
      </c>
      <c r="S38" s="5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5">
        <f ca="1">VLOOKUP($I38,OFFSET([2]enemies!$A$1,0,0,COUNTA([2]enemies!$A:$A),MATCH(T$1,[2]enemies!$2:$2,0)-MATCH($I$1,[2]enemies!$2:$2,0)+1),MATCH(T$1,[2]enemies!$2:$2,0)-MATCH($I$1,[2]enemies!$2:$2,0)+1,FALSE)</f>
        <v>0</v>
      </c>
      <c r="U38" s="7">
        <v>1</v>
      </c>
      <c r="V38" s="7">
        <v>100</v>
      </c>
      <c r="W38" s="7">
        <v>0</v>
      </c>
      <c r="X38" s="26">
        <f ca="1">VLOOKUP($I38,OFFSET([2]enemies!$A$1,0,0,COUNTA([2]enemies!$A:$A),MATCH(X$1,[2]enemies!$2:$2,0)-MATCH($I$1,[2]enemies!$2:$2,0)+1),MATCH(X$1,[2]enemies!$2:$2,0)-MATCH($I$1,[2]enemies!$2:$2,0)+1,FALSE)</f>
        <v>1</v>
      </c>
      <c r="Y38" s="38">
        <v>47</v>
      </c>
      <c r="Z38" s="5" t="str">
        <f ca="1">IFERROR(VLOOKUP($Y38,OFFSET([3]characters!$A$1,0,0,COUNTA([3]characters!$A:$A),MATCH(Z$1,[3]characters!$2:$2,0)-MATCH("character_id",[3]characters!$2:$2,0)+1),MATCH(Z$1,[3]characters!$2:$2,0)-MATCH("character_id",[3]characters!$2:$2,0)+1,FALSE),"")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8" s="5">
        <f ca="1">IFERROR(VLOOKUP($Y38,OFFSET([3]characters!$A$1,0,0,COUNTA([3]characters!$A:$A),MATCH(AA$1,[3]characters!$2:$2,0)-MATCH("character_id",[3]characters!$2:$2,0)+1),MATCH(AA$1,[3]characters!$2:$2,0)-MATCH("character_id",[3]characters!$2:$2,0)+1,FALSE),"")</f>
        <v>2</v>
      </c>
      <c r="AB38" s="5" t="str">
        <f ca="1">IFERROR(VLOOKUP($Y38,OFFSET([3]characters!$A$1,0,0,COUNTA([3]characters!$A:$A),MATCH(AB$1,[3]characters!$2:$2,0)-MATCH("character_id",[3]characters!$2:$2,0)+1),MATCH(AB$1,[3]characters!$2:$2,0)-MATCH("character_id",[3]characters!$2:$2,0)+1,FALSE),"")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" s="34">
        <v>1</v>
      </c>
      <c r="AD38" s="34">
        <f t="shared" ca="1" si="24"/>
        <v>2</v>
      </c>
      <c r="AE38" s="9">
        <v>25</v>
      </c>
      <c r="AF38" s="34">
        <v>0</v>
      </c>
      <c r="AG38" s="34">
        <v>0</v>
      </c>
      <c r="AH38" s="34">
        <v>0</v>
      </c>
      <c r="AI38" s="34">
        <v>0</v>
      </c>
      <c r="AJ38" s="34">
        <v>1</v>
      </c>
    </row>
    <row r="39" spans="1:36" ht="21" customHeight="1">
      <c r="A39" s="21" t="str">
        <f t="shared" si="0"/>
        <v>10025_1-4/45&lt;lv30&gt;</v>
      </c>
      <c r="B39" s="31">
        <v>10025</v>
      </c>
      <c r="C39" s="35">
        <v>1</v>
      </c>
      <c r="D39" s="20" t="str">
        <f t="shared" ref="D39" si="25">B39&amp;"_"&amp;C39</f>
        <v>10025_1</v>
      </c>
      <c r="E39" s="5" t="str">
        <f ca="1">VLOOKUP($B39,OFFSET([1]quests!$A$1,0,0,COUNTA([1]quests!$A:$A),MATCH(E$1,[1]quests!$1:$1,0)-MATCH($B$1,[1]quests!$1:$1,0)+1),MATCH(E$1,[1]quests!$1:$1,0)-MATCH($B$1,[1]quests!$1:$1,0)+1,FALSE)</f>
        <v>イブとトモダチと狼男</v>
      </c>
      <c r="F39" s="5" t="str">
        <f ca="1">VLOOKUP($D39,OFFSET([1]stages!$A$1,0,0,COUNTA([1]stages!$A:$A),MATCH(F$1,[1]stages!$2:$2,0)-MATCH($D$1,[1]stages!$2:$2,0)+1),MATCH(F$1,[1]stages!$2:$2,0)-MATCH($D$1,[1]stages!$2:$2,0)+1,FALSE)</f>
        <v>イブとトモダチと狼男</v>
      </c>
      <c r="G39" s="35">
        <v>4</v>
      </c>
      <c r="H39" s="20" t="str">
        <f t="shared" ref="H39" si="26">B39&amp;"_"&amp;C39&amp;"-"&amp;G39</f>
        <v>10025_1-4</v>
      </c>
      <c r="I39" s="37">
        <v>45</v>
      </c>
      <c r="J39" s="26" t="str">
        <f ca="1">VLOOKUP($I39,OFFSET([2]enemies!$A$1,0,0,COUNTA([2]enemies!$A:$A),MATCH(J$1,[2]enemies!$2:$2,0)-MATCH($I$1,[2]enemies!$2:$2,0)+1),MATCH(J$1,[2]enemies!$2:$2,0)-MATCH($I$1,[2]enemies!$2:$2,0)+1,FALSE)</f>
        <v>ショウイン</v>
      </c>
      <c r="K39" s="29" t="str">
        <f ca="1">VLOOKUP($I39,OFFSET([2]enemies!$A$1,0,0,COUNTA([2]enemies!$A:$A),MATCH(K$1,[2]enemies!$2:$2,0)-MATCH($I$1,[2]enemies!$2:$2,0)+1),MATCH(K$1,[2]enemies!$2:$2,0)-MATCH($I$1,[2]enemies!$2:$2,0)+1,FALSE)</f>
        <v>blue</v>
      </c>
      <c r="L39" s="29" t="str">
        <f ca="1">VLOOKUP($I39,OFFSET([3]characters!$A$1,0,0,COUNTA([3]characters!$A:$A),MATCH(L$1,[3]characters!$2:$2,0)-MATCH($I$1,[3]characters!$2:$2,0)+1),MATCH(L$1,[3]characters!$2:$2,0)-MATCH($I$1,[3]characters!$2:$2,0)+1,FALSE)</f>
        <v>Drop1N</v>
      </c>
      <c r="M39" s="28" t="str">
        <f ca="1">VLOOKUP($I39,OFFSET([3]characters!$A$1,0,0,COUNTA([3]characters!$A:$A),MATCH(M$1,[3]characters!$2:$2,0)-MATCH($I$1,[3]characters!$2:$2,0)+2),MATCH(M$1,[3]characters!$2:$2,0)-MATCH($I$1,[3]characters!$2:$2,0)+2,FALSE)</f>
        <v>アニマル</v>
      </c>
      <c r="N39" s="5">
        <f ca="1">VLOOKUP($I39,OFFSET([2]enemies!$A$1,0,0,COUNTA([2]enemies!$A:$A),MATCH(N$1,[2]enemies!$2:$2,0)-MATCH($I$1,[2]enemies!$2:$2,0)+1),MATCH(N$1,[2]enemies!$2:$2,0)-MATCH($I$1,[2]enemies!$2:$2,0)+1,FALSE)</f>
        <v>15</v>
      </c>
      <c r="O39" s="6">
        <v>30</v>
      </c>
      <c r="P39" s="41">
        <v>1</v>
      </c>
      <c r="Q39" s="41">
        <v>1</v>
      </c>
      <c r="R39" s="6">
        <v>0</v>
      </c>
      <c r="S39" s="5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5">
        <f ca="1">VLOOKUP($I39,OFFSET([2]enemies!$A$1,0,0,COUNTA([2]enemies!$A:$A),MATCH(T$1,[2]enemies!$2:$2,0)-MATCH($I$1,[2]enemies!$2:$2,0)+1),MATCH(T$1,[2]enemies!$2:$2,0)-MATCH($I$1,[2]enemies!$2:$2,0)+1,FALSE)</f>
        <v>0</v>
      </c>
      <c r="U39" s="7">
        <v>2</v>
      </c>
      <c r="V39" s="7">
        <v>100</v>
      </c>
      <c r="W39" s="7">
        <v>0</v>
      </c>
      <c r="X39" s="26">
        <f ca="1">VLOOKUP($I39,OFFSET([2]enemies!$A$1,0,0,COUNTA([2]enemies!$A:$A),MATCH(X$1,[2]enemies!$2:$2,0)-MATCH($I$1,[2]enemies!$2:$2,0)+1),MATCH(X$1,[2]enemies!$2:$2,0)-MATCH($I$1,[2]enemies!$2:$2,0)+1,FALSE)</f>
        <v>3</v>
      </c>
      <c r="Y39" s="37">
        <v>45</v>
      </c>
      <c r="Z39" s="5" t="str">
        <f ca="1">IFERROR(VLOOKUP($Y39,OFFSET([3]characters!$A$1,0,0,COUNTA([3]characters!$A:$A),MATCH(Z$1,[3]characters!$2:$2,0)-MATCH("character_id",[3]characters!$2:$2,0)+1),MATCH(Z$1,[3]characters!$2:$2,0)-MATCH("character_id",[3]characters!$2:$2,0)+1,FALSE),"")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39" s="5">
        <f ca="1">IFERROR(VLOOKUP($Y39,OFFSET([3]characters!$A$1,0,0,COUNTA([3]characters!$A:$A),MATCH(AA$1,[3]characters!$2:$2,0)-MATCH("character_id",[3]characters!$2:$2,0)+1),MATCH(AA$1,[3]characters!$2:$2,0)-MATCH("character_id",[3]characters!$2:$2,0)+1,FALSE),"")</f>
        <v>2</v>
      </c>
      <c r="AB39" s="5" t="str">
        <f ca="1">IFERROR(VLOOKUP($Y39,OFFSET([3]characters!$A$1,0,0,COUNTA([3]characters!$A:$A),MATCH(AB$1,[3]characters!$2:$2,0)-MATCH("character_id",[3]characters!$2:$2,0)+1),MATCH(AB$1,[3]characters!$2:$2,0)-MATCH("character_id",[3]characters!$2:$2,0)+1,FALSE),"")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" s="34">
        <v>1</v>
      </c>
      <c r="AD39" s="34">
        <f t="shared" ref="AD39" ca="1" si="27">AA39</f>
        <v>2</v>
      </c>
      <c r="AE39" s="9">
        <v>25</v>
      </c>
      <c r="AF39" s="34">
        <v>0</v>
      </c>
      <c r="AG39" s="34">
        <v>0</v>
      </c>
      <c r="AH39" s="34">
        <v>0</v>
      </c>
      <c r="AI39" s="34">
        <v>0</v>
      </c>
      <c r="AJ39" s="34">
        <v>1</v>
      </c>
    </row>
    <row r="40" spans="1:36" ht="21" customHeight="1">
      <c r="A40" s="21" t="str">
        <f t="shared" si="0"/>
        <v>10025_1-5/164&lt;lv37&gt;</v>
      </c>
      <c r="B40" s="31">
        <v>10025</v>
      </c>
      <c r="C40" s="35">
        <v>1</v>
      </c>
      <c r="D40" s="20" t="str">
        <f t="shared" ref="D40" si="28">B40&amp;"_"&amp;C40</f>
        <v>10025_1</v>
      </c>
      <c r="E40" s="5" t="str">
        <f ca="1">VLOOKUP($B40,OFFSET([1]quests!$A$1,0,0,COUNTA([1]quests!$A:$A),MATCH(E$1,[1]quests!$1:$1,0)-MATCH($B$1,[1]quests!$1:$1,0)+1),MATCH(E$1,[1]quests!$1:$1,0)-MATCH($B$1,[1]quests!$1:$1,0)+1,FALSE)</f>
        <v>イブとトモダチと狼男</v>
      </c>
      <c r="F40" s="5" t="str">
        <f ca="1">VLOOKUP($D40,OFFSET([1]stages!$A$1,0,0,COUNTA([1]stages!$A:$A),MATCH(F$1,[1]stages!$2:$2,0)-MATCH($D$1,[1]stages!$2:$2,0)+1),MATCH(F$1,[1]stages!$2:$2,0)-MATCH($D$1,[1]stages!$2:$2,0)+1,FALSE)</f>
        <v>イブとトモダチと狼男</v>
      </c>
      <c r="G40" s="35">
        <v>5</v>
      </c>
      <c r="H40" s="20" t="str">
        <f t="shared" ref="H40" si="29">B40&amp;"_"&amp;C40&amp;"-"&amp;G40</f>
        <v>10025_1-5</v>
      </c>
      <c r="I40" s="37">
        <v>164</v>
      </c>
      <c r="J40" s="26" t="str">
        <f ca="1">VLOOKUP($I40,OFFSET([2]enemies!$A$1,0,0,COUNTA([2]enemies!$A:$A),MATCH(J$1,[2]enemies!$2:$2,0)-MATCH($I$1,[2]enemies!$2:$2,0)+1),MATCH(J$1,[2]enemies!$2:$2,0)-MATCH($I$1,[2]enemies!$2:$2,0)+1,FALSE)</f>
        <v>イブとトモダチ</v>
      </c>
      <c r="K40" s="29" t="str">
        <f ca="1">VLOOKUP($I40,OFFSET([2]enemies!$A$1,0,0,COUNTA([2]enemies!$A:$A),MATCH(K$1,[2]enemies!$2:$2,0)-MATCH($I$1,[2]enemies!$2:$2,0)+1),MATCH(K$1,[2]enemies!$2:$2,0)-MATCH($I$1,[2]enemies!$2:$2,0)+1,FALSE)</f>
        <v>yellow</v>
      </c>
      <c r="L40" s="29" t="str">
        <f ca="1">VLOOKUP($I40,OFFSET([3]characters!$A$1,0,0,COUNTA([3]characters!$A:$A),MATCH(L$1,[3]characters!$2:$2,0)-MATCH($I$1,[3]characters!$2:$2,0)+1),MATCH(L$1,[3]characters!$2:$2,0)-MATCH($I$1,[3]characters!$2:$2,0)+1,FALSE)</f>
        <v>PremiumW</v>
      </c>
      <c r="M40" s="28" t="str">
        <f ca="1">VLOOKUP($I40,OFFSET([3]characters!$A$1,0,0,COUNTA([3]characters!$A:$A),MATCH(M$1,[3]characters!$2:$2,0)-MATCH($I$1,[3]characters!$2:$2,0)+2),MATCH(M$1,[3]characters!$2:$2,0)-MATCH($I$1,[3]characters!$2:$2,0)+2,FALSE)</f>
        <v>ヒューマン</v>
      </c>
      <c r="N40" s="5">
        <f ca="1">VLOOKUP($I40,OFFSET([2]enemies!$A$1,0,0,COUNTA([2]enemies!$A:$A),MATCH(N$1,[2]enemies!$2:$2,0)-MATCH($I$1,[2]enemies!$2:$2,0)+1),MATCH(N$1,[2]enemies!$2:$2,0)-MATCH($I$1,[2]enemies!$2:$2,0)+1,FALSE)</f>
        <v>20</v>
      </c>
      <c r="O40" s="6">
        <v>37</v>
      </c>
      <c r="P40" s="41">
        <v>1</v>
      </c>
      <c r="Q40" s="41">
        <v>1</v>
      </c>
      <c r="R40" s="6">
        <v>0</v>
      </c>
      <c r="S40" s="5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少しだけお邪魔パネル出現</v>
      </c>
      <c r="T40" s="5">
        <f ca="1">VLOOKUP($I40,OFFSET([2]enemies!$A$1,0,0,COUNTA([2]enemies!$A:$A),MATCH(T$1,[2]enemies!$2:$2,0)-MATCH($I$1,[2]enemies!$2:$2,0)+1),MATCH(T$1,[2]enemies!$2:$2,0)-MATCH($I$1,[2]enemies!$2:$2,0)+1,FALSE)</f>
        <v>164</v>
      </c>
      <c r="U40" s="7">
        <v>1</v>
      </c>
      <c r="V40" s="7">
        <v>100</v>
      </c>
      <c r="W40" s="7">
        <v>1</v>
      </c>
      <c r="X40" s="26">
        <f ca="1">VLOOKUP($I40,OFFSET([2]enemies!$A$1,0,0,COUNTA([2]enemies!$A:$A),MATCH(X$1,[2]enemies!$2:$2,0)-MATCH($I$1,[2]enemies!$2:$2,0)+1),MATCH(X$1,[2]enemies!$2:$2,0)-MATCH($I$1,[2]enemies!$2:$2,0)+1,FALSE)</f>
        <v>3</v>
      </c>
      <c r="Y40" s="36">
        <v>164</v>
      </c>
      <c r="Z40" s="5" t="str">
        <f ca="1">IFERROR(VLOOKUP($Y40,OFFSET([3]characters!$A$1,0,0,COUNTA([3]characters!$A:$A),MATCH(Z$1,[3]characters!$2:$2,0)-MATCH("character_id",[3]characters!$2:$2,0)+1),MATCH(Z$1,[3]characters!$2:$2,0)-MATCH("character_id",[3]characters!$2:$2,0)+1,FALSE),"")</f>
        <v>イブとトモダチ</v>
      </c>
      <c r="AA40" s="5">
        <f ca="1">IFERROR(VLOOKUP($Y40,OFFSET([3]characters!$A$1,0,0,COUNTA([3]characters!$A:$A),MATCH(AA$1,[3]characters!$2:$2,0)-MATCH("character_id",[3]characters!$2:$2,0)+1),MATCH(AA$1,[3]characters!$2:$2,0)-MATCH("character_id",[3]characters!$2:$2,0)+1,FALSE),"")</f>
        <v>3</v>
      </c>
      <c r="AB40" s="5" t="str">
        <f ca="1">IFERROR(VLOOKUP($Y40,OFFSET([3]characters!$A$1,0,0,COUNTA([3]characters!$A:$A),MATCH(AB$1,[3]characters!$2:$2,0)-MATCH("character_id",[3]characters!$2:$2,0)+1),MATCH(AB$1,[3]characters!$2:$2,0)-MATCH("character_id",[3]characters!$2:$2,0)+1,FALSE),"")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40" s="34">
        <v>1</v>
      </c>
      <c r="AD40" s="34">
        <f t="shared" ref="AD40" ca="1" si="30">AA40</f>
        <v>3</v>
      </c>
      <c r="AE40" s="9">
        <v>0</v>
      </c>
      <c r="AF40" s="34">
        <v>0</v>
      </c>
      <c r="AG40" s="34">
        <v>0</v>
      </c>
      <c r="AH40" s="34">
        <v>0</v>
      </c>
      <c r="AI40" s="34">
        <v>0</v>
      </c>
      <c r="AJ40" s="34">
        <v>1</v>
      </c>
    </row>
    <row r="41" spans="1:36" ht="21" customHeight="1">
      <c r="A41" s="21" t="str">
        <f t="shared" si="0"/>
        <v>10025_1-5/130&lt;lv32&gt;</v>
      </c>
      <c r="B41" s="31">
        <v>10025</v>
      </c>
      <c r="C41" s="35">
        <v>1</v>
      </c>
      <c r="D41" s="20" t="str">
        <f t="shared" ref="D41:D50" si="31">B41&amp;"_"&amp;C41</f>
        <v>10025_1</v>
      </c>
      <c r="E41" s="5" t="str">
        <f ca="1">VLOOKUP($B41,OFFSET([1]quests!$A$1,0,0,COUNTA([1]quests!$A:$A),MATCH(E$1,[1]quests!$1:$1,0)-MATCH($B$1,[1]quests!$1:$1,0)+1),MATCH(E$1,[1]quests!$1:$1,0)-MATCH($B$1,[1]quests!$1:$1,0)+1,FALSE)</f>
        <v>イブとトモダチと狼男</v>
      </c>
      <c r="F41" s="5" t="str">
        <f ca="1">VLOOKUP($D41,OFFSET([1]stages!$A$1,0,0,COUNTA([1]stages!$A:$A),MATCH(F$1,[1]stages!$2:$2,0)-MATCH($D$1,[1]stages!$2:$2,0)+1),MATCH(F$1,[1]stages!$2:$2,0)-MATCH($D$1,[1]stages!$2:$2,0)+1,FALSE)</f>
        <v>イブとトモダチと狼男</v>
      </c>
      <c r="G41" s="35">
        <v>5</v>
      </c>
      <c r="H41" s="20" t="str">
        <f t="shared" ref="H41:H50" si="32">B41&amp;"_"&amp;C41&amp;"-"&amp;G41</f>
        <v>10025_1-5</v>
      </c>
      <c r="I41" s="37">
        <v>130</v>
      </c>
      <c r="J41" s="26" t="str">
        <f ca="1">VLOOKUP($I41,OFFSET([2]enemies!$A$1,0,0,COUNTA([2]enemies!$A:$A),MATCH(J$1,[2]enemies!$2:$2,0)-MATCH($I$1,[2]enemies!$2:$2,0)+1),MATCH(J$1,[2]enemies!$2:$2,0)-MATCH($I$1,[2]enemies!$2:$2,0)+1,FALSE)</f>
        <v>狼男 ローレンス</v>
      </c>
      <c r="K41" s="29" t="str">
        <f ca="1">VLOOKUP($I41,OFFSET([2]enemies!$A$1,0,0,COUNTA([2]enemies!$A:$A),MATCH(K$1,[2]enemies!$2:$2,0)-MATCH($I$1,[2]enemies!$2:$2,0)+1),MATCH(K$1,[2]enemies!$2:$2,0)-MATCH($I$1,[2]enemies!$2:$2,0)+1,FALSE)</f>
        <v>blue</v>
      </c>
      <c r="L41" s="29" t="str">
        <f ca="1">VLOOKUP($I41,OFFSET([3]characters!$A$1,0,0,COUNTA([3]characters!$A:$A),MATCH(L$1,[3]characters!$2:$2,0)-MATCH($I$1,[3]characters!$2:$2,0)+1),MATCH(L$1,[3]characters!$2:$2,0)-MATCH($I$1,[3]characters!$2:$2,0)+1,FALSE)</f>
        <v>PremiumW</v>
      </c>
      <c r="M41" s="28" t="str">
        <f ca="1">VLOOKUP($I41,OFFSET([3]characters!$A$1,0,0,COUNTA([3]characters!$A:$A),MATCH(M$1,[3]characters!$2:$2,0)-MATCH($I$1,[3]characters!$2:$2,0)+2),MATCH(M$1,[3]characters!$2:$2,0)-MATCH($I$1,[3]characters!$2:$2,0)+2,FALSE)</f>
        <v>アニマル</v>
      </c>
      <c r="N41" s="5">
        <f ca="1">VLOOKUP($I41,OFFSET([2]enemies!$A$1,0,0,COUNTA([2]enemies!$A:$A),MATCH(N$1,[2]enemies!$2:$2,0)-MATCH($I$1,[2]enemies!$2:$2,0)+1),MATCH(N$1,[2]enemies!$2:$2,0)-MATCH($I$1,[2]enemies!$2:$2,0)+1,FALSE)</f>
        <v>20</v>
      </c>
      <c r="O41" s="6">
        <v>32</v>
      </c>
      <c r="P41" s="41">
        <v>1</v>
      </c>
      <c r="Q41" s="41">
        <v>1</v>
      </c>
      <c r="R41" s="6">
        <v>0</v>
      </c>
      <c r="S41" s="5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攻撃力×1.5倍の攻撃</v>
      </c>
      <c r="T41" s="5">
        <f ca="1">VLOOKUP($I41,OFFSET([2]enemies!$A$1,0,0,COUNTA([2]enemies!$A:$A),MATCH(T$1,[2]enemies!$2:$2,0)-MATCH($I$1,[2]enemies!$2:$2,0)+1),MATCH(T$1,[2]enemies!$2:$2,0)-MATCH($I$1,[2]enemies!$2:$2,0)+1,FALSE)</f>
        <v>130</v>
      </c>
      <c r="U41" s="7">
        <v>1</v>
      </c>
      <c r="V41" s="7">
        <v>100</v>
      </c>
      <c r="W41" s="7">
        <v>1</v>
      </c>
      <c r="X41" s="26">
        <f ca="1">VLOOKUP($I41,OFFSET([2]enemies!$A$1,0,0,COUNTA([2]enemies!$A:$A),MATCH(X$1,[2]enemies!$2:$2,0)-MATCH($I$1,[2]enemies!$2:$2,0)+1),MATCH(X$1,[2]enemies!$2:$2,0)-MATCH($I$1,[2]enemies!$2:$2,0)+1,FALSE)</f>
        <v>3</v>
      </c>
      <c r="Y41" s="36">
        <v>130</v>
      </c>
      <c r="Z41" s="5" t="str">
        <f ca="1">IFERROR(VLOOKUP($Y41,OFFSET([3]characters!$A$1,0,0,COUNTA([3]characters!$A:$A),MATCH(Z$1,[3]characters!$2:$2,0)-MATCH("character_id",[3]characters!$2:$2,0)+1),MATCH(Z$1,[3]characters!$2:$2,0)-MATCH("character_id",[3]characters!$2:$2,0)+1,FALSE),"")</f>
        <v>狼男 ローレンス</v>
      </c>
      <c r="AA41" s="5">
        <f ca="1">IFERROR(VLOOKUP($Y41,OFFSET([3]characters!$A$1,0,0,COUNTA([3]characters!$A:$A),MATCH(AA$1,[3]characters!$2:$2,0)-MATCH("character_id",[3]characters!$2:$2,0)+1),MATCH(AA$1,[3]characters!$2:$2,0)-MATCH("character_id",[3]characters!$2:$2,0)+1,FALSE),"")</f>
        <v>3</v>
      </c>
      <c r="AB41" s="5" t="str">
        <f ca="1">IFERROR(VLOOKUP($Y41,OFFSET([3]characters!$A$1,0,0,COUNTA([3]characters!$A:$A),MATCH(AB$1,[3]characters!$2:$2,0)-MATCH("character_id",[3]characters!$2:$2,0)+1),MATCH(AB$1,[3]characters!$2:$2,0)-MATCH("character_id",[3]characters!$2:$2,0)+1,FALSE),"")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41" s="34">
        <v>1</v>
      </c>
      <c r="AD41" s="34">
        <f t="shared" ref="AD41:AD50" ca="1" si="33">AA41</f>
        <v>3</v>
      </c>
      <c r="AE41" s="9">
        <v>0</v>
      </c>
      <c r="AF41" s="34">
        <v>0</v>
      </c>
      <c r="AG41" s="34">
        <v>0</v>
      </c>
      <c r="AH41" s="34">
        <v>0</v>
      </c>
      <c r="AI41" s="34">
        <v>0</v>
      </c>
      <c r="AJ41" s="34">
        <v>1</v>
      </c>
    </row>
    <row r="42" spans="1:36" ht="21" customHeight="1">
      <c r="A42" s="21" t="str">
        <f t="shared" si="0"/>
        <v>10030_1-1/25&lt;lv38&gt;</v>
      </c>
      <c r="B42" s="31">
        <v>10030</v>
      </c>
      <c r="C42" s="35">
        <v>1</v>
      </c>
      <c r="D42" s="20" t="str">
        <f t="shared" si="31"/>
        <v>10030_1</v>
      </c>
      <c r="E42" s="5" t="str">
        <f ca="1">VLOOKUP($B42,OFFSET([1]quests!$A$1,0,0,COUNTA([1]quests!$A:$A),MATCH(E$1,[1]quests!$1:$1,0)-MATCH($B$1,[1]quests!$1:$1,0)+1),MATCH(E$1,[1]quests!$1:$1,0)-MATCH($B$1,[1]quests!$1:$1,0)+1,FALSE)</f>
        <v>陸と海</v>
      </c>
      <c r="F42" s="5" t="str">
        <f ca="1">VLOOKUP($D42,OFFSET([1]stages!$A$1,0,0,COUNTA([1]stages!$A:$A),MATCH(F$1,[1]stages!$2:$2,0)-MATCH($D$1,[1]stages!$2:$2,0)+1),MATCH(F$1,[1]stages!$2:$2,0)-MATCH($D$1,[1]stages!$2:$2,0)+1,FALSE)</f>
        <v>陸と海</v>
      </c>
      <c r="G42" s="35">
        <v>1</v>
      </c>
      <c r="H42" s="20" t="str">
        <f t="shared" si="32"/>
        <v>10030_1-1</v>
      </c>
      <c r="I42" s="37">
        <v>25</v>
      </c>
      <c r="J42" s="26" t="str">
        <f ca="1">VLOOKUP($I42,OFFSET([2]enemies!$A$1,0,0,COUNTA([2]enemies!$A:$A),MATCH(J$1,[2]enemies!$2:$2,0)-MATCH($I$1,[2]enemies!$2:$2,0)+1),MATCH(J$1,[2]enemies!$2:$2,0)-MATCH($I$1,[2]enemies!$2:$2,0)+1,FALSE)</f>
        <v>ハチ</v>
      </c>
      <c r="K42" s="29" t="str">
        <f ca="1">VLOOKUP($I42,OFFSET([2]enemies!$A$1,0,0,COUNTA([2]enemies!$A:$A),MATCH(K$1,[2]enemies!$2:$2,0)-MATCH($I$1,[2]enemies!$2:$2,0)+1),MATCH(K$1,[2]enemies!$2:$2,0)-MATCH($I$1,[2]enemies!$2:$2,0)+1,FALSE)</f>
        <v>blue</v>
      </c>
      <c r="L42" s="29" t="str">
        <f ca="1">VLOOKUP($I42,OFFSET([3]characters!$A$1,0,0,COUNTA([3]characters!$A:$A),MATCH(L$1,[3]characters!$2:$2,0)-MATCH($I$1,[3]characters!$2:$2,0)+1),MATCH(L$1,[3]characters!$2:$2,0)-MATCH($I$1,[3]characters!$2:$2,0)+1,FALSE)</f>
        <v>Drop1N</v>
      </c>
      <c r="M42" s="28" t="str">
        <f ca="1">VLOOKUP($I42,OFFSET([3]characters!$A$1,0,0,COUNTA([3]characters!$A:$A),MATCH(M$1,[3]characters!$2:$2,0)-MATCH($I$1,[3]characters!$2:$2,0)+2),MATCH(M$1,[3]characters!$2:$2,0)-MATCH($I$1,[3]characters!$2:$2,0)+2,FALSE)</f>
        <v>アニマル</v>
      </c>
      <c r="N42" s="5">
        <f ca="1">VLOOKUP($I42,OFFSET([2]enemies!$A$1,0,0,COUNTA([2]enemies!$A:$A),MATCH(N$1,[2]enemies!$2:$2,0)-MATCH($I$1,[2]enemies!$2:$2,0)+1),MATCH(N$1,[2]enemies!$2:$2,0)-MATCH($I$1,[2]enemies!$2:$2,0)+1,FALSE)</f>
        <v>15</v>
      </c>
      <c r="O42" s="6">
        <v>38</v>
      </c>
      <c r="P42" s="41">
        <v>1</v>
      </c>
      <c r="Q42" s="41">
        <v>1</v>
      </c>
      <c r="R42" s="6">
        <v>0</v>
      </c>
      <c r="S42" s="5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" s="5">
        <f ca="1">VLOOKUP($I42,OFFSET([2]enemies!$A$1,0,0,COUNTA([2]enemies!$A:$A),MATCH(T$1,[2]enemies!$2:$2,0)-MATCH($I$1,[2]enemies!$2:$2,0)+1),MATCH(T$1,[2]enemies!$2:$2,0)-MATCH($I$1,[2]enemies!$2:$2,0)+1,FALSE)</f>
        <v>0</v>
      </c>
      <c r="U42" s="7">
        <v>0</v>
      </c>
      <c r="V42" s="7">
        <v>100</v>
      </c>
      <c r="W42" s="7">
        <v>0</v>
      </c>
      <c r="X42" s="26">
        <f ca="1">VLOOKUP($I42,OFFSET([2]enemies!$A$1,0,0,COUNTA([2]enemies!$A:$A),MATCH(X$1,[2]enemies!$2:$2,0)-MATCH($I$1,[2]enemies!$2:$2,0)+1),MATCH(X$1,[2]enemies!$2:$2,0)-MATCH($I$1,[2]enemies!$2:$2,0)+1,FALSE)</f>
        <v>3</v>
      </c>
      <c r="Y42" s="37">
        <v>25</v>
      </c>
      <c r="Z42" s="5" t="str">
        <f ca="1">IFERROR(VLOOKUP($Y42,OFFSET([3]characters!$A$1,0,0,COUNTA([3]characters!$A:$A),MATCH(Z$1,[3]characters!$2:$2,0)-MATCH("character_id",[3]characters!$2:$2,0)+1),MATCH(Z$1,[3]characters!$2:$2,0)-MATCH("character_id",[3]characters!$2:$2,0)+1,FALSE),"")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42" s="5">
        <f ca="1">IFERROR(VLOOKUP($Y42,OFFSET([3]characters!$A$1,0,0,COUNTA([3]characters!$A:$A),MATCH(AA$1,[3]characters!$2:$2,0)-MATCH("character_id",[3]characters!$2:$2,0)+1),MATCH(AA$1,[3]characters!$2:$2,0)-MATCH("character_id",[3]characters!$2:$2,0)+1,FALSE),"")</f>
        <v>1</v>
      </c>
      <c r="AB42" s="5" t="str">
        <f ca="1">IFERROR(VLOOKUP($Y42,OFFSET([3]characters!$A$1,0,0,COUNTA([3]characters!$A:$A),MATCH(AB$1,[3]characters!$2:$2,0)-MATCH("character_id",[3]characters!$2:$2,0)+1),MATCH(AB$1,[3]characters!$2:$2,0)-MATCH("character_id",[3]characters!$2:$2,0)+1,FALSE),"")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2" s="34">
        <v>1</v>
      </c>
      <c r="AD42" s="34">
        <f t="shared" ca="1" si="33"/>
        <v>1</v>
      </c>
      <c r="AE42" s="9">
        <v>25</v>
      </c>
      <c r="AF42" s="34">
        <v>0</v>
      </c>
      <c r="AG42" s="34">
        <v>0</v>
      </c>
      <c r="AH42" s="34">
        <v>0</v>
      </c>
      <c r="AI42" s="34">
        <v>0</v>
      </c>
      <c r="AJ42" s="34">
        <v>1</v>
      </c>
    </row>
    <row r="43" spans="1:36" ht="21" customHeight="1">
      <c r="A43" s="21" t="str">
        <f t="shared" si="0"/>
        <v>10030_1-1/11&lt;lv38&gt;</v>
      </c>
      <c r="B43" s="31">
        <v>10030</v>
      </c>
      <c r="C43" s="35">
        <v>1</v>
      </c>
      <c r="D43" s="20" t="str">
        <f t="shared" si="31"/>
        <v>10030_1</v>
      </c>
      <c r="E43" s="5" t="str">
        <f ca="1">VLOOKUP($B43,OFFSET([1]quests!$A$1,0,0,COUNTA([1]quests!$A:$A),MATCH(E$1,[1]quests!$1:$1,0)-MATCH($B$1,[1]quests!$1:$1,0)+1),MATCH(E$1,[1]quests!$1:$1,0)-MATCH($B$1,[1]quests!$1:$1,0)+1,FALSE)</f>
        <v>陸と海</v>
      </c>
      <c r="F43" s="5" t="str">
        <f ca="1">VLOOKUP($D43,OFFSET([1]stages!$A$1,0,0,COUNTA([1]stages!$A:$A),MATCH(F$1,[1]stages!$2:$2,0)-MATCH($D$1,[1]stages!$2:$2,0)+1),MATCH(F$1,[1]stages!$2:$2,0)-MATCH($D$1,[1]stages!$2:$2,0)+1,FALSE)</f>
        <v>陸と海</v>
      </c>
      <c r="G43" s="35">
        <v>1</v>
      </c>
      <c r="H43" s="20" t="str">
        <f t="shared" si="32"/>
        <v>10030_1-1</v>
      </c>
      <c r="I43" s="36">
        <v>11</v>
      </c>
      <c r="J43" s="26" t="str">
        <f ca="1">VLOOKUP($I43,OFFSET([2]enemies!$A$1,0,0,COUNTA([2]enemies!$A:$A),MATCH(J$1,[2]enemies!$2:$2,0)-MATCH($I$1,[2]enemies!$2:$2,0)+1),MATCH(J$1,[2]enemies!$2:$2,0)-MATCH($I$1,[2]enemies!$2:$2,0)+1,FALSE)</f>
        <v>マグリット</v>
      </c>
      <c r="K43" s="29" t="str">
        <f ca="1">VLOOKUP($I43,OFFSET([2]enemies!$A$1,0,0,COUNTA([2]enemies!$A:$A),MATCH(K$1,[2]enemies!$2:$2,0)-MATCH($I$1,[2]enemies!$2:$2,0)+1),MATCH(K$1,[2]enemies!$2:$2,0)-MATCH($I$1,[2]enemies!$2:$2,0)+1,FALSE)</f>
        <v>green</v>
      </c>
      <c r="L43" s="29" t="str">
        <f ca="1">VLOOKUP($I43,OFFSET([3]characters!$A$1,0,0,COUNTA([3]characters!$A:$A),MATCH(L$1,[3]characters!$2:$2,0)-MATCH($I$1,[3]characters!$2:$2,0)+1),MATCH(L$1,[3]characters!$2:$2,0)-MATCH($I$1,[3]characters!$2:$2,0)+1,FALSE)</f>
        <v>Drop1W</v>
      </c>
      <c r="M43" s="28" t="str">
        <f ca="1">VLOOKUP($I43,OFFSET([3]characters!$A$1,0,0,COUNTA([3]characters!$A:$A),MATCH(M$1,[3]characters!$2:$2,0)-MATCH($I$1,[3]characters!$2:$2,0)+2),MATCH(M$1,[3]characters!$2:$2,0)-MATCH($I$1,[3]characters!$2:$2,0)+2,FALSE)</f>
        <v>アニマル</v>
      </c>
      <c r="N43" s="5">
        <f ca="1">VLOOKUP($I43,OFFSET([2]enemies!$A$1,0,0,COUNTA([2]enemies!$A:$A),MATCH(N$1,[2]enemies!$2:$2,0)-MATCH($I$1,[2]enemies!$2:$2,0)+1),MATCH(N$1,[2]enemies!$2:$2,0)-MATCH($I$1,[2]enemies!$2:$2,0)+1,FALSE)</f>
        <v>15</v>
      </c>
      <c r="O43" s="6">
        <v>38</v>
      </c>
      <c r="P43" s="41">
        <v>1</v>
      </c>
      <c r="Q43" s="41">
        <v>1</v>
      </c>
      <c r="R43" s="6">
        <v>0</v>
      </c>
      <c r="S43" s="5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" s="5">
        <f ca="1">VLOOKUP($I43,OFFSET([2]enemies!$A$1,0,0,COUNTA([2]enemies!$A:$A),MATCH(T$1,[2]enemies!$2:$2,0)-MATCH($I$1,[2]enemies!$2:$2,0)+1),MATCH(T$1,[2]enemies!$2:$2,0)-MATCH($I$1,[2]enemies!$2:$2,0)+1,FALSE)</f>
        <v>0</v>
      </c>
      <c r="U43" s="7">
        <v>0</v>
      </c>
      <c r="V43" s="7">
        <v>100</v>
      </c>
      <c r="W43" s="7">
        <v>0</v>
      </c>
      <c r="X43" s="26">
        <f ca="1">VLOOKUP($I43,OFFSET([2]enemies!$A$1,0,0,COUNTA([2]enemies!$A:$A),MATCH(X$1,[2]enemies!$2:$2,0)-MATCH($I$1,[2]enemies!$2:$2,0)+1),MATCH(X$1,[2]enemies!$2:$2,0)-MATCH($I$1,[2]enemies!$2:$2,0)+1,FALSE)</f>
        <v>3</v>
      </c>
      <c r="Y43" s="36">
        <v>11</v>
      </c>
      <c r="Z43" s="5" t="str">
        <f ca="1">IFERROR(VLOOKUP($Y43,OFFSET([3]characters!$A$1,0,0,COUNTA([3]characters!$A:$A),MATCH(Z$1,[3]characters!$2:$2,0)-MATCH("character_id",[3]characters!$2:$2,0)+1),MATCH(Z$1,[3]characters!$2:$2,0)-MATCH("character_id",[3]characters!$2:$2,0)+1,FALSE),"")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43" s="5">
        <f ca="1">IFERROR(VLOOKUP($Y43,OFFSET([3]characters!$A$1,0,0,COUNTA([3]characters!$A:$A),MATCH(AA$1,[3]characters!$2:$2,0)-MATCH("character_id",[3]characters!$2:$2,0)+1),MATCH(AA$1,[3]characters!$2:$2,0)-MATCH("character_id",[3]characters!$2:$2,0)+1,FALSE),"")</f>
        <v>1</v>
      </c>
      <c r="AB43" s="5" t="str">
        <f ca="1">IFERROR(VLOOKUP($Y43,OFFSET([3]characters!$A$1,0,0,COUNTA([3]characters!$A:$A),MATCH(AB$1,[3]characters!$2:$2,0)-MATCH("character_id",[3]characters!$2:$2,0)+1),MATCH(AB$1,[3]characters!$2:$2,0)-MATCH("character_id",[3]characters!$2:$2,0)+1,FALSE),"")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3" s="34">
        <v>1</v>
      </c>
      <c r="AD43" s="34">
        <f t="shared" ca="1" si="33"/>
        <v>1</v>
      </c>
      <c r="AE43" s="9">
        <v>25</v>
      </c>
      <c r="AF43" s="34">
        <v>0</v>
      </c>
      <c r="AG43" s="34">
        <v>0</v>
      </c>
      <c r="AH43" s="34">
        <v>0</v>
      </c>
      <c r="AI43" s="34">
        <v>0</v>
      </c>
      <c r="AJ43" s="34">
        <v>1</v>
      </c>
    </row>
    <row r="44" spans="1:36" ht="21" customHeight="1">
      <c r="A44" s="21" t="str">
        <f t="shared" si="0"/>
        <v>10030_1-2/23&lt;lv38&gt;</v>
      </c>
      <c r="B44" s="31">
        <v>10030</v>
      </c>
      <c r="C44" s="35">
        <v>1</v>
      </c>
      <c r="D44" s="20" t="str">
        <f t="shared" si="31"/>
        <v>10030_1</v>
      </c>
      <c r="E44" s="5" t="str">
        <f ca="1">VLOOKUP($B44,OFFSET([1]quests!$A$1,0,0,COUNTA([1]quests!$A:$A),MATCH(E$1,[1]quests!$1:$1,0)-MATCH($B$1,[1]quests!$1:$1,0)+1),MATCH(E$1,[1]quests!$1:$1,0)-MATCH($B$1,[1]quests!$1:$1,0)+1,FALSE)</f>
        <v>陸と海</v>
      </c>
      <c r="F44" s="5" t="str">
        <f ca="1">VLOOKUP($D44,OFFSET([1]stages!$A$1,0,0,COUNTA([1]stages!$A:$A),MATCH(F$1,[1]stages!$2:$2,0)-MATCH($D$1,[1]stages!$2:$2,0)+1),MATCH(F$1,[1]stages!$2:$2,0)-MATCH($D$1,[1]stages!$2:$2,0)+1,FALSE)</f>
        <v>陸と海</v>
      </c>
      <c r="G44" s="35">
        <v>2</v>
      </c>
      <c r="H44" s="20" t="str">
        <f t="shared" si="32"/>
        <v>10030_1-2</v>
      </c>
      <c r="I44" s="36">
        <v>23</v>
      </c>
      <c r="J44" s="26" t="str">
        <f ca="1">VLOOKUP($I44,OFFSET([2]enemies!$A$1,0,0,COUNTA([2]enemies!$A:$A),MATCH(J$1,[2]enemies!$2:$2,0)-MATCH($I$1,[2]enemies!$2:$2,0)+1),MATCH(J$1,[2]enemies!$2:$2,0)-MATCH($I$1,[2]enemies!$2:$2,0)+1,FALSE)</f>
        <v>ミール</v>
      </c>
      <c r="K44" s="29" t="str">
        <f ca="1">VLOOKUP($I44,OFFSET([2]enemies!$A$1,0,0,COUNTA([2]enemies!$A:$A),MATCH(K$1,[2]enemies!$2:$2,0)-MATCH($I$1,[2]enemies!$2:$2,0)+1),MATCH(K$1,[2]enemies!$2:$2,0)-MATCH($I$1,[2]enemies!$2:$2,0)+1,FALSE)</f>
        <v>green</v>
      </c>
      <c r="L44" s="29" t="str">
        <f ca="1">VLOOKUP($I44,OFFSET([3]characters!$A$1,0,0,COUNTA([3]characters!$A:$A),MATCH(L$1,[3]characters!$2:$2,0)-MATCH($I$1,[3]characters!$2:$2,0)+1),MATCH(L$1,[3]characters!$2:$2,0)-MATCH($I$1,[3]characters!$2:$2,0)+1,FALSE)</f>
        <v>Drop1N</v>
      </c>
      <c r="M44" s="28" t="str">
        <f ca="1">VLOOKUP($I44,OFFSET([3]characters!$A$1,0,0,COUNTA([3]characters!$A:$A),MATCH(M$1,[3]characters!$2:$2,0)-MATCH($I$1,[3]characters!$2:$2,0)+2),MATCH(M$1,[3]characters!$2:$2,0)-MATCH($I$1,[3]characters!$2:$2,0)+2,FALSE)</f>
        <v>アニマル</v>
      </c>
      <c r="N44" s="5">
        <f ca="1">VLOOKUP($I44,OFFSET([2]enemies!$A$1,0,0,COUNTA([2]enemies!$A:$A),MATCH(N$1,[2]enemies!$2:$2,0)-MATCH($I$1,[2]enemies!$2:$2,0)+1),MATCH(N$1,[2]enemies!$2:$2,0)-MATCH($I$1,[2]enemies!$2:$2,0)+1,FALSE)</f>
        <v>15</v>
      </c>
      <c r="O44" s="6">
        <v>38</v>
      </c>
      <c r="P44" s="41">
        <v>1</v>
      </c>
      <c r="Q44" s="41">
        <v>1</v>
      </c>
      <c r="R44" s="6">
        <v>0</v>
      </c>
      <c r="S44" s="5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5">
        <f ca="1">VLOOKUP($I44,OFFSET([2]enemies!$A$1,0,0,COUNTA([2]enemies!$A:$A),MATCH(T$1,[2]enemies!$2:$2,0)-MATCH($I$1,[2]enemies!$2:$2,0)+1),MATCH(T$1,[2]enemies!$2:$2,0)-MATCH($I$1,[2]enemies!$2:$2,0)+1,FALSE)</f>
        <v>0</v>
      </c>
      <c r="U44" s="7">
        <v>0</v>
      </c>
      <c r="V44" s="7">
        <v>100</v>
      </c>
      <c r="W44" s="7">
        <v>0</v>
      </c>
      <c r="X44" s="26">
        <f ca="1">VLOOKUP($I44,OFFSET([2]enemies!$A$1,0,0,COUNTA([2]enemies!$A:$A),MATCH(X$1,[2]enemies!$2:$2,0)-MATCH($I$1,[2]enemies!$2:$2,0)+1),MATCH(X$1,[2]enemies!$2:$2,0)-MATCH($I$1,[2]enemies!$2:$2,0)+1,FALSE)</f>
        <v>4</v>
      </c>
      <c r="Y44" s="36">
        <v>23</v>
      </c>
      <c r="Z44" s="5" t="str">
        <f ca="1">IFERROR(VLOOKUP($Y44,OFFSET([3]characters!$A$1,0,0,COUNTA([3]characters!$A:$A),MATCH(Z$1,[3]characters!$2:$2,0)-MATCH("character_id",[3]characters!$2:$2,0)+1),MATCH(Z$1,[3]characters!$2:$2,0)-MATCH("character_id",[3]characters!$2:$2,0)+1,FALSE),"")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4" s="5">
        <f ca="1">IFERROR(VLOOKUP($Y44,OFFSET([3]characters!$A$1,0,0,COUNTA([3]characters!$A:$A),MATCH(AA$1,[3]characters!$2:$2,0)-MATCH("character_id",[3]characters!$2:$2,0)+1),MATCH(AA$1,[3]characters!$2:$2,0)-MATCH("character_id",[3]characters!$2:$2,0)+1,FALSE),"")</f>
        <v>1</v>
      </c>
      <c r="AB44" s="5" t="str">
        <f ca="1">IFERROR(VLOOKUP($Y44,OFFSET([3]characters!$A$1,0,0,COUNTA([3]characters!$A:$A),MATCH(AB$1,[3]characters!$2:$2,0)-MATCH("character_id",[3]characters!$2:$2,0)+1),MATCH(AB$1,[3]characters!$2:$2,0)-MATCH("character_id",[3]characters!$2:$2,0)+1,FALSE),"")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" s="34">
        <v>1</v>
      </c>
      <c r="AD44" s="34">
        <f t="shared" ca="1" si="33"/>
        <v>1</v>
      </c>
      <c r="AE44" s="9">
        <v>25</v>
      </c>
      <c r="AF44" s="34">
        <v>0</v>
      </c>
      <c r="AG44" s="34">
        <v>0</v>
      </c>
      <c r="AH44" s="34">
        <v>0</v>
      </c>
      <c r="AI44" s="34">
        <v>0</v>
      </c>
      <c r="AJ44" s="34">
        <v>1</v>
      </c>
    </row>
    <row r="45" spans="1:36" ht="21" customHeight="1">
      <c r="A45" s="21" t="str">
        <f t="shared" si="0"/>
        <v>10030_1-2/27&lt;lv38&gt;</v>
      </c>
      <c r="B45" s="31">
        <v>10030</v>
      </c>
      <c r="C45" s="35">
        <v>1</v>
      </c>
      <c r="D45" s="20" t="str">
        <f t="shared" si="31"/>
        <v>10030_1</v>
      </c>
      <c r="E45" s="5" t="str">
        <f ca="1">VLOOKUP($B45,OFFSET([1]quests!$A$1,0,0,COUNTA([1]quests!$A:$A),MATCH(E$1,[1]quests!$1:$1,0)-MATCH($B$1,[1]quests!$1:$1,0)+1),MATCH(E$1,[1]quests!$1:$1,0)-MATCH($B$1,[1]quests!$1:$1,0)+1,FALSE)</f>
        <v>陸と海</v>
      </c>
      <c r="F45" s="5" t="str">
        <f ca="1">VLOOKUP($D45,OFFSET([1]stages!$A$1,0,0,COUNTA([1]stages!$A:$A),MATCH(F$1,[1]stages!$2:$2,0)-MATCH($D$1,[1]stages!$2:$2,0)+1),MATCH(F$1,[1]stages!$2:$2,0)-MATCH($D$1,[1]stages!$2:$2,0)+1,FALSE)</f>
        <v>陸と海</v>
      </c>
      <c r="G45" s="35">
        <v>2</v>
      </c>
      <c r="H45" s="20" t="str">
        <f t="shared" si="32"/>
        <v>10030_1-2</v>
      </c>
      <c r="I45" s="36">
        <v>27</v>
      </c>
      <c r="J45" s="26" t="str">
        <f ca="1">VLOOKUP($I45,OFFSET([2]enemies!$A$1,0,0,COUNTA([2]enemies!$A:$A),MATCH(J$1,[2]enemies!$2:$2,0)-MATCH($I$1,[2]enemies!$2:$2,0)+1),MATCH(J$1,[2]enemies!$2:$2,0)-MATCH($I$1,[2]enemies!$2:$2,0)+1,FALSE)</f>
        <v>パトライン</v>
      </c>
      <c r="K45" s="29" t="str">
        <f ca="1">VLOOKUP($I45,OFFSET([2]enemies!$A$1,0,0,COUNTA([2]enemies!$A:$A),MATCH(K$1,[2]enemies!$2:$2,0)-MATCH($I$1,[2]enemies!$2:$2,0)+1),MATCH(K$1,[2]enemies!$2:$2,0)-MATCH($I$1,[2]enemies!$2:$2,0)+1,FALSE)</f>
        <v>green</v>
      </c>
      <c r="L45" s="29" t="str">
        <f ca="1">VLOOKUP($I45,OFFSET([3]characters!$A$1,0,0,COUNTA([3]characters!$A:$A),MATCH(L$1,[3]characters!$2:$2,0)-MATCH($I$1,[3]characters!$2:$2,0)+1),MATCH(L$1,[3]characters!$2:$2,0)-MATCH($I$1,[3]characters!$2:$2,0)+1,FALSE)</f>
        <v>Drop1N</v>
      </c>
      <c r="M45" s="28" t="str">
        <f ca="1">VLOOKUP($I45,OFFSET([3]characters!$A$1,0,0,COUNTA([3]characters!$A:$A),MATCH(M$1,[3]characters!$2:$2,0)-MATCH($I$1,[3]characters!$2:$2,0)+2),MATCH(M$1,[3]characters!$2:$2,0)-MATCH($I$1,[3]characters!$2:$2,0)+2,FALSE)</f>
        <v>マシン</v>
      </c>
      <c r="N45" s="5">
        <f ca="1">VLOOKUP($I45,OFFSET([2]enemies!$A$1,0,0,COUNTA([2]enemies!$A:$A),MATCH(N$1,[2]enemies!$2:$2,0)-MATCH($I$1,[2]enemies!$2:$2,0)+1),MATCH(N$1,[2]enemies!$2:$2,0)-MATCH($I$1,[2]enemies!$2:$2,0)+1,FALSE)</f>
        <v>15</v>
      </c>
      <c r="O45" s="6">
        <v>38</v>
      </c>
      <c r="P45" s="41">
        <v>1</v>
      </c>
      <c r="Q45" s="41">
        <v>1</v>
      </c>
      <c r="R45" s="6">
        <v>0</v>
      </c>
      <c r="S45" s="5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5">
        <f ca="1">VLOOKUP($I45,OFFSET([2]enemies!$A$1,0,0,COUNTA([2]enemies!$A:$A),MATCH(T$1,[2]enemies!$2:$2,0)-MATCH($I$1,[2]enemies!$2:$2,0)+1),MATCH(T$1,[2]enemies!$2:$2,0)-MATCH($I$1,[2]enemies!$2:$2,0)+1,FALSE)</f>
        <v>0</v>
      </c>
      <c r="U45" s="7">
        <v>0</v>
      </c>
      <c r="V45" s="7">
        <v>100</v>
      </c>
      <c r="W45" s="7">
        <v>0</v>
      </c>
      <c r="X45" s="26">
        <f ca="1">VLOOKUP($I45,OFFSET([2]enemies!$A$1,0,0,COUNTA([2]enemies!$A:$A),MATCH(X$1,[2]enemies!$2:$2,0)-MATCH($I$1,[2]enemies!$2:$2,0)+1),MATCH(X$1,[2]enemies!$2:$2,0)-MATCH($I$1,[2]enemies!$2:$2,0)+1,FALSE)</f>
        <v>1</v>
      </c>
      <c r="Y45" s="36">
        <v>27</v>
      </c>
      <c r="Z45" s="5" t="str">
        <f ca="1">IFERROR(VLOOKUP($Y45,OFFSET([3]characters!$A$1,0,0,COUNTA([3]characters!$A:$A),MATCH(Z$1,[3]characters!$2:$2,0)-MATCH("character_id",[3]characters!$2:$2,0)+1),MATCH(Z$1,[3]characters!$2:$2,0)-MATCH("character_id",[3]characters!$2:$2,0)+1,FALSE),"")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5" s="5">
        <f ca="1">IFERROR(VLOOKUP($Y45,OFFSET([3]characters!$A$1,0,0,COUNTA([3]characters!$A:$A),MATCH(AA$1,[3]characters!$2:$2,0)-MATCH("character_id",[3]characters!$2:$2,0)+1),MATCH(AA$1,[3]characters!$2:$2,0)-MATCH("character_id",[3]characters!$2:$2,0)+1,FALSE),"")</f>
        <v>1</v>
      </c>
      <c r="AB45" s="5" t="str">
        <f ca="1">IFERROR(VLOOKUP($Y45,OFFSET([3]characters!$A$1,0,0,COUNTA([3]characters!$A:$A),MATCH(AB$1,[3]characters!$2:$2,0)-MATCH("character_id",[3]characters!$2:$2,0)+1),MATCH(AB$1,[3]characters!$2:$2,0)-MATCH("character_id",[3]characters!$2:$2,0)+1,FALSE),"")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" s="34">
        <v>1</v>
      </c>
      <c r="AD45" s="34">
        <f t="shared" ca="1" si="33"/>
        <v>1</v>
      </c>
      <c r="AE45" s="9">
        <v>25</v>
      </c>
      <c r="AF45" s="34">
        <v>0</v>
      </c>
      <c r="AG45" s="34">
        <v>0</v>
      </c>
      <c r="AH45" s="34">
        <v>0</v>
      </c>
      <c r="AI45" s="34">
        <v>0</v>
      </c>
      <c r="AJ45" s="34">
        <v>1</v>
      </c>
    </row>
    <row r="46" spans="1:36" ht="21" customHeight="1">
      <c r="A46" s="21" t="str">
        <f t="shared" si="0"/>
        <v>10030_1-3/61&lt;lv38&gt;</v>
      </c>
      <c r="B46" s="31">
        <v>10030</v>
      </c>
      <c r="C46" s="35">
        <v>1</v>
      </c>
      <c r="D46" s="20" t="str">
        <f t="shared" si="31"/>
        <v>10030_1</v>
      </c>
      <c r="E46" s="5" t="str">
        <f ca="1">VLOOKUP($B46,OFFSET([1]quests!$A$1,0,0,COUNTA([1]quests!$A:$A),MATCH(E$1,[1]quests!$1:$1,0)-MATCH($B$1,[1]quests!$1:$1,0)+1),MATCH(E$1,[1]quests!$1:$1,0)-MATCH($B$1,[1]quests!$1:$1,0)+1,FALSE)</f>
        <v>陸と海</v>
      </c>
      <c r="F46" s="5" t="str">
        <f ca="1">VLOOKUP($D46,OFFSET([1]stages!$A$1,0,0,COUNTA([1]stages!$A:$A),MATCH(F$1,[1]stages!$2:$2,0)-MATCH($D$1,[1]stages!$2:$2,0)+1),MATCH(F$1,[1]stages!$2:$2,0)-MATCH($D$1,[1]stages!$2:$2,0)+1,FALSE)</f>
        <v>陸と海</v>
      </c>
      <c r="G46" s="35">
        <v>3</v>
      </c>
      <c r="H46" s="20" t="str">
        <f t="shared" si="32"/>
        <v>10030_1-3</v>
      </c>
      <c r="I46" s="38">
        <v>61</v>
      </c>
      <c r="J46" s="26" t="str">
        <f ca="1">VLOOKUP($I46,OFFSET([2]enemies!$A$1,0,0,COUNTA([2]enemies!$A:$A),MATCH(J$1,[2]enemies!$2:$2,0)-MATCH($I$1,[2]enemies!$2:$2,0)+1),MATCH(J$1,[2]enemies!$2:$2,0)-MATCH($I$1,[2]enemies!$2:$2,0)+1,FALSE)</f>
        <v>クロウ</v>
      </c>
      <c r="K46" s="29" t="str">
        <f ca="1">VLOOKUP($I46,OFFSET([2]enemies!$A$1,0,0,COUNTA([2]enemies!$A:$A),MATCH(K$1,[2]enemies!$2:$2,0)-MATCH($I$1,[2]enemies!$2:$2,0)+1),MATCH(K$1,[2]enemies!$2:$2,0)-MATCH($I$1,[2]enemies!$2:$2,0)+1,FALSE)</f>
        <v>blue</v>
      </c>
      <c r="L46" s="29" t="str">
        <f ca="1">VLOOKUP($I46,OFFSET([3]characters!$A$1,0,0,COUNTA([3]characters!$A:$A),MATCH(L$1,[3]characters!$2:$2,0)-MATCH($I$1,[3]characters!$2:$2,0)+1),MATCH(L$1,[3]characters!$2:$2,0)-MATCH($I$1,[3]characters!$2:$2,0)+1,FALSE)</f>
        <v>Drop1N</v>
      </c>
      <c r="M46" s="28" t="str">
        <f ca="1">VLOOKUP($I46,OFFSET([3]characters!$A$1,0,0,COUNTA([3]characters!$A:$A),MATCH(M$1,[3]characters!$2:$2,0)-MATCH($I$1,[3]characters!$2:$2,0)+2),MATCH(M$1,[3]characters!$2:$2,0)-MATCH($I$1,[3]characters!$2:$2,0)+2,FALSE)</f>
        <v>アニマル</v>
      </c>
      <c r="N46" s="5">
        <f ca="1">VLOOKUP($I46,OFFSET([2]enemies!$A$1,0,0,COUNTA([2]enemies!$A:$A),MATCH(N$1,[2]enemies!$2:$2,0)-MATCH($I$1,[2]enemies!$2:$2,0)+1),MATCH(N$1,[2]enemies!$2:$2,0)-MATCH($I$1,[2]enemies!$2:$2,0)+1,FALSE)</f>
        <v>15</v>
      </c>
      <c r="O46" s="6">
        <v>38</v>
      </c>
      <c r="P46" s="41">
        <v>1</v>
      </c>
      <c r="Q46" s="41">
        <v>1</v>
      </c>
      <c r="R46" s="6">
        <v>0</v>
      </c>
      <c r="S46" s="5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6" s="5">
        <f ca="1">VLOOKUP($I46,OFFSET([2]enemies!$A$1,0,0,COUNTA([2]enemies!$A:$A),MATCH(T$1,[2]enemies!$2:$2,0)-MATCH($I$1,[2]enemies!$2:$2,0)+1),MATCH(T$1,[2]enemies!$2:$2,0)-MATCH($I$1,[2]enemies!$2:$2,0)+1,FALSE)</f>
        <v>61</v>
      </c>
      <c r="U46" s="7">
        <v>0</v>
      </c>
      <c r="V46" s="7">
        <v>100</v>
      </c>
      <c r="W46" s="7">
        <v>0</v>
      </c>
      <c r="X46" s="26">
        <f ca="1">VLOOKUP($I46,OFFSET([2]enemies!$A$1,0,0,COUNTA([2]enemies!$A:$A),MATCH(X$1,[2]enemies!$2:$2,0)-MATCH($I$1,[2]enemies!$2:$2,0)+1),MATCH(X$1,[2]enemies!$2:$2,0)-MATCH($I$1,[2]enemies!$2:$2,0)+1,FALSE)</f>
        <v>2</v>
      </c>
      <c r="Y46" s="38">
        <v>61</v>
      </c>
      <c r="Z46" s="5" t="str">
        <f ca="1">IFERROR(VLOOKUP($Y46,OFFSET([3]characters!$A$1,0,0,COUNTA([3]characters!$A:$A),MATCH(Z$1,[3]characters!$2:$2,0)-MATCH("character_id",[3]characters!$2:$2,0)+1),MATCH(Z$1,[3]characters!$2:$2,0)-MATCH("character_id",[3]characters!$2:$2,0)+1,FALSE),"")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46" s="5">
        <f ca="1">IFERROR(VLOOKUP($Y46,OFFSET([3]characters!$A$1,0,0,COUNTA([3]characters!$A:$A),MATCH(AA$1,[3]characters!$2:$2,0)-MATCH("character_id",[3]characters!$2:$2,0)+1),MATCH(AA$1,[3]characters!$2:$2,0)-MATCH("character_id",[3]characters!$2:$2,0)+1,FALSE),"")</f>
        <v>2</v>
      </c>
      <c r="AB46" s="5" t="str">
        <f ca="1">IFERROR(VLOOKUP($Y46,OFFSET([3]characters!$A$1,0,0,COUNTA([3]characters!$A:$A),MATCH(AB$1,[3]characters!$2:$2,0)-MATCH("character_id",[3]characters!$2:$2,0)+1),MATCH(AB$1,[3]characters!$2:$2,0)-MATCH("character_id",[3]characters!$2:$2,0)+1,FALSE),"")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" s="34">
        <v>1</v>
      </c>
      <c r="AD46" s="34">
        <f t="shared" ca="1" si="33"/>
        <v>2</v>
      </c>
      <c r="AE46" s="9">
        <v>25</v>
      </c>
      <c r="AF46" s="34">
        <v>0</v>
      </c>
      <c r="AG46" s="34">
        <v>0</v>
      </c>
      <c r="AH46" s="34">
        <v>0</v>
      </c>
      <c r="AI46" s="34">
        <v>0</v>
      </c>
      <c r="AJ46" s="34">
        <v>1</v>
      </c>
    </row>
    <row r="47" spans="1:36" ht="21" customHeight="1">
      <c r="A47" s="21" t="str">
        <f t="shared" si="0"/>
        <v>10030_1-3/43&lt;lv38&gt;</v>
      </c>
      <c r="B47" s="31">
        <v>10030</v>
      </c>
      <c r="C47" s="35">
        <v>1</v>
      </c>
      <c r="D47" s="20" t="str">
        <f t="shared" si="31"/>
        <v>10030_1</v>
      </c>
      <c r="E47" s="5" t="str">
        <f ca="1">VLOOKUP($B47,OFFSET([1]quests!$A$1,0,0,COUNTA([1]quests!$A:$A),MATCH(E$1,[1]quests!$1:$1,0)-MATCH($B$1,[1]quests!$1:$1,0)+1),MATCH(E$1,[1]quests!$1:$1,0)-MATCH($B$1,[1]quests!$1:$1,0)+1,FALSE)</f>
        <v>陸と海</v>
      </c>
      <c r="F47" s="5" t="str">
        <f ca="1">VLOOKUP($D47,OFFSET([1]stages!$A$1,0,0,COUNTA([1]stages!$A:$A),MATCH(F$1,[1]stages!$2:$2,0)-MATCH($D$1,[1]stages!$2:$2,0)+1),MATCH(F$1,[1]stages!$2:$2,0)-MATCH($D$1,[1]stages!$2:$2,0)+1,FALSE)</f>
        <v>陸と海</v>
      </c>
      <c r="G47" s="35">
        <v>3</v>
      </c>
      <c r="H47" s="20" t="str">
        <f t="shared" si="32"/>
        <v>10030_1-3</v>
      </c>
      <c r="I47" s="38">
        <v>43</v>
      </c>
      <c r="J47" s="26" t="str">
        <f ca="1">VLOOKUP($I47,OFFSET([2]enemies!$A$1,0,0,COUNTA([2]enemies!$A:$A),MATCH(J$1,[2]enemies!$2:$2,0)-MATCH($I$1,[2]enemies!$2:$2,0)+1),MATCH(J$1,[2]enemies!$2:$2,0)-MATCH($I$1,[2]enemies!$2:$2,0)+1,FALSE)</f>
        <v>ムゥ</v>
      </c>
      <c r="K47" s="29" t="str">
        <f ca="1">VLOOKUP($I47,OFFSET([2]enemies!$A$1,0,0,COUNTA([2]enemies!$A:$A),MATCH(K$1,[2]enemies!$2:$2,0)-MATCH($I$1,[2]enemies!$2:$2,0)+1),MATCH(K$1,[2]enemies!$2:$2,0)-MATCH($I$1,[2]enemies!$2:$2,0)+1,FALSE)</f>
        <v>green</v>
      </c>
      <c r="L47" s="29" t="str">
        <f ca="1">VLOOKUP($I47,OFFSET([3]characters!$A$1,0,0,COUNTA([3]characters!$A:$A),MATCH(L$1,[3]characters!$2:$2,0)-MATCH($I$1,[3]characters!$2:$2,0)+1),MATCH(L$1,[3]characters!$2:$2,0)-MATCH($I$1,[3]characters!$2:$2,0)+1,FALSE)</f>
        <v>Drop1N</v>
      </c>
      <c r="M47" s="28" t="str">
        <f ca="1">VLOOKUP($I47,OFFSET([3]characters!$A$1,0,0,COUNTA([3]characters!$A:$A),MATCH(M$1,[3]characters!$2:$2,0)-MATCH($I$1,[3]characters!$2:$2,0)+2),MATCH(M$1,[3]characters!$2:$2,0)-MATCH($I$1,[3]characters!$2:$2,0)+2,FALSE)</f>
        <v>ドラゴン</v>
      </c>
      <c r="N47" s="5">
        <f ca="1">VLOOKUP($I47,OFFSET([2]enemies!$A$1,0,0,COUNTA([2]enemies!$A:$A),MATCH(N$1,[2]enemies!$2:$2,0)-MATCH($I$1,[2]enemies!$2:$2,0)+1),MATCH(N$1,[2]enemies!$2:$2,0)-MATCH($I$1,[2]enemies!$2:$2,0)+1,FALSE)</f>
        <v>15</v>
      </c>
      <c r="O47" s="6">
        <v>38</v>
      </c>
      <c r="P47" s="41">
        <v>1</v>
      </c>
      <c r="Q47" s="41">
        <v>1</v>
      </c>
      <c r="R47" s="6">
        <v>0</v>
      </c>
      <c r="S47" s="5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5">
        <f ca="1">VLOOKUP($I47,OFFSET([2]enemies!$A$1,0,0,COUNTA([2]enemies!$A:$A),MATCH(T$1,[2]enemies!$2:$2,0)-MATCH($I$1,[2]enemies!$2:$2,0)+1),MATCH(T$1,[2]enemies!$2:$2,0)-MATCH($I$1,[2]enemies!$2:$2,0)+1,FALSE)</f>
        <v>0</v>
      </c>
      <c r="U47" s="7">
        <v>1</v>
      </c>
      <c r="V47" s="7">
        <v>100</v>
      </c>
      <c r="W47" s="7">
        <v>0</v>
      </c>
      <c r="X47" s="26">
        <f ca="1">VLOOKUP($I47,OFFSET([2]enemies!$A$1,0,0,COUNTA([2]enemies!$A:$A),MATCH(X$1,[2]enemies!$2:$2,0)-MATCH($I$1,[2]enemies!$2:$2,0)+1),MATCH(X$1,[2]enemies!$2:$2,0)-MATCH($I$1,[2]enemies!$2:$2,0)+1,FALSE)</f>
        <v>2</v>
      </c>
      <c r="Y47" s="38">
        <v>43</v>
      </c>
      <c r="Z47" s="5" t="str">
        <f ca="1">IFERROR(VLOOKUP($Y47,OFFSET([3]characters!$A$1,0,0,COUNTA([3]characters!$A:$A),MATCH(Z$1,[3]characters!$2:$2,0)-MATCH("character_id",[3]characters!$2:$2,0)+1),MATCH(Z$1,[3]characters!$2:$2,0)-MATCH("character_id",[3]characters!$2:$2,0)+1,FALSE),"")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7" s="5">
        <f ca="1">IFERROR(VLOOKUP($Y47,OFFSET([3]characters!$A$1,0,0,COUNTA([3]characters!$A:$A),MATCH(AA$1,[3]characters!$2:$2,0)-MATCH("character_id",[3]characters!$2:$2,0)+1),MATCH(AA$1,[3]characters!$2:$2,0)-MATCH("character_id",[3]characters!$2:$2,0)+1,FALSE),"")</f>
        <v>2</v>
      </c>
      <c r="AB47" s="5" t="str">
        <f ca="1">IFERROR(VLOOKUP($Y47,OFFSET([3]characters!$A$1,0,0,COUNTA([3]characters!$A:$A),MATCH(AB$1,[3]characters!$2:$2,0)-MATCH("character_id",[3]characters!$2:$2,0)+1),MATCH(AB$1,[3]characters!$2:$2,0)-MATCH("character_id",[3]characters!$2:$2,0)+1,FALSE),"")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" s="34">
        <v>1</v>
      </c>
      <c r="AD47" s="34">
        <f t="shared" ca="1" si="33"/>
        <v>2</v>
      </c>
      <c r="AE47" s="9">
        <v>25</v>
      </c>
      <c r="AF47" s="34">
        <v>0</v>
      </c>
      <c r="AG47" s="34">
        <v>0</v>
      </c>
      <c r="AH47" s="34">
        <v>0</v>
      </c>
      <c r="AI47" s="34">
        <v>0</v>
      </c>
      <c r="AJ47" s="34">
        <v>1</v>
      </c>
    </row>
    <row r="48" spans="1:36" ht="21" customHeight="1">
      <c r="A48" s="21" t="str">
        <f t="shared" si="0"/>
        <v>10030_1-4/59&lt;lv41&gt;</v>
      </c>
      <c r="B48" s="31">
        <v>10030</v>
      </c>
      <c r="C48" s="35">
        <v>1</v>
      </c>
      <c r="D48" s="20" t="str">
        <f t="shared" si="31"/>
        <v>10030_1</v>
      </c>
      <c r="E48" s="5" t="str">
        <f ca="1">VLOOKUP($B48,OFFSET([1]quests!$A$1,0,0,COUNTA([1]quests!$A:$A),MATCH(E$1,[1]quests!$1:$1,0)-MATCH($B$1,[1]quests!$1:$1,0)+1),MATCH(E$1,[1]quests!$1:$1,0)-MATCH($B$1,[1]quests!$1:$1,0)+1,FALSE)</f>
        <v>陸と海</v>
      </c>
      <c r="F48" s="5" t="str">
        <f ca="1">VLOOKUP($D48,OFFSET([1]stages!$A$1,0,0,COUNTA([1]stages!$A:$A),MATCH(F$1,[1]stages!$2:$2,0)-MATCH($D$1,[1]stages!$2:$2,0)+1),MATCH(F$1,[1]stages!$2:$2,0)-MATCH($D$1,[1]stages!$2:$2,0)+1,FALSE)</f>
        <v>陸と海</v>
      </c>
      <c r="G48" s="35">
        <v>4</v>
      </c>
      <c r="H48" s="20" t="str">
        <f t="shared" si="32"/>
        <v>10030_1-4</v>
      </c>
      <c r="I48" s="38">
        <v>59</v>
      </c>
      <c r="J48" s="26" t="str">
        <f ca="1">VLOOKUP($I48,OFFSET([2]enemies!$A$1,0,0,COUNTA([2]enemies!$A:$A),MATCH(J$1,[2]enemies!$2:$2,0)-MATCH($I$1,[2]enemies!$2:$2,0)+1),MATCH(J$1,[2]enemies!$2:$2,0)-MATCH($I$1,[2]enemies!$2:$2,0)+1,FALSE)</f>
        <v>マーチ</v>
      </c>
      <c r="K48" s="29" t="str">
        <f ca="1">VLOOKUP($I48,OFFSET([2]enemies!$A$1,0,0,COUNTA([2]enemies!$A:$A),MATCH(K$1,[2]enemies!$2:$2,0)-MATCH($I$1,[2]enemies!$2:$2,0)+1),MATCH(K$1,[2]enemies!$2:$2,0)-MATCH($I$1,[2]enemies!$2:$2,0)+1,FALSE)</f>
        <v>green</v>
      </c>
      <c r="L48" s="29" t="str">
        <f ca="1">VLOOKUP($I48,OFFSET([3]characters!$A$1,0,0,COUNTA([3]characters!$A:$A),MATCH(L$1,[3]characters!$2:$2,0)-MATCH($I$1,[3]characters!$2:$2,0)+1),MATCH(L$1,[3]characters!$2:$2,0)-MATCH($I$1,[3]characters!$2:$2,0)+1,FALSE)</f>
        <v>Drop1N</v>
      </c>
      <c r="M48" s="28" t="str">
        <f ca="1">VLOOKUP($I48,OFFSET([3]characters!$A$1,0,0,COUNTA([3]characters!$A:$A),MATCH(M$1,[3]characters!$2:$2,0)-MATCH($I$1,[3]characters!$2:$2,0)+2),MATCH(M$1,[3]characters!$2:$2,0)-MATCH($I$1,[3]characters!$2:$2,0)+2,FALSE)</f>
        <v>アニマル</v>
      </c>
      <c r="N48" s="5">
        <f ca="1">VLOOKUP($I48,OFFSET([2]enemies!$A$1,0,0,COUNTA([2]enemies!$A:$A),MATCH(N$1,[2]enemies!$2:$2,0)-MATCH($I$1,[2]enemies!$2:$2,0)+1),MATCH(N$1,[2]enemies!$2:$2,0)-MATCH($I$1,[2]enemies!$2:$2,0)+1,FALSE)</f>
        <v>15</v>
      </c>
      <c r="O48" s="6">
        <v>41</v>
      </c>
      <c r="P48" s="41">
        <v>1</v>
      </c>
      <c r="Q48" s="41">
        <v>1</v>
      </c>
      <c r="R48" s="6">
        <v>0</v>
      </c>
      <c r="S48" s="5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8" s="5">
        <f ca="1">VLOOKUP($I48,OFFSET([2]enemies!$A$1,0,0,COUNTA([2]enemies!$A:$A),MATCH(T$1,[2]enemies!$2:$2,0)-MATCH($I$1,[2]enemies!$2:$2,0)+1),MATCH(T$1,[2]enemies!$2:$2,0)-MATCH($I$1,[2]enemies!$2:$2,0)+1,FALSE)</f>
        <v>59</v>
      </c>
      <c r="U48" s="7">
        <v>1</v>
      </c>
      <c r="V48" s="7">
        <v>100</v>
      </c>
      <c r="W48" s="7">
        <v>0</v>
      </c>
      <c r="X48" s="26">
        <f ca="1">VLOOKUP($I48,OFFSET([2]enemies!$A$1,0,0,COUNTA([2]enemies!$A:$A),MATCH(X$1,[2]enemies!$2:$2,0)-MATCH($I$1,[2]enemies!$2:$2,0)+1),MATCH(X$1,[2]enemies!$2:$2,0)-MATCH($I$1,[2]enemies!$2:$2,0)+1,FALSE)</f>
        <v>2</v>
      </c>
      <c r="Y48" s="38">
        <v>59</v>
      </c>
      <c r="Z48" s="5" t="str">
        <f ca="1">IFERROR(VLOOKUP($Y48,OFFSET([3]characters!$A$1,0,0,COUNTA([3]characters!$A:$A),MATCH(Z$1,[3]characters!$2:$2,0)-MATCH("character_id",[3]characters!$2:$2,0)+1),MATCH(Z$1,[3]characters!$2:$2,0)-MATCH("character_id",[3]characters!$2:$2,0)+1,FALSE),"")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48" s="5">
        <f ca="1">IFERROR(VLOOKUP($Y48,OFFSET([3]characters!$A$1,0,0,COUNTA([3]characters!$A:$A),MATCH(AA$1,[3]characters!$2:$2,0)-MATCH("character_id",[3]characters!$2:$2,0)+1),MATCH(AA$1,[3]characters!$2:$2,0)-MATCH("character_id",[3]characters!$2:$2,0)+1,FALSE),"")</f>
        <v>2</v>
      </c>
      <c r="AB48" s="5" t="str">
        <f ca="1">IFERROR(VLOOKUP($Y48,OFFSET([3]characters!$A$1,0,0,COUNTA([3]characters!$A:$A),MATCH(AB$1,[3]characters!$2:$2,0)-MATCH("character_id",[3]characters!$2:$2,0)+1),MATCH(AB$1,[3]characters!$2:$2,0)-MATCH("character_id",[3]characters!$2:$2,0)+1,FALSE),"")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" s="34">
        <v>1</v>
      </c>
      <c r="AD48" s="34">
        <f t="shared" ca="1" si="33"/>
        <v>2</v>
      </c>
      <c r="AE48" s="9">
        <v>25</v>
      </c>
      <c r="AF48" s="34">
        <v>0</v>
      </c>
      <c r="AG48" s="34">
        <v>0</v>
      </c>
      <c r="AH48" s="34">
        <v>0</v>
      </c>
      <c r="AI48" s="34">
        <v>0</v>
      </c>
      <c r="AJ48" s="34">
        <v>1</v>
      </c>
    </row>
    <row r="49" spans="1:36" ht="21" customHeight="1">
      <c r="A49" s="21" t="str">
        <f t="shared" si="0"/>
        <v>10030_1-4/45&lt;lv41&gt;</v>
      </c>
      <c r="B49" s="31">
        <v>10030</v>
      </c>
      <c r="C49" s="35">
        <v>1</v>
      </c>
      <c r="D49" s="20" t="str">
        <f t="shared" si="31"/>
        <v>10030_1</v>
      </c>
      <c r="E49" s="5" t="str">
        <f ca="1">VLOOKUP($B49,OFFSET([1]quests!$A$1,0,0,COUNTA([1]quests!$A:$A),MATCH(E$1,[1]quests!$1:$1,0)-MATCH($B$1,[1]quests!$1:$1,0)+1),MATCH(E$1,[1]quests!$1:$1,0)-MATCH($B$1,[1]quests!$1:$1,0)+1,FALSE)</f>
        <v>陸と海</v>
      </c>
      <c r="F49" s="5" t="str">
        <f ca="1">VLOOKUP($D49,OFFSET([1]stages!$A$1,0,0,COUNTA([1]stages!$A:$A),MATCH(F$1,[1]stages!$2:$2,0)-MATCH($D$1,[1]stages!$2:$2,0)+1),MATCH(F$1,[1]stages!$2:$2,0)-MATCH($D$1,[1]stages!$2:$2,0)+1,FALSE)</f>
        <v>陸と海</v>
      </c>
      <c r="G49" s="35">
        <v>4</v>
      </c>
      <c r="H49" s="20" t="str">
        <f t="shared" si="32"/>
        <v>10030_1-4</v>
      </c>
      <c r="I49" s="37">
        <v>45</v>
      </c>
      <c r="J49" s="26" t="str">
        <f ca="1">VLOOKUP($I49,OFFSET([2]enemies!$A$1,0,0,COUNTA([2]enemies!$A:$A),MATCH(J$1,[2]enemies!$2:$2,0)-MATCH($I$1,[2]enemies!$2:$2,0)+1),MATCH(J$1,[2]enemies!$2:$2,0)-MATCH($I$1,[2]enemies!$2:$2,0)+1,FALSE)</f>
        <v>ショウイン</v>
      </c>
      <c r="K49" s="29" t="str">
        <f ca="1">VLOOKUP($I49,OFFSET([2]enemies!$A$1,0,0,COUNTA([2]enemies!$A:$A),MATCH(K$1,[2]enemies!$2:$2,0)-MATCH($I$1,[2]enemies!$2:$2,0)+1),MATCH(K$1,[2]enemies!$2:$2,0)-MATCH($I$1,[2]enemies!$2:$2,0)+1,FALSE)</f>
        <v>blue</v>
      </c>
      <c r="L49" s="29" t="str">
        <f ca="1">VLOOKUP($I49,OFFSET([3]characters!$A$1,0,0,COUNTA([3]characters!$A:$A),MATCH(L$1,[3]characters!$2:$2,0)-MATCH($I$1,[3]characters!$2:$2,0)+1),MATCH(L$1,[3]characters!$2:$2,0)-MATCH($I$1,[3]characters!$2:$2,0)+1,FALSE)</f>
        <v>Drop1N</v>
      </c>
      <c r="M49" s="28" t="str">
        <f ca="1">VLOOKUP($I49,OFFSET([3]characters!$A$1,0,0,COUNTA([3]characters!$A:$A),MATCH(M$1,[3]characters!$2:$2,0)-MATCH($I$1,[3]characters!$2:$2,0)+2),MATCH(M$1,[3]characters!$2:$2,0)-MATCH($I$1,[3]characters!$2:$2,0)+2,FALSE)</f>
        <v>アニマル</v>
      </c>
      <c r="N49" s="5">
        <f ca="1">VLOOKUP($I49,OFFSET([2]enemies!$A$1,0,0,COUNTA([2]enemies!$A:$A),MATCH(N$1,[2]enemies!$2:$2,0)-MATCH($I$1,[2]enemies!$2:$2,0)+1),MATCH(N$1,[2]enemies!$2:$2,0)-MATCH($I$1,[2]enemies!$2:$2,0)+1,FALSE)</f>
        <v>15</v>
      </c>
      <c r="O49" s="6">
        <v>41</v>
      </c>
      <c r="P49" s="41">
        <v>1</v>
      </c>
      <c r="Q49" s="41">
        <v>1</v>
      </c>
      <c r="R49" s="6">
        <v>0</v>
      </c>
      <c r="S49" s="5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5">
        <f ca="1">VLOOKUP($I49,OFFSET([2]enemies!$A$1,0,0,COUNTA([2]enemies!$A:$A),MATCH(T$1,[2]enemies!$2:$2,0)-MATCH($I$1,[2]enemies!$2:$2,0)+1),MATCH(T$1,[2]enemies!$2:$2,0)-MATCH($I$1,[2]enemies!$2:$2,0)+1,FALSE)</f>
        <v>0</v>
      </c>
      <c r="U49" s="7">
        <v>2</v>
      </c>
      <c r="V49" s="7">
        <v>100</v>
      </c>
      <c r="W49" s="7">
        <v>0</v>
      </c>
      <c r="X49" s="26">
        <f ca="1">VLOOKUP($I49,OFFSET([2]enemies!$A$1,0,0,COUNTA([2]enemies!$A:$A),MATCH(X$1,[2]enemies!$2:$2,0)-MATCH($I$1,[2]enemies!$2:$2,0)+1),MATCH(X$1,[2]enemies!$2:$2,0)-MATCH($I$1,[2]enemies!$2:$2,0)+1,FALSE)</f>
        <v>3</v>
      </c>
      <c r="Y49" s="37">
        <v>45</v>
      </c>
      <c r="Z49" s="5" t="str">
        <f ca="1">IFERROR(VLOOKUP($Y49,OFFSET([3]characters!$A$1,0,0,COUNTA([3]characters!$A:$A),MATCH(Z$1,[3]characters!$2:$2,0)-MATCH("character_id",[3]characters!$2:$2,0)+1),MATCH(Z$1,[3]characters!$2:$2,0)-MATCH("character_id",[3]characters!$2:$2,0)+1,FALSE),"")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9" s="5">
        <f ca="1">IFERROR(VLOOKUP($Y49,OFFSET([3]characters!$A$1,0,0,COUNTA([3]characters!$A:$A),MATCH(AA$1,[3]characters!$2:$2,0)-MATCH("character_id",[3]characters!$2:$2,0)+1),MATCH(AA$1,[3]characters!$2:$2,0)-MATCH("character_id",[3]characters!$2:$2,0)+1,FALSE),"")</f>
        <v>2</v>
      </c>
      <c r="AB49" s="5" t="str">
        <f ca="1">IFERROR(VLOOKUP($Y49,OFFSET([3]characters!$A$1,0,0,COUNTA([3]characters!$A:$A),MATCH(AB$1,[3]characters!$2:$2,0)-MATCH("character_id",[3]characters!$2:$2,0)+1),MATCH(AB$1,[3]characters!$2:$2,0)-MATCH("character_id",[3]characters!$2:$2,0)+1,FALSE),"")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" s="34">
        <v>1</v>
      </c>
      <c r="AD49" s="34">
        <f t="shared" ca="1" si="33"/>
        <v>2</v>
      </c>
      <c r="AE49" s="9">
        <v>25</v>
      </c>
      <c r="AF49" s="34">
        <v>0</v>
      </c>
      <c r="AG49" s="34">
        <v>0</v>
      </c>
      <c r="AH49" s="34">
        <v>0</v>
      </c>
      <c r="AI49" s="34">
        <v>0</v>
      </c>
      <c r="AJ49" s="34">
        <v>1</v>
      </c>
    </row>
    <row r="50" spans="1:36" ht="21" customHeight="1">
      <c r="A50" s="21" t="str">
        <f t="shared" si="0"/>
        <v>10030_1-5/185&lt;lv32&gt;</v>
      </c>
      <c r="B50" s="31">
        <v>10030</v>
      </c>
      <c r="C50" s="35">
        <v>1</v>
      </c>
      <c r="D50" s="20" t="str">
        <f t="shared" si="31"/>
        <v>10030_1</v>
      </c>
      <c r="E50" s="5" t="str">
        <f ca="1">VLOOKUP($B50,OFFSET([1]quests!$A$1,0,0,COUNTA([1]quests!$A:$A),MATCH(E$1,[1]quests!$1:$1,0)-MATCH($B$1,[1]quests!$1:$1,0)+1),MATCH(E$1,[1]quests!$1:$1,0)-MATCH($B$1,[1]quests!$1:$1,0)+1,FALSE)</f>
        <v>陸と海</v>
      </c>
      <c r="F50" s="5" t="str">
        <f ca="1">VLOOKUP($D50,OFFSET([1]stages!$A$1,0,0,COUNTA([1]stages!$A:$A),MATCH(F$1,[1]stages!$2:$2,0)-MATCH($D$1,[1]stages!$2:$2,0)+1),MATCH(F$1,[1]stages!$2:$2,0)-MATCH($D$1,[1]stages!$2:$2,0)+1,FALSE)</f>
        <v>陸と海</v>
      </c>
      <c r="G50" s="35">
        <v>5</v>
      </c>
      <c r="H50" s="20" t="str">
        <f t="shared" si="32"/>
        <v>10030_1-5</v>
      </c>
      <c r="I50" s="37">
        <v>185</v>
      </c>
      <c r="J50" s="26" t="str">
        <f ca="1">VLOOKUP($I50,OFFSET([2]enemies!$A$1,0,0,COUNTA([2]enemies!$A:$A),MATCH(J$1,[2]enemies!$2:$2,0)-MATCH($I$1,[2]enemies!$2:$2,0)+1),MATCH(J$1,[2]enemies!$2:$2,0)-MATCH($I$1,[2]enemies!$2:$2,0)+1,FALSE)</f>
        <v>海姫 クラーケン</v>
      </c>
      <c r="K50" s="29" t="str">
        <f ca="1">VLOOKUP($I50,OFFSET([2]enemies!$A$1,0,0,COUNTA([2]enemies!$A:$A),MATCH(K$1,[2]enemies!$2:$2,0)-MATCH($I$1,[2]enemies!$2:$2,0)+1),MATCH(K$1,[2]enemies!$2:$2,0)-MATCH($I$1,[2]enemies!$2:$2,0)+1,FALSE)</f>
        <v>blue</v>
      </c>
      <c r="L50" s="29" t="str">
        <f ca="1">VLOOKUP($I50,OFFSET([3]characters!$A$1,0,0,COUNTA([3]characters!$A:$A),MATCH(L$1,[3]characters!$2:$2,0)-MATCH($I$1,[3]characters!$2:$2,0)+1),MATCH(L$1,[3]characters!$2:$2,0)-MATCH($I$1,[3]characters!$2:$2,0)+1,FALSE)</f>
        <v>PremiumN</v>
      </c>
      <c r="M50" s="28" t="str">
        <f ca="1">VLOOKUP($I50,OFFSET([3]characters!$A$1,0,0,COUNTA([3]characters!$A:$A),MATCH(M$1,[3]characters!$2:$2,0)-MATCH($I$1,[3]characters!$2:$2,0)+2),MATCH(M$1,[3]characters!$2:$2,0)-MATCH($I$1,[3]characters!$2:$2,0)+2,FALSE)</f>
        <v>アニマル</v>
      </c>
      <c r="N50" s="5">
        <f ca="1">VLOOKUP($I50,OFFSET([2]enemies!$A$1,0,0,COUNTA([2]enemies!$A:$A),MATCH(N$1,[2]enemies!$2:$2,0)-MATCH($I$1,[2]enemies!$2:$2,0)+1),MATCH(N$1,[2]enemies!$2:$2,0)-MATCH($I$1,[2]enemies!$2:$2,0)+1,FALSE)</f>
        <v>30</v>
      </c>
      <c r="O50" s="6">
        <v>32</v>
      </c>
      <c r="P50" s="41">
        <v>1</v>
      </c>
      <c r="Q50" s="41">
        <v>1</v>
      </c>
      <c r="R50" s="6">
        <v>0</v>
      </c>
      <c r="S50" s="5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3ターンの間行動できない</v>
      </c>
      <c r="T50" s="5">
        <f ca="1">VLOOKUP($I50,OFFSET([2]enemies!$A$1,0,0,COUNTA([2]enemies!$A:$A),MATCH(T$1,[2]enemies!$2:$2,0)-MATCH($I$1,[2]enemies!$2:$2,0)+1),MATCH(T$1,[2]enemies!$2:$2,0)-MATCH($I$1,[2]enemies!$2:$2,0)+1,FALSE)</f>
        <v>185</v>
      </c>
      <c r="U50" s="7">
        <v>1</v>
      </c>
      <c r="V50" s="7">
        <v>100</v>
      </c>
      <c r="W50" s="7">
        <v>1</v>
      </c>
      <c r="X50" s="26">
        <f ca="1">VLOOKUP($I50,OFFSET([2]enemies!$A$1,0,0,COUNTA([2]enemies!$A:$A),MATCH(X$1,[2]enemies!$2:$2,0)-MATCH($I$1,[2]enemies!$2:$2,0)+1),MATCH(X$1,[2]enemies!$2:$2,0)-MATCH($I$1,[2]enemies!$2:$2,0)+1,FALSE)</f>
        <v>3</v>
      </c>
      <c r="Y50" s="37">
        <v>184</v>
      </c>
      <c r="Z50" s="5" t="str">
        <f ca="1">IFERROR(VLOOKUP($Y50,OFFSET([3]characters!$A$1,0,0,COUNTA([3]characters!$A:$A),MATCH(Z$1,[3]characters!$2:$2,0)-MATCH("character_id",[3]characters!$2:$2,0)+1),MATCH(Z$1,[3]characters!$2:$2,0)-MATCH("character_id",[3]characters!$2:$2,0)+1,FALSE),"")</f>
        <v>クラーケン</v>
      </c>
      <c r="AA50" s="5">
        <f ca="1">IFERROR(VLOOKUP($Y50,OFFSET([3]characters!$A$1,0,0,COUNTA([3]characters!$A:$A),MATCH(AA$1,[3]characters!$2:$2,0)-MATCH("character_id",[3]characters!$2:$2,0)+1),MATCH(AA$1,[3]characters!$2:$2,0)-MATCH("character_id",[3]characters!$2:$2,0)+1,FALSE),"")</f>
        <v>3</v>
      </c>
      <c r="AB50" s="5" t="str">
        <f ca="1">IFERROR(VLOOKUP($Y50,OFFSET([3]characters!$A$1,0,0,COUNTA([3]characters!$A:$A),MATCH(AB$1,[3]characters!$2:$2,0)-MATCH("character_id",[3]characters!$2:$2,0)+1),MATCH(AB$1,[3]characters!$2:$2,0)-MATCH("character_id",[3]characters!$2:$2,0)+1,FALSE),"")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50" s="34">
        <v>1</v>
      </c>
      <c r="AD50" s="34">
        <f t="shared" ca="1" si="33"/>
        <v>3</v>
      </c>
      <c r="AE50" s="9">
        <v>0</v>
      </c>
      <c r="AF50" s="34">
        <v>0</v>
      </c>
      <c r="AG50" s="34">
        <v>0</v>
      </c>
      <c r="AH50" s="34">
        <v>0</v>
      </c>
      <c r="AI50" s="34">
        <v>0</v>
      </c>
      <c r="AJ50" s="34">
        <v>1</v>
      </c>
    </row>
    <row r="51" spans="1:36" ht="21" customHeight="1">
      <c r="A51" s="21" t="str">
        <f t="shared" si="0"/>
        <v>10030_1-5/182&lt;lv31&gt;</v>
      </c>
      <c r="B51" s="31">
        <v>10030</v>
      </c>
      <c r="C51" s="35">
        <v>1</v>
      </c>
      <c r="D51" s="20" t="str">
        <f t="shared" ref="D51:D62" si="34">B51&amp;"_"&amp;C51</f>
        <v>10030_1</v>
      </c>
      <c r="E51" s="5" t="str">
        <f ca="1">VLOOKUP($B51,OFFSET([1]quests!$A$1,0,0,COUNTA([1]quests!$A:$A),MATCH(E$1,[1]quests!$1:$1,0)-MATCH($B$1,[1]quests!$1:$1,0)+1),MATCH(E$1,[1]quests!$1:$1,0)-MATCH($B$1,[1]quests!$1:$1,0)+1,FALSE)</f>
        <v>陸と海</v>
      </c>
      <c r="F51" s="5" t="str">
        <f ca="1">VLOOKUP($D51,OFFSET([1]stages!$A$1,0,0,COUNTA([1]stages!$A:$A),MATCH(F$1,[1]stages!$2:$2,0)-MATCH($D$1,[1]stages!$2:$2,0)+1),MATCH(F$1,[1]stages!$2:$2,0)-MATCH($D$1,[1]stages!$2:$2,0)+1,FALSE)</f>
        <v>陸と海</v>
      </c>
      <c r="G51" s="35">
        <v>5</v>
      </c>
      <c r="H51" s="20" t="str">
        <f t="shared" ref="H51:H62" si="35">B51&amp;"_"&amp;C51&amp;"-"&amp;G51</f>
        <v>10030_1-5</v>
      </c>
      <c r="I51" s="37">
        <v>182</v>
      </c>
      <c r="J51" s="26" t="str">
        <f ca="1">VLOOKUP($I51,OFFSET([2]enemies!$A$1,0,0,COUNTA([2]enemies!$A:$A),MATCH(J$1,[2]enemies!$2:$2,0)-MATCH($I$1,[2]enemies!$2:$2,0)+1),MATCH(J$1,[2]enemies!$2:$2,0)-MATCH($I$1,[2]enemies!$2:$2,0)+1,FALSE)</f>
        <v>放蕩者 ベヒモス</v>
      </c>
      <c r="K51" s="29" t="str">
        <f ca="1">VLOOKUP($I51,OFFSET([2]enemies!$A$1,0,0,COUNTA([2]enemies!$A:$A),MATCH(K$1,[2]enemies!$2:$2,0)-MATCH($I$1,[2]enemies!$2:$2,0)+1),MATCH(K$1,[2]enemies!$2:$2,0)-MATCH($I$1,[2]enemies!$2:$2,0)+1,FALSE)</f>
        <v>green</v>
      </c>
      <c r="L51" s="29" t="str">
        <f ca="1">VLOOKUP($I51,OFFSET([3]characters!$A$1,0,0,COUNTA([3]characters!$A:$A),MATCH(L$1,[3]characters!$2:$2,0)-MATCH($I$1,[3]characters!$2:$2,0)+1),MATCH(L$1,[3]characters!$2:$2,0)-MATCH($I$1,[3]characters!$2:$2,0)+1,FALSE)</f>
        <v>PremiumN</v>
      </c>
      <c r="M51" s="28" t="str">
        <f ca="1">VLOOKUP($I51,OFFSET([3]characters!$A$1,0,0,COUNTA([3]characters!$A:$A),MATCH(M$1,[3]characters!$2:$2,0)-MATCH($I$1,[3]characters!$2:$2,0)+2),MATCH(M$1,[3]characters!$2:$2,0)-MATCH($I$1,[3]characters!$2:$2,0)+2,FALSE)</f>
        <v>アニマル</v>
      </c>
      <c r="N51" s="5">
        <f ca="1">VLOOKUP($I51,OFFSET([2]enemies!$A$1,0,0,COUNTA([2]enemies!$A:$A),MATCH(N$1,[2]enemies!$2:$2,0)-MATCH($I$1,[2]enemies!$2:$2,0)+1),MATCH(N$1,[2]enemies!$2:$2,0)-MATCH($I$1,[2]enemies!$2:$2,0)+1,FALSE)</f>
        <v>30</v>
      </c>
      <c r="O51" s="6">
        <v>31</v>
      </c>
      <c r="P51" s="41">
        <v>1</v>
      </c>
      <c r="Q51" s="41">
        <v>1</v>
      </c>
      <c r="R51" s="6">
        <v>0</v>
      </c>
      <c r="S51" s="5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全体攻撃</v>
      </c>
      <c r="T51" s="5">
        <f ca="1">VLOOKUP($I51,OFFSET([2]enemies!$A$1,0,0,COUNTA([2]enemies!$A:$A),MATCH(T$1,[2]enemies!$2:$2,0)-MATCH($I$1,[2]enemies!$2:$2,0)+1),MATCH(T$1,[2]enemies!$2:$2,0)-MATCH($I$1,[2]enemies!$2:$2,0)+1,FALSE)</f>
        <v>182</v>
      </c>
      <c r="U51" s="7">
        <v>1</v>
      </c>
      <c r="V51" s="7">
        <v>100</v>
      </c>
      <c r="W51" s="7">
        <v>1</v>
      </c>
      <c r="X51" s="26">
        <f ca="1">VLOOKUP($I51,OFFSET([2]enemies!$A$1,0,0,COUNTA([2]enemies!$A:$A),MATCH(X$1,[2]enemies!$2:$2,0)-MATCH($I$1,[2]enemies!$2:$2,0)+1),MATCH(X$1,[2]enemies!$2:$2,0)-MATCH($I$1,[2]enemies!$2:$2,0)+1,FALSE)</f>
        <v>2</v>
      </c>
      <c r="Y51" s="37">
        <v>181</v>
      </c>
      <c r="Z51" s="5" t="str">
        <f ca="1">IFERROR(VLOOKUP($Y51,OFFSET([3]characters!$A$1,0,0,COUNTA([3]characters!$A:$A),MATCH(Z$1,[3]characters!$2:$2,0)-MATCH("character_id",[3]characters!$2:$2,0)+1),MATCH(Z$1,[3]characters!$2:$2,0)-MATCH("character_id",[3]characters!$2:$2,0)+1,FALSE),"")</f>
        <v>ベヒモス</v>
      </c>
      <c r="AA51" s="5">
        <f ca="1">IFERROR(VLOOKUP($Y51,OFFSET([3]characters!$A$1,0,0,COUNTA([3]characters!$A:$A),MATCH(AA$1,[3]characters!$2:$2,0)-MATCH("character_id",[3]characters!$2:$2,0)+1),MATCH(AA$1,[3]characters!$2:$2,0)-MATCH("character_id",[3]characters!$2:$2,0)+1,FALSE),"")</f>
        <v>3</v>
      </c>
      <c r="AB51" s="5" t="str">
        <f ca="1">IFERROR(VLOOKUP($Y51,OFFSET([3]characters!$A$1,0,0,COUNTA([3]characters!$A:$A),MATCH(AB$1,[3]characters!$2:$2,0)-MATCH("character_id",[3]characters!$2:$2,0)+1),MATCH(AB$1,[3]characters!$2:$2,0)-MATCH("character_id",[3]characters!$2:$2,0)+1,FALSE),"")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51" s="34">
        <v>1</v>
      </c>
      <c r="AD51" s="34">
        <f t="shared" ref="AD51:AD62" ca="1" si="36">AA51</f>
        <v>3</v>
      </c>
      <c r="AE51" s="9">
        <v>0</v>
      </c>
      <c r="AF51" s="34">
        <v>0</v>
      </c>
      <c r="AG51" s="34">
        <v>0</v>
      </c>
      <c r="AH51" s="34">
        <v>0</v>
      </c>
      <c r="AI51" s="34">
        <v>0</v>
      </c>
      <c r="AJ51" s="34">
        <v>1</v>
      </c>
    </row>
    <row r="52" spans="1:36" ht="21" customHeight="1">
      <c r="A52" s="21" t="str">
        <f t="shared" si="0"/>
        <v>10035_1-1/21&lt;lv44&gt;</v>
      </c>
      <c r="B52" s="31">
        <v>10035</v>
      </c>
      <c r="C52" s="35">
        <v>1</v>
      </c>
      <c r="D52" s="20" t="str">
        <f t="shared" si="34"/>
        <v>10035_1</v>
      </c>
      <c r="E52" s="5" t="str">
        <f ca="1">VLOOKUP($B52,OFFSET([1]quests!$A$1,0,0,COUNTA([1]quests!$A:$A),MATCH(E$1,[1]quests!$1:$1,0)-MATCH($B$1,[1]quests!$1:$1,0)+1),MATCH(E$1,[1]quests!$1:$1,0)-MATCH($B$1,[1]quests!$1:$1,0)+1,FALSE)</f>
        <v>二人の関係は？</v>
      </c>
      <c r="F52" s="5" t="str">
        <f ca="1">VLOOKUP($D52,OFFSET([1]stages!$A$1,0,0,COUNTA([1]stages!$A:$A),MATCH(F$1,[1]stages!$2:$2,0)-MATCH($D$1,[1]stages!$2:$2,0)+1),MATCH(F$1,[1]stages!$2:$2,0)-MATCH($D$1,[1]stages!$2:$2,0)+1,FALSE)</f>
        <v>二人の関係は？</v>
      </c>
      <c r="G52" s="35">
        <v>1</v>
      </c>
      <c r="H52" s="20" t="str">
        <f t="shared" si="35"/>
        <v>10035_1-1</v>
      </c>
      <c r="I52" s="37">
        <v>21</v>
      </c>
      <c r="J52" s="26" t="str">
        <f ca="1">VLOOKUP($I52,OFFSET([2]enemies!$A$1,0,0,COUNTA([2]enemies!$A:$A),MATCH(J$1,[2]enemies!$2:$2,0)-MATCH($I$1,[2]enemies!$2:$2,0)+1),MATCH(J$1,[2]enemies!$2:$2,0)-MATCH($I$1,[2]enemies!$2:$2,0)+1,FALSE)</f>
        <v>ヴェロキー</v>
      </c>
      <c r="K52" s="29" t="str">
        <f ca="1">VLOOKUP($I52,OFFSET([2]enemies!$A$1,0,0,COUNTA([2]enemies!$A:$A),MATCH(K$1,[2]enemies!$2:$2,0)-MATCH($I$1,[2]enemies!$2:$2,0)+1),MATCH(K$1,[2]enemies!$2:$2,0)-MATCH($I$1,[2]enemies!$2:$2,0)+1,FALSE)</f>
        <v>red</v>
      </c>
      <c r="L52" s="29" t="str">
        <f ca="1">VLOOKUP($I52,OFFSET([3]characters!$A$1,0,0,COUNTA([3]characters!$A:$A),MATCH(L$1,[3]characters!$2:$2,0)-MATCH($I$1,[3]characters!$2:$2,0)+1),MATCH(L$1,[3]characters!$2:$2,0)-MATCH($I$1,[3]characters!$2:$2,0)+1,FALSE)</f>
        <v>Drop1N</v>
      </c>
      <c r="M52" s="28" t="str">
        <f ca="1">VLOOKUP($I52,OFFSET([3]characters!$A$1,0,0,COUNTA([3]characters!$A:$A),MATCH(M$1,[3]characters!$2:$2,0)-MATCH($I$1,[3]characters!$2:$2,0)+2),MATCH(M$1,[3]characters!$2:$2,0)-MATCH($I$1,[3]characters!$2:$2,0)+2,FALSE)</f>
        <v>ドラゴン</v>
      </c>
      <c r="N52" s="5">
        <f ca="1">VLOOKUP($I52,OFFSET([2]enemies!$A$1,0,0,COUNTA([2]enemies!$A:$A),MATCH(N$1,[2]enemies!$2:$2,0)-MATCH($I$1,[2]enemies!$2:$2,0)+1),MATCH(N$1,[2]enemies!$2:$2,0)-MATCH($I$1,[2]enemies!$2:$2,0)+1,FALSE)</f>
        <v>15</v>
      </c>
      <c r="O52" s="6">
        <v>44</v>
      </c>
      <c r="P52" s="41">
        <v>1</v>
      </c>
      <c r="Q52" s="41">
        <v>1</v>
      </c>
      <c r="R52" s="6">
        <v>0</v>
      </c>
      <c r="S52" s="5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" s="5">
        <f ca="1">VLOOKUP($I52,OFFSET([2]enemies!$A$1,0,0,COUNTA([2]enemies!$A:$A),MATCH(T$1,[2]enemies!$2:$2,0)-MATCH($I$1,[2]enemies!$2:$2,0)+1),MATCH(T$1,[2]enemies!$2:$2,0)-MATCH($I$1,[2]enemies!$2:$2,0)+1,FALSE)</f>
        <v>0</v>
      </c>
      <c r="U52" s="7">
        <v>0</v>
      </c>
      <c r="V52" s="7">
        <v>100</v>
      </c>
      <c r="W52" s="7">
        <v>0</v>
      </c>
      <c r="X52" s="26">
        <f ca="1">VLOOKUP($I52,OFFSET([2]enemies!$A$1,0,0,COUNTA([2]enemies!$A:$A),MATCH(X$1,[2]enemies!$2:$2,0)-MATCH($I$1,[2]enemies!$2:$2,0)+1),MATCH(X$1,[2]enemies!$2:$2,0)-MATCH($I$1,[2]enemies!$2:$2,0)+1,FALSE)</f>
        <v>2</v>
      </c>
      <c r="Y52" s="37">
        <v>21</v>
      </c>
      <c r="Z52" s="5" t="str">
        <f ca="1">IFERROR(VLOOKUP($Y52,OFFSET([3]characters!$A$1,0,0,COUNTA([3]characters!$A:$A),MATCH(Z$1,[3]characters!$2:$2,0)-MATCH("character_id",[3]characters!$2:$2,0)+1),MATCH(Z$1,[3]characters!$2:$2,0)-MATCH("character_id",[3]characters!$2:$2,0)+1,FALSE),"")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2" s="5">
        <f ca="1">IFERROR(VLOOKUP($Y52,OFFSET([3]characters!$A$1,0,0,COUNTA([3]characters!$A:$A),MATCH(AA$1,[3]characters!$2:$2,0)-MATCH("character_id",[3]characters!$2:$2,0)+1),MATCH(AA$1,[3]characters!$2:$2,0)-MATCH("character_id",[3]characters!$2:$2,0)+1,FALSE),"")</f>
        <v>1</v>
      </c>
      <c r="AB52" s="5" t="str">
        <f ca="1">IFERROR(VLOOKUP($Y52,OFFSET([3]characters!$A$1,0,0,COUNTA([3]characters!$A:$A),MATCH(AB$1,[3]characters!$2:$2,0)-MATCH("character_id",[3]characters!$2:$2,0)+1),MATCH(AB$1,[3]characters!$2:$2,0)-MATCH("character_id",[3]characters!$2:$2,0)+1,FALSE),"")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" s="34">
        <v>1</v>
      </c>
      <c r="AD52" s="34">
        <f t="shared" ca="1" si="36"/>
        <v>1</v>
      </c>
      <c r="AE52" s="9">
        <v>25</v>
      </c>
      <c r="AF52" s="34">
        <v>0</v>
      </c>
      <c r="AG52" s="34">
        <v>0</v>
      </c>
      <c r="AH52" s="34">
        <v>0</v>
      </c>
      <c r="AI52" s="34">
        <v>0</v>
      </c>
      <c r="AJ52" s="34">
        <v>1</v>
      </c>
    </row>
    <row r="53" spans="1:36" ht="21" customHeight="1">
      <c r="A53" s="21" t="str">
        <f t="shared" ref="A53:A96" si="37">B53&amp;"_"&amp;C53&amp;"-"&amp;G53&amp;"/"&amp;I53&amp;"&lt;lv"&amp;O53&amp;"&gt;"</f>
        <v>10035_1-1/9&lt;lv44&gt;</v>
      </c>
      <c r="B53" s="31">
        <v>10035</v>
      </c>
      <c r="C53" s="35">
        <v>1</v>
      </c>
      <c r="D53" s="20" t="str">
        <f t="shared" si="34"/>
        <v>10035_1</v>
      </c>
      <c r="E53" s="5" t="str">
        <f ca="1">VLOOKUP($B53,OFFSET([1]quests!$A$1,0,0,COUNTA([1]quests!$A:$A),MATCH(E$1,[1]quests!$1:$1,0)-MATCH($B$1,[1]quests!$1:$1,0)+1),MATCH(E$1,[1]quests!$1:$1,0)-MATCH($B$1,[1]quests!$1:$1,0)+1,FALSE)</f>
        <v>二人の関係は？</v>
      </c>
      <c r="F53" s="5" t="str">
        <f ca="1">VLOOKUP($D53,OFFSET([1]stages!$A$1,0,0,COUNTA([1]stages!$A:$A),MATCH(F$1,[1]stages!$2:$2,0)-MATCH($D$1,[1]stages!$2:$2,0)+1),MATCH(F$1,[1]stages!$2:$2,0)-MATCH($D$1,[1]stages!$2:$2,0)+1,FALSE)</f>
        <v>二人の関係は？</v>
      </c>
      <c r="G53" s="35">
        <v>1</v>
      </c>
      <c r="H53" s="20" t="str">
        <f t="shared" si="35"/>
        <v>10035_1-1</v>
      </c>
      <c r="I53" s="36">
        <v>9</v>
      </c>
      <c r="J53" s="26" t="str">
        <f ca="1">VLOOKUP($I53,OFFSET([2]enemies!$A$1,0,0,COUNTA([2]enemies!$A:$A),MATCH(J$1,[2]enemies!$2:$2,0)-MATCH($I$1,[2]enemies!$2:$2,0)+1),MATCH(J$1,[2]enemies!$2:$2,0)-MATCH($I$1,[2]enemies!$2:$2,0)+1,FALSE)</f>
        <v>ブレット</v>
      </c>
      <c r="K53" s="29" t="str">
        <f ca="1">VLOOKUP($I53,OFFSET([2]enemies!$A$1,0,0,COUNTA([2]enemies!$A:$A),MATCH(K$1,[2]enemies!$2:$2,0)-MATCH($I$1,[2]enemies!$2:$2,0)+1),MATCH(K$1,[2]enemies!$2:$2,0)-MATCH($I$1,[2]enemies!$2:$2,0)+1,FALSE)</f>
        <v>red</v>
      </c>
      <c r="L53" s="29" t="str">
        <f ca="1">VLOOKUP($I53,OFFSET([3]characters!$A$1,0,0,COUNTA([3]characters!$A:$A),MATCH(L$1,[3]characters!$2:$2,0)-MATCH($I$1,[3]characters!$2:$2,0)+1),MATCH(L$1,[3]characters!$2:$2,0)-MATCH($I$1,[3]characters!$2:$2,0)+1,FALSE)</f>
        <v>Drop1W</v>
      </c>
      <c r="M53" s="28" t="str">
        <f ca="1">VLOOKUP($I53,OFFSET([3]characters!$A$1,0,0,COUNTA([3]characters!$A:$A),MATCH(M$1,[3]characters!$2:$2,0)-MATCH($I$1,[3]characters!$2:$2,0)+2),MATCH(M$1,[3]characters!$2:$2,0)-MATCH($I$1,[3]characters!$2:$2,0)+2,FALSE)</f>
        <v>アニマル</v>
      </c>
      <c r="N53" s="5">
        <f ca="1">VLOOKUP($I53,OFFSET([2]enemies!$A$1,0,0,COUNTA([2]enemies!$A:$A),MATCH(N$1,[2]enemies!$2:$2,0)-MATCH($I$1,[2]enemies!$2:$2,0)+1),MATCH(N$1,[2]enemies!$2:$2,0)-MATCH($I$1,[2]enemies!$2:$2,0)+1,FALSE)</f>
        <v>15</v>
      </c>
      <c r="O53" s="6">
        <v>44</v>
      </c>
      <c r="P53" s="41">
        <v>1</v>
      </c>
      <c r="Q53" s="41">
        <v>1</v>
      </c>
      <c r="R53" s="6">
        <v>0</v>
      </c>
      <c r="S53" s="5" t="str">
        <f ca="1">VLOOKUP($T53,OFFSET([4]enemy_skill_sets!$B$1,0,0,COUNTA([4]enemy_skill_sets!$B:$B),MATCH(J$1,[4]enemy_skill_sets!$1:$1,0)-MATCH($T$1,[4]enemy_skill_sets!$1:$1,0)+2),MATCH(J$1,[4]enemy_skill_sets!$1:$1,0)-MATCH($T$1,[4]enemy_skill_sets!$1:$1,0)+2,FALSE)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" s="5">
        <f ca="1">VLOOKUP($I53,OFFSET([2]enemies!$A$1,0,0,COUNTA([2]enemies!$A:$A),MATCH(T$1,[2]enemies!$2:$2,0)-MATCH($I$1,[2]enemies!$2:$2,0)+1),MATCH(T$1,[2]enemies!$2:$2,0)-MATCH($I$1,[2]enemies!$2:$2,0)+1,FALSE)</f>
        <v>0</v>
      </c>
      <c r="U53" s="7">
        <v>0</v>
      </c>
      <c r="V53" s="7">
        <v>100</v>
      </c>
      <c r="W53" s="7">
        <v>0</v>
      </c>
      <c r="X53" s="26">
        <f ca="1">VLOOKUP($I53,OFFSET([2]enemies!$A$1,0,0,COUNTA([2]enemies!$A:$A),MATCH(X$1,[2]enemies!$2:$2,0)-MATCH($I$1,[2]enemies!$2:$2,0)+1),MATCH(X$1,[2]enemies!$2:$2,0)-MATCH($I$1,[2]enemies!$2:$2,0)+1,FALSE)</f>
        <v>2</v>
      </c>
      <c r="Y53" s="36">
        <v>9</v>
      </c>
      <c r="Z53" s="5" t="str">
        <f ca="1">IFERROR(VLOOKUP($Y53,OFFSET([3]characters!$A$1,0,0,COUNTA([3]characters!$A:$A),MATCH(Z$1,[3]characters!$2:$2,0)-MATCH("character_id",[3]characters!$2:$2,0)+1),MATCH(Z$1,[3]characters!$2:$2,0)-MATCH("character_id",[3]characters!$2:$2,0)+1,FALSE),"")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53" s="5">
        <f ca="1">IFERROR(VLOOKUP($Y53,OFFSET([3]characters!$A$1,0,0,COUNTA([3]characters!$A:$A),MATCH(AA$1,[3]characters!$2:$2,0)-MATCH("character_id",[3]characters!$2:$2,0)+1),MATCH(AA$1,[3]characters!$2:$2,0)-MATCH("character_id",[3]characters!$2:$2,0)+1,FALSE),"")</f>
        <v>1</v>
      </c>
      <c r="AB53" s="5" t="str">
        <f ca="1">IFERROR(VLOOKUP($Y53,OFFSET([3]characters!$A$1,0,0,COUNTA([3]characters!$A:$A),MATCH(AB$1,[3]characters!$2:$2,0)-MATCH("character_id",[3]characters!$2:$2,0)+1),MATCH(AB$1,[3]characters!$2:$2,0)-MATCH("character_id",[3]characters!$2:$2,0)+1,FALSE),"")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3" s="34">
        <v>1</v>
      </c>
      <c r="AD53" s="34">
        <f t="shared" ca="1" si="36"/>
        <v>1</v>
      </c>
      <c r="AE53" s="9">
        <v>25</v>
      </c>
      <c r="AF53" s="34">
        <v>0</v>
      </c>
      <c r="AG53" s="34">
        <v>0</v>
      </c>
      <c r="AH53" s="34">
        <v>0</v>
      </c>
      <c r="AI53" s="34">
        <v>0</v>
      </c>
      <c r="AJ53" s="34">
        <v>1</v>
      </c>
    </row>
    <row r="54" spans="1:36" ht="21" customHeight="1">
      <c r="A54" s="21" t="str">
        <f t="shared" si="37"/>
        <v>10035_1-2/13&lt;lv44&gt;</v>
      </c>
      <c r="B54" s="31">
        <v>10035</v>
      </c>
      <c r="C54" s="35">
        <v>1</v>
      </c>
      <c r="D54" s="20" t="str">
        <f t="shared" si="34"/>
        <v>10035_1</v>
      </c>
      <c r="E54" s="5" t="str">
        <f ca="1">VLOOKUP($B54,OFFSET([1]quests!$A$1,0,0,COUNTA([1]quests!$A:$A),MATCH(E$1,[1]quests!$1:$1,0)-MATCH($B$1,[1]quests!$1:$1,0)+1),MATCH(E$1,[1]quests!$1:$1,0)-MATCH($B$1,[1]quests!$1:$1,0)+1,FALSE)</f>
        <v>二人の関係は？</v>
      </c>
      <c r="F54" s="5" t="str">
        <f ca="1">VLOOKUP($D54,OFFSET([1]stages!$A$1,0,0,COUNTA([1]stages!$A:$A),MATCH(F$1,[1]stages!$2:$2,0)-MATCH($D$1,[1]stages!$2:$2,0)+1),MATCH(F$1,[1]stages!$2:$2,0)-MATCH($D$1,[1]stages!$2:$2,0)+1,FALSE)</f>
        <v>二人の関係は？</v>
      </c>
      <c r="G54" s="35">
        <v>2</v>
      </c>
      <c r="H54" s="20" t="str">
        <f t="shared" si="35"/>
        <v>10035_1-2</v>
      </c>
      <c r="I54" s="36">
        <v>13</v>
      </c>
      <c r="J54" s="26" t="str">
        <f ca="1">VLOOKUP($I54,OFFSET([2]enemies!$A$1,0,0,COUNTA([2]enemies!$A:$A),MATCH(J$1,[2]enemies!$2:$2,0)-MATCH($I$1,[2]enemies!$2:$2,0)+1),MATCH(J$1,[2]enemies!$2:$2,0)-MATCH($I$1,[2]enemies!$2:$2,0)+1,FALSE)</f>
        <v>ミミ</v>
      </c>
      <c r="K54" s="29" t="str">
        <f ca="1">VLOOKUP($I54,OFFSET([2]enemies!$A$1,0,0,COUNTA([2]enemies!$A:$A),MATCH(K$1,[2]enemies!$2:$2,0)-MATCH($I$1,[2]enemies!$2:$2,0)+1),MATCH(K$1,[2]enemies!$2:$2,0)-MATCH($I$1,[2]enemies!$2:$2,0)+1,FALSE)</f>
        <v>yellow</v>
      </c>
      <c r="L54" s="29" t="str">
        <f ca="1">VLOOKUP($I54,OFFSET([3]characters!$A$1,0,0,COUNTA([3]characters!$A:$A),MATCH(L$1,[3]characters!$2:$2,0)-MATCH($I$1,[3]characters!$2:$2,0)+1),MATCH(L$1,[3]characters!$2:$2,0)-MATCH($I$1,[3]characters!$2:$2,0)+1,FALSE)</f>
        <v>Drop1W</v>
      </c>
      <c r="M54" s="28" t="str">
        <f ca="1">VLOOKUP($I54,OFFSET([3]characters!$A$1,0,0,COUNTA([3]characters!$A:$A),MATCH(M$1,[3]characters!$2:$2,0)-MATCH($I$1,[3]characters!$2:$2,0)+2),MATCH(M$1,[3]characters!$2:$2,0)-MATCH($I$1,[3]characters!$2:$2,0)+2,FALSE)</f>
        <v>アニマル</v>
      </c>
      <c r="N54" s="5">
        <f ca="1">VLOOKUP($I54,OFFSET([2]enemies!$A$1,0,0,COUNTA([2]enemies!$A:$A),MATCH(N$1,[2]enemies!$2:$2,0)-MATCH($I$1,[2]enemies!$2:$2,0)+1),MATCH(N$1,[2]enemies!$2:$2,0)-MATCH($I$1,[2]enemies!$2:$2,0)+1,FALSE)</f>
        <v>15</v>
      </c>
      <c r="O54" s="6">
        <v>44</v>
      </c>
      <c r="P54" s="41">
        <v>1</v>
      </c>
      <c r="Q54" s="41">
        <v>1</v>
      </c>
      <c r="R54" s="6">
        <v>0</v>
      </c>
      <c r="S54" s="5" t="str">
        <f ca="1">VLOOKUP($T54,OFFSET([4]enemy_skill_sets!$B$1,0,0,COUNTA([4]enemy_skill_sets!$B:$B),MATCH(J$1,[4]enemy_skill_sets!$1:$1,0)-MATCH($T$1,[4]enemy_skill_sets!$1:$1,0)+2),MATCH(J$1,[4]enemy_skill_sets!$1:$1,0)-MATCH($T$1,[4]enemy_skill_sets!$1:$1,0)+2,FALSE)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" s="5">
        <f ca="1">VLOOKUP($I54,OFFSET([2]enemies!$A$1,0,0,COUNTA([2]enemies!$A:$A),MATCH(T$1,[2]enemies!$2:$2,0)-MATCH($I$1,[2]enemies!$2:$2,0)+1),MATCH(T$1,[2]enemies!$2:$2,0)-MATCH($I$1,[2]enemies!$2:$2,0)+1,FALSE)</f>
        <v>0</v>
      </c>
      <c r="U54" s="7">
        <v>0</v>
      </c>
      <c r="V54" s="7">
        <v>100</v>
      </c>
      <c r="W54" s="7">
        <v>0</v>
      </c>
      <c r="X54" s="26">
        <f ca="1">VLOOKUP($I54,OFFSET([2]enemies!$A$1,0,0,COUNTA([2]enemies!$A:$A),MATCH(X$1,[2]enemies!$2:$2,0)-MATCH($I$1,[2]enemies!$2:$2,0)+1),MATCH(X$1,[2]enemies!$2:$2,0)-MATCH($I$1,[2]enemies!$2:$2,0)+1,FALSE)</f>
        <v>2</v>
      </c>
      <c r="Y54" s="36">
        <v>13</v>
      </c>
      <c r="Z54" s="5" t="str">
        <f ca="1">IFERROR(VLOOKUP($Y54,OFFSET([3]characters!$A$1,0,0,COUNTA([3]characters!$A:$A),MATCH(Z$1,[3]characters!$2:$2,0)-MATCH("character_id",[3]characters!$2:$2,0)+1),MATCH(Z$1,[3]characters!$2:$2,0)-MATCH("character_id",[3]characters!$2:$2,0)+1,FALSE),"")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54" s="5">
        <f ca="1">IFERROR(VLOOKUP($Y54,OFFSET([3]characters!$A$1,0,0,COUNTA([3]characters!$A:$A),MATCH(AA$1,[3]characters!$2:$2,0)-MATCH("character_id",[3]characters!$2:$2,0)+1),MATCH(AA$1,[3]characters!$2:$2,0)-MATCH("character_id",[3]characters!$2:$2,0)+1,FALSE),"")</f>
        <v>1</v>
      </c>
      <c r="AB54" s="5" t="str">
        <f ca="1">IFERROR(VLOOKUP($Y54,OFFSET([3]characters!$A$1,0,0,COUNTA([3]characters!$A:$A),MATCH(AB$1,[3]characters!$2:$2,0)-MATCH("character_id",[3]characters!$2:$2,0)+1),MATCH(AB$1,[3]characters!$2:$2,0)-MATCH("character_id",[3]characters!$2:$2,0)+1,FALSE),"")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4" s="34">
        <v>1</v>
      </c>
      <c r="AD54" s="34">
        <f t="shared" ca="1" si="36"/>
        <v>1</v>
      </c>
      <c r="AE54" s="9">
        <v>25</v>
      </c>
      <c r="AF54" s="34">
        <v>0</v>
      </c>
      <c r="AG54" s="34">
        <v>0</v>
      </c>
      <c r="AH54" s="34">
        <v>0</v>
      </c>
      <c r="AI54" s="34">
        <v>0</v>
      </c>
      <c r="AJ54" s="34">
        <v>1</v>
      </c>
    </row>
    <row r="55" spans="1:36" ht="21" customHeight="1">
      <c r="A55" s="21" t="str">
        <f t="shared" si="37"/>
        <v>10035_1-2/15&lt;lv44&gt;</v>
      </c>
      <c r="B55" s="31">
        <v>10035</v>
      </c>
      <c r="C55" s="35">
        <v>1</v>
      </c>
      <c r="D55" s="20" t="str">
        <f t="shared" si="34"/>
        <v>10035_1</v>
      </c>
      <c r="E55" s="5" t="str">
        <f ca="1">VLOOKUP($B55,OFFSET([1]quests!$A$1,0,0,COUNTA([1]quests!$A:$A),MATCH(E$1,[1]quests!$1:$1,0)-MATCH($B$1,[1]quests!$1:$1,0)+1),MATCH(E$1,[1]quests!$1:$1,0)-MATCH($B$1,[1]quests!$1:$1,0)+1,FALSE)</f>
        <v>二人の関係は？</v>
      </c>
      <c r="F55" s="5" t="str">
        <f ca="1">VLOOKUP($D55,OFFSET([1]stages!$A$1,0,0,COUNTA([1]stages!$A:$A),MATCH(F$1,[1]stages!$2:$2,0)-MATCH($D$1,[1]stages!$2:$2,0)+1),MATCH(F$1,[1]stages!$2:$2,0)-MATCH($D$1,[1]stages!$2:$2,0)+1,FALSE)</f>
        <v>二人の関係は？</v>
      </c>
      <c r="G55" s="35">
        <v>2</v>
      </c>
      <c r="H55" s="20" t="str">
        <f t="shared" si="35"/>
        <v>10035_1-2</v>
      </c>
      <c r="I55" s="36">
        <v>15</v>
      </c>
      <c r="J55" s="26" t="str">
        <f ca="1">VLOOKUP($I55,OFFSET([2]enemies!$A$1,0,0,COUNTA([2]enemies!$A:$A),MATCH(J$1,[2]enemies!$2:$2,0)-MATCH($I$1,[2]enemies!$2:$2,0)+1),MATCH(J$1,[2]enemies!$2:$2,0)-MATCH($I$1,[2]enemies!$2:$2,0)+1,FALSE)</f>
        <v>アカネ</v>
      </c>
      <c r="K55" s="29" t="str">
        <f ca="1">VLOOKUP($I55,OFFSET([2]enemies!$A$1,0,0,COUNTA([2]enemies!$A:$A),MATCH(K$1,[2]enemies!$2:$2,0)-MATCH($I$1,[2]enemies!$2:$2,0)+1),MATCH(K$1,[2]enemies!$2:$2,0)-MATCH($I$1,[2]enemies!$2:$2,0)+1,FALSE)</f>
        <v>red</v>
      </c>
      <c r="L55" s="29" t="str">
        <f ca="1">VLOOKUP($I55,OFFSET([3]characters!$A$1,0,0,COUNTA([3]characters!$A:$A),MATCH(L$1,[3]characters!$2:$2,0)-MATCH($I$1,[3]characters!$2:$2,0)+1),MATCH(L$1,[3]characters!$2:$2,0)-MATCH($I$1,[3]characters!$2:$2,0)+1,FALSE)</f>
        <v>Drop1W</v>
      </c>
      <c r="M55" s="28" t="str">
        <f ca="1">VLOOKUP($I55,OFFSET([3]characters!$A$1,0,0,COUNTA([3]characters!$A:$A),MATCH(M$1,[3]characters!$2:$2,0)-MATCH($I$1,[3]characters!$2:$2,0)+2),MATCH(M$1,[3]characters!$2:$2,0)-MATCH($I$1,[3]characters!$2:$2,0)+2,FALSE)</f>
        <v>ヒューマン</v>
      </c>
      <c r="N55" s="5">
        <f ca="1">VLOOKUP($I55,OFFSET([2]enemies!$A$1,0,0,COUNTA([2]enemies!$A:$A),MATCH(N$1,[2]enemies!$2:$2,0)-MATCH($I$1,[2]enemies!$2:$2,0)+1),MATCH(N$1,[2]enemies!$2:$2,0)-MATCH($I$1,[2]enemies!$2:$2,0)+1,FALSE)</f>
        <v>15</v>
      </c>
      <c r="O55" s="6">
        <v>44</v>
      </c>
      <c r="P55" s="41">
        <v>1</v>
      </c>
      <c r="Q55" s="41">
        <v>1</v>
      </c>
      <c r="R55" s="6">
        <v>0</v>
      </c>
      <c r="S55" s="5" t="str">
        <f ca="1">VLOOKUP($T55,OFFSET([4]enemy_skill_sets!$B$1,0,0,COUNTA([4]enemy_skill_sets!$B:$B),MATCH(J$1,[4]enemy_skill_sets!$1:$1,0)-MATCH($T$1,[4]enemy_skill_sets!$1:$1,0)+2),MATCH(J$1,[4]enemy_skill_sets!$1:$1,0)-MATCH($T$1,[4]enemy_skill_sets!$1:$1,0)+2,FALSE)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" s="5">
        <f ca="1">VLOOKUP($I55,OFFSET([2]enemies!$A$1,0,0,COUNTA([2]enemies!$A:$A),MATCH(T$1,[2]enemies!$2:$2,0)-MATCH($I$1,[2]enemies!$2:$2,0)+1),MATCH(T$1,[2]enemies!$2:$2,0)-MATCH($I$1,[2]enemies!$2:$2,0)+1,FALSE)</f>
        <v>0</v>
      </c>
      <c r="U55" s="7">
        <v>0</v>
      </c>
      <c r="V55" s="7">
        <v>100</v>
      </c>
      <c r="W55" s="7">
        <v>0</v>
      </c>
      <c r="X55" s="26">
        <f ca="1">VLOOKUP($I55,OFFSET([2]enemies!$A$1,0,0,COUNTA([2]enemies!$A:$A),MATCH(X$1,[2]enemies!$2:$2,0)-MATCH($I$1,[2]enemies!$2:$2,0)+1),MATCH(X$1,[2]enemies!$2:$2,0)-MATCH($I$1,[2]enemies!$2:$2,0)+1,FALSE)</f>
        <v>3</v>
      </c>
      <c r="Y55" s="36">
        <v>15</v>
      </c>
      <c r="Z55" s="5" t="str">
        <f ca="1">IFERROR(VLOOKUP($Y55,OFFSET([3]characters!$A$1,0,0,COUNTA([3]characters!$A:$A),MATCH(Z$1,[3]characters!$2:$2,0)-MATCH("character_id",[3]characters!$2:$2,0)+1),MATCH(Z$1,[3]characters!$2:$2,0)-MATCH("character_id",[3]characters!$2:$2,0)+1,FALSE),"")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55" s="5">
        <f ca="1">IFERROR(VLOOKUP($Y55,OFFSET([3]characters!$A$1,0,0,COUNTA([3]characters!$A:$A),MATCH(AA$1,[3]characters!$2:$2,0)-MATCH("character_id",[3]characters!$2:$2,0)+1),MATCH(AA$1,[3]characters!$2:$2,0)-MATCH("character_id",[3]characters!$2:$2,0)+1,FALSE),"")</f>
        <v>1</v>
      </c>
      <c r="AB55" s="5" t="str">
        <f ca="1">IFERROR(VLOOKUP($Y55,OFFSET([3]characters!$A$1,0,0,COUNTA([3]characters!$A:$A),MATCH(AB$1,[3]characters!$2:$2,0)-MATCH("character_id",[3]characters!$2:$2,0)+1),MATCH(AB$1,[3]characters!$2:$2,0)-MATCH("character_id",[3]characters!$2:$2,0)+1,FALSE),"")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5" s="34">
        <v>1</v>
      </c>
      <c r="AD55" s="34">
        <f t="shared" ca="1" si="36"/>
        <v>1</v>
      </c>
      <c r="AE55" s="9">
        <v>25</v>
      </c>
      <c r="AF55" s="34">
        <v>0</v>
      </c>
      <c r="AG55" s="34">
        <v>0</v>
      </c>
      <c r="AH55" s="34">
        <v>0</v>
      </c>
      <c r="AI55" s="34">
        <v>0</v>
      </c>
      <c r="AJ55" s="34">
        <v>1</v>
      </c>
    </row>
    <row r="56" spans="1:36" ht="21" customHeight="1">
      <c r="A56" s="21" t="str">
        <f t="shared" si="37"/>
        <v>10035_1-2/31&lt;lv44&gt;</v>
      </c>
      <c r="B56" s="31">
        <v>10035</v>
      </c>
      <c r="C56" s="35">
        <v>1</v>
      </c>
      <c r="D56" s="20" t="str">
        <f t="shared" si="34"/>
        <v>10035_1</v>
      </c>
      <c r="E56" s="5" t="str">
        <f ca="1">VLOOKUP($B56,OFFSET([1]quests!$A$1,0,0,COUNTA([1]quests!$A:$A),MATCH(E$1,[1]quests!$1:$1,0)-MATCH($B$1,[1]quests!$1:$1,0)+1),MATCH(E$1,[1]quests!$1:$1,0)-MATCH($B$1,[1]quests!$1:$1,0)+1,FALSE)</f>
        <v>二人の関係は？</v>
      </c>
      <c r="F56" s="5" t="str">
        <f ca="1">VLOOKUP($D56,OFFSET([1]stages!$A$1,0,0,COUNTA([1]stages!$A:$A),MATCH(F$1,[1]stages!$2:$2,0)-MATCH($D$1,[1]stages!$2:$2,0)+1),MATCH(F$1,[1]stages!$2:$2,0)-MATCH($D$1,[1]stages!$2:$2,0)+1,FALSE)</f>
        <v>二人の関係は？</v>
      </c>
      <c r="G56" s="35">
        <v>2</v>
      </c>
      <c r="H56" s="20" t="str">
        <f t="shared" si="35"/>
        <v>10035_1-2</v>
      </c>
      <c r="I56" s="36">
        <v>31</v>
      </c>
      <c r="J56" s="26" t="str">
        <f ca="1">VLOOKUP($I56,OFFSET([2]enemies!$A$1,0,0,COUNTA([2]enemies!$A:$A),MATCH(J$1,[2]enemies!$2:$2,0)-MATCH($I$1,[2]enemies!$2:$2,0)+1),MATCH(J$1,[2]enemies!$2:$2,0)-MATCH($I$1,[2]enemies!$2:$2,0)+1,FALSE)</f>
        <v>マービー</v>
      </c>
      <c r="K56" s="29" t="str">
        <f ca="1">VLOOKUP($I56,OFFSET([2]enemies!$A$1,0,0,COUNTA([2]enemies!$A:$A),MATCH(K$1,[2]enemies!$2:$2,0)-MATCH($I$1,[2]enemies!$2:$2,0)+1),MATCH(K$1,[2]enemies!$2:$2,0)-MATCH($I$1,[2]enemies!$2:$2,0)+1,FALSE)</f>
        <v>yellow</v>
      </c>
      <c r="L56" s="29" t="str">
        <f ca="1">VLOOKUP($I56,OFFSET([3]characters!$A$1,0,0,COUNTA([3]characters!$A:$A),MATCH(L$1,[3]characters!$2:$2,0)-MATCH($I$1,[3]characters!$2:$2,0)+1),MATCH(L$1,[3]characters!$2:$2,0)-MATCH($I$1,[3]characters!$2:$2,0)+1,FALSE)</f>
        <v>Drop1N</v>
      </c>
      <c r="M56" s="28" t="str">
        <f ca="1">VLOOKUP($I56,OFFSET([3]characters!$A$1,0,0,COUNTA([3]characters!$A:$A),MATCH(M$1,[3]characters!$2:$2,0)-MATCH($I$1,[3]characters!$2:$2,0)+2),MATCH(M$1,[3]characters!$2:$2,0)-MATCH($I$1,[3]characters!$2:$2,0)+2,FALSE)</f>
        <v>マシン</v>
      </c>
      <c r="N56" s="5">
        <f ca="1">VLOOKUP($I56,OFFSET([2]enemies!$A$1,0,0,COUNTA([2]enemies!$A:$A),MATCH(N$1,[2]enemies!$2:$2,0)-MATCH($I$1,[2]enemies!$2:$2,0)+1),MATCH(N$1,[2]enemies!$2:$2,0)-MATCH($I$1,[2]enemies!$2:$2,0)+1,FALSE)</f>
        <v>15</v>
      </c>
      <c r="O56" s="6">
        <v>44</v>
      </c>
      <c r="P56" s="41">
        <v>1</v>
      </c>
      <c r="Q56" s="41">
        <v>1</v>
      </c>
      <c r="R56" s="6">
        <v>0</v>
      </c>
      <c r="S56" s="5" t="str">
        <f ca="1">VLOOKUP($T56,OFFSET([4]enemy_skill_sets!$B$1,0,0,COUNTA([4]enemy_skill_sets!$B:$B),MATCH(J$1,[4]enemy_skill_sets!$1:$1,0)-MATCH($T$1,[4]enemy_skill_sets!$1:$1,0)+2),MATCH(J$1,[4]enemy_skill_sets!$1:$1,0)-MATCH($T$1,[4]enemy_skill_sets!$1:$1,0)+2,FALSE)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" s="5">
        <f ca="1">VLOOKUP($I56,OFFSET([2]enemies!$A$1,0,0,COUNTA([2]enemies!$A:$A),MATCH(T$1,[2]enemies!$2:$2,0)-MATCH($I$1,[2]enemies!$2:$2,0)+1),MATCH(T$1,[2]enemies!$2:$2,0)-MATCH($I$1,[2]enemies!$2:$2,0)+1,FALSE)</f>
        <v>0</v>
      </c>
      <c r="U56" s="7">
        <v>0</v>
      </c>
      <c r="V56" s="7">
        <v>100</v>
      </c>
      <c r="W56" s="7">
        <v>0</v>
      </c>
      <c r="X56" s="26">
        <f ca="1">VLOOKUP($I56,OFFSET([2]enemies!$A$1,0,0,COUNTA([2]enemies!$A:$A),MATCH(X$1,[2]enemies!$2:$2,0)-MATCH($I$1,[2]enemies!$2:$2,0)+1),MATCH(X$1,[2]enemies!$2:$2,0)-MATCH($I$1,[2]enemies!$2:$2,0)+1,FALSE)</f>
        <v>2</v>
      </c>
      <c r="Y56" s="36">
        <v>31</v>
      </c>
      <c r="Z56" s="5" t="str">
        <f ca="1">IFERROR(VLOOKUP($Y56,OFFSET([3]characters!$A$1,0,0,COUNTA([3]characters!$A:$A),MATCH(Z$1,[3]characters!$2:$2,0)-MATCH("character_id",[3]characters!$2:$2,0)+1),MATCH(Z$1,[3]characters!$2:$2,0)-MATCH("character_id",[3]characters!$2:$2,0)+1,FALSE),"")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56" s="5">
        <f ca="1">IFERROR(VLOOKUP($Y56,OFFSET([3]characters!$A$1,0,0,COUNTA([3]characters!$A:$A),MATCH(AA$1,[3]characters!$2:$2,0)-MATCH("character_id",[3]characters!$2:$2,0)+1),MATCH(AA$1,[3]characters!$2:$2,0)-MATCH("character_id",[3]characters!$2:$2,0)+1,FALSE),"")</f>
        <v>1</v>
      </c>
      <c r="AB56" s="5" t="str">
        <f ca="1">IFERROR(VLOOKUP($Y56,OFFSET([3]characters!$A$1,0,0,COUNTA([3]characters!$A:$A),MATCH(AB$1,[3]characters!$2:$2,0)-MATCH("character_id",[3]characters!$2:$2,0)+1),MATCH(AB$1,[3]characters!$2:$2,0)-MATCH("character_id",[3]characters!$2:$2,0)+1,FALSE),"")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" s="34">
        <v>1</v>
      </c>
      <c r="AD56" s="34">
        <f t="shared" ca="1" si="36"/>
        <v>1</v>
      </c>
      <c r="AE56" s="9">
        <v>25</v>
      </c>
      <c r="AF56" s="34">
        <v>0</v>
      </c>
      <c r="AG56" s="34">
        <v>0</v>
      </c>
      <c r="AH56" s="34">
        <v>0</v>
      </c>
      <c r="AI56" s="34">
        <v>0</v>
      </c>
      <c r="AJ56" s="34">
        <v>1</v>
      </c>
    </row>
    <row r="57" spans="1:36" ht="21" customHeight="1">
      <c r="A57" s="21" t="str">
        <f t="shared" si="37"/>
        <v>10035_1-3/19&lt;lv44&gt;</v>
      </c>
      <c r="B57" s="31">
        <v>10035</v>
      </c>
      <c r="C57" s="35">
        <v>1</v>
      </c>
      <c r="D57" s="20" t="str">
        <f t="shared" si="34"/>
        <v>10035_1</v>
      </c>
      <c r="E57" s="5" t="str">
        <f ca="1">VLOOKUP($B57,OFFSET([1]quests!$A$1,0,0,COUNTA([1]quests!$A:$A),MATCH(E$1,[1]quests!$1:$1,0)-MATCH($B$1,[1]quests!$1:$1,0)+1),MATCH(E$1,[1]quests!$1:$1,0)-MATCH($B$1,[1]quests!$1:$1,0)+1,FALSE)</f>
        <v>二人の関係は？</v>
      </c>
      <c r="F57" s="5" t="str">
        <f ca="1">VLOOKUP($D57,OFFSET([1]stages!$A$1,0,0,COUNTA([1]stages!$A:$A),MATCH(F$1,[1]stages!$2:$2,0)-MATCH($D$1,[1]stages!$2:$2,0)+1),MATCH(F$1,[1]stages!$2:$2,0)-MATCH($D$1,[1]stages!$2:$2,0)+1,FALSE)</f>
        <v>二人の関係は？</v>
      </c>
      <c r="G57" s="35">
        <v>3</v>
      </c>
      <c r="H57" s="20" t="str">
        <f t="shared" si="35"/>
        <v>10035_1-3</v>
      </c>
      <c r="I57" s="37">
        <v>19</v>
      </c>
      <c r="J57" s="26" t="str">
        <f ca="1">VLOOKUP($I57,OFFSET([2]enemies!$A$1,0,0,COUNTA([2]enemies!$A:$A),MATCH(J$1,[2]enemies!$2:$2,0)-MATCH($I$1,[2]enemies!$2:$2,0)+1),MATCH(J$1,[2]enemies!$2:$2,0)-MATCH($I$1,[2]enemies!$2:$2,0)+1,FALSE)</f>
        <v>ティンク</v>
      </c>
      <c r="K57" s="29" t="str">
        <f ca="1">VLOOKUP($I57,OFFSET([2]enemies!$A$1,0,0,COUNTA([2]enemies!$A:$A),MATCH(K$1,[2]enemies!$2:$2,0)-MATCH($I$1,[2]enemies!$2:$2,0)+1),MATCH(K$1,[2]enemies!$2:$2,0)-MATCH($I$1,[2]enemies!$2:$2,0)+1,FALSE)</f>
        <v>yellow</v>
      </c>
      <c r="L57" s="29" t="str">
        <f ca="1">VLOOKUP($I57,OFFSET([3]characters!$A$1,0,0,COUNTA([3]characters!$A:$A),MATCH(L$1,[3]characters!$2:$2,0)-MATCH($I$1,[3]characters!$2:$2,0)+1),MATCH(L$1,[3]characters!$2:$2,0)-MATCH($I$1,[3]characters!$2:$2,0)+1,FALSE)</f>
        <v>Drop1W</v>
      </c>
      <c r="M57" s="28" t="str">
        <f ca="1">VLOOKUP($I57,OFFSET([3]characters!$A$1,0,0,COUNTA([3]characters!$A:$A),MATCH(M$1,[3]characters!$2:$2,0)-MATCH($I$1,[3]characters!$2:$2,0)+2),MATCH(M$1,[3]characters!$2:$2,0)-MATCH($I$1,[3]characters!$2:$2,0)+2,FALSE)</f>
        <v>ヒューマン</v>
      </c>
      <c r="N57" s="5">
        <f ca="1">VLOOKUP($I57,OFFSET([2]enemies!$A$1,0,0,COUNTA([2]enemies!$A:$A),MATCH(N$1,[2]enemies!$2:$2,0)-MATCH($I$1,[2]enemies!$2:$2,0)+1),MATCH(N$1,[2]enemies!$2:$2,0)-MATCH($I$1,[2]enemies!$2:$2,0)+1,FALSE)</f>
        <v>15</v>
      </c>
      <c r="O57" s="6">
        <v>44</v>
      </c>
      <c r="P57" s="41">
        <v>1</v>
      </c>
      <c r="Q57" s="41">
        <v>1</v>
      </c>
      <c r="R57" s="6">
        <v>0</v>
      </c>
      <c r="S57" s="5" t="str">
        <f ca="1">VLOOKUP($T57,OFFSET([4]enemy_skill_sets!$B$1,0,0,COUNTA([4]enemy_skill_sets!$B:$B),MATCH(J$1,[4]enemy_skill_sets!$1:$1,0)-MATCH($T$1,[4]enemy_skill_sets!$1:$1,0)+2),MATCH(J$1,[4]enemy_skill_sets!$1:$1,0)-MATCH($T$1,[4]enemy_skill_sets!$1:$1,0)+2,FALSE)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" s="5">
        <f ca="1">VLOOKUP($I57,OFFSET([2]enemies!$A$1,0,0,COUNTA([2]enemies!$A:$A),MATCH(T$1,[2]enemies!$2:$2,0)-MATCH($I$1,[2]enemies!$2:$2,0)+1),MATCH(T$1,[2]enemies!$2:$2,0)-MATCH($I$1,[2]enemies!$2:$2,0)+1,FALSE)</f>
        <v>0</v>
      </c>
      <c r="U57" s="7">
        <v>0</v>
      </c>
      <c r="V57" s="7">
        <v>100</v>
      </c>
      <c r="W57" s="7">
        <v>0</v>
      </c>
      <c r="X57" s="26">
        <f ca="1">VLOOKUP($I57,OFFSET([2]enemies!$A$1,0,0,COUNTA([2]enemies!$A:$A),MATCH(X$1,[2]enemies!$2:$2,0)-MATCH($I$1,[2]enemies!$2:$2,0)+1),MATCH(X$1,[2]enemies!$2:$2,0)-MATCH($I$1,[2]enemies!$2:$2,0)+1,FALSE)</f>
        <v>3</v>
      </c>
      <c r="Y57" s="37">
        <v>19</v>
      </c>
      <c r="Z57" s="5" t="str">
        <f ca="1">IFERROR(VLOOKUP($Y57,OFFSET([3]characters!$A$1,0,0,COUNTA([3]characters!$A:$A),MATCH(Z$1,[3]characters!$2:$2,0)-MATCH("character_id",[3]characters!$2:$2,0)+1),MATCH(Z$1,[3]characters!$2:$2,0)-MATCH("character_id",[3]characters!$2:$2,0)+1,FALSE),"")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7" s="5">
        <f ca="1">IFERROR(VLOOKUP($Y57,OFFSET([3]characters!$A$1,0,0,COUNTA([3]characters!$A:$A),MATCH(AA$1,[3]characters!$2:$2,0)-MATCH("character_id",[3]characters!$2:$2,0)+1),MATCH(AA$1,[3]characters!$2:$2,0)-MATCH("character_id",[3]characters!$2:$2,0)+1,FALSE),"")</f>
        <v>1</v>
      </c>
      <c r="AB57" s="5" t="str">
        <f ca="1">IFERROR(VLOOKUP($Y57,OFFSET([3]characters!$A$1,0,0,COUNTA([3]characters!$A:$A),MATCH(AB$1,[3]characters!$2:$2,0)-MATCH("character_id",[3]characters!$2:$2,0)+1),MATCH(AB$1,[3]characters!$2:$2,0)-MATCH("character_id",[3]characters!$2:$2,0)+1,FALSE),"")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7" s="34">
        <v>1</v>
      </c>
      <c r="AD57" s="34">
        <f t="shared" ca="1" si="36"/>
        <v>1</v>
      </c>
      <c r="AE57" s="9">
        <v>25</v>
      </c>
      <c r="AF57" s="34">
        <v>0</v>
      </c>
      <c r="AG57" s="34">
        <v>0</v>
      </c>
      <c r="AH57" s="34">
        <v>0</v>
      </c>
      <c r="AI57" s="34">
        <v>0</v>
      </c>
      <c r="AJ57" s="34">
        <v>1</v>
      </c>
    </row>
    <row r="58" spans="1:36" ht="21" customHeight="1">
      <c r="A58" s="21" t="str">
        <f t="shared" si="37"/>
        <v>10035_1-3/47&lt;lv44&gt;</v>
      </c>
      <c r="B58" s="31">
        <v>10035</v>
      </c>
      <c r="C58" s="35">
        <v>1</v>
      </c>
      <c r="D58" s="20" t="str">
        <f t="shared" si="34"/>
        <v>10035_1</v>
      </c>
      <c r="E58" s="5" t="str">
        <f ca="1">VLOOKUP($B58,OFFSET([1]quests!$A$1,0,0,COUNTA([1]quests!$A:$A),MATCH(E$1,[1]quests!$1:$1,0)-MATCH($B$1,[1]quests!$1:$1,0)+1),MATCH(E$1,[1]quests!$1:$1,0)-MATCH($B$1,[1]quests!$1:$1,0)+1,FALSE)</f>
        <v>二人の関係は？</v>
      </c>
      <c r="F58" s="5" t="str">
        <f ca="1">VLOOKUP($D58,OFFSET([1]stages!$A$1,0,0,COUNTA([1]stages!$A:$A),MATCH(F$1,[1]stages!$2:$2,0)-MATCH($D$1,[1]stages!$2:$2,0)+1),MATCH(F$1,[1]stages!$2:$2,0)-MATCH($D$1,[1]stages!$2:$2,0)+1,FALSE)</f>
        <v>二人の関係は？</v>
      </c>
      <c r="G58" s="35">
        <v>3</v>
      </c>
      <c r="H58" s="20" t="str">
        <f t="shared" si="35"/>
        <v>10035_1-3</v>
      </c>
      <c r="I58" s="38">
        <v>47</v>
      </c>
      <c r="J58" s="26" t="str">
        <f ca="1">VLOOKUP($I58,OFFSET([2]enemies!$A$1,0,0,COUNTA([2]enemies!$A:$A),MATCH(J$1,[2]enemies!$2:$2,0)-MATCH($I$1,[2]enemies!$2:$2,0)+1),MATCH(J$1,[2]enemies!$2:$2,0)-MATCH($I$1,[2]enemies!$2:$2,0)+1,FALSE)</f>
        <v>ヒロ</v>
      </c>
      <c r="K58" s="29" t="str">
        <f ca="1">VLOOKUP($I58,OFFSET([2]enemies!$A$1,0,0,COUNTA([2]enemies!$A:$A),MATCH(K$1,[2]enemies!$2:$2,0)-MATCH($I$1,[2]enemies!$2:$2,0)+1),MATCH(K$1,[2]enemies!$2:$2,0)-MATCH($I$1,[2]enemies!$2:$2,0)+1,FALSE)</f>
        <v>yellow</v>
      </c>
      <c r="L58" s="29" t="str">
        <f ca="1">VLOOKUP($I58,OFFSET([3]characters!$A$1,0,0,COUNTA([3]characters!$A:$A),MATCH(L$1,[3]characters!$2:$2,0)-MATCH($I$1,[3]characters!$2:$2,0)+1),MATCH(L$1,[3]characters!$2:$2,0)-MATCH($I$1,[3]characters!$2:$2,0)+1,FALSE)</f>
        <v>Drop1N</v>
      </c>
      <c r="M58" s="28" t="str">
        <f ca="1">VLOOKUP($I58,OFFSET([3]characters!$A$1,0,0,COUNTA([3]characters!$A:$A),MATCH(M$1,[3]characters!$2:$2,0)-MATCH($I$1,[3]characters!$2:$2,0)+2),MATCH(M$1,[3]characters!$2:$2,0)-MATCH($I$1,[3]characters!$2:$2,0)+2,FALSE)</f>
        <v>アニマル</v>
      </c>
      <c r="N58" s="5">
        <f ca="1">VLOOKUP($I58,OFFSET([2]enemies!$A$1,0,0,COUNTA([2]enemies!$A:$A),MATCH(N$1,[2]enemies!$2:$2,0)-MATCH($I$1,[2]enemies!$2:$2,0)+1),MATCH(N$1,[2]enemies!$2:$2,0)-MATCH($I$1,[2]enemies!$2:$2,0)+1,FALSE)</f>
        <v>15</v>
      </c>
      <c r="O58" s="6">
        <v>44</v>
      </c>
      <c r="P58" s="41">
        <v>1</v>
      </c>
      <c r="Q58" s="41">
        <v>1</v>
      </c>
      <c r="R58" s="6">
        <v>0</v>
      </c>
      <c r="S58" s="5" t="str">
        <f ca="1">VLOOKUP($T58,OFFSET([4]enemy_skill_sets!$B$1,0,0,COUNTA([4]enemy_skill_sets!$B:$B),MATCH(J$1,[4]enemy_skill_sets!$1:$1,0)-MATCH($T$1,[4]enemy_skill_sets!$1:$1,0)+2),MATCH(J$1,[4]enemy_skill_sets!$1:$1,0)-MATCH($T$1,[4]enemy_skill_sets!$1:$1,0)+2,FALSE)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" s="5">
        <f ca="1">VLOOKUP($I58,OFFSET([2]enemies!$A$1,0,0,COUNTA([2]enemies!$A:$A),MATCH(T$1,[2]enemies!$2:$2,0)-MATCH($I$1,[2]enemies!$2:$2,0)+1),MATCH(T$1,[2]enemies!$2:$2,0)-MATCH($I$1,[2]enemies!$2:$2,0)+1,FALSE)</f>
        <v>0</v>
      </c>
      <c r="U58" s="7">
        <v>0</v>
      </c>
      <c r="V58" s="7">
        <v>100</v>
      </c>
      <c r="W58" s="7">
        <v>0</v>
      </c>
      <c r="X58" s="26">
        <f ca="1">VLOOKUP($I58,OFFSET([2]enemies!$A$1,0,0,COUNTA([2]enemies!$A:$A),MATCH(X$1,[2]enemies!$2:$2,0)-MATCH($I$1,[2]enemies!$2:$2,0)+1),MATCH(X$1,[2]enemies!$2:$2,0)-MATCH($I$1,[2]enemies!$2:$2,0)+1,FALSE)</f>
        <v>1</v>
      </c>
      <c r="Y58" s="38">
        <v>47</v>
      </c>
      <c r="Z58" s="5" t="str">
        <f ca="1">IFERROR(VLOOKUP($Y58,OFFSET([3]characters!$A$1,0,0,COUNTA([3]characters!$A:$A),MATCH(Z$1,[3]characters!$2:$2,0)-MATCH("character_id",[3]characters!$2:$2,0)+1),MATCH(Z$1,[3]characters!$2:$2,0)-MATCH("character_id",[3]characters!$2:$2,0)+1,FALSE),"")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8" s="5">
        <f ca="1">IFERROR(VLOOKUP($Y58,OFFSET([3]characters!$A$1,0,0,COUNTA([3]characters!$A:$A),MATCH(AA$1,[3]characters!$2:$2,0)-MATCH("character_id",[3]characters!$2:$2,0)+1),MATCH(AA$1,[3]characters!$2:$2,0)-MATCH("character_id",[3]characters!$2:$2,0)+1,FALSE),"")</f>
        <v>2</v>
      </c>
      <c r="AB58" s="5" t="str">
        <f ca="1">IFERROR(VLOOKUP($Y58,OFFSET([3]characters!$A$1,0,0,COUNTA([3]characters!$A:$A),MATCH(AB$1,[3]characters!$2:$2,0)-MATCH("character_id",[3]characters!$2:$2,0)+1),MATCH(AB$1,[3]characters!$2:$2,0)-MATCH("character_id",[3]characters!$2:$2,0)+1,FALSE),"")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" s="34">
        <v>1</v>
      </c>
      <c r="AD58" s="34">
        <f t="shared" ca="1" si="36"/>
        <v>2</v>
      </c>
      <c r="AE58" s="9">
        <v>25</v>
      </c>
      <c r="AF58" s="34">
        <v>0</v>
      </c>
      <c r="AG58" s="34">
        <v>0</v>
      </c>
      <c r="AH58" s="34">
        <v>0</v>
      </c>
      <c r="AI58" s="34">
        <v>0</v>
      </c>
      <c r="AJ58" s="34">
        <v>1</v>
      </c>
    </row>
    <row r="59" spans="1:36" ht="21" customHeight="1">
      <c r="A59" s="21" t="str">
        <f t="shared" si="37"/>
        <v>10035_1-3/41&lt;lv44&gt;</v>
      </c>
      <c r="B59" s="31">
        <v>10035</v>
      </c>
      <c r="C59" s="35">
        <v>1</v>
      </c>
      <c r="D59" s="20" t="str">
        <f t="shared" si="34"/>
        <v>10035_1</v>
      </c>
      <c r="E59" s="5" t="str">
        <f ca="1">VLOOKUP($B59,OFFSET([1]quests!$A$1,0,0,COUNTA([1]quests!$A:$A),MATCH(E$1,[1]quests!$1:$1,0)-MATCH($B$1,[1]quests!$1:$1,0)+1),MATCH(E$1,[1]quests!$1:$1,0)-MATCH($B$1,[1]quests!$1:$1,0)+1,FALSE)</f>
        <v>二人の関係は？</v>
      </c>
      <c r="F59" s="5" t="str">
        <f ca="1">VLOOKUP($D59,OFFSET([1]stages!$A$1,0,0,COUNTA([1]stages!$A:$A),MATCH(F$1,[1]stages!$2:$2,0)-MATCH($D$1,[1]stages!$2:$2,0)+1),MATCH(F$1,[1]stages!$2:$2,0)-MATCH($D$1,[1]stages!$2:$2,0)+1,FALSE)</f>
        <v>二人の関係は？</v>
      </c>
      <c r="G59" s="35">
        <v>3</v>
      </c>
      <c r="H59" s="20" t="str">
        <f t="shared" si="35"/>
        <v>10035_1-3</v>
      </c>
      <c r="I59" s="35">
        <v>41</v>
      </c>
      <c r="J59" s="26" t="str">
        <f ca="1">VLOOKUP($I59,OFFSET([2]enemies!$A$1,0,0,COUNTA([2]enemies!$A:$A),MATCH(J$1,[2]enemies!$2:$2,0)-MATCH($I$1,[2]enemies!$2:$2,0)+1),MATCH(J$1,[2]enemies!$2:$2,0)-MATCH($I$1,[2]enemies!$2:$2,0)+1,FALSE)</f>
        <v>ヒュウガ</v>
      </c>
      <c r="K59" s="29" t="str">
        <f ca="1">VLOOKUP($I59,OFFSET([2]enemies!$A$1,0,0,COUNTA([2]enemies!$A:$A),MATCH(K$1,[2]enemies!$2:$2,0)-MATCH($I$1,[2]enemies!$2:$2,0)+1),MATCH(K$1,[2]enemies!$2:$2,0)-MATCH($I$1,[2]enemies!$2:$2,0)+1,FALSE)</f>
        <v>red</v>
      </c>
      <c r="L59" s="29" t="str">
        <f ca="1">VLOOKUP($I59,OFFSET([3]characters!$A$1,0,0,COUNTA([3]characters!$A:$A),MATCH(L$1,[3]characters!$2:$2,0)-MATCH($I$1,[3]characters!$2:$2,0)+1),MATCH(L$1,[3]characters!$2:$2,0)-MATCH($I$1,[3]characters!$2:$2,0)+1,FALSE)</f>
        <v>Drop1N</v>
      </c>
      <c r="M59" s="28" t="str">
        <f ca="1">VLOOKUP($I59,OFFSET([3]characters!$A$1,0,0,COUNTA([3]characters!$A:$A),MATCH(M$1,[3]characters!$2:$2,0)-MATCH($I$1,[3]characters!$2:$2,0)+2),MATCH(M$1,[3]characters!$2:$2,0)-MATCH($I$1,[3]characters!$2:$2,0)+2,FALSE)</f>
        <v>ドラゴン</v>
      </c>
      <c r="N59" s="5">
        <f ca="1">VLOOKUP($I59,OFFSET([2]enemies!$A$1,0,0,COUNTA([2]enemies!$A:$A),MATCH(N$1,[2]enemies!$2:$2,0)-MATCH($I$1,[2]enemies!$2:$2,0)+1),MATCH(N$1,[2]enemies!$2:$2,0)-MATCH($I$1,[2]enemies!$2:$2,0)+1,FALSE)</f>
        <v>15</v>
      </c>
      <c r="O59" s="6">
        <v>44</v>
      </c>
      <c r="P59" s="41">
        <v>1</v>
      </c>
      <c r="Q59" s="41">
        <v>1</v>
      </c>
      <c r="R59" s="6">
        <v>0</v>
      </c>
      <c r="S59" s="5" t="str">
        <f ca="1">VLOOKUP($T59,OFFSET([4]enemy_skill_sets!$B$1,0,0,COUNTA([4]enemy_skill_sets!$B:$B),MATCH(J$1,[4]enemy_skill_sets!$1:$1,0)-MATCH($T$1,[4]enemy_skill_sets!$1:$1,0)+2),MATCH(J$1,[4]enemy_skill_sets!$1:$1,0)-MATCH($T$1,[4]enemy_skill_sets!$1:$1,0)+2,FALSE)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" s="5">
        <f ca="1">VLOOKUP($I59,OFFSET([2]enemies!$A$1,0,0,COUNTA([2]enemies!$A:$A),MATCH(T$1,[2]enemies!$2:$2,0)-MATCH($I$1,[2]enemies!$2:$2,0)+1),MATCH(T$1,[2]enemies!$2:$2,0)-MATCH($I$1,[2]enemies!$2:$2,0)+1,FALSE)</f>
        <v>0</v>
      </c>
      <c r="U59" s="7">
        <v>1</v>
      </c>
      <c r="V59" s="7">
        <v>100</v>
      </c>
      <c r="W59" s="7">
        <v>0</v>
      </c>
      <c r="X59" s="26">
        <f ca="1">VLOOKUP($I59,OFFSET([2]enemies!$A$1,0,0,COUNTA([2]enemies!$A:$A),MATCH(X$1,[2]enemies!$2:$2,0)-MATCH($I$1,[2]enemies!$2:$2,0)+1),MATCH(X$1,[2]enemies!$2:$2,0)-MATCH($I$1,[2]enemies!$2:$2,0)+1,FALSE)</f>
        <v>1</v>
      </c>
      <c r="Y59" s="35">
        <v>41</v>
      </c>
      <c r="Z59" s="5" t="str">
        <f ca="1">IFERROR(VLOOKUP($Y59,OFFSET([3]characters!$A$1,0,0,COUNTA([3]characters!$A:$A),MATCH(Z$1,[3]characters!$2:$2,0)-MATCH("character_id",[3]characters!$2:$2,0)+1),MATCH(Z$1,[3]characters!$2:$2,0)-MATCH("character_id",[3]characters!$2:$2,0)+1,FALSE),"")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9" s="5">
        <f ca="1">IFERROR(VLOOKUP($Y59,OFFSET([3]characters!$A$1,0,0,COUNTA([3]characters!$A:$A),MATCH(AA$1,[3]characters!$2:$2,0)-MATCH("character_id",[3]characters!$2:$2,0)+1),MATCH(AA$1,[3]characters!$2:$2,0)-MATCH("character_id",[3]characters!$2:$2,0)+1,FALSE),"")</f>
        <v>2</v>
      </c>
      <c r="AB59" s="5" t="str">
        <f ca="1">IFERROR(VLOOKUP($Y59,OFFSET([3]characters!$A$1,0,0,COUNTA([3]characters!$A:$A),MATCH(AB$1,[3]characters!$2:$2,0)-MATCH("character_id",[3]characters!$2:$2,0)+1),MATCH(AB$1,[3]characters!$2:$2,0)-MATCH("character_id",[3]characters!$2:$2,0)+1,FALSE),"")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" s="34">
        <v>1</v>
      </c>
      <c r="AD59" s="34">
        <f t="shared" ca="1" si="36"/>
        <v>2</v>
      </c>
      <c r="AE59" s="9">
        <v>25</v>
      </c>
      <c r="AF59" s="34">
        <v>0</v>
      </c>
      <c r="AG59" s="34">
        <v>0</v>
      </c>
      <c r="AH59" s="34">
        <v>0</v>
      </c>
      <c r="AI59" s="34">
        <v>0</v>
      </c>
      <c r="AJ59" s="34">
        <v>1</v>
      </c>
    </row>
    <row r="60" spans="1:36" ht="21" customHeight="1">
      <c r="A60" s="21" t="str">
        <f t="shared" si="37"/>
        <v>10035_1-4/63&lt;lv45&gt;</v>
      </c>
      <c r="B60" s="31">
        <v>10035</v>
      </c>
      <c r="C60" s="35">
        <v>1</v>
      </c>
      <c r="D60" s="20" t="str">
        <f t="shared" si="34"/>
        <v>10035_1</v>
      </c>
      <c r="E60" s="5" t="str">
        <f ca="1">VLOOKUP($B60,OFFSET([1]quests!$A$1,0,0,COUNTA([1]quests!$A:$A),MATCH(E$1,[1]quests!$1:$1,0)-MATCH($B$1,[1]quests!$1:$1,0)+1),MATCH(E$1,[1]quests!$1:$1,0)-MATCH($B$1,[1]quests!$1:$1,0)+1,FALSE)</f>
        <v>二人の関係は？</v>
      </c>
      <c r="F60" s="5" t="str">
        <f ca="1">VLOOKUP($D60,OFFSET([1]stages!$A$1,0,0,COUNTA([1]stages!$A:$A),MATCH(F$1,[1]stages!$2:$2,0)-MATCH($D$1,[1]stages!$2:$2,0)+1),MATCH(F$1,[1]stages!$2:$2,0)-MATCH($D$1,[1]stages!$2:$2,0)+1,FALSE)</f>
        <v>二人の関係は？</v>
      </c>
      <c r="G60" s="35">
        <v>4</v>
      </c>
      <c r="H60" s="20" t="str">
        <f t="shared" si="35"/>
        <v>10035_1-4</v>
      </c>
      <c r="I60" s="38">
        <v>63</v>
      </c>
      <c r="J60" s="26" t="str">
        <f ca="1">VLOOKUP($I60,OFFSET([2]enemies!$A$1,0,0,COUNTA([2]enemies!$A:$A),MATCH(J$1,[2]enemies!$2:$2,0)-MATCH($I$1,[2]enemies!$2:$2,0)+1),MATCH(J$1,[2]enemies!$2:$2,0)-MATCH($I$1,[2]enemies!$2:$2,0)+1,FALSE)</f>
        <v>トニー</v>
      </c>
      <c r="K60" s="29" t="str">
        <f ca="1">VLOOKUP($I60,OFFSET([2]enemies!$A$1,0,0,COUNTA([2]enemies!$A:$A),MATCH(K$1,[2]enemies!$2:$2,0)-MATCH($I$1,[2]enemies!$2:$2,0)+1),MATCH(K$1,[2]enemies!$2:$2,0)-MATCH($I$1,[2]enemies!$2:$2,0)+1,FALSE)</f>
        <v>yellow</v>
      </c>
      <c r="L60" s="29" t="str">
        <f ca="1">VLOOKUP($I60,OFFSET([3]characters!$A$1,0,0,COUNTA([3]characters!$A:$A),MATCH(L$1,[3]characters!$2:$2,0)-MATCH($I$1,[3]characters!$2:$2,0)+1),MATCH(L$1,[3]characters!$2:$2,0)-MATCH($I$1,[3]characters!$2:$2,0)+1,FALSE)</f>
        <v>Drop1N</v>
      </c>
      <c r="M60" s="28" t="str">
        <f ca="1">VLOOKUP($I60,OFFSET([3]characters!$A$1,0,0,COUNTA([3]characters!$A:$A),MATCH(M$1,[3]characters!$2:$2,0)-MATCH($I$1,[3]characters!$2:$2,0)+2),MATCH(M$1,[3]characters!$2:$2,0)-MATCH($I$1,[3]characters!$2:$2,0)+2,FALSE)</f>
        <v>アニマル</v>
      </c>
      <c r="N60" s="5">
        <f ca="1">VLOOKUP($I60,OFFSET([2]enemies!$A$1,0,0,COUNTA([2]enemies!$A:$A),MATCH(N$1,[2]enemies!$2:$2,0)-MATCH($I$1,[2]enemies!$2:$2,0)+1),MATCH(N$1,[2]enemies!$2:$2,0)-MATCH($I$1,[2]enemies!$2:$2,0)+1,FALSE)</f>
        <v>15</v>
      </c>
      <c r="O60" s="6">
        <v>45</v>
      </c>
      <c r="P60" s="41">
        <v>1</v>
      </c>
      <c r="Q60" s="41">
        <v>1</v>
      </c>
      <c r="R60" s="6">
        <v>0</v>
      </c>
      <c r="S60" s="5" t="str">
        <f ca="1">VLOOKUP($T60,OFFSET([4]enemy_skill_sets!$B$1,0,0,COUNTA([4]enemy_skill_sets!$B:$B),MATCH(J$1,[4]enemy_skill_sets!$1:$1,0)-MATCH($T$1,[4]enemy_skill_sets!$1:$1,0)+2),MATCH(J$1,[4]enemy_skill_sets!$1:$1,0)-MATCH($T$1,[4]enemy_skill_sets!$1:$1,0)+2,FALSE)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60" s="5">
        <f ca="1">VLOOKUP($I60,OFFSET([2]enemies!$A$1,0,0,COUNTA([2]enemies!$A:$A),MATCH(T$1,[2]enemies!$2:$2,0)-MATCH($I$1,[2]enemies!$2:$2,0)+1),MATCH(T$1,[2]enemies!$2:$2,0)-MATCH($I$1,[2]enemies!$2:$2,0)+1,FALSE)</f>
        <v>63</v>
      </c>
      <c r="U60" s="7">
        <v>1</v>
      </c>
      <c r="V60" s="7">
        <v>100</v>
      </c>
      <c r="W60" s="7">
        <v>0</v>
      </c>
      <c r="X60" s="26">
        <f ca="1">VLOOKUP($I60,OFFSET([2]enemies!$A$1,0,0,COUNTA([2]enemies!$A:$A),MATCH(X$1,[2]enemies!$2:$2,0)-MATCH($I$1,[2]enemies!$2:$2,0)+1),MATCH(X$1,[2]enemies!$2:$2,0)-MATCH($I$1,[2]enemies!$2:$2,0)+1,FALSE)</f>
        <v>2</v>
      </c>
      <c r="Y60" s="38">
        <v>63</v>
      </c>
      <c r="Z60" s="5" t="str">
        <f ca="1">IFERROR(VLOOKUP($Y60,OFFSET([3]characters!$A$1,0,0,COUNTA([3]characters!$A:$A),MATCH(Z$1,[3]characters!$2:$2,0)-MATCH("character_id",[3]characters!$2:$2,0)+1),MATCH(Z$1,[3]characters!$2:$2,0)-MATCH("character_id",[3]characters!$2:$2,0)+1,FALSE),"")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60" s="5">
        <f ca="1">IFERROR(VLOOKUP($Y60,OFFSET([3]characters!$A$1,0,0,COUNTA([3]characters!$A:$A),MATCH(AA$1,[3]characters!$2:$2,0)-MATCH("character_id",[3]characters!$2:$2,0)+1),MATCH(AA$1,[3]characters!$2:$2,0)-MATCH("character_id",[3]characters!$2:$2,0)+1,FALSE),"")</f>
        <v>2</v>
      </c>
      <c r="AB60" s="5" t="str">
        <f ca="1">IFERROR(VLOOKUP($Y60,OFFSET([3]characters!$A$1,0,0,COUNTA([3]characters!$A:$A),MATCH(AB$1,[3]characters!$2:$2,0)-MATCH("character_id",[3]characters!$2:$2,0)+1),MATCH(AB$1,[3]characters!$2:$2,0)-MATCH("character_id",[3]characters!$2:$2,0)+1,FALSE),"")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" s="34">
        <v>1</v>
      </c>
      <c r="AD60" s="34">
        <f t="shared" ca="1" si="36"/>
        <v>2</v>
      </c>
      <c r="AE60" s="9">
        <v>25</v>
      </c>
      <c r="AF60" s="34">
        <v>0</v>
      </c>
      <c r="AG60" s="34">
        <v>0</v>
      </c>
      <c r="AH60" s="34">
        <v>0</v>
      </c>
      <c r="AI60" s="34">
        <v>0</v>
      </c>
      <c r="AJ60" s="34">
        <v>1</v>
      </c>
    </row>
    <row r="61" spans="1:36" ht="21" customHeight="1">
      <c r="A61" s="21" t="str">
        <f t="shared" si="37"/>
        <v>10035_1-4/57&lt;lv45&gt;</v>
      </c>
      <c r="B61" s="31">
        <v>10035</v>
      </c>
      <c r="C61" s="35">
        <v>1</v>
      </c>
      <c r="D61" s="20" t="str">
        <f t="shared" si="34"/>
        <v>10035_1</v>
      </c>
      <c r="E61" s="5" t="str">
        <f ca="1">VLOOKUP($B61,OFFSET([1]quests!$A$1,0,0,COUNTA([1]quests!$A:$A),MATCH(E$1,[1]quests!$1:$1,0)-MATCH($B$1,[1]quests!$1:$1,0)+1),MATCH(E$1,[1]quests!$1:$1,0)-MATCH($B$1,[1]quests!$1:$1,0)+1,FALSE)</f>
        <v>二人の関係は？</v>
      </c>
      <c r="F61" s="5" t="str">
        <f ca="1">VLOOKUP($D61,OFFSET([1]stages!$A$1,0,0,COUNTA([1]stages!$A:$A),MATCH(F$1,[1]stages!$2:$2,0)-MATCH($D$1,[1]stages!$2:$2,0)+1),MATCH(F$1,[1]stages!$2:$2,0)-MATCH($D$1,[1]stages!$2:$2,0)+1,FALSE)</f>
        <v>二人の関係は？</v>
      </c>
      <c r="G61" s="35">
        <v>4</v>
      </c>
      <c r="H61" s="20" t="str">
        <f t="shared" si="35"/>
        <v>10035_1-4</v>
      </c>
      <c r="I61" s="37">
        <v>57</v>
      </c>
      <c r="J61" s="26" t="str">
        <f ca="1">VLOOKUP($I61,OFFSET([2]enemies!$A$1,0,0,COUNTA([2]enemies!$A:$A),MATCH(J$1,[2]enemies!$2:$2,0)-MATCH($I$1,[2]enemies!$2:$2,0)+1),MATCH(J$1,[2]enemies!$2:$2,0)-MATCH($I$1,[2]enemies!$2:$2,0)+1,FALSE)</f>
        <v>チェン・リー</v>
      </c>
      <c r="K61" s="29" t="str">
        <f ca="1">VLOOKUP($I61,OFFSET([2]enemies!$A$1,0,0,COUNTA([2]enemies!$A:$A),MATCH(K$1,[2]enemies!$2:$2,0)-MATCH($I$1,[2]enemies!$2:$2,0)+1),MATCH(K$1,[2]enemies!$2:$2,0)-MATCH($I$1,[2]enemies!$2:$2,0)+1,FALSE)</f>
        <v>red</v>
      </c>
      <c r="L61" s="29" t="str">
        <f ca="1">VLOOKUP($I61,OFFSET([3]characters!$A$1,0,0,COUNTA([3]characters!$A:$A),MATCH(L$1,[3]characters!$2:$2,0)-MATCH($I$1,[3]characters!$2:$2,0)+1),MATCH(L$1,[3]characters!$2:$2,0)-MATCH($I$1,[3]characters!$2:$2,0)+1,FALSE)</f>
        <v>Drop1N</v>
      </c>
      <c r="M61" s="28" t="str">
        <f ca="1">VLOOKUP($I61,OFFSET([3]characters!$A$1,0,0,COUNTA([3]characters!$A:$A),MATCH(M$1,[3]characters!$2:$2,0)-MATCH($I$1,[3]characters!$2:$2,0)+2),MATCH(M$1,[3]characters!$2:$2,0)-MATCH($I$1,[3]characters!$2:$2,0)+2,FALSE)</f>
        <v>アニマル</v>
      </c>
      <c r="N61" s="5">
        <f ca="1">VLOOKUP($I61,OFFSET([2]enemies!$A$1,0,0,COUNTA([2]enemies!$A:$A),MATCH(N$1,[2]enemies!$2:$2,0)-MATCH($I$1,[2]enemies!$2:$2,0)+1),MATCH(N$1,[2]enemies!$2:$2,0)-MATCH($I$1,[2]enemies!$2:$2,0)+1,FALSE)</f>
        <v>15</v>
      </c>
      <c r="O61" s="6">
        <v>45</v>
      </c>
      <c r="P61" s="41">
        <v>1</v>
      </c>
      <c r="Q61" s="41">
        <v>1</v>
      </c>
      <c r="R61" s="6">
        <v>0</v>
      </c>
      <c r="S61" s="5" t="str">
        <f ca="1">VLOOKUP($T61,OFFSET([4]enemy_skill_sets!$B$1,0,0,COUNTA([4]enemy_skill_sets!$B:$B),MATCH(J$1,[4]enemy_skill_sets!$1:$1,0)-MATCH($T$1,[4]enemy_skill_sets!$1:$1,0)+2),MATCH(J$1,[4]enemy_skill_sets!$1:$1,0)-MATCH($T$1,[4]enemy_skill_sets!$1:$1,0)+2,FALSE)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61" s="5">
        <f ca="1">VLOOKUP($I61,OFFSET([2]enemies!$A$1,0,0,COUNTA([2]enemies!$A:$A),MATCH(T$1,[2]enemies!$2:$2,0)-MATCH($I$1,[2]enemies!$2:$2,0)+1),MATCH(T$1,[2]enemies!$2:$2,0)-MATCH($I$1,[2]enemies!$2:$2,0)+1,FALSE)</f>
        <v>57</v>
      </c>
      <c r="U61" s="7">
        <v>1</v>
      </c>
      <c r="V61" s="7">
        <v>100</v>
      </c>
      <c r="W61" s="7">
        <v>0</v>
      </c>
      <c r="X61" s="26">
        <f ca="1">VLOOKUP($I61,OFFSET([2]enemies!$A$1,0,0,COUNTA([2]enemies!$A:$A),MATCH(X$1,[2]enemies!$2:$2,0)-MATCH($I$1,[2]enemies!$2:$2,0)+1),MATCH(X$1,[2]enemies!$2:$2,0)-MATCH($I$1,[2]enemies!$2:$2,0)+1,FALSE)</f>
        <v>2</v>
      </c>
      <c r="Y61" s="37">
        <v>57</v>
      </c>
      <c r="Z61" s="5" t="str">
        <f ca="1">IFERROR(VLOOKUP($Y61,OFFSET([3]characters!$A$1,0,0,COUNTA([3]characters!$A:$A),MATCH(Z$1,[3]characters!$2:$2,0)-MATCH("character_id",[3]characters!$2:$2,0)+1),MATCH(Z$1,[3]characters!$2:$2,0)-MATCH("character_id",[3]characters!$2:$2,0)+1,FALSE),"")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61" s="5">
        <f ca="1">IFERROR(VLOOKUP($Y61,OFFSET([3]characters!$A$1,0,0,COUNTA([3]characters!$A:$A),MATCH(AA$1,[3]characters!$2:$2,0)-MATCH("character_id",[3]characters!$2:$2,0)+1),MATCH(AA$1,[3]characters!$2:$2,0)-MATCH("character_id",[3]characters!$2:$2,0)+1,FALSE),"")</f>
        <v>2</v>
      </c>
      <c r="AB61" s="5" t="str">
        <f ca="1">IFERROR(VLOOKUP($Y61,OFFSET([3]characters!$A$1,0,0,COUNTA([3]characters!$A:$A),MATCH(AB$1,[3]characters!$2:$2,0)-MATCH("character_id",[3]characters!$2:$2,0)+1),MATCH(AB$1,[3]characters!$2:$2,0)-MATCH("character_id",[3]characters!$2:$2,0)+1,FALSE),"")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" s="34">
        <v>1</v>
      </c>
      <c r="AD61" s="34">
        <f t="shared" ca="1" si="36"/>
        <v>2</v>
      </c>
      <c r="AE61" s="9">
        <v>25</v>
      </c>
      <c r="AF61" s="34">
        <v>0</v>
      </c>
      <c r="AG61" s="34">
        <v>0</v>
      </c>
      <c r="AH61" s="34">
        <v>0</v>
      </c>
      <c r="AI61" s="34">
        <v>0</v>
      </c>
      <c r="AJ61" s="34">
        <v>1</v>
      </c>
    </row>
    <row r="62" spans="1:36" ht="21" customHeight="1">
      <c r="A62" s="21" t="str">
        <f t="shared" si="37"/>
        <v>10035_1-5/224&lt;lv38&gt;</v>
      </c>
      <c r="B62" s="31">
        <v>10035</v>
      </c>
      <c r="C62" s="35">
        <v>1</v>
      </c>
      <c r="D62" s="20" t="str">
        <f t="shared" si="34"/>
        <v>10035_1</v>
      </c>
      <c r="E62" s="5" t="str">
        <f ca="1">VLOOKUP($B62,OFFSET([1]quests!$A$1,0,0,COUNTA([1]quests!$A:$A),MATCH(E$1,[1]quests!$1:$1,0)-MATCH($B$1,[1]quests!$1:$1,0)+1),MATCH(E$1,[1]quests!$1:$1,0)-MATCH($B$1,[1]quests!$1:$1,0)+1,FALSE)</f>
        <v>二人の関係は？</v>
      </c>
      <c r="F62" s="5" t="str">
        <f ca="1">VLOOKUP($D62,OFFSET([1]stages!$A$1,0,0,COUNTA([1]stages!$A:$A),MATCH(F$1,[1]stages!$2:$2,0)-MATCH($D$1,[1]stages!$2:$2,0)+1),MATCH(F$1,[1]stages!$2:$2,0)-MATCH($D$1,[1]stages!$2:$2,0)+1,FALSE)</f>
        <v>二人の関係は？</v>
      </c>
      <c r="G62" s="35">
        <v>5</v>
      </c>
      <c r="H62" s="20" t="str">
        <f t="shared" si="35"/>
        <v>10035_1-5</v>
      </c>
      <c r="I62" s="37">
        <v>224</v>
      </c>
      <c r="J62" s="26" t="str">
        <f ca="1">VLOOKUP($I62,OFFSET([2]enemies!$A$1,0,0,COUNTA([2]enemies!$A:$A),MATCH(J$1,[2]enemies!$2:$2,0)-MATCH($I$1,[2]enemies!$2:$2,0)+1),MATCH(J$1,[2]enemies!$2:$2,0)-MATCH($I$1,[2]enemies!$2:$2,0)+1,FALSE)</f>
        <v>巨腕 ヘラクレス</v>
      </c>
      <c r="K62" s="29" t="str">
        <f ca="1">VLOOKUP($I62,OFFSET([2]enemies!$A$1,0,0,COUNTA([2]enemies!$A:$A),MATCH(K$1,[2]enemies!$2:$2,0)-MATCH($I$1,[2]enemies!$2:$2,0)+1),MATCH(K$1,[2]enemies!$2:$2,0)-MATCH($I$1,[2]enemies!$2:$2,0)+1,FALSE)</f>
        <v>yellow</v>
      </c>
      <c r="L62" s="29" t="str">
        <f ca="1">VLOOKUP($I62,OFFSET([3]characters!$A$1,0,0,COUNTA([3]characters!$A:$A),MATCH(L$1,[3]characters!$2:$2,0)-MATCH($I$1,[3]characters!$2:$2,0)+1),MATCH(L$1,[3]characters!$2:$2,0)-MATCH($I$1,[3]characters!$2:$2,0)+1,FALSE)</f>
        <v>PremiumN</v>
      </c>
      <c r="M62" s="28" t="str">
        <f ca="1">VLOOKUP($I62,OFFSET([3]characters!$A$1,0,0,COUNTA([3]characters!$A:$A),MATCH(M$1,[3]characters!$2:$2,0)-MATCH($I$1,[3]characters!$2:$2,0)+2),MATCH(M$1,[3]characters!$2:$2,0)-MATCH($I$1,[3]characters!$2:$2,0)+2,FALSE)</f>
        <v>ヒューマン</v>
      </c>
      <c r="N62" s="5">
        <f ca="1">VLOOKUP($I62,OFFSET([2]enemies!$A$1,0,0,COUNTA([2]enemies!$A:$A),MATCH(N$1,[2]enemies!$2:$2,0)-MATCH($I$1,[2]enemies!$2:$2,0)+1),MATCH(N$1,[2]enemies!$2:$2,0)-MATCH($I$1,[2]enemies!$2:$2,0)+1,FALSE)</f>
        <v>30</v>
      </c>
      <c r="O62" s="6">
        <v>38</v>
      </c>
      <c r="P62" s="41">
        <v>1</v>
      </c>
      <c r="Q62" s="41">
        <v>1</v>
      </c>
      <c r="R62" s="6">
        <v>0</v>
      </c>
      <c r="S62" s="5" t="str">
        <f ca="1">VLOOKUP($T62,OFFSET([4]enemy_skill_sets!$B$1,0,0,COUNTA([4]enemy_skill_sets!$B:$B),MATCH(J$1,[4]enemy_skill_sets!$1:$1,0)-MATCH($T$1,[4]enemy_skill_sets!$1:$1,0)+2),MATCH(J$1,[4]enemy_skill_sets!$1:$1,0)-MATCH($T$1,[4]enemy_skill_sets!$1:$1,0)+2,FALSE)</f>
        <v>3ターン攻撃力大UP</v>
      </c>
      <c r="T62" s="5">
        <f ca="1">VLOOKUP($I62,OFFSET([2]enemies!$A$1,0,0,COUNTA([2]enemies!$A:$A),MATCH(T$1,[2]enemies!$2:$2,0)-MATCH($I$1,[2]enemies!$2:$2,0)+1),MATCH(T$1,[2]enemies!$2:$2,0)-MATCH($I$1,[2]enemies!$2:$2,0)+1,FALSE)</f>
        <v>224</v>
      </c>
      <c r="U62" s="7">
        <v>1</v>
      </c>
      <c r="V62" s="7">
        <v>100</v>
      </c>
      <c r="W62" s="7">
        <v>1</v>
      </c>
      <c r="X62" s="26">
        <f ca="1">VLOOKUP($I62,OFFSET([2]enemies!$A$1,0,0,COUNTA([2]enemies!$A:$A),MATCH(X$1,[2]enemies!$2:$2,0)-MATCH($I$1,[2]enemies!$2:$2,0)+1),MATCH(X$1,[2]enemies!$2:$2,0)-MATCH($I$1,[2]enemies!$2:$2,0)+1,FALSE)</f>
        <v>2</v>
      </c>
      <c r="Y62" s="37">
        <v>223</v>
      </c>
      <c r="Z62" s="5" t="str">
        <f ca="1">IFERROR(VLOOKUP($Y62,OFFSET([3]characters!$A$1,0,0,COUNTA([3]characters!$A:$A),MATCH(Z$1,[3]characters!$2:$2,0)-MATCH("character_id",[3]characters!$2:$2,0)+1),MATCH(Z$1,[3]characters!$2:$2,0)-MATCH("character_id",[3]characters!$2:$2,0)+1,FALSE),"")</f>
        <v>ヘラクレス</v>
      </c>
      <c r="AA62" s="5">
        <f ca="1">IFERROR(VLOOKUP($Y62,OFFSET([3]characters!$A$1,0,0,COUNTA([3]characters!$A:$A),MATCH(AA$1,[3]characters!$2:$2,0)-MATCH("character_id",[3]characters!$2:$2,0)+1),MATCH(AA$1,[3]characters!$2:$2,0)-MATCH("character_id",[3]characters!$2:$2,0)+1,FALSE),"")</f>
        <v>3</v>
      </c>
      <c r="AB62" s="5" t="str">
        <f ca="1">IFERROR(VLOOKUP($Y62,OFFSET([3]characters!$A$1,0,0,COUNTA([3]characters!$A:$A),MATCH(AB$1,[3]characters!$2:$2,0)-MATCH("character_id",[3]characters!$2:$2,0)+1),MATCH(AB$1,[3]characters!$2:$2,0)-MATCH("character_id",[3]characters!$2:$2,0)+1,FALSE),"")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62" s="34">
        <v>1</v>
      </c>
      <c r="AD62" s="34">
        <f t="shared" ca="1" si="36"/>
        <v>3</v>
      </c>
      <c r="AE62" s="9">
        <v>0</v>
      </c>
      <c r="AF62" s="34">
        <v>0</v>
      </c>
      <c r="AG62" s="34">
        <v>0</v>
      </c>
      <c r="AH62" s="34">
        <v>0</v>
      </c>
      <c r="AI62" s="34">
        <v>0</v>
      </c>
      <c r="AJ62" s="34">
        <v>1</v>
      </c>
    </row>
    <row r="63" spans="1:36" ht="21" customHeight="1">
      <c r="A63" s="21" t="str">
        <f t="shared" si="37"/>
        <v>10035_1-5/215&lt;lv36&gt;</v>
      </c>
      <c r="B63" s="31">
        <v>10035</v>
      </c>
      <c r="C63" s="35">
        <v>1</v>
      </c>
      <c r="D63" s="20" t="str">
        <f t="shared" ref="D63:D72" si="38">B63&amp;"_"&amp;C63</f>
        <v>10035_1</v>
      </c>
      <c r="E63" s="5" t="str">
        <f ca="1">VLOOKUP($B63,OFFSET([1]quests!$A$1,0,0,COUNTA([1]quests!$A:$A),MATCH(E$1,[1]quests!$1:$1,0)-MATCH($B$1,[1]quests!$1:$1,0)+1),MATCH(E$1,[1]quests!$1:$1,0)-MATCH($B$1,[1]quests!$1:$1,0)+1,FALSE)</f>
        <v>二人の関係は？</v>
      </c>
      <c r="F63" s="5" t="str">
        <f ca="1">VLOOKUP($D63,OFFSET([1]stages!$A$1,0,0,COUNTA([1]stages!$A:$A),MATCH(F$1,[1]stages!$2:$2,0)-MATCH($D$1,[1]stages!$2:$2,0)+1),MATCH(F$1,[1]stages!$2:$2,0)-MATCH($D$1,[1]stages!$2:$2,0)+1,FALSE)</f>
        <v>二人の関係は？</v>
      </c>
      <c r="G63" s="35">
        <v>5</v>
      </c>
      <c r="H63" s="20" t="str">
        <f t="shared" ref="H63:H72" si="39">B63&amp;"_"&amp;C63&amp;"-"&amp;G63</f>
        <v>10035_1-5</v>
      </c>
      <c r="I63" s="37">
        <v>215</v>
      </c>
      <c r="J63" s="26" t="str">
        <f ca="1">VLOOKUP($I63,OFFSET([2]enemies!$A$1,0,0,COUNTA([2]enemies!$A:$A),MATCH(J$1,[2]enemies!$2:$2,0)-MATCH($I$1,[2]enemies!$2:$2,0)+1),MATCH(J$1,[2]enemies!$2:$2,0)-MATCH($I$1,[2]enemies!$2:$2,0)+1,FALSE)</f>
        <v>死導者 アズラエル</v>
      </c>
      <c r="K63" s="29" t="str">
        <f ca="1">VLOOKUP($I63,OFFSET([2]enemies!$A$1,0,0,COUNTA([2]enemies!$A:$A),MATCH(K$1,[2]enemies!$2:$2,0)-MATCH($I$1,[2]enemies!$2:$2,0)+1),MATCH(K$1,[2]enemies!$2:$2,0)-MATCH($I$1,[2]enemies!$2:$2,0)+1,FALSE)</f>
        <v>red</v>
      </c>
      <c r="L63" s="29" t="str">
        <f ca="1">VLOOKUP($I63,OFFSET([3]characters!$A$1,0,0,COUNTA([3]characters!$A:$A),MATCH(L$1,[3]characters!$2:$2,0)-MATCH($I$1,[3]characters!$2:$2,0)+1),MATCH(L$1,[3]characters!$2:$2,0)-MATCH($I$1,[3]characters!$2:$2,0)+1,FALSE)</f>
        <v>PremiumN</v>
      </c>
      <c r="M63" s="28" t="str">
        <f ca="1">VLOOKUP($I63,OFFSET([3]characters!$A$1,0,0,COUNTA([3]characters!$A:$A),MATCH(M$1,[3]characters!$2:$2,0)-MATCH($I$1,[3]characters!$2:$2,0)+2),MATCH(M$1,[3]characters!$2:$2,0)-MATCH($I$1,[3]characters!$2:$2,0)+2,FALSE)</f>
        <v>ゴッド</v>
      </c>
      <c r="N63" s="5">
        <f ca="1">VLOOKUP($I63,OFFSET([2]enemies!$A$1,0,0,COUNTA([2]enemies!$A:$A),MATCH(N$1,[2]enemies!$2:$2,0)-MATCH($I$1,[2]enemies!$2:$2,0)+1),MATCH(N$1,[2]enemies!$2:$2,0)-MATCH($I$1,[2]enemies!$2:$2,0)+1,FALSE)</f>
        <v>30</v>
      </c>
      <c r="O63" s="6">
        <v>36</v>
      </c>
      <c r="P63" s="41">
        <v>1</v>
      </c>
      <c r="Q63" s="41">
        <v>1</v>
      </c>
      <c r="R63" s="6">
        <v>0</v>
      </c>
      <c r="S63" s="5" t="str">
        <f ca="1">VLOOKUP($T63,OFFSET([4]enemy_skill_sets!$B$1,0,0,COUNTA([4]enemy_skill_sets!$B:$B),MATCH(J$1,[4]enemy_skill_sets!$1:$1,0)-MATCH($T$1,[4]enemy_skill_sets!$1:$1,0)+2),MATCH(J$1,[4]enemy_skill_sets!$1:$1,0)-MATCH($T$1,[4]enemy_skill_sets!$1:$1,0)+2,FALSE)</f>
        <v>全体攻撃</v>
      </c>
      <c r="T63" s="5">
        <f ca="1">VLOOKUP($I63,OFFSET([2]enemies!$A$1,0,0,COUNTA([2]enemies!$A:$A),MATCH(T$1,[2]enemies!$2:$2,0)-MATCH($I$1,[2]enemies!$2:$2,0)+1),MATCH(T$1,[2]enemies!$2:$2,0)-MATCH($I$1,[2]enemies!$2:$2,0)+1,FALSE)</f>
        <v>215</v>
      </c>
      <c r="U63" s="7">
        <v>1</v>
      </c>
      <c r="V63" s="7">
        <v>100</v>
      </c>
      <c r="W63" s="7">
        <v>1</v>
      </c>
      <c r="X63" s="26">
        <f ca="1">VLOOKUP($I63,OFFSET([2]enemies!$A$1,0,0,COUNTA([2]enemies!$A:$A),MATCH(X$1,[2]enemies!$2:$2,0)-MATCH($I$1,[2]enemies!$2:$2,0)+1),MATCH(X$1,[2]enemies!$2:$2,0)-MATCH($I$1,[2]enemies!$2:$2,0)+1,FALSE)</f>
        <v>2</v>
      </c>
      <c r="Y63" s="37">
        <v>214</v>
      </c>
      <c r="Z63" s="5" t="str">
        <f ca="1">IFERROR(VLOOKUP($Y63,OFFSET([3]characters!$A$1,0,0,COUNTA([3]characters!$A:$A),MATCH(Z$1,[3]characters!$2:$2,0)-MATCH("character_id",[3]characters!$2:$2,0)+1),MATCH(Z$1,[3]characters!$2:$2,0)-MATCH("character_id",[3]characters!$2:$2,0)+1,FALSE),"")</f>
        <v>アズラエル</v>
      </c>
      <c r="AA63" s="5">
        <f ca="1">IFERROR(VLOOKUP($Y63,OFFSET([3]characters!$A$1,0,0,COUNTA([3]characters!$A:$A),MATCH(AA$1,[3]characters!$2:$2,0)-MATCH("character_id",[3]characters!$2:$2,0)+1),MATCH(AA$1,[3]characters!$2:$2,0)-MATCH("character_id",[3]characters!$2:$2,0)+1,FALSE),"")</f>
        <v>3</v>
      </c>
      <c r="AB63" s="5" t="str">
        <f ca="1">IFERROR(VLOOKUP($Y63,OFFSET([3]characters!$A$1,0,0,COUNTA([3]characters!$A:$A),MATCH(AB$1,[3]characters!$2:$2,0)-MATCH("character_id",[3]characters!$2:$2,0)+1),MATCH(AB$1,[3]characters!$2:$2,0)-MATCH("character_id",[3]characters!$2:$2,0)+1,FALSE),"")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63" s="34">
        <v>1</v>
      </c>
      <c r="AD63" s="34">
        <f t="shared" ref="AD63:AD72" ca="1" si="40">AA63</f>
        <v>3</v>
      </c>
      <c r="AE63" s="9">
        <v>0</v>
      </c>
      <c r="AF63" s="34">
        <v>0</v>
      </c>
      <c r="AG63" s="34">
        <v>0</v>
      </c>
      <c r="AH63" s="34">
        <v>0</v>
      </c>
      <c r="AI63" s="34">
        <v>0</v>
      </c>
      <c r="AJ63" s="34">
        <v>1</v>
      </c>
    </row>
    <row r="64" spans="1:36" ht="21" customHeight="1">
      <c r="A64" s="21" t="str">
        <f t="shared" si="37"/>
        <v>10040_1-1/11&lt;lv50&gt;</v>
      </c>
      <c r="B64" s="31">
        <v>10040</v>
      </c>
      <c r="C64" s="35">
        <v>1</v>
      </c>
      <c r="D64" s="20" t="str">
        <f t="shared" si="38"/>
        <v>10040_1</v>
      </c>
      <c r="E64" s="5" t="str">
        <f ca="1">VLOOKUP($B64,OFFSET([1]quests!$A$1,0,0,COUNTA([1]quests!$A:$A),MATCH(E$1,[1]quests!$1:$1,0)-MATCH($B$1,[1]quests!$1:$1,0)+1),MATCH(E$1,[1]quests!$1:$1,0)-MATCH($B$1,[1]quests!$1:$1,0)+1,FALSE)</f>
        <v>大地の杖</v>
      </c>
      <c r="F64" s="5" t="str">
        <f ca="1">VLOOKUP($D64,OFFSET([1]stages!$A$1,0,0,COUNTA([1]stages!$A:$A),MATCH(F$1,[1]stages!$2:$2,0)-MATCH($D$1,[1]stages!$2:$2,0)+1),MATCH(F$1,[1]stages!$2:$2,0)-MATCH($D$1,[1]stages!$2:$2,0)+1,FALSE)</f>
        <v>大地の杖</v>
      </c>
      <c r="G64" s="35">
        <v>1</v>
      </c>
      <c r="H64" s="20" t="str">
        <f t="shared" si="39"/>
        <v>10040_1-1</v>
      </c>
      <c r="I64" s="36">
        <v>11</v>
      </c>
      <c r="J64" s="26" t="str">
        <f ca="1">VLOOKUP($I64,OFFSET([2]enemies!$A$1,0,0,COUNTA([2]enemies!$A:$A),MATCH(J$1,[2]enemies!$2:$2,0)-MATCH($I$1,[2]enemies!$2:$2,0)+1),MATCH(J$1,[2]enemies!$2:$2,0)-MATCH($I$1,[2]enemies!$2:$2,0)+1,FALSE)</f>
        <v>マグリット</v>
      </c>
      <c r="K64" s="29" t="str">
        <f ca="1">VLOOKUP($I64,OFFSET([2]enemies!$A$1,0,0,COUNTA([2]enemies!$A:$A),MATCH(K$1,[2]enemies!$2:$2,0)-MATCH($I$1,[2]enemies!$2:$2,0)+1),MATCH(K$1,[2]enemies!$2:$2,0)-MATCH($I$1,[2]enemies!$2:$2,0)+1,FALSE)</f>
        <v>green</v>
      </c>
      <c r="L64" s="29" t="str">
        <f ca="1">VLOOKUP($I64,OFFSET([3]characters!$A$1,0,0,COUNTA([3]characters!$A:$A),MATCH(L$1,[3]characters!$2:$2,0)-MATCH($I$1,[3]characters!$2:$2,0)+1),MATCH(L$1,[3]characters!$2:$2,0)-MATCH($I$1,[3]characters!$2:$2,0)+1,FALSE)</f>
        <v>Drop1W</v>
      </c>
      <c r="M64" s="28" t="str">
        <f ca="1">VLOOKUP($I64,OFFSET([3]characters!$A$1,0,0,COUNTA([3]characters!$A:$A),MATCH(M$1,[3]characters!$2:$2,0)-MATCH($I$1,[3]characters!$2:$2,0)+2),MATCH(M$1,[3]characters!$2:$2,0)-MATCH($I$1,[3]characters!$2:$2,0)+2,FALSE)</f>
        <v>アニマル</v>
      </c>
      <c r="N64" s="5">
        <f ca="1">VLOOKUP($I64,OFFSET([2]enemies!$A$1,0,0,COUNTA([2]enemies!$A:$A),MATCH(N$1,[2]enemies!$2:$2,0)-MATCH($I$1,[2]enemies!$2:$2,0)+1),MATCH(N$1,[2]enemies!$2:$2,0)-MATCH($I$1,[2]enemies!$2:$2,0)+1,FALSE)</f>
        <v>15</v>
      </c>
      <c r="O64" s="6">
        <v>50</v>
      </c>
      <c r="P64" s="41">
        <v>1</v>
      </c>
      <c r="Q64" s="41">
        <v>1</v>
      </c>
      <c r="R64" s="6">
        <v>0</v>
      </c>
      <c r="S64" s="5" t="str">
        <f ca="1">VLOOKUP($T64,OFFSET([4]enemy_skill_sets!$B$1,0,0,COUNTA([4]enemy_skill_sets!$B:$B),MATCH(J$1,[4]enemy_skill_sets!$1:$1,0)-MATCH($T$1,[4]enemy_skill_sets!$1:$1,0)+2),MATCH(J$1,[4]enemy_skill_sets!$1:$1,0)-MATCH($T$1,[4]enemy_skill_sets!$1:$1,0)+2,FALSE)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" s="5">
        <f ca="1">VLOOKUP($I64,OFFSET([2]enemies!$A$1,0,0,COUNTA([2]enemies!$A:$A),MATCH(T$1,[2]enemies!$2:$2,0)-MATCH($I$1,[2]enemies!$2:$2,0)+1),MATCH(T$1,[2]enemies!$2:$2,0)-MATCH($I$1,[2]enemies!$2:$2,0)+1,FALSE)</f>
        <v>0</v>
      </c>
      <c r="U64" s="7">
        <v>0</v>
      </c>
      <c r="V64" s="7">
        <v>100</v>
      </c>
      <c r="W64" s="7">
        <v>0</v>
      </c>
      <c r="X64" s="26">
        <f ca="1">VLOOKUP($I64,OFFSET([2]enemies!$A$1,0,0,COUNTA([2]enemies!$A:$A),MATCH(X$1,[2]enemies!$2:$2,0)-MATCH($I$1,[2]enemies!$2:$2,0)+1),MATCH(X$1,[2]enemies!$2:$2,0)-MATCH($I$1,[2]enemies!$2:$2,0)+1,FALSE)</f>
        <v>3</v>
      </c>
      <c r="Y64" s="36">
        <v>11</v>
      </c>
      <c r="Z64" s="5" t="str">
        <f ca="1">IFERROR(VLOOKUP($Y64,OFFSET([3]characters!$A$1,0,0,COUNTA([3]characters!$A:$A),MATCH(Z$1,[3]characters!$2:$2,0)-MATCH("character_id",[3]characters!$2:$2,0)+1),MATCH(Z$1,[3]characters!$2:$2,0)-MATCH("character_id",[3]characters!$2:$2,0)+1,FALSE),"")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64" s="5">
        <f ca="1">IFERROR(VLOOKUP($Y64,OFFSET([3]characters!$A$1,0,0,COUNTA([3]characters!$A:$A),MATCH(AA$1,[3]characters!$2:$2,0)-MATCH("character_id",[3]characters!$2:$2,0)+1),MATCH(AA$1,[3]characters!$2:$2,0)-MATCH("character_id",[3]characters!$2:$2,0)+1,FALSE),"")</f>
        <v>1</v>
      </c>
      <c r="AB64" s="5" t="str">
        <f ca="1">IFERROR(VLOOKUP($Y64,OFFSET([3]characters!$A$1,0,0,COUNTA([3]characters!$A:$A),MATCH(AB$1,[3]characters!$2:$2,0)-MATCH("character_id",[3]characters!$2:$2,0)+1),MATCH(AB$1,[3]characters!$2:$2,0)-MATCH("character_id",[3]characters!$2:$2,0)+1,FALSE),"")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4" s="34">
        <v>1</v>
      </c>
      <c r="AD64" s="34">
        <f t="shared" ca="1" si="40"/>
        <v>1</v>
      </c>
      <c r="AE64" s="9">
        <v>25</v>
      </c>
      <c r="AF64" s="34">
        <v>0</v>
      </c>
      <c r="AG64" s="34">
        <v>0</v>
      </c>
      <c r="AH64" s="34">
        <v>0</v>
      </c>
      <c r="AI64" s="34">
        <v>0</v>
      </c>
      <c r="AJ64" s="34">
        <v>1</v>
      </c>
    </row>
    <row r="65" spans="1:36" ht="21" customHeight="1">
      <c r="A65" s="21" t="str">
        <f t="shared" ref="A65" si="41">B65&amp;"_"&amp;C65&amp;"-"&amp;G65&amp;"/"&amp;I65&amp;"&lt;lv"&amp;O65&amp;"&gt;"</f>
        <v>10040_1-1/31&lt;lv50&gt;</v>
      </c>
      <c r="B65" s="31">
        <v>10040</v>
      </c>
      <c r="C65" s="35">
        <v>1</v>
      </c>
      <c r="D65" s="20" t="str">
        <f t="shared" ref="D65" si="42">B65&amp;"_"&amp;C65</f>
        <v>10040_1</v>
      </c>
      <c r="E65" s="5" t="str">
        <f ca="1">VLOOKUP($B65,OFFSET([1]quests!$A$1,0,0,COUNTA([1]quests!$A:$A),MATCH(E$1,[1]quests!$1:$1,0)-MATCH($B$1,[1]quests!$1:$1,0)+1),MATCH(E$1,[1]quests!$1:$1,0)-MATCH($B$1,[1]quests!$1:$1,0)+1,FALSE)</f>
        <v>大地の杖</v>
      </c>
      <c r="F65" s="5" t="str">
        <f ca="1">VLOOKUP($D65,OFFSET([1]stages!$A$1,0,0,COUNTA([1]stages!$A:$A),MATCH(F$1,[1]stages!$2:$2,0)-MATCH($D$1,[1]stages!$2:$2,0)+1),MATCH(F$1,[1]stages!$2:$2,0)-MATCH($D$1,[1]stages!$2:$2,0)+1,FALSE)</f>
        <v>大地の杖</v>
      </c>
      <c r="G65" s="35">
        <v>1</v>
      </c>
      <c r="H65" s="20" t="str">
        <f t="shared" ref="H65" si="43">B65&amp;"_"&amp;C65&amp;"-"&amp;G65</f>
        <v>10040_1-1</v>
      </c>
      <c r="I65" s="36">
        <v>31</v>
      </c>
      <c r="J65" s="26" t="str">
        <f ca="1">VLOOKUP($I65,OFFSET([2]enemies!$A$1,0,0,COUNTA([2]enemies!$A:$A),MATCH(J$1,[2]enemies!$2:$2,0)-MATCH($I$1,[2]enemies!$2:$2,0)+1),MATCH(J$1,[2]enemies!$2:$2,0)-MATCH($I$1,[2]enemies!$2:$2,0)+1,FALSE)</f>
        <v>マービー</v>
      </c>
      <c r="K65" s="29" t="str">
        <f ca="1">VLOOKUP($I65,OFFSET([2]enemies!$A$1,0,0,COUNTA([2]enemies!$A:$A),MATCH(K$1,[2]enemies!$2:$2,0)-MATCH($I$1,[2]enemies!$2:$2,0)+1),MATCH(K$1,[2]enemies!$2:$2,0)-MATCH($I$1,[2]enemies!$2:$2,0)+1,FALSE)</f>
        <v>yellow</v>
      </c>
      <c r="L65" s="29" t="str">
        <f ca="1">VLOOKUP($I65,OFFSET([3]characters!$A$1,0,0,COUNTA([3]characters!$A:$A),MATCH(L$1,[3]characters!$2:$2,0)-MATCH($I$1,[3]characters!$2:$2,0)+1),MATCH(L$1,[3]characters!$2:$2,0)-MATCH($I$1,[3]characters!$2:$2,0)+1,FALSE)</f>
        <v>Drop1N</v>
      </c>
      <c r="M65" s="28" t="str">
        <f ca="1">VLOOKUP($I65,OFFSET([3]characters!$A$1,0,0,COUNTA([3]characters!$A:$A),MATCH(M$1,[3]characters!$2:$2,0)-MATCH($I$1,[3]characters!$2:$2,0)+2),MATCH(M$1,[3]characters!$2:$2,0)-MATCH($I$1,[3]characters!$2:$2,0)+2,FALSE)</f>
        <v>マシン</v>
      </c>
      <c r="N65" s="5">
        <f ca="1">VLOOKUP($I65,OFFSET([2]enemies!$A$1,0,0,COUNTA([2]enemies!$A:$A),MATCH(N$1,[2]enemies!$2:$2,0)-MATCH($I$1,[2]enemies!$2:$2,0)+1),MATCH(N$1,[2]enemies!$2:$2,0)-MATCH($I$1,[2]enemies!$2:$2,0)+1,FALSE)</f>
        <v>15</v>
      </c>
      <c r="O65" s="6">
        <v>50</v>
      </c>
      <c r="P65" s="41">
        <v>1</v>
      </c>
      <c r="Q65" s="41">
        <v>1</v>
      </c>
      <c r="R65" s="6">
        <v>0</v>
      </c>
      <c r="S65" s="5" t="str">
        <f ca="1">VLOOKUP($T65,OFFSET([4]enemy_skill_sets!$B$1,0,0,COUNTA([4]enemy_skill_sets!$B:$B),MATCH(J$1,[4]enemy_skill_sets!$1:$1,0)-MATCH($T$1,[4]enemy_skill_sets!$1:$1,0)+2),MATCH(J$1,[4]enemy_skill_sets!$1:$1,0)-MATCH($T$1,[4]enemy_skill_sets!$1:$1,0)+2,FALSE)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5" s="5">
        <f ca="1">VLOOKUP($I65,OFFSET([2]enemies!$A$1,0,0,COUNTA([2]enemies!$A:$A),MATCH(T$1,[2]enemies!$2:$2,0)-MATCH($I$1,[2]enemies!$2:$2,0)+1),MATCH(T$1,[2]enemies!$2:$2,0)-MATCH($I$1,[2]enemies!$2:$2,0)+1,FALSE)</f>
        <v>0</v>
      </c>
      <c r="U65" s="7">
        <v>0</v>
      </c>
      <c r="V65" s="7">
        <v>100</v>
      </c>
      <c r="W65" s="7">
        <v>0</v>
      </c>
      <c r="X65" s="26">
        <f ca="1">VLOOKUP($I65,OFFSET([2]enemies!$A$1,0,0,COUNTA([2]enemies!$A:$A),MATCH(X$1,[2]enemies!$2:$2,0)-MATCH($I$1,[2]enemies!$2:$2,0)+1),MATCH(X$1,[2]enemies!$2:$2,0)-MATCH($I$1,[2]enemies!$2:$2,0)+1,FALSE)</f>
        <v>2</v>
      </c>
      <c r="Y65" s="36">
        <v>31</v>
      </c>
      <c r="Z65" s="5" t="str">
        <f ca="1">IFERROR(VLOOKUP($Y65,OFFSET([3]characters!$A$1,0,0,COUNTA([3]characters!$A:$A),MATCH(Z$1,[3]characters!$2:$2,0)-MATCH("character_id",[3]characters!$2:$2,0)+1),MATCH(Z$1,[3]characters!$2:$2,0)-MATCH("character_id",[3]characters!$2:$2,0)+1,FALSE),"")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65" s="5">
        <f ca="1">IFERROR(VLOOKUP($Y65,OFFSET([3]characters!$A$1,0,0,COUNTA([3]characters!$A:$A),MATCH(AA$1,[3]characters!$2:$2,0)-MATCH("character_id",[3]characters!$2:$2,0)+1),MATCH(AA$1,[3]characters!$2:$2,0)-MATCH("character_id",[3]characters!$2:$2,0)+1,FALSE),"")</f>
        <v>1</v>
      </c>
      <c r="AB65" s="5" t="str">
        <f ca="1">IFERROR(VLOOKUP($Y65,OFFSET([3]characters!$A$1,0,0,COUNTA([3]characters!$A:$A),MATCH(AB$1,[3]characters!$2:$2,0)-MATCH("character_id",[3]characters!$2:$2,0)+1),MATCH(AB$1,[3]characters!$2:$2,0)-MATCH("character_id",[3]characters!$2:$2,0)+1,FALSE),"")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5" s="34">
        <v>1</v>
      </c>
      <c r="AD65" s="34">
        <f t="shared" ref="AD65" ca="1" si="44">AA65</f>
        <v>1</v>
      </c>
      <c r="AE65" s="9">
        <v>25</v>
      </c>
      <c r="AF65" s="34">
        <v>0</v>
      </c>
      <c r="AG65" s="34">
        <v>0</v>
      </c>
      <c r="AH65" s="34">
        <v>0</v>
      </c>
      <c r="AI65" s="34">
        <v>0</v>
      </c>
      <c r="AJ65" s="34">
        <v>1</v>
      </c>
    </row>
    <row r="66" spans="1:36" ht="21" customHeight="1">
      <c r="A66" s="21" t="str">
        <f t="shared" si="37"/>
        <v>10040_1-2/31&lt;lv50&gt;</v>
      </c>
      <c r="B66" s="31">
        <v>10040</v>
      </c>
      <c r="C66" s="35">
        <v>1</v>
      </c>
      <c r="D66" s="20" t="str">
        <f t="shared" si="38"/>
        <v>10040_1</v>
      </c>
      <c r="E66" s="5" t="str">
        <f ca="1">VLOOKUP($B66,OFFSET([1]quests!$A$1,0,0,COUNTA([1]quests!$A:$A),MATCH(E$1,[1]quests!$1:$1,0)-MATCH($B$1,[1]quests!$1:$1,0)+1),MATCH(E$1,[1]quests!$1:$1,0)-MATCH($B$1,[1]quests!$1:$1,0)+1,FALSE)</f>
        <v>大地の杖</v>
      </c>
      <c r="F66" s="5" t="str">
        <f ca="1">VLOOKUP($D66,OFFSET([1]stages!$A$1,0,0,COUNTA([1]stages!$A:$A),MATCH(F$1,[1]stages!$2:$2,0)-MATCH($D$1,[1]stages!$2:$2,0)+1),MATCH(F$1,[1]stages!$2:$2,0)-MATCH($D$1,[1]stages!$2:$2,0)+1,FALSE)</f>
        <v>大地の杖</v>
      </c>
      <c r="G66" s="35">
        <v>2</v>
      </c>
      <c r="H66" s="20" t="str">
        <f t="shared" si="39"/>
        <v>10040_1-2</v>
      </c>
      <c r="I66" s="36">
        <v>31</v>
      </c>
      <c r="J66" s="26" t="str">
        <f ca="1">VLOOKUP($I66,OFFSET([2]enemies!$A$1,0,0,COUNTA([2]enemies!$A:$A),MATCH(J$1,[2]enemies!$2:$2,0)-MATCH($I$1,[2]enemies!$2:$2,0)+1),MATCH(J$1,[2]enemies!$2:$2,0)-MATCH($I$1,[2]enemies!$2:$2,0)+1,FALSE)</f>
        <v>マービー</v>
      </c>
      <c r="K66" s="29" t="str">
        <f ca="1">VLOOKUP($I66,OFFSET([2]enemies!$A$1,0,0,COUNTA([2]enemies!$A:$A),MATCH(K$1,[2]enemies!$2:$2,0)-MATCH($I$1,[2]enemies!$2:$2,0)+1),MATCH(K$1,[2]enemies!$2:$2,0)-MATCH($I$1,[2]enemies!$2:$2,0)+1,FALSE)</f>
        <v>yellow</v>
      </c>
      <c r="L66" s="29" t="str">
        <f ca="1">VLOOKUP($I66,OFFSET([3]characters!$A$1,0,0,COUNTA([3]characters!$A:$A),MATCH(L$1,[3]characters!$2:$2,0)-MATCH($I$1,[3]characters!$2:$2,0)+1),MATCH(L$1,[3]characters!$2:$2,0)-MATCH($I$1,[3]characters!$2:$2,0)+1,FALSE)</f>
        <v>Drop1N</v>
      </c>
      <c r="M66" s="28" t="str">
        <f ca="1">VLOOKUP($I66,OFFSET([3]characters!$A$1,0,0,COUNTA([3]characters!$A:$A),MATCH(M$1,[3]characters!$2:$2,0)-MATCH($I$1,[3]characters!$2:$2,0)+2),MATCH(M$1,[3]characters!$2:$2,0)-MATCH($I$1,[3]characters!$2:$2,0)+2,FALSE)</f>
        <v>マシン</v>
      </c>
      <c r="N66" s="5">
        <f ca="1">VLOOKUP($I66,OFFSET([2]enemies!$A$1,0,0,COUNTA([2]enemies!$A:$A),MATCH(N$1,[2]enemies!$2:$2,0)-MATCH($I$1,[2]enemies!$2:$2,0)+1),MATCH(N$1,[2]enemies!$2:$2,0)-MATCH($I$1,[2]enemies!$2:$2,0)+1,FALSE)</f>
        <v>15</v>
      </c>
      <c r="O66" s="6">
        <v>50</v>
      </c>
      <c r="P66" s="41">
        <v>1</v>
      </c>
      <c r="Q66" s="41">
        <v>1</v>
      </c>
      <c r="R66" s="6">
        <v>0</v>
      </c>
      <c r="S66" s="5" t="str">
        <f ca="1">VLOOKUP($T66,OFFSET([4]enemy_skill_sets!$B$1,0,0,COUNTA([4]enemy_skill_sets!$B:$B),MATCH(J$1,[4]enemy_skill_sets!$1:$1,0)-MATCH($T$1,[4]enemy_skill_sets!$1:$1,0)+2),MATCH(J$1,[4]enemy_skill_sets!$1:$1,0)-MATCH($T$1,[4]enemy_skill_sets!$1:$1,0)+2,FALSE)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6" s="5">
        <f ca="1">VLOOKUP($I66,OFFSET([2]enemies!$A$1,0,0,COUNTA([2]enemies!$A:$A),MATCH(T$1,[2]enemies!$2:$2,0)-MATCH($I$1,[2]enemies!$2:$2,0)+1),MATCH(T$1,[2]enemies!$2:$2,0)-MATCH($I$1,[2]enemies!$2:$2,0)+1,FALSE)</f>
        <v>0</v>
      </c>
      <c r="U66" s="7">
        <v>0</v>
      </c>
      <c r="V66" s="7">
        <v>100</v>
      </c>
      <c r="W66" s="7">
        <v>0</v>
      </c>
      <c r="X66" s="26">
        <f ca="1">VLOOKUP($I66,OFFSET([2]enemies!$A$1,0,0,COUNTA([2]enemies!$A:$A),MATCH(X$1,[2]enemies!$2:$2,0)-MATCH($I$1,[2]enemies!$2:$2,0)+1),MATCH(X$1,[2]enemies!$2:$2,0)-MATCH($I$1,[2]enemies!$2:$2,0)+1,FALSE)</f>
        <v>2</v>
      </c>
      <c r="Y66" s="36">
        <v>31</v>
      </c>
      <c r="Z66" s="5" t="str">
        <f ca="1">IFERROR(VLOOKUP($Y66,OFFSET([3]characters!$A$1,0,0,COUNTA([3]characters!$A:$A),MATCH(Z$1,[3]characters!$2:$2,0)-MATCH("character_id",[3]characters!$2:$2,0)+1),MATCH(Z$1,[3]characters!$2:$2,0)-MATCH("character_id",[3]characters!$2:$2,0)+1,FALSE),"")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66" s="5">
        <f ca="1">IFERROR(VLOOKUP($Y66,OFFSET([3]characters!$A$1,0,0,COUNTA([3]characters!$A:$A),MATCH(AA$1,[3]characters!$2:$2,0)-MATCH("character_id",[3]characters!$2:$2,0)+1),MATCH(AA$1,[3]characters!$2:$2,0)-MATCH("character_id",[3]characters!$2:$2,0)+1,FALSE),"")</f>
        <v>1</v>
      </c>
      <c r="AB66" s="5" t="str">
        <f ca="1">IFERROR(VLOOKUP($Y66,OFFSET([3]characters!$A$1,0,0,COUNTA([3]characters!$A:$A),MATCH(AB$1,[3]characters!$2:$2,0)-MATCH("character_id",[3]characters!$2:$2,0)+1),MATCH(AB$1,[3]characters!$2:$2,0)-MATCH("character_id",[3]characters!$2:$2,0)+1,FALSE),"")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6" s="34">
        <v>1</v>
      </c>
      <c r="AD66" s="34">
        <f t="shared" ca="1" si="40"/>
        <v>1</v>
      </c>
      <c r="AE66" s="9">
        <v>25</v>
      </c>
      <c r="AF66" s="34">
        <v>0</v>
      </c>
      <c r="AG66" s="34">
        <v>0</v>
      </c>
      <c r="AH66" s="34">
        <v>0</v>
      </c>
      <c r="AI66" s="34">
        <v>0</v>
      </c>
      <c r="AJ66" s="34">
        <v>1</v>
      </c>
    </row>
    <row r="67" spans="1:36" ht="21" customHeight="1">
      <c r="A67" s="21" t="str">
        <f t="shared" si="37"/>
        <v>10040_1-2/23&lt;lv50&gt;</v>
      </c>
      <c r="B67" s="31">
        <v>10040</v>
      </c>
      <c r="C67" s="35">
        <v>1</v>
      </c>
      <c r="D67" s="20" t="str">
        <f t="shared" si="38"/>
        <v>10040_1</v>
      </c>
      <c r="E67" s="5" t="str">
        <f ca="1">VLOOKUP($B67,OFFSET([1]quests!$A$1,0,0,COUNTA([1]quests!$A:$A),MATCH(E$1,[1]quests!$1:$1,0)-MATCH($B$1,[1]quests!$1:$1,0)+1),MATCH(E$1,[1]quests!$1:$1,0)-MATCH($B$1,[1]quests!$1:$1,0)+1,FALSE)</f>
        <v>大地の杖</v>
      </c>
      <c r="F67" s="5" t="str">
        <f ca="1">VLOOKUP($D67,OFFSET([1]stages!$A$1,0,0,COUNTA([1]stages!$A:$A),MATCH(F$1,[1]stages!$2:$2,0)-MATCH($D$1,[1]stages!$2:$2,0)+1),MATCH(F$1,[1]stages!$2:$2,0)-MATCH($D$1,[1]stages!$2:$2,0)+1,FALSE)</f>
        <v>大地の杖</v>
      </c>
      <c r="G67" s="35">
        <v>2</v>
      </c>
      <c r="H67" s="20" t="str">
        <f t="shared" si="39"/>
        <v>10040_1-2</v>
      </c>
      <c r="I67" s="36">
        <v>23</v>
      </c>
      <c r="J67" s="26" t="str">
        <f ca="1">VLOOKUP($I67,OFFSET([2]enemies!$A$1,0,0,COUNTA([2]enemies!$A:$A),MATCH(J$1,[2]enemies!$2:$2,0)-MATCH($I$1,[2]enemies!$2:$2,0)+1),MATCH(J$1,[2]enemies!$2:$2,0)-MATCH($I$1,[2]enemies!$2:$2,0)+1,FALSE)</f>
        <v>ミール</v>
      </c>
      <c r="K67" s="29" t="str">
        <f ca="1">VLOOKUP($I67,OFFSET([2]enemies!$A$1,0,0,COUNTA([2]enemies!$A:$A),MATCH(K$1,[2]enemies!$2:$2,0)-MATCH($I$1,[2]enemies!$2:$2,0)+1),MATCH(K$1,[2]enemies!$2:$2,0)-MATCH($I$1,[2]enemies!$2:$2,0)+1,FALSE)</f>
        <v>green</v>
      </c>
      <c r="L67" s="29" t="str">
        <f ca="1">VLOOKUP($I67,OFFSET([3]characters!$A$1,0,0,COUNTA([3]characters!$A:$A),MATCH(L$1,[3]characters!$2:$2,0)-MATCH($I$1,[3]characters!$2:$2,0)+1),MATCH(L$1,[3]characters!$2:$2,0)-MATCH($I$1,[3]characters!$2:$2,0)+1,FALSE)</f>
        <v>Drop1N</v>
      </c>
      <c r="M67" s="28" t="str">
        <f ca="1">VLOOKUP($I67,OFFSET([3]characters!$A$1,0,0,COUNTA([3]characters!$A:$A),MATCH(M$1,[3]characters!$2:$2,0)-MATCH($I$1,[3]characters!$2:$2,0)+2),MATCH(M$1,[3]characters!$2:$2,0)-MATCH($I$1,[3]characters!$2:$2,0)+2,FALSE)</f>
        <v>アニマル</v>
      </c>
      <c r="N67" s="5">
        <f ca="1">VLOOKUP($I67,OFFSET([2]enemies!$A$1,0,0,COUNTA([2]enemies!$A:$A),MATCH(N$1,[2]enemies!$2:$2,0)-MATCH($I$1,[2]enemies!$2:$2,0)+1),MATCH(N$1,[2]enemies!$2:$2,0)-MATCH($I$1,[2]enemies!$2:$2,0)+1,FALSE)</f>
        <v>15</v>
      </c>
      <c r="O67" s="6">
        <v>50</v>
      </c>
      <c r="P67" s="41">
        <v>1</v>
      </c>
      <c r="Q67" s="41">
        <v>1</v>
      </c>
      <c r="R67" s="6">
        <v>0</v>
      </c>
      <c r="S67" s="5" t="str">
        <f ca="1">VLOOKUP($T67,OFFSET([4]enemy_skill_sets!$B$1,0,0,COUNTA([4]enemy_skill_sets!$B:$B),MATCH(J$1,[4]enemy_skill_sets!$1:$1,0)-MATCH($T$1,[4]enemy_skill_sets!$1:$1,0)+2),MATCH(J$1,[4]enemy_skill_sets!$1:$1,0)-MATCH($T$1,[4]enemy_skill_sets!$1:$1,0)+2,FALSE)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" s="5">
        <f ca="1">VLOOKUP($I67,OFFSET([2]enemies!$A$1,0,0,COUNTA([2]enemies!$A:$A),MATCH(T$1,[2]enemies!$2:$2,0)-MATCH($I$1,[2]enemies!$2:$2,0)+1),MATCH(T$1,[2]enemies!$2:$2,0)-MATCH($I$1,[2]enemies!$2:$2,0)+1,FALSE)</f>
        <v>0</v>
      </c>
      <c r="U67" s="7">
        <v>0</v>
      </c>
      <c r="V67" s="7">
        <v>100</v>
      </c>
      <c r="W67" s="7">
        <v>0</v>
      </c>
      <c r="X67" s="26">
        <f ca="1">VLOOKUP($I67,OFFSET([2]enemies!$A$1,0,0,COUNTA([2]enemies!$A:$A),MATCH(X$1,[2]enemies!$2:$2,0)-MATCH($I$1,[2]enemies!$2:$2,0)+1),MATCH(X$1,[2]enemies!$2:$2,0)-MATCH($I$1,[2]enemies!$2:$2,0)+1,FALSE)</f>
        <v>4</v>
      </c>
      <c r="Y67" s="36">
        <v>23</v>
      </c>
      <c r="Z67" s="5" t="str">
        <f ca="1">IFERROR(VLOOKUP($Y67,OFFSET([3]characters!$A$1,0,0,COUNTA([3]characters!$A:$A),MATCH(Z$1,[3]characters!$2:$2,0)-MATCH("character_id",[3]characters!$2:$2,0)+1),MATCH(Z$1,[3]characters!$2:$2,0)-MATCH("character_id",[3]characters!$2:$2,0)+1,FALSE),"")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67" s="5">
        <f ca="1">IFERROR(VLOOKUP($Y67,OFFSET([3]characters!$A$1,0,0,COUNTA([3]characters!$A:$A),MATCH(AA$1,[3]characters!$2:$2,0)-MATCH("character_id",[3]characters!$2:$2,0)+1),MATCH(AA$1,[3]characters!$2:$2,0)-MATCH("character_id",[3]characters!$2:$2,0)+1,FALSE),"")</f>
        <v>1</v>
      </c>
      <c r="AB67" s="5" t="str">
        <f ca="1">IFERROR(VLOOKUP($Y67,OFFSET([3]characters!$A$1,0,0,COUNTA([3]characters!$A:$A),MATCH(AB$1,[3]characters!$2:$2,0)-MATCH("character_id",[3]characters!$2:$2,0)+1),MATCH(AB$1,[3]characters!$2:$2,0)-MATCH("character_id",[3]characters!$2:$2,0)+1,FALSE),"")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7" s="34">
        <v>1</v>
      </c>
      <c r="AD67" s="34">
        <f t="shared" ca="1" si="40"/>
        <v>1</v>
      </c>
      <c r="AE67" s="9">
        <v>25</v>
      </c>
      <c r="AF67" s="34">
        <v>0</v>
      </c>
      <c r="AG67" s="34">
        <v>0</v>
      </c>
      <c r="AH67" s="34">
        <v>0</v>
      </c>
      <c r="AI67" s="34">
        <v>0</v>
      </c>
      <c r="AJ67" s="34">
        <v>1</v>
      </c>
    </row>
    <row r="68" spans="1:36" ht="21" customHeight="1">
      <c r="A68" s="21" t="str">
        <f t="shared" si="37"/>
        <v>10040_1-2/27&lt;lv50&gt;</v>
      </c>
      <c r="B68" s="31">
        <v>10040</v>
      </c>
      <c r="C68" s="35">
        <v>1</v>
      </c>
      <c r="D68" s="20" t="str">
        <f t="shared" si="38"/>
        <v>10040_1</v>
      </c>
      <c r="E68" s="5" t="str">
        <f ca="1">VLOOKUP($B68,OFFSET([1]quests!$A$1,0,0,COUNTA([1]quests!$A:$A),MATCH(E$1,[1]quests!$1:$1,0)-MATCH($B$1,[1]quests!$1:$1,0)+1),MATCH(E$1,[1]quests!$1:$1,0)-MATCH($B$1,[1]quests!$1:$1,0)+1,FALSE)</f>
        <v>大地の杖</v>
      </c>
      <c r="F68" s="5" t="str">
        <f ca="1">VLOOKUP($D68,OFFSET([1]stages!$A$1,0,0,COUNTA([1]stages!$A:$A),MATCH(F$1,[1]stages!$2:$2,0)-MATCH($D$1,[1]stages!$2:$2,0)+1),MATCH(F$1,[1]stages!$2:$2,0)-MATCH($D$1,[1]stages!$2:$2,0)+1,FALSE)</f>
        <v>大地の杖</v>
      </c>
      <c r="G68" s="35">
        <v>2</v>
      </c>
      <c r="H68" s="20" t="str">
        <f t="shared" si="39"/>
        <v>10040_1-2</v>
      </c>
      <c r="I68" s="36">
        <v>27</v>
      </c>
      <c r="J68" s="26" t="str">
        <f ca="1">VLOOKUP($I68,OFFSET([2]enemies!$A$1,0,0,COUNTA([2]enemies!$A:$A),MATCH(J$1,[2]enemies!$2:$2,0)-MATCH($I$1,[2]enemies!$2:$2,0)+1),MATCH(J$1,[2]enemies!$2:$2,0)-MATCH($I$1,[2]enemies!$2:$2,0)+1,FALSE)</f>
        <v>パトライン</v>
      </c>
      <c r="K68" s="29" t="str">
        <f ca="1">VLOOKUP($I68,OFFSET([2]enemies!$A$1,0,0,COUNTA([2]enemies!$A:$A),MATCH(K$1,[2]enemies!$2:$2,0)-MATCH($I$1,[2]enemies!$2:$2,0)+1),MATCH(K$1,[2]enemies!$2:$2,0)-MATCH($I$1,[2]enemies!$2:$2,0)+1,FALSE)</f>
        <v>green</v>
      </c>
      <c r="L68" s="29" t="str">
        <f ca="1">VLOOKUP($I68,OFFSET([3]characters!$A$1,0,0,COUNTA([3]characters!$A:$A),MATCH(L$1,[3]characters!$2:$2,0)-MATCH($I$1,[3]characters!$2:$2,0)+1),MATCH(L$1,[3]characters!$2:$2,0)-MATCH($I$1,[3]characters!$2:$2,0)+1,FALSE)</f>
        <v>Drop1N</v>
      </c>
      <c r="M68" s="28" t="str">
        <f ca="1">VLOOKUP($I68,OFFSET([3]characters!$A$1,0,0,COUNTA([3]characters!$A:$A),MATCH(M$1,[3]characters!$2:$2,0)-MATCH($I$1,[3]characters!$2:$2,0)+2),MATCH(M$1,[3]characters!$2:$2,0)-MATCH($I$1,[3]characters!$2:$2,0)+2,FALSE)</f>
        <v>マシン</v>
      </c>
      <c r="N68" s="5">
        <f ca="1">VLOOKUP($I68,OFFSET([2]enemies!$A$1,0,0,COUNTA([2]enemies!$A:$A),MATCH(N$1,[2]enemies!$2:$2,0)-MATCH($I$1,[2]enemies!$2:$2,0)+1),MATCH(N$1,[2]enemies!$2:$2,0)-MATCH($I$1,[2]enemies!$2:$2,0)+1,FALSE)</f>
        <v>15</v>
      </c>
      <c r="O68" s="6">
        <v>50</v>
      </c>
      <c r="P68" s="41">
        <v>1</v>
      </c>
      <c r="Q68" s="41">
        <v>1</v>
      </c>
      <c r="R68" s="6">
        <v>0</v>
      </c>
      <c r="S68" s="5" t="str">
        <f ca="1">VLOOKUP($T68,OFFSET([4]enemy_skill_sets!$B$1,0,0,COUNTA([4]enemy_skill_sets!$B:$B),MATCH(J$1,[4]enemy_skill_sets!$1:$1,0)-MATCH($T$1,[4]enemy_skill_sets!$1:$1,0)+2),MATCH(J$1,[4]enemy_skill_sets!$1:$1,0)-MATCH($T$1,[4]enemy_skill_sets!$1:$1,0)+2,FALSE)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8" s="5">
        <f ca="1">VLOOKUP($I68,OFFSET([2]enemies!$A$1,0,0,COUNTA([2]enemies!$A:$A),MATCH(T$1,[2]enemies!$2:$2,0)-MATCH($I$1,[2]enemies!$2:$2,0)+1),MATCH(T$1,[2]enemies!$2:$2,0)-MATCH($I$1,[2]enemies!$2:$2,0)+1,FALSE)</f>
        <v>0</v>
      </c>
      <c r="U68" s="7">
        <v>0</v>
      </c>
      <c r="V68" s="7">
        <v>100</v>
      </c>
      <c r="W68" s="7">
        <v>0</v>
      </c>
      <c r="X68" s="26">
        <f ca="1">VLOOKUP($I68,OFFSET([2]enemies!$A$1,0,0,COUNTA([2]enemies!$A:$A),MATCH(X$1,[2]enemies!$2:$2,0)-MATCH($I$1,[2]enemies!$2:$2,0)+1),MATCH(X$1,[2]enemies!$2:$2,0)-MATCH($I$1,[2]enemies!$2:$2,0)+1,FALSE)</f>
        <v>1</v>
      </c>
      <c r="Y68" s="36">
        <v>27</v>
      </c>
      <c r="Z68" s="5" t="str">
        <f ca="1">IFERROR(VLOOKUP($Y68,OFFSET([3]characters!$A$1,0,0,COUNTA([3]characters!$A:$A),MATCH(Z$1,[3]characters!$2:$2,0)-MATCH("character_id",[3]characters!$2:$2,0)+1),MATCH(Z$1,[3]characters!$2:$2,0)-MATCH("character_id",[3]characters!$2:$2,0)+1,FALSE),"")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68" s="5">
        <f ca="1">IFERROR(VLOOKUP($Y68,OFFSET([3]characters!$A$1,0,0,COUNTA([3]characters!$A:$A),MATCH(AA$1,[3]characters!$2:$2,0)-MATCH("character_id",[3]characters!$2:$2,0)+1),MATCH(AA$1,[3]characters!$2:$2,0)-MATCH("character_id",[3]characters!$2:$2,0)+1,FALSE),"")</f>
        <v>1</v>
      </c>
      <c r="AB68" s="5" t="str">
        <f ca="1">IFERROR(VLOOKUP($Y68,OFFSET([3]characters!$A$1,0,0,COUNTA([3]characters!$A:$A),MATCH(AB$1,[3]characters!$2:$2,0)-MATCH("character_id",[3]characters!$2:$2,0)+1),MATCH(AB$1,[3]characters!$2:$2,0)-MATCH("character_id",[3]characters!$2:$2,0)+1,FALSE),"")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8" s="34">
        <v>1</v>
      </c>
      <c r="AD68" s="34">
        <f t="shared" ca="1" si="40"/>
        <v>1</v>
      </c>
      <c r="AE68" s="9">
        <v>25</v>
      </c>
      <c r="AF68" s="34">
        <v>0</v>
      </c>
      <c r="AG68" s="34">
        <v>0</v>
      </c>
      <c r="AH68" s="34">
        <v>0</v>
      </c>
      <c r="AI68" s="34">
        <v>0</v>
      </c>
      <c r="AJ68" s="34">
        <v>1</v>
      </c>
    </row>
    <row r="69" spans="1:36" ht="21" customHeight="1">
      <c r="A69" s="21" t="str">
        <f t="shared" si="37"/>
        <v>10040_1-3/43&lt;lv50&gt;</v>
      </c>
      <c r="B69" s="31">
        <v>10040</v>
      </c>
      <c r="C69" s="35">
        <v>1</v>
      </c>
      <c r="D69" s="20" t="str">
        <f t="shared" si="38"/>
        <v>10040_1</v>
      </c>
      <c r="E69" s="5" t="str">
        <f ca="1">VLOOKUP($B69,OFFSET([1]quests!$A$1,0,0,COUNTA([1]quests!$A:$A),MATCH(E$1,[1]quests!$1:$1,0)-MATCH($B$1,[1]quests!$1:$1,0)+1),MATCH(E$1,[1]quests!$1:$1,0)-MATCH($B$1,[1]quests!$1:$1,0)+1,FALSE)</f>
        <v>大地の杖</v>
      </c>
      <c r="F69" s="5" t="str">
        <f ca="1">VLOOKUP($D69,OFFSET([1]stages!$A$1,0,0,COUNTA([1]stages!$A:$A),MATCH(F$1,[1]stages!$2:$2,0)-MATCH($D$1,[1]stages!$2:$2,0)+1),MATCH(F$1,[1]stages!$2:$2,0)-MATCH($D$1,[1]stages!$2:$2,0)+1,FALSE)</f>
        <v>大地の杖</v>
      </c>
      <c r="G69" s="35">
        <v>3</v>
      </c>
      <c r="H69" s="20" t="str">
        <f t="shared" si="39"/>
        <v>10040_1-3</v>
      </c>
      <c r="I69" s="38">
        <v>43</v>
      </c>
      <c r="J69" s="26" t="str">
        <f ca="1">VLOOKUP($I69,OFFSET([2]enemies!$A$1,0,0,COUNTA([2]enemies!$A:$A),MATCH(J$1,[2]enemies!$2:$2,0)-MATCH($I$1,[2]enemies!$2:$2,0)+1),MATCH(J$1,[2]enemies!$2:$2,0)-MATCH($I$1,[2]enemies!$2:$2,0)+1,FALSE)</f>
        <v>ムゥ</v>
      </c>
      <c r="K69" s="29" t="str">
        <f ca="1">VLOOKUP($I69,OFFSET([2]enemies!$A$1,0,0,COUNTA([2]enemies!$A:$A),MATCH(K$1,[2]enemies!$2:$2,0)-MATCH($I$1,[2]enemies!$2:$2,0)+1),MATCH(K$1,[2]enemies!$2:$2,0)-MATCH($I$1,[2]enemies!$2:$2,0)+1,FALSE)</f>
        <v>green</v>
      </c>
      <c r="L69" s="29" t="str">
        <f ca="1">VLOOKUP($I69,OFFSET([3]characters!$A$1,0,0,COUNTA([3]characters!$A:$A),MATCH(L$1,[3]characters!$2:$2,0)-MATCH($I$1,[3]characters!$2:$2,0)+1),MATCH(L$1,[3]characters!$2:$2,0)-MATCH($I$1,[3]characters!$2:$2,0)+1,FALSE)</f>
        <v>Drop1N</v>
      </c>
      <c r="M69" s="28" t="str">
        <f ca="1">VLOOKUP($I69,OFFSET([3]characters!$A$1,0,0,COUNTA([3]characters!$A:$A),MATCH(M$1,[3]characters!$2:$2,0)-MATCH($I$1,[3]characters!$2:$2,0)+2),MATCH(M$1,[3]characters!$2:$2,0)-MATCH($I$1,[3]characters!$2:$2,0)+2,FALSE)</f>
        <v>ドラゴン</v>
      </c>
      <c r="N69" s="5">
        <f ca="1">VLOOKUP($I69,OFFSET([2]enemies!$A$1,0,0,COUNTA([2]enemies!$A:$A),MATCH(N$1,[2]enemies!$2:$2,0)-MATCH($I$1,[2]enemies!$2:$2,0)+1),MATCH(N$1,[2]enemies!$2:$2,0)-MATCH($I$1,[2]enemies!$2:$2,0)+1,FALSE)</f>
        <v>15</v>
      </c>
      <c r="O69" s="6">
        <v>50</v>
      </c>
      <c r="P69" s="41">
        <v>1</v>
      </c>
      <c r="Q69" s="41">
        <v>1</v>
      </c>
      <c r="R69" s="6">
        <v>0</v>
      </c>
      <c r="S69" s="5" t="str">
        <f ca="1">VLOOKUP($T69,OFFSET([4]enemy_skill_sets!$B$1,0,0,COUNTA([4]enemy_skill_sets!$B:$B),MATCH(J$1,[4]enemy_skill_sets!$1:$1,0)-MATCH($T$1,[4]enemy_skill_sets!$1:$1,0)+2),MATCH(J$1,[4]enemy_skill_sets!$1:$1,0)-MATCH($T$1,[4]enemy_skill_sets!$1:$1,0)+2,FALSE)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9" s="5">
        <f ca="1">VLOOKUP($I69,OFFSET([2]enemies!$A$1,0,0,COUNTA([2]enemies!$A:$A),MATCH(T$1,[2]enemies!$2:$2,0)-MATCH($I$1,[2]enemies!$2:$2,0)+1),MATCH(T$1,[2]enemies!$2:$2,0)-MATCH($I$1,[2]enemies!$2:$2,0)+1,FALSE)</f>
        <v>0</v>
      </c>
      <c r="U69" s="7">
        <v>1</v>
      </c>
      <c r="V69" s="7">
        <v>100</v>
      </c>
      <c r="W69" s="7">
        <v>0</v>
      </c>
      <c r="X69" s="26">
        <f ca="1">VLOOKUP($I69,OFFSET([2]enemies!$A$1,0,0,COUNTA([2]enemies!$A:$A),MATCH(X$1,[2]enemies!$2:$2,0)-MATCH($I$1,[2]enemies!$2:$2,0)+1),MATCH(X$1,[2]enemies!$2:$2,0)-MATCH($I$1,[2]enemies!$2:$2,0)+1,FALSE)</f>
        <v>2</v>
      </c>
      <c r="Y69" s="38">
        <v>43</v>
      </c>
      <c r="Z69" s="5" t="str">
        <f ca="1">IFERROR(VLOOKUP($Y69,OFFSET([3]characters!$A$1,0,0,COUNTA([3]characters!$A:$A),MATCH(Z$1,[3]characters!$2:$2,0)-MATCH("character_id",[3]characters!$2:$2,0)+1),MATCH(Z$1,[3]characters!$2:$2,0)-MATCH("character_id",[3]characters!$2:$2,0)+1,FALSE),"")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69" s="5">
        <f ca="1">IFERROR(VLOOKUP($Y69,OFFSET([3]characters!$A$1,0,0,COUNTA([3]characters!$A:$A),MATCH(AA$1,[3]characters!$2:$2,0)-MATCH("character_id",[3]characters!$2:$2,0)+1),MATCH(AA$1,[3]characters!$2:$2,0)-MATCH("character_id",[3]characters!$2:$2,0)+1,FALSE),"")</f>
        <v>2</v>
      </c>
      <c r="AB69" s="5" t="str">
        <f ca="1">IFERROR(VLOOKUP($Y69,OFFSET([3]characters!$A$1,0,0,COUNTA([3]characters!$A:$A),MATCH(AB$1,[3]characters!$2:$2,0)-MATCH("character_id",[3]characters!$2:$2,0)+1),MATCH(AB$1,[3]characters!$2:$2,0)-MATCH("character_id",[3]characters!$2:$2,0)+1,FALSE),"")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9" s="34">
        <v>1</v>
      </c>
      <c r="AD69" s="34">
        <f t="shared" ca="1" si="40"/>
        <v>2</v>
      </c>
      <c r="AE69" s="9">
        <v>25</v>
      </c>
      <c r="AF69" s="34">
        <v>0</v>
      </c>
      <c r="AG69" s="34">
        <v>0</v>
      </c>
      <c r="AH69" s="34">
        <v>0</v>
      </c>
      <c r="AI69" s="34">
        <v>0</v>
      </c>
      <c r="AJ69" s="34">
        <v>1</v>
      </c>
    </row>
    <row r="70" spans="1:36" ht="21" customHeight="1">
      <c r="A70" s="21" t="str">
        <f t="shared" ref="A70" si="45">B70&amp;"_"&amp;C70&amp;"-"&amp;G70&amp;"/"&amp;I70&amp;"&lt;lv"&amp;O70&amp;"&gt;"</f>
        <v>10040_1-3/31&lt;lv50&gt;</v>
      </c>
      <c r="B70" s="31">
        <v>10040</v>
      </c>
      <c r="C70" s="35">
        <v>1</v>
      </c>
      <c r="D70" s="20" t="str">
        <f t="shared" ref="D70" si="46">B70&amp;"_"&amp;C70</f>
        <v>10040_1</v>
      </c>
      <c r="E70" s="5" t="str">
        <f ca="1">VLOOKUP($B70,OFFSET([1]quests!$A$1,0,0,COUNTA([1]quests!$A:$A),MATCH(E$1,[1]quests!$1:$1,0)-MATCH($B$1,[1]quests!$1:$1,0)+1),MATCH(E$1,[1]quests!$1:$1,0)-MATCH($B$1,[1]quests!$1:$1,0)+1,FALSE)</f>
        <v>大地の杖</v>
      </c>
      <c r="F70" s="5" t="str">
        <f ca="1">VLOOKUP($D70,OFFSET([1]stages!$A$1,0,0,COUNTA([1]stages!$A:$A),MATCH(F$1,[1]stages!$2:$2,0)-MATCH($D$1,[1]stages!$2:$2,0)+1),MATCH(F$1,[1]stages!$2:$2,0)-MATCH($D$1,[1]stages!$2:$2,0)+1,FALSE)</f>
        <v>大地の杖</v>
      </c>
      <c r="G70" s="35">
        <v>3</v>
      </c>
      <c r="H70" s="20" t="str">
        <f t="shared" ref="H70" si="47">B70&amp;"_"&amp;C70&amp;"-"&amp;G70</f>
        <v>10040_1-3</v>
      </c>
      <c r="I70" s="36">
        <v>31</v>
      </c>
      <c r="J70" s="26" t="str">
        <f ca="1">VLOOKUP($I70,OFFSET([2]enemies!$A$1,0,0,COUNTA([2]enemies!$A:$A),MATCH(J$1,[2]enemies!$2:$2,0)-MATCH($I$1,[2]enemies!$2:$2,0)+1),MATCH(J$1,[2]enemies!$2:$2,0)-MATCH($I$1,[2]enemies!$2:$2,0)+1,FALSE)</f>
        <v>マービー</v>
      </c>
      <c r="K70" s="29" t="str">
        <f ca="1">VLOOKUP($I70,OFFSET([2]enemies!$A$1,0,0,COUNTA([2]enemies!$A:$A),MATCH(K$1,[2]enemies!$2:$2,0)-MATCH($I$1,[2]enemies!$2:$2,0)+1),MATCH(K$1,[2]enemies!$2:$2,0)-MATCH($I$1,[2]enemies!$2:$2,0)+1,FALSE)</f>
        <v>yellow</v>
      </c>
      <c r="L70" s="29" t="str">
        <f ca="1">VLOOKUP($I70,OFFSET([3]characters!$A$1,0,0,COUNTA([3]characters!$A:$A),MATCH(L$1,[3]characters!$2:$2,0)-MATCH($I$1,[3]characters!$2:$2,0)+1),MATCH(L$1,[3]characters!$2:$2,0)-MATCH($I$1,[3]characters!$2:$2,0)+1,FALSE)</f>
        <v>Drop1N</v>
      </c>
      <c r="M70" s="28" t="str">
        <f ca="1">VLOOKUP($I70,OFFSET([3]characters!$A$1,0,0,COUNTA([3]characters!$A:$A),MATCH(M$1,[3]characters!$2:$2,0)-MATCH($I$1,[3]characters!$2:$2,0)+2),MATCH(M$1,[3]characters!$2:$2,0)-MATCH($I$1,[3]characters!$2:$2,0)+2,FALSE)</f>
        <v>マシン</v>
      </c>
      <c r="N70" s="5">
        <f ca="1">VLOOKUP($I70,OFFSET([2]enemies!$A$1,0,0,COUNTA([2]enemies!$A:$A),MATCH(N$1,[2]enemies!$2:$2,0)-MATCH($I$1,[2]enemies!$2:$2,0)+1),MATCH(N$1,[2]enemies!$2:$2,0)-MATCH($I$1,[2]enemies!$2:$2,0)+1,FALSE)</f>
        <v>15</v>
      </c>
      <c r="O70" s="6">
        <v>50</v>
      </c>
      <c r="P70" s="41">
        <v>1</v>
      </c>
      <c r="Q70" s="41">
        <v>1</v>
      </c>
      <c r="R70" s="6">
        <v>0</v>
      </c>
      <c r="S70" s="5" t="str">
        <f ca="1">VLOOKUP($T70,OFFSET([4]enemy_skill_sets!$B$1,0,0,COUNTA([4]enemy_skill_sets!$B:$B),MATCH(J$1,[4]enemy_skill_sets!$1:$1,0)-MATCH($T$1,[4]enemy_skill_sets!$1:$1,0)+2),MATCH(J$1,[4]enemy_skill_sets!$1:$1,0)-MATCH($T$1,[4]enemy_skill_sets!$1:$1,0)+2,FALSE)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0" s="5">
        <f ca="1">VLOOKUP($I70,OFFSET([2]enemies!$A$1,0,0,COUNTA([2]enemies!$A:$A),MATCH(T$1,[2]enemies!$2:$2,0)-MATCH($I$1,[2]enemies!$2:$2,0)+1),MATCH(T$1,[2]enemies!$2:$2,0)-MATCH($I$1,[2]enemies!$2:$2,0)+1,FALSE)</f>
        <v>0</v>
      </c>
      <c r="U70" s="7">
        <v>0</v>
      </c>
      <c r="V70" s="7">
        <v>100</v>
      </c>
      <c r="W70" s="7">
        <v>0</v>
      </c>
      <c r="X70" s="26">
        <f ca="1">VLOOKUP($I70,OFFSET([2]enemies!$A$1,0,0,COUNTA([2]enemies!$A:$A),MATCH(X$1,[2]enemies!$2:$2,0)-MATCH($I$1,[2]enemies!$2:$2,0)+1),MATCH(X$1,[2]enemies!$2:$2,0)-MATCH($I$1,[2]enemies!$2:$2,0)+1,FALSE)</f>
        <v>2</v>
      </c>
      <c r="Y70" s="36">
        <v>31</v>
      </c>
      <c r="Z70" s="5" t="str">
        <f ca="1">IFERROR(VLOOKUP($Y70,OFFSET([3]characters!$A$1,0,0,COUNTA([3]characters!$A:$A),MATCH(Z$1,[3]characters!$2:$2,0)-MATCH("character_id",[3]characters!$2:$2,0)+1),MATCH(Z$1,[3]characters!$2:$2,0)-MATCH("character_id",[3]characters!$2:$2,0)+1,FALSE),"")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70" s="5">
        <f ca="1">IFERROR(VLOOKUP($Y70,OFFSET([3]characters!$A$1,0,0,COUNTA([3]characters!$A:$A),MATCH(AA$1,[3]characters!$2:$2,0)-MATCH("character_id",[3]characters!$2:$2,0)+1),MATCH(AA$1,[3]characters!$2:$2,0)-MATCH("character_id",[3]characters!$2:$2,0)+1,FALSE),"")</f>
        <v>1</v>
      </c>
      <c r="AB70" s="5" t="str">
        <f ca="1">IFERROR(VLOOKUP($Y70,OFFSET([3]characters!$A$1,0,0,COUNTA([3]characters!$A:$A),MATCH(AB$1,[3]characters!$2:$2,0)-MATCH("character_id",[3]characters!$2:$2,0)+1),MATCH(AB$1,[3]characters!$2:$2,0)-MATCH("character_id",[3]characters!$2:$2,0)+1,FALSE),"")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0" s="34">
        <v>1</v>
      </c>
      <c r="AD70" s="34">
        <f t="shared" ref="AD70" ca="1" si="48">AA70</f>
        <v>1</v>
      </c>
      <c r="AE70" s="9">
        <v>25</v>
      </c>
      <c r="AF70" s="34">
        <v>0</v>
      </c>
      <c r="AG70" s="34">
        <v>0</v>
      </c>
      <c r="AH70" s="34">
        <v>0</v>
      </c>
      <c r="AI70" s="34">
        <v>0</v>
      </c>
      <c r="AJ70" s="34">
        <v>1</v>
      </c>
    </row>
    <row r="71" spans="1:36" ht="21" customHeight="1">
      <c r="A71" s="21" t="str">
        <f t="shared" si="37"/>
        <v>10040_1-4/59&lt;lv50&gt;</v>
      </c>
      <c r="B71" s="31">
        <v>10040</v>
      </c>
      <c r="C71" s="35">
        <v>1</v>
      </c>
      <c r="D71" s="20" t="str">
        <f t="shared" si="38"/>
        <v>10040_1</v>
      </c>
      <c r="E71" s="5" t="str">
        <f ca="1">VLOOKUP($B71,OFFSET([1]quests!$A$1,0,0,COUNTA([1]quests!$A:$A),MATCH(E$1,[1]quests!$1:$1,0)-MATCH($B$1,[1]quests!$1:$1,0)+1),MATCH(E$1,[1]quests!$1:$1,0)-MATCH($B$1,[1]quests!$1:$1,0)+1,FALSE)</f>
        <v>大地の杖</v>
      </c>
      <c r="F71" s="5" t="str">
        <f ca="1">VLOOKUP($D71,OFFSET([1]stages!$A$1,0,0,COUNTA([1]stages!$A:$A),MATCH(F$1,[1]stages!$2:$2,0)-MATCH($D$1,[1]stages!$2:$2,0)+1),MATCH(F$1,[1]stages!$2:$2,0)-MATCH($D$1,[1]stages!$2:$2,0)+1,FALSE)</f>
        <v>大地の杖</v>
      </c>
      <c r="G71" s="35">
        <v>4</v>
      </c>
      <c r="H71" s="20" t="str">
        <f t="shared" si="39"/>
        <v>10040_1-4</v>
      </c>
      <c r="I71" s="38">
        <v>59</v>
      </c>
      <c r="J71" s="26" t="str">
        <f ca="1">VLOOKUP($I71,OFFSET([2]enemies!$A$1,0,0,COUNTA([2]enemies!$A:$A),MATCH(J$1,[2]enemies!$2:$2,0)-MATCH($I$1,[2]enemies!$2:$2,0)+1),MATCH(J$1,[2]enemies!$2:$2,0)-MATCH($I$1,[2]enemies!$2:$2,0)+1,FALSE)</f>
        <v>マーチ</v>
      </c>
      <c r="K71" s="29" t="str">
        <f ca="1">VLOOKUP($I71,OFFSET([2]enemies!$A$1,0,0,COUNTA([2]enemies!$A:$A),MATCH(K$1,[2]enemies!$2:$2,0)-MATCH($I$1,[2]enemies!$2:$2,0)+1),MATCH(K$1,[2]enemies!$2:$2,0)-MATCH($I$1,[2]enemies!$2:$2,0)+1,FALSE)</f>
        <v>green</v>
      </c>
      <c r="L71" s="29" t="str">
        <f ca="1">VLOOKUP($I71,OFFSET([3]characters!$A$1,0,0,COUNTA([3]characters!$A:$A),MATCH(L$1,[3]characters!$2:$2,0)-MATCH($I$1,[3]characters!$2:$2,0)+1),MATCH(L$1,[3]characters!$2:$2,0)-MATCH($I$1,[3]characters!$2:$2,0)+1,FALSE)</f>
        <v>Drop1N</v>
      </c>
      <c r="M71" s="28" t="str">
        <f ca="1">VLOOKUP($I71,OFFSET([3]characters!$A$1,0,0,COUNTA([3]characters!$A:$A),MATCH(M$1,[3]characters!$2:$2,0)-MATCH($I$1,[3]characters!$2:$2,0)+2),MATCH(M$1,[3]characters!$2:$2,0)-MATCH($I$1,[3]characters!$2:$2,0)+2,FALSE)</f>
        <v>アニマル</v>
      </c>
      <c r="N71" s="5">
        <f ca="1">VLOOKUP($I71,OFFSET([2]enemies!$A$1,0,0,COUNTA([2]enemies!$A:$A),MATCH(N$1,[2]enemies!$2:$2,0)-MATCH($I$1,[2]enemies!$2:$2,0)+1),MATCH(N$1,[2]enemies!$2:$2,0)-MATCH($I$1,[2]enemies!$2:$2,0)+1,FALSE)</f>
        <v>15</v>
      </c>
      <c r="O71" s="6">
        <v>50</v>
      </c>
      <c r="P71" s="41">
        <v>1</v>
      </c>
      <c r="Q71" s="41">
        <v>1</v>
      </c>
      <c r="R71" s="6">
        <v>0</v>
      </c>
      <c r="S71" s="5" t="str">
        <f ca="1">VLOOKUP($T71,OFFSET([4]enemy_skill_sets!$B$1,0,0,COUNTA([4]enemy_skill_sets!$B:$B),MATCH(J$1,[4]enemy_skill_sets!$1:$1,0)-MATCH($T$1,[4]enemy_skill_sets!$1:$1,0)+2),MATCH(J$1,[4]enemy_skill_sets!$1:$1,0)-MATCH($T$1,[4]enemy_skill_sets!$1:$1,0)+2,FALSE)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71" s="5">
        <f ca="1">VLOOKUP($I71,OFFSET([2]enemies!$A$1,0,0,COUNTA([2]enemies!$A:$A),MATCH(T$1,[2]enemies!$2:$2,0)-MATCH($I$1,[2]enemies!$2:$2,0)+1),MATCH(T$1,[2]enemies!$2:$2,0)-MATCH($I$1,[2]enemies!$2:$2,0)+1,FALSE)</f>
        <v>59</v>
      </c>
      <c r="U71" s="7">
        <v>1</v>
      </c>
      <c r="V71" s="7">
        <v>100</v>
      </c>
      <c r="W71" s="7">
        <v>1</v>
      </c>
      <c r="X71" s="26">
        <f ca="1">VLOOKUP($I71,OFFSET([2]enemies!$A$1,0,0,COUNTA([2]enemies!$A:$A),MATCH(X$1,[2]enemies!$2:$2,0)-MATCH($I$1,[2]enemies!$2:$2,0)+1),MATCH(X$1,[2]enemies!$2:$2,0)-MATCH($I$1,[2]enemies!$2:$2,0)+1,FALSE)</f>
        <v>2</v>
      </c>
      <c r="Y71" s="38">
        <v>59</v>
      </c>
      <c r="Z71" s="5" t="str">
        <f ca="1">IFERROR(VLOOKUP($Y71,OFFSET([3]characters!$A$1,0,0,COUNTA([3]characters!$A:$A),MATCH(Z$1,[3]characters!$2:$2,0)-MATCH("character_id",[3]characters!$2:$2,0)+1),MATCH(Z$1,[3]characters!$2:$2,0)-MATCH("character_id",[3]characters!$2:$2,0)+1,FALSE),"")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71" s="5">
        <f ca="1">IFERROR(VLOOKUP($Y71,OFFSET([3]characters!$A$1,0,0,COUNTA([3]characters!$A:$A),MATCH(AA$1,[3]characters!$2:$2,0)-MATCH("character_id",[3]characters!$2:$2,0)+1),MATCH(AA$1,[3]characters!$2:$2,0)-MATCH("character_id",[3]characters!$2:$2,0)+1,FALSE),"")</f>
        <v>2</v>
      </c>
      <c r="AB71" s="5" t="str">
        <f ca="1">IFERROR(VLOOKUP($Y71,OFFSET([3]characters!$A$1,0,0,COUNTA([3]characters!$A:$A),MATCH(AB$1,[3]characters!$2:$2,0)-MATCH("character_id",[3]characters!$2:$2,0)+1),MATCH(AB$1,[3]characters!$2:$2,0)-MATCH("character_id",[3]characters!$2:$2,0)+1,FALSE),"")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1" s="34">
        <v>1</v>
      </c>
      <c r="AD71" s="34">
        <f t="shared" ca="1" si="40"/>
        <v>2</v>
      </c>
      <c r="AE71" s="9">
        <v>25</v>
      </c>
      <c r="AF71" s="34">
        <v>0</v>
      </c>
      <c r="AG71" s="34">
        <v>0</v>
      </c>
      <c r="AH71" s="34">
        <v>0</v>
      </c>
      <c r="AI71" s="34">
        <v>0</v>
      </c>
      <c r="AJ71" s="34">
        <v>1</v>
      </c>
    </row>
    <row r="72" spans="1:36" ht="21" customHeight="1">
      <c r="A72" s="21" t="str">
        <f t="shared" si="37"/>
        <v>10040_1-4/31&lt;lv50&gt;</v>
      </c>
      <c r="B72" s="31">
        <v>10040</v>
      </c>
      <c r="C72" s="35">
        <v>1</v>
      </c>
      <c r="D72" s="20" t="str">
        <f t="shared" si="38"/>
        <v>10040_1</v>
      </c>
      <c r="E72" s="5" t="str">
        <f ca="1">VLOOKUP($B72,OFFSET([1]quests!$A$1,0,0,COUNTA([1]quests!$A:$A),MATCH(E$1,[1]quests!$1:$1,0)-MATCH($B$1,[1]quests!$1:$1,0)+1),MATCH(E$1,[1]quests!$1:$1,0)-MATCH($B$1,[1]quests!$1:$1,0)+1,FALSE)</f>
        <v>大地の杖</v>
      </c>
      <c r="F72" s="5" t="str">
        <f ca="1">VLOOKUP($D72,OFFSET([1]stages!$A$1,0,0,COUNTA([1]stages!$A:$A),MATCH(F$1,[1]stages!$2:$2,0)-MATCH($D$1,[1]stages!$2:$2,0)+1),MATCH(F$1,[1]stages!$2:$2,0)-MATCH($D$1,[1]stages!$2:$2,0)+1,FALSE)</f>
        <v>大地の杖</v>
      </c>
      <c r="G72" s="35">
        <v>4</v>
      </c>
      <c r="H72" s="20" t="str">
        <f t="shared" si="39"/>
        <v>10040_1-4</v>
      </c>
      <c r="I72" s="36">
        <v>31</v>
      </c>
      <c r="J72" s="26" t="str">
        <f ca="1">VLOOKUP($I72,OFFSET([2]enemies!$A$1,0,0,COUNTA([2]enemies!$A:$A),MATCH(J$1,[2]enemies!$2:$2,0)-MATCH($I$1,[2]enemies!$2:$2,0)+1),MATCH(J$1,[2]enemies!$2:$2,0)-MATCH($I$1,[2]enemies!$2:$2,0)+1,FALSE)</f>
        <v>マービー</v>
      </c>
      <c r="K72" s="29" t="str">
        <f ca="1">VLOOKUP($I72,OFFSET([2]enemies!$A$1,0,0,COUNTA([2]enemies!$A:$A),MATCH(K$1,[2]enemies!$2:$2,0)-MATCH($I$1,[2]enemies!$2:$2,0)+1),MATCH(K$1,[2]enemies!$2:$2,0)-MATCH($I$1,[2]enemies!$2:$2,0)+1,FALSE)</f>
        <v>yellow</v>
      </c>
      <c r="L72" s="29" t="str">
        <f ca="1">VLOOKUP($I72,OFFSET([3]characters!$A$1,0,0,COUNTA([3]characters!$A:$A),MATCH(L$1,[3]characters!$2:$2,0)-MATCH($I$1,[3]characters!$2:$2,0)+1),MATCH(L$1,[3]characters!$2:$2,0)-MATCH($I$1,[3]characters!$2:$2,0)+1,FALSE)</f>
        <v>Drop1N</v>
      </c>
      <c r="M72" s="28" t="str">
        <f ca="1">VLOOKUP($I72,OFFSET([3]characters!$A$1,0,0,COUNTA([3]characters!$A:$A),MATCH(M$1,[3]characters!$2:$2,0)-MATCH($I$1,[3]characters!$2:$2,0)+2),MATCH(M$1,[3]characters!$2:$2,0)-MATCH($I$1,[3]characters!$2:$2,0)+2,FALSE)</f>
        <v>マシン</v>
      </c>
      <c r="N72" s="5">
        <f ca="1">VLOOKUP($I72,OFFSET([2]enemies!$A$1,0,0,COUNTA([2]enemies!$A:$A),MATCH(N$1,[2]enemies!$2:$2,0)-MATCH($I$1,[2]enemies!$2:$2,0)+1),MATCH(N$1,[2]enemies!$2:$2,0)-MATCH($I$1,[2]enemies!$2:$2,0)+1,FALSE)</f>
        <v>15</v>
      </c>
      <c r="O72" s="6">
        <v>50</v>
      </c>
      <c r="P72" s="41">
        <v>1</v>
      </c>
      <c r="Q72" s="41">
        <v>1</v>
      </c>
      <c r="R72" s="6">
        <v>0</v>
      </c>
      <c r="S72" s="5" t="str">
        <f ca="1">VLOOKUP($T72,OFFSET([4]enemy_skill_sets!$B$1,0,0,COUNTA([4]enemy_skill_sets!$B:$B),MATCH(J$1,[4]enemy_skill_sets!$1:$1,0)-MATCH($T$1,[4]enemy_skill_sets!$1:$1,0)+2),MATCH(J$1,[4]enemy_skill_sets!$1:$1,0)-MATCH($T$1,[4]enemy_skill_sets!$1:$1,0)+2,FALSE)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2" s="5">
        <f ca="1">VLOOKUP($I72,OFFSET([2]enemies!$A$1,0,0,COUNTA([2]enemies!$A:$A),MATCH(T$1,[2]enemies!$2:$2,0)-MATCH($I$1,[2]enemies!$2:$2,0)+1),MATCH(T$1,[2]enemies!$2:$2,0)-MATCH($I$1,[2]enemies!$2:$2,0)+1,FALSE)</f>
        <v>0</v>
      </c>
      <c r="U72" s="7">
        <v>0</v>
      </c>
      <c r="V72" s="7">
        <v>100</v>
      </c>
      <c r="W72" s="7">
        <v>0</v>
      </c>
      <c r="X72" s="26">
        <f ca="1">VLOOKUP($I72,OFFSET([2]enemies!$A$1,0,0,COUNTA([2]enemies!$A:$A),MATCH(X$1,[2]enemies!$2:$2,0)-MATCH($I$1,[2]enemies!$2:$2,0)+1),MATCH(X$1,[2]enemies!$2:$2,0)-MATCH($I$1,[2]enemies!$2:$2,0)+1,FALSE)</f>
        <v>2</v>
      </c>
      <c r="Y72" s="36">
        <v>31</v>
      </c>
      <c r="Z72" s="5" t="str">
        <f ca="1">IFERROR(VLOOKUP($Y72,OFFSET([3]characters!$A$1,0,0,COUNTA([3]characters!$A:$A),MATCH(Z$1,[3]characters!$2:$2,0)-MATCH("character_id",[3]characters!$2:$2,0)+1),MATCH(Z$1,[3]characters!$2:$2,0)-MATCH("character_id",[3]characters!$2:$2,0)+1,FALSE),"")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72" s="5">
        <f ca="1">IFERROR(VLOOKUP($Y72,OFFSET([3]characters!$A$1,0,0,COUNTA([3]characters!$A:$A),MATCH(AA$1,[3]characters!$2:$2,0)-MATCH("character_id",[3]characters!$2:$2,0)+1),MATCH(AA$1,[3]characters!$2:$2,0)-MATCH("character_id",[3]characters!$2:$2,0)+1,FALSE),"")</f>
        <v>1</v>
      </c>
      <c r="AB72" s="5" t="str">
        <f ca="1">IFERROR(VLOOKUP($Y72,OFFSET([3]characters!$A$1,0,0,COUNTA([3]characters!$A:$A),MATCH(AB$1,[3]characters!$2:$2,0)-MATCH("character_id",[3]characters!$2:$2,0)+1),MATCH(AB$1,[3]characters!$2:$2,0)-MATCH("character_id",[3]characters!$2:$2,0)+1,FALSE),"")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2" s="34">
        <v>1</v>
      </c>
      <c r="AD72" s="34">
        <f t="shared" ca="1" si="40"/>
        <v>1</v>
      </c>
      <c r="AE72" s="9">
        <v>25</v>
      </c>
      <c r="AF72" s="34">
        <v>0</v>
      </c>
      <c r="AG72" s="34">
        <v>0</v>
      </c>
      <c r="AH72" s="34">
        <v>0</v>
      </c>
      <c r="AI72" s="34">
        <v>0</v>
      </c>
      <c r="AJ72" s="34">
        <v>1</v>
      </c>
    </row>
    <row r="73" spans="1:36" ht="21" customHeight="1">
      <c r="A73" s="21" t="str">
        <f t="shared" si="37"/>
        <v>10040_1-5/230&lt;lv42&gt;</v>
      </c>
      <c r="B73" s="31">
        <v>10040</v>
      </c>
      <c r="C73" s="35">
        <v>1</v>
      </c>
      <c r="D73" s="20" t="str">
        <f t="shared" ref="D73:D82" si="49">B73&amp;"_"&amp;C73</f>
        <v>10040_1</v>
      </c>
      <c r="E73" s="5" t="str">
        <f ca="1">VLOOKUP($B73,OFFSET([1]quests!$A$1,0,0,COUNTA([1]quests!$A:$A),MATCH(E$1,[1]quests!$1:$1,0)-MATCH($B$1,[1]quests!$1:$1,0)+1),MATCH(E$1,[1]quests!$1:$1,0)-MATCH($B$1,[1]quests!$1:$1,0)+1,FALSE)</f>
        <v>大地の杖</v>
      </c>
      <c r="F73" s="5" t="str">
        <f ca="1">VLOOKUP($D73,OFFSET([1]stages!$A$1,0,0,COUNTA([1]stages!$A:$A),MATCH(F$1,[1]stages!$2:$2,0)-MATCH($D$1,[1]stages!$2:$2,0)+1),MATCH(F$1,[1]stages!$2:$2,0)-MATCH($D$1,[1]stages!$2:$2,0)+1,FALSE)</f>
        <v>大地の杖</v>
      </c>
      <c r="G73" s="35">
        <v>5</v>
      </c>
      <c r="H73" s="20" t="str">
        <f t="shared" ref="H73:H82" si="50">B73&amp;"_"&amp;C73&amp;"-"&amp;G73</f>
        <v>10040_1-5</v>
      </c>
      <c r="I73" s="37">
        <v>230</v>
      </c>
      <c r="J73" s="26" t="str">
        <f ca="1">VLOOKUP($I73,OFFSET([2]enemies!$A$1,0,0,COUNTA([2]enemies!$A:$A),MATCH(J$1,[2]enemies!$2:$2,0)-MATCH($I$1,[2]enemies!$2:$2,0)+1),MATCH(J$1,[2]enemies!$2:$2,0)-MATCH($I$1,[2]enemies!$2:$2,0)+1,FALSE)</f>
        <v>毒銃 ヨルムンガンド</v>
      </c>
      <c r="K73" s="29" t="str">
        <f ca="1">VLOOKUP($I73,OFFSET([2]enemies!$A$1,0,0,COUNTA([2]enemies!$A:$A),MATCH(K$1,[2]enemies!$2:$2,0)-MATCH($I$1,[2]enemies!$2:$2,0)+1),MATCH(K$1,[2]enemies!$2:$2,0)-MATCH($I$1,[2]enemies!$2:$2,0)+1,FALSE)</f>
        <v>green</v>
      </c>
      <c r="L73" s="29" t="str">
        <f ca="1">VLOOKUP($I73,OFFSET([3]characters!$A$1,0,0,COUNTA([3]characters!$A:$A),MATCH(L$1,[3]characters!$2:$2,0)-MATCH($I$1,[3]characters!$2:$2,0)+1),MATCH(L$1,[3]characters!$2:$2,0)-MATCH($I$1,[3]characters!$2:$2,0)+1,FALSE)</f>
        <v>PremiumS</v>
      </c>
      <c r="M73" s="28" t="str">
        <f ca="1">VLOOKUP($I73,OFFSET([3]characters!$A$1,0,0,COUNTA([3]characters!$A:$A),MATCH(M$1,[3]characters!$2:$2,0)-MATCH($I$1,[3]characters!$2:$2,0)+2),MATCH(M$1,[3]characters!$2:$2,0)-MATCH($I$1,[3]characters!$2:$2,0)+2,FALSE)</f>
        <v>ドラゴン</v>
      </c>
      <c r="N73" s="5">
        <f ca="1">VLOOKUP($I73,OFFSET([2]enemies!$A$1,0,0,COUNTA([2]enemies!$A:$A),MATCH(N$1,[2]enemies!$2:$2,0)-MATCH($I$1,[2]enemies!$2:$2,0)+1),MATCH(N$1,[2]enemies!$2:$2,0)-MATCH($I$1,[2]enemies!$2:$2,0)+1,FALSE)</f>
        <v>30</v>
      </c>
      <c r="O73" s="6">
        <v>42</v>
      </c>
      <c r="P73" s="41">
        <v>1</v>
      </c>
      <c r="Q73" s="41">
        <v>1</v>
      </c>
      <c r="R73" s="6">
        <v>0</v>
      </c>
      <c r="S73" s="5" t="str">
        <f ca="1">VLOOKUP($T73,OFFSET([4]enemy_skill_sets!$B$1,0,0,COUNTA([4]enemy_skill_sets!$B:$B),MATCH(J$1,[4]enemy_skill_sets!$1:$1,0)-MATCH($T$1,[4]enemy_skill_sets!$1:$1,0)+2),MATCH(J$1,[4]enemy_skill_sets!$1:$1,0)-MATCH($T$1,[4]enemy_skill_sets!$1:$1,0)+2,FALSE)</f>
        <v>5回連続攻撃</v>
      </c>
      <c r="T73" s="5">
        <f ca="1">VLOOKUP($I73,OFFSET([2]enemies!$A$1,0,0,COUNTA([2]enemies!$A:$A),MATCH(T$1,[2]enemies!$2:$2,0)-MATCH($I$1,[2]enemies!$2:$2,0)+1),MATCH(T$1,[2]enemies!$2:$2,0)-MATCH($I$1,[2]enemies!$2:$2,0)+1,FALSE)</f>
        <v>230</v>
      </c>
      <c r="U73" s="7">
        <v>1</v>
      </c>
      <c r="V73" s="7">
        <v>100</v>
      </c>
      <c r="W73" s="7">
        <v>1</v>
      </c>
      <c r="X73" s="26">
        <f ca="1">VLOOKUP($I73,OFFSET([2]enemies!$A$1,0,0,COUNTA([2]enemies!$A:$A),MATCH(X$1,[2]enemies!$2:$2,0)-MATCH($I$1,[2]enemies!$2:$2,0)+1),MATCH(X$1,[2]enemies!$2:$2,0)-MATCH($I$1,[2]enemies!$2:$2,0)+1,FALSE)</f>
        <v>5</v>
      </c>
      <c r="Y73" s="36">
        <v>229</v>
      </c>
      <c r="Z73" s="5" t="str">
        <f ca="1">IFERROR(VLOOKUP($Y73,OFFSET([3]characters!$A$1,0,0,COUNTA([3]characters!$A:$A),MATCH(Z$1,[3]characters!$2:$2,0)-MATCH("character_id",[3]characters!$2:$2,0)+1),MATCH(Z$1,[3]characters!$2:$2,0)-MATCH("character_id",[3]characters!$2:$2,0)+1,FALSE),"")</f>
        <v>ヨルムンガンド</v>
      </c>
      <c r="AA73" s="5">
        <f ca="1">IFERROR(VLOOKUP($Y73,OFFSET([3]characters!$A$1,0,0,COUNTA([3]characters!$A:$A),MATCH(AA$1,[3]characters!$2:$2,0)-MATCH("character_id",[3]characters!$2:$2,0)+1),MATCH(AA$1,[3]characters!$2:$2,0)-MATCH("character_id",[3]characters!$2:$2,0)+1,FALSE),"")</f>
        <v>3</v>
      </c>
      <c r="AB73" s="5" t="str">
        <f ca="1">IFERROR(VLOOKUP($Y73,OFFSET([3]characters!$A$1,0,0,COUNTA([3]characters!$A:$A),MATCH(AB$1,[3]characters!$2:$2,0)-MATCH("character_id",[3]characters!$2:$2,0)+1),MATCH(AB$1,[3]characters!$2:$2,0)-MATCH("character_id",[3]characters!$2:$2,0)+1,FALSE),"")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73" s="34">
        <v>1</v>
      </c>
      <c r="AD73" s="34">
        <f t="shared" ref="AD73:AD82" ca="1" si="51">AA73</f>
        <v>3</v>
      </c>
      <c r="AE73" s="9">
        <v>0</v>
      </c>
      <c r="AF73" s="34">
        <v>0</v>
      </c>
      <c r="AG73" s="34">
        <v>0</v>
      </c>
      <c r="AH73" s="34">
        <v>0</v>
      </c>
      <c r="AI73" s="34">
        <v>0</v>
      </c>
      <c r="AJ73" s="34">
        <v>1</v>
      </c>
    </row>
    <row r="74" spans="1:36" ht="21" customHeight="1">
      <c r="A74" s="21" t="str">
        <f t="shared" ref="A74" si="52">B74&amp;"_"&amp;C74&amp;"-"&amp;G74&amp;"/"&amp;I74&amp;"&lt;lv"&amp;O74&amp;"&gt;"</f>
        <v>10040_1-5/157&lt;lv42&gt;</v>
      </c>
      <c r="B74" s="31">
        <v>10040</v>
      </c>
      <c r="C74" s="35">
        <v>1</v>
      </c>
      <c r="D74" s="20" t="str">
        <f t="shared" ref="D74" si="53">B74&amp;"_"&amp;C74</f>
        <v>10040_1</v>
      </c>
      <c r="E74" s="5" t="str">
        <f ca="1">VLOOKUP($B74,OFFSET([1]quests!$A$1,0,0,COUNTA([1]quests!$A:$A),MATCH(E$1,[1]quests!$1:$1,0)-MATCH($B$1,[1]quests!$1:$1,0)+1),MATCH(E$1,[1]quests!$1:$1,0)-MATCH($B$1,[1]quests!$1:$1,0)+1,FALSE)</f>
        <v>大地の杖</v>
      </c>
      <c r="F74" s="5" t="str">
        <f ca="1">VLOOKUP($D74,OFFSET([1]stages!$A$1,0,0,COUNTA([1]stages!$A:$A),MATCH(F$1,[1]stages!$2:$2,0)-MATCH($D$1,[1]stages!$2:$2,0)+1),MATCH(F$1,[1]stages!$2:$2,0)-MATCH($D$1,[1]stages!$2:$2,0)+1,FALSE)</f>
        <v>大地の杖</v>
      </c>
      <c r="G74" s="35">
        <v>5</v>
      </c>
      <c r="H74" s="20" t="str">
        <f t="shared" ref="H74" si="54">B74&amp;"_"&amp;C74&amp;"-"&amp;G74</f>
        <v>10040_1-5</v>
      </c>
      <c r="I74" s="37">
        <v>157</v>
      </c>
      <c r="J74" s="26" t="str">
        <f ca="1">VLOOKUP($I74,OFFSET([2]enemies!$A$1,0,0,COUNTA([2]enemies!$A:$A),MATCH(J$1,[2]enemies!$2:$2,0)-MATCH($I$1,[2]enemies!$2:$2,0)+1),MATCH(J$1,[2]enemies!$2:$2,0)-MATCH($I$1,[2]enemies!$2:$2,0)+1,FALSE)</f>
        <v>雷光舞姫 エレナ</v>
      </c>
      <c r="K74" s="29" t="str">
        <f ca="1">VLOOKUP($I74,OFFSET([2]enemies!$A$1,0,0,COUNTA([2]enemies!$A:$A),MATCH(K$1,[2]enemies!$2:$2,0)-MATCH($I$1,[2]enemies!$2:$2,0)+1),MATCH(K$1,[2]enemies!$2:$2,0)-MATCH($I$1,[2]enemies!$2:$2,0)+1,FALSE)</f>
        <v>yellow</v>
      </c>
      <c r="L74" s="29" t="str">
        <f ca="1">VLOOKUP($I74,OFFSET([3]characters!$A$1,0,0,COUNTA([3]characters!$A:$A),MATCH(L$1,[3]characters!$2:$2,0)-MATCH($I$1,[3]characters!$2:$2,0)+1),MATCH(L$1,[3]characters!$2:$2,0)-MATCH($I$1,[3]characters!$2:$2,0)+1,FALSE)</f>
        <v>PremiumW</v>
      </c>
      <c r="M74" s="28" t="str">
        <f ca="1">VLOOKUP($I74,OFFSET([3]characters!$A$1,0,0,COUNTA([3]characters!$A:$A),MATCH(M$1,[3]characters!$2:$2,0)-MATCH($I$1,[3]characters!$2:$2,0)+2),MATCH(M$1,[3]characters!$2:$2,0)-MATCH($I$1,[3]characters!$2:$2,0)+2,FALSE)</f>
        <v>ヒューマン</v>
      </c>
      <c r="N74" s="5">
        <f ca="1">VLOOKUP($I74,OFFSET([2]enemies!$A$1,0,0,COUNTA([2]enemies!$A:$A),MATCH(N$1,[2]enemies!$2:$2,0)-MATCH($I$1,[2]enemies!$2:$2,0)+1),MATCH(N$1,[2]enemies!$2:$2,0)-MATCH($I$1,[2]enemies!$2:$2,0)+1,FALSE)</f>
        <v>30</v>
      </c>
      <c r="O74" s="6">
        <v>42</v>
      </c>
      <c r="P74" s="41">
        <v>1</v>
      </c>
      <c r="Q74" s="41">
        <v>1</v>
      </c>
      <c r="R74" s="6">
        <v>0</v>
      </c>
      <c r="S74" s="5" t="str">
        <f ca="1">VLOOKUP($T74,OFFSET([4]enemy_skill_sets!$B$1,0,0,COUNTA([4]enemy_skill_sets!$B:$B),MATCH(J$1,[4]enemy_skill_sets!$1:$1,0)-MATCH($T$1,[4]enemy_skill_sets!$1:$1,0)+2),MATCH(J$1,[4]enemy_skill_sets!$1:$1,0)-MATCH($T$1,[4]enemy_skill_sets!$1:$1,0)+2,FALSE)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74" s="5">
        <f ca="1">VLOOKUP($I74,OFFSET([2]enemies!$A$1,0,0,COUNTA([2]enemies!$A:$A),MATCH(T$1,[2]enemies!$2:$2,0)-MATCH($I$1,[2]enemies!$2:$2,0)+1),MATCH(T$1,[2]enemies!$2:$2,0)-MATCH($I$1,[2]enemies!$2:$2,0)+1,FALSE)</f>
        <v>157</v>
      </c>
      <c r="U74" s="7">
        <v>1</v>
      </c>
      <c r="V74" s="7">
        <v>100</v>
      </c>
      <c r="W74" s="7">
        <v>1</v>
      </c>
      <c r="X74" s="26">
        <f ca="1">VLOOKUP($I74,OFFSET([2]enemies!$A$1,0,0,COUNTA([2]enemies!$A:$A),MATCH(X$1,[2]enemies!$2:$2,0)-MATCH($I$1,[2]enemies!$2:$2,0)+1),MATCH(X$1,[2]enemies!$2:$2,0)-MATCH($I$1,[2]enemies!$2:$2,0)+1,FALSE)</f>
        <v>1</v>
      </c>
      <c r="Y74" s="37">
        <v>156</v>
      </c>
      <c r="Z74" s="5" t="str">
        <f ca="1">IFERROR(VLOOKUP($Y74,OFFSET([3]characters!$A$1,0,0,COUNTA([3]characters!$A:$A),MATCH(Z$1,[3]characters!$2:$2,0)-MATCH("character_id",[3]characters!$2:$2,0)+1),MATCH(Z$1,[3]characters!$2:$2,0)-MATCH("character_id",[3]characters!$2:$2,0)+1,FALSE),"")</f>
        <v>踊り子 エレナ</v>
      </c>
      <c r="AA74" s="5">
        <f ca="1">IFERROR(VLOOKUP($Y74,OFFSET([3]characters!$A$1,0,0,COUNTA([3]characters!$A:$A),MATCH(AA$1,[3]characters!$2:$2,0)-MATCH("character_id",[3]characters!$2:$2,0)+1),MATCH(AA$1,[3]characters!$2:$2,0)-MATCH("character_id",[3]characters!$2:$2,0)+1,FALSE),"")</f>
        <v>3</v>
      </c>
      <c r="AB74" s="5" t="str">
        <f ca="1">IFERROR(VLOOKUP($Y74,OFFSET([3]characters!$A$1,0,0,COUNTA([3]characters!$A:$A),MATCH(AB$1,[3]characters!$2:$2,0)-MATCH("character_id",[3]characters!$2:$2,0)+1),MATCH(AB$1,[3]characters!$2:$2,0)-MATCH("character_id",[3]characters!$2:$2,0)+1,FALSE),"")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74" s="34">
        <v>1</v>
      </c>
      <c r="AD74" s="34">
        <f t="shared" ref="AD74" ca="1" si="55">AA74</f>
        <v>3</v>
      </c>
      <c r="AE74" s="9">
        <v>0</v>
      </c>
      <c r="AF74" s="34">
        <v>0</v>
      </c>
      <c r="AG74" s="34">
        <v>0</v>
      </c>
      <c r="AH74" s="34">
        <v>0</v>
      </c>
      <c r="AI74" s="34">
        <v>0</v>
      </c>
      <c r="AJ74" s="34">
        <v>1</v>
      </c>
    </row>
    <row r="75" spans="1:36" ht="21" customHeight="1">
      <c r="A75" s="21" t="str">
        <f t="shared" si="37"/>
        <v>10045_1-1/19&lt;lv54&gt;</v>
      </c>
      <c r="B75" s="31">
        <v>10045</v>
      </c>
      <c r="C75" s="35">
        <v>1</v>
      </c>
      <c r="D75" s="20" t="str">
        <f t="shared" si="49"/>
        <v>10045_1</v>
      </c>
      <c r="E75" s="5" t="str">
        <f ca="1">VLOOKUP($B75,OFFSET([1]quests!$A$1,0,0,COUNTA([1]quests!$A:$A),MATCH(E$1,[1]quests!$1:$1,0)-MATCH($B$1,[1]quests!$1:$1,0)+1),MATCH(E$1,[1]quests!$1:$1,0)-MATCH($B$1,[1]quests!$1:$1,0)+1,FALSE)</f>
        <v>迅雷</v>
      </c>
      <c r="F75" s="5" t="str">
        <f ca="1">VLOOKUP($D75,OFFSET([1]stages!$A$1,0,0,COUNTA([1]stages!$A:$A),MATCH(F$1,[1]stages!$2:$2,0)-MATCH($D$1,[1]stages!$2:$2,0)+1),MATCH(F$1,[1]stages!$2:$2,0)-MATCH($D$1,[1]stages!$2:$2,0)+1,FALSE)</f>
        <v>迅雷</v>
      </c>
      <c r="G75" s="35">
        <v>1</v>
      </c>
      <c r="H75" s="20" t="str">
        <f t="shared" si="50"/>
        <v>10045_1-1</v>
      </c>
      <c r="I75" s="36">
        <v>19</v>
      </c>
      <c r="J75" s="26" t="str">
        <f ca="1">VLOOKUP($I75,OFFSET([2]enemies!$A$1,0,0,COUNTA([2]enemies!$A:$A),MATCH(J$1,[2]enemies!$2:$2,0)-MATCH($I$1,[2]enemies!$2:$2,0)+1),MATCH(J$1,[2]enemies!$2:$2,0)-MATCH($I$1,[2]enemies!$2:$2,0)+1,FALSE)</f>
        <v>ティンク</v>
      </c>
      <c r="K75" s="29" t="str">
        <f ca="1">VLOOKUP($I75,OFFSET([2]enemies!$A$1,0,0,COUNTA([2]enemies!$A:$A),MATCH(K$1,[2]enemies!$2:$2,0)-MATCH($I$1,[2]enemies!$2:$2,0)+1),MATCH(K$1,[2]enemies!$2:$2,0)-MATCH($I$1,[2]enemies!$2:$2,0)+1,FALSE)</f>
        <v>yellow</v>
      </c>
      <c r="L75" s="29" t="str">
        <f ca="1">VLOOKUP($I75,OFFSET([3]characters!$A$1,0,0,COUNTA([3]characters!$A:$A),MATCH(L$1,[3]characters!$2:$2,0)-MATCH($I$1,[3]characters!$2:$2,0)+1),MATCH(L$1,[3]characters!$2:$2,0)-MATCH($I$1,[3]characters!$2:$2,0)+1,FALSE)</f>
        <v>Drop1W</v>
      </c>
      <c r="M75" s="28" t="str">
        <f ca="1">VLOOKUP($I75,OFFSET([3]characters!$A$1,0,0,COUNTA([3]characters!$A:$A),MATCH(M$1,[3]characters!$2:$2,0)-MATCH($I$1,[3]characters!$2:$2,0)+2),MATCH(M$1,[3]characters!$2:$2,0)-MATCH($I$1,[3]characters!$2:$2,0)+2,FALSE)</f>
        <v>ヒューマン</v>
      </c>
      <c r="N75" s="5">
        <f ca="1">VLOOKUP($I75,OFFSET([2]enemies!$A$1,0,0,COUNTA([2]enemies!$A:$A),MATCH(N$1,[2]enemies!$2:$2,0)-MATCH($I$1,[2]enemies!$2:$2,0)+1),MATCH(N$1,[2]enemies!$2:$2,0)-MATCH($I$1,[2]enemies!$2:$2,0)+1,FALSE)</f>
        <v>15</v>
      </c>
      <c r="O75" s="6">
        <v>54</v>
      </c>
      <c r="P75" s="41">
        <v>1</v>
      </c>
      <c r="Q75" s="41">
        <v>1</v>
      </c>
      <c r="R75" s="6">
        <v>0</v>
      </c>
      <c r="S75" s="5" t="str">
        <f ca="1">VLOOKUP($T75,OFFSET([4]enemy_skill_sets!$B$1,0,0,COUNTA([4]enemy_skill_sets!$B:$B),MATCH(J$1,[4]enemy_skill_sets!$1:$1,0)-MATCH($T$1,[4]enemy_skill_sets!$1:$1,0)+2),MATCH(J$1,[4]enemy_skill_sets!$1:$1,0)-MATCH($T$1,[4]enemy_skill_sets!$1:$1,0)+2,FALSE)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5" s="5">
        <f ca="1">VLOOKUP($I75,OFFSET([2]enemies!$A$1,0,0,COUNTA([2]enemies!$A:$A),MATCH(T$1,[2]enemies!$2:$2,0)-MATCH($I$1,[2]enemies!$2:$2,0)+1),MATCH(T$1,[2]enemies!$2:$2,0)-MATCH($I$1,[2]enemies!$2:$2,0)+1,FALSE)</f>
        <v>0</v>
      </c>
      <c r="U75" s="7">
        <v>0</v>
      </c>
      <c r="V75" s="7">
        <v>100</v>
      </c>
      <c r="W75" s="7">
        <v>0</v>
      </c>
      <c r="X75" s="26">
        <f ca="1">VLOOKUP($I75,OFFSET([2]enemies!$A$1,0,0,COUNTA([2]enemies!$A:$A),MATCH(X$1,[2]enemies!$2:$2,0)-MATCH($I$1,[2]enemies!$2:$2,0)+1),MATCH(X$1,[2]enemies!$2:$2,0)-MATCH($I$1,[2]enemies!$2:$2,0)+1,FALSE)</f>
        <v>3</v>
      </c>
      <c r="Y75" s="36">
        <v>19</v>
      </c>
      <c r="Z75" s="5" t="str">
        <f ca="1">IFERROR(VLOOKUP($Y75,OFFSET([3]characters!$A$1,0,0,COUNTA([3]characters!$A:$A),MATCH(Z$1,[3]characters!$2:$2,0)-MATCH("character_id",[3]characters!$2:$2,0)+1),MATCH(Z$1,[3]characters!$2:$2,0)-MATCH("character_id",[3]characters!$2:$2,0)+1,FALSE),"")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75" s="5">
        <f ca="1">IFERROR(VLOOKUP($Y75,OFFSET([3]characters!$A$1,0,0,COUNTA([3]characters!$A:$A),MATCH(AA$1,[3]characters!$2:$2,0)-MATCH("character_id",[3]characters!$2:$2,0)+1),MATCH(AA$1,[3]characters!$2:$2,0)-MATCH("character_id",[3]characters!$2:$2,0)+1,FALSE),"")</f>
        <v>1</v>
      </c>
      <c r="AB75" s="5" t="str">
        <f ca="1">IFERROR(VLOOKUP($Y75,OFFSET([3]characters!$A$1,0,0,COUNTA([3]characters!$A:$A),MATCH(AB$1,[3]characters!$2:$2,0)-MATCH("character_id",[3]characters!$2:$2,0)+1),MATCH(AB$1,[3]characters!$2:$2,0)-MATCH("character_id",[3]characters!$2:$2,0)+1,FALSE),"")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75" s="34">
        <v>1</v>
      </c>
      <c r="AD75" s="34">
        <f t="shared" ca="1" si="51"/>
        <v>1</v>
      </c>
      <c r="AE75" s="9">
        <v>25</v>
      </c>
      <c r="AF75" s="34">
        <v>0</v>
      </c>
      <c r="AG75" s="34">
        <v>0</v>
      </c>
      <c r="AH75" s="34">
        <v>0</v>
      </c>
      <c r="AI75" s="34">
        <v>0</v>
      </c>
      <c r="AJ75" s="34">
        <v>1</v>
      </c>
    </row>
    <row r="76" spans="1:36" ht="21" customHeight="1">
      <c r="A76" s="21" t="str">
        <f t="shared" si="37"/>
        <v>10045_1-1/11&lt;lv54&gt;</v>
      </c>
      <c r="B76" s="31">
        <v>10045</v>
      </c>
      <c r="C76" s="35">
        <v>1</v>
      </c>
      <c r="D76" s="20" t="str">
        <f t="shared" si="49"/>
        <v>10045_1</v>
      </c>
      <c r="E76" s="5" t="str">
        <f ca="1">VLOOKUP($B76,OFFSET([1]quests!$A$1,0,0,COUNTA([1]quests!$A:$A),MATCH(E$1,[1]quests!$1:$1,0)-MATCH($B$1,[1]quests!$1:$1,0)+1),MATCH(E$1,[1]quests!$1:$1,0)-MATCH($B$1,[1]quests!$1:$1,0)+1,FALSE)</f>
        <v>迅雷</v>
      </c>
      <c r="F76" s="5" t="str">
        <f ca="1">VLOOKUP($D76,OFFSET([1]stages!$A$1,0,0,COUNTA([1]stages!$A:$A),MATCH(F$1,[1]stages!$2:$2,0)-MATCH($D$1,[1]stages!$2:$2,0)+1),MATCH(F$1,[1]stages!$2:$2,0)-MATCH($D$1,[1]stages!$2:$2,0)+1,FALSE)</f>
        <v>迅雷</v>
      </c>
      <c r="G76" s="35">
        <v>1</v>
      </c>
      <c r="H76" s="20" t="str">
        <f t="shared" si="50"/>
        <v>10045_1-1</v>
      </c>
      <c r="I76" s="36">
        <v>11</v>
      </c>
      <c r="J76" s="26" t="str">
        <f ca="1">VLOOKUP($I76,OFFSET([2]enemies!$A$1,0,0,COUNTA([2]enemies!$A:$A),MATCH(J$1,[2]enemies!$2:$2,0)-MATCH($I$1,[2]enemies!$2:$2,0)+1),MATCH(J$1,[2]enemies!$2:$2,0)-MATCH($I$1,[2]enemies!$2:$2,0)+1,FALSE)</f>
        <v>マグリット</v>
      </c>
      <c r="K76" s="29" t="str">
        <f ca="1">VLOOKUP($I76,OFFSET([2]enemies!$A$1,0,0,COUNTA([2]enemies!$A:$A),MATCH(K$1,[2]enemies!$2:$2,0)-MATCH($I$1,[2]enemies!$2:$2,0)+1),MATCH(K$1,[2]enemies!$2:$2,0)-MATCH($I$1,[2]enemies!$2:$2,0)+1,FALSE)</f>
        <v>green</v>
      </c>
      <c r="L76" s="29" t="str">
        <f ca="1">VLOOKUP($I76,OFFSET([3]characters!$A$1,0,0,COUNTA([3]characters!$A:$A),MATCH(L$1,[3]characters!$2:$2,0)-MATCH($I$1,[3]characters!$2:$2,0)+1),MATCH(L$1,[3]characters!$2:$2,0)-MATCH($I$1,[3]characters!$2:$2,0)+1,FALSE)</f>
        <v>Drop1W</v>
      </c>
      <c r="M76" s="28" t="str">
        <f ca="1">VLOOKUP($I76,OFFSET([3]characters!$A$1,0,0,COUNTA([3]characters!$A:$A),MATCH(M$1,[3]characters!$2:$2,0)-MATCH($I$1,[3]characters!$2:$2,0)+2),MATCH(M$1,[3]characters!$2:$2,0)-MATCH($I$1,[3]characters!$2:$2,0)+2,FALSE)</f>
        <v>アニマル</v>
      </c>
      <c r="N76" s="5">
        <f ca="1">VLOOKUP($I76,OFFSET([2]enemies!$A$1,0,0,COUNTA([2]enemies!$A:$A),MATCH(N$1,[2]enemies!$2:$2,0)-MATCH($I$1,[2]enemies!$2:$2,0)+1),MATCH(N$1,[2]enemies!$2:$2,0)-MATCH($I$1,[2]enemies!$2:$2,0)+1,FALSE)</f>
        <v>15</v>
      </c>
      <c r="O76" s="6">
        <v>54</v>
      </c>
      <c r="P76" s="41">
        <v>1</v>
      </c>
      <c r="Q76" s="41">
        <v>1</v>
      </c>
      <c r="R76" s="6">
        <v>0</v>
      </c>
      <c r="S76" s="5" t="str">
        <f ca="1">VLOOKUP($T76,OFFSET([4]enemy_skill_sets!$B$1,0,0,COUNTA([4]enemy_skill_sets!$B:$B),MATCH(J$1,[4]enemy_skill_sets!$1:$1,0)-MATCH($T$1,[4]enemy_skill_sets!$1:$1,0)+2),MATCH(J$1,[4]enemy_skill_sets!$1:$1,0)-MATCH($T$1,[4]enemy_skill_sets!$1:$1,0)+2,FALSE)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6" s="5">
        <f ca="1">VLOOKUP($I76,OFFSET([2]enemies!$A$1,0,0,COUNTA([2]enemies!$A:$A),MATCH(T$1,[2]enemies!$2:$2,0)-MATCH($I$1,[2]enemies!$2:$2,0)+1),MATCH(T$1,[2]enemies!$2:$2,0)-MATCH($I$1,[2]enemies!$2:$2,0)+1,FALSE)</f>
        <v>0</v>
      </c>
      <c r="U76" s="7">
        <v>0</v>
      </c>
      <c r="V76" s="7">
        <v>100</v>
      </c>
      <c r="W76" s="7">
        <v>0</v>
      </c>
      <c r="X76" s="26">
        <f ca="1">VLOOKUP($I76,OFFSET([2]enemies!$A$1,0,0,COUNTA([2]enemies!$A:$A),MATCH(X$1,[2]enemies!$2:$2,0)-MATCH($I$1,[2]enemies!$2:$2,0)+1),MATCH(X$1,[2]enemies!$2:$2,0)-MATCH($I$1,[2]enemies!$2:$2,0)+1,FALSE)</f>
        <v>3</v>
      </c>
      <c r="Y76" s="36">
        <v>11</v>
      </c>
      <c r="Z76" s="5" t="str">
        <f ca="1">IFERROR(VLOOKUP($Y76,OFFSET([3]characters!$A$1,0,0,COUNTA([3]characters!$A:$A),MATCH(Z$1,[3]characters!$2:$2,0)-MATCH("character_id",[3]characters!$2:$2,0)+1),MATCH(Z$1,[3]characters!$2:$2,0)-MATCH("character_id",[3]characters!$2:$2,0)+1,FALSE),"")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76" s="5">
        <f ca="1">IFERROR(VLOOKUP($Y76,OFFSET([3]characters!$A$1,0,0,COUNTA([3]characters!$A:$A),MATCH(AA$1,[3]characters!$2:$2,0)-MATCH("character_id",[3]characters!$2:$2,0)+1),MATCH(AA$1,[3]characters!$2:$2,0)-MATCH("character_id",[3]characters!$2:$2,0)+1,FALSE),"")</f>
        <v>1</v>
      </c>
      <c r="AB76" s="5" t="str">
        <f ca="1">IFERROR(VLOOKUP($Y76,OFFSET([3]characters!$A$1,0,0,COUNTA([3]characters!$A:$A),MATCH(AB$1,[3]characters!$2:$2,0)-MATCH("character_id",[3]characters!$2:$2,0)+1),MATCH(AB$1,[3]characters!$2:$2,0)-MATCH("character_id",[3]characters!$2:$2,0)+1,FALSE),"")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76" s="34">
        <v>1</v>
      </c>
      <c r="AD76" s="34">
        <f t="shared" ca="1" si="51"/>
        <v>1</v>
      </c>
      <c r="AE76" s="9">
        <v>25</v>
      </c>
      <c r="AF76" s="34">
        <v>0</v>
      </c>
      <c r="AG76" s="34">
        <v>0</v>
      </c>
      <c r="AH76" s="34">
        <v>0</v>
      </c>
      <c r="AI76" s="34">
        <v>0</v>
      </c>
      <c r="AJ76" s="34">
        <v>1</v>
      </c>
    </row>
    <row r="77" spans="1:36" ht="21" customHeight="1">
      <c r="A77" s="21" t="str">
        <f t="shared" si="37"/>
        <v>10045_1-2/31&lt;lv54&gt;</v>
      </c>
      <c r="B77" s="31">
        <v>10045</v>
      </c>
      <c r="C77" s="35">
        <v>1</v>
      </c>
      <c r="D77" s="20" t="str">
        <f t="shared" si="49"/>
        <v>10045_1</v>
      </c>
      <c r="E77" s="5" t="str">
        <f ca="1">VLOOKUP($B77,OFFSET([1]quests!$A$1,0,0,COUNTA([1]quests!$A:$A),MATCH(E$1,[1]quests!$1:$1,0)-MATCH($B$1,[1]quests!$1:$1,0)+1),MATCH(E$1,[1]quests!$1:$1,0)-MATCH($B$1,[1]quests!$1:$1,0)+1,FALSE)</f>
        <v>迅雷</v>
      </c>
      <c r="F77" s="5" t="str">
        <f ca="1">VLOOKUP($D77,OFFSET([1]stages!$A$1,0,0,COUNTA([1]stages!$A:$A),MATCH(F$1,[1]stages!$2:$2,0)-MATCH($D$1,[1]stages!$2:$2,0)+1),MATCH(F$1,[1]stages!$2:$2,0)-MATCH($D$1,[1]stages!$2:$2,0)+1,FALSE)</f>
        <v>迅雷</v>
      </c>
      <c r="G77" s="35">
        <v>2</v>
      </c>
      <c r="H77" s="20" t="str">
        <f t="shared" si="50"/>
        <v>10045_1-2</v>
      </c>
      <c r="I77" s="36">
        <v>31</v>
      </c>
      <c r="J77" s="26" t="str">
        <f ca="1">VLOOKUP($I77,OFFSET([2]enemies!$A$1,0,0,COUNTA([2]enemies!$A:$A),MATCH(J$1,[2]enemies!$2:$2,0)-MATCH($I$1,[2]enemies!$2:$2,0)+1),MATCH(J$1,[2]enemies!$2:$2,0)-MATCH($I$1,[2]enemies!$2:$2,0)+1,FALSE)</f>
        <v>マービー</v>
      </c>
      <c r="K77" s="29" t="str">
        <f ca="1">VLOOKUP($I77,OFFSET([2]enemies!$A$1,0,0,COUNTA([2]enemies!$A:$A),MATCH(K$1,[2]enemies!$2:$2,0)-MATCH($I$1,[2]enemies!$2:$2,0)+1),MATCH(K$1,[2]enemies!$2:$2,0)-MATCH($I$1,[2]enemies!$2:$2,0)+1,FALSE)</f>
        <v>yellow</v>
      </c>
      <c r="L77" s="29" t="str">
        <f ca="1">VLOOKUP($I77,OFFSET([3]characters!$A$1,0,0,COUNTA([3]characters!$A:$A),MATCH(L$1,[3]characters!$2:$2,0)-MATCH($I$1,[3]characters!$2:$2,0)+1),MATCH(L$1,[3]characters!$2:$2,0)-MATCH($I$1,[3]characters!$2:$2,0)+1,FALSE)</f>
        <v>Drop1N</v>
      </c>
      <c r="M77" s="28" t="str">
        <f ca="1">VLOOKUP($I77,OFFSET([3]characters!$A$1,0,0,COUNTA([3]characters!$A:$A),MATCH(M$1,[3]characters!$2:$2,0)-MATCH($I$1,[3]characters!$2:$2,0)+2),MATCH(M$1,[3]characters!$2:$2,0)-MATCH($I$1,[3]characters!$2:$2,0)+2,FALSE)</f>
        <v>マシン</v>
      </c>
      <c r="N77" s="5">
        <f ca="1">VLOOKUP($I77,OFFSET([2]enemies!$A$1,0,0,COUNTA([2]enemies!$A:$A),MATCH(N$1,[2]enemies!$2:$2,0)-MATCH($I$1,[2]enemies!$2:$2,0)+1),MATCH(N$1,[2]enemies!$2:$2,0)-MATCH($I$1,[2]enemies!$2:$2,0)+1,FALSE)</f>
        <v>15</v>
      </c>
      <c r="O77" s="6">
        <v>54</v>
      </c>
      <c r="P77" s="41">
        <v>1</v>
      </c>
      <c r="Q77" s="41">
        <v>1</v>
      </c>
      <c r="R77" s="6">
        <v>0</v>
      </c>
      <c r="S77" s="5" t="str">
        <f ca="1">VLOOKUP($T77,OFFSET([4]enemy_skill_sets!$B$1,0,0,COUNTA([4]enemy_skill_sets!$B:$B),MATCH(J$1,[4]enemy_skill_sets!$1:$1,0)-MATCH($T$1,[4]enemy_skill_sets!$1:$1,0)+2),MATCH(J$1,[4]enemy_skill_sets!$1:$1,0)-MATCH($T$1,[4]enemy_skill_sets!$1:$1,0)+2,FALSE)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7" s="5">
        <f ca="1">VLOOKUP($I77,OFFSET([2]enemies!$A$1,0,0,COUNTA([2]enemies!$A:$A),MATCH(T$1,[2]enemies!$2:$2,0)-MATCH($I$1,[2]enemies!$2:$2,0)+1),MATCH(T$1,[2]enemies!$2:$2,0)-MATCH($I$1,[2]enemies!$2:$2,0)+1,FALSE)</f>
        <v>0</v>
      </c>
      <c r="U77" s="7">
        <v>0</v>
      </c>
      <c r="V77" s="7">
        <v>100</v>
      </c>
      <c r="W77" s="7">
        <v>0</v>
      </c>
      <c r="X77" s="26">
        <f ca="1">VLOOKUP($I77,OFFSET([2]enemies!$A$1,0,0,COUNTA([2]enemies!$A:$A),MATCH(X$1,[2]enemies!$2:$2,0)-MATCH($I$1,[2]enemies!$2:$2,0)+1),MATCH(X$1,[2]enemies!$2:$2,0)-MATCH($I$1,[2]enemies!$2:$2,0)+1,FALSE)</f>
        <v>2</v>
      </c>
      <c r="Y77" s="36">
        <v>31</v>
      </c>
      <c r="Z77" s="5" t="str">
        <f ca="1">IFERROR(VLOOKUP($Y77,OFFSET([3]characters!$A$1,0,0,COUNTA([3]characters!$A:$A),MATCH(Z$1,[3]characters!$2:$2,0)-MATCH("character_id",[3]characters!$2:$2,0)+1),MATCH(Z$1,[3]characters!$2:$2,0)-MATCH("character_id",[3]characters!$2:$2,0)+1,FALSE),"")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77" s="5">
        <f ca="1">IFERROR(VLOOKUP($Y77,OFFSET([3]characters!$A$1,0,0,COUNTA([3]characters!$A:$A),MATCH(AA$1,[3]characters!$2:$2,0)-MATCH("character_id",[3]characters!$2:$2,0)+1),MATCH(AA$1,[3]characters!$2:$2,0)-MATCH("character_id",[3]characters!$2:$2,0)+1,FALSE),"")</f>
        <v>1</v>
      </c>
      <c r="AB77" s="5" t="str">
        <f ca="1">IFERROR(VLOOKUP($Y77,OFFSET([3]characters!$A$1,0,0,COUNTA([3]characters!$A:$A),MATCH(AB$1,[3]characters!$2:$2,0)-MATCH("character_id",[3]characters!$2:$2,0)+1),MATCH(AB$1,[3]characters!$2:$2,0)-MATCH("character_id",[3]characters!$2:$2,0)+1,FALSE),"")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7" s="34">
        <v>1</v>
      </c>
      <c r="AD77" s="34">
        <f t="shared" ca="1" si="51"/>
        <v>1</v>
      </c>
      <c r="AE77" s="9">
        <v>25</v>
      </c>
      <c r="AF77" s="34">
        <v>0</v>
      </c>
      <c r="AG77" s="34">
        <v>0</v>
      </c>
      <c r="AH77" s="34">
        <v>0</v>
      </c>
      <c r="AI77" s="34">
        <v>0</v>
      </c>
      <c r="AJ77" s="34">
        <v>1</v>
      </c>
    </row>
    <row r="78" spans="1:36" ht="21" customHeight="1">
      <c r="A78" s="21" t="str">
        <f t="shared" si="37"/>
        <v>10045_1-2/23&lt;lv54&gt;</v>
      </c>
      <c r="B78" s="31">
        <v>10045</v>
      </c>
      <c r="C78" s="35">
        <v>1</v>
      </c>
      <c r="D78" s="20" t="str">
        <f t="shared" si="49"/>
        <v>10045_1</v>
      </c>
      <c r="E78" s="5" t="str">
        <f ca="1">VLOOKUP($B78,OFFSET([1]quests!$A$1,0,0,COUNTA([1]quests!$A:$A),MATCH(E$1,[1]quests!$1:$1,0)-MATCH($B$1,[1]quests!$1:$1,0)+1),MATCH(E$1,[1]quests!$1:$1,0)-MATCH($B$1,[1]quests!$1:$1,0)+1,FALSE)</f>
        <v>迅雷</v>
      </c>
      <c r="F78" s="5" t="str">
        <f ca="1">VLOOKUP($D78,OFFSET([1]stages!$A$1,0,0,COUNTA([1]stages!$A:$A),MATCH(F$1,[1]stages!$2:$2,0)-MATCH($D$1,[1]stages!$2:$2,0)+1),MATCH(F$1,[1]stages!$2:$2,0)-MATCH($D$1,[1]stages!$2:$2,0)+1,FALSE)</f>
        <v>迅雷</v>
      </c>
      <c r="G78" s="35">
        <v>2</v>
      </c>
      <c r="H78" s="20" t="str">
        <f t="shared" si="50"/>
        <v>10045_1-2</v>
      </c>
      <c r="I78" s="36">
        <v>23</v>
      </c>
      <c r="J78" s="26" t="str">
        <f ca="1">VLOOKUP($I78,OFFSET([2]enemies!$A$1,0,0,COUNTA([2]enemies!$A:$A),MATCH(J$1,[2]enemies!$2:$2,0)-MATCH($I$1,[2]enemies!$2:$2,0)+1),MATCH(J$1,[2]enemies!$2:$2,0)-MATCH($I$1,[2]enemies!$2:$2,0)+1,FALSE)</f>
        <v>ミール</v>
      </c>
      <c r="K78" s="29" t="str">
        <f ca="1">VLOOKUP($I78,OFFSET([2]enemies!$A$1,0,0,COUNTA([2]enemies!$A:$A),MATCH(K$1,[2]enemies!$2:$2,0)-MATCH($I$1,[2]enemies!$2:$2,0)+1),MATCH(K$1,[2]enemies!$2:$2,0)-MATCH($I$1,[2]enemies!$2:$2,0)+1,FALSE)</f>
        <v>green</v>
      </c>
      <c r="L78" s="29" t="str">
        <f ca="1">VLOOKUP($I78,OFFSET([3]characters!$A$1,0,0,COUNTA([3]characters!$A:$A),MATCH(L$1,[3]characters!$2:$2,0)-MATCH($I$1,[3]characters!$2:$2,0)+1),MATCH(L$1,[3]characters!$2:$2,0)-MATCH($I$1,[3]characters!$2:$2,0)+1,FALSE)</f>
        <v>Drop1N</v>
      </c>
      <c r="M78" s="28" t="str">
        <f ca="1">VLOOKUP($I78,OFFSET([3]characters!$A$1,0,0,COUNTA([3]characters!$A:$A),MATCH(M$1,[3]characters!$2:$2,0)-MATCH($I$1,[3]characters!$2:$2,0)+2),MATCH(M$1,[3]characters!$2:$2,0)-MATCH($I$1,[3]characters!$2:$2,0)+2,FALSE)</f>
        <v>アニマル</v>
      </c>
      <c r="N78" s="5">
        <f ca="1">VLOOKUP($I78,OFFSET([2]enemies!$A$1,0,0,COUNTA([2]enemies!$A:$A),MATCH(N$1,[2]enemies!$2:$2,0)-MATCH($I$1,[2]enemies!$2:$2,0)+1),MATCH(N$1,[2]enemies!$2:$2,0)-MATCH($I$1,[2]enemies!$2:$2,0)+1,FALSE)</f>
        <v>15</v>
      </c>
      <c r="O78" s="6">
        <v>54</v>
      </c>
      <c r="P78" s="41">
        <v>1</v>
      </c>
      <c r="Q78" s="41">
        <v>1</v>
      </c>
      <c r="R78" s="6">
        <v>0</v>
      </c>
      <c r="S78" s="5" t="str">
        <f ca="1">VLOOKUP($T78,OFFSET([4]enemy_skill_sets!$B$1,0,0,COUNTA([4]enemy_skill_sets!$B:$B),MATCH(J$1,[4]enemy_skill_sets!$1:$1,0)-MATCH($T$1,[4]enemy_skill_sets!$1:$1,0)+2),MATCH(J$1,[4]enemy_skill_sets!$1:$1,0)-MATCH($T$1,[4]enemy_skill_sets!$1:$1,0)+2,FALSE)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8" s="5">
        <f ca="1">VLOOKUP($I78,OFFSET([2]enemies!$A$1,0,0,COUNTA([2]enemies!$A:$A),MATCH(T$1,[2]enemies!$2:$2,0)-MATCH($I$1,[2]enemies!$2:$2,0)+1),MATCH(T$1,[2]enemies!$2:$2,0)-MATCH($I$1,[2]enemies!$2:$2,0)+1,FALSE)</f>
        <v>0</v>
      </c>
      <c r="U78" s="7">
        <v>0</v>
      </c>
      <c r="V78" s="7">
        <v>100</v>
      </c>
      <c r="W78" s="7">
        <v>0</v>
      </c>
      <c r="X78" s="26">
        <f ca="1">VLOOKUP($I78,OFFSET([2]enemies!$A$1,0,0,COUNTA([2]enemies!$A:$A),MATCH(X$1,[2]enemies!$2:$2,0)-MATCH($I$1,[2]enemies!$2:$2,0)+1),MATCH(X$1,[2]enemies!$2:$2,0)-MATCH($I$1,[2]enemies!$2:$2,0)+1,FALSE)</f>
        <v>4</v>
      </c>
      <c r="Y78" s="36">
        <v>23</v>
      </c>
      <c r="Z78" s="5" t="str">
        <f ca="1">IFERROR(VLOOKUP($Y78,OFFSET([3]characters!$A$1,0,0,COUNTA([3]characters!$A:$A),MATCH(Z$1,[3]characters!$2:$2,0)-MATCH("character_id",[3]characters!$2:$2,0)+1),MATCH(Z$1,[3]characters!$2:$2,0)-MATCH("character_id",[3]characters!$2:$2,0)+1,FALSE),"")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78" s="5">
        <f ca="1">IFERROR(VLOOKUP($Y78,OFFSET([3]characters!$A$1,0,0,COUNTA([3]characters!$A:$A),MATCH(AA$1,[3]characters!$2:$2,0)-MATCH("character_id",[3]characters!$2:$2,0)+1),MATCH(AA$1,[3]characters!$2:$2,0)-MATCH("character_id",[3]characters!$2:$2,0)+1,FALSE),"")</f>
        <v>1</v>
      </c>
      <c r="AB78" s="5" t="str">
        <f ca="1">IFERROR(VLOOKUP($Y78,OFFSET([3]characters!$A$1,0,0,COUNTA([3]characters!$A:$A),MATCH(AB$1,[3]characters!$2:$2,0)-MATCH("character_id",[3]characters!$2:$2,0)+1),MATCH(AB$1,[3]characters!$2:$2,0)-MATCH("character_id",[3]characters!$2:$2,0)+1,FALSE),"")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8" s="34">
        <v>1</v>
      </c>
      <c r="AD78" s="34">
        <f t="shared" ca="1" si="51"/>
        <v>1</v>
      </c>
      <c r="AE78" s="9">
        <v>25</v>
      </c>
      <c r="AF78" s="34">
        <v>0</v>
      </c>
      <c r="AG78" s="34">
        <v>0</v>
      </c>
      <c r="AH78" s="34">
        <v>0</v>
      </c>
      <c r="AI78" s="34">
        <v>0</v>
      </c>
      <c r="AJ78" s="34">
        <v>1</v>
      </c>
    </row>
    <row r="79" spans="1:36" ht="21" customHeight="1">
      <c r="A79" s="21" t="str">
        <f t="shared" si="37"/>
        <v>10045_1-2/27&lt;lv54&gt;</v>
      </c>
      <c r="B79" s="31">
        <v>10045</v>
      </c>
      <c r="C79" s="35">
        <v>1</v>
      </c>
      <c r="D79" s="20" t="str">
        <f t="shared" si="49"/>
        <v>10045_1</v>
      </c>
      <c r="E79" s="5" t="str">
        <f ca="1">VLOOKUP($B79,OFFSET([1]quests!$A$1,0,0,COUNTA([1]quests!$A:$A),MATCH(E$1,[1]quests!$1:$1,0)-MATCH($B$1,[1]quests!$1:$1,0)+1),MATCH(E$1,[1]quests!$1:$1,0)-MATCH($B$1,[1]quests!$1:$1,0)+1,FALSE)</f>
        <v>迅雷</v>
      </c>
      <c r="F79" s="5" t="str">
        <f ca="1">VLOOKUP($D79,OFFSET([1]stages!$A$1,0,0,COUNTA([1]stages!$A:$A),MATCH(F$1,[1]stages!$2:$2,0)-MATCH($D$1,[1]stages!$2:$2,0)+1),MATCH(F$1,[1]stages!$2:$2,0)-MATCH($D$1,[1]stages!$2:$2,0)+1,FALSE)</f>
        <v>迅雷</v>
      </c>
      <c r="G79" s="35">
        <v>2</v>
      </c>
      <c r="H79" s="20" t="str">
        <f t="shared" si="50"/>
        <v>10045_1-2</v>
      </c>
      <c r="I79" s="36">
        <v>27</v>
      </c>
      <c r="J79" s="26" t="str">
        <f ca="1">VLOOKUP($I79,OFFSET([2]enemies!$A$1,0,0,COUNTA([2]enemies!$A:$A),MATCH(J$1,[2]enemies!$2:$2,0)-MATCH($I$1,[2]enemies!$2:$2,0)+1),MATCH(J$1,[2]enemies!$2:$2,0)-MATCH($I$1,[2]enemies!$2:$2,0)+1,FALSE)</f>
        <v>パトライン</v>
      </c>
      <c r="K79" s="29" t="str">
        <f ca="1">VLOOKUP($I79,OFFSET([2]enemies!$A$1,0,0,COUNTA([2]enemies!$A:$A),MATCH(K$1,[2]enemies!$2:$2,0)-MATCH($I$1,[2]enemies!$2:$2,0)+1),MATCH(K$1,[2]enemies!$2:$2,0)-MATCH($I$1,[2]enemies!$2:$2,0)+1,FALSE)</f>
        <v>green</v>
      </c>
      <c r="L79" s="29" t="str">
        <f ca="1">VLOOKUP($I79,OFFSET([3]characters!$A$1,0,0,COUNTA([3]characters!$A:$A),MATCH(L$1,[3]characters!$2:$2,0)-MATCH($I$1,[3]characters!$2:$2,0)+1),MATCH(L$1,[3]characters!$2:$2,0)-MATCH($I$1,[3]characters!$2:$2,0)+1,FALSE)</f>
        <v>Drop1N</v>
      </c>
      <c r="M79" s="28" t="str">
        <f ca="1">VLOOKUP($I79,OFFSET([3]characters!$A$1,0,0,COUNTA([3]characters!$A:$A),MATCH(M$1,[3]characters!$2:$2,0)-MATCH($I$1,[3]characters!$2:$2,0)+2),MATCH(M$1,[3]characters!$2:$2,0)-MATCH($I$1,[3]characters!$2:$2,0)+2,FALSE)</f>
        <v>マシン</v>
      </c>
      <c r="N79" s="5">
        <f ca="1">VLOOKUP($I79,OFFSET([2]enemies!$A$1,0,0,COUNTA([2]enemies!$A:$A),MATCH(N$1,[2]enemies!$2:$2,0)-MATCH($I$1,[2]enemies!$2:$2,0)+1),MATCH(N$1,[2]enemies!$2:$2,0)-MATCH($I$1,[2]enemies!$2:$2,0)+1,FALSE)</f>
        <v>15</v>
      </c>
      <c r="O79" s="6">
        <v>54</v>
      </c>
      <c r="P79" s="41">
        <v>1</v>
      </c>
      <c r="Q79" s="41">
        <v>1</v>
      </c>
      <c r="R79" s="6">
        <v>0</v>
      </c>
      <c r="S79" s="5" t="str">
        <f ca="1">VLOOKUP($T79,OFFSET([4]enemy_skill_sets!$B$1,0,0,COUNTA([4]enemy_skill_sets!$B:$B),MATCH(J$1,[4]enemy_skill_sets!$1:$1,0)-MATCH($T$1,[4]enemy_skill_sets!$1:$1,0)+2),MATCH(J$1,[4]enemy_skill_sets!$1:$1,0)-MATCH($T$1,[4]enemy_skill_sets!$1:$1,0)+2,FALSE)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9" s="5">
        <f ca="1">VLOOKUP($I79,OFFSET([2]enemies!$A$1,0,0,COUNTA([2]enemies!$A:$A),MATCH(T$1,[2]enemies!$2:$2,0)-MATCH($I$1,[2]enemies!$2:$2,0)+1),MATCH(T$1,[2]enemies!$2:$2,0)-MATCH($I$1,[2]enemies!$2:$2,0)+1,FALSE)</f>
        <v>0</v>
      </c>
      <c r="U79" s="7">
        <v>0</v>
      </c>
      <c r="V79" s="7">
        <v>100</v>
      </c>
      <c r="W79" s="7">
        <v>0</v>
      </c>
      <c r="X79" s="26">
        <f ca="1">VLOOKUP($I79,OFFSET([2]enemies!$A$1,0,0,COUNTA([2]enemies!$A:$A),MATCH(X$1,[2]enemies!$2:$2,0)-MATCH($I$1,[2]enemies!$2:$2,0)+1),MATCH(X$1,[2]enemies!$2:$2,0)-MATCH($I$1,[2]enemies!$2:$2,0)+1,FALSE)</f>
        <v>1</v>
      </c>
      <c r="Y79" s="36">
        <v>27</v>
      </c>
      <c r="Z79" s="5" t="str">
        <f ca="1">IFERROR(VLOOKUP($Y79,OFFSET([3]characters!$A$1,0,0,COUNTA([3]characters!$A:$A),MATCH(Z$1,[3]characters!$2:$2,0)-MATCH("character_id",[3]characters!$2:$2,0)+1),MATCH(Z$1,[3]characters!$2:$2,0)-MATCH("character_id",[3]characters!$2:$2,0)+1,FALSE),"")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79" s="5">
        <f ca="1">IFERROR(VLOOKUP($Y79,OFFSET([3]characters!$A$1,0,0,COUNTA([3]characters!$A:$A),MATCH(AA$1,[3]characters!$2:$2,0)-MATCH("character_id",[3]characters!$2:$2,0)+1),MATCH(AA$1,[3]characters!$2:$2,0)-MATCH("character_id",[3]characters!$2:$2,0)+1,FALSE),"")</f>
        <v>1</v>
      </c>
      <c r="AB79" s="5" t="str">
        <f ca="1">IFERROR(VLOOKUP($Y79,OFFSET([3]characters!$A$1,0,0,COUNTA([3]characters!$A:$A),MATCH(AB$1,[3]characters!$2:$2,0)-MATCH("character_id",[3]characters!$2:$2,0)+1),MATCH(AB$1,[3]characters!$2:$2,0)-MATCH("character_id",[3]characters!$2:$2,0)+1,FALSE),"")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9" s="34">
        <v>1</v>
      </c>
      <c r="AD79" s="34">
        <f t="shared" ca="1" si="51"/>
        <v>1</v>
      </c>
      <c r="AE79" s="9">
        <v>25</v>
      </c>
      <c r="AF79" s="34">
        <v>0</v>
      </c>
      <c r="AG79" s="34">
        <v>0</v>
      </c>
      <c r="AH79" s="34">
        <v>0</v>
      </c>
      <c r="AI79" s="34">
        <v>0</v>
      </c>
      <c r="AJ79" s="34">
        <v>1</v>
      </c>
    </row>
    <row r="80" spans="1:36" ht="21" customHeight="1">
      <c r="A80" s="21" t="str">
        <f t="shared" si="37"/>
        <v>10045_1-3/19&lt;lv54&gt;</v>
      </c>
      <c r="B80" s="31">
        <v>10045</v>
      </c>
      <c r="C80" s="35">
        <v>1</v>
      </c>
      <c r="D80" s="20" t="str">
        <f t="shared" si="49"/>
        <v>10045_1</v>
      </c>
      <c r="E80" s="5" t="str">
        <f ca="1">VLOOKUP($B80,OFFSET([1]quests!$A$1,0,0,COUNTA([1]quests!$A:$A),MATCH(E$1,[1]quests!$1:$1,0)-MATCH($B$1,[1]quests!$1:$1,0)+1),MATCH(E$1,[1]quests!$1:$1,0)-MATCH($B$1,[1]quests!$1:$1,0)+1,FALSE)</f>
        <v>迅雷</v>
      </c>
      <c r="F80" s="5" t="str">
        <f ca="1">VLOOKUP($D80,OFFSET([1]stages!$A$1,0,0,COUNTA([1]stages!$A:$A),MATCH(F$1,[1]stages!$2:$2,0)-MATCH($D$1,[1]stages!$2:$2,0)+1),MATCH(F$1,[1]stages!$2:$2,0)-MATCH($D$1,[1]stages!$2:$2,0)+1,FALSE)</f>
        <v>迅雷</v>
      </c>
      <c r="G80" s="35">
        <v>3</v>
      </c>
      <c r="H80" s="20" t="str">
        <f t="shared" si="50"/>
        <v>10045_1-3</v>
      </c>
      <c r="I80" s="37">
        <v>19</v>
      </c>
      <c r="J80" s="26" t="str">
        <f ca="1">VLOOKUP($I80,OFFSET([2]enemies!$A$1,0,0,COUNTA([2]enemies!$A:$A),MATCH(J$1,[2]enemies!$2:$2,0)-MATCH($I$1,[2]enemies!$2:$2,0)+1),MATCH(J$1,[2]enemies!$2:$2,0)-MATCH($I$1,[2]enemies!$2:$2,0)+1,FALSE)</f>
        <v>ティンク</v>
      </c>
      <c r="K80" s="29" t="str">
        <f ca="1">VLOOKUP($I80,OFFSET([2]enemies!$A$1,0,0,COUNTA([2]enemies!$A:$A),MATCH(K$1,[2]enemies!$2:$2,0)-MATCH($I$1,[2]enemies!$2:$2,0)+1),MATCH(K$1,[2]enemies!$2:$2,0)-MATCH($I$1,[2]enemies!$2:$2,0)+1,FALSE)</f>
        <v>yellow</v>
      </c>
      <c r="L80" s="29" t="str">
        <f ca="1">VLOOKUP($I80,OFFSET([3]characters!$A$1,0,0,COUNTA([3]characters!$A:$A),MATCH(L$1,[3]characters!$2:$2,0)-MATCH($I$1,[3]characters!$2:$2,0)+1),MATCH(L$1,[3]characters!$2:$2,0)-MATCH($I$1,[3]characters!$2:$2,0)+1,FALSE)</f>
        <v>Drop1W</v>
      </c>
      <c r="M80" s="28" t="str">
        <f ca="1">VLOOKUP($I80,OFFSET([3]characters!$A$1,0,0,COUNTA([3]characters!$A:$A),MATCH(M$1,[3]characters!$2:$2,0)-MATCH($I$1,[3]characters!$2:$2,0)+2),MATCH(M$1,[3]characters!$2:$2,0)-MATCH($I$1,[3]characters!$2:$2,0)+2,FALSE)</f>
        <v>ヒューマン</v>
      </c>
      <c r="N80" s="5">
        <f ca="1">VLOOKUP($I80,OFFSET([2]enemies!$A$1,0,0,COUNTA([2]enemies!$A:$A),MATCH(N$1,[2]enemies!$2:$2,0)-MATCH($I$1,[2]enemies!$2:$2,0)+1),MATCH(N$1,[2]enemies!$2:$2,0)-MATCH($I$1,[2]enemies!$2:$2,0)+1,FALSE)</f>
        <v>15</v>
      </c>
      <c r="O80" s="6">
        <v>54</v>
      </c>
      <c r="P80" s="41">
        <v>1</v>
      </c>
      <c r="Q80" s="41">
        <v>1</v>
      </c>
      <c r="R80" s="6">
        <v>0</v>
      </c>
      <c r="S80" s="5" t="str">
        <f ca="1">VLOOKUP($T80,OFFSET([4]enemy_skill_sets!$B$1,0,0,COUNTA([4]enemy_skill_sets!$B:$B),MATCH(J$1,[4]enemy_skill_sets!$1:$1,0)-MATCH($T$1,[4]enemy_skill_sets!$1:$1,0)+2),MATCH(J$1,[4]enemy_skill_sets!$1:$1,0)-MATCH($T$1,[4]enemy_skill_sets!$1:$1,0)+2,FALSE)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0" s="5">
        <f ca="1">VLOOKUP($I80,OFFSET([2]enemies!$A$1,0,0,COUNTA([2]enemies!$A:$A),MATCH(T$1,[2]enemies!$2:$2,0)-MATCH($I$1,[2]enemies!$2:$2,0)+1),MATCH(T$1,[2]enemies!$2:$2,0)-MATCH($I$1,[2]enemies!$2:$2,0)+1,FALSE)</f>
        <v>0</v>
      </c>
      <c r="U80" s="7">
        <v>0</v>
      </c>
      <c r="V80" s="7">
        <v>100</v>
      </c>
      <c r="W80" s="7">
        <v>0</v>
      </c>
      <c r="X80" s="26">
        <f ca="1">VLOOKUP($I80,OFFSET([2]enemies!$A$1,0,0,COUNTA([2]enemies!$A:$A),MATCH(X$1,[2]enemies!$2:$2,0)-MATCH($I$1,[2]enemies!$2:$2,0)+1),MATCH(X$1,[2]enemies!$2:$2,0)-MATCH($I$1,[2]enemies!$2:$2,0)+1,FALSE)</f>
        <v>3</v>
      </c>
      <c r="Y80" s="37">
        <v>19</v>
      </c>
      <c r="Z80" s="5" t="str">
        <f ca="1">IFERROR(VLOOKUP($Y80,OFFSET([3]characters!$A$1,0,0,COUNTA([3]characters!$A:$A),MATCH(Z$1,[3]characters!$2:$2,0)-MATCH("character_id",[3]characters!$2:$2,0)+1),MATCH(Z$1,[3]characters!$2:$2,0)-MATCH("character_id",[3]characters!$2:$2,0)+1,FALSE),"")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80" s="5">
        <f ca="1">IFERROR(VLOOKUP($Y80,OFFSET([3]characters!$A$1,0,0,COUNTA([3]characters!$A:$A),MATCH(AA$1,[3]characters!$2:$2,0)-MATCH("character_id",[3]characters!$2:$2,0)+1),MATCH(AA$1,[3]characters!$2:$2,0)-MATCH("character_id",[3]characters!$2:$2,0)+1,FALSE),"")</f>
        <v>1</v>
      </c>
      <c r="AB80" s="5" t="str">
        <f ca="1">IFERROR(VLOOKUP($Y80,OFFSET([3]characters!$A$1,0,0,COUNTA([3]characters!$A:$A),MATCH(AB$1,[3]characters!$2:$2,0)-MATCH("character_id",[3]characters!$2:$2,0)+1),MATCH(AB$1,[3]characters!$2:$2,0)-MATCH("character_id",[3]characters!$2:$2,0)+1,FALSE),"")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80" s="34">
        <v>1</v>
      </c>
      <c r="AD80" s="34">
        <f t="shared" ca="1" si="51"/>
        <v>1</v>
      </c>
      <c r="AE80" s="9">
        <v>25</v>
      </c>
      <c r="AF80" s="34">
        <v>0</v>
      </c>
      <c r="AG80" s="34">
        <v>0</v>
      </c>
      <c r="AH80" s="34">
        <v>0</v>
      </c>
      <c r="AI80" s="34">
        <v>0</v>
      </c>
      <c r="AJ80" s="34">
        <v>1</v>
      </c>
    </row>
    <row r="81" spans="1:36" ht="21" customHeight="1">
      <c r="A81" s="21" t="str">
        <f t="shared" si="37"/>
        <v>10045_1-3/47&lt;lv54&gt;</v>
      </c>
      <c r="B81" s="31">
        <v>10045</v>
      </c>
      <c r="C81" s="35">
        <v>1</v>
      </c>
      <c r="D81" s="20" t="str">
        <f t="shared" si="49"/>
        <v>10045_1</v>
      </c>
      <c r="E81" s="5" t="str">
        <f ca="1">VLOOKUP($B81,OFFSET([1]quests!$A$1,0,0,COUNTA([1]quests!$A:$A),MATCH(E$1,[1]quests!$1:$1,0)-MATCH($B$1,[1]quests!$1:$1,0)+1),MATCH(E$1,[1]quests!$1:$1,0)-MATCH($B$1,[1]quests!$1:$1,0)+1,FALSE)</f>
        <v>迅雷</v>
      </c>
      <c r="F81" s="5" t="str">
        <f ca="1">VLOOKUP($D81,OFFSET([1]stages!$A$1,0,0,COUNTA([1]stages!$A:$A),MATCH(F$1,[1]stages!$2:$2,0)-MATCH($D$1,[1]stages!$2:$2,0)+1),MATCH(F$1,[1]stages!$2:$2,0)-MATCH($D$1,[1]stages!$2:$2,0)+1,FALSE)</f>
        <v>迅雷</v>
      </c>
      <c r="G81" s="35">
        <v>3</v>
      </c>
      <c r="H81" s="20" t="str">
        <f t="shared" si="50"/>
        <v>10045_1-3</v>
      </c>
      <c r="I81" s="38">
        <v>47</v>
      </c>
      <c r="J81" s="26" t="str">
        <f ca="1">VLOOKUP($I81,OFFSET([2]enemies!$A$1,0,0,COUNTA([2]enemies!$A:$A),MATCH(J$1,[2]enemies!$2:$2,0)-MATCH($I$1,[2]enemies!$2:$2,0)+1),MATCH(J$1,[2]enemies!$2:$2,0)-MATCH($I$1,[2]enemies!$2:$2,0)+1,FALSE)</f>
        <v>ヒロ</v>
      </c>
      <c r="K81" s="29" t="str">
        <f ca="1">VLOOKUP($I81,OFFSET([2]enemies!$A$1,0,0,COUNTA([2]enemies!$A:$A),MATCH(K$1,[2]enemies!$2:$2,0)-MATCH($I$1,[2]enemies!$2:$2,0)+1),MATCH(K$1,[2]enemies!$2:$2,0)-MATCH($I$1,[2]enemies!$2:$2,0)+1,FALSE)</f>
        <v>yellow</v>
      </c>
      <c r="L81" s="29" t="str">
        <f ca="1">VLOOKUP($I81,OFFSET([3]characters!$A$1,0,0,COUNTA([3]characters!$A:$A),MATCH(L$1,[3]characters!$2:$2,0)-MATCH($I$1,[3]characters!$2:$2,0)+1),MATCH(L$1,[3]characters!$2:$2,0)-MATCH($I$1,[3]characters!$2:$2,0)+1,FALSE)</f>
        <v>Drop1N</v>
      </c>
      <c r="M81" s="28" t="str">
        <f ca="1">VLOOKUP($I81,OFFSET([3]characters!$A$1,0,0,COUNTA([3]characters!$A:$A),MATCH(M$1,[3]characters!$2:$2,0)-MATCH($I$1,[3]characters!$2:$2,0)+2),MATCH(M$1,[3]characters!$2:$2,0)-MATCH($I$1,[3]characters!$2:$2,0)+2,FALSE)</f>
        <v>アニマル</v>
      </c>
      <c r="N81" s="5">
        <f ca="1">VLOOKUP($I81,OFFSET([2]enemies!$A$1,0,0,COUNTA([2]enemies!$A:$A),MATCH(N$1,[2]enemies!$2:$2,0)-MATCH($I$1,[2]enemies!$2:$2,0)+1),MATCH(N$1,[2]enemies!$2:$2,0)-MATCH($I$1,[2]enemies!$2:$2,0)+1,FALSE)</f>
        <v>15</v>
      </c>
      <c r="O81" s="6">
        <v>54</v>
      </c>
      <c r="P81" s="41">
        <v>1</v>
      </c>
      <c r="Q81" s="41">
        <v>1</v>
      </c>
      <c r="R81" s="6">
        <v>0</v>
      </c>
      <c r="S81" s="5" t="str">
        <f ca="1">VLOOKUP($T81,OFFSET([4]enemy_skill_sets!$B$1,0,0,COUNTA([4]enemy_skill_sets!$B:$B),MATCH(J$1,[4]enemy_skill_sets!$1:$1,0)-MATCH($T$1,[4]enemy_skill_sets!$1:$1,0)+2),MATCH(J$1,[4]enemy_skill_sets!$1:$1,0)-MATCH($T$1,[4]enemy_skill_sets!$1:$1,0)+2,FALSE)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1" s="5">
        <f ca="1">VLOOKUP($I81,OFFSET([2]enemies!$A$1,0,0,COUNTA([2]enemies!$A:$A),MATCH(T$1,[2]enemies!$2:$2,0)-MATCH($I$1,[2]enemies!$2:$2,0)+1),MATCH(T$1,[2]enemies!$2:$2,0)-MATCH($I$1,[2]enemies!$2:$2,0)+1,FALSE)</f>
        <v>0</v>
      </c>
      <c r="U81" s="7">
        <v>0</v>
      </c>
      <c r="V81" s="7">
        <v>100</v>
      </c>
      <c r="W81" s="7">
        <v>0</v>
      </c>
      <c r="X81" s="26">
        <f ca="1">VLOOKUP($I81,OFFSET([2]enemies!$A$1,0,0,COUNTA([2]enemies!$A:$A),MATCH(X$1,[2]enemies!$2:$2,0)-MATCH($I$1,[2]enemies!$2:$2,0)+1),MATCH(X$1,[2]enemies!$2:$2,0)-MATCH($I$1,[2]enemies!$2:$2,0)+1,FALSE)</f>
        <v>1</v>
      </c>
      <c r="Y81" s="38">
        <v>47</v>
      </c>
      <c r="Z81" s="5" t="str">
        <f ca="1">IFERROR(VLOOKUP($Y81,OFFSET([3]characters!$A$1,0,0,COUNTA([3]characters!$A:$A),MATCH(Z$1,[3]characters!$2:$2,0)-MATCH("character_id",[3]characters!$2:$2,0)+1),MATCH(Z$1,[3]characters!$2:$2,0)-MATCH("character_id",[3]characters!$2:$2,0)+1,FALSE),"")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81" s="5">
        <f ca="1">IFERROR(VLOOKUP($Y81,OFFSET([3]characters!$A$1,0,0,COUNTA([3]characters!$A:$A),MATCH(AA$1,[3]characters!$2:$2,0)-MATCH("character_id",[3]characters!$2:$2,0)+1),MATCH(AA$1,[3]characters!$2:$2,0)-MATCH("character_id",[3]characters!$2:$2,0)+1,FALSE),"")</f>
        <v>2</v>
      </c>
      <c r="AB81" s="5" t="str">
        <f ca="1">IFERROR(VLOOKUP($Y81,OFFSET([3]characters!$A$1,0,0,COUNTA([3]characters!$A:$A),MATCH(AB$1,[3]characters!$2:$2,0)-MATCH("character_id",[3]characters!$2:$2,0)+1),MATCH(AB$1,[3]characters!$2:$2,0)-MATCH("character_id",[3]characters!$2:$2,0)+1,FALSE),"")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1" s="34">
        <v>1</v>
      </c>
      <c r="AD81" s="34">
        <f t="shared" ca="1" si="51"/>
        <v>2</v>
      </c>
      <c r="AE81" s="9">
        <v>25</v>
      </c>
      <c r="AF81" s="34">
        <v>0</v>
      </c>
      <c r="AG81" s="34">
        <v>0</v>
      </c>
      <c r="AH81" s="34">
        <v>0</v>
      </c>
      <c r="AI81" s="34">
        <v>0</v>
      </c>
      <c r="AJ81" s="34">
        <v>1</v>
      </c>
    </row>
    <row r="82" spans="1:36" ht="21" customHeight="1">
      <c r="A82" s="21" t="str">
        <f t="shared" si="37"/>
        <v>10045_1-4/63&lt;lv55&gt;</v>
      </c>
      <c r="B82" s="31">
        <v>10045</v>
      </c>
      <c r="C82" s="35">
        <v>1</v>
      </c>
      <c r="D82" s="20" t="str">
        <f t="shared" si="49"/>
        <v>10045_1</v>
      </c>
      <c r="E82" s="5" t="str">
        <f ca="1">VLOOKUP($B82,OFFSET([1]quests!$A$1,0,0,COUNTA([1]quests!$A:$A),MATCH(E$1,[1]quests!$1:$1,0)-MATCH($B$1,[1]quests!$1:$1,0)+1),MATCH(E$1,[1]quests!$1:$1,0)-MATCH($B$1,[1]quests!$1:$1,0)+1,FALSE)</f>
        <v>迅雷</v>
      </c>
      <c r="F82" s="5" t="str">
        <f ca="1">VLOOKUP($D82,OFFSET([1]stages!$A$1,0,0,COUNTA([1]stages!$A:$A),MATCH(F$1,[1]stages!$2:$2,0)-MATCH($D$1,[1]stages!$2:$2,0)+1),MATCH(F$1,[1]stages!$2:$2,0)-MATCH($D$1,[1]stages!$2:$2,0)+1,FALSE)</f>
        <v>迅雷</v>
      </c>
      <c r="G82" s="35">
        <v>4</v>
      </c>
      <c r="H82" s="20" t="str">
        <f t="shared" si="50"/>
        <v>10045_1-4</v>
      </c>
      <c r="I82" s="38">
        <v>63</v>
      </c>
      <c r="J82" s="26" t="str">
        <f ca="1">VLOOKUP($I82,OFFSET([2]enemies!$A$1,0,0,COUNTA([2]enemies!$A:$A),MATCH(J$1,[2]enemies!$2:$2,0)-MATCH($I$1,[2]enemies!$2:$2,0)+1),MATCH(J$1,[2]enemies!$2:$2,0)-MATCH($I$1,[2]enemies!$2:$2,0)+1,FALSE)</f>
        <v>トニー</v>
      </c>
      <c r="K82" s="29" t="str">
        <f ca="1">VLOOKUP($I82,OFFSET([2]enemies!$A$1,0,0,COUNTA([2]enemies!$A:$A),MATCH(K$1,[2]enemies!$2:$2,0)-MATCH($I$1,[2]enemies!$2:$2,0)+1),MATCH(K$1,[2]enemies!$2:$2,0)-MATCH($I$1,[2]enemies!$2:$2,0)+1,FALSE)</f>
        <v>yellow</v>
      </c>
      <c r="L82" s="29" t="str">
        <f ca="1">VLOOKUP($I82,OFFSET([3]characters!$A$1,0,0,COUNTA([3]characters!$A:$A),MATCH(L$1,[3]characters!$2:$2,0)-MATCH($I$1,[3]characters!$2:$2,0)+1),MATCH(L$1,[3]characters!$2:$2,0)-MATCH($I$1,[3]characters!$2:$2,0)+1,FALSE)</f>
        <v>Drop1N</v>
      </c>
      <c r="M82" s="28" t="str">
        <f ca="1">VLOOKUP($I82,OFFSET([3]characters!$A$1,0,0,COUNTA([3]characters!$A:$A),MATCH(M$1,[3]characters!$2:$2,0)-MATCH($I$1,[3]characters!$2:$2,0)+2),MATCH(M$1,[3]characters!$2:$2,0)-MATCH($I$1,[3]characters!$2:$2,0)+2,FALSE)</f>
        <v>アニマル</v>
      </c>
      <c r="N82" s="5">
        <f ca="1">VLOOKUP($I82,OFFSET([2]enemies!$A$1,0,0,COUNTA([2]enemies!$A:$A),MATCH(N$1,[2]enemies!$2:$2,0)-MATCH($I$1,[2]enemies!$2:$2,0)+1),MATCH(N$1,[2]enemies!$2:$2,0)-MATCH($I$1,[2]enemies!$2:$2,0)+1,FALSE)</f>
        <v>15</v>
      </c>
      <c r="O82" s="6">
        <v>55</v>
      </c>
      <c r="P82" s="41">
        <v>1</v>
      </c>
      <c r="Q82" s="41">
        <v>1</v>
      </c>
      <c r="R82" s="6">
        <v>0</v>
      </c>
      <c r="S82" s="5" t="str">
        <f ca="1">VLOOKUP($T82,OFFSET([4]enemy_skill_sets!$B$1,0,0,COUNTA([4]enemy_skill_sets!$B:$B),MATCH(J$1,[4]enemy_skill_sets!$1:$1,0)-MATCH($T$1,[4]enemy_skill_sets!$1:$1,0)+2),MATCH(J$1,[4]enemy_skill_sets!$1:$1,0)-MATCH($T$1,[4]enemy_skill_sets!$1:$1,0)+2,FALSE)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82" s="5">
        <f ca="1">VLOOKUP($I82,OFFSET([2]enemies!$A$1,0,0,COUNTA([2]enemies!$A:$A),MATCH(T$1,[2]enemies!$2:$2,0)-MATCH($I$1,[2]enemies!$2:$2,0)+1),MATCH(T$1,[2]enemies!$2:$2,0)-MATCH($I$1,[2]enemies!$2:$2,0)+1,FALSE)</f>
        <v>63</v>
      </c>
      <c r="U82" s="7">
        <v>1</v>
      </c>
      <c r="V82" s="7">
        <v>100</v>
      </c>
      <c r="W82" s="7">
        <v>0</v>
      </c>
      <c r="X82" s="26">
        <f ca="1">VLOOKUP($I82,OFFSET([2]enemies!$A$1,0,0,COUNTA([2]enemies!$A:$A),MATCH(X$1,[2]enemies!$2:$2,0)-MATCH($I$1,[2]enemies!$2:$2,0)+1),MATCH(X$1,[2]enemies!$2:$2,0)-MATCH($I$1,[2]enemies!$2:$2,0)+1,FALSE)</f>
        <v>2</v>
      </c>
      <c r="Y82" s="38">
        <v>63</v>
      </c>
      <c r="Z82" s="5" t="str">
        <f ca="1">IFERROR(VLOOKUP($Y82,OFFSET([3]characters!$A$1,0,0,COUNTA([3]characters!$A:$A),MATCH(Z$1,[3]characters!$2:$2,0)-MATCH("character_id",[3]characters!$2:$2,0)+1),MATCH(Z$1,[3]characters!$2:$2,0)-MATCH("character_id",[3]characters!$2:$2,0)+1,FALSE),"")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82" s="5">
        <f ca="1">IFERROR(VLOOKUP($Y82,OFFSET([3]characters!$A$1,0,0,COUNTA([3]characters!$A:$A),MATCH(AA$1,[3]characters!$2:$2,0)-MATCH("character_id",[3]characters!$2:$2,0)+1),MATCH(AA$1,[3]characters!$2:$2,0)-MATCH("character_id",[3]characters!$2:$2,0)+1,FALSE),"")</f>
        <v>2</v>
      </c>
      <c r="AB82" s="5" t="str">
        <f ca="1">IFERROR(VLOOKUP($Y82,OFFSET([3]characters!$A$1,0,0,COUNTA([3]characters!$A:$A),MATCH(AB$1,[3]characters!$2:$2,0)-MATCH("character_id",[3]characters!$2:$2,0)+1),MATCH(AB$1,[3]characters!$2:$2,0)-MATCH("character_id",[3]characters!$2:$2,0)+1,FALSE),"")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2" s="34">
        <v>1</v>
      </c>
      <c r="AD82" s="34">
        <f t="shared" ca="1" si="51"/>
        <v>2</v>
      </c>
      <c r="AE82" s="9">
        <v>25</v>
      </c>
      <c r="AF82" s="34">
        <v>0</v>
      </c>
      <c r="AG82" s="34">
        <v>0</v>
      </c>
      <c r="AH82" s="34">
        <v>0</v>
      </c>
      <c r="AI82" s="34">
        <v>0</v>
      </c>
      <c r="AJ82" s="34">
        <v>1</v>
      </c>
    </row>
    <row r="83" spans="1:36" ht="21" customHeight="1">
      <c r="A83" s="21" t="str">
        <f t="shared" ref="A83" si="56">B83&amp;"_"&amp;C83&amp;"-"&amp;G83&amp;"/"&amp;I83&amp;"&lt;lv"&amp;O83&amp;"&gt;"</f>
        <v>10045_1-4/11&lt;lv55&gt;</v>
      </c>
      <c r="B83" s="31">
        <v>10045</v>
      </c>
      <c r="C83" s="35">
        <v>1</v>
      </c>
      <c r="D83" s="20" t="str">
        <f t="shared" ref="D83" si="57">B83&amp;"_"&amp;C83</f>
        <v>10045_1</v>
      </c>
      <c r="E83" s="5" t="str">
        <f ca="1">VLOOKUP($B83,OFFSET([1]quests!$A$1,0,0,COUNTA([1]quests!$A:$A),MATCH(E$1,[1]quests!$1:$1,0)-MATCH($B$1,[1]quests!$1:$1,0)+1),MATCH(E$1,[1]quests!$1:$1,0)-MATCH($B$1,[1]quests!$1:$1,0)+1,FALSE)</f>
        <v>迅雷</v>
      </c>
      <c r="F83" s="5" t="str">
        <f ca="1">VLOOKUP($D83,OFFSET([1]stages!$A$1,0,0,COUNTA([1]stages!$A:$A),MATCH(F$1,[1]stages!$2:$2,0)-MATCH($D$1,[1]stages!$2:$2,0)+1),MATCH(F$1,[1]stages!$2:$2,0)-MATCH($D$1,[1]stages!$2:$2,0)+1,FALSE)</f>
        <v>迅雷</v>
      </c>
      <c r="G83" s="35">
        <v>4</v>
      </c>
      <c r="H83" s="20" t="str">
        <f t="shared" ref="H83" si="58">B83&amp;"_"&amp;C83&amp;"-"&amp;G83</f>
        <v>10045_1-4</v>
      </c>
      <c r="I83" s="36">
        <v>11</v>
      </c>
      <c r="J83" s="26" t="str">
        <f ca="1">VLOOKUP($I83,OFFSET([2]enemies!$A$1,0,0,COUNTA([2]enemies!$A:$A),MATCH(J$1,[2]enemies!$2:$2,0)-MATCH($I$1,[2]enemies!$2:$2,0)+1),MATCH(J$1,[2]enemies!$2:$2,0)-MATCH($I$1,[2]enemies!$2:$2,0)+1,FALSE)</f>
        <v>マグリット</v>
      </c>
      <c r="K83" s="29" t="str">
        <f ca="1">VLOOKUP($I83,OFFSET([2]enemies!$A$1,0,0,COUNTA([2]enemies!$A:$A),MATCH(K$1,[2]enemies!$2:$2,0)-MATCH($I$1,[2]enemies!$2:$2,0)+1),MATCH(K$1,[2]enemies!$2:$2,0)-MATCH($I$1,[2]enemies!$2:$2,0)+1,FALSE)</f>
        <v>green</v>
      </c>
      <c r="L83" s="29" t="str">
        <f ca="1">VLOOKUP($I83,OFFSET([3]characters!$A$1,0,0,COUNTA([3]characters!$A:$A),MATCH(L$1,[3]characters!$2:$2,0)-MATCH($I$1,[3]characters!$2:$2,0)+1),MATCH(L$1,[3]characters!$2:$2,0)-MATCH($I$1,[3]characters!$2:$2,0)+1,FALSE)</f>
        <v>Drop1W</v>
      </c>
      <c r="M83" s="28" t="str">
        <f ca="1">VLOOKUP($I83,OFFSET([3]characters!$A$1,0,0,COUNTA([3]characters!$A:$A),MATCH(M$1,[3]characters!$2:$2,0)-MATCH($I$1,[3]characters!$2:$2,0)+2),MATCH(M$1,[3]characters!$2:$2,0)-MATCH($I$1,[3]characters!$2:$2,0)+2,FALSE)</f>
        <v>アニマル</v>
      </c>
      <c r="N83" s="5">
        <f ca="1">VLOOKUP($I83,OFFSET([2]enemies!$A$1,0,0,COUNTA([2]enemies!$A:$A),MATCH(N$1,[2]enemies!$2:$2,0)-MATCH($I$1,[2]enemies!$2:$2,0)+1),MATCH(N$1,[2]enemies!$2:$2,0)-MATCH($I$1,[2]enemies!$2:$2,0)+1,FALSE)</f>
        <v>15</v>
      </c>
      <c r="O83" s="6">
        <v>55</v>
      </c>
      <c r="P83" s="41">
        <v>1</v>
      </c>
      <c r="Q83" s="41">
        <v>1</v>
      </c>
      <c r="R83" s="6">
        <v>0</v>
      </c>
      <c r="S83" s="5" t="str">
        <f ca="1">VLOOKUP($T83,OFFSET([4]enemy_skill_sets!$B$1,0,0,COUNTA([4]enemy_skill_sets!$B:$B),MATCH(J$1,[4]enemy_skill_sets!$1:$1,0)-MATCH($T$1,[4]enemy_skill_sets!$1:$1,0)+2),MATCH(J$1,[4]enemy_skill_sets!$1:$1,0)-MATCH($T$1,[4]enemy_skill_sets!$1:$1,0)+2,FALSE)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3" s="5">
        <f ca="1">VLOOKUP($I83,OFFSET([2]enemies!$A$1,0,0,COUNTA([2]enemies!$A:$A),MATCH(T$1,[2]enemies!$2:$2,0)-MATCH($I$1,[2]enemies!$2:$2,0)+1),MATCH(T$1,[2]enemies!$2:$2,0)-MATCH($I$1,[2]enemies!$2:$2,0)+1,FALSE)</f>
        <v>0</v>
      </c>
      <c r="U83" s="7">
        <v>0</v>
      </c>
      <c r="V83" s="7">
        <v>100</v>
      </c>
      <c r="W83" s="7">
        <v>0</v>
      </c>
      <c r="X83" s="26">
        <f ca="1">VLOOKUP($I83,OFFSET([2]enemies!$A$1,0,0,COUNTA([2]enemies!$A:$A),MATCH(X$1,[2]enemies!$2:$2,0)-MATCH($I$1,[2]enemies!$2:$2,0)+1),MATCH(X$1,[2]enemies!$2:$2,0)-MATCH($I$1,[2]enemies!$2:$2,0)+1,FALSE)</f>
        <v>3</v>
      </c>
      <c r="Y83" s="36">
        <v>11</v>
      </c>
      <c r="Z83" s="5" t="str">
        <f ca="1">IFERROR(VLOOKUP($Y83,OFFSET([3]characters!$A$1,0,0,COUNTA([3]characters!$A:$A),MATCH(Z$1,[3]characters!$2:$2,0)-MATCH("character_id",[3]characters!$2:$2,0)+1),MATCH(Z$1,[3]characters!$2:$2,0)-MATCH("character_id",[3]characters!$2:$2,0)+1,FALSE),"")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83" s="5">
        <f ca="1">IFERROR(VLOOKUP($Y83,OFFSET([3]characters!$A$1,0,0,COUNTA([3]characters!$A:$A),MATCH(AA$1,[3]characters!$2:$2,0)-MATCH("character_id",[3]characters!$2:$2,0)+1),MATCH(AA$1,[3]characters!$2:$2,0)-MATCH("character_id",[3]characters!$2:$2,0)+1,FALSE),"")</f>
        <v>1</v>
      </c>
      <c r="AB83" s="5" t="str">
        <f ca="1">IFERROR(VLOOKUP($Y83,OFFSET([3]characters!$A$1,0,0,COUNTA([3]characters!$A:$A),MATCH(AB$1,[3]characters!$2:$2,0)-MATCH("character_id",[3]characters!$2:$2,0)+1),MATCH(AB$1,[3]characters!$2:$2,0)-MATCH("character_id",[3]characters!$2:$2,0)+1,FALSE),"")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83" s="34">
        <v>1</v>
      </c>
      <c r="AD83" s="34">
        <f t="shared" ref="AD83" ca="1" si="59">AA83</f>
        <v>1</v>
      </c>
      <c r="AE83" s="9">
        <v>25</v>
      </c>
      <c r="AF83" s="34">
        <v>0</v>
      </c>
      <c r="AG83" s="34">
        <v>0</v>
      </c>
      <c r="AH83" s="34">
        <v>0</v>
      </c>
      <c r="AI83" s="34">
        <v>0</v>
      </c>
      <c r="AJ83" s="34">
        <v>1</v>
      </c>
    </row>
    <row r="84" spans="1:36" ht="21" customHeight="1">
      <c r="A84" s="21" t="str">
        <f t="shared" si="37"/>
        <v>10045_1-5/197&lt;lv49&gt;</v>
      </c>
      <c r="B84" s="31">
        <v>10045</v>
      </c>
      <c r="C84" s="35">
        <v>1</v>
      </c>
      <c r="D84" s="20" t="str">
        <f t="shared" ref="D84:D94" si="60">B84&amp;"_"&amp;C84</f>
        <v>10045_1</v>
      </c>
      <c r="E84" s="5" t="str">
        <f ca="1">VLOOKUP($B84,OFFSET([1]quests!$A$1,0,0,COUNTA([1]quests!$A:$A),MATCH(E$1,[1]quests!$1:$1,0)-MATCH($B$1,[1]quests!$1:$1,0)+1),MATCH(E$1,[1]quests!$1:$1,0)-MATCH($B$1,[1]quests!$1:$1,0)+1,FALSE)</f>
        <v>迅雷</v>
      </c>
      <c r="F84" s="5" t="str">
        <f ca="1">VLOOKUP($D84,OFFSET([1]stages!$A$1,0,0,COUNTA([1]stages!$A:$A),MATCH(F$1,[1]stages!$2:$2,0)-MATCH($D$1,[1]stages!$2:$2,0)+1),MATCH(F$1,[1]stages!$2:$2,0)-MATCH($D$1,[1]stages!$2:$2,0)+1,FALSE)</f>
        <v>迅雷</v>
      </c>
      <c r="G84" s="35">
        <v>5</v>
      </c>
      <c r="H84" s="20" t="str">
        <f t="shared" ref="H84:H94" si="61">B84&amp;"_"&amp;C84&amp;"-"&amp;G84</f>
        <v>10045_1-5</v>
      </c>
      <c r="I84" s="37">
        <v>197</v>
      </c>
      <c r="J84" s="26" t="str">
        <f ca="1">VLOOKUP($I84,OFFSET([2]enemies!$A$1,0,0,COUNTA([2]enemies!$A:$A),MATCH(J$1,[2]enemies!$2:$2,0)-MATCH($I$1,[2]enemies!$2:$2,0)+1),MATCH(J$1,[2]enemies!$2:$2,0)-MATCH($I$1,[2]enemies!$2:$2,0)+1,FALSE)</f>
        <v>鉄腕 アキレス</v>
      </c>
      <c r="K84" s="29" t="str">
        <f ca="1">VLOOKUP($I84,OFFSET([2]enemies!$A$1,0,0,COUNTA([2]enemies!$A:$A),MATCH(K$1,[2]enemies!$2:$2,0)-MATCH($I$1,[2]enemies!$2:$2,0)+1),MATCH(K$1,[2]enemies!$2:$2,0)-MATCH($I$1,[2]enemies!$2:$2,0)+1,FALSE)</f>
        <v>yellow</v>
      </c>
      <c r="L84" s="29" t="str">
        <f ca="1">VLOOKUP($I84,OFFSET([3]characters!$A$1,0,0,COUNTA([3]characters!$A:$A),MATCH(L$1,[3]characters!$2:$2,0)-MATCH($I$1,[3]characters!$2:$2,0)+1),MATCH(L$1,[3]characters!$2:$2,0)-MATCH($I$1,[3]characters!$2:$2,0)+1,FALSE)</f>
        <v>PremiumN</v>
      </c>
      <c r="M84" s="28" t="str">
        <f ca="1">VLOOKUP($I84,OFFSET([3]characters!$A$1,0,0,COUNTA([3]characters!$A:$A),MATCH(M$1,[3]characters!$2:$2,0)-MATCH($I$1,[3]characters!$2:$2,0)+2),MATCH(M$1,[3]characters!$2:$2,0)-MATCH($I$1,[3]characters!$2:$2,0)+2,FALSE)</f>
        <v>ヒューマン</v>
      </c>
      <c r="N84" s="5">
        <f ca="1">VLOOKUP($I84,OFFSET([2]enemies!$A$1,0,0,COUNTA([2]enemies!$A:$A),MATCH(N$1,[2]enemies!$2:$2,0)-MATCH($I$1,[2]enemies!$2:$2,0)+1),MATCH(N$1,[2]enemies!$2:$2,0)-MATCH($I$1,[2]enemies!$2:$2,0)+1,FALSE)</f>
        <v>30</v>
      </c>
      <c r="O84" s="6">
        <v>49</v>
      </c>
      <c r="P84" s="41">
        <v>1</v>
      </c>
      <c r="Q84" s="41">
        <v>1</v>
      </c>
      <c r="R84" s="6">
        <v>0</v>
      </c>
      <c r="S84" s="5" t="str">
        <f ca="1">VLOOKUP($T84,OFFSET([4]enemy_skill_sets!$B$1,0,0,COUNTA([4]enemy_skill_sets!$B:$B),MATCH(J$1,[4]enemy_skill_sets!$1:$1,0)-MATCH($T$1,[4]enemy_skill_sets!$1:$1,0)+2),MATCH(J$1,[4]enemy_skill_sets!$1:$1,0)-MATCH($T$1,[4]enemy_skill_sets!$1:$1,0)+2,FALSE)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84" s="5">
        <f ca="1">VLOOKUP($I84,OFFSET([2]enemies!$A$1,0,0,COUNTA([2]enemies!$A:$A),MATCH(T$1,[2]enemies!$2:$2,0)-MATCH($I$1,[2]enemies!$2:$2,0)+1),MATCH(T$1,[2]enemies!$2:$2,0)-MATCH($I$1,[2]enemies!$2:$2,0)+1,FALSE)</f>
        <v>198</v>
      </c>
      <c r="U84" s="7">
        <v>1</v>
      </c>
      <c r="V84" s="7">
        <v>100</v>
      </c>
      <c r="W84" s="7">
        <v>1</v>
      </c>
      <c r="X84" s="26">
        <f ca="1">VLOOKUP($I84,OFFSET([2]enemies!$A$1,0,0,COUNTA([2]enemies!$A:$A),MATCH(X$1,[2]enemies!$2:$2,0)-MATCH($I$1,[2]enemies!$2:$2,0)+1),MATCH(X$1,[2]enemies!$2:$2,0)-MATCH($I$1,[2]enemies!$2:$2,0)+1,FALSE)</f>
        <v>2</v>
      </c>
      <c r="Y84" s="37">
        <v>196</v>
      </c>
      <c r="Z84" s="5" t="str">
        <f ca="1">IFERROR(VLOOKUP($Y84,OFFSET([3]characters!$A$1,0,0,COUNTA([3]characters!$A:$A),MATCH(Z$1,[3]characters!$2:$2,0)-MATCH("character_id",[3]characters!$2:$2,0)+1),MATCH(Z$1,[3]characters!$2:$2,0)-MATCH("character_id",[3]characters!$2:$2,0)+1,FALSE),"")</f>
        <v>アキレス</v>
      </c>
      <c r="AA84" s="5">
        <f ca="1">IFERROR(VLOOKUP($Y84,OFFSET([3]characters!$A$1,0,0,COUNTA([3]characters!$A:$A),MATCH(AA$1,[3]characters!$2:$2,0)-MATCH("character_id",[3]characters!$2:$2,0)+1),MATCH(AA$1,[3]characters!$2:$2,0)-MATCH("character_id",[3]characters!$2:$2,0)+1,FALSE),"")</f>
        <v>3</v>
      </c>
      <c r="AB84" s="5" t="str">
        <f ca="1">IFERROR(VLOOKUP($Y84,OFFSET([3]characters!$A$1,0,0,COUNTA([3]characters!$A:$A),MATCH(AB$1,[3]characters!$2:$2,0)-MATCH("character_id",[3]characters!$2:$2,0)+1),MATCH(AB$1,[3]characters!$2:$2,0)-MATCH("character_id",[3]characters!$2:$2,0)+1,FALSE),"")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84" s="34">
        <v>1</v>
      </c>
      <c r="AD84" s="34">
        <f t="shared" ref="AD84:AD94" ca="1" si="62">AA84</f>
        <v>3</v>
      </c>
      <c r="AE84" s="9">
        <v>0</v>
      </c>
      <c r="AF84" s="34">
        <v>0</v>
      </c>
      <c r="AG84" s="34">
        <v>0</v>
      </c>
      <c r="AH84" s="34">
        <v>0</v>
      </c>
      <c r="AI84" s="34">
        <v>0</v>
      </c>
      <c r="AJ84" s="34">
        <v>1</v>
      </c>
    </row>
    <row r="85" spans="1:36" ht="21" customHeight="1">
      <c r="A85" s="21" t="str">
        <f t="shared" ref="A85" si="63">B85&amp;"_"&amp;C85&amp;"-"&amp;G85&amp;"/"&amp;I85&amp;"&lt;lv"&amp;O85&amp;"&gt;"</f>
        <v>10045_1-5/193&lt;lv46&gt;</v>
      </c>
      <c r="B85" s="31">
        <v>10045</v>
      </c>
      <c r="C85" s="35">
        <v>1</v>
      </c>
      <c r="D85" s="20" t="str">
        <f t="shared" ref="D85" si="64">B85&amp;"_"&amp;C85</f>
        <v>10045_1</v>
      </c>
      <c r="E85" s="5" t="str">
        <f ca="1">VLOOKUP($B85,OFFSET([1]quests!$A$1,0,0,COUNTA([1]quests!$A:$A),MATCH(E$1,[1]quests!$1:$1,0)-MATCH($B$1,[1]quests!$1:$1,0)+1),MATCH(E$1,[1]quests!$1:$1,0)-MATCH($B$1,[1]quests!$1:$1,0)+1,FALSE)</f>
        <v>迅雷</v>
      </c>
      <c r="F85" s="5" t="str">
        <f ca="1">VLOOKUP($D85,OFFSET([1]stages!$A$1,0,0,COUNTA([1]stages!$A:$A),MATCH(F$1,[1]stages!$2:$2,0)-MATCH($D$1,[1]stages!$2:$2,0)+1),MATCH(F$1,[1]stages!$2:$2,0)-MATCH($D$1,[1]stages!$2:$2,0)+1,FALSE)</f>
        <v>迅雷</v>
      </c>
      <c r="G85" s="35">
        <v>5</v>
      </c>
      <c r="H85" s="20" t="str">
        <f t="shared" ref="H85" si="65">B85&amp;"_"&amp;C85&amp;"-"&amp;G85</f>
        <v>10045_1-5</v>
      </c>
      <c r="I85" s="37">
        <v>193</v>
      </c>
      <c r="J85" s="26" t="str">
        <f ca="1">VLOOKUP($I85,OFFSET([2]enemies!$A$1,0,0,COUNTA([2]enemies!$A:$A),MATCH(J$1,[2]enemies!$2:$2,0)-MATCH($I$1,[2]enemies!$2:$2,0)+1),MATCH(J$1,[2]enemies!$2:$2,0)-MATCH($I$1,[2]enemies!$2:$2,0)+1,FALSE)</f>
        <v>ロビンフッド</v>
      </c>
      <c r="K85" s="29" t="str">
        <f ca="1">VLOOKUP($I85,OFFSET([2]enemies!$A$1,0,0,COUNTA([2]enemies!$A:$A),MATCH(K$1,[2]enemies!$2:$2,0)-MATCH($I$1,[2]enemies!$2:$2,0)+1),MATCH(K$1,[2]enemies!$2:$2,0)-MATCH($I$1,[2]enemies!$2:$2,0)+1,FALSE)</f>
        <v>green</v>
      </c>
      <c r="L85" s="29" t="str">
        <f ca="1">VLOOKUP($I85,OFFSET([3]characters!$A$1,0,0,COUNTA([3]characters!$A:$A),MATCH(L$1,[3]characters!$2:$2,0)-MATCH($I$1,[3]characters!$2:$2,0)+1),MATCH(L$1,[3]characters!$2:$2,0)-MATCH($I$1,[3]characters!$2:$2,0)+1,FALSE)</f>
        <v>PremiumN</v>
      </c>
      <c r="M85" s="28" t="str">
        <f ca="1">VLOOKUP($I85,OFFSET([3]characters!$A$1,0,0,COUNTA([3]characters!$A:$A),MATCH(M$1,[3]characters!$2:$2,0)-MATCH($I$1,[3]characters!$2:$2,0)+2),MATCH(M$1,[3]characters!$2:$2,0)-MATCH($I$1,[3]characters!$2:$2,0)+2,FALSE)</f>
        <v>ヒューマン</v>
      </c>
      <c r="N85" s="5">
        <f ca="1">VLOOKUP($I85,OFFSET([2]enemies!$A$1,0,0,COUNTA([2]enemies!$A:$A),MATCH(N$1,[2]enemies!$2:$2,0)-MATCH($I$1,[2]enemies!$2:$2,0)+1),MATCH(N$1,[2]enemies!$2:$2,0)-MATCH($I$1,[2]enemies!$2:$2,0)+1,FALSE)</f>
        <v>20</v>
      </c>
      <c r="O85" s="6">
        <v>46</v>
      </c>
      <c r="P85" s="41">
        <v>1</v>
      </c>
      <c r="Q85" s="41">
        <v>1</v>
      </c>
      <c r="R85" s="6">
        <v>0</v>
      </c>
      <c r="S85" s="5" t="str">
        <f ca="1">VLOOKUP($T85,OFFSET([4]enemy_skill_sets!$B$1,0,0,COUNTA([4]enemy_skill_sets!$B:$B),MATCH(J$1,[4]enemy_skill_sets!$1:$1,0)-MATCH($T$1,[4]enemy_skill_sets!$1:$1,0)+2),MATCH(J$1,[4]enemy_skill_sets!$1:$1,0)-MATCH($T$1,[4]enemy_skill_sets!$1:$1,0)+2,FALSE)</f>
        <v>5回連続攻撃</v>
      </c>
      <c r="T85" s="5">
        <f ca="1">VLOOKUP($I85,OFFSET([2]enemies!$A$1,0,0,COUNTA([2]enemies!$A:$A),MATCH(T$1,[2]enemies!$2:$2,0)-MATCH($I$1,[2]enemies!$2:$2,0)+1),MATCH(T$1,[2]enemies!$2:$2,0)-MATCH($I$1,[2]enemies!$2:$2,0)+1,FALSE)</f>
        <v>193</v>
      </c>
      <c r="U85" s="7">
        <v>1</v>
      </c>
      <c r="V85" s="7">
        <v>100</v>
      </c>
      <c r="W85" s="7">
        <v>1</v>
      </c>
      <c r="X85" s="26">
        <f ca="1">VLOOKUP($I85,OFFSET([2]enemies!$A$1,0,0,COUNTA([2]enemies!$A:$A),MATCH(X$1,[2]enemies!$2:$2,0)-MATCH($I$1,[2]enemies!$2:$2,0)+1),MATCH(X$1,[2]enemies!$2:$2,0)-MATCH($I$1,[2]enemies!$2:$2,0)+1,FALSE)</f>
        <v>3</v>
      </c>
      <c r="Y85" s="37">
        <v>193</v>
      </c>
      <c r="Z85" s="5" t="str">
        <f ca="1">IFERROR(VLOOKUP($Y85,OFFSET([3]characters!$A$1,0,0,COUNTA([3]characters!$A:$A),MATCH(Z$1,[3]characters!$2:$2,0)-MATCH("character_id",[3]characters!$2:$2,0)+1),MATCH(Z$1,[3]characters!$2:$2,0)-MATCH("character_id",[3]characters!$2:$2,0)+1,FALSE),"")</f>
        <v>ロビンフッド</v>
      </c>
      <c r="AA85" s="5">
        <f ca="1">IFERROR(VLOOKUP($Y85,OFFSET([3]characters!$A$1,0,0,COUNTA([3]characters!$A:$A),MATCH(AA$1,[3]characters!$2:$2,0)-MATCH("character_id",[3]characters!$2:$2,0)+1),MATCH(AA$1,[3]characters!$2:$2,0)-MATCH("character_id",[3]characters!$2:$2,0)+1,FALSE),"")</f>
        <v>3</v>
      </c>
      <c r="AB85" s="5" t="str">
        <f ca="1">IFERROR(VLOOKUP($Y85,OFFSET([3]characters!$A$1,0,0,COUNTA([3]characters!$A:$A),MATCH(AB$1,[3]characters!$2:$2,0)-MATCH("character_id",[3]characters!$2:$2,0)+1),MATCH(AB$1,[3]characters!$2:$2,0)-MATCH("character_id",[3]characters!$2:$2,0)+1,FALSE),"")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85" s="34">
        <v>1</v>
      </c>
      <c r="AD85" s="34">
        <f t="shared" ref="AD85" ca="1" si="66">AA85</f>
        <v>3</v>
      </c>
      <c r="AE85" s="9">
        <v>0</v>
      </c>
      <c r="AF85" s="34">
        <v>0</v>
      </c>
      <c r="AG85" s="34">
        <v>0</v>
      </c>
      <c r="AH85" s="34">
        <v>0</v>
      </c>
      <c r="AI85" s="34">
        <v>0</v>
      </c>
      <c r="AJ85" s="34">
        <v>1</v>
      </c>
    </row>
    <row r="86" spans="1:36" ht="21" customHeight="1">
      <c r="A86" s="21" t="str">
        <f t="shared" si="37"/>
        <v>10050_1-1/21&lt;lv56&gt;</v>
      </c>
      <c r="B86" s="31">
        <v>10050</v>
      </c>
      <c r="C86" s="35">
        <v>1</v>
      </c>
      <c r="D86" s="20" t="str">
        <f t="shared" si="60"/>
        <v>10050_1</v>
      </c>
      <c r="E86" s="5" t="str">
        <f ca="1">VLOOKUP($B86,OFFSET([1]quests!$A$1,0,0,COUNTA([1]quests!$A:$A),MATCH(E$1,[1]quests!$1:$1,0)-MATCH($B$1,[1]quests!$1:$1,0)+1),MATCH(E$1,[1]quests!$1:$1,0)-MATCH($B$1,[1]quests!$1:$1,0)+1,FALSE)</f>
        <v>噛み合ない二柱</v>
      </c>
      <c r="F86" s="5" t="str">
        <f ca="1">VLOOKUP($D86,OFFSET([1]stages!$A$1,0,0,COUNTA([1]stages!$A:$A),MATCH(F$1,[1]stages!$2:$2,0)-MATCH($D$1,[1]stages!$2:$2,0)+1),MATCH(F$1,[1]stages!$2:$2,0)-MATCH($D$1,[1]stages!$2:$2,0)+1,FALSE)</f>
        <v>噛み合わない二柱</v>
      </c>
      <c r="G86" s="35">
        <v>1</v>
      </c>
      <c r="H86" s="20" t="str">
        <f t="shared" si="61"/>
        <v>10050_1-1</v>
      </c>
      <c r="I86" s="36">
        <v>21</v>
      </c>
      <c r="J86" s="26" t="str">
        <f ca="1">VLOOKUP($I86,OFFSET([2]enemies!$A$1,0,0,COUNTA([2]enemies!$A:$A),MATCH(J$1,[2]enemies!$2:$2,0)-MATCH($I$1,[2]enemies!$2:$2,0)+1),MATCH(J$1,[2]enemies!$2:$2,0)-MATCH($I$1,[2]enemies!$2:$2,0)+1,FALSE)</f>
        <v>ヴェロキー</v>
      </c>
      <c r="K86" s="29" t="str">
        <f ca="1">VLOOKUP($I86,OFFSET([2]enemies!$A$1,0,0,COUNTA([2]enemies!$A:$A),MATCH(K$1,[2]enemies!$2:$2,0)-MATCH($I$1,[2]enemies!$2:$2,0)+1),MATCH(K$1,[2]enemies!$2:$2,0)-MATCH($I$1,[2]enemies!$2:$2,0)+1,FALSE)</f>
        <v>red</v>
      </c>
      <c r="L86" s="29" t="str">
        <f ca="1">VLOOKUP($I86,OFFSET([3]characters!$A$1,0,0,COUNTA([3]characters!$A:$A),MATCH(L$1,[3]characters!$2:$2,0)-MATCH($I$1,[3]characters!$2:$2,0)+1),MATCH(L$1,[3]characters!$2:$2,0)-MATCH($I$1,[3]characters!$2:$2,0)+1,FALSE)</f>
        <v>Drop1N</v>
      </c>
      <c r="M86" s="28" t="str">
        <f ca="1">VLOOKUP($I86,OFFSET([3]characters!$A$1,0,0,COUNTA([3]characters!$A:$A),MATCH(M$1,[3]characters!$2:$2,0)-MATCH($I$1,[3]characters!$2:$2,0)+2),MATCH(M$1,[3]characters!$2:$2,0)-MATCH($I$1,[3]characters!$2:$2,0)+2,FALSE)</f>
        <v>ドラゴン</v>
      </c>
      <c r="N86" s="5">
        <f ca="1">VLOOKUP($I86,OFFSET([2]enemies!$A$1,0,0,COUNTA([2]enemies!$A:$A),MATCH(N$1,[2]enemies!$2:$2,0)-MATCH($I$1,[2]enemies!$2:$2,0)+1),MATCH(N$1,[2]enemies!$2:$2,0)-MATCH($I$1,[2]enemies!$2:$2,0)+1,FALSE)</f>
        <v>15</v>
      </c>
      <c r="O86" s="6">
        <v>56</v>
      </c>
      <c r="P86" s="41">
        <v>1</v>
      </c>
      <c r="Q86" s="41">
        <v>1</v>
      </c>
      <c r="R86" s="6">
        <v>0</v>
      </c>
      <c r="S86" s="5" t="str">
        <f ca="1">VLOOKUP($T86,OFFSET([4]enemy_skill_sets!$B$1,0,0,COUNTA([4]enemy_skill_sets!$B:$B),MATCH(J$1,[4]enemy_skill_sets!$1:$1,0)-MATCH($T$1,[4]enemy_skill_sets!$1:$1,0)+2),MATCH(J$1,[4]enemy_skill_sets!$1:$1,0)-MATCH($T$1,[4]enemy_skill_sets!$1:$1,0)+2,FALSE)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6" s="5">
        <f ca="1">VLOOKUP($I86,OFFSET([2]enemies!$A$1,0,0,COUNTA([2]enemies!$A:$A),MATCH(T$1,[2]enemies!$2:$2,0)-MATCH($I$1,[2]enemies!$2:$2,0)+1),MATCH(T$1,[2]enemies!$2:$2,0)-MATCH($I$1,[2]enemies!$2:$2,0)+1,FALSE)</f>
        <v>0</v>
      </c>
      <c r="U86" s="7">
        <v>0</v>
      </c>
      <c r="V86" s="7">
        <v>100</v>
      </c>
      <c r="W86" s="7">
        <v>0</v>
      </c>
      <c r="X86" s="26">
        <f ca="1">VLOOKUP($I86,OFFSET([2]enemies!$A$1,0,0,COUNTA([2]enemies!$A:$A),MATCH(X$1,[2]enemies!$2:$2,0)-MATCH($I$1,[2]enemies!$2:$2,0)+1),MATCH(X$1,[2]enemies!$2:$2,0)-MATCH($I$1,[2]enemies!$2:$2,0)+1,FALSE)</f>
        <v>2</v>
      </c>
      <c r="Y86" s="36">
        <v>21</v>
      </c>
      <c r="Z86" s="5" t="str">
        <f ca="1">IFERROR(VLOOKUP($Y86,OFFSET([3]characters!$A$1,0,0,COUNTA([3]characters!$A:$A),MATCH(Z$1,[3]characters!$2:$2,0)-MATCH("character_id",[3]characters!$2:$2,0)+1),MATCH(Z$1,[3]characters!$2:$2,0)-MATCH("character_id",[3]characters!$2:$2,0)+1,FALSE),"")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86" s="5">
        <f ca="1">IFERROR(VLOOKUP($Y86,OFFSET([3]characters!$A$1,0,0,COUNTA([3]characters!$A:$A),MATCH(AA$1,[3]characters!$2:$2,0)-MATCH("character_id",[3]characters!$2:$2,0)+1),MATCH(AA$1,[3]characters!$2:$2,0)-MATCH("character_id",[3]characters!$2:$2,0)+1,FALSE),"")</f>
        <v>1</v>
      </c>
      <c r="AB86" s="5" t="str">
        <f ca="1">IFERROR(VLOOKUP($Y86,OFFSET([3]characters!$A$1,0,0,COUNTA([3]characters!$A:$A),MATCH(AB$1,[3]characters!$2:$2,0)-MATCH("character_id",[3]characters!$2:$2,0)+1),MATCH(AB$1,[3]characters!$2:$2,0)-MATCH("character_id",[3]characters!$2:$2,0)+1,FALSE),"")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6" s="34">
        <v>1</v>
      </c>
      <c r="AD86" s="34">
        <f t="shared" ca="1" si="62"/>
        <v>1</v>
      </c>
      <c r="AE86" s="9">
        <v>25</v>
      </c>
      <c r="AF86" s="34">
        <v>0</v>
      </c>
      <c r="AG86" s="34">
        <v>0</v>
      </c>
      <c r="AH86" s="34">
        <v>0</v>
      </c>
      <c r="AI86" s="34">
        <v>0</v>
      </c>
      <c r="AJ86" s="34">
        <v>1</v>
      </c>
    </row>
    <row r="87" spans="1:36" ht="21" customHeight="1">
      <c r="A87" s="21" t="str">
        <f t="shared" si="37"/>
        <v>10050_1-1/11&lt;lv56&gt;</v>
      </c>
      <c r="B87" s="31">
        <v>10050</v>
      </c>
      <c r="C87" s="35">
        <v>1</v>
      </c>
      <c r="D87" s="20" t="str">
        <f t="shared" si="60"/>
        <v>10050_1</v>
      </c>
      <c r="E87" s="5" t="str">
        <f ca="1">VLOOKUP($B87,OFFSET([1]quests!$A$1,0,0,COUNTA([1]quests!$A:$A),MATCH(E$1,[1]quests!$1:$1,0)-MATCH($B$1,[1]quests!$1:$1,0)+1),MATCH(E$1,[1]quests!$1:$1,0)-MATCH($B$1,[1]quests!$1:$1,0)+1,FALSE)</f>
        <v>噛み合ない二柱</v>
      </c>
      <c r="F87" s="5" t="str">
        <f ca="1">VLOOKUP($D87,OFFSET([1]stages!$A$1,0,0,COUNTA([1]stages!$A:$A),MATCH(F$1,[1]stages!$2:$2,0)-MATCH($D$1,[1]stages!$2:$2,0)+1),MATCH(F$1,[1]stages!$2:$2,0)-MATCH($D$1,[1]stages!$2:$2,0)+1,FALSE)</f>
        <v>噛み合わない二柱</v>
      </c>
      <c r="G87" s="35">
        <v>1</v>
      </c>
      <c r="H87" s="20" t="str">
        <f t="shared" si="61"/>
        <v>10050_1-1</v>
      </c>
      <c r="I87" s="36">
        <v>11</v>
      </c>
      <c r="J87" s="26" t="str">
        <f ca="1">VLOOKUP($I87,OFFSET([2]enemies!$A$1,0,0,COUNTA([2]enemies!$A:$A),MATCH(J$1,[2]enemies!$2:$2,0)-MATCH($I$1,[2]enemies!$2:$2,0)+1),MATCH(J$1,[2]enemies!$2:$2,0)-MATCH($I$1,[2]enemies!$2:$2,0)+1,FALSE)</f>
        <v>マグリット</v>
      </c>
      <c r="K87" s="29" t="str">
        <f ca="1">VLOOKUP($I87,OFFSET([2]enemies!$A$1,0,0,COUNTA([2]enemies!$A:$A),MATCH(K$1,[2]enemies!$2:$2,0)-MATCH($I$1,[2]enemies!$2:$2,0)+1),MATCH(K$1,[2]enemies!$2:$2,0)-MATCH($I$1,[2]enemies!$2:$2,0)+1,FALSE)</f>
        <v>green</v>
      </c>
      <c r="L87" s="29" t="str">
        <f ca="1">VLOOKUP($I87,OFFSET([3]characters!$A$1,0,0,COUNTA([3]characters!$A:$A),MATCH(L$1,[3]characters!$2:$2,0)-MATCH($I$1,[3]characters!$2:$2,0)+1),MATCH(L$1,[3]characters!$2:$2,0)-MATCH($I$1,[3]characters!$2:$2,0)+1,FALSE)</f>
        <v>Drop1W</v>
      </c>
      <c r="M87" s="28" t="str">
        <f ca="1">VLOOKUP($I87,OFFSET([3]characters!$A$1,0,0,COUNTA([3]characters!$A:$A),MATCH(M$1,[3]characters!$2:$2,0)-MATCH($I$1,[3]characters!$2:$2,0)+2),MATCH(M$1,[3]characters!$2:$2,0)-MATCH($I$1,[3]characters!$2:$2,0)+2,FALSE)</f>
        <v>アニマル</v>
      </c>
      <c r="N87" s="5">
        <f ca="1">VLOOKUP($I87,OFFSET([2]enemies!$A$1,0,0,COUNTA([2]enemies!$A:$A),MATCH(N$1,[2]enemies!$2:$2,0)-MATCH($I$1,[2]enemies!$2:$2,0)+1),MATCH(N$1,[2]enemies!$2:$2,0)-MATCH($I$1,[2]enemies!$2:$2,0)+1,FALSE)</f>
        <v>15</v>
      </c>
      <c r="O87" s="6">
        <v>56</v>
      </c>
      <c r="P87" s="41">
        <v>1</v>
      </c>
      <c r="Q87" s="41">
        <v>1</v>
      </c>
      <c r="R87" s="6">
        <v>0</v>
      </c>
      <c r="S87" s="5" t="str">
        <f ca="1">VLOOKUP($T87,OFFSET([4]enemy_skill_sets!$B$1,0,0,COUNTA([4]enemy_skill_sets!$B:$B),MATCH(J$1,[4]enemy_skill_sets!$1:$1,0)-MATCH($T$1,[4]enemy_skill_sets!$1:$1,0)+2),MATCH(J$1,[4]enemy_skill_sets!$1:$1,0)-MATCH($T$1,[4]enemy_skill_sets!$1:$1,0)+2,FALSE)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7" s="5">
        <f ca="1">VLOOKUP($I87,OFFSET([2]enemies!$A$1,0,0,COUNTA([2]enemies!$A:$A),MATCH(T$1,[2]enemies!$2:$2,0)-MATCH($I$1,[2]enemies!$2:$2,0)+1),MATCH(T$1,[2]enemies!$2:$2,0)-MATCH($I$1,[2]enemies!$2:$2,0)+1,FALSE)</f>
        <v>0</v>
      </c>
      <c r="U87" s="7">
        <v>0</v>
      </c>
      <c r="V87" s="7">
        <v>100</v>
      </c>
      <c r="W87" s="7">
        <v>0</v>
      </c>
      <c r="X87" s="26">
        <f ca="1">VLOOKUP($I87,OFFSET([2]enemies!$A$1,0,0,COUNTA([2]enemies!$A:$A),MATCH(X$1,[2]enemies!$2:$2,0)-MATCH($I$1,[2]enemies!$2:$2,0)+1),MATCH(X$1,[2]enemies!$2:$2,0)-MATCH($I$1,[2]enemies!$2:$2,0)+1,FALSE)</f>
        <v>3</v>
      </c>
      <c r="Y87" s="36">
        <v>11</v>
      </c>
      <c r="Z87" s="5" t="str">
        <f ca="1">IFERROR(VLOOKUP($Y87,OFFSET([3]characters!$A$1,0,0,COUNTA([3]characters!$A:$A),MATCH(Z$1,[3]characters!$2:$2,0)-MATCH("character_id",[3]characters!$2:$2,0)+1),MATCH(Z$1,[3]characters!$2:$2,0)-MATCH("character_id",[3]characters!$2:$2,0)+1,FALSE),"")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87" s="5">
        <f ca="1">IFERROR(VLOOKUP($Y87,OFFSET([3]characters!$A$1,0,0,COUNTA([3]characters!$A:$A),MATCH(AA$1,[3]characters!$2:$2,0)-MATCH("character_id",[3]characters!$2:$2,0)+1),MATCH(AA$1,[3]characters!$2:$2,0)-MATCH("character_id",[3]characters!$2:$2,0)+1,FALSE),"")</f>
        <v>1</v>
      </c>
      <c r="AB87" s="5" t="str">
        <f ca="1">IFERROR(VLOOKUP($Y87,OFFSET([3]characters!$A$1,0,0,COUNTA([3]characters!$A:$A),MATCH(AB$1,[3]characters!$2:$2,0)-MATCH("character_id",[3]characters!$2:$2,0)+1),MATCH(AB$1,[3]characters!$2:$2,0)-MATCH("character_id",[3]characters!$2:$2,0)+1,FALSE),"")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87" s="34">
        <v>1</v>
      </c>
      <c r="AD87" s="34">
        <f t="shared" ca="1" si="62"/>
        <v>1</v>
      </c>
      <c r="AE87" s="9">
        <v>25</v>
      </c>
      <c r="AF87" s="34">
        <v>0</v>
      </c>
      <c r="AG87" s="34">
        <v>0</v>
      </c>
      <c r="AH87" s="34">
        <v>0</v>
      </c>
      <c r="AI87" s="34">
        <v>0</v>
      </c>
      <c r="AJ87" s="34">
        <v>1</v>
      </c>
    </row>
    <row r="88" spans="1:36" ht="21" customHeight="1">
      <c r="A88" s="21" t="str">
        <f t="shared" si="37"/>
        <v>10050_1-2/9&lt;lv56&gt;</v>
      </c>
      <c r="B88" s="31">
        <v>10050</v>
      </c>
      <c r="C88" s="35">
        <v>1</v>
      </c>
      <c r="D88" s="20" t="str">
        <f t="shared" si="60"/>
        <v>10050_1</v>
      </c>
      <c r="E88" s="5" t="str">
        <f ca="1">VLOOKUP($B88,OFFSET([1]quests!$A$1,0,0,COUNTA([1]quests!$A:$A),MATCH(E$1,[1]quests!$1:$1,0)-MATCH($B$1,[1]quests!$1:$1,0)+1),MATCH(E$1,[1]quests!$1:$1,0)-MATCH($B$1,[1]quests!$1:$1,0)+1,FALSE)</f>
        <v>噛み合ない二柱</v>
      </c>
      <c r="F88" s="5" t="str">
        <f ca="1">VLOOKUP($D88,OFFSET([1]stages!$A$1,0,0,COUNTA([1]stages!$A:$A),MATCH(F$1,[1]stages!$2:$2,0)-MATCH($D$1,[1]stages!$2:$2,0)+1),MATCH(F$1,[1]stages!$2:$2,0)-MATCH($D$1,[1]stages!$2:$2,0)+1,FALSE)</f>
        <v>噛み合わない二柱</v>
      </c>
      <c r="G88" s="35">
        <v>2</v>
      </c>
      <c r="H88" s="20" t="str">
        <f t="shared" si="61"/>
        <v>10050_1-2</v>
      </c>
      <c r="I88" s="36">
        <v>9</v>
      </c>
      <c r="J88" s="26" t="str">
        <f ca="1">VLOOKUP($I88,OFFSET([2]enemies!$A$1,0,0,COUNTA([2]enemies!$A:$A),MATCH(J$1,[2]enemies!$2:$2,0)-MATCH($I$1,[2]enemies!$2:$2,0)+1),MATCH(J$1,[2]enemies!$2:$2,0)-MATCH($I$1,[2]enemies!$2:$2,0)+1,FALSE)</f>
        <v>ブレット</v>
      </c>
      <c r="K88" s="29" t="str">
        <f ca="1">VLOOKUP($I88,OFFSET([2]enemies!$A$1,0,0,COUNTA([2]enemies!$A:$A),MATCH(K$1,[2]enemies!$2:$2,0)-MATCH($I$1,[2]enemies!$2:$2,0)+1),MATCH(K$1,[2]enemies!$2:$2,0)-MATCH($I$1,[2]enemies!$2:$2,0)+1,FALSE)</f>
        <v>red</v>
      </c>
      <c r="L88" s="29" t="str">
        <f ca="1">VLOOKUP($I88,OFFSET([3]characters!$A$1,0,0,COUNTA([3]characters!$A:$A),MATCH(L$1,[3]characters!$2:$2,0)-MATCH($I$1,[3]characters!$2:$2,0)+1),MATCH(L$1,[3]characters!$2:$2,0)-MATCH($I$1,[3]characters!$2:$2,0)+1,FALSE)</f>
        <v>Drop1W</v>
      </c>
      <c r="M88" s="28" t="str">
        <f ca="1">VLOOKUP($I88,OFFSET([3]characters!$A$1,0,0,COUNTA([3]characters!$A:$A),MATCH(M$1,[3]characters!$2:$2,0)-MATCH($I$1,[3]characters!$2:$2,0)+2),MATCH(M$1,[3]characters!$2:$2,0)-MATCH($I$1,[3]characters!$2:$2,0)+2,FALSE)</f>
        <v>アニマル</v>
      </c>
      <c r="N88" s="5">
        <f ca="1">VLOOKUP($I88,OFFSET([2]enemies!$A$1,0,0,COUNTA([2]enemies!$A:$A),MATCH(N$1,[2]enemies!$2:$2,0)-MATCH($I$1,[2]enemies!$2:$2,0)+1),MATCH(N$1,[2]enemies!$2:$2,0)-MATCH($I$1,[2]enemies!$2:$2,0)+1,FALSE)</f>
        <v>15</v>
      </c>
      <c r="O88" s="6">
        <v>56</v>
      </c>
      <c r="P88" s="41">
        <v>1</v>
      </c>
      <c r="Q88" s="41">
        <v>1</v>
      </c>
      <c r="R88" s="6">
        <v>0</v>
      </c>
      <c r="S88" s="5" t="str">
        <f ca="1">VLOOKUP($T88,OFFSET([4]enemy_skill_sets!$B$1,0,0,COUNTA([4]enemy_skill_sets!$B:$B),MATCH(J$1,[4]enemy_skill_sets!$1:$1,0)-MATCH($T$1,[4]enemy_skill_sets!$1:$1,0)+2),MATCH(J$1,[4]enemy_skill_sets!$1:$1,0)-MATCH($T$1,[4]enemy_skill_sets!$1:$1,0)+2,FALSE)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8" s="5">
        <f ca="1">VLOOKUP($I88,OFFSET([2]enemies!$A$1,0,0,COUNTA([2]enemies!$A:$A),MATCH(T$1,[2]enemies!$2:$2,0)-MATCH($I$1,[2]enemies!$2:$2,0)+1),MATCH(T$1,[2]enemies!$2:$2,0)-MATCH($I$1,[2]enemies!$2:$2,0)+1,FALSE)</f>
        <v>0</v>
      </c>
      <c r="U88" s="7">
        <v>0</v>
      </c>
      <c r="V88" s="7">
        <v>100</v>
      </c>
      <c r="W88" s="7">
        <v>0</v>
      </c>
      <c r="X88" s="26">
        <f ca="1">VLOOKUP($I88,OFFSET([2]enemies!$A$1,0,0,COUNTA([2]enemies!$A:$A),MATCH(X$1,[2]enemies!$2:$2,0)-MATCH($I$1,[2]enemies!$2:$2,0)+1),MATCH(X$1,[2]enemies!$2:$2,0)-MATCH($I$1,[2]enemies!$2:$2,0)+1,FALSE)</f>
        <v>2</v>
      </c>
      <c r="Y88" s="36">
        <v>9</v>
      </c>
      <c r="Z88" s="5" t="str">
        <f ca="1">IFERROR(VLOOKUP($Y88,OFFSET([3]characters!$A$1,0,0,COUNTA([3]characters!$A:$A),MATCH(Z$1,[3]characters!$2:$2,0)-MATCH("character_id",[3]characters!$2:$2,0)+1),MATCH(Z$1,[3]characters!$2:$2,0)-MATCH("character_id",[3]characters!$2:$2,0)+1,FALSE),"")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88" s="5">
        <f ca="1">IFERROR(VLOOKUP($Y88,OFFSET([3]characters!$A$1,0,0,COUNTA([3]characters!$A:$A),MATCH(AA$1,[3]characters!$2:$2,0)-MATCH("character_id",[3]characters!$2:$2,0)+1),MATCH(AA$1,[3]characters!$2:$2,0)-MATCH("character_id",[3]characters!$2:$2,0)+1,FALSE),"")</f>
        <v>1</v>
      </c>
      <c r="AB88" s="5" t="str">
        <f ca="1">IFERROR(VLOOKUP($Y88,OFFSET([3]characters!$A$1,0,0,COUNTA([3]characters!$A:$A),MATCH(AB$1,[3]characters!$2:$2,0)-MATCH("character_id",[3]characters!$2:$2,0)+1),MATCH(AB$1,[3]characters!$2:$2,0)-MATCH("character_id",[3]characters!$2:$2,0)+1,FALSE),"")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88" s="34">
        <v>1</v>
      </c>
      <c r="AD88" s="34">
        <f t="shared" ca="1" si="62"/>
        <v>1</v>
      </c>
      <c r="AE88" s="9">
        <v>25</v>
      </c>
      <c r="AF88" s="34">
        <v>0</v>
      </c>
      <c r="AG88" s="34">
        <v>0</v>
      </c>
      <c r="AH88" s="34">
        <v>0</v>
      </c>
      <c r="AI88" s="34">
        <v>0</v>
      </c>
      <c r="AJ88" s="34">
        <v>1</v>
      </c>
    </row>
    <row r="89" spans="1:36" ht="21" customHeight="1">
      <c r="A89" s="21" t="str">
        <f t="shared" si="37"/>
        <v>10050_1-2/23&lt;lv56&gt;</v>
      </c>
      <c r="B89" s="31">
        <v>10050</v>
      </c>
      <c r="C89" s="35">
        <v>1</v>
      </c>
      <c r="D89" s="20" t="str">
        <f t="shared" si="60"/>
        <v>10050_1</v>
      </c>
      <c r="E89" s="5" t="str">
        <f ca="1">VLOOKUP($B89,OFFSET([1]quests!$A$1,0,0,COUNTA([1]quests!$A:$A),MATCH(E$1,[1]quests!$1:$1,0)-MATCH($B$1,[1]quests!$1:$1,0)+1),MATCH(E$1,[1]quests!$1:$1,0)-MATCH($B$1,[1]quests!$1:$1,0)+1,FALSE)</f>
        <v>噛み合ない二柱</v>
      </c>
      <c r="F89" s="5" t="str">
        <f ca="1">VLOOKUP($D89,OFFSET([1]stages!$A$1,0,0,COUNTA([1]stages!$A:$A),MATCH(F$1,[1]stages!$2:$2,0)-MATCH($D$1,[1]stages!$2:$2,0)+1),MATCH(F$1,[1]stages!$2:$2,0)-MATCH($D$1,[1]stages!$2:$2,0)+1,FALSE)</f>
        <v>噛み合わない二柱</v>
      </c>
      <c r="G89" s="35">
        <v>2</v>
      </c>
      <c r="H89" s="20" t="str">
        <f t="shared" si="61"/>
        <v>10050_1-2</v>
      </c>
      <c r="I89" s="36">
        <v>23</v>
      </c>
      <c r="J89" s="26" t="str">
        <f ca="1">VLOOKUP($I89,OFFSET([2]enemies!$A$1,0,0,COUNTA([2]enemies!$A:$A),MATCH(J$1,[2]enemies!$2:$2,0)-MATCH($I$1,[2]enemies!$2:$2,0)+1),MATCH(J$1,[2]enemies!$2:$2,0)-MATCH($I$1,[2]enemies!$2:$2,0)+1,FALSE)</f>
        <v>ミール</v>
      </c>
      <c r="K89" s="29" t="str">
        <f ca="1">VLOOKUP($I89,OFFSET([2]enemies!$A$1,0,0,COUNTA([2]enemies!$A:$A),MATCH(K$1,[2]enemies!$2:$2,0)-MATCH($I$1,[2]enemies!$2:$2,0)+1),MATCH(K$1,[2]enemies!$2:$2,0)-MATCH($I$1,[2]enemies!$2:$2,0)+1,FALSE)</f>
        <v>green</v>
      </c>
      <c r="L89" s="29" t="str">
        <f ca="1">VLOOKUP($I89,OFFSET([3]characters!$A$1,0,0,COUNTA([3]characters!$A:$A),MATCH(L$1,[3]characters!$2:$2,0)-MATCH($I$1,[3]characters!$2:$2,0)+1),MATCH(L$1,[3]characters!$2:$2,0)-MATCH($I$1,[3]characters!$2:$2,0)+1,FALSE)</f>
        <v>Drop1N</v>
      </c>
      <c r="M89" s="28" t="str">
        <f ca="1">VLOOKUP($I89,OFFSET([3]characters!$A$1,0,0,COUNTA([3]characters!$A:$A),MATCH(M$1,[3]characters!$2:$2,0)-MATCH($I$1,[3]characters!$2:$2,0)+2),MATCH(M$1,[3]characters!$2:$2,0)-MATCH($I$1,[3]characters!$2:$2,0)+2,FALSE)</f>
        <v>アニマル</v>
      </c>
      <c r="N89" s="5">
        <f ca="1">VLOOKUP($I89,OFFSET([2]enemies!$A$1,0,0,COUNTA([2]enemies!$A:$A),MATCH(N$1,[2]enemies!$2:$2,0)-MATCH($I$1,[2]enemies!$2:$2,0)+1),MATCH(N$1,[2]enemies!$2:$2,0)-MATCH($I$1,[2]enemies!$2:$2,0)+1,FALSE)</f>
        <v>15</v>
      </c>
      <c r="O89" s="6">
        <v>56</v>
      </c>
      <c r="P89" s="41">
        <v>1</v>
      </c>
      <c r="Q89" s="41">
        <v>1</v>
      </c>
      <c r="R89" s="6">
        <v>0</v>
      </c>
      <c r="S89" s="5" t="str">
        <f ca="1">VLOOKUP($T89,OFFSET([4]enemy_skill_sets!$B$1,0,0,COUNTA([4]enemy_skill_sets!$B:$B),MATCH(J$1,[4]enemy_skill_sets!$1:$1,0)-MATCH($T$1,[4]enemy_skill_sets!$1:$1,0)+2),MATCH(J$1,[4]enemy_skill_sets!$1:$1,0)-MATCH($T$1,[4]enemy_skill_sets!$1:$1,0)+2,FALSE)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9" s="5">
        <f ca="1">VLOOKUP($I89,OFFSET([2]enemies!$A$1,0,0,COUNTA([2]enemies!$A:$A),MATCH(T$1,[2]enemies!$2:$2,0)-MATCH($I$1,[2]enemies!$2:$2,0)+1),MATCH(T$1,[2]enemies!$2:$2,0)-MATCH($I$1,[2]enemies!$2:$2,0)+1,FALSE)</f>
        <v>0</v>
      </c>
      <c r="U89" s="7">
        <v>0</v>
      </c>
      <c r="V89" s="7">
        <v>100</v>
      </c>
      <c r="W89" s="7">
        <v>0</v>
      </c>
      <c r="X89" s="26">
        <f ca="1">VLOOKUP($I89,OFFSET([2]enemies!$A$1,0,0,COUNTA([2]enemies!$A:$A),MATCH(X$1,[2]enemies!$2:$2,0)-MATCH($I$1,[2]enemies!$2:$2,0)+1),MATCH(X$1,[2]enemies!$2:$2,0)-MATCH($I$1,[2]enemies!$2:$2,0)+1,FALSE)</f>
        <v>4</v>
      </c>
      <c r="Y89" s="36">
        <v>23</v>
      </c>
      <c r="Z89" s="5" t="str">
        <f ca="1">IFERROR(VLOOKUP($Y89,OFFSET([3]characters!$A$1,0,0,COUNTA([3]characters!$A:$A),MATCH(Z$1,[3]characters!$2:$2,0)-MATCH("character_id",[3]characters!$2:$2,0)+1),MATCH(Z$1,[3]characters!$2:$2,0)-MATCH("character_id",[3]characters!$2:$2,0)+1,FALSE),"")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89" s="5">
        <f ca="1">IFERROR(VLOOKUP($Y89,OFFSET([3]characters!$A$1,0,0,COUNTA([3]characters!$A:$A),MATCH(AA$1,[3]characters!$2:$2,0)-MATCH("character_id",[3]characters!$2:$2,0)+1),MATCH(AA$1,[3]characters!$2:$2,0)-MATCH("character_id",[3]characters!$2:$2,0)+1,FALSE),"")</f>
        <v>1</v>
      </c>
      <c r="AB89" s="5" t="str">
        <f ca="1">IFERROR(VLOOKUP($Y89,OFFSET([3]characters!$A$1,0,0,COUNTA([3]characters!$A:$A),MATCH(AB$1,[3]characters!$2:$2,0)-MATCH("character_id",[3]characters!$2:$2,0)+1),MATCH(AB$1,[3]characters!$2:$2,0)-MATCH("character_id",[3]characters!$2:$2,0)+1,FALSE),"")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9" s="34">
        <v>1</v>
      </c>
      <c r="AD89" s="34">
        <f t="shared" ca="1" si="62"/>
        <v>1</v>
      </c>
      <c r="AE89" s="9">
        <v>25</v>
      </c>
      <c r="AF89" s="34">
        <v>0</v>
      </c>
      <c r="AG89" s="34">
        <v>0</v>
      </c>
      <c r="AH89" s="34">
        <v>0</v>
      </c>
      <c r="AI89" s="34">
        <v>0</v>
      </c>
      <c r="AJ89" s="34">
        <v>1</v>
      </c>
    </row>
    <row r="90" spans="1:36" ht="21" customHeight="1">
      <c r="A90" s="21" t="str">
        <f t="shared" si="37"/>
        <v>10050_1-2/27&lt;lv56&gt;</v>
      </c>
      <c r="B90" s="31">
        <v>10050</v>
      </c>
      <c r="C90" s="35">
        <v>1</v>
      </c>
      <c r="D90" s="20" t="str">
        <f t="shared" si="60"/>
        <v>10050_1</v>
      </c>
      <c r="E90" s="5" t="str">
        <f ca="1">VLOOKUP($B90,OFFSET([1]quests!$A$1,0,0,COUNTA([1]quests!$A:$A),MATCH(E$1,[1]quests!$1:$1,0)-MATCH($B$1,[1]quests!$1:$1,0)+1),MATCH(E$1,[1]quests!$1:$1,0)-MATCH($B$1,[1]quests!$1:$1,0)+1,FALSE)</f>
        <v>噛み合ない二柱</v>
      </c>
      <c r="F90" s="5" t="str">
        <f ca="1">VLOOKUP($D90,OFFSET([1]stages!$A$1,0,0,COUNTA([1]stages!$A:$A),MATCH(F$1,[1]stages!$2:$2,0)-MATCH($D$1,[1]stages!$2:$2,0)+1),MATCH(F$1,[1]stages!$2:$2,0)-MATCH($D$1,[1]stages!$2:$2,0)+1,FALSE)</f>
        <v>噛み合わない二柱</v>
      </c>
      <c r="G90" s="35">
        <v>2</v>
      </c>
      <c r="H90" s="20" t="str">
        <f t="shared" si="61"/>
        <v>10050_1-2</v>
      </c>
      <c r="I90" s="36">
        <v>27</v>
      </c>
      <c r="J90" s="26" t="str">
        <f ca="1">VLOOKUP($I90,OFFSET([2]enemies!$A$1,0,0,COUNTA([2]enemies!$A:$A),MATCH(J$1,[2]enemies!$2:$2,0)-MATCH($I$1,[2]enemies!$2:$2,0)+1),MATCH(J$1,[2]enemies!$2:$2,0)-MATCH($I$1,[2]enemies!$2:$2,0)+1,FALSE)</f>
        <v>パトライン</v>
      </c>
      <c r="K90" s="29" t="str">
        <f ca="1">VLOOKUP($I90,OFFSET([2]enemies!$A$1,0,0,COUNTA([2]enemies!$A:$A),MATCH(K$1,[2]enemies!$2:$2,0)-MATCH($I$1,[2]enemies!$2:$2,0)+1),MATCH(K$1,[2]enemies!$2:$2,0)-MATCH($I$1,[2]enemies!$2:$2,0)+1,FALSE)</f>
        <v>green</v>
      </c>
      <c r="L90" s="29" t="str">
        <f ca="1">VLOOKUP($I90,OFFSET([3]characters!$A$1,0,0,COUNTA([3]characters!$A:$A),MATCH(L$1,[3]characters!$2:$2,0)-MATCH($I$1,[3]characters!$2:$2,0)+1),MATCH(L$1,[3]characters!$2:$2,0)-MATCH($I$1,[3]characters!$2:$2,0)+1,FALSE)</f>
        <v>Drop1N</v>
      </c>
      <c r="M90" s="28" t="str">
        <f ca="1">VLOOKUP($I90,OFFSET([3]characters!$A$1,0,0,COUNTA([3]characters!$A:$A),MATCH(M$1,[3]characters!$2:$2,0)-MATCH($I$1,[3]characters!$2:$2,0)+2),MATCH(M$1,[3]characters!$2:$2,0)-MATCH($I$1,[3]characters!$2:$2,0)+2,FALSE)</f>
        <v>マシン</v>
      </c>
      <c r="N90" s="5">
        <f ca="1">VLOOKUP($I90,OFFSET([2]enemies!$A$1,0,0,COUNTA([2]enemies!$A:$A),MATCH(N$1,[2]enemies!$2:$2,0)-MATCH($I$1,[2]enemies!$2:$2,0)+1),MATCH(N$1,[2]enemies!$2:$2,0)-MATCH($I$1,[2]enemies!$2:$2,0)+1,FALSE)</f>
        <v>15</v>
      </c>
      <c r="O90" s="6">
        <v>56</v>
      </c>
      <c r="P90" s="41">
        <v>1</v>
      </c>
      <c r="Q90" s="41">
        <v>1</v>
      </c>
      <c r="R90" s="6">
        <v>0</v>
      </c>
      <c r="S90" s="5" t="str">
        <f ca="1">VLOOKUP($T90,OFFSET([4]enemy_skill_sets!$B$1,0,0,COUNTA([4]enemy_skill_sets!$B:$B),MATCH(J$1,[4]enemy_skill_sets!$1:$1,0)-MATCH($T$1,[4]enemy_skill_sets!$1:$1,0)+2),MATCH(J$1,[4]enemy_skill_sets!$1:$1,0)-MATCH($T$1,[4]enemy_skill_sets!$1:$1,0)+2,FALSE)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0" s="5">
        <f ca="1">VLOOKUP($I90,OFFSET([2]enemies!$A$1,0,0,COUNTA([2]enemies!$A:$A),MATCH(T$1,[2]enemies!$2:$2,0)-MATCH($I$1,[2]enemies!$2:$2,0)+1),MATCH(T$1,[2]enemies!$2:$2,0)-MATCH($I$1,[2]enemies!$2:$2,0)+1,FALSE)</f>
        <v>0</v>
      </c>
      <c r="U90" s="7">
        <v>0</v>
      </c>
      <c r="V90" s="7">
        <v>100</v>
      </c>
      <c r="W90" s="7">
        <v>0</v>
      </c>
      <c r="X90" s="26">
        <f ca="1">VLOOKUP($I90,OFFSET([2]enemies!$A$1,0,0,COUNTA([2]enemies!$A:$A),MATCH(X$1,[2]enemies!$2:$2,0)-MATCH($I$1,[2]enemies!$2:$2,0)+1),MATCH(X$1,[2]enemies!$2:$2,0)-MATCH($I$1,[2]enemies!$2:$2,0)+1,FALSE)</f>
        <v>1</v>
      </c>
      <c r="Y90" s="36">
        <v>27</v>
      </c>
      <c r="Z90" s="5" t="str">
        <f ca="1">IFERROR(VLOOKUP($Y90,OFFSET([3]characters!$A$1,0,0,COUNTA([3]characters!$A:$A),MATCH(Z$1,[3]characters!$2:$2,0)-MATCH("character_id",[3]characters!$2:$2,0)+1),MATCH(Z$1,[3]characters!$2:$2,0)-MATCH("character_id",[3]characters!$2:$2,0)+1,FALSE),"")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90" s="5">
        <f ca="1">IFERROR(VLOOKUP($Y90,OFFSET([3]characters!$A$1,0,0,COUNTA([3]characters!$A:$A),MATCH(AA$1,[3]characters!$2:$2,0)-MATCH("character_id",[3]characters!$2:$2,0)+1),MATCH(AA$1,[3]characters!$2:$2,0)-MATCH("character_id",[3]characters!$2:$2,0)+1,FALSE),"")</f>
        <v>1</v>
      </c>
      <c r="AB90" s="5" t="str">
        <f ca="1">IFERROR(VLOOKUP($Y90,OFFSET([3]characters!$A$1,0,0,COUNTA([3]characters!$A:$A),MATCH(AB$1,[3]characters!$2:$2,0)-MATCH("character_id",[3]characters!$2:$2,0)+1),MATCH(AB$1,[3]characters!$2:$2,0)-MATCH("character_id",[3]characters!$2:$2,0)+1,FALSE),"")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0" s="34">
        <v>1</v>
      </c>
      <c r="AD90" s="34">
        <f t="shared" ca="1" si="62"/>
        <v>1</v>
      </c>
      <c r="AE90" s="9">
        <v>25</v>
      </c>
      <c r="AF90" s="34">
        <v>0</v>
      </c>
      <c r="AG90" s="34">
        <v>0</v>
      </c>
      <c r="AH90" s="34">
        <v>0</v>
      </c>
      <c r="AI90" s="34">
        <v>0</v>
      </c>
      <c r="AJ90" s="34">
        <v>1</v>
      </c>
    </row>
    <row r="91" spans="1:36" ht="21" customHeight="1">
      <c r="A91" s="21" t="str">
        <f t="shared" si="37"/>
        <v>10050_1-3/41&lt;lv56&gt;</v>
      </c>
      <c r="B91" s="31">
        <v>10050</v>
      </c>
      <c r="C91" s="35">
        <v>1</v>
      </c>
      <c r="D91" s="20" t="str">
        <f t="shared" si="60"/>
        <v>10050_1</v>
      </c>
      <c r="E91" s="5" t="str">
        <f ca="1">VLOOKUP($B91,OFFSET([1]quests!$A$1,0,0,COUNTA([1]quests!$A:$A),MATCH(E$1,[1]quests!$1:$1,0)-MATCH($B$1,[1]quests!$1:$1,0)+1),MATCH(E$1,[1]quests!$1:$1,0)-MATCH($B$1,[1]quests!$1:$1,0)+1,FALSE)</f>
        <v>噛み合ない二柱</v>
      </c>
      <c r="F91" s="5" t="str">
        <f ca="1">VLOOKUP($D91,OFFSET([1]stages!$A$1,0,0,COUNTA([1]stages!$A:$A),MATCH(F$1,[1]stages!$2:$2,0)-MATCH($D$1,[1]stages!$2:$2,0)+1),MATCH(F$1,[1]stages!$2:$2,0)-MATCH($D$1,[1]stages!$2:$2,0)+1,FALSE)</f>
        <v>噛み合わない二柱</v>
      </c>
      <c r="G91" s="35">
        <v>3</v>
      </c>
      <c r="H91" s="20" t="str">
        <f t="shared" si="61"/>
        <v>10050_1-3</v>
      </c>
      <c r="I91" s="37">
        <v>41</v>
      </c>
      <c r="J91" s="26" t="str">
        <f ca="1">VLOOKUP($I91,OFFSET([2]enemies!$A$1,0,0,COUNTA([2]enemies!$A:$A),MATCH(J$1,[2]enemies!$2:$2,0)-MATCH($I$1,[2]enemies!$2:$2,0)+1),MATCH(J$1,[2]enemies!$2:$2,0)-MATCH($I$1,[2]enemies!$2:$2,0)+1,FALSE)</f>
        <v>ヒュウガ</v>
      </c>
      <c r="K91" s="29" t="str">
        <f ca="1">VLOOKUP($I91,OFFSET([2]enemies!$A$1,0,0,COUNTA([2]enemies!$A:$A),MATCH(K$1,[2]enemies!$2:$2,0)-MATCH($I$1,[2]enemies!$2:$2,0)+1),MATCH(K$1,[2]enemies!$2:$2,0)-MATCH($I$1,[2]enemies!$2:$2,0)+1,FALSE)</f>
        <v>red</v>
      </c>
      <c r="L91" s="29" t="str">
        <f ca="1">VLOOKUP($I91,OFFSET([3]characters!$A$1,0,0,COUNTA([3]characters!$A:$A),MATCH(L$1,[3]characters!$2:$2,0)-MATCH($I$1,[3]characters!$2:$2,0)+1),MATCH(L$1,[3]characters!$2:$2,0)-MATCH($I$1,[3]characters!$2:$2,0)+1,FALSE)</f>
        <v>Drop1N</v>
      </c>
      <c r="M91" s="28" t="str">
        <f ca="1">VLOOKUP($I91,OFFSET([3]characters!$A$1,0,0,COUNTA([3]characters!$A:$A),MATCH(M$1,[3]characters!$2:$2,0)-MATCH($I$1,[3]characters!$2:$2,0)+2),MATCH(M$1,[3]characters!$2:$2,0)-MATCH($I$1,[3]characters!$2:$2,0)+2,FALSE)</f>
        <v>ドラゴン</v>
      </c>
      <c r="N91" s="5">
        <f ca="1">VLOOKUP($I91,OFFSET([2]enemies!$A$1,0,0,COUNTA([2]enemies!$A:$A),MATCH(N$1,[2]enemies!$2:$2,0)-MATCH($I$1,[2]enemies!$2:$2,0)+1),MATCH(N$1,[2]enemies!$2:$2,0)-MATCH($I$1,[2]enemies!$2:$2,0)+1,FALSE)</f>
        <v>15</v>
      </c>
      <c r="O91" s="6">
        <v>56</v>
      </c>
      <c r="P91" s="41">
        <v>1</v>
      </c>
      <c r="Q91" s="41">
        <v>1</v>
      </c>
      <c r="R91" s="6">
        <v>0</v>
      </c>
      <c r="S91" s="5" t="str">
        <f ca="1">VLOOKUP($T91,OFFSET([4]enemy_skill_sets!$B$1,0,0,COUNTA([4]enemy_skill_sets!$B:$B),MATCH(J$1,[4]enemy_skill_sets!$1:$1,0)-MATCH($T$1,[4]enemy_skill_sets!$1:$1,0)+2),MATCH(J$1,[4]enemy_skill_sets!$1:$1,0)-MATCH($T$1,[4]enemy_skill_sets!$1:$1,0)+2,FALSE)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1" s="5">
        <f ca="1">VLOOKUP($I91,OFFSET([2]enemies!$A$1,0,0,COUNTA([2]enemies!$A:$A),MATCH(T$1,[2]enemies!$2:$2,0)-MATCH($I$1,[2]enemies!$2:$2,0)+1),MATCH(T$1,[2]enemies!$2:$2,0)-MATCH($I$1,[2]enemies!$2:$2,0)+1,FALSE)</f>
        <v>0</v>
      </c>
      <c r="U91" s="7">
        <v>0</v>
      </c>
      <c r="V91" s="7">
        <v>100</v>
      </c>
      <c r="W91" s="7">
        <v>0</v>
      </c>
      <c r="X91" s="26">
        <f ca="1">VLOOKUP($I91,OFFSET([2]enemies!$A$1,0,0,COUNTA([2]enemies!$A:$A),MATCH(X$1,[2]enemies!$2:$2,0)-MATCH($I$1,[2]enemies!$2:$2,0)+1),MATCH(X$1,[2]enemies!$2:$2,0)-MATCH($I$1,[2]enemies!$2:$2,0)+1,FALSE)</f>
        <v>1</v>
      </c>
      <c r="Y91" s="37">
        <v>41</v>
      </c>
      <c r="Z91" s="5" t="str">
        <f ca="1">IFERROR(VLOOKUP($Y91,OFFSET([3]characters!$A$1,0,0,COUNTA([3]characters!$A:$A),MATCH(Z$1,[3]characters!$2:$2,0)-MATCH("character_id",[3]characters!$2:$2,0)+1),MATCH(Z$1,[3]characters!$2:$2,0)-MATCH("character_id",[3]characters!$2:$2,0)+1,FALSE),"")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91" s="5">
        <f ca="1">IFERROR(VLOOKUP($Y91,OFFSET([3]characters!$A$1,0,0,COUNTA([3]characters!$A:$A),MATCH(AA$1,[3]characters!$2:$2,0)-MATCH("character_id",[3]characters!$2:$2,0)+1),MATCH(AA$1,[3]characters!$2:$2,0)-MATCH("character_id",[3]characters!$2:$2,0)+1,FALSE),"")</f>
        <v>2</v>
      </c>
      <c r="AB91" s="5" t="str">
        <f ca="1">IFERROR(VLOOKUP($Y91,OFFSET([3]characters!$A$1,0,0,COUNTA([3]characters!$A:$A),MATCH(AB$1,[3]characters!$2:$2,0)-MATCH("character_id",[3]characters!$2:$2,0)+1),MATCH(AB$1,[3]characters!$2:$2,0)-MATCH("character_id",[3]characters!$2:$2,0)+1,FALSE),"")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1" s="34">
        <v>1</v>
      </c>
      <c r="AD91" s="34">
        <f t="shared" ca="1" si="62"/>
        <v>2</v>
      </c>
      <c r="AE91" s="9">
        <v>25</v>
      </c>
      <c r="AF91" s="34">
        <v>0</v>
      </c>
      <c r="AG91" s="34">
        <v>0</v>
      </c>
      <c r="AH91" s="34">
        <v>0</v>
      </c>
      <c r="AI91" s="34">
        <v>0</v>
      </c>
      <c r="AJ91" s="34">
        <v>1</v>
      </c>
    </row>
    <row r="92" spans="1:36" ht="21" customHeight="1">
      <c r="A92" s="21" t="str">
        <f t="shared" si="37"/>
        <v>10050_1-3/43&lt;lv56&gt;</v>
      </c>
      <c r="B92" s="31">
        <v>10050</v>
      </c>
      <c r="C92" s="35">
        <v>1</v>
      </c>
      <c r="D92" s="20" t="str">
        <f t="shared" si="60"/>
        <v>10050_1</v>
      </c>
      <c r="E92" s="5" t="str">
        <f ca="1">VLOOKUP($B92,OFFSET([1]quests!$A$1,0,0,COUNTA([1]quests!$A:$A),MATCH(E$1,[1]quests!$1:$1,0)-MATCH($B$1,[1]quests!$1:$1,0)+1),MATCH(E$1,[1]quests!$1:$1,0)-MATCH($B$1,[1]quests!$1:$1,0)+1,FALSE)</f>
        <v>噛み合ない二柱</v>
      </c>
      <c r="F92" s="5" t="str">
        <f ca="1">VLOOKUP($D92,OFFSET([1]stages!$A$1,0,0,COUNTA([1]stages!$A:$A),MATCH(F$1,[1]stages!$2:$2,0)-MATCH($D$1,[1]stages!$2:$2,0)+1),MATCH(F$1,[1]stages!$2:$2,0)-MATCH($D$1,[1]stages!$2:$2,0)+1,FALSE)</f>
        <v>噛み合わない二柱</v>
      </c>
      <c r="G92" s="35">
        <v>3</v>
      </c>
      <c r="H92" s="20" t="str">
        <f t="shared" si="61"/>
        <v>10050_1-3</v>
      </c>
      <c r="I92" s="38">
        <v>43</v>
      </c>
      <c r="J92" s="26" t="str">
        <f ca="1">VLOOKUP($I92,OFFSET([2]enemies!$A$1,0,0,COUNTA([2]enemies!$A:$A),MATCH(J$1,[2]enemies!$2:$2,0)-MATCH($I$1,[2]enemies!$2:$2,0)+1),MATCH(J$1,[2]enemies!$2:$2,0)-MATCH($I$1,[2]enemies!$2:$2,0)+1,FALSE)</f>
        <v>ムゥ</v>
      </c>
      <c r="K92" s="29" t="str">
        <f ca="1">VLOOKUP($I92,OFFSET([2]enemies!$A$1,0,0,COUNTA([2]enemies!$A:$A),MATCH(K$1,[2]enemies!$2:$2,0)-MATCH($I$1,[2]enemies!$2:$2,0)+1),MATCH(K$1,[2]enemies!$2:$2,0)-MATCH($I$1,[2]enemies!$2:$2,0)+1,FALSE)</f>
        <v>green</v>
      </c>
      <c r="L92" s="29" t="str">
        <f ca="1">VLOOKUP($I92,OFFSET([3]characters!$A$1,0,0,COUNTA([3]characters!$A:$A),MATCH(L$1,[3]characters!$2:$2,0)-MATCH($I$1,[3]characters!$2:$2,0)+1),MATCH(L$1,[3]characters!$2:$2,0)-MATCH($I$1,[3]characters!$2:$2,0)+1,FALSE)</f>
        <v>Drop1N</v>
      </c>
      <c r="M92" s="28" t="str">
        <f ca="1">VLOOKUP($I92,OFFSET([3]characters!$A$1,0,0,COUNTA([3]characters!$A:$A),MATCH(M$1,[3]characters!$2:$2,0)-MATCH($I$1,[3]characters!$2:$2,0)+2),MATCH(M$1,[3]characters!$2:$2,0)-MATCH($I$1,[3]characters!$2:$2,0)+2,FALSE)</f>
        <v>ドラゴン</v>
      </c>
      <c r="N92" s="5">
        <f ca="1">VLOOKUP($I92,OFFSET([2]enemies!$A$1,0,0,COUNTA([2]enemies!$A:$A),MATCH(N$1,[2]enemies!$2:$2,0)-MATCH($I$1,[2]enemies!$2:$2,0)+1),MATCH(N$1,[2]enemies!$2:$2,0)-MATCH($I$1,[2]enemies!$2:$2,0)+1,FALSE)</f>
        <v>15</v>
      </c>
      <c r="O92" s="6">
        <v>56</v>
      </c>
      <c r="P92" s="41">
        <v>1</v>
      </c>
      <c r="Q92" s="41">
        <v>1</v>
      </c>
      <c r="R92" s="6">
        <v>0</v>
      </c>
      <c r="S92" s="5" t="str">
        <f ca="1">VLOOKUP($T92,OFFSET([4]enemy_skill_sets!$B$1,0,0,COUNTA([4]enemy_skill_sets!$B:$B),MATCH(J$1,[4]enemy_skill_sets!$1:$1,0)-MATCH($T$1,[4]enemy_skill_sets!$1:$1,0)+2),MATCH(J$1,[4]enemy_skill_sets!$1:$1,0)-MATCH($T$1,[4]enemy_skill_sets!$1:$1,0)+2,FALSE)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2" s="5">
        <f ca="1">VLOOKUP($I92,OFFSET([2]enemies!$A$1,0,0,COUNTA([2]enemies!$A:$A),MATCH(T$1,[2]enemies!$2:$2,0)-MATCH($I$1,[2]enemies!$2:$2,0)+1),MATCH(T$1,[2]enemies!$2:$2,0)-MATCH($I$1,[2]enemies!$2:$2,0)+1,FALSE)</f>
        <v>0</v>
      </c>
      <c r="U92" s="7">
        <v>0</v>
      </c>
      <c r="V92" s="7">
        <v>100</v>
      </c>
      <c r="W92" s="7">
        <v>0</v>
      </c>
      <c r="X92" s="26">
        <f ca="1">VLOOKUP($I92,OFFSET([2]enemies!$A$1,0,0,COUNTA([2]enemies!$A:$A),MATCH(X$1,[2]enemies!$2:$2,0)-MATCH($I$1,[2]enemies!$2:$2,0)+1),MATCH(X$1,[2]enemies!$2:$2,0)-MATCH($I$1,[2]enemies!$2:$2,0)+1,FALSE)</f>
        <v>2</v>
      </c>
      <c r="Y92" s="38">
        <v>43</v>
      </c>
      <c r="Z92" s="5" t="str">
        <f ca="1">IFERROR(VLOOKUP($Y92,OFFSET([3]characters!$A$1,0,0,COUNTA([3]characters!$A:$A),MATCH(Z$1,[3]characters!$2:$2,0)-MATCH("character_id",[3]characters!$2:$2,0)+1),MATCH(Z$1,[3]characters!$2:$2,0)-MATCH("character_id",[3]characters!$2:$2,0)+1,FALSE),"")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92" s="5">
        <f ca="1">IFERROR(VLOOKUP($Y92,OFFSET([3]characters!$A$1,0,0,COUNTA([3]characters!$A:$A),MATCH(AA$1,[3]characters!$2:$2,0)-MATCH("character_id",[3]characters!$2:$2,0)+1),MATCH(AA$1,[3]characters!$2:$2,0)-MATCH("character_id",[3]characters!$2:$2,0)+1,FALSE),"")</f>
        <v>2</v>
      </c>
      <c r="AB92" s="5" t="str">
        <f ca="1">IFERROR(VLOOKUP($Y92,OFFSET([3]characters!$A$1,0,0,COUNTA([3]characters!$A:$A),MATCH(AB$1,[3]characters!$2:$2,0)-MATCH("character_id",[3]characters!$2:$2,0)+1),MATCH(AB$1,[3]characters!$2:$2,0)-MATCH("character_id",[3]characters!$2:$2,0)+1,FALSE),"")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2" s="34">
        <v>1</v>
      </c>
      <c r="AD92" s="34">
        <f t="shared" ca="1" si="62"/>
        <v>2</v>
      </c>
      <c r="AE92" s="9">
        <v>25</v>
      </c>
      <c r="AF92" s="34">
        <v>0</v>
      </c>
      <c r="AG92" s="34">
        <v>0</v>
      </c>
      <c r="AH92" s="34">
        <v>0</v>
      </c>
      <c r="AI92" s="34">
        <v>0</v>
      </c>
      <c r="AJ92" s="34">
        <v>1</v>
      </c>
    </row>
    <row r="93" spans="1:36" ht="21" customHeight="1">
      <c r="A93" s="21" t="str">
        <f t="shared" si="37"/>
        <v>10050_1-4/57&lt;lv56&gt;</v>
      </c>
      <c r="B93" s="31">
        <v>10050</v>
      </c>
      <c r="C93" s="35">
        <v>1</v>
      </c>
      <c r="D93" s="20" t="str">
        <f t="shared" si="60"/>
        <v>10050_1</v>
      </c>
      <c r="E93" s="5" t="str">
        <f ca="1">VLOOKUP($B93,OFFSET([1]quests!$A$1,0,0,COUNTA([1]quests!$A:$A),MATCH(E$1,[1]quests!$1:$1,0)-MATCH($B$1,[1]quests!$1:$1,0)+1),MATCH(E$1,[1]quests!$1:$1,0)-MATCH($B$1,[1]quests!$1:$1,0)+1,FALSE)</f>
        <v>噛み合ない二柱</v>
      </c>
      <c r="F93" s="5" t="str">
        <f ca="1">VLOOKUP($D93,OFFSET([1]stages!$A$1,0,0,COUNTA([1]stages!$A:$A),MATCH(F$1,[1]stages!$2:$2,0)-MATCH($D$1,[1]stages!$2:$2,0)+1),MATCH(F$1,[1]stages!$2:$2,0)-MATCH($D$1,[1]stages!$2:$2,0)+1,FALSE)</f>
        <v>噛み合わない二柱</v>
      </c>
      <c r="G93" s="35">
        <v>4</v>
      </c>
      <c r="H93" s="20" t="str">
        <f t="shared" si="61"/>
        <v>10050_1-4</v>
      </c>
      <c r="I93" s="38">
        <v>57</v>
      </c>
      <c r="J93" s="26" t="str">
        <f ca="1">VLOOKUP($I93,OFFSET([2]enemies!$A$1,0,0,COUNTA([2]enemies!$A:$A),MATCH(J$1,[2]enemies!$2:$2,0)-MATCH($I$1,[2]enemies!$2:$2,0)+1),MATCH(J$1,[2]enemies!$2:$2,0)-MATCH($I$1,[2]enemies!$2:$2,0)+1,FALSE)</f>
        <v>チェン・リー</v>
      </c>
      <c r="K93" s="29" t="str">
        <f ca="1">VLOOKUP($I93,OFFSET([2]enemies!$A$1,0,0,COUNTA([2]enemies!$A:$A),MATCH(K$1,[2]enemies!$2:$2,0)-MATCH($I$1,[2]enemies!$2:$2,0)+1),MATCH(K$1,[2]enemies!$2:$2,0)-MATCH($I$1,[2]enemies!$2:$2,0)+1,FALSE)</f>
        <v>red</v>
      </c>
      <c r="L93" s="29" t="str">
        <f ca="1">VLOOKUP($I93,OFFSET([3]characters!$A$1,0,0,COUNTA([3]characters!$A:$A),MATCH(L$1,[3]characters!$2:$2,0)-MATCH($I$1,[3]characters!$2:$2,0)+1),MATCH(L$1,[3]characters!$2:$2,0)-MATCH($I$1,[3]characters!$2:$2,0)+1,FALSE)</f>
        <v>Drop1N</v>
      </c>
      <c r="M93" s="28" t="str">
        <f ca="1">VLOOKUP($I93,OFFSET([3]characters!$A$1,0,0,COUNTA([3]characters!$A:$A),MATCH(M$1,[3]characters!$2:$2,0)-MATCH($I$1,[3]characters!$2:$2,0)+2),MATCH(M$1,[3]characters!$2:$2,0)-MATCH($I$1,[3]characters!$2:$2,0)+2,FALSE)</f>
        <v>アニマル</v>
      </c>
      <c r="N93" s="5">
        <f ca="1">VLOOKUP($I93,OFFSET([2]enemies!$A$1,0,0,COUNTA([2]enemies!$A:$A),MATCH(N$1,[2]enemies!$2:$2,0)-MATCH($I$1,[2]enemies!$2:$2,0)+1),MATCH(N$1,[2]enemies!$2:$2,0)-MATCH($I$1,[2]enemies!$2:$2,0)+1,FALSE)</f>
        <v>15</v>
      </c>
      <c r="O93" s="6">
        <v>56</v>
      </c>
      <c r="P93" s="41">
        <v>1</v>
      </c>
      <c r="Q93" s="41">
        <v>1</v>
      </c>
      <c r="R93" s="6">
        <v>0</v>
      </c>
      <c r="S93" s="5" t="str">
        <f ca="1">VLOOKUP($T93,OFFSET([4]enemy_skill_sets!$B$1,0,0,COUNTA([4]enemy_skill_sets!$B:$B),MATCH(J$1,[4]enemy_skill_sets!$1:$1,0)-MATCH($T$1,[4]enemy_skill_sets!$1:$1,0)+2),MATCH(J$1,[4]enemy_skill_sets!$1:$1,0)-MATCH($T$1,[4]enemy_skill_sets!$1:$1,0)+2,FALSE)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93" s="5">
        <f ca="1">VLOOKUP($I93,OFFSET([2]enemies!$A$1,0,0,COUNTA([2]enemies!$A:$A),MATCH(T$1,[2]enemies!$2:$2,0)-MATCH($I$1,[2]enemies!$2:$2,0)+1),MATCH(T$1,[2]enemies!$2:$2,0)-MATCH($I$1,[2]enemies!$2:$2,0)+1,FALSE)</f>
        <v>57</v>
      </c>
      <c r="U93" s="7">
        <v>1</v>
      </c>
      <c r="V93" s="7">
        <v>100</v>
      </c>
      <c r="W93" s="7">
        <v>0</v>
      </c>
      <c r="X93" s="26">
        <f ca="1">VLOOKUP($I93,OFFSET([2]enemies!$A$1,0,0,COUNTA([2]enemies!$A:$A),MATCH(X$1,[2]enemies!$2:$2,0)-MATCH($I$1,[2]enemies!$2:$2,0)+1),MATCH(X$1,[2]enemies!$2:$2,0)-MATCH($I$1,[2]enemies!$2:$2,0)+1,FALSE)</f>
        <v>2</v>
      </c>
      <c r="Y93" s="38">
        <v>57</v>
      </c>
      <c r="Z93" s="5" t="str">
        <f ca="1">IFERROR(VLOOKUP($Y93,OFFSET([3]characters!$A$1,0,0,COUNTA([3]characters!$A:$A),MATCH(Z$1,[3]characters!$2:$2,0)-MATCH("character_id",[3]characters!$2:$2,0)+1),MATCH(Z$1,[3]characters!$2:$2,0)-MATCH("character_id",[3]characters!$2:$2,0)+1,FALSE),"")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93" s="5">
        <f ca="1">IFERROR(VLOOKUP($Y93,OFFSET([3]characters!$A$1,0,0,COUNTA([3]characters!$A:$A),MATCH(AA$1,[3]characters!$2:$2,0)-MATCH("character_id",[3]characters!$2:$2,0)+1),MATCH(AA$1,[3]characters!$2:$2,0)-MATCH("character_id",[3]characters!$2:$2,0)+1,FALSE),"")</f>
        <v>2</v>
      </c>
      <c r="AB93" s="5" t="str">
        <f ca="1">IFERROR(VLOOKUP($Y93,OFFSET([3]characters!$A$1,0,0,COUNTA([3]characters!$A:$A),MATCH(AB$1,[3]characters!$2:$2,0)-MATCH("character_id",[3]characters!$2:$2,0)+1),MATCH(AB$1,[3]characters!$2:$2,0)-MATCH("character_id",[3]characters!$2:$2,0)+1,FALSE),"")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3" s="34">
        <v>1</v>
      </c>
      <c r="AD93" s="34">
        <f t="shared" ca="1" si="62"/>
        <v>2</v>
      </c>
      <c r="AE93" s="9">
        <v>25</v>
      </c>
      <c r="AF93" s="34">
        <v>0</v>
      </c>
      <c r="AG93" s="34">
        <v>0</v>
      </c>
      <c r="AH93" s="34">
        <v>0</v>
      </c>
      <c r="AI93" s="34">
        <v>0</v>
      </c>
      <c r="AJ93" s="34">
        <v>1</v>
      </c>
    </row>
    <row r="94" spans="1:36" ht="21" customHeight="1">
      <c r="A94" s="21" t="str">
        <f t="shared" si="37"/>
        <v>10050_1-4/59&lt;lv56&gt;</v>
      </c>
      <c r="B94" s="31">
        <v>10050</v>
      </c>
      <c r="C94" s="35">
        <v>1</v>
      </c>
      <c r="D94" s="20" t="str">
        <f t="shared" si="60"/>
        <v>10050_1</v>
      </c>
      <c r="E94" s="5" t="str">
        <f ca="1">VLOOKUP($B94,OFFSET([1]quests!$A$1,0,0,COUNTA([1]quests!$A:$A),MATCH(E$1,[1]quests!$1:$1,0)-MATCH($B$1,[1]quests!$1:$1,0)+1),MATCH(E$1,[1]quests!$1:$1,0)-MATCH($B$1,[1]quests!$1:$1,0)+1,FALSE)</f>
        <v>噛み合ない二柱</v>
      </c>
      <c r="F94" s="5" t="str">
        <f ca="1">VLOOKUP($D94,OFFSET([1]stages!$A$1,0,0,COUNTA([1]stages!$A:$A),MATCH(F$1,[1]stages!$2:$2,0)-MATCH($D$1,[1]stages!$2:$2,0)+1),MATCH(F$1,[1]stages!$2:$2,0)-MATCH($D$1,[1]stages!$2:$2,0)+1,FALSE)</f>
        <v>噛み合わない二柱</v>
      </c>
      <c r="G94" s="35">
        <v>4</v>
      </c>
      <c r="H94" s="20" t="str">
        <f t="shared" si="61"/>
        <v>10050_1-4</v>
      </c>
      <c r="I94" s="38">
        <v>59</v>
      </c>
      <c r="J94" s="26" t="str">
        <f ca="1">VLOOKUP($I94,OFFSET([2]enemies!$A$1,0,0,COUNTA([2]enemies!$A:$A),MATCH(J$1,[2]enemies!$2:$2,0)-MATCH($I$1,[2]enemies!$2:$2,0)+1),MATCH(J$1,[2]enemies!$2:$2,0)-MATCH($I$1,[2]enemies!$2:$2,0)+1,FALSE)</f>
        <v>マーチ</v>
      </c>
      <c r="K94" s="29" t="str">
        <f ca="1">VLOOKUP($I94,OFFSET([2]enemies!$A$1,0,0,COUNTA([2]enemies!$A:$A),MATCH(K$1,[2]enemies!$2:$2,0)-MATCH($I$1,[2]enemies!$2:$2,0)+1),MATCH(K$1,[2]enemies!$2:$2,0)-MATCH($I$1,[2]enemies!$2:$2,0)+1,FALSE)</f>
        <v>green</v>
      </c>
      <c r="L94" s="29" t="str">
        <f ca="1">VLOOKUP($I94,OFFSET([3]characters!$A$1,0,0,COUNTA([3]characters!$A:$A),MATCH(L$1,[3]characters!$2:$2,0)-MATCH($I$1,[3]characters!$2:$2,0)+1),MATCH(L$1,[3]characters!$2:$2,0)-MATCH($I$1,[3]characters!$2:$2,0)+1,FALSE)</f>
        <v>Drop1N</v>
      </c>
      <c r="M94" s="28" t="str">
        <f ca="1">VLOOKUP($I94,OFFSET([3]characters!$A$1,0,0,COUNTA([3]characters!$A:$A),MATCH(M$1,[3]characters!$2:$2,0)-MATCH($I$1,[3]characters!$2:$2,0)+2),MATCH(M$1,[3]characters!$2:$2,0)-MATCH($I$1,[3]characters!$2:$2,0)+2,FALSE)</f>
        <v>アニマル</v>
      </c>
      <c r="N94" s="5">
        <f ca="1">VLOOKUP($I94,OFFSET([2]enemies!$A$1,0,0,COUNTA([2]enemies!$A:$A),MATCH(N$1,[2]enemies!$2:$2,0)-MATCH($I$1,[2]enemies!$2:$2,0)+1),MATCH(N$1,[2]enemies!$2:$2,0)-MATCH($I$1,[2]enemies!$2:$2,0)+1,FALSE)</f>
        <v>15</v>
      </c>
      <c r="O94" s="6">
        <v>56</v>
      </c>
      <c r="P94" s="41">
        <v>1</v>
      </c>
      <c r="Q94" s="41">
        <v>1</v>
      </c>
      <c r="R94" s="6">
        <v>0</v>
      </c>
      <c r="S94" s="5" t="str">
        <f ca="1">VLOOKUP($T94,OFFSET([4]enemy_skill_sets!$B$1,0,0,COUNTA([4]enemy_skill_sets!$B:$B),MATCH(J$1,[4]enemy_skill_sets!$1:$1,0)-MATCH($T$1,[4]enemy_skill_sets!$1:$1,0)+2),MATCH(J$1,[4]enemy_skill_sets!$1:$1,0)-MATCH($T$1,[4]enemy_skill_sets!$1:$1,0)+2,FALSE)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94" s="5">
        <f ca="1">VLOOKUP($I94,OFFSET([2]enemies!$A$1,0,0,COUNTA([2]enemies!$A:$A),MATCH(T$1,[2]enemies!$2:$2,0)-MATCH($I$1,[2]enemies!$2:$2,0)+1),MATCH(T$1,[2]enemies!$2:$2,0)-MATCH($I$1,[2]enemies!$2:$2,0)+1,FALSE)</f>
        <v>59</v>
      </c>
      <c r="U94" s="7">
        <v>2</v>
      </c>
      <c r="V94" s="7">
        <v>100</v>
      </c>
      <c r="W94" s="7">
        <v>0</v>
      </c>
      <c r="X94" s="26">
        <f ca="1">VLOOKUP($I94,OFFSET([2]enemies!$A$1,0,0,COUNTA([2]enemies!$A:$A),MATCH(X$1,[2]enemies!$2:$2,0)-MATCH($I$1,[2]enemies!$2:$2,0)+1),MATCH(X$1,[2]enemies!$2:$2,0)-MATCH($I$1,[2]enemies!$2:$2,0)+1,FALSE)</f>
        <v>2</v>
      </c>
      <c r="Y94" s="38">
        <v>59</v>
      </c>
      <c r="Z94" s="5" t="str">
        <f ca="1">IFERROR(VLOOKUP($Y94,OFFSET([3]characters!$A$1,0,0,COUNTA([3]characters!$A:$A),MATCH(Z$1,[3]characters!$2:$2,0)-MATCH("character_id",[3]characters!$2:$2,0)+1),MATCH(Z$1,[3]characters!$2:$2,0)-MATCH("character_id",[3]characters!$2:$2,0)+1,FALSE),"")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94" s="5">
        <f ca="1">IFERROR(VLOOKUP($Y94,OFFSET([3]characters!$A$1,0,0,COUNTA([3]characters!$A:$A),MATCH(AA$1,[3]characters!$2:$2,0)-MATCH("character_id",[3]characters!$2:$2,0)+1),MATCH(AA$1,[3]characters!$2:$2,0)-MATCH("character_id",[3]characters!$2:$2,0)+1,FALSE),"")</f>
        <v>2</v>
      </c>
      <c r="AB94" s="5" t="str">
        <f ca="1">IFERROR(VLOOKUP($Y94,OFFSET([3]characters!$A$1,0,0,COUNTA([3]characters!$A:$A),MATCH(AB$1,[3]characters!$2:$2,0)-MATCH("character_id",[3]characters!$2:$2,0)+1),MATCH(AB$1,[3]characters!$2:$2,0)-MATCH("character_id",[3]characters!$2:$2,0)+1,FALSE),"")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4" s="34">
        <v>1</v>
      </c>
      <c r="AD94" s="34">
        <f t="shared" ca="1" si="62"/>
        <v>2</v>
      </c>
      <c r="AE94" s="9">
        <v>25</v>
      </c>
      <c r="AF94" s="34">
        <v>0</v>
      </c>
      <c r="AG94" s="34">
        <v>0</v>
      </c>
      <c r="AH94" s="34">
        <v>0</v>
      </c>
      <c r="AI94" s="34">
        <v>0</v>
      </c>
      <c r="AJ94" s="34">
        <v>1</v>
      </c>
    </row>
    <row r="95" spans="1:36" ht="21" customHeight="1">
      <c r="A95" s="21" t="str">
        <f t="shared" si="37"/>
        <v>10050_1-5/254&lt;lv46&gt;</v>
      </c>
      <c r="B95" s="31">
        <v>10050</v>
      </c>
      <c r="C95" s="35">
        <v>1</v>
      </c>
      <c r="D95" s="20" t="str">
        <f t="shared" ref="D95" si="67">B95&amp;"_"&amp;C95</f>
        <v>10050_1</v>
      </c>
      <c r="E95" s="5" t="str">
        <f ca="1">VLOOKUP($B95,OFFSET([1]quests!$A$1,0,0,COUNTA([1]quests!$A:$A),MATCH(E$1,[1]quests!$1:$1,0)-MATCH($B$1,[1]quests!$1:$1,0)+1),MATCH(E$1,[1]quests!$1:$1,0)-MATCH($B$1,[1]quests!$1:$1,0)+1,FALSE)</f>
        <v>噛み合ない二柱</v>
      </c>
      <c r="F95" s="5" t="str">
        <f ca="1">VLOOKUP($D95,OFFSET([1]stages!$A$1,0,0,COUNTA([1]stages!$A:$A),MATCH(F$1,[1]stages!$2:$2,0)-MATCH($D$1,[1]stages!$2:$2,0)+1),MATCH(F$1,[1]stages!$2:$2,0)-MATCH($D$1,[1]stages!$2:$2,0)+1,FALSE)</f>
        <v>噛み合わない二柱</v>
      </c>
      <c r="G95" s="35">
        <v>5</v>
      </c>
      <c r="H95" s="20" t="str">
        <f t="shared" ref="H95" si="68">B95&amp;"_"&amp;C95&amp;"-"&amp;G95</f>
        <v>10050_1-5</v>
      </c>
      <c r="I95" s="37">
        <v>254</v>
      </c>
      <c r="J95" s="26" t="str">
        <f ca="1">VLOOKUP($I95,OFFSET([2]enemies!$A$1,0,0,COUNTA([2]enemies!$A:$A),MATCH(J$1,[2]enemies!$2:$2,0)-MATCH($I$1,[2]enemies!$2:$2,0)+1),MATCH(J$1,[2]enemies!$2:$2,0)-MATCH($I$1,[2]enemies!$2:$2,0)+1,FALSE)</f>
        <v>怠惰 ベルフェゴール</v>
      </c>
      <c r="K95" s="29" t="str">
        <f ca="1">VLOOKUP($I95,OFFSET([2]enemies!$A$1,0,0,COUNTA([2]enemies!$A:$A),MATCH(K$1,[2]enemies!$2:$2,0)-MATCH($I$1,[2]enemies!$2:$2,0)+1),MATCH(K$1,[2]enemies!$2:$2,0)-MATCH($I$1,[2]enemies!$2:$2,0)+1,FALSE)</f>
        <v>green</v>
      </c>
      <c r="L95" s="29" t="str">
        <f ca="1">VLOOKUP($I95,OFFSET([3]characters!$A$1,0,0,COUNTA([3]characters!$A:$A),MATCH(L$1,[3]characters!$2:$2,0)-MATCH($I$1,[3]characters!$2:$2,0)+1),MATCH(L$1,[3]characters!$2:$2,0)-MATCH($I$1,[3]characters!$2:$2,0)+1,FALSE)</f>
        <v>PremiumS</v>
      </c>
      <c r="M95" s="28" t="str">
        <f ca="1">VLOOKUP($I95,OFFSET([3]characters!$A$1,0,0,COUNTA([3]characters!$A:$A),MATCH(M$1,[3]characters!$2:$2,0)-MATCH($I$1,[3]characters!$2:$2,0)+2),MATCH(M$1,[3]characters!$2:$2,0)-MATCH($I$1,[3]characters!$2:$2,0)+2,FALSE)</f>
        <v>ゴッド</v>
      </c>
      <c r="N95" s="5">
        <f ca="1">VLOOKUP($I95,OFFSET([2]enemies!$A$1,0,0,COUNTA([2]enemies!$A:$A),MATCH(N$1,[2]enemies!$2:$2,0)-MATCH($I$1,[2]enemies!$2:$2,0)+1),MATCH(N$1,[2]enemies!$2:$2,0)-MATCH($I$1,[2]enemies!$2:$2,0)+1,FALSE)</f>
        <v>30</v>
      </c>
      <c r="O95" s="6">
        <v>46</v>
      </c>
      <c r="P95" s="41">
        <v>1</v>
      </c>
      <c r="Q95" s="41">
        <v>1</v>
      </c>
      <c r="R95" s="6">
        <v>0</v>
      </c>
      <c r="S95" s="5" t="str">
        <f ca="1">VLOOKUP($T95,OFFSET([4]enemy_skill_sets!$B$1,0,0,COUNTA([4]enemy_skill_sets!$B:$B),MATCH(J$1,[4]enemy_skill_sets!$1:$1,0)-MATCH($T$1,[4]enemy_skill_sets!$1:$1,0)+2),MATCH(J$1,[4]enemy_skill_sets!$1:$1,0)-MATCH($T$1,[4]enemy_skill_sets!$1:$1,0)+2,FALSE)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95" s="5">
        <f ca="1">VLOOKUP($I95,OFFSET([2]enemies!$A$1,0,0,COUNTA([2]enemies!$A:$A),MATCH(T$1,[2]enemies!$2:$2,0)-MATCH($I$1,[2]enemies!$2:$2,0)+1),MATCH(T$1,[2]enemies!$2:$2,0)-MATCH($I$1,[2]enemies!$2:$2,0)+1,FALSE)</f>
        <v>254</v>
      </c>
      <c r="U95" s="7">
        <v>1</v>
      </c>
      <c r="V95" s="7">
        <v>100</v>
      </c>
      <c r="W95" s="7">
        <v>1</v>
      </c>
      <c r="X95" s="26">
        <f ca="1">VLOOKUP($I95,OFFSET([2]enemies!$A$1,0,0,COUNTA([2]enemies!$A:$A),MATCH(X$1,[2]enemies!$2:$2,0)-MATCH($I$1,[2]enemies!$2:$2,0)+1),MATCH(X$1,[2]enemies!$2:$2,0)-MATCH($I$1,[2]enemies!$2:$2,0)+1,FALSE)</f>
        <v>4</v>
      </c>
      <c r="Y95" s="37">
        <v>253</v>
      </c>
      <c r="Z95" s="5" t="str">
        <f ca="1">IFERROR(VLOOKUP($Y95,OFFSET([3]characters!$A$1,0,0,COUNTA([3]characters!$A:$A),MATCH(Z$1,[3]characters!$2:$2,0)-MATCH("character_id",[3]characters!$2:$2,0)+1),MATCH(Z$1,[3]characters!$2:$2,0)-MATCH("character_id",[3]characters!$2:$2,0)+1,FALSE),"")</f>
        <v>ベルフェゴール</v>
      </c>
      <c r="AA95" s="5">
        <f ca="1">IFERROR(VLOOKUP($Y95,OFFSET([3]characters!$A$1,0,0,COUNTA([3]characters!$A:$A),MATCH(AA$1,[3]characters!$2:$2,0)-MATCH("character_id",[3]characters!$2:$2,0)+1),MATCH(AA$1,[3]characters!$2:$2,0)-MATCH("character_id",[3]characters!$2:$2,0)+1,FALSE),"")</f>
        <v>3</v>
      </c>
      <c r="AB95" s="5" t="str">
        <f ca="1">IFERROR(VLOOKUP($Y95,OFFSET([3]characters!$A$1,0,0,COUNTA([3]characters!$A:$A),MATCH(AB$1,[3]characters!$2:$2,0)-MATCH("character_id",[3]characters!$2:$2,0)+1),MATCH(AB$1,[3]characters!$2:$2,0)-MATCH("character_id",[3]characters!$2:$2,0)+1,FALSE),"")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95" s="34">
        <v>1</v>
      </c>
      <c r="AD95" s="34">
        <f t="shared" ref="AD95" ca="1" si="69">AA95</f>
        <v>3</v>
      </c>
      <c r="AE95" s="9">
        <v>0</v>
      </c>
      <c r="AF95" s="34">
        <v>0</v>
      </c>
      <c r="AG95" s="34">
        <v>0</v>
      </c>
      <c r="AH95" s="34">
        <v>0</v>
      </c>
      <c r="AI95" s="34">
        <v>0</v>
      </c>
      <c r="AJ95" s="34">
        <v>1</v>
      </c>
    </row>
    <row r="96" spans="1:36" ht="21" customHeight="1">
      <c r="A96" s="21" t="str">
        <f t="shared" si="37"/>
        <v>10050_1-5/203&lt;lv52&gt;</v>
      </c>
      <c r="B96" s="31">
        <v>10050</v>
      </c>
      <c r="C96" s="35">
        <v>1</v>
      </c>
      <c r="D96" s="20" t="str">
        <f t="shared" ref="D96" si="70">B96&amp;"_"&amp;C96</f>
        <v>10050_1</v>
      </c>
      <c r="E96" s="5" t="str">
        <f ca="1">VLOOKUP($B96,OFFSET([1]quests!$A$1,0,0,COUNTA([1]quests!$A:$A),MATCH(E$1,[1]quests!$1:$1,0)-MATCH($B$1,[1]quests!$1:$1,0)+1),MATCH(E$1,[1]quests!$1:$1,0)-MATCH($B$1,[1]quests!$1:$1,0)+1,FALSE)</f>
        <v>噛み合ない二柱</v>
      </c>
      <c r="F96" s="5" t="str">
        <f ca="1">VLOOKUP($D96,OFFSET([1]stages!$A$1,0,0,COUNTA([1]stages!$A:$A),MATCH(F$1,[1]stages!$2:$2,0)-MATCH($D$1,[1]stages!$2:$2,0)+1),MATCH(F$1,[1]stages!$2:$2,0)-MATCH($D$1,[1]stages!$2:$2,0)+1,FALSE)</f>
        <v>噛み合わない二柱</v>
      </c>
      <c r="G96" s="35">
        <v>5</v>
      </c>
      <c r="H96" s="20" t="str">
        <f t="shared" ref="H96" si="71">B96&amp;"_"&amp;C96&amp;"-"&amp;G96</f>
        <v>10050_1-5</v>
      </c>
      <c r="I96" s="37">
        <v>203</v>
      </c>
      <c r="J96" s="26" t="str">
        <f ca="1">VLOOKUP($I96,OFFSET([2]enemies!$A$1,0,0,COUNTA([2]enemies!$A:$A),MATCH(J$1,[2]enemies!$2:$2,0)-MATCH($I$1,[2]enemies!$2:$2,0)+1),MATCH(J$1,[2]enemies!$2:$2,0)-MATCH($I$1,[2]enemies!$2:$2,0)+1,FALSE)</f>
        <v>焔神 プロメテウス</v>
      </c>
      <c r="K96" s="29" t="str">
        <f ca="1">VLOOKUP($I96,OFFSET([2]enemies!$A$1,0,0,COUNTA([2]enemies!$A:$A),MATCH(K$1,[2]enemies!$2:$2,0)-MATCH($I$1,[2]enemies!$2:$2,0)+1),MATCH(K$1,[2]enemies!$2:$2,0)-MATCH($I$1,[2]enemies!$2:$2,0)+1,FALSE)</f>
        <v>red</v>
      </c>
      <c r="L96" s="29" t="str">
        <f ca="1">VLOOKUP($I96,OFFSET([3]characters!$A$1,0,0,COUNTA([3]characters!$A:$A),MATCH(L$1,[3]characters!$2:$2,0)-MATCH($I$1,[3]characters!$2:$2,0)+1),MATCH(L$1,[3]characters!$2:$2,0)-MATCH($I$1,[3]characters!$2:$2,0)+1,FALSE)</f>
        <v>PremiumN</v>
      </c>
      <c r="M96" s="28" t="str">
        <f ca="1">VLOOKUP($I96,OFFSET([3]characters!$A$1,0,0,COUNTA([3]characters!$A:$A),MATCH(M$1,[3]characters!$2:$2,0)-MATCH($I$1,[3]characters!$2:$2,0)+2),MATCH(M$1,[3]characters!$2:$2,0)-MATCH($I$1,[3]characters!$2:$2,0)+2,FALSE)</f>
        <v>ゴッド</v>
      </c>
      <c r="N96" s="5">
        <f ca="1">VLOOKUP($I96,OFFSET([2]enemies!$A$1,0,0,COUNTA([2]enemies!$A:$A),MATCH(N$1,[2]enemies!$2:$2,0)-MATCH($I$1,[2]enemies!$2:$2,0)+1),MATCH(N$1,[2]enemies!$2:$2,0)-MATCH($I$1,[2]enemies!$2:$2,0)+1,FALSE)</f>
        <v>30</v>
      </c>
      <c r="O96" s="6">
        <v>52</v>
      </c>
      <c r="P96" s="41">
        <v>1</v>
      </c>
      <c r="Q96" s="41">
        <v>1</v>
      </c>
      <c r="R96" s="6">
        <v>0</v>
      </c>
      <c r="S96" s="5" t="str">
        <f ca="1">VLOOKUP($T96,OFFSET([4]enemy_skill_sets!$B$1,0,0,COUNTA([4]enemy_skill_sets!$B:$B),MATCH(J$1,[4]enemy_skill_sets!$1:$1,0)-MATCH($T$1,[4]enemy_skill_sets!$1:$1,0)+2),MATCH(J$1,[4]enemy_skill_sets!$1:$1,0)-MATCH($T$1,[4]enemy_skill_sets!$1:$1,0)+2,FALSE)</f>
        <v>解除するまで回復力が100%DOWN</v>
      </c>
      <c r="T96" s="5">
        <f ca="1">VLOOKUP($I96,OFFSET([2]enemies!$A$1,0,0,COUNTA([2]enemies!$A:$A),MATCH(T$1,[2]enemies!$2:$2,0)-MATCH($I$1,[2]enemies!$2:$2,0)+1),MATCH(T$1,[2]enemies!$2:$2,0)-MATCH($I$1,[2]enemies!$2:$2,0)+1,FALSE)</f>
        <v>203</v>
      </c>
      <c r="U96" s="7">
        <v>1</v>
      </c>
      <c r="V96" s="7">
        <v>100</v>
      </c>
      <c r="W96" s="7">
        <v>1</v>
      </c>
      <c r="X96" s="26">
        <f ca="1">VLOOKUP($I96,OFFSET([2]enemies!$A$1,0,0,COUNTA([2]enemies!$A:$A),MATCH(X$1,[2]enemies!$2:$2,0)-MATCH($I$1,[2]enemies!$2:$2,0)+1),MATCH(X$1,[2]enemies!$2:$2,0)-MATCH($I$1,[2]enemies!$2:$2,0)+1,FALSE)</f>
        <v>3</v>
      </c>
      <c r="Y96" s="37">
        <v>202</v>
      </c>
      <c r="Z96" s="5" t="str">
        <f ca="1">IFERROR(VLOOKUP($Y96,OFFSET([3]characters!$A$1,0,0,COUNTA([3]characters!$A:$A),MATCH(Z$1,[3]characters!$2:$2,0)-MATCH("character_id",[3]characters!$2:$2,0)+1),MATCH(Z$1,[3]characters!$2:$2,0)-MATCH("character_id",[3]characters!$2:$2,0)+1,FALSE),"")</f>
        <v>プロメテウス</v>
      </c>
      <c r="AA96" s="5">
        <f ca="1">IFERROR(VLOOKUP($Y96,OFFSET([3]characters!$A$1,0,0,COUNTA([3]characters!$A:$A),MATCH(AA$1,[3]characters!$2:$2,0)-MATCH("character_id",[3]characters!$2:$2,0)+1),MATCH(AA$1,[3]characters!$2:$2,0)-MATCH("character_id",[3]characters!$2:$2,0)+1,FALSE),"")</f>
        <v>3</v>
      </c>
      <c r="AB96" s="5" t="str">
        <f ca="1">IFERROR(VLOOKUP($Y96,OFFSET([3]characters!$A$1,0,0,COUNTA([3]characters!$A:$A),MATCH(AB$1,[3]characters!$2:$2,0)-MATCH("character_id",[3]characters!$2:$2,0)+1),MATCH(AB$1,[3]characters!$2:$2,0)-MATCH("character_id",[3]characters!$2:$2,0)+1,FALSE),"")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96" s="34">
        <v>1</v>
      </c>
      <c r="AD96" s="34">
        <f t="shared" ref="AD96" ca="1" si="72">AA96</f>
        <v>3</v>
      </c>
      <c r="AE96" s="9">
        <v>0</v>
      </c>
      <c r="AF96" s="34">
        <v>0</v>
      </c>
      <c r="AG96" s="34">
        <v>0</v>
      </c>
      <c r="AH96" s="34">
        <v>0</v>
      </c>
      <c r="AI96" s="34">
        <v>0</v>
      </c>
      <c r="AJ96" s="34">
        <v>1</v>
      </c>
    </row>
    <row r="97" spans="1:36" ht="21" customHeight="1">
      <c r="A97" s="21" t="str">
        <f t="shared" ref="A97" si="73">B97&amp;"_"&amp;C97&amp;"-"&amp;G97&amp;"/"&amp;I97&amp;"&lt;lv"&amp;O97&amp;"&gt;"</f>
        <v>10055_1-1/59&lt;lv56&gt;</v>
      </c>
      <c r="B97" s="31">
        <v>10055</v>
      </c>
      <c r="C97" s="35">
        <v>1</v>
      </c>
      <c r="D97" s="20" t="str">
        <f t="shared" ref="D97" si="74">B97&amp;"_"&amp;C97</f>
        <v>10055_1</v>
      </c>
      <c r="E97" s="5" t="str">
        <f ca="1">VLOOKUP($B97,OFFSET([1]quests!$A$1,0,0,COUNTA([1]quests!$A:$A),MATCH(E$1,[1]quests!$1:$1,0)-MATCH($B$1,[1]quests!$1:$1,0)+1),MATCH(E$1,[1]quests!$1:$1,0)-MATCH($B$1,[1]quests!$1:$1,0)+1,FALSE)</f>
        <v>美女と美獣【仮】</v>
      </c>
      <c r="F97" s="5" t="str">
        <f ca="1">VLOOKUP($D97,OFFSET([1]stages!$A$1,0,0,COUNTA([1]stages!$A:$A),MATCH(F$1,[1]stages!$2:$2,0)-MATCH($D$1,[1]stages!$2:$2,0)+1),MATCH(F$1,[1]stages!$2:$2,0)-MATCH($D$1,[1]stages!$2:$2,0)+1,FALSE)</f>
        <v>美女と美獣【仮】</v>
      </c>
      <c r="G97" s="35">
        <v>1</v>
      </c>
      <c r="H97" s="20" t="str">
        <f t="shared" ref="H97" si="75">B97&amp;"_"&amp;C97&amp;"-"&amp;G97</f>
        <v>10055_1-1</v>
      </c>
      <c r="I97" s="37">
        <v>59</v>
      </c>
      <c r="J97" s="26" t="str">
        <f ca="1">VLOOKUP($I97,OFFSET([2]enemies!$A$1,0,0,COUNTA([2]enemies!$A:$A),MATCH(J$1,[2]enemies!$2:$2,0)-MATCH($I$1,[2]enemies!$2:$2,0)+1),MATCH(J$1,[2]enemies!$2:$2,0)-MATCH($I$1,[2]enemies!$2:$2,0)+1,FALSE)</f>
        <v>マーチ</v>
      </c>
      <c r="K97" s="29" t="str">
        <f ca="1">VLOOKUP($I97,OFFSET([2]enemies!$A$1,0,0,COUNTA([2]enemies!$A:$A),MATCH(K$1,[2]enemies!$2:$2,0)-MATCH($I$1,[2]enemies!$2:$2,0)+1),MATCH(K$1,[2]enemies!$2:$2,0)-MATCH($I$1,[2]enemies!$2:$2,0)+1,FALSE)</f>
        <v>green</v>
      </c>
      <c r="L97" s="29" t="str">
        <f ca="1">VLOOKUP($I97,OFFSET([3]characters!$A$1,0,0,COUNTA([3]characters!$A:$A),MATCH(L$1,[3]characters!$2:$2,0)-MATCH($I$1,[3]characters!$2:$2,0)+1),MATCH(L$1,[3]characters!$2:$2,0)-MATCH($I$1,[3]characters!$2:$2,0)+1,FALSE)</f>
        <v>Drop1N</v>
      </c>
      <c r="M97" s="28" t="str">
        <f ca="1">VLOOKUP($I97,OFFSET([3]characters!$A$1,0,0,COUNTA([3]characters!$A:$A),MATCH(M$1,[3]characters!$2:$2,0)-MATCH($I$1,[3]characters!$2:$2,0)+2),MATCH(M$1,[3]characters!$2:$2,0)-MATCH($I$1,[3]characters!$2:$2,0)+2,FALSE)</f>
        <v>アニマル</v>
      </c>
      <c r="N97" s="5">
        <f ca="1">VLOOKUP($I97,OFFSET([2]enemies!$A$1,0,0,COUNTA([2]enemies!$A:$A),MATCH(N$1,[2]enemies!$2:$2,0)-MATCH($I$1,[2]enemies!$2:$2,0)+1),MATCH(N$1,[2]enemies!$2:$2,0)-MATCH($I$1,[2]enemies!$2:$2,0)+1,FALSE)</f>
        <v>15</v>
      </c>
      <c r="O97" s="6">
        <v>56</v>
      </c>
      <c r="P97" s="41">
        <v>1</v>
      </c>
      <c r="Q97" s="41">
        <v>1</v>
      </c>
      <c r="R97" s="6">
        <v>0</v>
      </c>
      <c r="S97" s="5" t="str">
        <f ca="1">VLOOKUP($T97,OFFSET([4]enemy_skill_sets!$B$1,0,0,COUNTA([4]enemy_skill_sets!$B:$B),MATCH(J$1,[4]enemy_skill_sets!$1:$1,0)-MATCH($T$1,[4]enemy_skill_sets!$1:$1,0)+2),MATCH(J$1,[4]enemy_skill_sets!$1:$1,0)-MATCH($T$1,[4]enemy_skill_sets!$1:$1,0)+2,FALSE)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97" s="5">
        <f ca="1">VLOOKUP($I97,OFFSET([2]enemies!$A$1,0,0,COUNTA([2]enemies!$A:$A),MATCH(T$1,[2]enemies!$2:$2,0)-MATCH($I$1,[2]enemies!$2:$2,0)+1),MATCH(T$1,[2]enemies!$2:$2,0)-MATCH($I$1,[2]enemies!$2:$2,0)+1,FALSE)</f>
        <v>59</v>
      </c>
      <c r="U97" s="7">
        <v>0</v>
      </c>
      <c r="V97" s="7">
        <v>100</v>
      </c>
      <c r="W97" s="7">
        <v>0</v>
      </c>
      <c r="X97" s="26">
        <f ca="1">VLOOKUP($I97,OFFSET([2]enemies!$A$1,0,0,COUNTA([2]enemies!$A:$A),MATCH(X$1,[2]enemies!$2:$2,0)-MATCH($I$1,[2]enemies!$2:$2,0)+1),MATCH(X$1,[2]enemies!$2:$2,0)-MATCH($I$1,[2]enemies!$2:$2,0)+1,FALSE)</f>
        <v>2</v>
      </c>
      <c r="Y97" s="37">
        <v>59</v>
      </c>
      <c r="Z97" s="5" t="str">
        <f ca="1">IFERROR(VLOOKUP($Y97,OFFSET([3]characters!$A$1,0,0,COUNTA([3]characters!$A:$A),MATCH(Z$1,[3]characters!$2:$2,0)-MATCH("character_id",[3]characters!$2:$2,0)+1),MATCH(Z$1,[3]characters!$2:$2,0)-MATCH("character_id",[3]characters!$2:$2,0)+1,FALSE),"")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97" s="5">
        <f ca="1">IFERROR(VLOOKUP($Y97,OFFSET([3]characters!$A$1,0,0,COUNTA([3]characters!$A:$A),MATCH(AA$1,[3]characters!$2:$2,0)-MATCH("character_id",[3]characters!$2:$2,0)+1),MATCH(AA$1,[3]characters!$2:$2,0)-MATCH("character_id",[3]characters!$2:$2,0)+1,FALSE),"")</f>
        <v>2</v>
      </c>
      <c r="AB97" s="5" t="str">
        <f ca="1">IFERROR(VLOOKUP($Y97,OFFSET([3]characters!$A$1,0,0,COUNTA([3]characters!$A:$A),MATCH(AB$1,[3]characters!$2:$2,0)-MATCH("character_id",[3]characters!$2:$2,0)+1),MATCH(AB$1,[3]characters!$2:$2,0)-MATCH("character_id",[3]characters!$2:$2,0)+1,FALSE),"")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7" s="34">
        <v>1</v>
      </c>
      <c r="AD97" s="34">
        <f t="shared" ref="AD97" ca="1" si="76">AA97</f>
        <v>2</v>
      </c>
      <c r="AE97" s="9">
        <v>25</v>
      </c>
      <c r="AF97" s="34">
        <v>0</v>
      </c>
      <c r="AG97" s="34">
        <v>0</v>
      </c>
      <c r="AH97" s="34">
        <v>0</v>
      </c>
      <c r="AI97" s="34">
        <v>0</v>
      </c>
      <c r="AJ97" s="34">
        <v>1</v>
      </c>
    </row>
    <row r="98" spans="1:36" ht="21" customHeight="1">
      <c r="A98" s="21" t="str">
        <f t="shared" ref="A98" si="77">B98&amp;"_"&amp;C98&amp;"-"&amp;G98&amp;"/"&amp;I98&amp;"&lt;lv"&amp;O98&amp;"&gt;"</f>
        <v>10055_1-1/23&lt;lv56&gt;</v>
      </c>
      <c r="B98" s="31">
        <v>10055</v>
      </c>
      <c r="C98" s="35">
        <v>1</v>
      </c>
      <c r="D98" s="20" t="str">
        <f t="shared" ref="D98" si="78">B98&amp;"_"&amp;C98</f>
        <v>10055_1</v>
      </c>
      <c r="E98" s="5" t="str">
        <f ca="1">VLOOKUP($B98,OFFSET([1]quests!$A$1,0,0,COUNTA([1]quests!$A:$A),MATCH(E$1,[1]quests!$1:$1,0)-MATCH($B$1,[1]quests!$1:$1,0)+1),MATCH(E$1,[1]quests!$1:$1,0)-MATCH($B$1,[1]quests!$1:$1,0)+1,FALSE)</f>
        <v>美女と美獣【仮】</v>
      </c>
      <c r="F98" s="5" t="str">
        <f ca="1">VLOOKUP($D98,OFFSET([1]stages!$A$1,0,0,COUNTA([1]stages!$A:$A),MATCH(F$1,[1]stages!$2:$2,0)-MATCH($D$1,[1]stages!$2:$2,0)+1),MATCH(F$1,[1]stages!$2:$2,0)-MATCH($D$1,[1]stages!$2:$2,0)+1,FALSE)</f>
        <v>美女と美獣【仮】</v>
      </c>
      <c r="G98" s="35">
        <v>1</v>
      </c>
      <c r="H98" s="20" t="str">
        <f t="shared" ref="H98" si="79">B98&amp;"_"&amp;C98&amp;"-"&amp;G98</f>
        <v>10055_1-1</v>
      </c>
      <c r="I98" s="37">
        <v>23</v>
      </c>
      <c r="J98" s="26" t="str">
        <f ca="1">VLOOKUP($I98,OFFSET([2]enemies!$A$1,0,0,COUNTA([2]enemies!$A:$A),MATCH(J$1,[2]enemies!$2:$2,0)-MATCH($I$1,[2]enemies!$2:$2,0)+1),MATCH(J$1,[2]enemies!$2:$2,0)-MATCH($I$1,[2]enemies!$2:$2,0)+1,FALSE)</f>
        <v>ミール</v>
      </c>
      <c r="K98" s="29" t="str">
        <f ca="1">VLOOKUP($I98,OFFSET([2]enemies!$A$1,0,0,COUNTA([2]enemies!$A:$A),MATCH(K$1,[2]enemies!$2:$2,0)-MATCH($I$1,[2]enemies!$2:$2,0)+1),MATCH(K$1,[2]enemies!$2:$2,0)-MATCH($I$1,[2]enemies!$2:$2,0)+1,FALSE)</f>
        <v>green</v>
      </c>
      <c r="L98" s="29" t="str">
        <f ca="1">VLOOKUP($I98,OFFSET([3]characters!$A$1,0,0,COUNTA([3]characters!$A:$A),MATCH(L$1,[3]characters!$2:$2,0)-MATCH($I$1,[3]characters!$2:$2,0)+1),MATCH(L$1,[3]characters!$2:$2,0)-MATCH($I$1,[3]characters!$2:$2,0)+1,FALSE)</f>
        <v>Drop1N</v>
      </c>
      <c r="M98" s="28" t="str">
        <f ca="1">VLOOKUP($I98,OFFSET([3]characters!$A$1,0,0,COUNTA([3]characters!$A:$A),MATCH(M$1,[3]characters!$2:$2,0)-MATCH($I$1,[3]characters!$2:$2,0)+2),MATCH(M$1,[3]characters!$2:$2,0)-MATCH($I$1,[3]characters!$2:$2,0)+2,FALSE)</f>
        <v>アニマル</v>
      </c>
      <c r="N98" s="5">
        <f ca="1">VLOOKUP($I98,OFFSET([2]enemies!$A$1,0,0,COUNTA([2]enemies!$A:$A),MATCH(N$1,[2]enemies!$2:$2,0)-MATCH($I$1,[2]enemies!$2:$2,0)+1),MATCH(N$1,[2]enemies!$2:$2,0)-MATCH($I$1,[2]enemies!$2:$2,0)+1,FALSE)</f>
        <v>15</v>
      </c>
      <c r="O98" s="6">
        <v>56</v>
      </c>
      <c r="P98" s="41">
        <v>1</v>
      </c>
      <c r="Q98" s="41">
        <v>1</v>
      </c>
      <c r="R98" s="6">
        <v>0</v>
      </c>
      <c r="S98" s="5" t="str">
        <f ca="1">VLOOKUP($T98,OFFSET([4]enemy_skill_sets!$B$1,0,0,COUNTA([4]enemy_skill_sets!$B:$B),MATCH(J$1,[4]enemy_skill_sets!$1:$1,0)-MATCH($T$1,[4]enemy_skill_sets!$1:$1,0)+2),MATCH(J$1,[4]enemy_skill_sets!$1:$1,0)-MATCH($T$1,[4]enemy_skill_sets!$1:$1,0)+2,FALSE)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8" s="5">
        <f ca="1">VLOOKUP($I98,OFFSET([2]enemies!$A$1,0,0,COUNTA([2]enemies!$A:$A),MATCH(T$1,[2]enemies!$2:$2,0)-MATCH($I$1,[2]enemies!$2:$2,0)+1),MATCH(T$1,[2]enemies!$2:$2,0)-MATCH($I$1,[2]enemies!$2:$2,0)+1,FALSE)</f>
        <v>0</v>
      </c>
      <c r="U98" s="7">
        <v>0</v>
      </c>
      <c r="V98" s="7">
        <v>100</v>
      </c>
      <c r="W98" s="7">
        <v>0</v>
      </c>
      <c r="X98" s="26">
        <f ca="1">VLOOKUP($I98,OFFSET([2]enemies!$A$1,0,0,COUNTA([2]enemies!$A:$A),MATCH(X$1,[2]enemies!$2:$2,0)-MATCH($I$1,[2]enemies!$2:$2,0)+1),MATCH(X$1,[2]enemies!$2:$2,0)-MATCH($I$1,[2]enemies!$2:$2,0)+1,FALSE)</f>
        <v>4</v>
      </c>
      <c r="Y98" s="37">
        <v>23</v>
      </c>
      <c r="Z98" s="5" t="str">
        <f ca="1">IFERROR(VLOOKUP($Y98,OFFSET([3]characters!$A$1,0,0,COUNTA([3]characters!$A:$A),MATCH(Z$1,[3]characters!$2:$2,0)-MATCH("character_id",[3]characters!$2:$2,0)+1),MATCH(Z$1,[3]characters!$2:$2,0)-MATCH("character_id",[3]characters!$2:$2,0)+1,FALSE),"")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98" s="5">
        <f ca="1">IFERROR(VLOOKUP($Y98,OFFSET([3]characters!$A$1,0,0,COUNTA([3]characters!$A:$A),MATCH(AA$1,[3]characters!$2:$2,0)-MATCH("character_id",[3]characters!$2:$2,0)+1),MATCH(AA$1,[3]characters!$2:$2,0)-MATCH("character_id",[3]characters!$2:$2,0)+1,FALSE),"")</f>
        <v>1</v>
      </c>
      <c r="AB98" s="5" t="str">
        <f ca="1">IFERROR(VLOOKUP($Y98,OFFSET([3]characters!$A$1,0,0,COUNTA([3]characters!$A:$A),MATCH(AB$1,[3]characters!$2:$2,0)-MATCH("character_id",[3]characters!$2:$2,0)+1),MATCH(AB$1,[3]characters!$2:$2,0)-MATCH("character_id",[3]characters!$2:$2,0)+1,FALSE),"")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8" s="34">
        <v>1</v>
      </c>
      <c r="AD98" s="34">
        <f t="shared" ref="AD98" ca="1" si="80">AA98</f>
        <v>1</v>
      </c>
      <c r="AE98" s="9">
        <v>25</v>
      </c>
      <c r="AF98" s="34">
        <v>0</v>
      </c>
      <c r="AG98" s="34">
        <v>0</v>
      </c>
      <c r="AH98" s="34">
        <v>0</v>
      </c>
      <c r="AI98" s="34">
        <v>0</v>
      </c>
      <c r="AJ98" s="34">
        <v>1</v>
      </c>
    </row>
    <row r="99" spans="1:36" ht="21" customHeight="1">
      <c r="A99" s="21" t="str">
        <f t="shared" ref="A99" si="81">B99&amp;"_"&amp;C99&amp;"-"&amp;G99&amp;"/"&amp;I99&amp;"&lt;lv"&amp;O99&amp;"&gt;"</f>
        <v>10055_1-1/11&lt;lv56&gt;</v>
      </c>
      <c r="B99" s="31">
        <v>10055</v>
      </c>
      <c r="C99" s="35">
        <v>1</v>
      </c>
      <c r="D99" s="20" t="str">
        <f t="shared" ref="D99" si="82">B99&amp;"_"&amp;C99</f>
        <v>10055_1</v>
      </c>
      <c r="E99" s="5" t="str">
        <f ca="1">VLOOKUP($B99,OFFSET([1]quests!$A$1,0,0,COUNTA([1]quests!$A:$A),MATCH(E$1,[1]quests!$1:$1,0)-MATCH($B$1,[1]quests!$1:$1,0)+1),MATCH(E$1,[1]quests!$1:$1,0)-MATCH($B$1,[1]quests!$1:$1,0)+1,FALSE)</f>
        <v>美女と美獣【仮】</v>
      </c>
      <c r="F99" s="5" t="str">
        <f ca="1">VLOOKUP($D99,OFFSET([1]stages!$A$1,0,0,COUNTA([1]stages!$A:$A),MATCH(F$1,[1]stages!$2:$2,0)-MATCH($D$1,[1]stages!$2:$2,0)+1),MATCH(F$1,[1]stages!$2:$2,0)-MATCH($D$1,[1]stages!$2:$2,0)+1,FALSE)</f>
        <v>美女と美獣【仮】</v>
      </c>
      <c r="G99" s="35">
        <v>1</v>
      </c>
      <c r="H99" s="20" t="str">
        <f t="shared" ref="H99" si="83">B99&amp;"_"&amp;C99&amp;"-"&amp;G99</f>
        <v>10055_1-1</v>
      </c>
      <c r="I99" s="37">
        <v>11</v>
      </c>
      <c r="J99" s="26" t="str">
        <f ca="1">VLOOKUP($I99,OFFSET([2]enemies!$A$1,0,0,COUNTA([2]enemies!$A:$A),MATCH(J$1,[2]enemies!$2:$2,0)-MATCH($I$1,[2]enemies!$2:$2,0)+1),MATCH(J$1,[2]enemies!$2:$2,0)-MATCH($I$1,[2]enemies!$2:$2,0)+1,FALSE)</f>
        <v>マグリット</v>
      </c>
      <c r="K99" s="29" t="str">
        <f ca="1">VLOOKUP($I99,OFFSET([2]enemies!$A$1,0,0,COUNTA([2]enemies!$A:$A),MATCH(K$1,[2]enemies!$2:$2,0)-MATCH($I$1,[2]enemies!$2:$2,0)+1),MATCH(K$1,[2]enemies!$2:$2,0)-MATCH($I$1,[2]enemies!$2:$2,0)+1,FALSE)</f>
        <v>green</v>
      </c>
      <c r="L99" s="29" t="str">
        <f ca="1">VLOOKUP($I99,OFFSET([3]characters!$A$1,0,0,COUNTA([3]characters!$A:$A),MATCH(L$1,[3]characters!$2:$2,0)-MATCH($I$1,[3]characters!$2:$2,0)+1),MATCH(L$1,[3]characters!$2:$2,0)-MATCH($I$1,[3]characters!$2:$2,0)+1,FALSE)</f>
        <v>Drop1W</v>
      </c>
      <c r="M99" s="28" t="str">
        <f ca="1">VLOOKUP($I99,OFFSET([3]characters!$A$1,0,0,COUNTA([3]characters!$A:$A),MATCH(M$1,[3]characters!$2:$2,0)-MATCH($I$1,[3]characters!$2:$2,0)+2),MATCH(M$1,[3]characters!$2:$2,0)-MATCH($I$1,[3]characters!$2:$2,0)+2,FALSE)</f>
        <v>アニマル</v>
      </c>
      <c r="N99" s="5">
        <f ca="1">VLOOKUP($I99,OFFSET([2]enemies!$A$1,0,0,COUNTA([2]enemies!$A:$A),MATCH(N$1,[2]enemies!$2:$2,0)-MATCH($I$1,[2]enemies!$2:$2,0)+1),MATCH(N$1,[2]enemies!$2:$2,0)-MATCH($I$1,[2]enemies!$2:$2,0)+1,FALSE)</f>
        <v>15</v>
      </c>
      <c r="O99" s="6">
        <v>56</v>
      </c>
      <c r="P99" s="41">
        <v>1</v>
      </c>
      <c r="Q99" s="41">
        <v>1</v>
      </c>
      <c r="R99" s="6">
        <v>0</v>
      </c>
      <c r="S99" s="5" t="str">
        <f ca="1">VLOOKUP($T99,OFFSET([4]enemy_skill_sets!$B$1,0,0,COUNTA([4]enemy_skill_sets!$B:$B),MATCH(J$1,[4]enemy_skill_sets!$1:$1,0)-MATCH($T$1,[4]enemy_skill_sets!$1:$1,0)+2),MATCH(J$1,[4]enemy_skill_sets!$1:$1,0)-MATCH($T$1,[4]enemy_skill_sets!$1:$1,0)+2,FALSE)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9" s="5">
        <f ca="1">VLOOKUP($I99,OFFSET([2]enemies!$A$1,0,0,COUNTA([2]enemies!$A:$A),MATCH(T$1,[2]enemies!$2:$2,0)-MATCH($I$1,[2]enemies!$2:$2,0)+1),MATCH(T$1,[2]enemies!$2:$2,0)-MATCH($I$1,[2]enemies!$2:$2,0)+1,FALSE)</f>
        <v>0</v>
      </c>
      <c r="U99" s="7">
        <v>0</v>
      </c>
      <c r="V99" s="7">
        <v>100</v>
      </c>
      <c r="W99" s="7">
        <v>0</v>
      </c>
      <c r="X99" s="26">
        <f ca="1">VLOOKUP($I99,OFFSET([2]enemies!$A$1,0,0,COUNTA([2]enemies!$A:$A),MATCH(X$1,[2]enemies!$2:$2,0)-MATCH($I$1,[2]enemies!$2:$2,0)+1),MATCH(X$1,[2]enemies!$2:$2,0)-MATCH($I$1,[2]enemies!$2:$2,0)+1,FALSE)</f>
        <v>3</v>
      </c>
      <c r="Y99" s="37">
        <v>11</v>
      </c>
      <c r="Z99" s="5" t="str">
        <f ca="1">IFERROR(VLOOKUP($Y99,OFFSET([3]characters!$A$1,0,0,COUNTA([3]characters!$A:$A),MATCH(Z$1,[3]characters!$2:$2,0)-MATCH("character_id",[3]characters!$2:$2,0)+1),MATCH(Z$1,[3]characters!$2:$2,0)-MATCH("character_id",[3]characters!$2:$2,0)+1,FALSE),"")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99" s="5">
        <f ca="1">IFERROR(VLOOKUP($Y99,OFFSET([3]characters!$A$1,0,0,COUNTA([3]characters!$A:$A),MATCH(AA$1,[3]characters!$2:$2,0)-MATCH("character_id",[3]characters!$2:$2,0)+1),MATCH(AA$1,[3]characters!$2:$2,0)-MATCH("character_id",[3]characters!$2:$2,0)+1,FALSE),"")</f>
        <v>1</v>
      </c>
      <c r="AB99" s="5" t="str">
        <f ca="1">IFERROR(VLOOKUP($Y99,OFFSET([3]characters!$A$1,0,0,COUNTA([3]characters!$A:$A),MATCH(AB$1,[3]characters!$2:$2,0)-MATCH("character_id",[3]characters!$2:$2,0)+1),MATCH(AB$1,[3]characters!$2:$2,0)-MATCH("character_id",[3]characters!$2:$2,0)+1,FALSE),"")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99" s="34">
        <v>1</v>
      </c>
      <c r="AD99" s="34">
        <f t="shared" ref="AD99" ca="1" si="84">AA99</f>
        <v>1</v>
      </c>
      <c r="AE99" s="9">
        <v>25</v>
      </c>
      <c r="AF99" s="34">
        <v>0</v>
      </c>
      <c r="AG99" s="34">
        <v>0</v>
      </c>
      <c r="AH99" s="34">
        <v>0</v>
      </c>
      <c r="AI99" s="34">
        <v>0</v>
      </c>
      <c r="AJ99" s="34">
        <v>1</v>
      </c>
    </row>
    <row r="100" spans="1:36" ht="21" customHeight="1">
      <c r="A100" s="21" t="str">
        <f t="shared" ref="A100:A109" si="85">B100&amp;"_"&amp;C100&amp;"-"&amp;G100&amp;"/"&amp;I100&amp;"&lt;lv"&amp;O100&amp;"&gt;"</f>
        <v>10055_1-2/47&lt;lv56&gt;</v>
      </c>
      <c r="B100" s="31">
        <v>10055</v>
      </c>
      <c r="C100" s="35">
        <v>1</v>
      </c>
      <c r="D100" s="20" t="str">
        <f t="shared" ref="D100:D109" si="86">B100&amp;"_"&amp;C100</f>
        <v>10055_1</v>
      </c>
      <c r="E100" s="5" t="str">
        <f ca="1">VLOOKUP($B100,OFFSET([1]quests!$A$1,0,0,COUNTA([1]quests!$A:$A),MATCH(E$1,[1]quests!$1:$1,0)-MATCH($B$1,[1]quests!$1:$1,0)+1),MATCH(E$1,[1]quests!$1:$1,0)-MATCH($B$1,[1]quests!$1:$1,0)+1,FALSE)</f>
        <v>美女と美獣【仮】</v>
      </c>
      <c r="F100" s="5" t="str">
        <f ca="1">VLOOKUP($D100,OFFSET([1]stages!$A$1,0,0,COUNTA([1]stages!$A:$A),MATCH(F$1,[1]stages!$2:$2,0)-MATCH($D$1,[1]stages!$2:$2,0)+1),MATCH(F$1,[1]stages!$2:$2,0)-MATCH($D$1,[1]stages!$2:$2,0)+1,FALSE)</f>
        <v>美女と美獣【仮】</v>
      </c>
      <c r="G100" s="35">
        <v>2</v>
      </c>
      <c r="H100" s="20" t="str">
        <f t="shared" ref="H100:H109" si="87">B100&amp;"_"&amp;C100&amp;"-"&amp;G100</f>
        <v>10055_1-2</v>
      </c>
      <c r="I100" s="37">
        <v>47</v>
      </c>
      <c r="J100" s="26" t="str">
        <f ca="1">VLOOKUP($I100,OFFSET([2]enemies!$A$1,0,0,COUNTA([2]enemies!$A:$A),MATCH(J$1,[2]enemies!$2:$2,0)-MATCH($I$1,[2]enemies!$2:$2,0)+1),MATCH(J$1,[2]enemies!$2:$2,0)-MATCH($I$1,[2]enemies!$2:$2,0)+1,FALSE)</f>
        <v>ヒロ</v>
      </c>
      <c r="K100" s="29" t="str">
        <f ca="1">VLOOKUP($I100,OFFSET([2]enemies!$A$1,0,0,COUNTA([2]enemies!$A:$A),MATCH(K$1,[2]enemies!$2:$2,0)-MATCH($I$1,[2]enemies!$2:$2,0)+1),MATCH(K$1,[2]enemies!$2:$2,0)-MATCH($I$1,[2]enemies!$2:$2,0)+1,FALSE)</f>
        <v>yellow</v>
      </c>
      <c r="L100" s="29" t="str">
        <f ca="1">VLOOKUP($I100,OFFSET([3]characters!$A$1,0,0,COUNTA([3]characters!$A:$A),MATCH(L$1,[3]characters!$2:$2,0)-MATCH($I$1,[3]characters!$2:$2,0)+1),MATCH(L$1,[3]characters!$2:$2,0)-MATCH($I$1,[3]characters!$2:$2,0)+1,FALSE)</f>
        <v>Drop1N</v>
      </c>
      <c r="M100" s="28" t="str">
        <f ca="1">VLOOKUP($I100,OFFSET([3]characters!$A$1,0,0,COUNTA([3]characters!$A:$A),MATCH(M$1,[3]characters!$2:$2,0)-MATCH($I$1,[3]characters!$2:$2,0)+2),MATCH(M$1,[3]characters!$2:$2,0)-MATCH($I$1,[3]characters!$2:$2,0)+2,FALSE)</f>
        <v>アニマル</v>
      </c>
      <c r="N100" s="5">
        <f ca="1">VLOOKUP($I100,OFFSET([2]enemies!$A$1,0,0,COUNTA([2]enemies!$A:$A),MATCH(N$1,[2]enemies!$2:$2,0)-MATCH($I$1,[2]enemies!$2:$2,0)+1),MATCH(N$1,[2]enemies!$2:$2,0)-MATCH($I$1,[2]enemies!$2:$2,0)+1,FALSE)</f>
        <v>15</v>
      </c>
      <c r="O100" s="6">
        <v>56</v>
      </c>
      <c r="P100" s="41">
        <v>1</v>
      </c>
      <c r="Q100" s="41">
        <v>1</v>
      </c>
      <c r="R100" s="6">
        <v>0</v>
      </c>
      <c r="S100" s="5" t="str">
        <f ca="1">VLOOKUP($T100,OFFSET([4]enemy_skill_sets!$B$1,0,0,COUNTA([4]enemy_skill_sets!$B:$B),MATCH(J$1,[4]enemy_skill_sets!$1:$1,0)-MATCH($T$1,[4]enemy_skill_sets!$1:$1,0)+2),MATCH(J$1,[4]enemy_skill_sets!$1:$1,0)-MATCH($T$1,[4]enemy_skill_sets!$1:$1,0)+2,FALSE)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0" s="5">
        <f ca="1">VLOOKUP($I100,OFFSET([2]enemies!$A$1,0,0,COUNTA([2]enemies!$A:$A),MATCH(T$1,[2]enemies!$2:$2,0)-MATCH($I$1,[2]enemies!$2:$2,0)+1),MATCH(T$1,[2]enemies!$2:$2,0)-MATCH($I$1,[2]enemies!$2:$2,0)+1,FALSE)</f>
        <v>0</v>
      </c>
      <c r="U100" s="7">
        <v>0</v>
      </c>
      <c r="V100" s="7">
        <v>100</v>
      </c>
      <c r="W100" s="7">
        <v>0</v>
      </c>
      <c r="X100" s="26">
        <f ca="1">VLOOKUP($I100,OFFSET([2]enemies!$A$1,0,0,COUNTA([2]enemies!$A:$A),MATCH(X$1,[2]enemies!$2:$2,0)-MATCH($I$1,[2]enemies!$2:$2,0)+1),MATCH(X$1,[2]enemies!$2:$2,0)-MATCH($I$1,[2]enemies!$2:$2,0)+1,FALSE)</f>
        <v>1</v>
      </c>
      <c r="Y100" s="37">
        <v>47</v>
      </c>
      <c r="Z100" s="5" t="str">
        <f ca="1">IFERROR(VLOOKUP($Y100,OFFSET([3]characters!$A$1,0,0,COUNTA([3]characters!$A:$A),MATCH(Z$1,[3]characters!$2:$2,0)-MATCH("character_id",[3]characters!$2:$2,0)+1),MATCH(Z$1,[3]characters!$2:$2,0)-MATCH("character_id",[3]characters!$2:$2,0)+1,FALSE),"")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100" s="5">
        <f ca="1">IFERROR(VLOOKUP($Y100,OFFSET([3]characters!$A$1,0,0,COUNTA([3]characters!$A:$A),MATCH(AA$1,[3]characters!$2:$2,0)-MATCH("character_id",[3]characters!$2:$2,0)+1),MATCH(AA$1,[3]characters!$2:$2,0)-MATCH("character_id",[3]characters!$2:$2,0)+1,FALSE),"")</f>
        <v>2</v>
      </c>
      <c r="AB100" s="5" t="str">
        <f ca="1">IFERROR(VLOOKUP($Y100,OFFSET([3]characters!$A$1,0,0,COUNTA([3]characters!$A:$A),MATCH(AB$1,[3]characters!$2:$2,0)-MATCH("character_id",[3]characters!$2:$2,0)+1),MATCH(AB$1,[3]characters!$2:$2,0)-MATCH("character_id",[3]characters!$2:$2,0)+1,FALSE),"")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0" s="34">
        <v>1</v>
      </c>
      <c r="AD100" s="34">
        <f t="shared" ref="AD100:AD109" ca="1" si="88">AA100</f>
        <v>2</v>
      </c>
      <c r="AE100" s="9">
        <v>25</v>
      </c>
      <c r="AF100" s="34">
        <v>0</v>
      </c>
      <c r="AG100" s="34">
        <v>0</v>
      </c>
      <c r="AH100" s="34">
        <v>0</v>
      </c>
      <c r="AI100" s="34">
        <v>0</v>
      </c>
      <c r="AJ100" s="34">
        <v>1</v>
      </c>
    </row>
    <row r="101" spans="1:36" ht="21" customHeight="1">
      <c r="A101" s="21" t="str">
        <f t="shared" ref="A101" si="89">B101&amp;"_"&amp;C101&amp;"-"&amp;G101&amp;"/"&amp;I101&amp;"&lt;lv"&amp;O101&amp;"&gt;"</f>
        <v>10055_1-2/63&lt;lv56&gt;</v>
      </c>
      <c r="B101" s="31">
        <v>10055</v>
      </c>
      <c r="C101" s="35">
        <v>1</v>
      </c>
      <c r="D101" s="20" t="str">
        <f t="shared" ref="D101" si="90">B101&amp;"_"&amp;C101</f>
        <v>10055_1</v>
      </c>
      <c r="E101" s="5" t="str">
        <f ca="1">VLOOKUP($B101,OFFSET([1]quests!$A$1,0,0,COUNTA([1]quests!$A:$A),MATCH(E$1,[1]quests!$1:$1,0)-MATCH($B$1,[1]quests!$1:$1,0)+1),MATCH(E$1,[1]quests!$1:$1,0)-MATCH($B$1,[1]quests!$1:$1,0)+1,FALSE)</f>
        <v>美女と美獣【仮】</v>
      </c>
      <c r="F101" s="5" t="str">
        <f ca="1">VLOOKUP($D101,OFFSET([1]stages!$A$1,0,0,COUNTA([1]stages!$A:$A),MATCH(F$1,[1]stages!$2:$2,0)-MATCH($D$1,[1]stages!$2:$2,0)+1),MATCH(F$1,[1]stages!$2:$2,0)-MATCH($D$1,[1]stages!$2:$2,0)+1,FALSE)</f>
        <v>美女と美獣【仮】</v>
      </c>
      <c r="G101" s="35">
        <v>2</v>
      </c>
      <c r="H101" s="20" t="str">
        <f t="shared" ref="H101" si="91">B101&amp;"_"&amp;C101&amp;"-"&amp;G101</f>
        <v>10055_1-2</v>
      </c>
      <c r="I101" s="37">
        <v>63</v>
      </c>
      <c r="J101" s="26" t="str">
        <f ca="1">VLOOKUP($I101,OFFSET([2]enemies!$A$1,0,0,COUNTA([2]enemies!$A:$A),MATCH(J$1,[2]enemies!$2:$2,0)-MATCH($I$1,[2]enemies!$2:$2,0)+1),MATCH(J$1,[2]enemies!$2:$2,0)-MATCH($I$1,[2]enemies!$2:$2,0)+1,FALSE)</f>
        <v>トニー</v>
      </c>
      <c r="K101" s="29" t="str">
        <f ca="1">VLOOKUP($I101,OFFSET([2]enemies!$A$1,0,0,COUNTA([2]enemies!$A:$A),MATCH(K$1,[2]enemies!$2:$2,0)-MATCH($I$1,[2]enemies!$2:$2,0)+1),MATCH(K$1,[2]enemies!$2:$2,0)-MATCH($I$1,[2]enemies!$2:$2,0)+1,FALSE)</f>
        <v>yellow</v>
      </c>
      <c r="L101" s="29" t="str">
        <f ca="1">VLOOKUP($I101,OFFSET([3]characters!$A$1,0,0,COUNTA([3]characters!$A:$A),MATCH(L$1,[3]characters!$2:$2,0)-MATCH($I$1,[3]characters!$2:$2,0)+1),MATCH(L$1,[3]characters!$2:$2,0)-MATCH($I$1,[3]characters!$2:$2,0)+1,FALSE)</f>
        <v>Drop1N</v>
      </c>
      <c r="M101" s="28" t="str">
        <f ca="1">VLOOKUP($I101,OFFSET([3]characters!$A$1,0,0,COUNTA([3]characters!$A:$A),MATCH(M$1,[3]characters!$2:$2,0)-MATCH($I$1,[3]characters!$2:$2,0)+2),MATCH(M$1,[3]characters!$2:$2,0)-MATCH($I$1,[3]characters!$2:$2,0)+2,FALSE)</f>
        <v>アニマル</v>
      </c>
      <c r="N101" s="5">
        <f ca="1">VLOOKUP($I101,OFFSET([2]enemies!$A$1,0,0,COUNTA([2]enemies!$A:$A),MATCH(N$1,[2]enemies!$2:$2,0)-MATCH($I$1,[2]enemies!$2:$2,0)+1),MATCH(N$1,[2]enemies!$2:$2,0)-MATCH($I$1,[2]enemies!$2:$2,0)+1,FALSE)</f>
        <v>15</v>
      </c>
      <c r="O101" s="6">
        <v>56</v>
      </c>
      <c r="P101" s="41">
        <v>1</v>
      </c>
      <c r="Q101" s="41">
        <v>1</v>
      </c>
      <c r="R101" s="6">
        <v>0</v>
      </c>
      <c r="S101" s="5" t="str">
        <f ca="1">VLOOKUP($T101,OFFSET([4]enemy_skill_sets!$B$1,0,0,COUNTA([4]enemy_skill_sets!$B:$B),MATCH(J$1,[4]enemy_skill_sets!$1:$1,0)-MATCH($T$1,[4]enemy_skill_sets!$1:$1,0)+2),MATCH(J$1,[4]enemy_skill_sets!$1:$1,0)-MATCH($T$1,[4]enemy_skill_sets!$1:$1,0)+2,FALSE)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101" s="5">
        <f ca="1">VLOOKUP($I101,OFFSET([2]enemies!$A$1,0,0,COUNTA([2]enemies!$A:$A),MATCH(T$1,[2]enemies!$2:$2,0)-MATCH($I$1,[2]enemies!$2:$2,0)+1),MATCH(T$1,[2]enemies!$2:$2,0)-MATCH($I$1,[2]enemies!$2:$2,0)+1,FALSE)</f>
        <v>63</v>
      </c>
      <c r="U101" s="7">
        <v>0</v>
      </c>
      <c r="V101" s="7">
        <v>100</v>
      </c>
      <c r="W101" s="7">
        <v>0</v>
      </c>
      <c r="X101" s="26">
        <f ca="1">VLOOKUP($I101,OFFSET([2]enemies!$A$1,0,0,COUNTA([2]enemies!$A:$A),MATCH(X$1,[2]enemies!$2:$2,0)-MATCH($I$1,[2]enemies!$2:$2,0)+1),MATCH(X$1,[2]enemies!$2:$2,0)-MATCH($I$1,[2]enemies!$2:$2,0)+1,FALSE)</f>
        <v>2</v>
      </c>
      <c r="Y101" s="37">
        <v>63</v>
      </c>
      <c r="Z101" s="5" t="str">
        <f ca="1">IFERROR(VLOOKUP($Y101,OFFSET([3]characters!$A$1,0,0,COUNTA([3]characters!$A:$A),MATCH(Z$1,[3]characters!$2:$2,0)-MATCH("character_id",[3]characters!$2:$2,0)+1),MATCH(Z$1,[3]characters!$2:$2,0)-MATCH("character_id",[3]characters!$2:$2,0)+1,FALSE),"")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101" s="5">
        <f ca="1">IFERROR(VLOOKUP($Y101,OFFSET([3]characters!$A$1,0,0,COUNTA([3]characters!$A:$A),MATCH(AA$1,[3]characters!$2:$2,0)-MATCH("character_id",[3]characters!$2:$2,0)+1),MATCH(AA$1,[3]characters!$2:$2,0)-MATCH("character_id",[3]characters!$2:$2,0)+1,FALSE),"")</f>
        <v>2</v>
      </c>
      <c r="AB101" s="5" t="str">
        <f ca="1">IFERROR(VLOOKUP($Y101,OFFSET([3]characters!$A$1,0,0,COUNTA([3]characters!$A:$A),MATCH(AB$1,[3]characters!$2:$2,0)-MATCH("character_id",[3]characters!$2:$2,0)+1),MATCH(AB$1,[3]characters!$2:$2,0)-MATCH("character_id",[3]characters!$2:$2,0)+1,FALSE),"")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1" s="34">
        <v>1</v>
      </c>
      <c r="AD101" s="34">
        <f t="shared" ref="AD101" ca="1" si="92">AA101</f>
        <v>2</v>
      </c>
      <c r="AE101" s="9">
        <v>25</v>
      </c>
      <c r="AF101" s="34">
        <v>0</v>
      </c>
      <c r="AG101" s="34">
        <v>0</v>
      </c>
      <c r="AH101" s="34">
        <v>0</v>
      </c>
      <c r="AI101" s="34">
        <v>0</v>
      </c>
      <c r="AJ101" s="34">
        <v>1</v>
      </c>
    </row>
    <row r="102" spans="1:36" ht="21" customHeight="1">
      <c r="A102" s="21" t="str">
        <f>B102&amp;"_"&amp;C102&amp;"-"&amp;G102&amp;"/"&amp;I102&amp;"&lt;lv"&amp;O102&amp;"&gt;"</f>
        <v>10055_1-3/129&lt;lv56&gt;</v>
      </c>
      <c r="B102" s="31">
        <v>10055</v>
      </c>
      <c r="C102" s="35">
        <v>1</v>
      </c>
      <c r="D102" s="20" t="str">
        <f>B102&amp;"_"&amp;C102</f>
        <v>10055_1</v>
      </c>
      <c r="E102" s="5" t="str">
        <f ca="1">VLOOKUP($B102,OFFSET([1]quests!$A$1,0,0,COUNTA([1]quests!$A:$A),MATCH(E$1,[1]quests!$1:$1,0)-MATCH($B$1,[1]quests!$1:$1,0)+1),MATCH(E$1,[1]quests!$1:$1,0)-MATCH($B$1,[1]quests!$1:$1,0)+1,FALSE)</f>
        <v>美女と美獣【仮】</v>
      </c>
      <c r="F102" s="5" t="str">
        <f ca="1">VLOOKUP($D102,OFFSET([1]stages!$A$1,0,0,COUNTA([1]stages!$A:$A),MATCH(F$1,[1]stages!$2:$2,0)-MATCH($D$1,[1]stages!$2:$2,0)+1),MATCH(F$1,[1]stages!$2:$2,0)-MATCH($D$1,[1]stages!$2:$2,0)+1,FALSE)</f>
        <v>美女と美獣【仮】</v>
      </c>
      <c r="G102" s="35">
        <v>3</v>
      </c>
      <c r="H102" s="20" t="str">
        <f>B102&amp;"_"&amp;C102&amp;"-"&amp;G102</f>
        <v>10055_1-3</v>
      </c>
      <c r="I102" s="37">
        <v>129</v>
      </c>
      <c r="J102" s="26" t="str">
        <f ca="1">VLOOKUP($I102,OFFSET([2]enemies!$A$1,0,0,COUNTA([2]enemies!$A:$A),MATCH(J$1,[2]enemies!$2:$2,0)-MATCH($I$1,[2]enemies!$2:$2,0)+1),MATCH(J$1,[2]enemies!$2:$2,0)-MATCH($I$1,[2]enemies!$2:$2,0)+1,FALSE)</f>
        <v>孤高の狼憑き アマラ</v>
      </c>
      <c r="K102" s="29" t="str">
        <f ca="1">VLOOKUP($I102,OFFSET([2]enemies!$A$1,0,0,COUNTA([2]enemies!$A:$A),MATCH(K$1,[2]enemies!$2:$2,0)-MATCH($I$1,[2]enemies!$2:$2,0)+1),MATCH(K$1,[2]enemies!$2:$2,0)-MATCH($I$1,[2]enemies!$2:$2,0)+1,FALSE)</f>
        <v>green</v>
      </c>
      <c r="L102" s="29" t="str">
        <f ca="1">VLOOKUP($I102,OFFSET([3]characters!$A$1,0,0,COUNTA([3]characters!$A:$A),MATCH(L$1,[3]characters!$2:$2,0)-MATCH($I$1,[3]characters!$2:$2,0)+1),MATCH(L$1,[3]characters!$2:$2,0)-MATCH($I$1,[3]characters!$2:$2,0)+1,FALSE)</f>
        <v>PremiumW</v>
      </c>
      <c r="M102" s="28" t="str">
        <f ca="1">VLOOKUP($I102,OFFSET([3]characters!$A$1,0,0,COUNTA([3]characters!$A:$A),MATCH(M$1,[3]characters!$2:$2,0)-MATCH($I$1,[3]characters!$2:$2,0)+2),MATCH(M$1,[3]characters!$2:$2,0)-MATCH($I$1,[3]characters!$2:$2,0)+2,FALSE)</f>
        <v>ヒューマン</v>
      </c>
      <c r="N102" s="5">
        <f ca="1">VLOOKUP($I102,OFFSET([2]enemies!$A$1,0,0,COUNTA([2]enemies!$A:$A),MATCH(N$1,[2]enemies!$2:$2,0)-MATCH($I$1,[2]enemies!$2:$2,0)+1),MATCH(N$1,[2]enemies!$2:$2,0)-MATCH($I$1,[2]enemies!$2:$2,0)+1,FALSE)</f>
        <v>30</v>
      </c>
      <c r="O102" s="6">
        <v>56</v>
      </c>
      <c r="P102" s="41">
        <v>1</v>
      </c>
      <c r="Q102" s="41">
        <v>1</v>
      </c>
      <c r="R102" s="6">
        <v>0</v>
      </c>
      <c r="S102" s="5" t="str">
        <f ca="1">VLOOKUP($T102,OFFSET([4]enemy_skill_sets!$B$1,0,0,COUNTA([4]enemy_skill_sets!$B:$B),MATCH(J$1,[4]enemy_skill_sets!$1:$1,0)-MATCH($T$1,[4]enemy_skill_sets!$1:$1,0)+2),MATCH(J$1,[4]enemy_skill_sets!$1:$1,0)-MATCH($T$1,[4]enemy_skill_sets!$1:$1,0)+2,FALSE)</f>
        <v>攻撃力×1.5倍の攻撃</v>
      </c>
      <c r="T102" s="5">
        <v>12901</v>
      </c>
      <c r="U102" s="7">
        <v>1</v>
      </c>
      <c r="V102" s="7">
        <v>100</v>
      </c>
      <c r="W102" s="7">
        <v>1</v>
      </c>
      <c r="X102" s="26">
        <f ca="1">VLOOKUP($I102,OFFSET([2]enemies!$A$1,0,0,COUNTA([2]enemies!$A:$A),MATCH(X$1,[2]enemies!$2:$2,0)-MATCH($I$1,[2]enemies!$2:$2,0)+1),MATCH(X$1,[2]enemies!$2:$2,0)-MATCH($I$1,[2]enemies!$2:$2,0)+1,FALSE)</f>
        <v>3</v>
      </c>
      <c r="Y102" s="37">
        <v>128</v>
      </c>
      <c r="Z102" s="5" t="str">
        <f ca="1">IFERROR(VLOOKUP($Y102,OFFSET([3]characters!$A$1,0,0,COUNTA([3]characters!$A:$A),MATCH(Z$1,[3]characters!$2:$2,0)-MATCH("character_id",[3]characters!$2:$2,0)+1),MATCH(Z$1,[3]characters!$2:$2,0)-MATCH("character_id",[3]characters!$2:$2,0)+1,FALSE),"")</f>
        <v>野生児 アマラ</v>
      </c>
      <c r="AA102" s="5">
        <f ca="1">IFERROR(VLOOKUP($Y102,OFFSET([3]characters!$A$1,0,0,COUNTA([3]characters!$A:$A),MATCH(AA$1,[3]characters!$2:$2,0)-MATCH("character_id",[3]characters!$2:$2,0)+1),MATCH(AA$1,[3]characters!$2:$2,0)-MATCH("character_id",[3]characters!$2:$2,0)+1,FALSE),"")</f>
        <v>3</v>
      </c>
      <c r="AB102" s="5" t="str">
        <f ca="1">IFERROR(VLOOKUP($Y102,OFFSET([3]characters!$A$1,0,0,COUNTA([3]characters!$A:$A),MATCH(AB$1,[3]characters!$2:$2,0)-MATCH("character_id",[3]characters!$2:$2,0)+1),MATCH(AB$1,[3]characters!$2:$2,0)-MATCH("character_id",[3]characters!$2:$2,0)+1,FALSE),"")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02" s="34">
        <v>1</v>
      </c>
      <c r="AD102" s="34">
        <f ca="1">AA102</f>
        <v>3</v>
      </c>
      <c r="AE102" s="9">
        <v>0</v>
      </c>
      <c r="AF102" s="34">
        <v>0</v>
      </c>
      <c r="AG102" s="34">
        <v>0</v>
      </c>
      <c r="AH102" s="34">
        <v>0</v>
      </c>
      <c r="AI102" s="34">
        <v>0</v>
      </c>
      <c r="AJ102" s="34">
        <v>1</v>
      </c>
    </row>
    <row r="103" spans="1:36" ht="21" customHeight="1">
      <c r="A103" s="21" t="str">
        <f t="shared" ref="A103" si="93">B103&amp;"_"&amp;C103&amp;"-"&amp;G103&amp;"/"&amp;I103&amp;"&lt;lv"&amp;O103&amp;"&gt;"</f>
        <v>10055_1-3/141&lt;lv56&gt;</v>
      </c>
      <c r="B103" s="31">
        <v>10055</v>
      </c>
      <c r="C103" s="35">
        <v>1</v>
      </c>
      <c r="D103" s="20" t="str">
        <f t="shared" ref="D103" si="94">B103&amp;"_"&amp;C103</f>
        <v>10055_1</v>
      </c>
      <c r="E103" s="5" t="str">
        <f ca="1">VLOOKUP($B103,OFFSET([1]quests!$A$1,0,0,COUNTA([1]quests!$A:$A),MATCH(E$1,[1]quests!$1:$1,0)-MATCH($B$1,[1]quests!$1:$1,0)+1),MATCH(E$1,[1]quests!$1:$1,0)-MATCH($B$1,[1]quests!$1:$1,0)+1,FALSE)</f>
        <v>美女と美獣【仮】</v>
      </c>
      <c r="F103" s="5" t="str">
        <f ca="1">VLOOKUP($D103,OFFSET([1]stages!$A$1,0,0,COUNTA([1]stages!$A:$A),MATCH(F$1,[1]stages!$2:$2,0)-MATCH($D$1,[1]stages!$2:$2,0)+1),MATCH(F$1,[1]stages!$2:$2,0)-MATCH($D$1,[1]stages!$2:$2,0)+1,FALSE)</f>
        <v>美女と美獣【仮】</v>
      </c>
      <c r="G103" s="35">
        <v>3</v>
      </c>
      <c r="H103" s="20" t="str">
        <f t="shared" ref="H103" si="95">B103&amp;"_"&amp;C103&amp;"-"&amp;G103</f>
        <v>10055_1-3</v>
      </c>
      <c r="I103" s="37">
        <v>141</v>
      </c>
      <c r="J103" s="26" t="str">
        <f ca="1">VLOOKUP($I103,OFFSET([2]enemies!$A$1,0,0,COUNTA([2]enemies!$A:$A),MATCH(J$1,[2]enemies!$2:$2,0)-MATCH($I$1,[2]enemies!$2:$2,0)+1),MATCH(J$1,[2]enemies!$2:$2,0)-MATCH($I$1,[2]enemies!$2:$2,0)+1,FALSE)</f>
        <v>妖狐演舞 タマモ</v>
      </c>
      <c r="K103" s="29" t="str">
        <f ca="1">VLOOKUP($I103,OFFSET([2]enemies!$A$1,0,0,COUNTA([2]enemies!$A:$A),MATCH(K$1,[2]enemies!$2:$2,0)-MATCH($I$1,[2]enemies!$2:$2,0)+1),MATCH(K$1,[2]enemies!$2:$2,0)-MATCH($I$1,[2]enemies!$2:$2,0)+1,FALSE)</f>
        <v>yellow</v>
      </c>
      <c r="L103" s="29" t="str">
        <f ca="1">VLOOKUP($I103,OFFSET([3]characters!$A$1,0,0,COUNTA([3]characters!$A:$A),MATCH(L$1,[3]characters!$2:$2,0)-MATCH($I$1,[3]characters!$2:$2,0)+1),MATCH(L$1,[3]characters!$2:$2,0)-MATCH($I$1,[3]characters!$2:$2,0)+1,FALSE)</f>
        <v>PremiumW</v>
      </c>
      <c r="M103" s="28" t="str">
        <f ca="1">VLOOKUP($I103,OFFSET([3]characters!$A$1,0,0,COUNTA([3]characters!$A:$A),MATCH(M$1,[3]characters!$2:$2,0)-MATCH($I$1,[3]characters!$2:$2,0)+2),MATCH(M$1,[3]characters!$2:$2,0)-MATCH($I$1,[3]characters!$2:$2,0)+2,FALSE)</f>
        <v>アニマル</v>
      </c>
      <c r="N103" s="5">
        <f ca="1">VLOOKUP($I103,OFFSET([2]enemies!$A$1,0,0,COUNTA([2]enemies!$A:$A),MATCH(N$1,[2]enemies!$2:$2,0)-MATCH($I$1,[2]enemies!$2:$2,0)+1),MATCH(N$1,[2]enemies!$2:$2,0)-MATCH($I$1,[2]enemies!$2:$2,0)+1,FALSE)</f>
        <v>30</v>
      </c>
      <c r="O103" s="6">
        <v>56</v>
      </c>
      <c r="P103" s="41">
        <v>1</v>
      </c>
      <c r="Q103" s="41">
        <v>1.2</v>
      </c>
      <c r="R103" s="6">
        <v>0</v>
      </c>
      <c r="S103" s="5" t="str">
        <f ca="1">VLOOKUP($T103,OFFSET([4]enemy_skill_sets!$B$1,0,0,COUNTA([4]enemy_skill_sets!$B:$B),MATCH(J$1,[4]enemy_skill_sets!$1:$1,0)-MATCH($T$1,[4]enemy_skill_sets!$1:$1,0)+2),MATCH(J$1,[4]enemy_skill_sets!$1:$1,0)-MATCH($T$1,[4]enemy_skill_sets!$1:$1,0)+2,FALSE)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03" s="5">
        <v>14101</v>
      </c>
      <c r="U103" s="7">
        <v>1</v>
      </c>
      <c r="V103" s="7">
        <v>100</v>
      </c>
      <c r="W103" s="7">
        <v>1</v>
      </c>
      <c r="X103" s="26">
        <f ca="1">VLOOKUP($I103,OFFSET([2]enemies!$A$1,0,0,COUNTA([2]enemies!$A:$A),MATCH(X$1,[2]enemies!$2:$2,0)-MATCH($I$1,[2]enemies!$2:$2,0)+1),MATCH(X$1,[2]enemies!$2:$2,0)-MATCH($I$1,[2]enemies!$2:$2,0)+1,FALSE)</f>
        <v>2</v>
      </c>
      <c r="Y103" s="37">
        <v>140</v>
      </c>
      <c r="Z103" s="5" t="str">
        <f ca="1">IFERROR(VLOOKUP($Y103,OFFSET([3]characters!$A$1,0,0,COUNTA([3]characters!$A:$A),MATCH(Z$1,[3]characters!$2:$2,0)-MATCH("character_id",[3]characters!$2:$2,0)+1),MATCH(Z$1,[3]characters!$2:$2,0)-MATCH("character_id",[3]characters!$2:$2,0)+1,FALSE),"")</f>
        <v>秋祭のタマモ</v>
      </c>
      <c r="AA103" s="5">
        <f ca="1">IFERROR(VLOOKUP($Y103,OFFSET([3]characters!$A$1,0,0,COUNTA([3]characters!$A:$A),MATCH(AA$1,[3]characters!$2:$2,0)-MATCH("character_id",[3]characters!$2:$2,0)+1),MATCH(AA$1,[3]characters!$2:$2,0)-MATCH("character_id",[3]characters!$2:$2,0)+1,FALSE),"")</f>
        <v>3</v>
      </c>
      <c r="AB103" s="5" t="str">
        <f ca="1">IFERROR(VLOOKUP($Y103,OFFSET([3]characters!$A$1,0,0,COUNTA([3]characters!$A:$A),MATCH(AB$1,[3]characters!$2:$2,0)-MATCH("character_id",[3]characters!$2:$2,0)+1),MATCH(AB$1,[3]characters!$2:$2,0)-MATCH("character_id",[3]characters!$2:$2,0)+1,FALSE),"")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03" s="34">
        <v>1</v>
      </c>
      <c r="AD103" s="34">
        <f t="shared" ref="AD103" ca="1" si="96">AA103</f>
        <v>3</v>
      </c>
      <c r="AE103" s="9">
        <v>0</v>
      </c>
      <c r="AF103" s="34">
        <v>0</v>
      </c>
      <c r="AG103" s="34">
        <v>0</v>
      </c>
      <c r="AH103" s="34">
        <v>0</v>
      </c>
      <c r="AI103" s="34">
        <v>0</v>
      </c>
      <c r="AJ103" s="34">
        <v>1</v>
      </c>
    </row>
    <row r="104" spans="1:36" ht="21" customHeight="1">
      <c r="A104" s="21" t="str">
        <f t="shared" si="85"/>
        <v>10055_1-4/13&lt;lv56&gt;</v>
      </c>
      <c r="B104" s="31">
        <v>10055</v>
      </c>
      <c r="C104" s="35">
        <v>1</v>
      </c>
      <c r="D104" s="20" t="str">
        <f t="shared" si="86"/>
        <v>10055_1</v>
      </c>
      <c r="E104" s="5" t="str">
        <f ca="1">VLOOKUP($B104,OFFSET([1]quests!$A$1,0,0,COUNTA([1]quests!$A:$A),MATCH(E$1,[1]quests!$1:$1,0)-MATCH($B$1,[1]quests!$1:$1,0)+1),MATCH(E$1,[1]quests!$1:$1,0)-MATCH($B$1,[1]quests!$1:$1,0)+1,FALSE)</f>
        <v>美女と美獣【仮】</v>
      </c>
      <c r="F104" s="5" t="str">
        <f ca="1">VLOOKUP($D104,OFFSET([1]stages!$A$1,0,0,COUNTA([1]stages!$A:$A),MATCH(F$1,[1]stages!$2:$2,0)-MATCH($D$1,[1]stages!$2:$2,0)+1),MATCH(F$1,[1]stages!$2:$2,0)-MATCH($D$1,[1]stages!$2:$2,0)+1,FALSE)</f>
        <v>美女と美獣【仮】</v>
      </c>
      <c r="G104" s="35">
        <v>4</v>
      </c>
      <c r="H104" s="20" t="str">
        <f t="shared" si="87"/>
        <v>10055_1-4</v>
      </c>
      <c r="I104" s="37">
        <v>13</v>
      </c>
      <c r="J104" s="26" t="str">
        <f ca="1">VLOOKUP($I104,OFFSET([2]enemies!$A$1,0,0,COUNTA([2]enemies!$A:$A),MATCH(J$1,[2]enemies!$2:$2,0)-MATCH($I$1,[2]enemies!$2:$2,0)+1),MATCH(J$1,[2]enemies!$2:$2,0)-MATCH($I$1,[2]enemies!$2:$2,0)+1,FALSE)</f>
        <v>ミミ</v>
      </c>
      <c r="K104" s="29" t="str">
        <f ca="1">VLOOKUP($I104,OFFSET([2]enemies!$A$1,0,0,COUNTA([2]enemies!$A:$A),MATCH(K$1,[2]enemies!$2:$2,0)-MATCH($I$1,[2]enemies!$2:$2,0)+1),MATCH(K$1,[2]enemies!$2:$2,0)-MATCH($I$1,[2]enemies!$2:$2,0)+1,FALSE)</f>
        <v>yellow</v>
      </c>
      <c r="L104" s="29" t="str">
        <f ca="1">VLOOKUP($I104,OFFSET([3]characters!$A$1,0,0,COUNTA([3]characters!$A:$A),MATCH(L$1,[3]characters!$2:$2,0)-MATCH($I$1,[3]characters!$2:$2,0)+1),MATCH(L$1,[3]characters!$2:$2,0)-MATCH($I$1,[3]characters!$2:$2,0)+1,FALSE)</f>
        <v>Drop1W</v>
      </c>
      <c r="M104" s="28" t="str">
        <f ca="1">VLOOKUP($I104,OFFSET([3]characters!$A$1,0,0,COUNTA([3]characters!$A:$A),MATCH(M$1,[3]characters!$2:$2,0)-MATCH($I$1,[3]characters!$2:$2,0)+2),MATCH(M$1,[3]characters!$2:$2,0)-MATCH($I$1,[3]characters!$2:$2,0)+2,FALSE)</f>
        <v>アニマル</v>
      </c>
      <c r="N104" s="5">
        <f ca="1">VLOOKUP($I104,OFFSET([2]enemies!$A$1,0,0,COUNTA([2]enemies!$A:$A),MATCH(N$1,[2]enemies!$2:$2,0)-MATCH($I$1,[2]enemies!$2:$2,0)+1),MATCH(N$1,[2]enemies!$2:$2,0)-MATCH($I$1,[2]enemies!$2:$2,0)+1,FALSE)</f>
        <v>15</v>
      </c>
      <c r="O104" s="6">
        <v>56</v>
      </c>
      <c r="P104" s="41">
        <v>1</v>
      </c>
      <c r="Q104" s="41">
        <v>1</v>
      </c>
      <c r="R104" s="6">
        <v>0</v>
      </c>
      <c r="S104" s="5" t="str">
        <f ca="1">VLOOKUP($T104,OFFSET([4]enemy_skill_sets!$B$1,0,0,COUNTA([4]enemy_skill_sets!$B:$B),MATCH(J$1,[4]enemy_skill_sets!$1:$1,0)-MATCH($T$1,[4]enemy_skill_sets!$1:$1,0)+2),MATCH(J$1,[4]enemy_skill_sets!$1:$1,0)-MATCH($T$1,[4]enemy_skill_sets!$1:$1,0)+2,FALSE)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4" s="5">
        <f ca="1">VLOOKUP($I104,OFFSET([2]enemies!$A$1,0,0,COUNTA([2]enemies!$A:$A),MATCH(T$1,[2]enemies!$2:$2,0)-MATCH($I$1,[2]enemies!$2:$2,0)+1),MATCH(T$1,[2]enemies!$2:$2,0)-MATCH($I$1,[2]enemies!$2:$2,0)+1,FALSE)</f>
        <v>0</v>
      </c>
      <c r="U104" s="7">
        <v>0</v>
      </c>
      <c r="V104" s="7">
        <v>100</v>
      </c>
      <c r="W104" s="7">
        <v>0</v>
      </c>
      <c r="X104" s="26">
        <f ca="1">VLOOKUP($I104,OFFSET([2]enemies!$A$1,0,0,COUNTA([2]enemies!$A:$A),MATCH(X$1,[2]enemies!$2:$2,0)-MATCH($I$1,[2]enemies!$2:$2,0)+1),MATCH(X$1,[2]enemies!$2:$2,0)-MATCH($I$1,[2]enemies!$2:$2,0)+1,FALSE)</f>
        <v>2</v>
      </c>
      <c r="Y104" s="37">
        <v>13</v>
      </c>
      <c r="Z104" s="5" t="str">
        <f ca="1">IFERROR(VLOOKUP($Y104,OFFSET([3]characters!$A$1,0,0,COUNTA([3]characters!$A:$A),MATCH(Z$1,[3]characters!$2:$2,0)-MATCH("character_id",[3]characters!$2:$2,0)+1),MATCH(Z$1,[3]characters!$2:$2,0)-MATCH("character_id",[3]characters!$2:$2,0)+1,FALSE),"")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104" s="5">
        <f ca="1">IFERROR(VLOOKUP($Y104,OFFSET([3]characters!$A$1,0,0,COUNTA([3]characters!$A:$A),MATCH(AA$1,[3]characters!$2:$2,0)-MATCH("character_id",[3]characters!$2:$2,0)+1),MATCH(AA$1,[3]characters!$2:$2,0)-MATCH("character_id",[3]characters!$2:$2,0)+1,FALSE),"")</f>
        <v>1</v>
      </c>
      <c r="AB104" s="5" t="str">
        <f ca="1">IFERROR(VLOOKUP($Y104,OFFSET([3]characters!$A$1,0,0,COUNTA([3]characters!$A:$A),MATCH(AB$1,[3]characters!$2:$2,0)-MATCH("character_id",[3]characters!$2:$2,0)+1),MATCH(AB$1,[3]characters!$2:$2,0)-MATCH("character_id",[3]characters!$2:$2,0)+1,FALSE),"")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04" s="34">
        <v>1</v>
      </c>
      <c r="AD104" s="34">
        <f t="shared" ca="1" si="88"/>
        <v>1</v>
      </c>
      <c r="AE104" s="9">
        <v>25</v>
      </c>
      <c r="AF104" s="34">
        <v>0</v>
      </c>
      <c r="AG104" s="34">
        <v>0</v>
      </c>
      <c r="AH104" s="34">
        <v>0</v>
      </c>
      <c r="AI104" s="34">
        <v>0</v>
      </c>
      <c r="AJ104" s="34">
        <v>1</v>
      </c>
    </row>
    <row r="105" spans="1:36" ht="21" customHeight="1">
      <c r="A105" s="21" t="str">
        <f t="shared" ref="A105" si="97">B105&amp;"_"&amp;C105&amp;"-"&amp;G105&amp;"/"&amp;I105&amp;"&lt;lv"&amp;O105&amp;"&gt;"</f>
        <v>10055_1-4/11&lt;lv56&gt;</v>
      </c>
      <c r="B105" s="31">
        <v>10055</v>
      </c>
      <c r="C105" s="35">
        <v>1</v>
      </c>
      <c r="D105" s="20" t="str">
        <f t="shared" ref="D105" si="98">B105&amp;"_"&amp;C105</f>
        <v>10055_1</v>
      </c>
      <c r="E105" s="5" t="str">
        <f ca="1">VLOOKUP($B105,OFFSET([1]quests!$A$1,0,0,COUNTA([1]quests!$A:$A),MATCH(E$1,[1]quests!$1:$1,0)-MATCH($B$1,[1]quests!$1:$1,0)+1),MATCH(E$1,[1]quests!$1:$1,0)-MATCH($B$1,[1]quests!$1:$1,0)+1,FALSE)</f>
        <v>美女と美獣【仮】</v>
      </c>
      <c r="F105" s="5" t="str">
        <f ca="1">VLOOKUP($D105,OFFSET([1]stages!$A$1,0,0,COUNTA([1]stages!$A:$A),MATCH(F$1,[1]stages!$2:$2,0)-MATCH($D$1,[1]stages!$2:$2,0)+1),MATCH(F$1,[1]stages!$2:$2,0)-MATCH($D$1,[1]stages!$2:$2,0)+1,FALSE)</f>
        <v>美女と美獣【仮】</v>
      </c>
      <c r="G105" s="35">
        <v>4</v>
      </c>
      <c r="H105" s="20" t="str">
        <f t="shared" ref="H105" si="99">B105&amp;"_"&amp;C105&amp;"-"&amp;G105</f>
        <v>10055_1-4</v>
      </c>
      <c r="I105" s="37">
        <v>11</v>
      </c>
      <c r="J105" s="26" t="str">
        <f ca="1">VLOOKUP($I105,OFFSET([2]enemies!$A$1,0,0,COUNTA([2]enemies!$A:$A),MATCH(J$1,[2]enemies!$2:$2,0)-MATCH($I$1,[2]enemies!$2:$2,0)+1),MATCH(J$1,[2]enemies!$2:$2,0)-MATCH($I$1,[2]enemies!$2:$2,0)+1,FALSE)</f>
        <v>マグリット</v>
      </c>
      <c r="K105" s="29" t="str">
        <f ca="1">VLOOKUP($I105,OFFSET([2]enemies!$A$1,0,0,COUNTA([2]enemies!$A:$A),MATCH(K$1,[2]enemies!$2:$2,0)-MATCH($I$1,[2]enemies!$2:$2,0)+1),MATCH(K$1,[2]enemies!$2:$2,0)-MATCH($I$1,[2]enemies!$2:$2,0)+1,FALSE)</f>
        <v>green</v>
      </c>
      <c r="L105" s="29" t="str">
        <f ca="1">VLOOKUP($I105,OFFSET([3]characters!$A$1,0,0,COUNTA([3]characters!$A:$A),MATCH(L$1,[3]characters!$2:$2,0)-MATCH($I$1,[3]characters!$2:$2,0)+1),MATCH(L$1,[3]characters!$2:$2,0)-MATCH($I$1,[3]characters!$2:$2,0)+1,FALSE)</f>
        <v>Drop1W</v>
      </c>
      <c r="M105" s="28" t="str">
        <f ca="1">VLOOKUP($I105,OFFSET([3]characters!$A$1,0,0,COUNTA([3]characters!$A:$A),MATCH(M$1,[3]characters!$2:$2,0)-MATCH($I$1,[3]characters!$2:$2,0)+2),MATCH(M$1,[3]characters!$2:$2,0)-MATCH($I$1,[3]characters!$2:$2,0)+2,FALSE)</f>
        <v>アニマル</v>
      </c>
      <c r="N105" s="5">
        <f ca="1">VLOOKUP($I105,OFFSET([2]enemies!$A$1,0,0,COUNTA([2]enemies!$A:$A),MATCH(N$1,[2]enemies!$2:$2,0)-MATCH($I$1,[2]enemies!$2:$2,0)+1),MATCH(N$1,[2]enemies!$2:$2,0)-MATCH($I$1,[2]enemies!$2:$2,0)+1,FALSE)</f>
        <v>15</v>
      </c>
      <c r="O105" s="6">
        <v>56</v>
      </c>
      <c r="P105" s="41">
        <v>1</v>
      </c>
      <c r="Q105" s="41">
        <v>1</v>
      </c>
      <c r="R105" s="6">
        <v>0</v>
      </c>
      <c r="S105" s="5" t="str">
        <f ca="1">VLOOKUP($T105,OFFSET([4]enemy_skill_sets!$B$1,0,0,COUNTA([4]enemy_skill_sets!$B:$B),MATCH(J$1,[4]enemy_skill_sets!$1:$1,0)-MATCH($T$1,[4]enemy_skill_sets!$1:$1,0)+2),MATCH(J$1,[4]enemy_skill_sets!$1:$1,0)-MATCH($T$1,[4]enemy_skill_sets!$1:$1,0)+2,FALSE)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5" s="5">
        <f ca="1">VLOOKUP($I105,OFFSET([2]enemies!$A$1,0,0,COUNTA([2]enemies!$A:$A),MATCH(T$1,[2]enemies!$2:$2,0)-MATCH($I$1,[2]enemies!$2:$2,0)+1),MATCH(T$1,[2]enemies!$2:$2,0)-MATCH($I$1,[2]enemies!$2:$2,0)+1,FALSE)</f>
        <v>0</v>
      </c>
      <c r="U105" s="7">
        <v>0</v>
      </c>
      <c r="V105" s="7">
        <v>100</v>
      </c>
      <c r="W105" s="7">
        <v>0</v>
      </c>
      <c r="X105" s="26">
        <f ca="1">VLOOKUP($I105,OFFSET([2]enemies!$A$1,0,0,COUNTA([2]enemies!$A:$A),MATCH(X$1,[2]enemies!$2:$2,0)-MATCH($I$1,[2]enemies!$2:$2,0)+1),MATCH(X$1,[2]enemies!$2:$2,0)-MATCH($I$1,[2]enemies!$2:$2,0)+1,FALSE)</f>
        <v>3</v>
      </c>
      <c r="Y105" s="37">
        <v>11</v>
      </c>
      <c r="Z105" s="5" t="str">
        <f ca="1">IFERROR(VLOOKUP($Y105,OFFSET([3]characters!$A$1,0,0,COUNTA([3]characters!$A:$A),MATCH(Z$1,[3]characters!$2:$2,0)-MATCH("character_id",[3]characters!$2:$2,0)+1),MATCH(Z$1,[3]characters!$2:$2,0)-MATCH("character_id",[3]characters!$2:$2,0)+1,FALSE),"")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105" s="5">
        <f ca="1">IFERROR(VLOOKUP($Y105,OFFSET([3]characters!$A$1,0,0,COUNTA([3]characters!$A:$A),MATCH(AA$1,[3]characters!$2:$2,0)-MATCH("character_id",[3]characters!$2:$2,0)+1),MATCH(AA$1,[3]characters!$2:$2,0)-MATCH("character_id",[3]characters!$2:$2,0)+1,FALSE),"")</f>
        <v>1</v>
      </c>
      <c r="AB105" s="5" t="str">
        <f ca="1">IFERROR(VLOOKUP($Y105,OFFSET([3]characters!$A$1,0,0,COUNTA([3]characters!$A:$A),MATCH(AB$1,[3]characters!$2:$2,0)-MATCH("character_id",[3]characters!$2:$2,0)+1),MATCH(AB$1,[3]characters!$2:$2,0)-MATCH("character_id",[3]characters!$2:$2,0)+1,FALSE),"")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05" s="34">
        <v>1</v>
      </c>
      <c r="AD105" s="34">
        <f t="shared" ref="AD105" ca="1" si="100">AA105</f>
        <v>1</v>
      </c>
      <c r="AE105" s="9">
        <v>25</v>
      </c>
      <c r="AF105" s="34">
        <v>0</v>
      </c>
      <c r="AG105" s="34">
        <v>0</v>
      </c>
      <c r="AH105" s="34">
        <v>0</v>
      </c>
      <c r="AI105" s="34">
        <v>0</v>
      </c>
      <c r="AJ105" s="34">
        <v>1</v>
      </c>
    </row>
    <row r="106" spans="1:36" ht="21" customHeight="1">
      <c r="A106" s="21" t="str">
        <f t="shared" ref="A106" si="101">B106&amp;"_"&amp;C106&amp;"-"&amp;G106&amp;"/"&amp;I106&amp;"&lt;lv"&amp;O106&amp;"&gt;"</f>
        <v>10055_1-4/59&lt;lv56&gt;</v>
      </c>
      <c r="B106" s="31">
        <v>10055</v>
      </c>
      <c r="C106" s="35">
        <v>1</v>
      </c>
      <c r="D106" s="20" t="str">
        <f t="shared" ref="D106" si="102">B106&amp;"_"&amp;C106</f>
        <v>10055_1</v>
      </c>
      <c r="E106" s="5" t="str">
        <f ca="1">VLOOKUP($B106,OFFSET([1]quests!$A$1,0,0,COUNTA([1]quests!$A:$A),MATCH(E$1,[1]quests!$1:$1,0)-MATCH($B$1,[1]quests!$1:$1,0)+1),MATCH(E$1,[1]quests!$1:$1,0)-MATCH($B$1,[1]quests!$1:$1,0)+1,FALSE)</f>
        <v>美女と美獣【仮】</v>
      </c>
      <c r="F106" s="5" t="str">
        <f ca="1">VLOOKUP($D106,OFFSET([1]stages!$A$1,0,0,COUNTA([1]stages!$A:$A),MATCH(F$1,[1]stages!$2:$2,0)-MATCH($D$1,[1]stages!$2:$2,0)+1),MATCH(F$1,[1]stages!$2:$2,0)-MATCH($D$1,[1]stages!$2:$2,0)+1,FALSE)</f>
        <v>美女と美獣【仮】</v>
      </c>
      <c r="G106" s="35">
        <v>4</v>
      </c>
      <c r="H106" s="20" t="str">
        <f t="shared" ref="H106" si="103">B106&amp;"_"&amp;C106&amp;"-"&amp;G106</f>
        <v>10055_1-4</v>
      </c>
      <c r="I106" s="37">
        <v>59</v>
      </c>
      <c r="J106" s="26" t="str">
        <f ca="1">VLOOKUP($I106,OFFSET([2]enemies!$A$1,0,0,COUNTA([2]enemies!$A:$A),MATCH(J$1,[2]enemies!$2:$2,0)-MATCH($I$1,[2]enemies!$2:$2,0)+1),MATCH(J$1,[2]enemies!$2:$2,0)-MATCH($I$1,[2]enemies!$2:$2,0)+1,FALSE)</f>
        <v>マーチ</v>
      </c>
      <c r="K106" s="29" t="str">
        <f ca="1">VLOOKUP($I106,OFFSET([2]enemies!$A$1,0,0,COUNTA([2]enemies!$A:$A),MATCH(K$1,[2]enemies!$2:$2,0)-MATCH($I$1,[2]enemies!$2:$2,0)+1),MATCH(K$1,[2]enemies!$2:$2,0)-MATCH($I$1,[2]enemies!$2:$2,0)+1,FALSE)</f>
        <v>green</v>
      </c>
      <c r="L106" s="29" t="str">
        <f ca="1">VLOOKUP($I106,OFFSET([3]characters!$A$1,0,0,COUNTA([3]characters!$A:$A),MATCH(L$1,[3]characters!$2:$2,0)-MATCH($I$1,[3]characters!$2:$2,0)+1),MATCH(L$1,[3]characters!$2:$2,0)-MATCH($I$1,[3]characters!$2:$2,0)+1,FALSE)</f>
        <v>Drop1N</v>
      </c>
      <c r="M106" s="28" t="str">
        <f ca="1">VLOOKUP($I106,OFFSET([3]characters!$A$1,0,0,COUNTA([3]characters!$A:$A),MATCH(M$1,[3]characters!$2:$2,0)-MATCH($I$1,[3]characters!$2:$2,0)+2),MATCH(M$1,[3]characters!$2:$2,0)-MATCH($I$1,[3]characters!$2:$2,0)+2,FALSE)</f>
        <v>アニマル</v>
      </c>
      <c r="N106" s="5">
        <f ca="1">VLOOKUP($I106,OFFSET([2]enemies!$A$1,0,0,COUNTA([2]enemies!$A:$A),MATCH(N$1,[2]enemies!$2:$2,0)-MATCH($I$1,[2]enemies!$2:$2,0)+1),MATCH(N$1,[2]enemies!$2:$2,0)-MATCH($I$1,[2]enemies!$2:$2,0)+1,FALSE)</f>
        <v>15</v>
      </c>
      <c r="O106" s="6">
        <v>56</v>
      </c>
      <c r="P106" s="41">
        <v>1</v>
      </c>
      <c r="Q106" s="41">
        <v>1</v>
      </c>
      <c r="R106" s="6">
        <v>0</v>
      </c>
      <c r="S106" s="5" t="str">
        <f ca="1">VLOOKUP($T106,OFFSET([4]enemy_skill_sets!$B$1,0,0,COUNTA([4]enemy_skill_sets!$B:$B),MATCH(J$1,[4]enemy_skill_sets!$1:$1,0)-MATCH($T$1,[4]enemy_skill_sets!$1:$1,0)+2),MATCH(J$1,[4]enemy_skill_sets!$1:$1,0)-MATCH($T$1,[4]enemy_skill_sets!$1:$1,0)+2,FALSE)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06" s="5">
        <f ca="1">VLOOKUP($I106,OFFSET([2]enemies!$A$1,0,0,COUNTA([2]enemies!$A:$A),MATCH(T$1,[2]enemies!$2:$2,0)-MATCH($I$1,[2]enemies!$2:$2,0)+1),MATCH(T$1,[2]enemies!$2:$2,0)-MATCH($I$1,[2]enemies!$2:$2,0)+1,FALSE)</f>
        <v>59</v>
      </c>
      <c r="U106" s="7">
        <v>0</v>
      </c>
      <c r="V106" s="7">
        <v>100</v>
      </c>
      <c r="W106" s="7">
        <v>0</v>
      </c>
      <c r="X106" s="26">
        <f ca="1">VLOOKUP($I106,OFFSET([2]enemies!$A$1,0,0,COUNTA([2]enemies!$A:$A),MATCH(X$1,[2]enemies!$2:$2,0)-MATCH($I$1,[2]enemies!$2:$2,0)+1),MATCH(X$1,[2]enemies!$2:$2,0)-MATCH($I$1,[2]enemies!$2:$2,0)+1,FALSE)</f>
        <v>2</v>
      </c>
      <c r="Y106" s="37">
        <v>59</v>
      </c>
      <c r="Z106" s="5" t="str">
        <f ca="1">IFERROR(VLOOKUP($Y106,OFFSET([3]characters!$A$1,0,0,COUNTA([3]characters!$A:$A),MATCH(Z$1,[3]characters!$2:$2,0)-MATCH("character_id",[3]characters!$2:$2,0)+1),MATCH(Z$1,[3]characters!$2:$2,0)-MATCH("character_id",[3]characters!$2:$2,0)+1,FALSE),"")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106" s="5">
        <f ca="1">IFERROR(VLOOKUP($Y106,OFFSET([3]characters!$A$1,0,0,COUNTA([3]characters!$A:$A),MATCH(AA$1,[3]characters!$2:$2,0)-MATCH("character_id",[3]characters!$2:$2,0)+1),MATCH(AA$1,[3]characters!$2:$2,0)-MATCH("character_id",[3]characters!$2:$2,0)+1,FALSE),"")</f>
        <v>2</v>
      </c>
      <c r="AB106" s="5" t="str">
        <f ca="1">IFERROR(VLOOKUP($Y106,OFFSET([3]characters!$A$1,0,0,COUNTA([3]characters!$A:$A),MATCH(AB$1,[3]characters!$2:$2,0)-MATCH("character_id",[3]characters!$2:$2,0)+1),MATCH(AB$1,[3]characters!$2:$2,0)-MATCH("character_id",[3]characters!$2:$2,0)+1,FALSE),"")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6" s="34">
        <v>1</v>
      </c>
      <c r="AD106" s="34">
        <f t="shared" ref="AD106" ca="1" si="104">AA106</f>
        <v>2</v>
      </c>
      <c r="AE106" s="9">
        <v>25</v>
      </c>
      <c r="AF106" s="34">
        <v>0</v>
      </c>
      <c r="AG106" s="34">
        <v>0</v>
      </c>
      <c r="AH106" s="34">
        <v>0</v>
      </c>
      <c r="AI106" s="34">
        <v>0</v>
      </c>
      <c r="AJ106" s="34">
        <v>1</v>
      </c>
    </row>
    <row r="107" spans="1:36" ht="21" customHeight="1">
      <c r="A107" s="21" t="str">
        <f t="shared" si="85"/>
        <v>10055_1-5/224&lt;lv62&gt;</v>
      </c>
      <c r="B107" s="31">
        <v>10055</v>
      </c>
      <c r="C107" s="35">
        <v>1</v>
      </c>
      <c r="D107" s="20" t="str">
        <f t="shared" si="86"/>
        <v>10055_1</v>
      </c>
      <c r="E107" s="5" t="str">
        <f ca="1">VLOOKUP($B107,OFFSET([1]quests!$A$1,0,0,COUNTA([1]quests!$A:$A),MATCH(E$1,[1]quests!$1:$1,0)-MATCH($B$1,[1]quests!$1:$1,0)+1),MATCH(E$1,[1]quests!$1:$1,0)-MATCH($B$1,[1]quests!$1:$1,0)+1,FALSE)</f>
        <v>美女と美獣【仮】</v>
      </c>
      <c r="F107" s="5" t="str">
        <f ca="1">VLOOKUP($D107,OFFSET([1]stages!$A$1,0,0,COUNTA([1]stages!$A:$A),MATCH(F$1,[1]stages!$2:$2,0)-MATCH($D$1,[1]stages!$2:$2,0)+1),MATCH(F$1,[1]stages!$2:$2,0)-MATCH($D$1,[1]stages!$2:$2,0)+1,FALSE)</f>
        <v>美女と美獣【仮】</v>
      </c>
      <c r="G107" s="35">
        <v>5</v>
      </c>
      <c r="H107" s="20" t="str">
        <f t="shared" si="87"/>
        <v>10055_1-5</v>
      </c>
      <c r="I107" s="37">
        <v>224</v>
      </c>
      <c r="J107" s="26" t="str">
        <f ca="1">VLOOKUP($I107,OFFSET([2]enemies!$A$1,0,0,COUNTA([2]enemies!$A:$A),MATCH(J$1,[2]enemies!$2:$2,0)-MATCH($I$1,[2]enemies!$2:$2,0)+1),MATCH(J$1,[2]enemies!$2:$2,0)-MATCH($I$1,[2]enemies!$2:$2,0)+1,FALSE)</f>
        <v>巨腕 ヘラクレス</v>
      </c>
      <c r="K107" s="29" t="str">
        <f ca="1">VLOOKUP($I107,OFFSET([2]enemies!$A$1,0,0,COUNTA([2]enemies!$A:$A),MATCH(K$1,[2]enemies!$2:$2,0)-MATCH($I$1,[2]enemies!$2:$2,0)+1),MATCH(K$1,[2]enemies!$2:$2,0)-MATCH($I$1,[2]enemies!$2:$2,0)+1,FALSE)</f>
        <v>yellow</v>
      </c>
      <c r="L107" s="29" t="str">
        <f ca="1">VLOOKUP($I107,OFFSET([3]characters!$A$1,0,0,COUNTA([3]characters!$A:$A),MATCH(L$1,[3]characters!$2:$2,0)-MATCH($I$1,[3]characters!$2:$2,0)+1),MATCH(L$1,[3]characters!$2:$2,0)-MATCH($I$1,[3]characters!$2:$2,0)+1,FALSE)</f>
        <v>PremiumN</v>
      </c>
      <c r="M107" s="28" t="str">
        <f ca="1">VLOOKUP($I107,OFFSET([3]characters!$A$1,0,0,COUNTA([3]characters!$A:$A),MATCH(M$1,[3]characters!$2:$2,0)-MATCH($I$1,[3]characters!$2:$2,0)+2),MATCH(M$1,[3]characters!$2:$2,0)-MATCH($I$1,[3]characters!$2:$2,0)+2,FALSE)</f>
        <v>ヒューマン</v>
      </c>
      <c r="N107" s="5">
        <f ca="1">VLOOKUP($I107,OFFSET([2]enemies!$A$1,0,0,COUNTA([2]enemies!$A:$A),MATCH(N$1,[2]enemies!$2:$2,0)-MATCH($I$1,[2]enemies!$2:$2,0)+1),MATCH(N$1,[2]enemies!$2:$2,0)-MATCH($I$1,[2]enemies!$2:$2,0)+1,FALSE)</f>
        <v>30</v>
      </c>
      <c r="O107" s="6">
        <v>62</v>
      </c>
      <c r="P107" s="41">
        <v>2</v>
      </c>
      <c r="Q107" s="41">
        <v>1</v>
      </c>
      <c r="R107" s="6">
        <v>0</v>
      </c>
      <c r="S107" s="5" t="str">
        <f ca="1">VLOOKUP($T107,OFFSET([4]enemy_skill_sets!$B$1,0,0,COUNTA([4]enemy_skill_sets!$B:$B),MATCH(J$1,[4]enemy_skill_sets!$1:$1,0)-MATCH($T$1,[4]enemy_skill_sets!$1:$1,0)+2),MATCH(J$1,[4]enemy_skill_sets!$1:$1,0)-MATCH($T$1,[4]enemy_skill_sets!$1:$1,0)+2,FALSE)</f>
        <v>3ターン攻撃力大UP</v>
      </c>
      <c r="T107" s="5">
        <v>22401</v>
      </c>
      <c r="U107" s="7">
        <v>1</v>
      </c>
      <c r="V107" s="7">
        <v>100</v>
      </c>
      <c r="W107" s="7">
        <v>1</v>
      </c>
      <c r="X107" s="26">
        <f ca="1">VLOOKUP($I107,OFFSET([2]enemies!$A$1,0,0,COUNTA([2]enemies!$A:$A),MATCH(X$1,[2]enemies!$2:$2,0)-MATCH($I$1,[2]enemies!$2:$2,0)+1),MATCH(X$1,[2]enemies!$2:$2,0)-MATCH($I$1,[2]enemies!$2:$2,0)+1,FALSE)</f>
        <v>2</v>
      </c>
      <c r="Y107" s="37">
        <v>223</v>
      </c>
      <c r="Z107" s="5" t="str">
        <f ca="1">IFERROR(VLOOKUP($Y107,OFFSET([3]characters!$A$1,0,0,COUNTA([3]characters!$A:$A),MATCH(Z$1,[3]characters!$2:$2,0)-MATCH("character_id",[3]characters!$2:$2,0)+1),MATCH(Z$1,[3]characters!$2:$2,0)-MATCH("character_id",[3]characters!$2:$2,0)+1,FALSE),"")</f>
        <v>ヘラクレス</v>
      </c>
      <c r="AA107" s="5">
        <f ca="1">IFERROR(VLOOKUP($Y107,OFFSET([3]characters!$A$1,0,0,COUNTA([3]characters!$A:$A),MATCH(AA$1,[3]characters!$2:$2,0)-MATCH("character_id",[3]characters!$2:$2,0)+1),MATCH(AA$1,[3]characters!$2:$2,0)-MATCH("character_id",[3]characters!$2:$2,0)+1,FALSE),"")</f>
        <v>3</v>
      </c>
      <c r="AB107" s="5" t="str">
        <f ca="1">IFERROR(VLOOKUP($Y107,OFFSET([3]characters!$A$1,0,0,COUNTA([3]characters!$A:$A),MATCH(AB$1,[3]characters!$2:$2,0)-MATCH("character_id",[3]characters!$2:$2,0)+1),MATCH(AB$1,[3]characters!$2:$2,0)-MATCH("character_id",[3]characters!$2:$2,0)+1,FALSE),"")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107" s="34">
        <v>1</v>
      </c>
      <c r="AD107" s="34">
        <f t="shared" ca="1" si="88"/>
        <v>3</v>
      </c>
      <c r="AE107" s="9">
        <v>0</v>
      </c>
      <c r="AF107" s="34">
        <v>0</v>
      </c>
      <c r="AG107" s="34">
        <v>0</v>
      </c>
      <c r="AH107" s="34">
        <v>0</v>
      </c>
      <c r="AI107" s="34">
        <v>0</v>
      </c>
      <c r="AJ107" s="34">
        <v>1</v>
      </c>
    </row>
    <row r="108" spans="1:36" ht="21" customHeight="1">
      <c r="A108" s="21" t="str">
        <f t="shared" ref="A108" si="105">B108&amp;"_"&amp;C108&amp;"-"&amp;G108&amp;"/"&amp;I108&amp;"&lt;lv"&amp;O108&amp;"&gt;"</f>
        <v>10055_1-5/206&lt;lv62&gt;</v>
      </c>
      <c r="B108" s="31">
        <v>10055</v>
      </c>
      <c r="C108" s="35">
        <v>1</v>
      </c>
      <c r="D108" s="20" t="str">
        <f t="shared" ref="D108" si="106">B108&amp;"_"&amp;C108</f>
        <v>10055_1</v>
      </c>
      <c r="E108" s="5" t="str">
        <f ca="1">VLOOKUP($B108,OFFSET([1]quests!$A$1,0,0,COUNTA([1]quests!$A:$A),MATCH(E$1,[1]quests!$1:$1,0)-MATCH($B$1,[1]quests!$1:$1,0)+1),MATCH(E$1,[1]quests!$1:$1,0)-MATCH($B$1,[1]quests!$1:$1,0)+1,FALSE)</f>
        <v>美女と美獣【仮】</v>
      </c>
      <c r="F108" s="5" t="str">
        <f ca="1">VLOOKUP($D108,OFFSET([1]stages!$A$1,0,0,COUNTA([1]stages!$A:$A),MATCH(F$1,[1]stages!$2:$2,0)-MATCH($D$1,[1]stages!$2:$2,0)+1),MATCH(F$1,[1]stages!$2:$2,0)-MATCH($D$1,[1]stages!$2:$2,0)+1,FALSE)</f>
        <v>美女と美獣【仮】</v>
      </c>
      <c r="G108" s="35">
        <v>5</v>
      </c>
      <c r="H108" s="20" t="str">
        <f t="shared" ref="H108" si="107">B108&amp;"_"&amp;C108&amp;"-"&amp;G108</f>
        <v>10055_1-5</v>
      </c>
      <c r="I108" s="37">
        <v>206</v>
      </c>
      <c r="J108" s="26" t="str">
        <f ca="1">VLOOKUP($I108,OFFSET([2]enemies!$A$1,0,0,COUNTA([2]enemies!$A:$A),MATCH(J$1,[2]enemies!$2:$2,0)-MATCH($I$1,[2]enemies!$2:$2,0)+1),MATCH(J$1,[2]enemies!$2:$2,0)-MATCH($I$1,[2]enemies!$2:$2,0)+1,FALSE)</f>
        <v>美神 アフロディーテ</v>
      </c>
      <c r="K108" s="29" t="str">
        <f ca="1">VLOOKUP($I108,OFFSET([2]enemies!$A$1,0,0,COUNTA([2]enemies!$A:$A),MATCH(K$1,[2]enemies!$2:$2,0)-MATCH($I$1,[2]enemies!$2:$2,0)+1),MATCH(K$1,[2]enemies!$2:$2,0)-MATCH($I$1,[2]enemies!$2:$2,0)+1,FALSE)</f>
        <v>green</v>
      </c>
      <c r="L108" s="29" t="str">
        <f ca="1">VLOOKUP($I108,OFFSET([3]characters!$A$1,0,0,COUNTA([3]characters!$A:$A),MATCH(L$1,[3]characters!$2:$2,0)-MATCH($I$1,[3]characters!$2:$2,0)+1),MATCH(L$1,[3]characters!$2:$2,0)-MATCH($I$1,[3]characters!$2:$2,0)+1,FALSE)</f>
        <v>PremiumN</v>
      </c>
      <c r="M108" s="28" t="str">
        <f ca="1">VLOOKUP($I108,OFFSET([3]characters!$A$1,0,0,COUNTA([3]characters!$A:$A),MATCH(M$1,[3]characters!$2:$2,0)-MATCH($I$1,[3]characters!$2:$2,0)+2),MATCH(M$1,[3]characters!$2:$2,0)-MATCH($I$1,[3]characters!$2:$2,0)+2,FALSE)</f>
        <v>ゴッド</v>
      </c>
      <c r="N108" s="5">
        <f ca="1">VLOOKUP($I108,OFFSET([2]enemies!$A$1,0,0,COUNTA([2]enemies!$A:$A),MATCH(N$1,[2]enemies!$2:$2,0)-MATCH($I$1,[2]enemies!$2:$2,0)+1),MATCH(N$1,[2]enemies!$2:$2,0)-MATCH($I$1,[2]enemies!$2:$2,0)+1,FALSE)</f>
        <v>30</v>
      </c>
      <c r="O108" s="6">
        <v>62</v>
      </c>
      <c r="P108" s="41">
        <v>1.2</v>
      </c>
      <c r="Q108" s="41">
        <v>1</v>
      </c>
      <c r="R108" s="6">
        <v>0</v>
      </c>
      <c r="S108" s="5" t="str">
        <f ca="1">VLOOKUP($T108,OFFSET([4]enemy_skill_sets!$B$1,0,0,COUNTA([4]enemy_skill_sets!$B:$B),MATCH(J$1,[4]enemy_skill_sets!$1:$1,0)-MATCH($T$1,[4]enemy_skill_sets!$1:$1,0)+2),MATCH(J$1,[4]enemy_skill_sets!$1:$1,0)-MATCH($T$1,[4]enemy_skill_sets!$1:$1,0)+2,FALSE)</f>
        <v>ユニット1体に3ターンスリープ</v>
      </c>
      <c r="T108" s="5">
        <v>20601</v>
      </c>
      <c r="U108" s="7">
        <v>1</v>
      </c>
      <c r="V108" s="7">
        <v>100</v>
      </c>
      <c r="W108" s="7">
        <v>1</v>
      </c>
      <c r="X108" s="26">
        <f ca="1">VLOOKUP($I108,OFFSET([2]enemies!$A$1,0,0,COUNTA([2]enemies!$A:$A),MATCH(X$1,[2]enemies!$2:$2,0)-MATCH($I$1,[2]enemies!$2:$2,0)+1),MATCH(X$1,[2]enemies!$2:$2,0)-MATCH($I$1,[2]enemies!$2:$2,0)+1,FALSE)</f>
        <v>3</v>
      </c>
      <c r="Y108" s="37">
        <v>205</v>
      </c>
      <c r="Z108" s="5" t="str">
        <f ca="1">IFERROR(VLOOKUP($Y108,OFFSET([3]characters!$A$1,0,0,COUNTA([3]characters!$A:$A),MATCH(Z$1,[3]characters!$2:$2,0)-MATCH("character_id",[3]characters!$2:$2,0)+1),MATCH(Z$1,[3]characters!$2:$2,0)-MATCH("character_id",[3]characters!$2:$2,0)+1,FALSE),"")</f>
        <v>アフロディーテ</v>
      </c>
      <c r="AA108" s="5">
        <f ca="1">IFERROR(VLOOKUP($Y108,OFFSET([3]characters!$A$1,0,0,COUNTA([3]characters!$A:$A),MATCH(AA$1,[3]characters!$2:$2,0)-MATCH("character_id",[3]characters!$2:$2,0)+1),MATCH(AA$1,[3]characters!$2:$2,0)-MATCH("character_id",[3]characters!$2:$2,0)+1,FALSE),"")</f>
        <v>3</v>
      </c>
      <c r="AB108" s="5" t="str">
        <f ca="1">IFERROR(VLOOKUP($Y108,OFFSET([3]characters!$A$1,0,0,COUNTA([3]characters!$A:$A),MATCH(AB$1,[3]characters!$2:$2,0)-MATCH("character_id",[3]characters!$2:$2,0)+1),MATCH(AB$1,[3]characters!$2:$2,0)-MATCH("character_id",[3]characters!$2:$2,0)+1,FALSE),"")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108" s="34">
        <v>1</v>
      </c>
      <c r="AD108" s="34">
        <f t="shared" ref="AD108" ca="1" si="108">AA108</f>
        <v>3</v>
      </c>
      <c r="AE108" s="9">
        <v>0</v>
      </c>
      <c r="AF108" s="34">
        <v>0</v>
      </c>
      <c r="AG108" s="34">
        <v>0</v>
      </c>
      <c r="AH108" s="34">
        <v>0</v>
      </c>
      <c r="AI108" s="34">
        <v>0</v>
      </c>
      <c r="AJ108" s="34">
        <v>1</v>
      </c>
    </row>
    <row r="109" spans="1:36" ht="21" customHeight="1">
      <c r="A109" s="21" t="str">
        <f t="shared" si="85"/>
        <v>10060_1-1/17&lt;lv64&gt;</v>
      </c>
      <c r="B109" s="31">
        <v>10060</v>
      </c>
      <c r="C109" s="35">
        <v>1</v>
      </c>
      <c r="D109" s="20" t="str">
        <f t="shared" si="86"/>
        <v>10060_1</v>
      </c>
      <c r="E109" s="5" t="str">
        <f ca="1">VLOOKUP($B109,OFFSET([1]quests!$A$1,0,0,COUNTA([1]quests!$A:$A),MATCH(E$1,[1]quests!$1:$1,0)-MATCH($B$1,[1]quests!$1:$1,0)+1),MATCH(E$1,[1]quests!$1:$1,0)-MATCH($B$1,[1]quests!$1:$1,0)+1,FALSE)</f>
        <v>東と西の女神【仮】</v>
      </c>
      <c r="F109" s="5" t="str">
        <f ca="1">VLOOKUP($D109,OFFSET([1]stages!$A$1,0,0,COUNTA([1]stages!$A:$A),MATCH(F$1,[1]stages!$2:$2,0)-MATCH($D$1,[1]stages!$2:$2,0)+1),MATCH(F$1,[1]stages!$2:$2,0)-MATCH($D$1,[1]stages!$2:$2,0)+1,FALSE)</f>
        <v>東と西の女神【仮】</v>
      </c>
      <c r="G109" s="35">
        <v>1</v>
      </c>
      <c r="H109" s="20" t="str">
        <f t="shared" si="87"/>
        <v>10060_1-1</v>
      </c>
      <c r="I109" s="37">
        <v>17</v>
      </c>
      <c r="J109" s="26" t="str">
        <f ca="1">VLOOKUP($I109,OFFSET([2]enemies!$A$1,0,0,COUNTA([2]enemies!$A:$A),MATCH(J$1,[2]enemies!$2:$2,0)-MATCH($I$1,[2]enemies!$2:$2,0)+1),MATCH(J$1,[2]enemies!$2:$2,0)-MATCH($I$1,[2]enemies!$2:$2,0)+1,FALSE)</f>
        <v>リム</v>
      </c>
      <c r="K109" s="29" t="str">
        <f ca="1">VLOOKUP($I109,OFFSET([2]enemies!$A$1,0,0,COUNTA([2]enemies!$A:$A),MATCH(K$1,[2]enemies!$2:$2,0)-MATCH($I$1,[2]enemies!$2:$2,0)+1),MATCH(K$1,[2]enemies!$2:$2,0)-MATCH($I$1,[2]enemies!$2:$2,0)+1,FALSE)</f>
        <v>blue</v>
      </c>
      <c r="L109" s="29" t="str">
        <f ca="1">VLOOKUP($I109,OFFSET([3]characters!$A$1,0,0,COUNTA([3]characters!$A:$A),MATCH(L$1,[3]characters!$2:$2,0)-MATCH($I$1,[3]characters!$2:$2,0)+1),MATCH(L$1,[3]characters!$2:$2,0)-MATCH($I$1,[3]characters!$2:$2,0)+1,FALSE)</f>
        <v>Drop1W</v>
      </c>
      <c r="M109" s="28" t="str">
        <f ca="1">VLOOKUP($I109,OFFSET([3]characters!$A$1,0,0,COUNTA([3]characters!$A:$A),MATCH(M$1,[3]characters!$2:$2,0)-MATCH($I$1,[3]characters!$2:$2,0)+2),MATCH(M$1,[3]characters!$2:$2,0)-MATCH($I$1,[3]characters!$2:$2,0)+2,FALSE)</f>
        <v>ヒューマン</v>
      </c>
      <c r="N109" s="5">
        <f ca="1">VLOOKUP($I109,OFFSET([2]enemies!$A$1,0,0,COUNTA([2]enemies!$A:$A),MATCH(N$1,[2]enemies!$2:$2,0)-MATCH($I$1,[2]enemies!$2:$2,0)+1),MATCH(N$1,[2]enemies!$2:$2,0)-MATCH($I$1,[2]enemies!$2:$2,0)+1,FALSE)</f>
        <v>15</v>
      </c>
      <c r="O109" s="6">
        <v>64</v>
      </c>
      <c r="P109" s="41">
        <v>1</v>
      </c>
      <c r="Q109" s="41">
        <v>1</v>
      </c>
      <c r="R109" s="6">
        <v>0</v>
      </c>
      <c r="S109" s="5" t="str">
        <f ca="1">VLOOKUP($T109,OFFSET([4]enemy_skill_sets!$B$1,0,0,COUNTA([4]enemy_skill_sets!$B:$B),MATCH(J$1,[4]enemy_skill_sets!$1:$1,0)-MATCH($T$1,[4]enemy_skill_sets!$1:$1,0)+2),MATCH(J$1,[4]enemy_skill_sets!$1:$1,0)-MATCH($T$1,[4]enemy_skill_sets!$1:$1,0)+2,FALSE)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9" s="5">
        <f ca="1">VLOOKUP($I109,OFFSET([2]enemies!$A$1,0,0,COUNTA([2]enemies!$A:$A),MATCH(T$1,[2]enemies!$2:$2,0)-MATCH($I$1,[2]enemies!$2:$2,0)+1),MATCH(T$1,[2]enemies!$2:$2,0)-MATCH($I$1,[2]enemies!$2:$2,0)+1,FALSE)</f>
        <v>0</v>
      </c>
      <c r="U109" s="7">
        <v>0</v>
      </c>
      <c r="V109" s="7">
        <v>100</v>
      </c>
      <c r="W109" s="7">
        <v>0</v>
      </c>
      <c r="X109" s="26">
        <f ca="1">VLOOKUP($I109,OFFSET([2]enemies!$A$1,0,0,COUNTA([2]enemies!$A:$A),MATCH(X$1,[2]enemies!$2:$2,0)-MATCH($I$1,[2]enemies!$2:$2,0)+1),MATCH(X$1,[2]enemies!$2:$2,0)-MATCH($I$1,[2]enemies!$2:$2,0)+1,FALSE)</f>
        <v>2</v>
      </c>
      <c r="Y109" s="37">
        <v>17</v>
      </c>
      <c r="Z109" s="5" t="str">
        <f ca="1">IFERROR(VLOOKUP($Y109,OFFSET([3]characters!$A$1,0,0,COUNTA([3]characters!$A:$A),MATCH(Z$1,[3]characters!$2:$2,0)-MATCH("character_id",[3]characters!$2:$2,0)+1),MATCH(Z$1,[3]characters!$2:$2,0)-MATCH("character_id",[3]characters!$2:$2,0)+1,FALSE),"")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09" s="5">
        <f ca="1">IFERROR(VLOOKUP($Y109,OFFSET([3]characters!$A$1,0,0,COUNTA([3]characters!$A:$A),MATCH(AA$1,[3]characters!$2:$2,0)-MATCH("character_id",[3]characters!$2:$2,0)+1),MATCH(AA$1,[3]characters!$2:$2,0)-MATCH("character_id",[3]characters!$2:$2,0)+1,FALSE),"")</f>
        <v>1</v>
      </c>
      <c r="AB109" s="5" t="str">
        <f ca="1">IFERROR(VLOOKUP($Y109,OFFSET([3]characters!$A$1,0,0,COUNTA([3]characters!$A:$A),MATCH(AB$1,[3]characters!$2:$2,0)-MATCH("character_id",[3]characters!$2:$2,0)+1),MATCH(AB$1,[3]characters!$2:$2,0)-MATCH("character_id",[3]characters!$2:$2,0)+1,FALSE),"")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09" s="34">
        <v>1</v>
      </c>
      <c r="AD109" s="34">
        <f t="shared" ca="1" si="88"/>
        <v>1</v>
      </c>
      <c r="AE109" s="9">
        <v>25</v>
      </c>
      <c r="AF109" s="34">
        <v>0</v>
      </c>
      <c r="AG109" s="34">
        <v>0</v>
      </c>
      <c r="AH109" s="34">
        <v>0</v>
      </c>
      <c r="AI109" s="34">
        <v>0</v>
      </c>
      <c r="AJ109" s="34">
        <v>1</v>
      </c>
    </row>
    <row r="110" spans="1:36" ht="21" customHeight="1">
      <c r="A110" s="21" t="str">
        <f t="shared" ref="A110" si="109">B110&amp;"_"&amp;C110&amp;"-"&amp;G110&amp;"/"&amp;I110&amp;"&lt;lv"&amp;O110&amp;"&gt;"</f>
        <v>10060_1-1/15&lt;lv64&gt;</v>
      </c>
      <c r="B110" s="31">
        <v>10060</v>
      </c>
      <c r="C110" s="35">
        <v>1</v>
      </c>
      <c r="D110" s="20" t="str">
        <f t="shared" ref="D110" si="110">B110&amp;"_"&amp;C110</f>
        <v>10060_1</v>
      </c>
      <c r="E110" s="5" t="str">
        <f ca="1">VLOOKUP($B110,OFFSET([1]quests!$A$1,0,0,COUNTA([1]quests!$A:$A),MATCH(E$1,[1]quests!$1:$1,0)-MATCH($B$1,[1]quests!$1:$1,0)+1),MATCH(E$1,[1]quests!$1:$1,0)-MATCH($B$1,[1]quests!$1:$1,0)+1,FALSE)</f>
        <v>東と西の女神【仮】</v>
      </c>
      <c r="F110" s="5" t="str">
        <f ca="1">VLOOKUP($D110,OFFSET([1]stages!$A$1,0,0,COUNTA([1]stages!$A:$A),MATCH(F$1,[1]stages!$2:$2,0)-MATCH($D$1,[1]stages!$2:$2,0)+1),MATCH(F$1,[1]stages!$2:$2,0)-MATCH($D$1,[1]stages!$2:$2,0)+1,FALSE)</f>
        <v>東と西の女神【仮】</v>
      </c>
      <c r="G110" s="35">
        <v>1</v>
      </c>
      <c r="H110" s="20" t="str">
        <f t="shared" ref="H110" si="111">B110&amp;"_"&amp;C110&amp;"-"&amp;G110</f>
        <v>10060_1-1</v>
      </c>
      <c r="I110" s="37">
        <v>15</v>
      </c>
      <c r="J110" s="26" t="str">
        <f ca="1">VLOOKUP($I110,OFFSET([2]enemies!$A$1,0,0,COUNTA([2]enemies!$A:$A),MATCH(J$1,[2]enemies!$2:$2,0)-MATCH($I$1,[2]enemies!$2:$2,0)+1),MATCH(J$1,[2]enemies!$2:$2,0)-MATCH($I$1,[2]enemies!$2:$2,0)+1,FALSE)</f>
        <v>アカネ</v>
      </c>
      <c r="K110" s="29" t="str">
        <f ca="1">VLOOKUP($I110,OFFSET([2]enemies!$A$1,0,0,COUNTA([2]enemies!$A:$A),MATCH(K$1,[2]enemies!$2:$2,0)-MATCH($I$1,[2]enemies!$2:$2,0)+1),MATCH(K$1,[2]enemies!$2:$2,0)-MATCH($I$1,[2]enemies!$2:$2,0)+1,FALSE)</f>
        <v>red</v>
      </c>
      <c r="L110" s="29" t="str">
        <f ca="1">VLOOKUP($I110,OFFSET([3]characters!$A$1,0,0,COUNTA([3]characters!$A:$A),MATCH(L$1,[3]characters!$2:$2,0)-MATCH($I$1,[3]characters!$2:$2,0)+1),MATCH(L$1,[3]characters!$2:$2,0)-MATCH($I$1,[3]characters!$2:$2,0)+1,FALSE)</f>
        <v>Drop1W</v>
      </c>
      <c r="M110" s="28" t="str">
        <f ca="1">VLOOKUP($I110,OFFSET([3]characters!$A$1,0,0,COUNTA([3]characters!$A:$A),MATCH(M$1,[3]characters!$2:$2,0)-MATCH($I$1,[3]characters!$2:$2,0)+2),MATCH(M$1,[3]characters!$2:$2,0)-MATCH($I$1,[3]characters!$2:$2,0)+2,FALSE)</f>
        <v>ヒューマン</v>
      </c>
      <c r="N110" s="5">
        <f ca="1">VLOOKUP($I110,OFFSET([2]enemies!$A$1,0,0,COUNTA([2]enemies!$A:$A),MATCH(N$1,[2]enemies!$2:$2,0)-MATCH($I$1,[2]enemies!$2:$2,0)+1),MATCH(N$1,[2]enemies!$2:$2,0)-MATCH($I$1,[2]enemies!$2:$2,0)+1,FALSE)</f>
        <v>15</v>
      </c>
      <c r="O110" s="6">
        <v>64</v>
      </c>
      <c r="P110" s="41">
        <v>1</v>
      </c>
      <c r="Q110" s="41">
        <v>1</v>
      </c>
      <c r="R110" s="6">
        <v>0</v>
      </c>
      <c r="S110" s="5" t="str">
        <f ca="1">VLOOKUP($T110,OFFSET([4]enemy_skill_sets!$B$1,0,0,COUNTA([4]enemy_skill_sets!$B:$B),MATCH(J$1,[4]enemy_skill_sets!$1:$1,0)-MATCH($T$1,[4]enemy_skill_sets!$1:$1,0)+2),MATCH(J$1,[4]enemy_skill_sets!$1:$1,0)-MATCH($T$1,[4]enemy_skill_sets!$1:$1,0)+2,FALSE)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0" s="5">
        <f ca="1">VLOOKUP($I110,OFFSET([2]enemies!$A$1,0,0,COUNTA([2]enemies!$A:$A),MATCH(T$1,[2]enemies!$2:$2,0)-MATCH($I$1,[2]enemies!$2:$2,0)+1),MATCH(T$1,[2]enemies!$2:$2,0)-MATCH($I$1,[2]enemies!$2:$2,0)+1,FALSE)</f>
        <v>0</v>
      </c>
      <c r="U110" s="7">
        <v>0</v>
      </c>
      <c r="V110" s="7">
        <v>100</v>
      </c>
      <c r="W110" s="7">
        <v>0</v>
      </c>
      <c r="X110" s="26">
        <f ca="1">VLOOKUP($I110,OFFSET([2]enemies!$A$1,0,0,COUNTA([2]enemies!$A:$A),MATCH(X$1,[2]enemies!$2:$2,0)-MATCH($I$1,[2]enemies!$2:$2,0)+1),MATCH(X$1,[2]enemies!$2:$2,0)-MATCH($I$1,[2]enemies!$2:$2,0)+1,FALSE)</f>
        <v>3</v>
      </c>
      <c r="Y110" s="37">
        <v>15</v>
      </c>
      <c r="Z110" s="5" t="str">
        <f ca="1">IFERROR(VLOOKUP($Y110,OFFSET([3]characters!$A$1,0,0,COUNTA([3]characters!$A:$A),MATCH(Z$1,[3]characters!$2:$2,0)-MATCH("character_id",[3]characters!$2:$2,0)+1),MATCH(Z$1,[3]characters!$2:$2,0)-MATCH("character_id",[3]characters!$2:$2,0)+1,FALSE),"")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10" s="5">
        <f ca="1">IFERROR(VLOOKUP($Y110,OFFSET([3]characters!$A$1,0,0,COUNTA([3]characters!$A:$A),MATCH(AA$1,[3]characters!$2:$2,0)-MATCH("character_id",[3]characters!$2:$2,0)+1),MATCH(AA$1,[3]characters!$2:$2,0)-MATCH("character_id",[3]characters!$2:$2,0)+1,FALSE),"")</f>
        <v>1</v>
      </c>
      <c r="AB110" s="5" t="str">
        <f ca="1">IFERROR(VLOOKUP($Y110,OFFSET([3]characters!$A$1,0,0,COUNTA([3]characters!$A:$A),MATCH(AB$1,[3]characters!$2:$2,0)-MATCH("character_id",[3]characters!$2:$2,0)+1),MATCH(AB$1,[3]characters!$2:$2,0)-MATCH("character_id",[3]characters!$2:$2,0)+1,FALSE),"")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0" s="34">
        <v>1</v>
      </c>
      <c r="AD110" s="34">
        <f t="shared" ref="AD110" ca="1" si="112">AA110</f>
        <v>1</v>
      </c>
      <c r="AE110" s="9">
        <v>25</v>
      </c>
      <c r="AF110" s="34">
        <v>0</v>
      </c>
      <c r="AG110" s="34">
        <v>0</v>
      </c>
      <c r="AH110" s="34">
        <v>0</v>
      </c>
      <c r="AI110" s="34">
        <v>0</v>
      </c>
      <c r="AJ110" s="34">
        <v>1</v>
      </c>
    </row>
    <row r="111" spans="1:36" ht="21" customHeight="1">
      <c r="A111" s="21" t="str">
        <f t="shared" ref="A111:A116" si="113">B111&amp;"_"&amp;C111&amp;"-"&amp;G111&amp;"/"&amp;I111&amp;"&lt;lv"&amp;O111&amp;"&gt;"</f>
        <v>10060_1-2/16&lt;lv64&gt;</v>
      </c>
      <c r="B111" s="31">
        <v>10060</v>
      </c>
      <c r="C111" s="35">
        <v>1</v>
      </c>
      <c r="D111" s="20" t="str">
        <f t="shared" ref="D111:D116" si="114">B111&amp;"_"&amp;C111</f>
        <v>10060_1</v>
      </c>
      <c r="E111" s="5" t="str">
        <f ca="1">VLOOKUP($B111,OFFSET([1]quests!$A$1,0,0,COUNTA([1]quests!$A:$A),MATCH(E$1,[1]quests!$1:$1,0)-MATCH($B$1,[1]quests!$1:$1,0)+1),MATCH(E$1,[1]quests!$1:$1,0)-MATCH($B$1,[1]quests!$1:$1,0)+1,FALSE)</f>
        <v>東と西の女神【仮】</v>
      </c>
      <c r="F111" s="5" t="str">
        <f ca="1">VLOOKUP($D111,OFFSET([1]stages!$A$1,0,0,COUNTA([1]stages!$A:$A),MATCH(F$1,[1]stages!$2:$2,0)-MATCH($D$1,[1]stages!$2:$2,0)+1),MATCH(F$1,[1]stages!$2:$2,0)-MATCH($D$1,[1]stages!$2:$2,0)+1,FALSE)</f>
        <v>東と西の女神【仮】</v>
      </c>
      <c r="G111" s="35">
        <v>2</v>
      </c>
      <c r="H111" s="20" t="str">
        <f t="shared" ref="H111:H116" si="115">B111&amp;"_"&amp;C111&amp;"-"&amp;G111</f>
        <v>10060_1-2</v>
      </c>
      <c r="I111" s="37">
        <v>16</v>
      </c>
      <c r="J111" s="26" t="str">
        <f ca="1">VLOOKUP($I111,OFFSET([2]enemies!$A$1,0,0,COUNTA([2]enemies!$A:$A),MATCH(J$1,[2]enemies!$2:$2,0)-MATCH($I$1,[2]enemies!$2:$2,0)+1),MATCH(J$1,[2]enemies!$2:$2,0)-MATCH($I$1,[2]enemies!$2:$2,0)+1,FALSE)</f>
        <v>炎戦少女 アカネ</v>
      </c>
      <c r="K111" s="29" t="str">
        <f ca="1">VLOOKUP($I111,OFFSET([2]enemies!$A$1,0,0,COUNTA([2]enemies!$A:$A),MATCH(K$1,[2]enemies!$2:$2,0)-MATCH($I$1,[2]enemies!$2:$2,0)+1),MATCH(K$1,[2]enemies!$2:$2,0)-MATCH($I$1,[2]enemies!$2:$2,0)+1,FALSE)</f>
        <v>red</v>
      </c>
      <c r="L111" s="29" t="str">
        <f ca="1">VLOOKUP($I111,OFFSET([3]characters!$A$1,0,0,COUNTA([3]characters!$A:$A),MATCH(L$1,[3]characters!$2:$2,0)-MATCH($I$1,[3]characters!$2:$2,0)+1),MATCH(L$1,[3]characters!$2:$2,0)-MATCH($I$1,[3]characters!$2:$2,0)+1,FALSE)</f>
        <v>Drop1W</v>
      </c>
      <c r="M111" s="28" t="str">
        <f ca="1">VLOOKUP($I111,OFFSET([3]characters!$A$1,0,0,COUNTA([3]characters!$A:$A),MATCH(M$1,[3]characters!$2:$2,0)-MATCH($I$1,[3]characters!$2:$2,0)+2),MATCH(M$1,[3]characters!$2:$2,0)-MATCH($I$1,[3]characters!$2:$2,0)+2,FALSE)</f>
        <v>ヒューマン</v>
      </c>
      <c r="N111" s="5">
        <f ca="1">VLOOKUP($I111,OFFSET([2]enemies!$A$1,0,0,COUNTA([2]enemies!$A:$A),MATCH(N$1,[2]enemies!$2:$2,0)-MATCH($I$1,[2]enemies!$2:$2,0)+1),MATCH(N$1,[2]enemies!$2:$2,0)-MATCH($I$1,[2]enemies!$2:$2,0)+1,FALSE)</f>
        <v>15</v>
      </c>
      <c r="O111" s="6">
        <v>64</v>
      </c>
      <c r="P111" s="43">
        <v>1</v>
      </c>
      <c r="Q111" s="41">
        <v>1</v>
      </c>
      <c r="R111" s="6">
        <v>0</v>
      </c>
      <c r="S111" s="5" t="str">
        <f ca="1">VLOOKUP($T111,OFFSET([4]enemy_skill_sets!$B$1,0,0,COUNTA([4]enemy_skill_sets!$B:$B),MATCH(J$1,[4]enemy_skill_sets!$1:$1,0)-MATCH($T$1,[4]enemy_skill_sets!$1:$1,0)+2),MATCH(J$1,[4]enemy_skill_sets!$1:$1,0)-MATCH($T$1,[4]enemy_skill_sets!$1:$1,0)+2,FALSE)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1" s="5">
        <f ca="1">VLOOKUP($I111,OFFSET([2]enemies!$A$1,0,0,COUNTA([2]enemies!$A:$A),MATCH(T$1,[2]enemies!$2:$2,0)-MATCH($I$1,[2]enemies!$2:$2,0)+1),MATCH(T$1,[2]enemies!$2:$2,0)-MATCH($I$1,[2]enemies!$2:$2,0)+1,FALSE)</f>
        <v>0</v>
      </c>
      <c r="U111" s="7">
        <v>3</v>
      </c>
      <c r="V111" s="7">
        <v>100</v>
      </c>
      <c r="W111" s="7">
        <v>0</v>
      </c>
      <c r="X111" s="26">
        <f ca="1">VLOOKUP($I111,OFFSET([2]enemies!$A$1,0,0,COUNTA([2]enemies!$A:$A),MATCH(X$1,[2]enemies!$2:$2,0)-MATCH($I$1,[2]enemies!$2:$2,0)+1),MATCH(X$1,[2]enemies!$2:$2,0)-MATCH($I$1,[2]enemies!$2:$2,0)+1,FALSE)</f>
        <v>3</v>
      </c>
      <c r="Y111" s="37">
        <v>15</v>
      </c>
      <c r="Z111" s="5" t="str">
        <f ca="1">IFERROR(VLOOKUP($Y111,OFFSET([3]characters!$A$1,0,0,COUNTA([3]characters!$A:$A),MATCH(Z$1,[3]characters!$2:$2,0)-MATCH("character_id",[3]characters!$2:$2,0)+1),MATCH(Z$1,[3]characters!$2:$2,0)-MATCH("character_id",[3]characters!$2:$2,0)+1,FALSE),"")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11" s="5">
        <f ca="1">IFERROR(VLOOKUP($Y111,OFFSET([3]characters!$A$1,0,0,COUNTA([3]characters!$A:$A),MATCH(AA$1,[3]characters!$2:$2,0)-MATCH("character_id",[3]characters!$2:$2,0)+1),MATCH(AA$1,[3]characters!$2:$2,0)-MATCH("character_id",[3]characters!$2:$2,0)+1,FALSE),"")</f>
        <v>1</v>
      </c>
      <c r="AB111" s="5" t="str">
        <f ca="1">IFERROR(VLOOKUP($Y111,OFFSET([3]characters!$A$1,0,0,COUNTA([3]characters!$A:$A),MATCH(AB$1,[3]characters!$2:$2,0)-MATCH("character_id",[3]characters!$2:$2,0)+1),MATCH(AB$1,[3]characters!$2:$2,0)-MATCH("character_id",[3]characters!$2:$2,0)+1,FALSE),"")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1" s="34">
        <v>1</v>
      </c>
      <c r="AD111" s="34">
        <f t="shared" ref="AD111:AD116" ca="1" si="116">AA111</f>
        <v>1</v>
      </c>
      <c r="AE111" s="9">
        <v>25</v>
      </c>
      <c r="AF111" s="34">
        <v>0</v>
      </c>
      <c r="AG111" s="34">
        <v>0</v>
      </c>
      <c r="AH111" s="34">
        <v>0</v>
      </c>
      <c r="AI111" s="34">
        <v>0</v>
      </c>
      <c r="AJ111" s="34">
        <v>1</v>
      </c>
    </row>
    <row r="112" spans="1:36" ht="21" customHeight="1">
      <c r="A112" s="21" t="str">
        <f t="shared" si="113"/>
        <v>10060_1-3/147&lt;lv64&gt;</v>
      </c>
      <c r="B112" s="31">
        <v>10060</v>
      </c>
      <c r="C112" s="35">
        <v>1</v>
      </c>
      <c r="D112" s="20" t="str">
        <f t="shared" si="114"/>
        <v>10060_1</v>
      </c>
      <c r="E112" s="5" t="str">
        <f ca="1">VLOOKUP($B112,OFFSET([1]quests!$A$1,0,0,COUNTA([1]quests!$A:$A),MATCH(E$1,[1]quests!$1:$1,0)-MATCH($B$1,[1]quests!$1:$1,0)+1),MATCH(E$1,[1]quests!$1:$1,0)-MATCH($B$1,[1]quests!$1:$1,0)+1,FALSE)</f>
        <v>東と西の女神【仮】</v>
      </c>
      <c r="F112" s="5" t="str">
        <f ca="1">VLOOKUP($D112,OFFSET([1]stages!$A$1,0,0,COUNTA([1]stages!$A:$A),MATCH(F$1,[1]stages!$2:$2,0)-MATCH($D$1,[1]stages!$2:$2,0)+1),MATCH(F$1,[1]stages!$2:$2,0)-MATCH($D$1,[1]stages!$2:$2,0)+1,FALSE)</f>
        <v>東と西の女神【仮】</v>
      </c>
      <c r="G112" s="35">
        <v>3</v>
      </c>
      <c r="H112" s="20" t="str">
        <f t="shared" si="115"/>
        <v>10060_1-3</v>
      </c>
      <c r="I112" s="37">
        <v>147</v>
      </c>
      <c r="J112" s="26" t="str">
        <f ca="1">VLOOKUP($I112,OFFSET([2]enemies!$A$1,0,0,COUNTA([2]enemies!$A:$A),MATCH(J$1,[2]enemies!$2:$2,0)-MATCH($I$1,[2]enemies!$2:$2,0)+1),MATCH(J$1,[2]enemies!$2:$2,0)-MATCH($I$1,[2]enemies!$2:$2,0)+1,FALSE)</f>
        <v>蒼き閃光 元マーメイド</v>
      </c>
      <c r="K112" s="29" t="str">
        <f ca="1">VLOOKUP($I112,OFFSET([2]enemies!$A$1,0,0,COUNTA([2]enemies!$A:$A),MATCH(K$1,[2]enemies!$2:$2,0)-MATCH($I$1,[2]enemies!$2:$2,0)+1),MATCH(K$1,[2]enemies!$2:$2,0)-MATCH($I$1,[2]enemies!$2:$2,0)+1,FALSE)</f>
        <v>blue</v>
      </c>
      <c r="L112" s="29" t="str">
        <f ca="1">VLOOKUP($I112,OFFSET([3]characters!$A$1,0,0,COUNTA([3]characters!$A:$A),MATCH(L$1,[3]characters!$2:$2,0)-MATCH($I$1,[3]characters!$2:$2,0)+1),MATCH(L$1,[3]characters!$2:$2,0)-MATCH($I$1,[3]characters!$2:$2,0)+1,FALSE)</f>
        <v>PremiumW</v>
      </c>
      <c r="M112" s="28" t="str">
        <f ca="1">VLOOKUP($I112,OFFSET([3]characters!$A$1,0,0,COUNTA([3]characters!$A:$A),MATCH(M$1,[3]characters!$2:$2,0)-MATCH($I$1,[3]characters!$2:$2,0)+2),MATCH(M$1,[3]characters!$2:$2,0)-MATCH($I$1,[3]characters!$2:$2,0)+2,FALSE)</f>
        <v>ヒューマン</v>
      </c>
      <c r="N112" s="5">
        <f ca="1">VLOOKUP($I112,OFFSET([2]enemies!$A$1,0,0,COUNTA([2]enemies!$A:$A),MATCH(N$1,[2]enemies!$2:$2,0)-MATCH($I$1,[2]enemies!$2:$2,0)+1),MATCH(N$1,[2]enemies!$2:$2,0)-MATCH($I$1,[2]enemies!$2:$2,0)+1,FALSE)</f>
        <v>30</v>
      </c>
      <c r="O112" s="6">
        <v>64</v>
      </c>
      <c r="P112" s="43">
        <v>1.2</v>
      </c>
      <c r="Q112" s="41">
        <v>1</v>
      </c>
      <c r="R112" s="6">
        <v>0</v>
      </c>
      <c r="S112" s="5" t="str">
        <f ca="1">VLOOKUP($T112,OFFSET([4]enemy_skill_sets!$B$1,0,0,COUNTA([4]enemy_skill_sets!$B:$B),MATCH(J$1,[4]enemy_skill_sets!$1:$1,0)-MATCH($T$1,[4]enemy_skill_sets!$1:$1,0)+2),MATCH(J$1,[4]enemy_skill_sets!$1:$1,0)-MATCH($T$1,[4]enemy_skill_sets!$1:$1,0)+2,FALSE)</f>
        <v>ユニット1体に3ターンスリープ</v>
      </c>
      <c r="T112" s="5">
        <v>14601</v>
      </c>
      <c r="U112" s="7">
        <v>1</v>
      </c>
      <c r="V112" s="7">
        <v>100</v>
      </c>
      <c r="W112" s="7">
        <v>1</v>
      </c>
      <c r="X112" s="26">
        <f ca="1">VLOOKUP($I112,OFFSET([2]enemies!$A$1,0,0,COUNTA([2]enemies!$A:$A),MATCH(X$1,[2]enemies!$2:$2,0)-MATCH($I$1,[2]enemies!$2:$2,0)+1),MATCH(X$1,[2]enemies!$2:$2,0)-MATCH($I$1,[2]enemies!$2:$2,0)+1,FALSE)</f>
        <v>3</v>
      </c>
      <c r="Y112" s="37">
        <v>146</v>
      </c>
      <c r="Z112" s="5" t="str">
        <f ca="1">IFERROR(VLOOKUP($Y112,OFFSET([3]characters!$A$1,0,0,COUNTA([3]characters!$A:$A),MATCH(Z$1,[3]characters!$2:$2,0)-MATCH("character_id",[3]characters!$2:$2,0)+1),MATCH(Z$1,[3]characters!$2:$2,0)-MATCH("character_id",[3]characters!$2:$2,0)+1,FALSE),"")</f>
        <v>マーメイド</v>
      </c>
      <c r="AA112" s="5">
        <f ca="1">IFERROR(VLOOKUP($Y112,OFFSET([3]characters!$A$1,0,0,COUNTA([3]characters!$A:$A),MATCH(AA$1,[3]characters!$2:$2,0)-MATCH("character_id",[3]characters!$2:$2,0)+1),MATCH(AA$1,[3]characters!$2:$2,0)-MATCH("character_id",[3]characters!$2:$2,0)+1,FALSE),"")</f>
        <v>3</v>
      </c>
      <c r="AB112" s="5" t="str">
        <f ca="1">IFERROR(VLOOKUP($Y112,OFFSET([3]characters!$A$1,0,0,COUNTA([3]characters!$A:$A),MATCH(AB$1,[3]characters!$2:$2,0)-MATCH("character_id",[3]characters!$2:$2,0)+1),MATCH(AB$1,[3]characters!$2:$2,0)-MATCH("character_id",[3]characters!$2:$2,0)+1,FALSE),"")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12" s="34">
        <v>1</v>
      </c>
      <c r="AD112" s="34">
        <f t="shared" ca="1" si="116"/>
        <v>3</v>
      </c>
      <c r="AE112" s="9">
        <v>0</v>
      </c>
      <c r="AF112" s="34">
        <v>0</v>
      </c>
      <c r="AG112" s="34">
        <v>0</v>
      </c>
      <c r="AH112" s="34">
        <v>0</v>
      </c>
      <c r="AI112" s="34">
        <v>0</v>
      </c>
      <c r="AJ112" s="34">
        <v>1</v>
      </c>
    </row>
    <row r="113" spans="1:36" ht="21" customHeight="1">
      <c r="A113" s="21" t="str">
        <f t="shared" ref="A113" si="117">B113&amp;"_"&amp;C113&amp;"-"&amp;G113&amp;"/"&amp;I113&amp;"&lt;lv"&amp;O113&amp;"&gt;"</f>
        <v>10060_1-3/143&lt;lv64&gt;</v>
      </c>
      <c r="B113" s="31">
        <v>10060</v>
      </c>
      <c r="C113" s="35">
        <v>1</v>
      </c>
      <c r="D113" s="20" t="str">
        <f t="shared" ref="D113" si="118">B113&amp;"_"&amp;C113</f>
        <v>10060_1</v>
      </c>
      <c r="E113" s="5" t="str">
        <f ca="1">VLOOKUP($B113,OFFSET([1]quests!$A$1,0,0,COUNTA([1]quests!$A:$A),MATCH(E$1,[1]quests!$1:$1,0)-MATCH($B$1,[1]quests!$1:$1,0)+1),MATCH(E$1,[1]quests!$1:$1,0)-MATCH($B$1,[1]quests!$1:$1,0)+1,FALSE)</f>
        <v>東と西の女神【仮】</v>
      </c>
      <c r="F113" s="5" t="str">
        <f ca="1">VLOOKUP($D113,OFFSET([1]stages!$A$1,0,0,COUNTA([1]stages!$A:$A),MATCH(F$1,[1]stages!$2:$2,0)-MATCH($D$1,[1]stages!$2:$2,0)+1),MATCH(F$1,[1]stages!$2:$2,0)-MATCH($D$1,[1]stages!$2:$2,0)+1,FALSE)</f>
        <v>東と西の女神【仮】</v>
      </c>
      <c r="G113" s="35">
        <v>3</v>
      </c>
      <c r="H113" s="20" t="str">
        <f t="shared" ref="H113" si="119">B113&amp;"_"&amp;C113&amp;"-"&amp;G113</f>
        <v>10060_1-3</v>
      </c>
      <c r="I113" s="37">
        <v>143</v>
      </c>
      <c r="J113" s="26" t="str">
        <f ca="1">VLOOKUP($I113,OFFSET([2]enemies!$A$1,0,0,COUNTA([2]enemies!$A:$A),MATCH(J$1,[2]enemies!$2:$2,0)-MATCH($I$1,[2]enemies!$2:$2,0)+1),MATCH(J$1,[2]enemies!$2:$2,0)-MATCH($I$1,[2]enemies!$2:$2,0)+1,FALSE)</f>
        <v>深紅の死神 赤ずきん</v>
      </c>
      <c r="K113" s="29" t="str">
        <f ca="1">VLOOKUP($I113,OFFSET([2]enemies!$A$1,0,0,COUNTA([2]enemies!$A:$A),MATCH(K$1,[2]enemies!$2:$2,0)-MATCH($I$1,[2]enemies!$2:$2,0)+1),MATCH(K$1,[2]enemies!$2:$2,0)-MATCH($I$1,[2]enemies!$2:$2,0)+1,FALSE)</f>
        <v>red</v>
      </c>
      <c r="L113" s="29" t="str">
        <f ca="1">VLOOKUP($I113,OFFSET([3]characters!$A$1,0,0,COUNTA([3]characters!$A:$A),MATCH(L$1,[3]characters!$2:$2,0)-MATCH($I$1,[3]characters!$2:$2,0)+1),MATCH(L$1,[3]characters!$2:$2,0)-MATCH($I$1,[3]characters!$2:$2,0)+1,FALSE)</f>
        <v>PremiumW</v>
      </c>
      <c r="M113" s="28" t="str">
        <f ca="1">VLOOKUP($I113,OFFSET([3]characters!$A$1,0,0,COUNTA([3]characters!$A:$A),MATCH(M$1,[3]characters!$2:$2,0)-MATCH($I$1,[3]characters!$2:$2,0)+2),MATCH(M$1,[3]characters!$2:$2,0)-MATCH($I$1,[3]characters!$2:$2,0)+2,FALSE)</f>
        <v>ヒューマン</v>
      </c>
      <c r="N113" s="5">
        <f ca="1">VLOOKUP($I113,OFFSET([2]enemies!$A$1,0,0,COUNTA([2]enemies!$A:$A),MATCH(N$1,[2]enemies!$2:$2,0)-MATCH($I$1,[2]enemies!$2:$2,0)+1),MATCH(N$1,[2]enemies!$2:$2,0)-MATCH($I$1,[2]enemies!$2:$2,0)+1,FALSE)</f>
        <v>30</v>
      </c>
      <c r="O113" s="6">
        <v>64</v>
      </c>
      <c r="P113" s="43">
        <v>1.6</v>
      </c>
      <c r="Q113" s="41">
        <v>1</v>
      </c>
      <c r="R113" s="6">
        <v>0</v>
      </c>
      <c r="S113" s="5" t="str">
        <f ca="1">VLOOKUP($T113,OFFSET([4]enemy_skill_sets!$B$1,0,0,COUNTA([4]enemy_skill_sets!$B:$B),MATCH(J$1,[4]enemy_skill_sets!$1:$1,0)-MATCH($T$1,[4]enemy_skill_sets!$1:$1,0)+2),MATCH(J$1,[4]enemy_skill_sets!$1:$1,0)-MATCH($T$1,[4]enemy_skill_sets!$1:$1,0)+2,FALSE)</f>
        <v>種族アニマルのユニットに大ダメージ</v>
      </c>
      <c r="T113" s="5">
        <v>14301</v>
      </c>
      <c r="U113" s="7">
        <v>1</v>
      </c>
      <c r="V113" s="7">
        <v>100</v>
      </c>
      <c r="W113" s="7">
        <v>1</v>
      </c>
      <c r="X113" s="26">
        <f ca="1">VLOOKUP($I113,OFFSET([2]enemies!$A$1,0,0,COUNTA([2]enemies!$A:$A),MATCH(X$1,[2]enemies!$2:$2,0)-MATCH($I$1,[2]enemies!$2:$2,0)+1),MATCH(X$1,[2]enemies!$2:$2,0)-MATCH($I$1,[2]enemies!$2:$2,0)+1,FALSE)</f>
        <v>2</v>
      </c>
      <c r="Y113" s="37">
        <v>142</v>
      </c>
      <c r="Z113" s="5" t="str">
        <f ca="1">IFERROR(VLOOKUP($Y113,OFFSET([3]characters!$A$1,0,0,COUNTA([3]characters!$A:$A),MATCH(Z$1,[3]characters!$2:$2,0)-MATCH("character_id",[3]characters!$2:$2,0)+1),MATCH(Z$1,[3]characters!$2:$2,0)-MATCH("character_id",[3]characters!$2:$2,0)+1,FALSE),"")</f>
        <v>赤ずきん</v>
      </c>
      <c r="AA113" s="5">
        <f ca="1">IFERROR(VLOOKUP($Y113,OFFSET([3]characters!$A$1,0,0,COUNTA([3]characters!$A:$A),MATCH(AA$1,[3]characters!$2:$2,0)-MATCH("character_id",[3]characters!$2:$2,0)+1),MATCH(AA$1,[3]characters!$2:$2,0)-MATCH("character_id",[3]characters!$2:$2,0)+1,FALSE),"")</f>
        <v>3</v>
      </c>
      <c r="AB113" s="5" t="str">
        <f ca="1">IFERROR(VLOOKUP($Y113,OFFSET([3]characters!$A$1,0,0,COUNTA([3]characters!$A:$A),MATCH(AB$1,[3]characters!$2:$2,0)-MATCH("character_id",[3]characters!$2:$2,0)+1),MATCH(AB$1,[3]characters!$2:$2,0)-MATCH("character_id",[3]characters!$2:$2,0)+1,FALSE),"")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13" s="34">
        <v>1</v>
      </c>
      <c r="AD113" s="34">
        <f t="shared" ref="AD113" ca="1" si="120">AA113</f>
        <v>3</v>
      </c>
      <c r="AE113" s="9">
        <v>0</v>
      </c>
      <c r="AF113" s="34">
        <v>0</v>
      </c>
      <c r="AG113" s="34">
        <v>0</v>
      </c>
      <c r="AH113" s="34">
        <v>0</v>
      </c>
      <c r="AI113" s="34">
        <v>0</v>
      </c>
      <c r="AJ113" s="34">
        <v>1</v>
      </c>
    </row>
    <row r="114" spans="1:36" ht="21" customHeight="1">
      <c r="A114" s="21" t="str">
        <f>B114&amp;"_"&amp;C114&amp;"-"&amp;G114&amp;"/"&amp;I114&amp;"&lt;lv"&amp;O114&amp;"&gt;"</f>
        <v>10060_1-4/138&lt;lv64&gt;</v>
      </c>
      <c r="B114" s="31">
        <v>10060</v>
      </c>
      <c r="C114" s="35">
        <v>1</v>
      </c>
      <c r="D114" s="20" t="str">
        <f>B114&amp;"_"&amp;C114</f>
        <v>10060_1</v>
      </c>
      <c r="E114" s="5" t="str">
        <f ca="1">VLOOKUP($B114,OFFSET([1]quests!$A$1,0,0,COUNTA([1]quests!$A:$A),MATCH(E$1,[1]quests!$1:$1,0)-MATCH($B$1,[1]quests!$1:$1,0)+1),MATCH(E$1,[1]quests!$1:$1,0)-MATCH($B$1,[1]quests!$1:$1,0)+1,FALSE)</f>
        <v>東と西の女神【仮】</v>
      </c>
      <c r="F114" s="5" t="str">
        <f ca="1">VLOOKUP($D114,OFFSET([1]stages!$A$1,0,0,COUNTA([1]stages!$A:$A),MATCH(F$1,[1]stages!$2:$2,0)-MATCH($D$1,[1]stages!$2:$2,0)+1),MATCH(F$1,[1]stages!$2:$2,0)-MATCH($D$1,[1]stages!$2:$2,0)+1,FALSE)</f>
        <v>東と西の女神【仮】</v>
      </c>
      <c r="G114" s="35">
        <v>4</v>
      </c>
      <c r="H114" s="20" t="str">
        <f>B114&amp;"_"&amp;C114&amp;"-"&amp;G114</f>
        <v>10060_1-4</v>
      </c>
      <c r="I114" s="37">
        <v>138</v>
      </c>
      <c r="J114" s="26" t="str">
        <f ca="1">VLOOKUP($I114,OFFSET([2]enemies!$A$1,0,0,COUNTA([2]enemies!$A:$A),MATCH(J$1,[2]enemies!$2:$2,0)-MATCH($I$1,[2]enemies!$2:$2,0)+1),MATCH(J$1,[2]enemies!$2:$2,0)-MATCH($I$1,[2]enemies!$2:$2,0)+1,FALSE)</f>
        <v>蒼薙のトモエ</v>
      </c>
      <c r="K114" s="29" t="str">
        <f ca="1">VLOOKUP($I114,OFFSET([2]enemies!$A$1,0,0,COUNTA([2]enemies!$A:$A),MATCH(K$1,[2]enemies!$2:$2,0)-MATCH($I$1,[2]enemies!$2:$2,0)+1),MATCH(K$1,[2]enemies!$2:$2,0)-MATCH($I$1,[2]enemies!$2:$2,0)+1,FALSE)</f>
        <v>blue</v>
      </c>
      <c r="L114" s="29" t="str">
        <f ca="1">VLOOKUP($I114,OFFSET([3]characters!$A$1,0,0,COUNTA([3]characters!$A:$A),MATCH(L$1,[3]characters!$2:$2,0)-MATCH($I$1,[3]characters!$2:$2,0)+1),MATCH(L$1,[3]characters!$2:$2,0)-MATCH($I$1,[3]characters!$2:$2,0)+1,FALSE)</f>
        <v>PremiumW</v>
      </c>
      <c r="M114" s="28" t="str">
        <f ca="1">VLOOKUP($I114,OFFSET([3]characters!$A$1,0,0,COUNTA([3]characters!$A:$A),MATCH(M$1,[3]characters!$2:$2,0)-MATCH($I$1,[3]characters!$2:$2,0)+2),MATCH(M$1,[3]characters!$2:$2,0)-MATCH($I$1,[3]characters!$2:$2,0)+2,FALSE)</f>
        <v>ヒューマン</v>
      </c>
      <c r="N114" s="5">
        <f ca="1">VLOOKUP($I114,OFFSET([2]enemies!$A$1,0,0,COUNTA([2]enemies!$A:$A),MATCH(N$1,[2]enemies!$2:$2,0)-MATCH($I$1,[2]enemies!$2:$2,0)+1),MATCH(N$1,[2]enemies!$2:$2,0)-MATCH($I$1,[2]enemies!$2:$2,0)+1,FALSE)</f>
        <v>20</v>
      </c>
      <c r="O114" s="6">
        <v>64</v>
      </c>
      <c r="P114" s="43">
        <v>0.8</v>
      </c>
      <c r="Q114" s="41">
        <v>1</v>
      </c>
      <c r="R114" s="6">
        <v>0</v>
      </c>
      <c r="S114" s="5" t="str">
        <f ca="1">VLOOKUP($T114,OFFSET([4]enemy_skill_sets!$B$1,0,0,COUNTA([4]enemy_skill_sets!$B:$B),MATCH(J$1,[4]enemy_skill_sets!$1:$1,0)-MATCH($T$1,[4]enemy_skill_sets!$1:$1,0)+2),MATCH(J$1,[4]enemy_skill_sets!$1:$1,0)-MATCH($T$1,[4]enemy_skill_sets!$1:$1,0)+2,FALSE)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4" s="5">
        <f ca="1">VLOOKUP($I114,OFFSET([2]enemies!$A$1,0,0,COUNTA([2]enemies!$A:$A),MATCH(T$1,[2]enemies!$2:$2,0)-MATCH($I$1,[2]enemies!$2:$2,0)+1),MATCH(T$1,[2]enemies!$2:$2,0)-MATCH($I$1,[2]enemies!$2:$2,0)+1,FALSE)</f>
        <v>0</v>
      </c>
      <c r="U114" s="7">
        <v>1</v>
      </c>
      <c r="V114" s="7">
        <v>100</v>
      </c>
      <c r="W114" s="7">
        <v>1</v>
      </c>
      <c r="X114" s="26">
        <f ca="1">VLOOKUP($I114,OFFSET([2]enemies!$A$1,0,0,COUNTA([2]enemies!$A:$A),MATCH(X$1,[2]enemies!$2:$2,0)-MATCH($I$1,[2]enemies!$2:$2,0)+1),MATCH(X$1,[2]enemies!$2:$2,0)-MATCH($I$1,[2]enemies!$2:$2,0)+1,FALSE)</f>
        <v>2</v>
      </c>
      <c r="Y114" s="37">
        <v>138</v>
      </c>
      <c r="Z114" s="5" t="str">
        <f ca="1">IFERROR(VLOOKUP($Y114,OFFSET([3]characters!$A$1,0,0,COUNTA([3]characters!$A:$A),MATCH(Z$1,[3]characters!$2:$2,0)-MATCH("character_id",[3]characters!$2:$2,0)+1),MATCH(Z$1,[3]characters!$2:$2,0)-MATCH("character_id",[3]characters!$2:$2,0)+1,FALSE),"")</f>
        <v>蒼薙のトモエ</v>
      </c>
      <c r="AA114" s="5">
        <f ca="1">IFERROR(VLOOKUP($Y114,OFFSET([3]characters!$A$1,0,0,COUNTA([3]characters!$A:$A),MATCH(AA$1,[3]characters!$2:$2,0)-MATCH("character_id",[3]characters!$2:$2,0)+1),MATCH(AA$1,[3]characters!$2:$2,0)-MATCH("character_id",[3]characters!$2:$2,0)+1,FALSE),"")</f>
        <v>3</v>
      </c>
      <c r="AB114" s="5" t="str">
        <f ca="1">IFERROR(VLOOKUP($Y114,OFFSET([3]characters!$A$1,0,0,COUNTA([3]characters!$A:$A),MATCH(AB$1,[3]characters!$2:$2,0)-MATCH("character_id",[3]characters!$2:$2,0)+1),MATCH(AB$1,[3]characters!$2:$2,0)-MATCH("character_id",[3]characters!$2:$2,0)+1,FALSE),"")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14" s="34">
        <v>1</v>
      </c>
      <c r="AD114" s="34">
        <f ca="1">AA114</f>
        <v>3</v>
      </c>
      <c r="AE114" s="9">
        <v>0</v>
      </c>
      <c r="AF114" s="34">
        <v>0</v>
      </c>
      <c r="AG114" s="34">
        <v>0</v>
      </c>
      <c r="AH114" s="34">
        <v>0</v>
      </c>
      <c r="AI114" s="34">
        <v>0</v>
      </c>
      <c r="AJ114" s="34">
        <v>1</v>
      </c>
    </row>
    <row r="115" spans="1:36" ht="21" customHeight="1">
      <c r="A115" s="21" t="str">
        <f t="shared" ref="A115" si="121">B115&amp;"_"&amp;C115&amp;"-"&amp;G115&amp;"/"&amp;I115&amp;"&lt;lv"&amp;O115&amp;"&gt;"</f>
        <v>10060_1-4/16&lt;lv64&gt;</v>
      </c>
      <c r="B115" s="31">
        <v>10060</v>
      </c>
      <c r="C115" s="35">
        <v>1</v>
      </c>
      <c r="D115" s="20" t="str">
        <f t="shared" ref="D115" si="122">B115&amp;"_"&amp;C115</f>
        <v>10060_1</v>
      </c>
      <c r="E115" s="5" t="str">
        <f ca="1">VLOOKUP($B115,OFFSET([1]quests!$A$1,0,0,COUNTA([1]quests!$A:$A),MATCH(E$1,[1]quests!$1:$1,0)-MATCH($B$1,[1]quests!$1:$1,0)+1),MATCH(E$1,[1]quests!$1:$1,0)-MATCH($B$1,[1]quests!$1:$1,0)+1,FALSE)</f>
        <v>東と西の女神【仮】</v>
      </c>
      <c r="F115" s="5" t="str">
        <f ca="1">VLOOKUP($D115,OFFSET([1]stages!$A$1,0,0,COUNTA([1]stages!$A:$A),MATCH(F$1,[1]stages!$2:$2,0)-MATCH($D$1,[1]stages!$2:$2,0)+1),MATCH(F$1,[1]stages!$2:$2,0)-MATCH($D$1,[1]stages!$2:$2,0)+1,FALSE)</f>
        <v>東と西の女神【仮】</v>
      </c>
      <c r="G115" s="35">
        <v>4</v>
      </c>
      <c r="H115" s="20" t="str">
        <f t="shared" ref="H115" si="123">B115&amp;"_"&amp;C115&amp;"-"&amp;G115</f>
        <v>10060_1-4</v>
      </c>
      <c r="I115" s="37">
        <v>16</v>
      </c>
      <c r="J115" s="26" t="str">
        <f ca="1">VLOOKUP($I115,OFFSET([2]enemies!$A$1,0,0,COUNTA([2]enemies!$A:$A),MATCH(J$1,[2]enemies!$2:$2,0)-MATCH($I$1,[2]enemies!$2:$2,0)+1),MATCH(J$1,[2]enemies!$2:$2,0)-MATCH($I$1,[2]enemies!$2:$2,0)+1,FALSE)</f>
        <v>炎戦少女 アカネ</v>
      </c>
      <c r="K115" s="29" t="str">
        <f ca="1">VLOOKUP($I115,OFFSET([2]enemies!$A$1,0,0,COUNTA([2]enemies!$A:$A),MATCH(K$1,[2]enemies!$2:$2,0)-MATCH($I$1,[2]enemies!$2:$2,0)+1),MATCH(K$1,[2]enemies!$2:$2,0)-MATCH($I$1,[2]enemies!$2:$2,0)+1,FALSE)</f>
        <v>red</v>
      </c>
      <c r="L115" s="29" t="str">
        <f ca="1">VLOOKUP($I115,OFFSET([3]characters!$A$1,0,0,COUNTA([3]characters!$A:$A),MATCH(L$1,[3]characters!$2:$2,0)-MATCH($I$1,[3]characters!$2:$2,0)+1),MATCH(L$1,[3]characters!$2:$2,0)-MATCH($I$1,[3]characters!$2:$2,0)+1,FALSE)</f>
        <v>Drop1W</v>
      </c>
      <c r="M115" s="28" t="str">
        <f ca="1">VLOOKUP($I115,OFFSET([3]characters!$A$1,0,0,COUNTA([3]characters!$A:$A),MATCH(M$1,[3]characters!$2:$2,0)-MATCH($I$1,[3]characters!$2:$2,0)+2),MATCH(M$1,[3]characters!$2:$2,0)-MATCH($I$1,[3]characters!$2:$2,0)+2,FALSE)</f>
        <v>ヒューマン</v>
      </c>
      <c r="N115" s="5">
        <f ca="1">VLOOKUP($I115,OFFSET([2]enemies!$A$1,0,0,COUNTA([2]enemies!$A:$A),MATCH(N$1,[2]enemies!$2:$2,0)-MATCH($I$1,[2]enemies!$2:$2,0)+1),MATCH(N$1,[2]enemies!$2:$2,0)-MATCH($I$1,[2]enemies!$2:$2,0)+1,FALSE)</f>
        <v>15</v>
      </c>
      <c r="O115" s="6">
        <v>64</v>
      </c>
      <c r="P115" s="43">
        <v>1</v>
      </c>
      <c r="Q115" s="41">
        <v>1</v>
      </c>
      <c r="R115" s="6">
        <v>0</v>
      </c>
      <c r="S115" s="5" t="str">
        <f ca="1">VLOOKUP($T115,OFFSET([4]enemy_skill_sets!$B$1,0,0,COUNTA([4]enemy_skill_sets!$B:$B),MATCH(J$1,[4]enemy_skill_sets!$1:$1,0)-MATCH($T$1,[4]enemy_skill_sets!$1:$1,0)+2),MATCH(J$1,[4]enemy_skill_sets!$1:$1,0)-MATCH($T$1,[4]enemy_skill_sets!$1:$1,0)+2,FALSE)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5" s="5">
        <f ca="1">VLOOKUP($I115,OFFSET([2]enemies!$A$1,0,0,COUNTA([2]enemies!$A:$A),MATCH(T$1,[2]enemies!$2:$2,0)-MATCH($I$1,[2]enemies!$2:$2,0)+1),MATCH(T$1,[2]enemies!$2:$2,0)-MATCH($I$1,[2]enemies!$2:$2,0)+1,FALSE)</f>
        <v>0</v>
      </c>
      <c r="U115" s="7">
        <v>2</v>
      </c>
      <c r="V115" s="7">
        <v>100</v>
      </c>
      <c r="W115" s="7">
        <v>0</v>
      </c>
      <c r="X115" s="26">
        <f ca="1">VLOOKUP($I115,OFFSET([2]enemies!$A$1,0,0,COUNTA([2]enemies!$A:$A),MATCH(X$1,[2]enemies!$2:$2,0)-MATCH($I$1,[2]enemies!$2:$2,0)+1),MATCH(X$1,[2]enemies!$2:$2,0)-MATCH($I$1,[2]enemies!$2:$2,0)+1,FALSE)</f>
        <v>3</v>
      </c>
      <c r="Y115" s="37">
        <v>15</v>
      </c>
      <c r="Z115" s="5" t="str">
        <f ca="1">IFERROR(VLOOKUP($Y115,OFFSET([3]characters!$A$1,0,0,COUNTA([3]characters!$A:$A),MATCH(Z$1,[3]characters!$2:$2,0)-MATCH("character_id",[3]characters!$2:$2,0)+1),MATCH(Z$1,[3]characters!$2:$2,0)-MATCH("character_id",[3]characters!$2:$2,0)+1,FALSE),"")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15" s="5">
        <f ca="1">IFERROR(VLOOKUP($Y115,OFFSET([3]characters!$A$1,0,0,COUNTA([3]characters!$A:$A),MATCH(AA$1,[3]characters!$2:$2,0)-MATCH("character_id",[3]characters!$2:$2,0)+1),MATCH(AA$1,[3]characters!$2:$2,0)-MATCH("character_id",[3]characters!$2:$2,0)+1,FALSE),"")</f>
        <v>1</v>
      </c>
      <c r="AB115" s="5" t="str">
        <f ca="1">IFERROR(VLOOKUP($Y115,OFFSET([3]characters!$A$1,0,0,COUNTA([3]characters!$A:$A),MATCH(AB$1,[3]characters!$2:$2,0)-MATCH("character_id",[3]characters!$2:$2,0)+1),MATCH(AB$1,[3]characters!$2:$2,0)-MATCH("character_id",[3]characters!$2:$2,0)+1,FALSE),"")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5" s="34">
        <v>1</v>
      </c>
      <c r="AD115" s="34">
        <f t="shared" ref="AD115" ca="1" si="124">AA115</f>
        <v>1</v>
      </c>
      <c r="AE115" s="9">
        <v>0</v>
      </c>
      <c r="AF115" s="34">
        <v>0</v>
      </c>
      <c r="AG115" s="34">
        <v>0</v>
      </c>
      <c r="AH115" s="34">
        <v>0</v>
      </c>
      <c r="AI115" s="34">
        <v>0</v>
      </c>
      <c r="AJ115" s="34">
        <v>1</v>
      </c>
    </row>
    <row r="116" spans="1:36" ht="21" customHeight="1">
      <c r="A116" s="21" t="str">
        <f t="shared" si="113"/>
        <v>10060_1-5/209&lt;lv64&gt;</v>
      </c>
      <c r="B116" s="31">
        <v>10060</v>
      </c>
      <c r="C116" s="35">
        <v>1</v>
      </c>
      <c r="D116" s="20" t="str">
        <f t="shared" si="114"/>
        <v>10060_1</v>
      </c>
      <c r="E116" s="5" t="str">
        <f ca="1">VLOOKUP($B116,OFFSET([1]quests!$A$1,0,0,COUNTA([1]quests!$A:$A),MATCH(E$1,[1]quests!$1:$1,0)-MATCH($B$1,[1]quests!$1:$1,0)+1),MATCH(E$1,[1]quests!$1:$1,0)-MATCH($B$1,[1]quests!$1:$1,0)+1,FALSE)</f>
        <v>東と西の女神【仮】</v>
      </c>
      <c r="F116" s="5" t="str">
        <f ca="1">VLOOKUP($D116,OFFSET([1]stages!$A$1,0,0,COUNTA([1]stages!$A:$A),MATCH(F$1,[1]stages!$2:$2,0)-MATCH($D$1,[1]stages!$2:$2,0)+1),MATCH(F$1,[1]stages!$2:$2,0)-MATCH($D$1,[1]stages!$2:$2,0)+1,FALSE)</f>
        <v>東と西の女神【仮】</v>
      </c>
      <c r="G116" s="35">
        <v>5</v>
      </c>
      <c r="H116" s="20" t="str">
        <f t="shared" si="115"/>
        <v>10060_1-5</v>
      </c>
      <c r="I116" s="37">
        <v>209</v>
      </c>
      <c r="J116" s="26" t="str">
        <f ca="1">VLOOKUP($I116,OFFSET([2]enemies!$A$1,0,0,COUNTA([2]enemies!$A:$A),MATCH(J$1,[2]enemies!$2:$2,0)-MATCH($I$1,[2]enemies!$2:$2,0)+1),MATCH(J$1,[2]enemies!$2:$2,0)-MATCH($I$1,[2]enemies!$2:$2,0)+1,FALSE)</f>
        <v>孤神 テティス</v>
      </c>
      <c r="K116" s="29" t="str">
        <f ca="1">VLOOKUP($I116,OFFSET([2]enemies!$A$1,0,0,COUNTA([2]enemies!$A:$A),MATCH(K$1,[2]enemies!$2:$2,0)-MATCH($I$1,[2]enemies!$2:$2,0)+1),MATCH(K$1,[2]enemies!$2:$2,0)-MATCH($I$1,[2]enemies!$2:$2,0)+1,FALSE)</f>
        <v>blue</v>
      </c>
      <c r="L116" s="29" t="str">
        <f ca="1">VLOOKUP($I116,OFFSET([3]characters!$A$1,0,0,COUNTA([3]characters!$A:$A),MATCH(L$1,[3]characters!$2:$2,0)-MATCH($I$1,[3]characters!$2:$2,0)+1),MATCH(L$1,[3]characters!$2:$2,0)-MATCH($I$1,[3]characters!$2:$2,0)+1,FALSE)</f>
        <v>PremiumN</v>
      </c>
      <c r="M116" s="28" t="str">
        <f ca="1">VLOOKUP($I116,OFFSET([3]characters!$A$1,0,0,COUNTA([3]characters!$A:$A),MATCH(M$1,[3]characters!$2:$2,0)-MATCH($I$1,[3]characters!$2:$2,0)+2),MATCH(M$1,[3]characters!$2:$2,0)-MATCH($I$1,[3]characters!$2:$2,0)+2,FALSE)</f>
        <v>ゴッド</v>
      </c>
      <c r="N116" s="5">
        <f ca="1">VLOOKUP($I116,OFFSET([2]enemies!$A$1,0,0,COUNTA([2]enemies!$A:$A),MATCH(N$1,[2]enemies!$2:$2,0)-MATCH($I$1,[2]enemies!$2:$2,0)+1),MATCH(N$1,[2]enemies!$2:$2,0)-MATCH($I$1,[2]enemies!$2:$2,0)+1,FALSE)</f>
        <v>30</v>
      </c>
      <c r="O116" s="6">
        <v>64</v>
      </c>
      <c r="P116" s="43">
        <v>1.3</v>
      </c>
      <c r="Q116" s="41">
        <v>0.8</v>
      </c>
      <c r="R116" s="6">
        <v>0</v>
      </c>
      <c r="S116" s="5" t="str">
        <f ca="1">VLOOKUP($T116,OFFSET([4]enemy_skill_sets!$B$1,0,0,COUNTA([4]enemy_skill_sets!$B:$B),MATCH(J$1,[4]enemy_skill_sets!$1:$1,0)-MATCH($T$1,[4]enemy_skill_sets!$1:$1,0)+2),MATCH(J$1,[4]enemy_skill_sets!$1:$1,0)-MATCH($T$1,[4]enemy_skill_sets!$1:$1,0)+2,FALSE)</f>
        <v>3回連続攻撃</v>
      </c>
      <c r="T116" s="5">
        <v>20901</v>
      </c>
      <c r="U116" s="7">
        <v>1</v>
      </c>
      <c r="V116" s="7">
        <v>100</v>
      </c>
      <c r="W116" s="7">
        <v>1</v>
      </c>
      <c r="X116" s="26">
        <f ca="1">VLOOKUP($I116,OFFSET([2]enemies!$A$1,0,0,COUNTA([2]enemies!$A:$A),MATCH(X$1,[2]enemies!$2:$2,0)-MATCH($I$1,[2]enemies!$2:$2,0)+1),MATCH(X$1,[2]enemies!$2:$2,0)-MATCH($I$1,[2]enemies!$2:$2,0)+1,FALSE)</f>
        <v>2</v>
      </c>
      <c r="Y116" s="37">
        <v>208</v>
      </c>
      <c r="Z116" s="5" t="str">
        <f ca="1">IFERROR(VLOOKUP($Y116,OFFSET([3]characters!$A$1,0,0,COUNTA([3]characters!$A:$A),MATCH(Z$1,[3]characters!$2:$2,0)-MATCH("character_id",[3]characters!$2:$2,0)+1),MATCH(Z$1,[3]characters!$2:$2,0)-MATCH("character_id",[3]characters!$2:$2,0)+1,FALSE),"")</f>
        <v>テティス</v>
      </c>
      <c r="AA116" s="5">
        <f ca="1">IFERROR(VLOOKUP($Y116,OFFSET([3]characters!$A$1,0,0,COUNTA([3]characters!$A:$A),MATCH(AA$1,[3]characters!$2:$2,0)-MATCH("character_id",[3]characters!$2:$2,0)+1),MATCH(AA$1,[3]characters!$2:$2,0)-MATCH("character_id",[3]characters!$2:$2,0)+1,FALSE),"")</f>
        <v>3</v>
      </c>
      <c r="AB116" s="5" t="str">
        <f ca="1">IFERROR(VLOOKUP($Y116,OFFSET([3]characters!$A$1,0,0,COUNTA([3]characters!$A:$A),MATCH(AB$1,[3]characters!$2:$2,0)-MATCH("character_id",[3]characters!$2:$2,0)+1),MATCH(AB$1,[3]characters!$2:$2,0)-MATCH("character_id",[3]characters!$2:$2,0)+1,FALSE),"")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116" s="34">
        <v>1</v>
      </c>
      <c r="AD116" s="34">
        <f t="shared" ca="1" si="116"/>
        <v>3</v>
      </c>
      <c r="AE116" s="9">
        <v>0</v>
      </c>
      <c r="AF116" s="34">
        <v>0</v>
      </c>
      <c r="AG116" s="34">
        <v>0</v>
      </c>
      <c r="AH116" s="34">
        <v>0</v>
      </c>
      <c r="AI116" s="34">
        <v>0</v>
      </c>
      <c r="AJ116" s="34">
        <v>1</v>
      </c>
    </row>
    <row r="117" spans="1:36" ht="21" customHeight="1">
      <c r="A117" s="21" t="str">
        <f t="shared" ref="A117:A124" si="125">B117&amp;"_"&amp;C117&amp;"-"&amp;G117&amp;"/"&amp;I117&amp;"&lt;lv"&amp;O117&amp;"&gt;"</f>
        <v>10060_1-5/191&lt;lv64&gt;</v>
      </c>
      <c r="B117" s="31">
        <v>10060</v>
      </c>
      <c r="C117" s="35">
        <v>1</v>
      </c>
      <c r="D117" s="20" t="str">
        <f t="shared" ref="D117:D124" si="126">B117&amp;"_"&amp;C117</f>
        <v>10060_1</v>
      </c>
      <c r="E117" s="5" t="str">
        <f ca="1">VLOOKUP($B117,OFFSET([1]quests!$A$1,0,0,COUNTA([1]quests!$A:$A),MATCH(E$1,[1]quests!$1:$1,0)-MATCH($B$1,[1]quests!$1:$1,0)+1),MATCH(E$1,[1]quests!$1:$1,0)-MATCH($B$1,[1]quests!$1:$1,0)+1,FALSE)</f>
        <v>東と西の女神【仮】</v>
      </c>
      <c r="F117" s="5" t="str">
        <f ca="1">VLOOKUP($D117,OFFSET([1]stages!$A$1,0,0,COUNTA([1]stages!$A:$A),MATCH(F$1,[1]stages!$2:$2,0)-MATCH($D$1,[1]stages!$2:$2,0)+1),MATCH(F$1,[1]stages!$2:$2,0)-MATCH($D$1,[1]stages!$2:$2,0)+1,FALSE)</f>
        <v>東と西の女神【仮】</v>
      </c>
      <c r="G117" s="35">
        <v>5</v>
      </c>
      <c r="H117" s="20" t="str">
        <f t="shared" ref="H117:H124" si="127">B117&amp;"_"&amp;C117&amp;"-"&amp;G117</f>
        <v>10060_1-5</v>
      </c>
      <c r="I117" s="37">
        <v>191</v>
      </c>
      <c r="J117" s="26" t="str">
        <f ca="1">VLOOKUP($I117,OFFSET([2]enemies!$A$1,0,0,COUNTA([2]enemies!$A:$A),MATCH(J$1,[2]enemies!$2:$2,0)-MATCH($I$1,[2]enemies!$2:$2,0)+1),MATCH(J$1,[2]enemies!$2:$2,0)-MATCH($I$1,[2]enemies!$2:$2,0)+1,FALSE)</f>
        <v>始祖 卑弥呼</v>
      </c>
      <c r="K117" s="29" t="str">
        <f ca="1">VLOOKUP($I117,OFFSET([2]enemies!$A$1,0,0,COUNTA([2]enemies!$A:$A),MATCH(K$1,[2]enemies!$2:$2,0)-MATCH($I$1,[2]enemies!$2:$2,0)+1),MATCH(K$1,[2]enemies!$2:$2,0)-MATCH($I$1,[2]enemies!$2:$2,0)+1,FALSE)</f>
        <v>red</v>
      </c>
      <c r="L117" s="29" t="str">
        <f ca="1">VLOOKUP($I117,OFFSET([3]characters!$A$1,0,0,COUNTA([3]characters!$A:$A),MATCH(L$1,[3]characters!$2:$2,0)-MATCH($I$1,[3]characters!$2:$2,0)+1),MATCH(L$1,[3]characters!$2:$2,0)-MATCH($I$1,[3]characters!$2:$2,0)+1,FALSE)</f>
        <v>PremiumN</v>
      </c>
      <c r="M117" s="28" t="str">
        <f ca="1">VLOOKUP($I117,OFFSET([3]characters!$A$1,0,0,COUNTA([3]characters!$A:$A),MATCH(M$1,[3]characters!$2:$2,0)-MATCH($I$1,[3]characters!$2:$2,0)+2),MATCH(M$1,[3]characters!$2:$2,0)-MATCH($I$1,[3]characters!$2:$2,0)+2,FALSE)</f>
        <v>ヒューマン</v>
      </c>
      <c r="N117" s="5">
        <f ca="1">VLOOKUP($I117,OFFSET([2]enemies!$A$1,0,0,COUNTA([2]enemies!$A:$A),MATCH(N$1,[2]enemies!$2:$2,0)-MATCH($I$1,[2]enemies!$2:$2,0)+1),MATCH(N$1,[2]enemies!$2:$2,0)-MATCH($I$1,[2]enemies!$2:$2,0)+1,FALSE)</f>
        <v>30</v>
      </c>
      <c r="O117" s="6">
        <v>64</v>
      </c>
      <c r="P117" s="43">
        <v>1.8</v>
      </c>
      <c r="Q117" s="41">
        <v>0.8</v>
      </c>
      <c r="R117" s="6">
        <v>0</v>
      </c>
      <c r="S117" s="5" t="str">
        <f ca="1">VLOOKUP($T117,OFFSET([4]enemy_skill_sets!$B$1,0,0,COUNTA([4]enemy_skill_sets!$B:$B),MATCH(J$1,[4]enemy_skill_sets!$1:$1,0)-MATCH($T$1,[4]enemy_skill_sets!$1:$1,0)+2),MATCH(J$1,[4]enemy_skill_sets!$1:$1,0)-MATCH($T$1,[4]enemy_skill_sets!$1:$1,0)+2,FALSE)</f>
        <v>見えない力が集まってゆく…</v>
      </c>
      <c r="T117" s="5">
        <v>19101</v>
      </c>
      <c r="U117" s="7">
        <v>1</v>
      </c>
      <c r="V117" s="7">
        <v>100</v>
      </c>
      <c r="W117" s="7">
        <v>1</v>
      </c>
      <c r="X117" s="26">
        <f ca="1">VLOOKUP($I117,OFFSET([2]enemies!$A$1,0,0,COUNTA([2]enemies!$A:$A),MATCH(X$1,[2]enemies!$2:$2,0)-MATCH($I$1,[2]enemies!$2:$2,0)+1),MATCH(X$1,[2]enemies!$2:$2,0)-MATCH($I$1,[2]enemies!$2:$2,0)+1,FALSE)</f>
        <v>3</v>
      </c>
      <c r="Y117" s="37">
        <v>190</v>
      </c>
      <c r="Z117" s="5" t="str">
        <f ca="1">IFERROR(VLOOKUP($Y117,OFFSET([3]characters!$A$1,0,0,COUNTA([3]characters!$A:$A),MATCH(Z$1,[3]characters!$2:$2,0)-MATCH("character_id",[3]characters!$2:$2,0)+1),MATCH(Z$1,[3]characters!$2:$2,0)-MATCH("character_id",[3]characters!$2:$2,0)+1,FALSE),"")</f>
        <v>卑弥呼</v>
      </c>
      <c r="AA117" s="5">
        <f ca="1">IFERROR(VLOOKUP($Y117,OFFSET([3]characters!$A$1,0,0,COUNTA([3]characters!$A:$A),MATCH(AA$1,[3]characters!$2:$2,0)-MATCH("character_id",[3]characters!$2:$2,0)+1),MATCH(AA$1,[3]characters!$2:$2,0)-MATCH("character_id",[3]characters!$2:$2,0)+1,FALSE),"")</f>
        <v>3</v>
      </c>
      <c r="AB117" s="5" t="str">
        <f ca="1">IFERROR(VLOOKUP($Y117,OFFSET([3]characters!$A$1,0,0,COUNTA([3]characters!$A:$A),MATCH(AB$1,[3]characters!$2:$2,0)-MATCH("character_id",[3]characters!$2:$2,0)+1),MATCH(AB$1,[3]characters!$2:$2,0)-MATCH("character_id",[3]characters!$2:$2,0)+1,FALSE),"")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117" s="34">
        <v>1</v>
      </c>
      <c r="AD117" s="34">
        <f t="shared" ref="AD117:AD124" ca="1" si="128">AA117</f>
        <v>3</v>
      </c>
      <c r="AE117" s="9">
        <v>0</v>
      </c>
      <c r="AF117" s="34">
        <v>0</v>
      </c>
      <c r="AG117" s="34">
        <v>0</v>
      </c>
      <c r="AH117" s="34">
        <v>0</v>
      </c>
      <c r="AI117" s="34">
        <v>0</v>
      </c>
      <c r="AJ117" s="34">
        <v>1</v>
      </c>
    </row>
    <row r="118" spans="1:36" ht="21" customHeight="1">
      <c r="A118" s="21" t="str">
        <f t="shared" si="125"/>
        <v>10065_1-1/26&lt;lv69&gt;</v>
      </c>
      <c r="B118" s="44">
        <v>10065</v>
      </c>
      <c r="C118" s="45">
        <v>1</v>
      </c>
      <c r="D118" s="20" t="str">
        <f t="shared" si="126"/>
        <v>10065_1</v>
      </c>
      <c r="E118" s="5" t="str">
        <f ca="1">VLOOKUP($B118,OFFSET([1]quests!$A$1,0,0,COUNTA([1]quests!$A:$A),MATCH(E$1,[1]quests!$1:$1,0)-MATCH($B$1,[1]quests!$1:$1,0)+1),MATCH(E$1,[1]quests!$1:$1,0)-MATCH($B$1,[1]quests!$1:$1,0)+1,FALSE)</f>
        <v>奪還！太陽神！【仮】</v>
      </c>
      <c r="F118" s="5" t="str">
        <f ca="1">VLOOKUP($D118,OFFSET([1]stages!$A$1,0,0,COUNTA([1]stages!$A:$A),MATCH(F$1,[1]stages!$2:$2,0)-MATCH($D$1,[1]stages!$2:$2,0)+1),MATCH(F$1,[1]stages!$2:$2,0)-MATCH($D$1,[1]stages!$2:$2,0)+1,FALSE)</f>
        <v>奪還！太陽神！【仮】</v>
      </c>
      <c r="G118" s="45">
        <v>1</v>
      </c>
      <c r="H118" s="20" t="str">
        <f t="shared" si="127"/>
        <v>10065_1-1</v>
      </c>
      <c r="I118" s="46">
        <v>26</v>
      </c>
      <c r="J118" s="26" t="str">
        <f ca="1">VLOOKUP($I118,OFFSET([2]enemies!$A$1,0,0,COUNTA([2]enemies!$A:$A),MATCH(J$1,[2]enemies!$2:$2,0)-MATCH($I$1,[2]enemies!$2:$2,0)+1),MATCH(J$1,[2]enemies!$2:$2,0)-MATCH($I$1,[2]enemies!$2:$2,0)+1,FALSE)</f>
        <v>勇犬 ハチ</v>
      </c>
      <c r="K118" s="29" t="str">
        <f ca="1">VLOOKUP($I118,OFFSET([2]enemies!$A$1,0,0,COUNTA([2]enemies!$A:$A),MATCH(K$1,[2]enemies!$2:$2,0)-MATCH($I$1,[2]enemies!$2:$2,0)+1),MATCH(K$1,[2]enemies!$2:$2,0)-MATCH($I$1,[2]enemies!$2:$2,0)+1,FALSE)</f>
        <v>blue</v>
      </c>
      <c r="L118" s="29" t="str">
        <f ca="1">VLOOKUP($I118,OFFSET([3]characters!$A$1,0,0,COUNTA([3]characters!$A:$A),MATCH(L$1,[3]characters!$2:$2,0)-MATCH($I$1,[3]characters!$2:$2,0)+1),MATCH(L$1,[3]characters!$2:$2,0)-MATCH($I$1,[3]characters!$2:$2,0)+1,FALSE)</f>
        <v>Drop1N</v>
      </c>
      <c r="M118" s="28" t="str">
        <f ca="1">VLOOKUP($I118,OFFSET([3]characters!$A$1,0,0,COUNTA([3]characters!$A:$A),MATCH(M$1,[3]characters!$2:$2,0)-MATCH($I$1,[3]characters!$2:$2,0)+2),MATCH(M$1,[3]characters!$2:$2,0)-MATCH($I$1,[3]characters!$2:$2,0)+2,FALSE)</f>
        <v>アニマル</v>
      </c>
      <c r="N118" s="5">
        <f ca="1">VLOOKUP($I118,OFFSET([2]enemies!$A$1,0,0,COUNTA([2]enemies!$A:$A),MATCH(N$1,[2]enemies!$2:$2,0)-MATCH($I$1,[2]enemies!$2:$2,0)+1),MATCH(N$1,[2]enemies!$2:$2,0)-MATCH($I$1,[2]enemies!$2:$2,0)+1,FALSE)</f>
        <v>15</v>
      </c>
      <c r="O118" s="6">
        <v>69</v>
      </c>
      <c r="P118" s="41">
        <v>1</v>
      </c>
      <c r="Q118" s="41">
        <v>1</v>
      </c>
      <c r="R118" s="6">
        <v>0</v>
      </c>
      <c r="S118" s="5" t="str">
        <f ca="1">VLOOKUP($T118,OFFSET([4]enemy_skill_sets!$B$1,0,0,COUNTA([4]enemy_skill_sets!$B:$B),MATCH(J$1,[4]enemy_skill_sets!$1:$1,0)-MATCH($T$1,[4]enemy_skill_sets!$1:$1,0)+2),MATCH(J$1,[4]enemy_skill_sets!$1:$1,0)-MATCH($T$1,[4]enemy_skill_sets!$1:$1,0)+2,FALSE)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8" s="5">
        <f ca="1">VLOOKUP($I118,OFFSET([2]enemies!$A$1,0,0,COUNTA([2]enemies!$A:$A),MATCH(T$1,[2]enemies!$2:$2,0)-MATCH($I$1,[2]enemies!$2:$2,0)+1),MATCH(T$1,[2]enemies!$2:$2,0)-MATCH($I$1,[2]enemies!$2:$2,0)+1,FALSE)</f>
        <v>0</v>
      </c>
      <c r="U118" s="7">
        <v>1</v>
      </c>
      <c r="V118" s="7">
        <v>100</v>
      </c>
      <c r="W118" s="7">
        <v>0</v>
      </c>
      <c r="X118" s="26">
        <f ca="1">VLOOKUP($I118,OFFSET([2]enemies!$A$1,0,0,COUNTA([2]enemies!$A:$A),MATCH(X$1,[2]enemies!$2:$2,0)-MATCH($I$1,[2]enemies!$2:$2,0)+1),MATCH(X$1,[2]enemies!$2:$2,0)-MATCH($I$1,[2]enemies!$2:$2,0)+1,FALSE)</f>
        <v>3</v>
      </c>
      <c r="Y118" s="46">
        <v>26</v>
      </c>
      <c r="Z118" s="5" t="str">
        <f ca="1">IFERROR(VLOOKUP($Y118,OFFSET([3]characters!$A$1,0,0,COUNTA([3]characters!$A:$A),MATCH(Z$1,[3]characters!$2:$2,0)-MATCH("character_id",[3]characters!$2:$2,0)+1),MATCH(Z$1,[3]characters!$2:$2,0)-MATCH("character_id",[3]characters!$2:$2,0)+1,FALSE),"")</f>
        <v>勇犬 ハチ</v>
      </c>
      <c r="AA118" s="5">
        <f ca="1">IFERROR(VLOOKUP($Y118,OFFSET([3]characters!$A$1,0,0,COUNTA([3]characters!$A:$A),MATCH(AA$1,[3]characters!$2:$2,0)-MATCH("character_id",[3]characters!$2:$2,0)+1),MATCH(AA$1,[3]characters!$2:$2,0)-MATCH("character_id",[3]characters!$2:$2,0)+1,FALSE),"")</f>
        <v>2</v>
      </c>
      <c r="AB118" s="5" t="str">
        <f ca="1">IFERROR(VLOOKUP($Y118,OFFSET([3]characters!$A$1,0,0,COUNTA([3]characters!$A:$A),MATCH(AB$1,[3]characters!$2:$2,0)-MATCH("character_id",[3]characters!$2:$2,0)+1),MATCH(AB$1,[3]characters!$2:$2,0)-MATCH("character_id",[3]characters!$2:$2,0)+1,FALSE),"")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8" s="34">
        <v>1</v>
      </c>
      <c r="AD118" s="34">
        <f t="shared" ca="1" si="128"/>
        <v>2</v>
      </c>
      <c r="AE118" s="9">
        <v>0</v>
      </c>
      <c r="AF118" s="34">
        <v>0</v>
      </c>
      <c r="AG118" s="34">
        <v>0</v>
      </c>
      <c r="AH118" s="34">
        <v>0</v>
      </c>
      <c r="AI118" s="34">
        <v>0</v>
      </c>
      <c r="AJ118" s="34">
        <v>1</v>
      </c>
    </row>
    <row r="119" spans="1:36" ht="21" customHeight="1">
      <c r="A119" s="21" t="str">
        <f t="shared" si="125"/>
        <v>10065_1-1/14&lt;lv69&gt;</v>
      </c>
      <c r="B119" s="44">
        <v>10065</v>
      </c>
      <c r="C119" s="45">
        <v>1</v>
      </c>
      <c r="D119" s="20" t="str">
        <f t="shared" si="126"/>
        <v>10065_1</v>
      </c>
      <c r="E119" s="5" t="str">
        <f ca="1">VLOOKUP($B119,OFFSET([1]quests!$A$1,0,0,COUNTA([1]quests!$A:$A),MATCH(E$1,[1]quests!$1:$1,0)-MATCH($B$1,[1]quests!$1:$1,0)+1),MATCH(E$1,[1]quests!$1:$1,0)-MATCH($B$1,[1]quests!$1:$1,0)+1,FALSE)</f>
        <v>奪還！太陽神！【仮】</v>
      </c>
      <c r="F119" s="5" t="str">
        <f ca="1">VLOOKUP($D119,OFFSET([1]stages!$A$1,0,0,COUNTA([1]stages!$A:$A),MATCH(F$1,[1]stages!$2:$2,0)-MATCH($D$1,[1]stages!$2:$2,0)+1),MATCH(F$1,[1]stages!$2:$2,0)-MATCH($D$1,[1]stages!$2:$2,0)+1,FALSE)</f>
        <v>奪還！太陽神！【仮】</v>
      </c>
      <c r="G119" s="45">
        <v>1</v>
      </c>
      <c r="H119" s="20" t="str">
        <f t="shared" si="127"/>
        <v>10065_1-1</v>
      </c>
      <c r="I119" s="46">
        <v>14</v>
      </c>
      <c r="J119" s="26" t="str">
        <f ca="1">VLOOKUP($I119,OFFSET([2]enemies!$A$1,0,0,COUNTA([2]enemies!$A:$A),MATCH(J$1,[2]enemies!$2:$2,0)-MATCH($I$1,[2]enemies!$2:$2,0)+1),MATCH(J$1,[2]enemies!$2:$2,0)-MATCH($I$1,[2]enemies!$2:$2,0)+1,FALSE)</f>
        <v>ミミ・ザ・ガンマンキャット</v>
      </c>
      <c r="K119" s="29" t="str">
        <f ca="1">VLOOKUP($I119,OFFSET([2]enemies!$A$1,0,0,COUNTA([2]enemies!$A:$A),MATCH(K$1,[2]enemies!$2:$2,0)-MATCH($I$1,[2]enemies!$2:$2,0)+1),MATCH(K$1,[2]enemies!$2:$2,0)-MATCH($I$1,[2]enemies!$2:$2,0)+1,FALSE)</f>
        <v>yellow</v>
      </c>
      <c r="L119" s="29" t="str">
        <f ca="1">VLOOKUP($I119,OFFSET([3]characters!$A$1,0,0,COUNTA([3]characters!$A:$A),MATCH(L$1,[3]characters!$2:$2,0)-MATCH($I$1,[3]characters!$2:$2,0)+1),MATCH(L$1,[3]characters!$2:$2,0)-MATCH($I$1,[3]characters!$2:$2,0)+1,FALSE)</f>
        <v>Drop1W</v>
      </c>
      <c r="M119" s="28" t="str">
        <f ca="1">VLOOKUP($I119,OFFSET([3]characters!$A$1,0,0,COUNTA([3]characters!$A:$A),MATCH(M$1,[3]characters!$2:$2,0)-MATCH($I$1,[3]characters!$2:$2,0)+2),MATCH(M$1,[3]characters!$2:$2,0)-MATCH($I$1,[3]characters!$2:$2,0)+2,FALSE)</f>
        <v>アニマル</v>
      </c>
      <c r="N119" s="5">
        <f ca="1">VLOOKUP($I119,OFFSET([2]enemies!$A$1,0,0,COUNTA([2]enemies!$A:$A),MATCH(N$1,[2]enemies!$2:$2,0)-MATCH($I$1,[2]enemies!$2:$2,0)+1),MATCH(N$1,[2]enemies!$2:$2,0)-MATCH($I$1,[2]enemies!$2:$2,0)+1,FALSE)</f>
        <v>15</v>
      </c>
      <c r="O119" s="6">
        <v>69</v>
      </c>
      <c r="P119" s="41">
        <v>1</v>
      </c>
      <c r="Q119" s="41">
        <v>1</v>
      </c>
      <c r="R119" s="6">
        <v>0</v>
      </c>
      <c r="S119" s="5" t="str">
        <f ca="1">VLOOKUP($T119,OFFSET([4]enemy_skill_sets!$B$1,0,0,COUNTA([4]enemy_skill_sets!$B:$B),MATCH(J$1,[4]enemy_skill_sets!$1:$1,0)-MATCH($T$1,[4]enemy_skill_sets!$1:$1,0)+2),MATCH(J$1,[4]enemy_skill_sets!$1:$1,0)-MATCH($T$1,[4]enemy_skill_sets!$1:$1,0)+2,FALSE)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9" s="5">
        <f ca="1">VLOOKUP($I119,OFFSET([2]enemies!$A$1,0,0,COUNTA([2]enemies!$A:$A),MATCH(T$1,[2]enemies!$2:$2,0)-MATCH($I$1,[2]enemies!$2:$2,0)+1),MATCH(T$1,[2]enemies!$2:$2,0)-MATCH($I$1,[2]enemies!$2:$2,0)+1,FALSE)</f>
        <v>0</v>
      </c>
      <c r="U119" s="7">
        <v>1</v>
      </c>
      <c r="V119" s="7">
        <v>100</v>
      </c>
      <c r="W119" s="7">
        <v>0</v>
      </c>
      <c r="X119" s="26">
        <f ca="1">VLOOKUP($I119,OFFSET([2]enemies!$A$1,0,0,COUNTA([2]enemies!$A:$A),MATCH(X$1,[2]enemies!$2:$2,0)-MATCH($I$1,[2]enemies!$2:$2,0)+1),MATCH(X$1,[2]enemies!$2:$2,0)-MATCH($I$1,[2]enemies!$2:$2,0)+1,FALSE)</f>
        <v>2</v>
      </c>
      <c r="Y119" s="46">
        <v>14</v>
      </c>
      <c r="Z119" s="5" t="str">
        <f ca="1">IFERROR(VLOOKUP($Y119,OFFSET([3]characters!$A$1,0,0,COUNTA([3]characters!$A:$A),MATCH(Z$1,[3]characters!$2:$2,0)-MATCH("character_id",[3]characters!$2:$2,0)+1),MATCH(Z$1,[3]characters!$2:$2,0)-MATCH("character_id",[3]characters!$2:$2,0)+1,FALSE),"")</f>
        <v>ミミ・ザ・ガンマンキャット</v>
      </c>
      <c r="AA119" s="5">
        <f ca="1">IFERROR(VLOOKUP($Y119,OFFSET([3]characters!$A$1,0,0,COUNTA([3]characters!$A:$A),MATCH(AA$1,[3]characters!$2:$2,0)-MATCH("character_id",[3]characters!$2:$2,0)+1),MATCH(AA$1,[3]characters!$2:$2,0)-MATCH("character_id",[3]characters!$2:$2,0)+1,FALSE),"")</f>
        <v>2</v>
      </c>
      <c r="AB119" s="5" t="str">
        <f ca="1">IFERROR(VLOOKUP($Y119,OFFSET([3]characters!$A$1,0,0,COUNTA([3]characters!$A:$A),MATCH(AB$1,[3]characters!$2:$2,0)-MATCH("character_id",[3]characters!$2:$2,0)+1),MATCH(AB$1,[3]characters!$2:$2,0)-MATCH("character_id",[3]characters!$2:$2,0)+1,FALSE),"")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9" s="34">
        <v>1</v>
      </c>
      <c r="AD119" s="34">
        <f t="shared" ca="1" si="128"/>
        <v>2</v>
      </c>
      <c r="AE119" s="9">
        <v>0</v>
      </c>
      <c r="AF119" s="34">
        <v>0</v>
      </c>
      <c r="AG119" s="34">
        <v>0</v>
      </c>
      <c r="AH119" s="34">
        <v>0</v>
      </c>
      <c r="AI119" s="34">
        <v>0</v>
      </c>
      <c r="AJ119" s="34">
        <v>1</v>
      </c>
    </row>
    <row r="120" spans="1:36" ht="21" customHeight="1">
      <c r="A120" s="21" t="str">
        <f t="shared" si="125"/>
        <v>10065_1-2/18&lt;lv69&gt;</v>
      </c>
      <c r="B120" s="44">
        <v>10065</v>
      </c>
      <c r="C120" s="45">
        <v>1</v>
      </c>
      <c r="D120" s="20" t="str">
        <f t="shared" si="126"/>
        <v>10065_1</v>
      </c>
      <c r="E120" s="5" t="str">
        <f ca="1">VLOOKUP($B120,OFFSET([1]quests!$A$1,0,0,COUNTA([1]quests!$A:$A),MATCH(E$1,[1]quests!$1:$1,0)-MATCH($B$1,[1]quests!$1:$1,0)+1),MATCH(E$1,[1]quests!$1:$1,0)-MATCH($B$1,[1]quests!$1:$1,0)+1,FALSE)</f>
        <v>奪還！太陽神！【仮】</v>
      </c>
      <c r="F120" s="5" t="str">
        <f ca="1">VLOOKUP($D120,OFFSET([1]stages!$A$1,0,0,COUNTA([1]stages!$A:$A),MATCH(F$1,[1]stages!$2:$2,0)-MATCH($D$1,[1]stages!$2:$2,0)+1),MATCH(F$1,[1]stages!$2:$2,0)-MATCH($D$1,[1]stages!$2:$2,0)+1,FALSE)</f>
        <v>奪還！太陽神！【仮】</v>
      </c>
      <c r="G120" s="45">
        <v>2</v>
      </c>
      <c r="H120" s="20" t="str">
        <f t="shared" si="127"/>
        <v>10065_1-2</v>
      </c>
      <c r="I120" s="46">
        <v>18</v>
      </c>
      <c r="J120" s="26" t="str">
        <f ca="1">VLOOKUP($I120,OFFSET([2]enemies!$A$1,0,0,COUNTA([2]enemies!$A:$A),MATCH(J$1,[2]enemies!$2:$2,0)-MATCH($I$1,[2]enemies!$2:$2,0)+1),MATCH(J$1,[2]enemies!$2:$2,0)-MATCH($I$1,[2]enemies!$2:$2,0)+1,FALSE)</f>
        <v>戦闘案内人 リム</v>
      </c>
      <c r="K120" s="29" t="str">
        <f ca="1">VLOOKUP($I120,OFFSET([2]enemies!$A$1,0,0,COUNTA([2]enemies!$A:$A),MATCH(K$1,[2]enemies!$2:$2,0)-MATCH($I$1,[2]enemies!$2:$2,0)+1),MATCH(K$1,[2]enemies!$2:$2,0)-MATCH($I$1,[2]enemies!$2:$2,0)+1,FALSE)</f>
        <v>blue</v>
      </c>
      <c r="L120" s="29" t="str">
        <f ca="1">VLOOKUP($I120,OFFSET([3]characters!$A$1,0,0,COUNTA([3]characters!$A:$A),MATCH(L$1,[3]characters!$2:$2,0)-MATCH($I$1,[3]characters!$2:$2,0)+1),MATCH(L$1,[3]characters!$2:$2,0)-MATCH($I$1,[3]characters!$2:$2,0)+1,FALSE)</f>
        <v>Drop1W</v>
      </c>
      <c r="M120" s="28" t="str">
        <f ca="1">VLOOKUP($I120,OFFSET([3]characters!$A$1,0,0,COUNTA([3]characters!$A:$A),MATCH(M$1,[3]characters!$2:$2,0)-MATCH($I$1,[3]characters!$2:$2,0)+2),MATCH(M$1,[3]characters!$2:$2,0)-MATCH($I$1,[3]characters!$2:$2,0)+2,FALSE)</f>
        <v>ヒューマン</v>
      </c>
      <c r="N120" s="5">
        <f ca="1">VLOOKUP($I120,OFFSET([2]enemies!$A$1,0,0,COUNTA([2]enemies!$A:$A),MATCH(N$1,[2]enemies!$2:$2,0)-MATCH($I$1,[2]enemies!$2:$2,0)+1),MATCH(N$1,[2]enemies!$2:$2,0)-MATCH($I$1,[2]enemies!$2:$2,0)+1,FALSE)</f>
        <v>15</v>
      </c>
      <c r="O120" s="6">
        <v>69</v>
      </c>
      <c r="P120" s="41">
        <v>1</v>
      </c>
      <c r="Q120" s="41">
        <v>1</v>
      </c>
      <c r="R120" s="6">
        <v>0</v>
      </c>
      <c r="S120" s="5" t="str">
        <f ca="1">VLOOKUP($T120,OFFSET([4]enemy_skill_sets!$B$1,0,0,COUNTA([4]enemy_skill_sets!$B:$B),MATCH(J$1,[4]enemy_skill_sets!$1:$1,0)-MATCH($T$1,[4]enemy_skill_sets!$1:$1,0)+2),MATCH(J$1,[4]enemy_skill_sets!$1:$1,0)-MATCH($T$1,[4]enemy_skill_sets!$1:$1,0)+2,FALSE)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0" s="5">
        <f ca="1">VLOOKUP($I120,OFFSET([2]enemies!$A$1,0,0,COUNTA([2]enemies!$A:$A),MATCH(T$1,[2]enemies!$2:$2,0)-MATCH($I$1,[2]enemies!$2:$2,0)+1),MATCH(T$1,[2]enemies!$2:$2,0)-MATCH($I$1,[2]enemies!$2:$2,0)+1,FALSE)</f>
        <v>0</v>
      </c>
      <c r="U120" s="7">
        <v>1</v>
      </c>
      <c r="V120" s="7">
        <v>100</v>
      </c>
      <c r="W120" s="7">
        <v>0</v>
      </c>
      <c r="X120" s="26">
        <f ca="1">VLOOKUP($I120,OFFSET([2]enemies!$A$1,0,0,COUNTA([2]enemies!$A:$A),MATCH(X$1,[2]enemies!$2:$2,0)-MATCH($I$1,[2]enemies!$2:$2,0)+1),MATCH(X$1,[2]enemies!$2:$2,0)-MATCH($I$1,[2]enemies!$2:$2,0)+1,FALSE)</f>
        <v>2</v>
      </c>
      <c r="Y120" s="46">
        <v>18</v>
      </c>
      <c r="Z120" s="5" t="str">
        <f ca="1">IFERROR(VLOOKUP($Y120,OFFSET([3]characters!$A$1,0,0,COUNTA([3]characters!$A:$A),MATCH(Z$1,[3]characters!$2:$2,0)-MATCH("character_id",[3]characters!$2:$2,0)+1),MATCH(Z$1,[3]characters!$2:$2,0)-MATCH("character_id",[3]characters!$2:$2,0)+1,FALSE),"")</f>
        <v>戦闘案内人 リム</v>
      </c>
      <c r="AA120" s="5">
        <f ca="1">IFERROR(VLOOKUP($Y120,OFFSET([3]characters!$A$1,0,0,COUNTA([3]characters!$A:$A),MATCH(AA$1,[3]characters!$2:$2,0)-MATCH("character_id",[3]characters!$2:$2,0)+1),MATCH(AA$1,[3]characters!$2:$2,0)-MATCH("character_id",[3]characters!$2:$2,0)+1,FALSE),"")</f>
        <v>2</v>
      </c>
      <c r="AB120" s="5" t="str">
        <f ca="1">IFERROR(VLOOKUP($Y120,OFFSET([3]characters!$A$1,0,0,COUNTA([3]characters!$A:$A),MATCH(AB$1,[3]characters!$2:$2,0)-MATCH("character_id",[3]characters!$2:$2,0)+1),MATCH(AB$1,[3]characters!$2:$2,0)-MATCH("character_id",[3]characters!$2:$2,0)+1,FALSE),"")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20" s="34">
        <v>1</v>
      </c>
      <c r="AD120" s="34">
        <f t="shared" ca="1" si="128"/>
        <v>2</v>
      </c>
      <c r="AE120" s="9">
        <v>0</v>
      </c>
      <c r="AF120" s="34">
        <v>0</v>
      </c>
      <c r="AG120" s="34">
        <v>0</v>
      </c>
      <c r="AH120" s="34">
        <v>0</v>
      </c>
      <c r="AI120" s="34">
        <v>0</v>
      </c>
      <c r="AJ120" s="34">
        <v>1</v>
      </c>
    </row>
    <row r="121" spans="1:36" ht="21" customHeight="1">
      <c r="A121" s="21" t="str">
        <f t="shared" ref="A121" si="129">B121&amp;"_"&amp;C121&amp;"-"&amp;G121&amp;"/"&amp;I121&amp;"&lt;lv"&amp;O121&amp;"&gt;"</f>
        <v>10065_1-2/39&lt;lv69&gt;</v>
      </c>
      <c r="B121" s="44">
        <v>10065</v>
      </c>
      <c r="C121" s="45">
        <v>1</v>
      </c>
      <c r="D121" s="20" t="str">
        <f t="shared" ref="D121" si="130">B121&amp;"_"&amp;C121</f>
        <v>10065_1</v>
      </c>
      <c r="E121" s="5" t="str">
        <f ca="1">VLOOKUP($B121,OFFSET([1]quests!$A$1,0,0,COUNTA([1]quests!$A:$A),MATCH(E$1,[1]quests!$1:$1,0)-MATCH($B$1,[1]quests!$1:$1,0)+1),MATCH(E$1,[1]quests!$1:$1,0)-MATCH($B$1,[1]quests!$1:$1,0)+1,FALSE)</f>
        <v>奪還！太陽神！【仮】</v>
      </c>
      <c r="F121" s="5" t="str">
        <f ca="1">VLOOKUP($D121,OFFSET([1]stages!$A$1,0,0,COUNTA([1]stages!$A:$A),MATCH(F$1,[1]stages!$2:$2,0)-MATCH($D$1,[1]stages!$2:$2,0)+1),MATCH(F$1,[1]stages!$2:$2,0)-MATCH($D$1,[1]stages!$2:$2,0)+1,FALSE)</f>
        <v>奪還！太陽神！【仮】</v>
      </c>
      <c r="G121" s="45">
        <v>2</v>
      </c>
      <c r="H121" s="20" t="str">
        <f t="shared" ref="H121" si="131">B121&amp;"_"&amp;C121&amp;"-"&amp;G121</f>
        <v>10065_1-2</v>
      </c>
      <c r="I121" s="46">
        <v>39</v>
      </c>
      <c r="J121" s="26" t="str">
        <f ca="1">VLOOKUP($I121,OFFSET([2]enemies!$A$1,0,0,COUNTA([2]enemies!$A:$A),MATCH(J$1,[2]enemies!$2:$2,0)-MATCH($I$1,[2]enemies!$2:$2,0)+1),MATCH(J$1,[2]enemies!$2:$2,0)-MATCH($I$1,[2]enemies!$2:$2,0)+1,FALSE)</f>
        <v>マーロン</v>
      </c>
      <c r="K121" s="29" t="str">
        <f ca="1">VLOOKUP($I121,OFFSET([2]enemies!$A$1,0,0,COUNTA([2]enemies!$A:$A),MATCH(K$1,[2]enemies!$2:$2,0)-MATCH($I$1,[2]enemies!$2:$2,0)+1),MATCH(K$1,[2]enemies!$2:$2,0)-MATCH($I$1,[2]enemies!$2:$2,0)+1,FALSE)</f>
        <v>yellow</v>
      </c>
      <c r="L121" s="29" t="str">
        <f ca="1">VLOOKUP($I121,OFFSET([3]characters!$A$1,0,0,COUNTA([3]characters!$A:$A),MATCH(L$1,[3]characters!$2:$2,0)-MATCH($I$1,[3]characters!$2:$2,0)+1),MATCH(L$1,[3]characters!$2:$2,0)-MATCH($I$1,[3]characters!$2:$2,0)+1,FALSE)</f>
        <v>Drop1S</v>
      </c>
      <c r="M121" s="28" t="str">
        <f ca="1">VLOOKUP($I121,OFFSET([3]characters!$A$1,0,0,COUNTA([3]characters!$A:$A),MATCH(M$1,[3]characters!$2:$2,0)-MATCH($I$1,[3]characters!$2:$2,0)+2),MATCH(M$1,[3]characters!$2:$2,0)-MATCH($I$1,[3]characters!$2:$2,0)+2,FALSE)</f>
        <v>ヒューマン</v>
      </c>
      <c r="N121" s="5">
        <f ca="1">VLOOKUP($I121,OFFSET([2]enemies!$A$1,0,0,COUNTA([2]enemies!$A:$A),MATCH(N$1,[2]enemies!$2:$2,0)-MATCH($I$1,[2]enemies!$2:$2,0)+1),MATCH(N$1,[2]enemies!$2:$2,0)-MATCH($I$1,[2]enemies!$2:$2,0)+1,FALSE)</f>
        <v>15</v>
      </c>
      <c r="O121" s="6">
        <v>69</v>
      </c>
      <c r="P121" s="41">
        <v>1</v>
      </c>
      <c r="Q121" s="41">
        <v>1</v>
      </c>
      <c r="R121" s="6">
        <v>0</v>
      </c>
      <c r="S121" s="5" t="str">
        <f ca="1">VLOOKUP($T121,OFFSET([4]enemy_skill_sets!$B$1,0,0,COUNTA([4]enemy_skill_sets!$B:$B),MATCH(J$1,[4]enemy_skill_sets!$1:$1,0)-MATCH($T$1,[4]enemy_skill_sets!$1:$1,0)+2),MATCH(J$1,[4]enemy_skill_sets!$1:$1,0)-MATCH($T$1,[4]enemy_skill_sets!$1:$1,0)+2,FALSE)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121" s="5">
        <f ca="1">VLOOKUP($I121,OFFSET([2]enemies!$A$1,0,0,COUNTA([2]enemies!$A:$A),MATCH(T$1,[2]enemies!$2:$2,0)-MATCH($I$1,[2]enemies!$2:$2,0)+1),MATCH(T$1,[2]enemies!$2:$2,0)-MATCH($I$1,[2]enemies!$2:$2,0)+1,FALSE)</f>
        <v>39</v>
      </c>
      <c r="U121" s="7">
        <v>1</v>
      </c>
      <c r="V121" s="7">
        <v>100</v>
      </c>
      <c r="W121" s="7">
        <v>0</v>
      </c>
      <c r="X121" s="26">
        <f ca="1">VLOOKUP($I121,OFFSET([2]enemies!$A$1,0,0,COUNTA([2]enemies!$A:$A),MATCH(X$1,[2]enemies!$2:$2,0)-MATCH($I$1,[2]enemies!$2:$2,0)+1),MATCH(X$1,[2]enemies!$2:$2,0)-MATCH($I$1,[2]enemies!$2:$2,0)+1,FALSE)</f>
        <v>3</v>
      </c>
      <c r="Y121" s="46">
        <v>39</v>
      </c>
      <c r="Z121" s="5" t="str">
        <f ca="1">IFERROR(VLOOKUP($Y121,OFFSET([3]characters!$A$1,0,0,COUNTA([3]characters!$A:$A),MATCH(Z$1,[3]characters!$2:$2,0)-MATCH("character_id",[3]characters!$2:$2,0)+1),MATCH(Z$1,[3]characters!$2:$2,0)-MATCH("character_id",[3]characters!$2:$2,0)+1,FALSE),"")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121" s="5">
        <f ca="1">IFERROR(VLOOKUP($Y121,OFFSET([3]characters!$A$1,0,0,COUNTA([3]characters!$A:$A),MATCH(AA$1,[3]characters!$2:$2,0)-MATCH("character_id",[3]characters!$2:$2,0)+1),MATCH(AA$1,[3]characters!$2:$2,0)-MATCH("character_id",[3]characters!$2:$2,0)+1,FALSE),"")</f>
        <v>2</v>
      </c>
      <c r="AB121" s="5" t="str">
        <f ca="1">IFERROR(VLOOKUP($Y121,OFFSET([3]characters!$A$1,0,0,COUNTA([3]characters!$A:$A),MATCH(AB$1,[3]characters!$2:$2,0)-MATCH("character_id",[3]characters!$2:$2,0)+1),MATCH(AB$1,[3]characters!$2:$2,0)-MATCH("character_id",[3]characters!$2:$2,0)+1,FALSE),"")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21" s="34">
        <v>1</v>
      </c>
      <c r="AD121" s="34">
        <f t="shared" ref="AD121" ca="1" si="132">AA121</f>
        <v>2</v>
      </c>
      <c r="AE121" s="9">
        <v>0</v>
      </c>
      <c r="AF121" s="34">
        <v>0</v>
      </c>
      <c r="AG121" s="34">
        <v>0</v>
      </c>
      <c r="AH121" s="34">
        <v>0</v>
      </c>
      <c r="AI121" s="34">
        <v>0</v>
      </c>
      <c r="AJ121" s="34">
        <v>1</v>
      </c>
    </row>
    <row r="122" spans="1:36" ht="21" customHeight="1">
      <c r="A122" s="21" t="str">
        <f t="shared" ref="A122" si="133">B122&amp;"_"&amp;C122&amp;"-"&amp;G122&amp;"/"&amp;I122&amp;"&lt;lv"&amp;O122&amp;"&gt;"</f>
        <v>10065_1-2/53&lt;lv69&gt;</v>
      </c>
      <c r="B122" s="44">
        <v>10065</v>
      </c>
      <c r="C122" s="45">
        <v>1</v>
      </c>
      <c r="D122" s="20" t="str">
        <f t="shared" ref="D122" si="134">B122&amp;"_"&amp;C122</f>
        <v>10065_1</v>
      </c>
      <c r="E122" s="5" t="str">
        <f ca="1">VLOOKUP($B122,OFFSET([1]quests!$A$1,0,0,COUNTA([1]quests!$A:$A),MATCH(E$1,[1]quests!$1:$1,0)-MATCH($B$1,[1]quests!$1:$1,0)+1),MATCH(E$1,[1]quests!$1:$1,0)-MATCH($B$1,[1]quests!$1:$1,0)+1,FALSE)</f>
        <v>奪還！太陽神！【仮】</v>
      </c>
      <c r="F122" s="5" t="str">
        <f ca="1">VLOOKUP($D122,OFFSET([1]stages!$A$1,0,0,COUNTA([1]stages!$A:$A),MATCH(F$1,[1]stages!$2:$2,0)-MATCH($D$1,[1]stages!$2:$2,0)+1),MATCH(F$1,[1]stages!$2:$2,0)-MATCH($D$1,[1]stages!$2:$2,0)+1,FALSE)</f>
        <v>奪還！太陽神！【仮】</v>
      </c>
      <c r="G122" s="45">
        <v>2</v>
      </c>
      <c r="H122" s="20" t="str">
        <f t="shared" ref="H122" si="135">B122&amp;"_"&amp;C122&amp;"-"&amp;G122</f>
        <v>10065_1-2</v>
      </c>
      <c r="I122" s="46">
        <v>53</v>
      </c>
      <c r="J122" s="26" t="str">
        <f ca="1">VLOOKUP($I122,OFFSET([2]enemies!$A$1,0,0,COUNTA([2]enemies!$A:$A),MATCH(J$1,[2]enemies!$2:$2,0)-MATCH($I$1,[2]enemies!$2:$2,0)+1),MATCH(J$1,[2]enemies!$2:$2,0)-MATCH($I$1,[2]enemies!$2:$2,0)+1,FALSE)</f>
        <v>ケンジ</v>
      </c>
      <c r="K122" s="29" t="str">
        <f ca="1">VLOOKUP($I122,OFFSET([2]enemies!$A$1,0,0,COUNTA([2]enemies!$A:$A),MATCH(K$1,[2]enemies!$2:$2,0)-MATCH($I$1,[2]enemies!$2:$2,0)+1),MATCH(K$1,[2]enemies!$2:$2,0)-MATCH($I$1,[2]enemies!$2:$2,0)+1,FALSE)</f>
        <v>blue</v>
      </c>
      <c r="L122" s="29" t="str">
        <f ca="1">VLOOKUP($I122,OFFSET([3]characters!$A$1,0,0,COUNTA([3]characters!$A:$A),MATCH(L$1,[3]characters!$2:$2,0)-MATCH($I$1,[3]characters!$2:$2,0)+1),MATCH(L$1,[3]characters!$2:$2,0)-MATCH($I$1,[3]characters!$2:$2,0)+1,FALSE)</f>
        <v>Drop1N</v>
      </c>
      <c r="M122" s="28" t="str">
        <f ca="1">VLOOKUP($I122,OFFSET([3]characters!$A$1,0,0,COUNTA([3]characters!$A:$A),MATCH(M$1,[3]characters!$2:$2,0)-MATCH($I$1,[3]characters!$2:$2,0)+2),MATCH(M$1,[3]characters!$2:$2,0)-MATCH($I$1,[3]characters!$2:$2,0)+2,FALSE)</f>
        <v>ヒューマン</v>
      </c>
      <c r="N122" s="5">
        <f ca="1">VLOOKUP($I122,OFFSET([2]enemies!$A$1,0,0,COUNTA([2]enemies!$A:$A),MATCH(N$1,[2]enemies!$2:$2,0)-MATCH($I$1,[2]enemies!$2:$2,0)+1),MATCH(N$1,[2]enemies!$2:$2,0)-MATCH($I$1,[2]enemies!$2:$2,0)+1,FALSE)</f>
        <v>15</v>
      </c>
      <c r="O122" s="6">
        <v>69</v>
      </c>
      <c r="P122" s="41">
        <v>1</v>
      </c>
      <c r="Q122" s="41">
        <v>1</v>
      </c>
      <c r="R122" s="6">
        <v>0</v>
      </c>
      <c r="S122" s="5" t="str">
        <f ca="1">VLOOKUP($T122,OFFSET([4]enemy_skill_sets!$B$1,0,0,COUNTA([4]enemy_skill_sets!$B:$B),MATCH(J$1,[4]enemy_skill_sets!$1:$1,0)-MATCH($T$1,[4]enemy_skill_sets!$1:$1,0)+2),MATCH(J$1,[4]enemy_skill_sets!$1:$1,0)-MATCH($T$1,[4]enemy_skill_sets!$1:$1,0)+2,FALSE)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122" s="5">
        <f ca="1">VLOOKUP($I122,OFFSET([2]enemies!$A$1,0,0,COUNTA([2]enemies!$A:$A),MATCH(T$1,[2]enemies!$2:$2,0)-MATCH($I$1,[2]enemies!$2:$2,0)+1),MATCH(T$1,[2]enemies!$2:$2,0)-MATCH($I$1,[2]enemies!$2:$2,0)+1,FALSE)</f>
        <v>53</v>
      </c>
      <c r="U122" s="7">
        <v>1</v>
      </c>
      <c r="V122" s="7">
        <v>100</v>
      </c>
      <c r="W122" s="7">
        <v>0</v>
      </c>
      <c r="X122" s="26">
        <f ca="1">VLOOKUP($I122,OFFSET([2]enemies!$A$1,0,0,COUNTA([2]enemies!$A:$A),MATCH(X$1,[2]enemies!$2:$2,0)-MATCH($I$1,[2]enemies!$2:$2,0)+1),MATCH(X$1,[2]enemies!$2:$2,0)-MATCH($I$1,[2]enemies!$2:$2,0)+1,FALSE)</f>
        <v>2</v>
      </c>
      <c r="Y122" s="46">
        <v>53</v>
      </c>
      <c r="Z122" s="5" t="str">
        <f ca="1">IFERROR(VLOOKUP($Y122,OFFSET([3]characters!$A$1,0,0,COUNTA([3]characters!$A:$A),MATCH(Z$1,[3]characters!$2:$2,0)-MATCH("character_id",[3]characters!$2:$2,0)+1),MATCH(Z$1,[3]characters!$2:$2,0)-MATCH("character_id",[3]characters!$2:$2,0)+1,FALSE),"")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122" s="5">
        <f ca="1">IFERROR(VLOOKUP($Y122,OFFSET([3]characters!$A$1,0,0,COUNTA([3]characters!$A:$A),MATCH(AA$1,[3]characters!$2:$2,0)-MATCH("character_id",[3]characters!$2:$2,0)+1),MATCH(AA$1,[3]characters!$2:$2,0)-MATCH("character_id",[3]characters!$2:$2,0)+1,FALSE),"")</f>
        <v>2</v>
      </c>
      <c r="AB122" s="5" t="str">
        <f ca="1">IFERROR(VLOOKUP($Y122,OFFSET([3]characters!$A$1,0,0,COUNTA([3]characters!$A:$A),MATCH(AB$1,[3]characters!$2:$2,0)-MATCH("character_id",[3]characters!$2:$2,0)+1),MATCH(AB$1,[3]characters!$2:$2,0)-MATCH("character_id",[3]characters!$2:$2,0)+1,FALSE),"")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2" s="34">
        <v>1</v>
      </c>
      <c r="AD122" s="34">
        <f t="shared" ref="AD122" ca="1" si="136">AA122</f>
        <v>2</v>
      </c>
      <c r="AE122" s="9">
        <v>0</v>
      </c>
      <c r="AF122" s="34">
        <v>0</v>
      </c>
      <c r="AG122" s="34">
        <v>0</v>
      </c>
      <c r="AH122" s="34">
        <v>0</v>
      </c>
      <c r="AI122" s="34">
        <v>0</v>
      </c>
      <c r="AJ122" s="34">
        <v>1</v>
      </c>
    </row>
    <row r="123" spans="1:36" ht="21" customHeight="1">
      <c r="A123" s="21" t="str">
        <f t="shared" si="125"/>
        <v>10065_1-3/133&lt;lv69&gt;</v>
      </c>
      <c r="B123" s="44">
        <v>10065</v>
      </c>
      <c r="C123" s="45">
        <v>1</v>
      </c>
      <c r="D123" s="20" t="str">
        <f t="shared" si="126"/>
        <v>10065_1</v>
      </c>
      <c r="E123" s="5" t="str">
        <f ca="1">VLOOKUP($B123,OFFSET([1]quests!$A$1,0,0,COUNTA([1]quests!$A:$A),MATCH(E$1,[1]quests!$1:$1,0)-MATCH($B$1,[1]quests!$1:$1,0)+1),MATCH(E$1,[1]quests!$1:$1,0)-MATCH($B$1,[1]quests!$1:$1,0)+1,FALSE)</f>
        <v>奪還！太陽神！【仮】</v>
      </c>
      <c r="F123" s="5" t="str">
        <f ca="1">VLOOKUP($D123,OFFSET([1]stages!$A$1,0,0,COUNTA([1]stages!$A:$A),MATCH(F$1,[1]stages!$2:$2,0)-MATCH($D$1,[1]stages!$2:$2,0)+1),MATCH(F$1,[1]stages!$2:$2,0)-MATCH($D$1,[1]stages!$2:$2,0)+1,FALSE)</f>
        <v>奪還！太陽神！【仮】</v>
      </c>
      <c r="G123" s="45">
        <v>3</v>
      </c>
      <c r="H123" s="20" t="str">
        <f t="shared" si="127"/>
        <v>10065_1-3</v>
      </c>
      <c r="I123" s="46">
        <v>133</v>
      </c>
      <c r="J123" s="26" t="str">
        <f ca="1">VLOOKUP($I123,OFFSET([2]enemies!$A$1,0,0,COUNTA([2]enemies!$A:$A),MATCH(J$1,[2]enemies!$2:$2,0)-MATCH($I$1,[2]enemies!$2:$2,0)+1),MATCH(J$1,[2]enemies!$2:$2,0)-MATCH($I$1,[2]enemies!$2:$2,0)+1,FALSE)</f>
        <v>迅雷の刀剣 ハヤト</v>
      </c>
      <c r="K123" s="29" t="str">
        <f ca="1">VLOOKUP($I123,OFFSET([2]enemies!$A$1,0,0,COUNTA([2]enemies!$A:$A),MATCH(K$1,[2]enemies!$2:$2,0)-MATCH($I$1,[2]enemies!$2:$2,0)+1),MATCH(K$1,[2]enemies!$2:$2,0)-MATCH($I$1,[2]enemies!$2:$2,0)+1,FALSE)</f>
        <v>yellow</v>
      </c>
      <c r="L123" s="29" t="str">
        <f ca="1">VLOOKUP($I123,OFFSET([3]characters!$A$1,0,0,COUNTA([3]characters!$A:$A),MATCH(L$1,[3]characters!$2:$2,0)-MATCH($I$1,[3]characters!$2:$2,0)+1),MATCH(L$1,[3]characters!$2:$2,0)-MATCH($I$1,[3]characters!$2:$2,0)+1,FALSE)</f>
        <v>PremiumW</v>
      </c>
      <c r="M123" s="28" t="str">
        <f ca="1">VLOOKUP($I123,OFFSET([3]characters!$A$1,0,0,COUNTA([3]characters!$A:$A),MATCH(M$1,[3]characters!$2:$2,0)-MATCH($I$1,[3]characters!$2:$2,0)+2),MATCH(M$1,[3]characters!$2:$2,0)-MATCH($I$1,[3]characters!$2:$2,0)+2,FALSE)</f>
        <v>ヒューマン</v>
      </c>
      <c r="N123" s="5">
        <f ca="1">VLOOKUP($I123,OFFSET([2]enemies!$A$1,0,0,COUNTA([2]enemies!$A:$A),MATCH(N$1,[2]enemies!$2:$2,0)-MATCH($I$1,[2]enemies!$2:$2,0)+1),MATCH(N$1,[2]enemies!$2:$2,0)-MATCH($I$1,[2]enemies!$2:$2,0)+1,FALSE)</f>
        <v>30</v>
      </c>
      <c r="O123" s="6">
        <v>69</v>
      </c>
      <c r="P123" s="41">
        <v>1</v>
      </c>
      <c r="Q123" s="52">
        <v>0.8</v>
      </c>
      <c r="R123" s="6">
        <v>0</v>
      </c>
      <c r="S123" s="5" t="str">
        <f ca="1">VLOOKUP($T123,OFFSET([4]enemy_skill_sets!$B$1,0,0,COUNTA([4]enemy_skill_sets!$B:$B),MATCH(J$1,[4]enemy_skill_sets!$1:$1,0)-MATCH($T$1,[4]enemy_skill_sets!$1:$1,0)+2),MATCH(J$1,[4]enemy_skill_sets!$1:$1,0)-MATCH($T$1,[4]enemy_skill_sets!$1:$1,0)+2,FALSE)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123" s="49">
        <v>13301</v>
      </c>
      <c r="U123" s="7">
        <v>1</v>
      </c>
      <c r="V123" s="7">
        <v>100</v>
      </c>
      <c r="W123" s="7">
        <v>0</v>
      </c>
      <c r="X123" s="51">
        <v>2</v>
      </c>
      <c r="Y123" s="46">
        <v>133</v>
      </c>
      <c r="Z123" s="5" t="str">
        <f ca="1">IFERROR(VLOOKUP($Y123,OFFSET([3]characters!$A$1,0,0,COUNTA([3]characters!$A:$A),MATCH(Z$1,[3]characters!$2:$2,0)-MATCH("character_id",[3]characters!$2:$2,0)+1),MATCH(Z$1,[3]characters!$2:$2,0)-MATCH("character_id",[3]characters!$2:$2,0)+1,FALSE),"")</f>
        <v>迅雷の刀剣 ハヤト</v>
      </c>
      <c r="AA123" s="5">
        <f ca="1">IFERROR(VLOOKUP($Y123,OFFSET([3]characters!$A$1,0,0,COUNTA([3]characters!$A:$A),MATCH(AA$1,[3]characters!$2:$2,0)-MATCH("character_id",[3]characters!$2:$2,0)+1),MATCH(AA$1,[3]characters!$2:$2,0)-MATCH("character_id",[3]characters!$2:$2,0)+1,FALSE),"")</f>
        <v>4</v>
      </c>
      <c r="AB123" s="5" t="str">
        <f ca="1">IFERROR(VLOOKUP($Y123,OFFSET([3]characters!$A$1,0,0,COUNTA([3]characters!$A:$A),MATCH(AB$1,[3]characters!$2:$2,0)-MATCH("character_id",[3]characters!$2:$2,0)+1),MATCH(AB$1,[3]characters!$2:$2,0)-MATCH("character_id",[3]characters!$2:$2,0)+1,FALSE),"")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23" s="34">
        <v>1</v>
      </c>
      <c r="AD123" s="34">
        <f t="shared" ca="1" si="128"/>
        <v>4</v>
      </c>
      <c r="AE123" s="9">
        <v>0</v>
      </c>
      <c r="AF123" s="34">
        <v>0</v>
      </c>
      <c r="AG123" s="34">
        <v>0</v>
      </c>
      <c r="AH123" s="34">
        <v>0</v>
      </c>
      <c r="AI123" s="34">
        <v>0</v>
      </c>
      <c r="AJ123" s="34">
        <v>1</v>
      </c>
    </row>
    <row r="124" spans="1:36" ht="21" customHeight="1">
      <c r="A124" s="21" t="str">
        <f t="shared" si="125"/>
        <v>10065_1-3/155&lt;lv69&gt;</v>
      </c>
      <c r="B124" s="44">
        <v>10065</v>
      </c>
      <c r="C124" s="45">
        <v>1</v>
      </c>
      <c r="D124" s="20" t="str">
        <f t="shared" si="126"/>
        <v>10065_1</v>
      </c>
      <c r="E124" s="5" t="str">
        <f ca="1">VLOOKUP($B124,OFFSET([1]quests!$A$1,0,0,COUNTA([1]quests!$A:$A),MATCH(E$1,[1]quests!$1:$1,0)-MATCH($B$1,[1]quests!$1:$1,0)+1),MATCH(E$1,[1]quests!$1:$1,0)-MATCH($B$1,[1]quests!$1:$1,0)+1,FALSE)</f>
        <v>奪還！太陽神！【仮】</v>
      </c>
      <c r="F124" s="5" t="str">
        <f ca="1">VLOOKUP($D124,OFFSET([1]stages!$A$1,0,0,COUNTA([1]stages!$A:$A),MATCH(F$1,[1]stages!$2:$2,0)-MATCH($D$1,[1]stages!$2:$2,0)+1),MATCH(F$1,[1]stages!$2:$2,0)-MATCH($D$1,[1]stages!$2:$2,0)+1,FALSE)</f>
        <v>奪還！太陽神！【仮】</v>
      </c>
      <c r="G124" s="45">
        <v>3</v>
      </c>
      <c r="H124" s="20" t="str">
        <f t="shared" si="127"/>
        <v>10065_1-3</v>
      </c>
      <c r="I124" s="46">
        <v>155</v>
      </c>
      <c r="J124" s="26" t="str">
        <f ca="1">VLOOKUP($I124,OFFSET([2]enemies!$A$1,0,0,COUNTA([2]enemies!$A:$A),MATCH(J$1,[2]enemies!$2:$2,0)-MATCH($I$1,[2]enemies!$2:$2,0)+1),MATCH(J$1,[2]enemies!$2:$2,0)-MATCH($I$1,[2]enemies!$2:$2,0)+1,FALSE)</f>
        <v>隻眼の掃除屋 ハンナ</v>
      </c>
      <c r="K124" s="29" t="str">
        <f ca="1">VLOOKUP($I124,OFFSET([2]enemies!$A$1,0,0,COUNTA([2]enemies!$A:$A),MATCH(K$1,[2]enemies!$2:$2,0)-MATCH($I$1,[2]enemies!$2:$2,0)+1),MATCH(K$1,[2]enemies!$2:$2,0)-MATCH($I$1,[2]enemies!$2:$2,0)+1,FALSE)</f>
        <v>blue</v>
      </c>
      <c r="L124" s="29" t="str">
        <f ca="1">VLOOKUP($I124,OFFSET([3]characters!$A$1,0,0,COUNTA([3]characters!$A:$A),MATCH(L$1,[3]characters!$2:$2,0)-MATCH($I$1,[3]characters!$2:$2,0)+1),MATCH(L$1,[3]characters!$2:$2,0)-MATCH($I$1,[3]characters!$2:$2,0)+1,FALSE)</f>
        <v>PremiumW</v>
      </c>
      <c r="M124" s="28" t="str">
        <f ca="1">VLOOKUP($I124,OFFSET([3]characters!$A$1,0,0,COUNTA([3]characters!$A:$A),MATCH(M$1,[3]characters!$2:$2,0)-MATCH($I$1,[3]characters!$2:$2,0)+2),MATCH(M$1,[3]characters!$2:$2,0)-MATCH($I$1,[3]characters!$2:$2,0)+2,FALSE)</f>
        <v>ヒューマン</v>
      </c>
      <c r="N124" s="5">
        <f ca="1">VLOOKUP($I124,OFFSET([2]enemies!$A$1,0,0,COUNTA([2]enemies!$A:$A),MATCH(N$1,[2]enemies!$2:$2,0)-MATCH($I$1,[2]enemies!$2:$2,0)+1),MATCH(N$1,[2]enemies!$2:$2,0)-MATCH($I$1,[2]enemies!$2:$2,0)+1,FALSE)</f>
        <v>30</v>
      </c>
      <c r="O124" s="6">
        <v>69</v>
      </c>
      <c r="P124" s="41">
        <v>1</v>
      </c>
      <c r="Q124" s="52">
        <v>0.8</v>
      </c>
      <c r="R124" s="6">
        <v>0</v>
      </c>
      <c r="S124" s="5" t="str">
        <f ca="1">VLOOKUP($T124,OFFSET([4]enemy_skill_sets!$B$1,0,0,COUNTA([4]enemy_skill_sets!$B:$B),MATCH(J$1,[4]enemy_skill_sets!$1:$1,0)-MATCH($T$1,[4]enemy_skill_sets!$1:$1,0)+2),MATCH(J$1,[4]enemy_skill_sets!$1:$1,0)-MATCH($T$1,[4]enemy_skill_sets!$1:$1,0)+2,FALSE)</f>
        <v>3ターン防御力UP</v>
      </c>
      <c r="T124" s="49">
        <v>15501</v>
      </c>
      <c r="U124" s="7">
        <v>1</v>
      </c>
      <c r="V124" s="7">
        <v>100</v>
      </c>
      <c r="W124" s="7">
        <v>0</v>
      </c>
      <c r="X124" s="26">
        <f ca="1">VLOOKUP($I124,OFFSET([2]enemies!$A$1,0,0,COUNTA([2]enemies!$A:$A),MATCH(X$1,[2]enemies!$2:$2,0)-MATCH($I$1,[2]enemies!$2:$2,0)+1),MATCH(X$1,[2]enemies!$2:$2,0)-MATCH($I$1,[2]enemies!$2:$2,0)+1,FALSE)</f>
        <v>3</v>
      </c>
      <c r="Y124" s="46">
        <v>155</v>
      </c>
      <c r="Z124" s="5" t="str">
        <f ca="1">IFERROR(VLOOKUP($Y124,OFFSET([3]characters!$A$1,0,0,COUNTA([3]characters!$A:$A),MATCH(Z$1,[3]characters!$2:$2,0)-MATCH("character_id",[3]characters!$2:$2,0)+1),MATCH(Z$1,[3]characters!$2:$2,0)-MATCH("character_id",[3]characters!$2:$2,0)+1,FALSE),"")</f>
        <v>隻眼の掃除屋 ハンナ</v>
      </c>
      <c r="AA124" s="5">
        <f ca="1">IFERROR(VLOOKUP($Y124,OFFSET([3]characters!$A$1,0,0,COUNTA([3]characters!$A:$A),MATCH(AA$1,[3]characters!$2:$2,0)-MATCH("character_id",[3]characters!$2:$2,0)+1),MATCH(AA$1,[3]characters!$2:$2,0)-MATCH("character_id",[3]characters!$2:$2,0)+1,FALSE),"")</f>
        <v>4</v>
      </c>
      <c r="AB124" s="5" t="str">
        <f ca="1">IFERROR(VLOOKUP($Y124,OFFSET([3]characters!$A$1,0,0,COUNTA([3]characters!$A:$A),MATCH(AB$1,[3]characters!$2:$2,0)-MATCH("character_id",[3]characters!$2:$2,0)+1),MATCH(AB$1,[3]characters!$2:$2,0)-MATCH("character_id",[3]characters!$2:$2,0)+1,FALSE),"")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24" s="34">
        <v>1</v>
      </c>
      <c r="AD124" s="34">
        <f t="shared" ca="1" si="128"/>
        <v>4</v>
      </c>
      <c r="AE124" s="9">
        <v>0</v>
      </c>
      <c r="AF124" s="34">
        <v>0</v>
      </c>
      <c r="AG124" s="34">
        <v>0</v>
      </c>
      <c r="AH124" s="34">
        <v>0</v>
      </c>
      <c r="AI124" s="34">
        <v>0</v>
      </c>
      <c r="AJ124" s="34">
        <v>1</v>
      </c>
    </row>
    <row r="125" spans="1:36" ht="21" customHeight="1">
      <c r="A125" s="21" t="str">
        <f>B125&amp;"_"&amp;C125&amp;"-"&amp;G125&amp;"/"&amp;I125&amp;"&lt;lv"&amp;O125&amp;"&gt;"</f>
        <v>10065_1-4/38&lt;lv69&gt;</v>
      </c>
      <c r="B125" s="44">
        <v>10065</v>
      </c>
      <c r="C125" s="45">
        <v>1</v>
      </c>
      <c r="D125" s="20" t="str">
        <f>B125&amp;"_"&amp;C125</f>
        <v>10065_1</v>
      </c>
      <c r="E125" s="5" t="str">
        <f ca="1">VLOOKUP($B125,OFFSET([1]quests!$A$1,0,0,COUNTA([1]quests!$A:$A),MATCH(E$1,[1]quests!$1:$1,0)-MATCH($B$1,[1]quests!$1:$1,0)+1),MATCH(E$1,[1]quests!$1:$1,0)-MATCH($B$1,[1]quests!$1:$1,0)+1,FALSE)</f>
        <v>奪還！太陽神！【仮】</v>
      </c>
      <c r="F125" s="5" t="str">
        <f ca="1">VLOOKUP($D125,OFFSET([1]stages!$A$1,0,0,COUNTA([1]stages!$A:$A),MATCH(F$1,[1]stages!$2:$2,0)-MATCH($D$1,[1]stages!$2:$2,0)+1),MATCH(F$1,[1]stages!$2:$2,0)-MATCH($D$1,[1]stages!$2:$2,0)+1,FALSE)</f>
        <v>奪還！太陽神！【仮】</v>
      </c>
      <c r="G125" s="45">
        <v>4</v>
      </c>
      <c r="H125" s="20" t="str">
        <f>B125&amp;"_"&amp;C125&amp;"-"&amp;G125</f>
        <v>10065_1-4</v>
      </c>
      <c r="I125" s="46">
        <v>38</v>
      </c>
      <c r="J125" s="26" t="str">
        <f ca="1">VLOOKUP($I125,OFFSET([2]enemies!$A$1,0,0,COUNTA([2]enemies!$A:$A),MATCH(J$1,[2]enemies!$2:$2,0)-MATCH($I$1,[2]enemies!$2:$2,0)+1),MATCH(J$1,[2]enemies!$2:$2,0)-MATCH($I$1,[2]enemies!$2:$2,0)+1,FALSE)</f>
        <v>通話対応型 ガイル</v>
      </c>
      <c r="K125" s="29" t="str">
        <f ca="1">VLOOKUP($I125,OFFSET([2]enemies!$A$1,0,0,COUNTA([2]enemies!$A:$A),MATCH(K$1,[2]enemies!$2:$2,0)-MATCH($I$1,[2]enemies!$2:$2,0)+1),MATCH(K$1,[2]enemies!$2:$2,0)-MATCH($I$1,[2]enemies!$2:$2,0)+1,FALSE)</f>
        <v>blue</v>
      </c>
      <c r="L125" s="29" t="str">
        <f ca="1">VLOOKUP($I125,OFFSET([3]characters!$A$1,0,0,COUNTA([3]characters!$A:$A),MATCH(L$1,[3]characters!$2:$2,0)-MATCH($I$1,[3]characters!$2:$2,0)+1),MATCH(L$1,[3]characters!$2:$2,0)-MATCH($I$1,[3]characters!$2:$2,0)+1,FALSE)</f>
        <v>Drop1S</v>
      </c>
      <c r="M125" s="28" t="str">
        <f ca="1">VLOOKUP($I125,OFFSET([3]characters!$A$1,0,0,COUNTA([3]characters!$A:$A),MATCH(M$1,[3]characters!$2:$2,0)-MATCH($I$1,[3]characters!$2:$2,0)+2),MATCH(M$1,[3]characters!$2:$2,0)-MATCH($I$1,[3]characters!$2:$2,0)+2,FALSE)</f>
        <v>アニマル</v>
      </c>
      <c r="N125" s="5">
        <f ca="1">VLOOKUP($I125,OFFSET([2]enemies!$A$1,0,0,COUNTA([2]enemies!$A:$A),MATCH(N$1,[2]enemies!$2:$2,0)-MATCH($I$1,[2]enemies!$2:$2,0)+1),MATCH(N$1,[2]enemies!$2:$2,0)-MATCH($I$1,[2]enemies!$2:$2,0)+1,FALSE)</f>
        <v>20</v>
      </c>
      <c r="O125" s="6">
        <v>69</v>
      </c>
      <c r="P125" s="41">
        <v>1</v>
      </c>
      <c r="Q125" s="52">
        <v>0.8</v>
      </c>
      <c r="R125" s="6">
        <v>0</v>
      </c>
      <c r="S125" s="5" t="str">
        <f ca="1">VLOOKUP($T125,OFFSET([4]enemy_skill_sets!$B$1,0,0,COUNTA([4]enemy_skill_sets!$B:$B),MATCH(J$1,[4]enemy_skill_sets!$1:$1,0)-MATCH($T$1,[4]enemy_skill_sets!$1:$1,0)+2),MATCH(J$1,[4]enemy_skill_sets!$1:$1,0)-MATCH($T$1,[4]enemy_skill_sets!$1:$1,0)+2,FALSE)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125" s="5">
        <f ca="1">VLOOKUP($I125,OFFSET([2]enemies!$A$1,0,0,COUNTA([2]enemies!$A:$A),MATCH(T$1,[2]enemies!$2:$2,0)-MATCH($I$1,[2]enemies!$2:$2,0)+1),MATCH(T$1,[2]enemies!$2:$2,0)-MATCH($I$1,[2]enemies!$2:$2,0)+1,FALSE)</f>
        <v>38</v>
      </c>
      <c r="U125" s="7">
        <v>1</v>
      </c>
      <c r="V125" s="7">
        <v>100</v>
      </c>
      <c r="W125" s="7">
        <v>0</v>
      </c>
      <c r="X125" s="26">
        <f ca="1">VLOOKUP($I125,OFFSET([2]enemies!$A$1,0,0,COUNTA([2]enemies!$A:$A),MATCH(X$1,[2]enemies!$2:$2,0)-MATCH($I$1,[2]enemies!$2:$2,0)+1),MATCH(X$1,[2]enemies!$2:$2,0)-MATCH($I$1,[2]enemies!$2:$2,0)+1,FALSE)</f>
        <v>3</v>
      </c>
      <c r="Y125" s="46">
        <v>38</v>
      </c>
      <c r="Z125" s="5" t="str">
        <f ca="1">IFERROR(VLOOKUP($Y125,OFFSET([3]characters!$A$1,0,0,COUNTA([3]characters!$A:$A),MATCH(Z$1,[3]characters!$2:$2,0)-MATCH("character_id",[3]characters!$2:$2,0)+1),MATCH(Z$1,[3]characters!$2:$2,0)-MATCH("character_id",[3]characters!$2:$2,0)+1,FALSE),"")</f>
        <v>通話対応型 ガイル</v>
      </c>
      <c r="AA125" s="5">
        <f ca="1">IFERROR(VLOOKUP($Y125,OFFSET([3]characters!$A$1,0,0,COUNTA([3]characters!$A:$A),MATCH(AA$1,[3]characters!$2:$2,0)-MATCH("character_id",[3]characters!$2:$2,0)+1),MATCH(AA$1,[3]characters!$2:$2,0)-MATCH("character_id",[3]characters!$2:$2,0)+1,FALSE),"")</f>
        <v>3</v>
      </c>
      <c r="AB125" s="5" t="str">
        <f ca="1">IFERROR(VLOOKUP($Y125,OFFSET([3]characters!$A$1,0,0,COUNTA([3]characters!$A:$A),MATCH(AB$1,[3]characters!$2:$2,0)-MATCH("character_id",[3]characters!$2:$2,0)+1),MATCH(AB$1,[3]characters!$2:$2,0)-MATCH("character_id",[3]characters!$2:$2,0)+1,FALSE),"")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25" s="34">
        <v>1</v>
      </c>
      <c r="AD125" s="34">
        <f ca="1">AA125</f>
        <v>3</v>
      </c>
      <c r="AE125" s="9">
        <v>0</v>
      </c>
      <c r="AF125" s="34">
        <v>0</v>
      </c>
      <c r="AG125" s="34">
        <v>0</v>
      </c>
      <c r="AH125" s="34">
        <v>0</v>
      </c>
      <c r="AI125" s="34">
        <v>0</v>
      </c>
      <c r="AJ125" s="34">
        <v>1</v>
      </c>
    </row>
    <row r="126" spans="1:36" ht="21" customHeight="1">
      <c r="A126" s="21" t="str">
        <f t="shared" ref="A126:A128" si="137">B126&amp;"_"&amp;C126&amp;"-"&amp;G126&amp;"/"&amp;I126&amp;"&lt;lv"&amp;O126&amp;"&gt;"</f>
        <v>10065_1-4/48&lt;lv69&gt;</v>
      </c>
      <c r="B126" s="44">
        <v>10065</v>
      </c>
      <c r="C126" s="45">
        <v>1</v>
      </c>
      <c r="D126" s="20" t="str">
        <f t="shared" ref="D126:D128" si="138">B126&amp;"_"&amp;C126</f>
        <v>10065_1</v>
      </c>
      <c r="E126" s="5" t="str">
        <f ca="1">VLOOKUP($B126,OFFSET([1]quests!$A$1,0,0,COUNTA([1]quests!$A:$A),MATCH(E$1,[1]quests!$1:$1,0)-MATCH($B$1,[1]quests!$1:$1,0)+1),MATCH(E$1,[1]quests!$1:$1,0)-MATCH($B$1,[1]quests!$1:$1,0)+1,FALSE)</f>
        <v>奪還！太陽神！【仮】</v>
      </c>
      <c r="F126" s="5" t="str">
        <f ca="1">VLOOKUP($D126,OFFSET([1]stages!$A$1,0,0,COUNTA([1]stages!$A:$A),MATCH(F$1,[1]stages!$2:$2,0)-MATCH($D$1,[1]stages!$2:$2,0)+1),MATCH(F$1,[1]stages!$2:$2,0)-MATCH($D$1,[1]stages!$2:$2,0)+1,FALSE)</f>
        <v>奪還！太陽神！【仮】</v>
      </c>
      <c r="G126" s="45">
        <v>4</v>
      </c>
      <c r="H126" s="20" t="str">
        <f t="shared" ref="H126:H128" si="139">B126&amp;"_"&amp;C126&amp;"-"&amp;G126</f>
        <v>10065_1-4</v>
      </c>
      <c r="I126" s="46">
        <v>48</v>
      </c>
      <c r="J126" s="26" t="str">
        <f ca="1">VLOOKUP($I126,OFFSET([2]enemies!$A$1,0,0,COUNTA([2]enemies!$A:$A),MATCH(J$1,[2]enemies!$2:$2,0)-MATCH($I$1,[2]enemies!$2:$2,0)+1),MATCH(J$1,[2]enemies!$2:$2,0)-MATCH($I$1,[2]enemies!$2:$2,0)+1,FALSE)</f>
        <v>サンダーステップのヒロ</v>
      </c>
      <c r="K126" s="29" t="str">
        <f ca="1">VLOOKUP($I126,OFFSET([2]enemies!$A$1,0,0,COUNTA([2]enemies!$A:$A),MATCH(K$1,[2]enemies!$2:$2,0)-MATCH($I$1,[2]enemies!$2:$2,0)+1),MATCH(K$1,[2]enemies!$2:$2,0)-MATCH($I$1,[2]enemies!$2:$2,0)+1,FALSE)</f>
        <v>yellow</v>
      </c>
      <c r="L126" s="29" t="str">
        <f ca="1">VLOOKUP($I126,OFFSET([3]characters!$A$1,0,0,COUNTA([3]characters!$A:$A),MATCH(L$1,[3]characters!$2:$2,0)-MATCH($I$1,[3]characters!$2:$2,0)+1),MATCH(L$1,[3]characters!$2:$2,0)-MATCH($I$1,[3]characters!$2:$2,0)+1,FALSE)</f>
        <v>Drop1N</v>
      </c>
      <c r="M126" s="28" t="str">
        <f ca="1">VLOOKUP($I126,OFFSET([3]characters!$A$1,0,0,COUNTA([3]characters!$A:$A),MATCH(M$1,[3]characters!$2:$2,0)-MATCH($I$1,[3]characters!$2:$2,0)+2),MATCH(M$1,[3]characters!$2:$2,0)-MATCH($I$1,[3]characters!$2:$2,0)+2,FALSE)</f>
        <v>アニマル</v>
      </c>
      <c r="N126" s="5">
        <f ca="1">VLOOKUP($I126,OFFSET([2]enemies!$A$1,0,0,COUNTA([2]enemies!$A:$A),MATCH(N$1,[2]enemies!$2:$2,0)-MATCH($I$1,[2]enemies!$2:$2,0)+1),MATCH(N$1,[2]enemies!$2:$2,0)-MATCH($I$1,[2]enemies!$2:$2,0)+1,FALSE)</f>
        <v>20</v>
      </c>
      <c r="O126" s="6">
        <v>69</v>
      </c>
      <c r="P126" s="41">
        <v>1</v>
      </c>
      <c r="Q126" s="41">
        <v>1</v>
      </c>
      <c r="R126" s="6">
        <v>0</v>
      </c>
      <c r="S126" s="5" t="str">
        <f ca="1">VLOOKUP($T126,OFFSET([4]enemy_skill_sets!$B$1,0,0,COUNTA([4]enemy_skill_sets!$B:$B),MATCH(J$1,[4]enemy_skill_sets!$1:$1,0)-MATCH($T$1,[4]enemy_skill_sets!$1:$1,0)+2),MATCH(J$1,[4]enemy_skill_sets!$1:$1,0)-MATCH($T$1,[4]enemy_skill_sets!$1:$1,0)+2,FALSE)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6" s="5">
        <f ca="1">VLOOKUP($I126,OFFSET([2]enemies!$A$1,0,0,COUNTA([2]enemies!$A:$A),MATCH(T$1,[2]enemies!$2:$2,0)-MATCH($I$1,[2]enemies!$2:$2,0)+1),MATCH(T$1,[2]enemies!$2:$2,0)-MATCH($I$1,[2]enemies!$2:$2,0)+1,FALSE)</f>
        <v>0</v>
      </c>
      <c r="U126" s="7">
        <v>1</v>
      </c>
      <c r="V126" s="7">
        <v>100</v>
      </c>
      <c r="W126" s="7">
        <v>0</v>
      </c>
      <c r="X126" s="51">
        <v>2</v>
      </c>
      <c r="Y126" s="46">
        <v>48</v>
      </c>
      <c r="Z126" s="5" t="str">
        <f ca="1">IFERROR(VLOOKUP($Y126,OFFSET([3]characters!$A$1,0,0,COUNTA([3]characters!$A:$A),MATCH(Z$1,[3]characters!$2:$2,0)-MATCH("character_id",[3]characters!$2:$2,0)+1),MATCH(Z$1,[3]characters!$2:$2,0)-MATCH("character_id",[3]characters!$2:$2,0)+1,FALSE),"")</f>
        <v>サンダーステップのヒロ</v>
      </c>
      <c r="AA126" s="5">
        <f ca="1">IFERROR(VLOOKUP($Y126,OFFSET([3]characters!$A$1,0,0,COUNTA([3]characters!$A:$A),MATCH(AA$1,[3]characters!$2:$2,0)-MATCH("character_id",[3]characters!$2:$2,0)+1),MATCH(AA$1,[3]characters!$2:$2,0)-MATCH("character_id",[3]characters!$2:$2,0)+1,FALSE),"")</f>
        <v>3</v>
      </c>
      <c r="AB126" s="5" t="str">
        <f ca="1">IFERROR(VLOOKUP($Y126,OFFSET([3]characters!$A$1,0,0,COUNTA([3]characters!$A:$A),MATCH(AB$1,[3]characters!$2:$2,0)-MATCH("character_id",[3]characters!$2:$2,0)+1),MATCH(AB$1,[3]characters!$2:$2,0)-MATCH("character_id",[3]characters!$2:$2,0)+1,FALSE),"")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6" s="34">
        <v>1</v>
      </c>
      <c r="AD126" s="34">
        <f t="shared" ref="AD126:AD128" ca="1" si="140">AA126</f>
        <v>3</v>
      </c>
      <c r="AE126" s="9">
        <v>0</v>
      </c>
      <c r="AF126" s="34">
        <v>0</v>
      </c>
      <c r="AG126" s="34">
        <v>0</v>
      </c>
      <c r="AH126" s="34">
        <v>0</v>
      </c>
      <c r="AI126" s="34">
        <v>0</v>
      </c>
      <c r="AJ126" s="34">
        <v>1</v>
      </c>
    </row>
    <row r="127" spans="1:36" ht="21" customHeight="1">
      <c r="A127" s="21" t="str">
        <f t="shared" ref="A127" si="141">B127&amp;"_"&amp;C127&amp;"-"&amp;G127&amp;"/"&amp;I127&amp;"&lt;lv"&amp;O127&amp;"&gt;"</f>
        <v>10065_1-4/54&lt;lv69&gt;</v>
      </c>
      <c r="B127" s="44">
        <v>10065</v>
      </c>
      <c r="C127" s="45">
        <v>1</v>
      </c>
      <c r="D127" s="20" t="str">
        <f t="shared" ref="D127" si="142">B127&amp;"_"&amp;C127</f>
        <v>10065_1</v>
      </c>
      <c r="E127" s="5" t="str">
        <f ca="1">VLOOKUP($B127,OFFSET([1]quests!$A$1,0,0,COUNTA([1]quests!$A:$A),MATCH(E$1,[1]quests!$1:$1,0)-MATCH($B$1,[1]quests!$1:$1,0)+1),MATCH(E$1,[1]quests!$1:$1,0)-MATCH($B$1,[1]quests!$1:$1,0)+1,FALSE)</f>
        <v>奪還！太陽神！【仮】</v>
      </c>
      <c r="F127" s="5" t="str">
        <f ca="1">VLOOKUP($D127,OFFSET([1]stages!$A$1,0,0,COUNTA([1]stages!$A:$A),MATCH(F$1,[1]stages!$2:$2,0)-MATCH($D$1,[1]stages!$2:$2,0)+1),MATCH(F$1,[1]stages!$2:$2,0)-MATCH($D$1,[1]stages!$2:$2,0)+1,FALSE)</f>
        <v>奪還！太陽神！【仮】</v>
      </c>
      <c r="G127" s="45">
        <v>4</v>
      </c>
      <c r="H127" s="20" t="str">
        <f t="shared" ref="H127" si="143">B127&amp;"_"&amp;C127&amp;"-"&amp;G127</f>
        <v>10065_1-4</v>
      </c>
      <c r="I127" s="46">
        <v>54</v>
      </c>
      <c r="J127" s="26" t="str">
        <f ca="1">VLOOKUP($I127,OFFSET([2]enemies!$A$1,0,0,COUNTA([2]enemies!$A:$A),MATCH(J$1,[2]enemies!$2:$2,0)-MATCH($I$1,[2]enemies!$2:$2,0)+1),MATCH(J$1,[2]enemies!$2:$2,0)-MATCH($I$1,[2]enemies!$2:$2,0)+1,FALSE)</f>
        <v>蒼斬のレジスタンス ケンジ</v>
      </c>
      <c r="K127" s="29" t="str">
        <f ca="1">VLOOKUP($I127,OFFSET([2]enemies!$A$1,0,0,COUNTA([2]enemies!$A:$A),MATCH(K$1,[2]enemies!$2:$2,0)-MATCH($I$1,[2]enemies!$2:$2,0)+1),MATCH(K$1,[2]enemies!$2:$2,0)-MATCH($I$1,[2]enemies!$2:$2,0)+1,FALSE)</f>
        <v>blue</v>
      </c>
      <c r="L127" s="29" t="str">
        <f ca="1">VLOOKUP($I127,OFFSET([3]characters!$A$1,0,0,COUNTA([3]characters!$A:$A),MATCH(L$1,[3]characters!$2:$2,0)-MATCH($I$1,[3]characters!$2:$2,0)+1),MATCH(L$1,[3]characters!$2:$2,0)-MATCH($I$1,[3]characters!$2:$2,0)+1,FALSE)</f>
        <v>Drop1N</v>
      </c>
      <c r="M127" s="28" t="str">
        <f ca="1">VLOOKUP($I127,OFFSET([3]characters!$A$1,0,0,COUNTA([3]characters!$A:$A),MATCH(M$1,[3]characters!$2:$2,0)-MATCH($I$1,[3]characters!$2:$2,0)+2),MATCH(M$1,[3]characters!$2:$2,0)-MATCH($I$1,[3]characters!$2:$2,0)+2,FALSE)</f>
        <v>ヒューマン</v>
      </c>
      <c r="N127" s="5">
        <f ca="1">VLOOKUP($I127,OFFSET([2]enemies!$A$1,0,0,COUNTA([2]enemies!$A:$A),MATCH(N$1,[2]enemies!$2:$2,0)-MATCH($I$1,[2]enemies!$2:$2,0)+1),MATCH(N$1,[2]enemies!$2:$2,0)-MATCH($I$1,[2]enemies!$2:$2,0)+1,FALSE)</f>
        <v>20</v>
      </c>
      <c r="O127" s="6">
        <v>69</v>
      </c>
      <c r="P127" s="41">
        <v>1</v>
      </c>
      <c r="Q127" s="41">
        <v>1</v>
      </c>
      <c r="R127" s="6">
        <v>0</v>
      </c>
      <c r="S127" s="5" t="str">
        <f ca="1">VLOOKUP($T127,OFFSET([4]enemy_skill_sets!$B$1,0,0,COUNTA([4]enemy_skill_sets!$B:$B),MATCH(J$1,[4]enemy_skill_sets!$1:$1,0)-MATCH($T$1,[4]enemy_skill_sets!$1:$1,0)+2),MATCH(J$1,[4]enemy_skill_sets!$1:$1,0)-MATCH($T$1,[4]enemy_skill_sets!$1:$1,0)+2,FALSE)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127" s="5">
        <f ca="1">VLOOKUP($I127,OFFSET([2]enemies!$A$1,0,0,COUNTA([2]enemies!$A:$A),MATCH(T$1,[2]enemies!$2:$2,0)-MATCH($I$1,[2]enemies!$2:$2,0)+1),MATCH(T$1,[2]enemies!$2:$2,0)-MATCH($I$1,[2]enemies!$2:$2,0)+1,FALSE)</f>
        <v>53</v>
      </c>
      <c r="U127" s="7">
        <v>1</v>
      </c>
      <c r="V127" s="7">
        <v>100</v>
      </c>
      <c r="W127" s="7">
        <v>1</v>
      </c>
      <c r="X127" s="26">
        <f ca="1">VLOOKUP($I127,OFFSET([2]enemies!$A$1,0,0,COUNTA([2]enemies!$A:$A),MATCH(X$1,[2]enemies!$2:$2,0)-MATCH($I$1,[2]enemies!$2:$2,0)+1),MATCH(X$1,[2]enemies!$2:$2,0)-MATCH($I$1,[2]enemies!$2:$2,0)+1,FALSE)</f>
        <v>2</v>
      </c>
      <c r="Y127" s="46">
        <v>54</v>
      </c>
      <c r="Z127" s="5" t="str">
        <f ca="1">IFERROR(VLOOKUP($Y127,OFFSET([3]characters!$A$1,0,0,COUNTA([3]characters!$A:$A),MATCH(Z$1,[3]characters!$2:$2,0)-MATCH("character_id",[3]characters!$2:$2,0)+1),MATCH(Z$1,[3]characters!$2:$2,0)-MATCH("character_id",[3]characters!$2:$2,0)+1,FALSE),"")</f>
        <v>蒼斬のレジスタンス ケンジ</v>
      </c>
      <c r="AA127" s="5">
        <f ca="1">IFERROR(VLOOKUP($Y127,OFFSET([3]characters!$A$1,0,0,COUNTA([3]characters!$A:$A),MATCH(AA$1,[3]characters!$2:$2,0)-MATCH("character_id",[3]characters!$2:$2,0)+1),MATCH(AA$1,[3]characters!$2:$2,0)-MATCH("character_id",[3]characters!$2:$2,0)+1,FALSE),"")</f>
        <v>3</v>
      </c>
      <c r="AB127" s="5" t="str">
        <f ca="1">IFERROR(VLOOKUP($Y127,OFFSET([3]characters!$A$1,0,0,COUNTA([3]characters!$A:$A),MATCH(AB$1,[3]characters!$2:$2,0)-MATCH("character_id",[3]characters!$2:$2,0)+1),MATCH(AB$1,[3]characters!$2:$2,0)-MATCH("character_id",[3]characters!$2:$2,0)+1,FALSE),"")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7" s="34">
        <v>1</v>
      </c>
      <c r="AD127" s="34">
        <f t="shared" ref="AD127" ca="1" si="144">AA127</f>
        <v>3</v>
      </c>
      <c r="AE127" s="9">
        <v>0</v>
      </c>
      <c r="AF127" s="34">
        <v>0</v>
      </c>
      <c r="AG127" s="34">
        <v>0</v>
      </c>
      <c r="AH127" s="34">
        <v>0</v>
      </c>
      <c r="AI127" s="34">
        <v>0</v>
      </c>
      <c r="AJ127" s="34">
        <v>1</v>
      </c>
    </row>
    <row r="128" spans="1:36" ht="21" customHeight="1">
      <c r="A128" s="21" t="str">
        <f t="shared" si="137"/>
        <v>10065_1-5/131&lt;lv69&gt;</v>
      </c>
      <c r="B128" s="44">
        <v>10065</v>
      </c>
      <c r="C128" s="45">
        <v>1</v>
      </c>
      <c r="D128" s="20" t="str">
        <f t="shared" si="138"/>
        <v>10065_1</v>
      </c>
      <c r="E128" s="5" t="str">
        <f ca="1">VLOOKUP($B128,OFFSET([1]quests!$A$1,0,0,COUNTA([1]quests!$A:$A),MATCH(E$1,[1]quests!$1:$1,0)-MATCH($B$1,[1]quests!$1:$1,0)+1),MATCH(E$1,[1]quests!$1:$1,0)-MATCH($B$1,[1]quests!$1:$1,0)+1,FALSE)</f>
        <v>奪還！太陽神！【仮】</v>
      </c>
      <c r="F128" s="5" t="str">
        <f ca="1">VLOOKUP($D128,OFFSET([1]stages!$A$1,0,0,COUNTA([1]stages!$A:$A),MATCH(F$1,[1]stages!$2:$2,0)-MATCH($D$1,[1]stages!$2:$2,0)+1),MATCH(F$1,[1]stages!$2:$2,0)-MATCH($D$1,[1]stages!$2:$2,0)+1,FALSE)</f>
        <v>奪還！太陽神！【仮】</v>
      </c>
      <c r="G128" s="45">
        <v>5</v>
      </c>
      <c r="H128" s="20" t="str">
        <f t="shared" si="139"/>
        <v>10065_1-5</v>
      </c>
      <c r="I128" s="46">
        <v>131</v>
      </c>
      <c r="J128" s="26" t="str">
        <f ca="1">VLOOKUP($I128,OFFSET([2]enemies!$A$1,0,0,COUNTA([2]enemies!$A:$A),MATCH(J$1,[2]enemies!$2:$2,0)-MATCH($I$1,[2]enemies!$2:$2,0)+1),MATCH(J$1,[2]enemies!$2:$2,0)-MATCH($I$1,[2]enemies!$2:$2,0)+1,FALSE)</f>
        <v>月下の人狼 ローレンス</v>
      </c>
      <c r="K128" s="29" t="str">
        <f ca="1">VLOOKUP($I128,OFFSET([2]enemies!$A$1,0,0,COUNTA([2]enemies!$A:$A),MATCH(K$1,[2]enemies!$2:$2,0)-MATCH($I$1,[2]enemies!$2:$2,0)+1),MATCH(K$1,[2]enemies!$2:$2,0)-MATCH($I$1,[2]enemies!$2:$2,0)+1,FALSE)</f>
        <v>blue</v>
      </c>
      <c r="L128" s="29" t="str">
        <f ca="1">VLOOKUP($I128,OFFSET([3]characters!$A$1,0,0,COUNTA([3]characters!$A:$A),MATCH(L$1,[3]characters!$2:$2,0)-MATCH($I$1,[3]characters!$2:$2,0)+1),MATCH(L$1,[3]characters!$2:$2,0)-MATCH($I$1,[3]characters!$2:$2,0)+1,FALSE)</f>
        <v>PremiumW</v>
      </c>
      <c r="M128" s="28" t="str">
        <f ca="1">VLOOKUP($I128,OFFSET([3]characters!$A$1,0,0,COUNTA([3]characters!$A:$A),MATCH(M$1,[3]characters!$2:$2,0)-MATCH($I$1,[3]characters!$2:$2,0)+2),MATCH(M$1,[3]characters!$2:$2,0)-MATCH($I$1,[3]characters!$2:$2,0)+2,FALSE)</f>
        <v>アニマル</v>
      </c>
      <c r="N128" s="5">
        <f ca="1">VLOOKUP($I128,OFFSET([2]enemies!$A$1,0,0,COUNTA([2]enemies!$A:$A),MATCH(N$1,[2]enemies!$2:$2,0)-MATCH($I$1,[2]enemies!$2:$2,0)+1),MATCH(N$1,[2]enemies!$2:$2,0)-MATCH($I$1,[2]enemies!$2:$2,0)+1,FALSE)</f>
        <v>30</v>
      </c>
      <c r="O128" s="6">
        <v>69</v>
      </c>
      <c r="P128" s="41">
        <v>1</v>
      </c>
      <c r="Q128" s="41">
        <v>0.8</v>
      </c>
      <c r="R128" s="6">
        <v>0</v>
      </c>
      <c r="S128" s="5" t="str">
        <f ca="1">VLOOKUP($T128,OFFSET([4]enemy_skill_sets!$B$1,0,0,COUNTA([4]enemy_skill_sets!$B:$B),MATCH(J$1,[4]enemy_skill_sets!$1:$1,0)-MATCH($T$1,[4]enemy_skill_sets!$1:$1,0)+2),MATCH(J$1,[4]enemy_skill_sets!$1:$1,0)-MATCH($T$1,[4]enemy_skill_sets!$1:$1,0)+2,FALSE)</f>
        <v>4ターンスキルが使えない！</v>
      </c>
      <c r="T128" s="50">
        <v>13101</v>
      </c>
      <c r="U128" s="7">
        <v>1</v>
      </c>
      <c r="V128" s="7">
        <v>100</v>
      </c>
      <c r="W128" s="7">
        <v>0</v>
      </c>
      <c r="X128" s="51">
        <v>2</v>
      </c>
      <c r="Y128" s="46">
        <v>131</v>
      </c>
      <c r="Z128" s="5" t="str">
        <f ca="1">IFERROR(VLOOKUP($Y128,OFFSET([3]characters!$A$1,0,0,COUNTA([3]characters!$A:$A),MATCH(Z$1,[3]characters!$2:$2,0)-MATCH("character_id",[3]characters!$2:$2,0)+1),MATCH(Z$1,[3]characters!$2:$2,0)-MATCH("character_id",[3]characters!$2:$2,0)+1,FALSE),"")</f>
        <v>月下の人狼 ローレンス</v>
      </c>
      <c r="AA128" s="5">
        <f ca="1">IFERROR(VLOOKUP($Y128,OFFSET([3]characters!$A$1,0,0,COUNTA([3]characters!$A:$A),MATCH(AA$1,[3]characters!$2:$2,0)-MATCH("character_id",[3]characters!$2:$2,0)+1),MATCH(AA$1,[3]characters!$2:$2,0)-MATCH("character_id",[3]characters!$2:$2,0)+1,FALSE),"")</f>
        <v>4</v>
      </c>
      <c r="AB128" s="5" t="str">
        <f ca="1">IFERROR(VLOOKUP($Y128,OFFSET([3]characters!$A$1,0,0,COUNTA([3]characters!$A:$A),MATCH(AB$1,[3]characters!$2:$2,0)-MATCH("character_id",[3]characters!$2:$2,0)+1),MATCH(AB$1,[3]characters!$2:$2,0)-MATCH("character_id",[3]characters!$2:$2,0)+1,FALSE),"")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28" s="34">
        <v>1</v>
      </c>
      <c r="AD128" s="34">
        <f t="shared" ca="1" si="140"/>
        <v>4</v>
      </c>
      <c r="AE128" s="9">
        <v>0</v>
      </c>
      <c r="AF128" s="34">
        <v>0</v>
      </c>
      <c r="AG128" s="34">
        <v>0</v>
      </c>
      <c r="AH128" s="34">
        <v>0</v>
      </c>
      <c r="AI128" s="34">
        <v>0</v>
      </c>
      <c r="AJ128" s="34">
        <v>1</v>
      </c>
    </row>
    <row r="129" spans="1:36" ht="21" customHeight="1">
      <c r="A129" s="21" t="str">
        <f t="shared" ref="A129" si="145">B129&amp;"_"&amp;C129&amp;"-"&amp;G129&amp;"/"&amp;I129&amp;"&lt;lv"&amp;O129&amp;"&gt;"</f>
        <v>10065_1-5/188&lt;lv69&gt;</v>
      </c>
      <c r="B129" s="44">
        <v>10065</v>
      </c>
      <c r="C129" s="45">
        <v>1</v>
      </c>
      <c r="D129" s="20" t="str">
        <f t="shared" ref="D129" si="146">B129&amp;"_"&amp;C129</f>
        <v>10065_1</v>
      </c>
      <c r="E129" s="5" t="str">
        <f ca="1">VLOOKUP($B129,OFFSET([1]quests!$A$1,0,0,COUNTA([1]quests!$A:$A),MATCH(E$1,[1]quests!$1:$1,0)-MATCH($B$1,[1]quests!$1:$1,0)+1),MATCH(E$1,[1]quests!$1:$1,0)-MATCH($B$1,[1]quests!$1:$1,0)+1,FALSE)</f>
        <v>奪還！太陽神！【仮】</v>
      </c>
      <c r="F129" s="5" t="str">
        <f ca="1">VLOOKUP($D129,OFFSET([1]stages!$A$1,0,0,COUNTA([1]stages!$A:$A),MATCH(F$1,[1]stages!$2:$2,0)-MATCH($D$1,[1]stages!$2:$2,0)+1),MATCH(F$1,[1]stages!$2:$2,0)-MATCH($D$1,[1]stages!$2:$2,0)+1,FALSE)</f>
        <v>奪還！太陽神！【仮】</v>
      </c>
      <c r="G129" s="45">
        <v>5</v>
      </c>
      <c r="H129" s="20" t="str">
        <f t="shared" ref="H129" si="147">B129&amp;"_"&amp;C129&amp;"-"&amp;G129</f>
        <v>10065_1-5</v>
      </c>
      <c r="I129" s="46">
        <v>188</v>
      </c>
      <c r="J129" s="26" t="str">
        <f ca="1">VLOOKUP($I129,OFFSET([2]enemies!$A$1,0,0,COUNTA([2]enemies!$A:$A),MATCH(J$1,[2]enemies!$2:$2,0)-MATCH($I$1,[2]enemies!$2:$2,0)+1),MATCH(J$1,[2]enemies!$2:$2,0)-MATCH($I$1,[2]enemies!$2:$2,0)+1,FALSE)</f>
        <v>猛禽 ホルス</v>
      </c>
      <c r="K129" s="29" t="str">
        <f ca="1">VLOOKUP($I129,OFFSET([2]enemies!$A$1,0,0,COUNTA([2]enemies!$A:$A),MATCH(K$1,[2]enemies!$2:$2,0)-MATCH($I$1,[2]enemies!$2:$2,0)+1),MATCH(K$1,[2]enemies!$2:$2,0)-MATCH($I$1,[2]enemies!$2:$2,0)+1,FALSE)</f>
        <v>yellow</v>
      </c>
      <c r="L129" s="29" t="str">
        <f ca="1">VLOOKUP($I129,OFFSET([3]characters!$A$1,0,0,COUNTA([3]characters!$A:$A),MATCH(L$1,[3]characters!$2:$2,0)-MATCH($I$1,[3]characters!$2:$2,0)+1),MATCH(L$1,[3]characters!$2:$2,0)-MATCH($I$1,[3]characters!$2:$2,0)+1,FALSE)</f>
        <v>PremiumN</v>
      </c>
      <c r="M129" s="28" t="str">
        <f ca="1">VLOOKUP($I129,OFFSET([3]characters!$A$1,0,0,COUNTA([3]characters!$A:$A),MATCH(M$1,[3]characters!$2:$2,0)-MATCH($I$1,[3]characters!$2:$2,0)+2),MATCH(M$1,[3]characters!$2:$2,0)-MATCH($I$1,[3]characters!$2:$2,0)+2,FALSE)</f>
        <v>アニマル</v>
      </c>
      <c r="N129" s="5">
        <f ca="1">VLOOKUP($I129,OFFSET([2]enemies!$A$1,0,0,COUNTA([2]enemies!$A:$A),MATCH(N$1,[2]enemies!$2:$2,0)-MATCH($I$1,[2]enemies!$2:$2,0)+1),MATCH(N$1,[2]enemies!$2:$2,0)-MATCH($I$1,[2]enemies!$2:$2,0)+1,FALSE)</f>
        <v>30</v>
      </c>
      <c r="O129" s="6">
        <v>69</v>
      </c>
      <c r="P129" s="41">
        <v>1</v>
      </c>
      <c r="Q129" s="41">
        <v>0.8</v>
      </c>
      <c r="R129" s="6">
        <v>0</v>
      </c>
      <c r="S129" s="5" t="str">
        <f ca="1">VLOOKUP($T129,OFFSET([4]enemy_skill_sets!$B$1,0,0,COUNTA([4]enemy_skill_sets!$B:$B),MATCH(J$1,[4]enemy_skill_sets!$1:$1,0)-MATCH($T$1,[4]enemy_skill_sets!$1:$1,0)+2),MATCH(J$1,[4]enemy_skill_sets!$1:$1,0)-MATCH($T$1,[4]enemy_skill_sets!$1:$1,0)+2,FALSE)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29" s="49">
        <v>18801</v>
      </c>
      <c r="U129" s="7">
        <v>1</v>
      </c>
      <c r="V129" s="7">
        <v>100</v>
      </c>
      <c r="W129" s="7">
        <v>1</v>
      </c>
      <c r="X129" s="51">
        <v>2</v>
      </c>
      <c r="Y129" s="46">
        <v>188</v>
      </c>
      <c r="Z129" s="5" t="str">
        <f ca="1">IFERROR(VLOOKUP($Y129,OFFSET([3]characters!$A$1,0,0,COUNTA([3]characters!$A:$A),MATCH(Z$1,[3]characters!$2:$2,0)-MATCH("character_id",[3]characters!$2:$2,0)+1),MATCH(Z$1,[3]characters!$2:$2,0)-MATCH("character_id",[3]characters!$2:$2,0)+1,FALSE),"")</f>
        <v>猛禽 ホルス</v>
      </c>
      <c r="AA129" s="5">
        <f ca="1">IFERROR(VLOOKUP($Y129,OFFSET([3]characters!$A$1,0,0,COUNTA([3]characters!$A:$A),MATCH(AA$1,[3]characters!$2:$2,0)-MATCH("character_id",[3]characters!$2:$2,0)+1),MATCH(AA$1,[3]characters!$2:$2,0)-MATCH("character_id",[3]characters!$2:$2,0)+1,FALSE),"")</f>
        <v>4</v>
      </c>
      <c r="AB129" s="5" t="str">
        <f ca="1">IFERROR(VLOOKUP($Y129,OFFSET([3]characters!$A$1,0,0,COUNTA([3]characters!$A:$A),MATCH(AB$1,[3]characters!$2:$2,0)-MATCH("character_id",[3]characters!$2:$2,0)+1),MATCH(AB$1,[3]characters!$2:$2,0)-MATCH("character_id",[3]characters!$2:$2,0)+1,FALSE),"")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129" s="34">
        <v>1</v>
      </c>
      <c r="AD129" s="34">
        <f t="shared" ref="AD129" ca="1" si="148">AA129</f>
        <v>4</v>
      </c>
      <c r="AE129" s="9">
        <v>0</v>
      </c>
      <c r="AF129" s="34">
        <v>0</v>
      </c>
      <c r="AG129" s="34">
        <v>0</v>
      </c>
      <c r="AH129" s="34">
        <v>0</v>
      </c>
      <c r="AI129" s="34">
        <v>0</v>
      </c>
      <c r="AJ129" s="34">
        <v>1</v>
      </c>
    </row>
  </sheetData>
  <sheetProtection selectLockedCells="1" selectUnlockedCells="1"/>
  <autoFilter ref="B1:AE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6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ColWidth="13" defaultRowHeight="18" x14ac:dyDescent="0"/>
  <cols>
    <col min="1" max="1" width="10.1640625" style="23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6" customFormat="1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floors_rank_quests</v>
      </c>
    </row>
    <row r="2" spans="1:6" s="18" customFormat="1">
      <c r="A2" s="23" t="s">
        <v>31</v>
      </c>
      <c r="B2" s="18" t="s">
        <v>0</v>
      </c>
      <c r="C2" s="18" t="s">
        <v>1</v>
      </c>
      <c r="D2" s="18" t="s">
        <v>12</v>
      </c>
      <c r="E2" s="18" t="s">
        <v>13</v>
      </c>
      <c r="F2" s="18" t="s">
        <v>14</v>
      </c>
    </row>
    <row r="3" spans="1:6">
      <c r="A3" s="24" t="str">
        <f t="shared" ref="A3:A60" si="0">INDIRECT(ADDRESS(ROW()+$A$1,COLUMN(),1,TRUE,$C$1))</f>
        <v>10008_1-1</v>
      </c>
      <c r="B3" s="19">
        <f t="shared" ref="B3:F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10008</v>
      </c>
      <c r="C3" s="19">
        <f t="shared" si="1"/>
        <v>1</v>
      </c>
      <c r="D3" s="19">
        <f t="shared" si="1"/>
        <v>1</v>
      </c>
      <c r="E3" s="19">
        <f t="shared" si="1"/>
        <v>45</v>
      </c>
      <c r="F3" s="19">
        <f t="shared" si="1"/>
        <v>45</v>
      </c>
    </row>
    <row r="4" spans="1:6">
      <c r="A4" s="24" t="str">
        <f t="shared" si="0"/>
        <v>10010_1-1</v>
      </c>
      <c r="B4" s="19">
        <f t="shared" si="1"/>
        <v>10010</v>
      </c>
      <c r="C4" s="19">
        <f t="shared" si="1"/>
        <v>1</v>
      </c>
      <c r="D4" s="19">
        <f t="shared" si="1"/>
        <v>1</v>
      </c>
      <c r="E4" s="19">
        <f t="shared" si="1"/>
        <v>15</v>
      </c>
      <c r="F4" s="19">
        <f t="shared" si="1"/>
        <v>30</v>
      </c>
    </row>
    <row r="5" spans="1:6">
      <c r="A5" s="24" t="str">
        <f t="shared" si="0"/>
        <v>10010_1-2</v>
      </c>
      <c r="B5" s="19">
        <f t="shared" si="1"/>
        <v>10010</v>
      </c>
      <c r="C5" s="19">
        <f t="shared" si="1"/>
        <v>1</v>
      </c>
      <c r="D5" s="19">
        <f t="shared" si="1"/>
        <v>2</v>
      </c>
      <c r="E5" s="19">
        <f t="shared" si="1"/>
        <v>30</v>
      </c>
      <c r="F5" s="19">
        <f t="shared" si="1"/>
        <v>45</v>
      </c>
    </row>
    <row r="6" spans="1:6">
      <c r="A6" s="24" t="str">
        <f t="shared" si="0"/>
        <v>10010_1-3</v>
      </c>
      <c r="B6" s="19">
        <f t="shared" si="1"/>
        <v>10010</v>
      </c>
      <c r="C6" s="19">
        <f t="shared" si="1"/>
        <v>1</v>
      </c>
      <c r="D6" s="19">
        <f t="shared" si="1"/>
        <v>3</v>
      </c>
      <c r="E6" s="19">
        <f t="shared" si="1"/>
        <v>45</v>
      </c>
      <c r="F6" s="19">
        <f t="shared" si="1"/>
        <v>60</v>
      </c>
    </row>
    <row r="7" spans="1:6">
      <c r="A7" s="24" t="str">
        <f t="shared" si="0"/>
        <v>10015_1-1</v>
      </c>
      <c r="B7" s="19">
        <f t="shared" si="1"/>
        <v>10015</v>
      </c>
      <c r="C7" s="19">
        <f t="shared" si="1"/>
        <v>1</v>
      </c>
      <c r="D7" s="19">
        <f t="shared" si="1"/>
        <v>1</v>
      </c>
      <c r="E7" s="19">
        <f t="shared" si="1"/>
        <v>15</v>
      </c>
      <c r="F7" s="19">
        <f t="shared" si="1"/>
        <v>30</v>
      </c>
    </row>
    <row r="8" spans="1:6">
      <c r="A8" s="24" t="str">
        <f t="shared" si="0"/>
        <v>10015_1-2</v>
      </c>
      <c r="B8" s="19">
        <f t="shared" si="1"/>
        <v>10015</v>
      </c>
      <c r="C8" s="19">
        <f t="shared" si="1"/>
        <v>1</v>
      </c>
      <c r="D8" s="19">
        <f t="shared" si="1"/>
        <v>2</v>
      </c>
      <c r="E8" s="19">
        <f t="shared" si="1"/>
        <v>30</v>
      </c>
      <c r="F8" s="19">
        <f t="shared" si="1"/>
        <v>45</v>
      </c>
    </row>
    <row r="9" spans="1:6">
      <c r="A9" s="24" t="str">
        <f t="shared" si="0"/>
        <v>10015_1-3</v>
      </c>
      <c r="B9" s="19">
        <f t="shared" si="1"/>
        <v>10015</v>
      </c>
      <c r="C9" s="19">
        <f t="shared" si="1"/>
        <v>1</v>
      </c>
      <c r="D9" s="19">
        <f t="shared" si="1"/>
        <v>3</v>
      </c>
      <c r="E9" s="19">
        <f t="shared" si="1"/>
        <v>45</v>
      </c>
      <c r="F9" s="19">
        <f t="shared" si="1"/>
        <v>60</v>
      </c>
    </row>
    <row r="10" spans="1:6">
      <c r="A10" s="24" t="str">
        <f t="shared" si="0"/>
        <v>10015_1-4</v>
      </c>
      <c r="B10" s="19">
        <f t="shared" si="1"/>
        <v>10015</v>
      </c>
      <c r="C10" s="19">
        <f t="shared" si="1"/>
        <v>1</v>
      </c>
      <c r="D10" s="19">
        <f t="shared" si="1"/>
        <v>4</v>
      </c>
      <c r="E10" s="19">
        <f t="shared" si="1"/>
        <v>45</v>
      </c>
      <c r="F10" s="19">
        <f t="shared" si="1"/>
        <v>60</v>
      </c>
    </row>
    <row r="11" spans="1:6">
      <c r="A11" s="24" t="str">
        <f t="shared" si="0"/>
        <v>10020_1-1</v>
      </c>
      <c r="B11" s="19">
        <f t="shared" si="1"/>
        <v>10020</v>
      </c>
      <c r="C11" s="19">
        <f t="shared" si="1"/>
        <v>1</v>
      </c>
      <c r="D11" s="19">
        <f t="shared" si="1"/>
        <v>1</v>
      </c>
      <c r="E11" s="19">
        <f t="shared" si="1"/>
        <v>15</v>
      </c>
      <c r="F11" s="19">
        <f t="shared" si="1"/>
        <v>30</v>
      </c>
    </row>
    <row r="12" spans="1:6">
      <c r="A12" s="24" t="str">
        <f t="shared" si="0"/>
        <v>10020_1-2</v>
      </c>
      <c r="B12" s="19">
        <f t="shared" si="1"/>
        <v>10020</v>
      </c>
      <c r="C12" s="19">
        <f t="shared" si="1"/>
        <v>1</v>
      </c>
      <c r="D12" s="19">
        <f t="shared" si="1"/>
        <v>2</v>
      </c>
      <c r="E12" s="19">
        <f t="shared" si="1"/>
        <v>30</v>
      </c>
      <c r="F12" s="19">
        <f t="shared" si="1"/>
        <v>45</v>
      </c>
    </row>
    <row r="13" spans="1:6">
      <c r="A13" s="24" t="str">
        <f t="shared" si="0"/>
        <v>10020_1-3</v>
      </c>
      <c r="B13" s="19">
        <f t="shared" si="1"/>
        <v>10020</v>
      </c>
      <c r="C13" s="19">
        <f t="shared" si="1"/>
        <v>1</v>
      </c>
      <c r="D13" s="19">
        <f t="shared" si="1"/>
        <v>3</v>
      </c>
      <c r="E13" s="19">
        <f t="shared" si="1"/>
        <v>45</v>
      </c>
      <c r="F13" s="19">
        <f t="shared" si="1"/>
        <v>60</v>
      </c>
    </row>
    <row r="14" spans="1:6">
      <c r="A14" s="24" t="str">
        <f t="shared" si="0"/>
        <v>10020_1-4</v>
      </c>
      <c r="B14" s="19">
        <f t="shared" si="1"/>
        <v>10020</v>
      </c>
      <c r="C14" s="19">
        <f t="shared" si="1"/>
        <v>1</v>
      </c>
      <c r="D14" s="19">
        <f t="shared" si="1"/>
        <v>4</v>
      </c>
      <c r="E14" s="19">
        <f t="shared" si="1"/>
        <v>30</v>
      </c>
      <c r="F14" s="19">
        <f t="shared" si="1"/>
        <v>60</v>
      </c>
    </row>
    <row r="15" spans="1:6">
      <c r="A15" s="24" t="str">
        <f t="shared" si="0"/>
        <v>10020_1-5</v>
      </c>
      <c r="B15" s="19">
        <f t="shared" si="1"/>
        <v>10020</v>
      </c>
      <c r="C15" s="19">
        <f t="shared" si="1"/>
        <v>1</v>
      </c>
      <c r="D15" s="19">
        <f t="shared" si="1"/>
        <v>5</v>
      </c>
      <c r="E15" s="19">
        <f t="shared" si="1"/>
        <v>60</v>
      </c>
      <c r="F15" s="19">
        <f t="shared" si="1"/>
        <v>60</v>
      </c>
    </row>
    <row r="16" spans="1:6">
      <c r="A16" s="24" t="str">
        <f t="shared" si="0"/>
        <v>10025_1-1</v>
      </c>
      <c r="B16" s="19">
        <f t="shared" si="1"/>
        <v>10025</v>
      </c>
      <c r="C16" s="19">
        <f t="shared" si="1"/>
        <v>1</v>
      </c>
      <c r="D16" s="19">
        <f t="shared" si="1"/>
        <v>1</v>
      </c>
      <c r="E16" s="19">
        <f t="shared" si="1"/>
        <v>15</v>
      </c>
      <c r="F16" s="19">
        <f t="shared" si="1"/>
        <v>30</v>
      </c>
    </row>
    <row r="17" spans="1:6">
      <c r="A17" s="24" t="str">
        <f t="shared" si="0"/>
        <v>10025_1-2</v>
      </c>
      <c r="B17" s="19">
        <f t="shared" si="1"/>
        <v>10025</v>
      </c>
      <c r="C17" s="19">
        <f t="shared" si="1"/>
        <v>1</v>
      </c>
      <c r="D17" s="19">
        <f t="shared" si="1"/>
        <v>2</v>
      </c>
      <c r="E17" s="19">
        <f t="shared" si="1"/>
        <v>30</v>
      </c>
      <c r="F17" s="19">
        <f t="shared" si="1"/>
        <v>45</v>
      </c>
    </row>
    <row r="18" spans="1:6">
      <c r="A18" s="24" t="str">
        <f t="shared" si="0"/>
        <v>10025_1-3</v>
      </c>
      <c r="B18" s="19">
        <f t="shared" si="1"/>
        <v>10025</v>
      </c>
      <c r="C18" s="19">
        <f t="shared" si="1"/>
        <v>1</v>
      </c>
      <c r="D18" s="19">
        <f t="shared" si="1"/>
        <v>3</v>
      </c>
      <c r="E18" s="19">
        <f t="shared" si="1"/>
        <v>45</v>
      </c>
      <c r="F18" s="19">
        <f t="shared" si="1"/>
        <v>60</v>
      </c>
    </row>
    <row r="19" spans="1:6">
      <c r="A19" s="24" t="str">
        <f t="shared" si="0"/>
        <v>10025_1-4</v>
      </c>
      <c r="B19" s="19">
        <f t="shared" ref="B19:F60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10025</v>
      </c>
      <c r="C19" s="19">
        <f t="shared" si="2"/>
        <v>1</v>
      </c>
      <c r="D19" s="19">
        <f t="shared" si="2"/>
        <v>4</v>
      </c>
      <c r="E19" s="19">
        <f t="shared" si="2"/>
        <v>30</v>
      </c>
      <c r="F19" s="19">
        <f t="shared" si="2"/>
        <v>60</v>
      </c>
    </row>
    <row r="20" spans="1:6">
      <c r="A20" s="24" t="str">
        <f t="shared" si="0"/>
        <v>10025_1-5</v>
      </c>
      <c r="B20" s="19">
        <f t="shared" si="2"/>
        <v>10025</v>
      </c>
      <c r="C20" s="19">
        <f t="shared" si="2"/>
        <v>1</v>
      </c>
      <c r="D20" s="19">
        <f t="shared" si="2"/>
        <v>5</v>
      </c>
      <c r="E20" s="19">
        <f t="shared" si="2"/>
        <v>60</v>
      </c>
      <c r="F20" s="19">
        <f t="shared" si="2"/>
        <v>60</v>
      </c>
    </row>
    <row r="21" spans="1:6">
      <c r="A21" s="24" t="str">
        <f t="shared" si="0"/>
        <v>10030_1-1</v>
      </c>
      <c r="B21" s="19">
        <f t="shared" si="2"/>
        <v>10030</v>
      </c>
      <c r="C21" s="19">
        <f t="shared" si="2"/>
        <v>1</v>
      </c>
      <c r="D21" s="19">
        <f t="shared" si="2"/>
        <v>1</v>
      </c>
      <c r="E21" s="19">
        <f t="shared" si="2"/>
        <v>15</v>
      </c>
      <c r="F21" s="19">
        <f t="shared" si="2"/>
        <v>30</v>
      </c>
    </row>
    <row r="22" spans="1:6">
      <c r="A22" s="24" t="str">
        <f t="shared" si="0"/>
        <v>10030_1-2</v>
      </c>
      <c r="B22" s="19">
        <f t="shared" si="2"/>
        <v>10030</v>
      </c>
      <c r="C22" s="19">
        <f t="shared" si="2"/>
        <v>1</v>
      </c>
      <c r="D22" s="19">
        <f t="shared" si="2"/>
        <v>2</v>
      </c>
      <c r="E22" s="19">
        <f t="shared" si="2"/>
        <v>30</v>
      </c>
      <c r="F22" s="19">
        <f t="shared" si="2"/>
        <v>45</v>
      </c>
    </row>
    <row r="23" spans="1:6">
      <c r="A23" s="24" t="str">
        <f t="shared" si="0"/>
        <v>10030_1-3</v>
      </c>
      <c r="B23" s="19">
        <f t="shared" si="2"/>
        <v>10030</v>
      </c>
      <c r="C23" s="19">
        <f t="shared" si="2"/>
        <v>1</v>
      </c>
      <c r="D23" s="19">
        <f t="shared" si="2"/>
        <v>3</v>
      </c>
      <c r="E23" s="19">
        <f t="shared" si="2"/>
        <v>45</v>
      </c>
      <c r="F23" s="19">
        <f t="shared" si="2"/>
        <v>60</v>
      </c>
    </row>
    <row r="24" spans="1:6">
      <c r="A24" s="24" t="str">
        <f t="shared" si="0"/>
        <v>10030_1-4</v>
      </c>
      <c r="B24" s="19">
        <f t="shared" si="2"/>
        <v>10030</v>
      </c>
      <c r="C24" s="19">
        <f t="shared" si="2"/>
        <v>1</v>
      </c>
      <c r="D24" s="19">
        <f t="shared" si="2"/>
        <v>4</v>
      </c>
      <c r="E24" s="19">
        <f t="shared" si="2"/>
        <v>30</v>
      </c>
      <c r="F24" s="19">
        <f t="shared" si="2"/>
        <v>60</v>
      </c>
    </row>
    <row r="25" spans="1:6">
      <c r="A25" s="24" t="str">
        <f t="shared" si="0"/>
        <v>10030_1-5</v>
      </c>
      <c r="B25" s="19">
        <f t="shared" si="2"/>
        <v>10030</v>
      </c>
      <c r="C25" s="19">
        <f t="shared" si="2"/>
        <v>1</v>
      </c>
      <c r="D25" s="19">
        <f t="shared" si="2"/>
        <v>5</v>
      </c>
      <c r="E25" s="19">
        <f t="shared" si="2"/>
        <v>60</v>
      </c>
      <c r="F25" s="19">
        <f t="shared" si="2"/>
        <v>60</v>
      </c>
    </row>
    <row r="26" spans="1:6">
      <c r="A26" s="24" t="str">
        <f t="shared" si="0"/>
        <v>10035_1-1</v>
      </c>
      <c r="B26" s="19">
        <f t="shared" si="2"/>
        <v>10035</v>
      </c>
      <c r="C26" s="19">
        <f t="shared" si="2"/>
        <v>1</v>
      </c>
      <c r="D26" s="19">
        <f t="shared" si="2"/>
        <v>1</v>
      </c>
      <c r="E26" s="19">
        <f t="shared" si="2"/>
        <v>15</v>
      </c>
      <c r="F26" s="19">
        <f t="shared" si="2"/>
        <v>30</v>
      </c>
    </row>
    <row r="27" spans="1:6">
      <c r="A27" s="24" t="str">
        <f t="shared" si="0"/>
        <v>10035_1-2</v>
      </c>
      <c r="B27" s="19">
        <f t="shared" si="2"/>
        <v>10035</v>
      </c>
      <c r="C27" s="19">
        <f t="shared" si="2"/>
        <v>1</v>
      </c>
      <c r="D27" s="19">
        <f t="shared" si="2"/>
        <v>2</v>
      </c>
      <c r="E27" s="19">
        <f t="shared" si="2"/>
        <v>30</v>
      </c>
      <c r="F27" s="19">
        <f t="shared" si="2"/>
        <v>45</v>
      </c>
    </row>
    <row r="28" spans="1:6">
      <c r="A28" s="24" t="str">
        <f t="shared" si="0"/>
        <v>10035_1-3</v>
      </c>
      <c r="B28" s="19">
        <f t="shared" si="2"/>
        <v>10035</v>
      </c>
      <c r="C28" s="19">
        <f t="shared" si="2"/>
        <v>1</v>
      </c>
      <c r="D28" s="19">
        <f t="shared" si="2"/>
        <v>3</v>
      </c>
      <c r="E28" s="19">
        <f t="shared" si="2"/>
        <v>45</v>
      </c>
      <c r="F28" s="19">
        <f t="shared" si="2"/>
        <v>60</v>
      </c>
    </row>
    <row r="29" spans="1:6">
      <c r="A29" s="24" t="str">
        <f t="shared" si="0"/>
        <v>10035_1-4</v>
      </c>
      <c r="B29" s="19">
        <f t="shared" si="2"/>
        <v>10035</v>
      </c>
      <c r="C29" s="19">
        <f t="shared" si="2"/>
        <v>1</v>
      </c>
      <c r="D29" s="19">
        <f t="shared" si="2"/>
        <v>4</v>
      </c>
      <c r="E29" s="19">
        <f t="shared" si="2"/>
        <v>30</v>
      </c>
      <c r="F29" s="19">
        <f t="shared" si="2"/>
        <v>60</v>
      </c>
    </row>
    <row r="30" spans="1:6">
      <c r="A30" s="24" t="str">
        <f t="shared" si="0"/>
        <v>10035_1-5</v>
      </c>
      <c r="B30" s="19">
        <f t="shared" si="2"/>
        <v>10035</v>
      </c>
      <c r="C30" s="19">
        <f t="shared" si="2"/>
        <v>1</v>
      </c>
      <c r="D30" s="19">
        <f t="shared" si="2"/>
        <v>5</v>
      </c>
      <c r="E30" s="19">
        <f t="shared" si="2"/>
        <v>60</v>
      </c>
      <c r="F30" s="19">
        <f t="shared" si="2"/>
        <v>60</v>
      </c>
    </row>
    <row r="31" spans="1:6">
      <c r="A31" s="24" t="str">
        <f t="shared" si="0"/>
        <v>10040_1-1</v>
      </c>
      <c r="B31" s="19">
        <f t="shared" si="2"/>
        <v>10040</v>
      </c>
      <c r="C31" s="19">
        <f t="shared" si="2"/>
        <v>1</v>
      </c>
      <c r="D31" s="19">
        <f t="shared" si="2"/>
        <v>1</v>
      </c>
      <c r="E31" s="19">
        <f t="shared" si="2"/>
        <v>15</v>
      </c>
      <c r="F31" s="19">
        <f t="shared" si="2"/>
        <v>30</v>
      </c>
    </row>
    <row r="32" spans="1:6">
      <c r="A32" s="24" t="str">
        <f t="shared" si="0"/>
        <v>10040_1-2</v>
      </c>
      <c r="B32" s="19">
        <f t="shared" si="2"/>
        <v>10040</v>
      </c>
      <c r="C32" s="19">
        <f t="shared" si="2"/>
        <v>1</v>
      </c>
      <c r="D32" s="19">
        <f t="shared" si="2"/>
        <v>2</v>
      </c>
      <c r="E32" s="19">
        <f t="shared" si="2"/>
        <v>30</v>
      </c>
      <c r="F32" s="19">
        <f t="shared" si="2"/>
        <v>45</v>
      </c>
    </row>
    <row r="33" spans="1:6">
      <c r="A33" s="24" t="str">
        <f t="shared" si="0"/>
        <v>10040_1-3</v>
      </c>
      <c r="B33" s="19">
        <f t="shared" si="2"/>
        <v>10040</v>
      </c>
      <c r="C33" s="19">
        <f t="shared" si="2"/>
        <v>1</v>
      </c>
      <c r="D33" s="19">
        <f t="shared" si="2"/>
        <v>3</v>
      </c>
      <c r="E33" s="19">
        <f t="shared" si="2"/>
        <v>45</v>
      </c>
      <c r="F33" s="19">
        <f t="shared" si="2"/>
        <v>60</v>
      </c>
    </row>
    <row r="34" spans="1:6">
      <c r="A34" s="24" t="str">
        <f t="shared" si="0"/>
        <v>10040_1-4</v>
      </c>
      <c r="B34" s="19">
        <f t="shared" si="2"/>
        <v>10040</v>
      </c>
      <c r="C34" s="19">
        <f t="shared" si="2"/>
        <v>1</v>
      </c>
      <c r="D34" s="19">
        <f t="shared" si="2"/>
        <v>4</v>
      </c>
      <c r="E34" s="19">
        <f t="shared" si="2"/>
        <v>30</v>
      </c>
      <c r="F34" s="19">
        <f t="shared" si="2"/>
        <v>60</v>
      </c>
    </row>
    <row r="35" spans="1:6">
      <c r="A35" s="24" t="str">
        <f t="shared" si="0"/>
        <v>10040_1-5</v>
      </c>
      <c r="B35" s="19">
        <f t="shared" si="2"/>
        <v>10040</v>
      </c>
      <c r="C35" s="19">
        <f t="shared" si="2"/>
        <v>1</v>
      </c>
      <c r="D35" s="19">
        <f t="shared" si="2"/>
        <v>5</v>
      </c>
      <c r="E35" s="19">
        <f t="shared" si="2"/>
        <v>60</v>
      </c>
      <c r="F35" s="19">
        <f t="shared" si="2"/>
        <v>60</v>
      </c>
    </row>
    <row r="36" spans="1:6">
      <c r="A36" s="24" t="str">
        <f t="shared" si="0"/>
        <v>10045_1-1</v>
      </c>
      <c r="B36" s="19">
        <f t="shared" si="2"/>
        <v>10045</v>
      </c>
      <c r="C36" s="19">
        <f t="shared" si="2"/>
        <v>1</v>
      </c>
      <c r="D36" s="19">
        <f t="shared" si="2"/>
        <v>1</v>
      </c>
      <c r="E36" s="19">
        <f t="shared" si="2"/>
        <v>15</v>
      </c>
      <c r="F36" s="19">
        <f t="shared" si="2"/>
        <v>30</v>
      </c>
    </row>
    <row r="37" spans="1:6">
      <c r="A37" s="24" t="str">
        <f t="shared" si="0"/>
        <v>10045_1-2</v>
      </c>
      <c r="B37" s="19">
        <f t="shared" si="2"/>
        <v>10045</v>
      </c>
      <c r="C37" s="19">
        <f t="shared" si="2"/>
        <v>1</v>
      </c>
      <c r="D37" s="19">
        <f t="shared" si="2"/>
        <v>2</v>
      </c>
      <c r="E37" s="19">
        <f t="shared" si="2"/>
        <v>30</v>
      </c>
      <c r="F37" s="19">
        <f t="shared" si="2"/>
        <v>45</v>
      </c>
    </row>
    <row r="38" spans="1:6">
      <c r="A38" s="24" t="str">
        <f t="shared" si="0"/>
        <v>10045_1-3</v>
      </c>
      <c r="B38" s="19">
        <f t="shared" si="2"/>
        <v>10045</v>
      </c>
      <c r="C38" s="19">
        <f t="shared" si="2"/>
        <v>1</v>
      </c>
      <c r="D38" s="19">
        <f t="shared" si="2"/>
        <v>3</v>
      </c>
      <c r="E38" s="19">
        <f t="shared" si="2"/>
        <v>45</v>
      </c>
      <c r="F38" s="19">
        <f t="shared" si="2"/>
        <v>60</v>
      </c>
    </row>
    <row r="39" spans="1:6">
      <c r="A39" s="24" t="str">
        <f t="shared" si="0"/>
        <v>10045_1-4</v>
      </c>
      <c r="B39" s="19">
        <f t="shared" si="2"/>
        <v>10045</v>
      </c>
      <c r="C39" s="19">
        <f t="shared" si="2"/>
        <v>1</v>
      </c>
      <c r="D39" s="19">
        <f t="shared" si="2"/>
        <v>4</v>
      </c>
      <c r="E39" s="19">
        <f t="shared" si="2"/>
        <v>30</v>
      </c>
      <c r="F39" s="19">
        <f t="shared" si="2"/>
        <v>60</v>
      </c>
    </row>
    <row r="40" spans="1:6">
      <c r="A40" s="24" t="str">
        <f t="shared" si="0"/>
        <v>10045_1-5</v>
      </c>
      <c r="B40" s="19">
        <f t="shared" si="2"/>
        <v>10045</v>
      </c>
      <c r="C40" s="19">
        <f t="shared" si="2"/>
        <v>1</v>
      </c>
      <c r="D40" s="19">
        <f t="shared" si="2"/>
        <v>5</v>
      </c>
      <c r="E40" s="19">
        <f t="shared" si="2"/>
        <v>60</v>
      </c>
      <c r="F40" s="19">
        <f t="shared" si="2"/>
        <v>60</v>
      </c>
    </row>
    <row r="41" spans="1:6">
      <c r="A41" s="24" t="str">
        <f t="shared" si="0"/>
        <v>10050_1-1</v>
      </c>
      <c r="B41" s="19">
        <f t="shared" si="2"/>
        <v>10050</v>
      </c>
      <c r="C41" s="19">
        <f t="shared" si="2"/>
        <v>1</v>
      </c>
      <c r="D41" s="19">
        <f t="shared" si="2"/>
        <v>1</v>
      </c>
      <c r="E41" s="19">
        <f t="shared" si="2"/>
        <v>15</v>
      </c>
      <c r="F41" s="19">
        <f t="shared" si="2"/>
        <v>30</v>
      </c>
    </row>
    <row r="42" spans="1:6">
      <c r="A42" s="24" t="str">
        <f t="shared" si="0"/>
        <v>10050_1-2</v>
      </c>
      <c r="B42" s="19">
        <f t="shared" si="2"/>
        <v>10050</v>
      </c>
      <c r="C42" s="19">
        <f t="shared" si="2"/>
        <v>1</v>
      </c>
      <c r="D42" s="19">
        <f t="shared" si="2"/>
        <v>2</v>
      </c>
      <c r="E42" s="19">
        <f t="shared" si="2"/>
        <v>30</v>
      </c>
      <c r="F42" s="19">
        <f t="shared" si="2"/>
        <v>45</v>
      </c>
    </row>
    <row r="43" spans="1:6">
      <c r="A43" s="24" t="str">
        <f t="shared" si="0"/>
        <v>10050_1-3</v>
      </c>
      <c r="B43" s="19">
        <f t="shared" si="2"/>
        <v>10050</v>
      </c>
      <c r="C43" s="19">
        <f t="shared" si="2"/>
        <v>1</v>
      </c>
      <c r="D43" s="19">
        <f t="shared" si="2"/>
        <v>3</v>
      </c>
      <c r="E43" s="19">
        <f t="shared" si="2"/>
        <v>45</v>
      </c>
      <c r="F43" s="19">
        <f t="shared" si="2"/>
        <v>60</v>
      </c>
    </row>
    <row r="44" spans="1:6">
      <c r="A44" s="24" t="str">
        <f t="shared" si="0"/>
        <v>10050_1-4</v>
      </c>
      <c r="B44" s="19">
        <f t="shared" si="2"/>
        <v>10050</v>
      </c>
      <c r="C44" s="19">
        <f t="shared" si="2"/>
        <v>1</v>
      </c>
      <c r="D44" s="19">
        <f t="shared" si="2"/>
        <v>4</v>
      </c>
      <c r="E44" s="19">
        <f t="shared" si="2"/>
        <v>30</v>
      </c>
      <c r="F44" s="19">
        <f t="shared" si="2"/>
        <v>60</v>
      </c>
    </row>
    <row r="45" spans="1:6">
      <c r="A45" s="24" t="str">
        <f t="shared" si="0"/>
        <v>10050_1-5</v>
      </c>
      <c r="B45" s="19">
        <f t="shared" si="2"/>
        <v>10050</v>
      </c>
      <c r="C45" s="19">
        <f t="shared" si="2"/>
        <v>1</v>
      </c>
      <c r="D45" s="19">
        <f t="shared" si="2"/>
        <v>5</v>
      </c>
      <c r="E45" s="19">
        <f t="shared" si="2"/>
        <v>60</v>
      </c>
      <c r="F45" s="19">
        <f t="shared" si="2"/>
        <v>60</v>
      </c>
    </row>
    <row r="46" spans="1:6">
      <c r="A46" s="24" t="str">
        <f t="shared" si="0"/>
        <v>10055_1-1</v>
      </c>
      <c r="B46" s="19">
        <f t="shared" si="2"/>
        <v>10055</v>
      </c>
      <c r="C46" s="19">
        <f t="shared" si="2"/>
        <v>1</v>
      </c>
      <c r="D46" s="19">
        <f t="shared" si="2"/>
        <v>1</v>
      </c>
      <c r="E46" s="19">
        <f t="shared" si="2"/>
        <v>30</v>
      </c>
      <c r="F46" s="19">
        <f t="shared" si="2"/>
        <v>30</v>
      </c>
    </row>
    <row r="47" spans="1:6">
      <c r="A47" s="24" t="str">
        <f t="shared" si="0"/>
        <v>10055_1-2</v>
      </c>
      <c r="B47" s="19">
        <f t="shared" si="2"/>
        <v>10055</v>
      </c>
      <c r="C47" s="19">
        <f t="shared" si="2"/>
        <v>1</v>
      </c>
      <c r="D47" s="19">
        <f t="shared" si="2"/>
        <v>2</v>
      </c>
      <c r="E47" s="19">
        <f t="shared" si="2"/>
        <v>30</v>
      </c>
      <c r="F47" s="19">
        <f t="shared" si="2"/>
        <v>45</v>
      </c>
    </row>
    <row r="48" spans="1:6">
      <c r="A48" s="24" t="str">
        <f t="shared" si="0"/>
        <v>10055_1-3</v>
      </c>
      <c r="B48" s="19">
        <f t="shared" si="2"/>
        <v>10055</v>
      </c>
      <c r="C48" s="19">
        <f t="shared" si="2"/>
        <v>1</v>
      </c>
      <c r="D48" s="19">
        <f t="shared" si="2"/>
        <v>3</v>
      </c>
      <c r="E48" s="19">
        <f t="shared" si="2"/>
        <v>60</v>
      </c>
      <c r="F48" s="19">
        <f t="shared" si="2"/>
        <v>60</v>
      </c>
    </row>
    <row r="49" spans="1:6">
      <c r="A49" s="24" t="str">
        <f t="shared" si="0"/>
        <v>10055_1-4</v>
      </c>
      <c r="B49" s="19">
        <f t="shared" si="2"/>
        <v>10055</v>
      </c>
      <c r="C49" s="19">
        <f t="shared" si="2"/>
        <v>1</v>
      </c>
      <c r="D49" s="19">
        <f t="shared" si="2"/>
        <v>4</v>
      </c>
      <c r="E49" s="19">
        <f t="shared" si="2"/>
        <v>45</v>
      </c>
      <c r="F49" s="19">
        <f t="shared" si="2"/>
        <v>60</v>
      </c>
    </row>
    <row r="50" spans="1:6">
      <c r="A50" s="24" t="str">
        <f t="shared" si="0"/>
        <v>10055_1-5</v>
      </c>
      <c r="B50" s="19">
        <f t="shared" si="2"/>
        <v>10055</v>
      </c>
      <c r="C50" s="19">
        <f t="shared" si="2"/>
        <v>1</v>
      </c>
      <c r="D50" s="19">
        <f t="shared" si="2"/>
        <v>5</v>
      </c>
      <c r="E50" s="19">
        <f t="shared" si="2"/>
        <v>60</v>
      </c>
      <c r="F50" s="19">
        <f t="shared" si="2"/>
        <v>60</v>
      </c>
    </row>
    <row r="51" spans="1:6">
      <c r="A51" s="24" t="str">
        <f t="shared" si="0"/>
        <v>10060_1-1</v>
      </c>
      <c r="B51" s="19">
        <f t="shared" si="2"/>
        <v>10060</v>
      </c>
      <c r="C51" s="19">
        <f t="shared" si="2"/>
        <v>1</v>
      </c>
      <c r="D51" s="19">
        <f t="shared" si="2"/>
        <v>1</v>
      </c>
      <c r="E51" s="19">
        <f t="shared" si="2"/>
        <v>30</v>
      </c>
      <c r="F51" s="19">
        <f t="shared" si="2"/>
        <v>30</v>
      </c>
    </row>
    <row r="52" spans="1:6">
      <c r="A52" s="24" t="str">
        <f t="shared" si="0"/>
        <v>10060_1-2</v>
      </c>
      <c r="B52" s="19">
        <f t="shared" si="2"/>
        <v>10060</v>
      </c>
      <c r="C52" s="19">
        <f t="shared" si="2"/>
        <v>1</v>
      </c>
      <c r="D52" s="19">
        <f t="shared" si="2"/>
        <v>2</v>
      </c>
      <c r="E52" s="19">
        <f t="shared" si="2"/>
        <v>30</v>
      </c>
      <c r="F52" s="19">
        <f t="shared" si="2"/>
        <v>45</v>
      </c>
    </row>
    <row r="53" spans="1:6">
      <c r="A53" s="24" t="str">
        <f t="shared" si="0"/>
        <v>10060_1-3</v>
      </c>
      <c r="B53" s="19">
        <f t="shared" si="2"/>
        <v>10060</v>
      </c>
      <c r="C53" s="19">
        <f t="shared" si="2"/>
        <v>1</v>
      </c>
      <c r="D53" s="19">
        <f t="shared" si="2"/>
        <v>3</v>
      </c>
      <c r="E53" s="19">
        <f t="shared" si="2"/>
        <v>45</v>
      </c>
      <c r="F53" s="19">
        <f t="shared" si="2"/>
        <v>60</v>
      </c>
    </row>
    <row r="54" spans="1:6">
      <c r="A54" s="24" t="str">
        <f t="shared" si="0"/>
        <v>10060_1-4</v>
      </c>
      <c r="B54" s="19">
        <f t="shared" si="2"/>
        <v>10060</v>
      </c>
      <c r="C54" s="19">
        <f t="shared" si="2"/>
        <v>1</v>
      </c>
      <c r="D54" s="19">
        <f t="shared" si="2"/>
        <v>4</v>
      </c>
      <c r="E54" s="19">
        <f t="shared" si="2"/>
        <v>60</v>
      </c>
      <c r="F54" s="19">
        <f t="shared" si="2"/>
        <v>60</v>
      </c>
    </row>
    <row r="55" spans="1:6">
      <c r="A55" s="24" t="str">
        <f t="shared" si="0"/>
        <v>10060_1-5</v>
      </c>
      <c r="B55" s="19">
        <f t="shared" si="2"/>
        <v>10060</v>
      </c>
      <c r="C55" s="19">
        <f t="shared" si="2"/>
        <v>1</v>
      </c>
      <c r="D55" s="19">
        <f t="shared" si="2"/>
        <v>5</v>
      </c>
      <c r="E55" s="19">
        <f t="shared" si="2"/>
        <v>60</v>
      </c>
      <c r="F55" s="19">
        <f t="shared" si="2"/>
        <v>60</v>
      </c>
    </row>
    <row r="56" spans="1:6">
      <c r="A56" s="24" t="str">
        <f t="shared" si="0"/>
        <v>10065_1-1</v>
      </c>
      <c r="B56" s="19">
        <f t="shared" si="2"/>
        <v>10065</v>
      </c>
      <c r="C56" s="19">
        <f t="shared" si="2"/>
        <v>1</v>
      </c>
      <c r="D56" s="19">
        <f t="shared" si="2"/>
        <v>1</v>
      </c>
      <c r="E56" s="19">
        <f t="shared" si="2"/>
        <v>30</v>
      </c>
      <c r="F56" s="19">
        <f t="shared" si="2"/>
        <v>30</v>
      </c>
    </row>
    <row r="57" spans="1:6">
      <c r="A57" s="24" t="str">
        <f t="shared" si="0"/>
        <v>10065_1-2</v>
      </c>
      <c r="B57" s="19">
        <f t="shared" si="2"/>
        <v>10065</v>
      </c>
      <c r="C57" s="19">
        <f t="shared" si="2"/>
        <v>1</v>
      </c>
      <c r="D57" s="19">
        <f t="shared" si="2"/>
        <v>2</v>
      </c>
      <c r="E57" s="19">
        <f t="shared" si="2"/>
        <v>45</v>
      </c>
      <c r="F57" s="19">
        <f t="shared" si="2"/>
        <v>45</v>
      </c>
    </row>
    <row r="58" spans="1:6">
      <c r="A58" s="24" t="str">
        <f t="shared" si="0"/>
        <v>10065_1-3</v>
      </c>
      <c r="B58" s="19">
        <f t="shared" si="2"/>
        <v>10065</v>
      </c>
      <c r="C58" s="19">
        <f t="shared" si="2"/>
        <v>1</v>
      </c>
      <c r="D58" s="19">
        <f t="shared" si="2"/>
        <v>3</v>
      </c>
      <c r="E58" s="19">
        <f t="shared" si="2"/>
        <v>60</v>
      </c>
      <c r="F58" s="19">
        <f t="shared" si="2"/>
        <v>60</v>
      </c>
    </row>
    <row r="59" spans="1:6">
      <c r="A59" s="24" t="str">
        <f t="shared" si="0"/>
        <v>10065_1-4</v>
      </c>
      <c r="B59" s="19">
        <f t="shared" si="2"/>
        <v>10065</v>
      </c>
      <c r="C59" s="19">
        <f t="shared" si="2"/>
        <v>1</v>
      </c>
      <c r="D59" s="19">
        <f t="shared" si="2"/>
        <v>4</v>
      </c>
      <c r="E59" s="19">
        <f t="shared" si="2"/>
        <v>60</v>
      </c>
      <c r="F59" s="19">
        <f t="shared" si="2"/>
        <v>60</v>
      </c>
    </row>
    <row r="60" spans="1:6">
      <c r="A60" s="24" t="str">
        <f t="shared" si="0"/>
        <v>10065_1-5</v>
      </c>
      <c r="B60" s="19">
        <f t="shared" si="2"/>
        <v>10065</v>
      </c>
      <c r="C60" s="19">
        <f t="shared" si="2"/>
        <v>1</v>
      </c>
      <c r="D60" s="19">
        <f t="shared" si="2"/>
        <v>5</v>
      </c>
      <c r="E60" s="19">
        <f t="shared" si="2"/>
        <v>60</v>
      </c>
      <c r="F60" s="19">
        <f t="shared" si="2"/>
        <v>60</v>
      </c>
    </row>
    <row r="61" spans="1:6">
      <c r="A61"/>
    </row>
    <row r="62" spans="1:6">
      <c r="A62"/>
    </row>
    <row r="63" spans="1:6">
      <c r="A63"/>
    </row>
    <row r="64" spans="1:6">
      <c r="A64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143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Q14" sqref="Q14"/>
    </sheetView>
  </sheetViews>
  <sheetFormatPr baseColWidth="12" defaultColWidth="13" defaultRowHeight="18" x14ac:dyDescent="0"/>
  <cols>
    <col min="1" max="1" width="13" style="23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16" customFormat="1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SUBSTITUTE(RIGHT(CELL("filename",$C$1),LEN(CELL("filename",$C$1))-FIND("]",CELL("filename",$C$1))),".tmp","")</f>
        <v>enemy_habitats_rank_quests</v>
      </c>
      <c r="G1" s="42"/>
      <c r="H1" s="42"/>
      <c r="I1" s="42"/>
    </row>
    <row r="2" spans="1:23" s="18" customFormat="1">
      <c r="A2" s="23" t="s">
        <v>29</v>
      </c>
      <c r="B2" s="18" t="s">
        <v>0</v>
      </c>
      <c r="C2" s="18" t="s">
        <v>1</v>
      </c>
      <c r="D2" s="18" t="s">
        <v>12</v>
      </c>
      <c r="E2" s="18" t="s">
        <v>2</v>
      </c>
      <c r="F2" s="18" t="s">
        <v>3</v>
      </c>
      <c r="G2" s="18" t="s">
        <v>55</v>
      </c>
      <c r="H2" s="18" t="s">
        <v>56</v>
      </c>
      <c r="I2" s="18" t="s">
        <v>57</v>
      </c>
      <c r="J2" s="18" t="s">
        <v>21</v>
      </c>
      <c r="K2" s="18" t="s">
        <v>5</v>
      </c>
      <c r="L2" s="18" t="s">
        <v>6</v>
      </c>
      <c r="M2" s="18" t="s">
        <v>7</v>
      </c>
      <c r="N2" s="18" t="s">
        <v>8</v>
      </c>
      <c r="O2" s="18" t="s">
        <v>49</v>
      </c>
      <c r="P2" s="18" t="s">
        <v>10</v>
      </c>
      <c r="Q2" s="18" t="s">
        <v>11</v>
      </c>
      <c r="R2" s="18" t="s">
        <v>48</v>
      </c>
      <c r="S2" s="18" t="s">
        <v>38</v>
      </c>
      <c r="T2" s="18" t="s">
        <v>40</v>
      </c>
      <c r="U2" s="18" t="s">
        <v>42</v>
      </c>
      <c r="V2" s="18" t="s">
        <v>44</v>
      </c>
      <c r="W2" s="18" t="s">
        <v>46</v>
      </c>
    </row>
    <row r="3" spans="1:23">
      <c r="A3" s="24" t="str">
        <f>INDIRECT(ADDRESS(ROW()+$A$1,COLUMN(),1,TRUE,$C$1))</f>
        <v>10008_1-1/79&lt;lv5&gt;</v>
      </c>
      <c r="B3" s="19">
        <f t="shared" ref="B3:W16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10008</v>
      </c>
      <c r="C3" s="19">
        <f t="shared" si="0"/>
        <v>1</v>
      </c>
      <c r="D3" s="19">
        <f t="shared" si="0"/>
        <v>1</v>
      </c>
      <c r="E3" s="19">
        <f t="shared" si="0"/>
        <v>79</v>
      </c>
      <c r="F3" s="19">
        <f t="shared" si="0"/>
        <v>5</v>
      </c>
      <c r="G3" s="19">
        <f t="shared" ref="G3:I18" si="1">VLOOKUP($A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3" s="19">
        <f t="shared" si="1"/>
        <v>1</v>
      </c>
      <c r="I3" s="19">
        <f t="shared" si="1"/>
        <v>0</v>
      </c>
      <c r="J3" s="19">
        <f t="shared" si="0"/>
        <v>79</v>
      </c>
      <c r="K3" s="19">
        <f t="shared" si="0"/>
        <v>1</v>
      </c>
      <c r="L3" s="19">
        <f t="shared" si="0"/>
        <v>100</v>
      </c>
      <c r="M3" s="19">
        <f t="shared" si="0"/>
        <v>1</v>
      </c>
      <c r="N3" s="19">
        <f t="shared" si="0"/>
        <v>2</v>
      </c>
      <c r="O3" s="19">
        <f t="shared" si="0"/>
        <v>79</v>
      </c>
      <c r="P3" s="19">
        <f t="shared" si="0"/>
        <v>1</v>
      </c>
      <c r="Q3" s="19">
        <f t="shared" si="0"/>
        <v>3</v>
      </c>
      <c r="R3" s="19">
        <f t="shared" si="0"/>
        <v>0</v>
      </c>
      <c r="S3" s="19">
        <f t="shared" si="0"/>
        <v>0</v>
      </c>
      <c r="T3" s="19">
        <f t="shared" si="0"/>
        <v>0</v>
      </c>
      <c r="U3" s="19">
        <f t="shared" si="0"/>
        <v>0</v>
      </c>
      <c r="V3" s="19">
        <f t="shared" si="0"/>
        <v>0</v>
      </c>
      <c r="W3" s="19">
        <f t="shared" si="0"/>
        <v>1</v>
      </c>
    </row>
    <row r="4" spans="1:23">
      <c r="A4" s="24" t="str">
        <f t="shared" ref="A4:A67" si="2">INDIRECT(ADDRESS(ROW()+$A$1,COLUMN(),1,TRUE,$C$1))</f>
        <v>10010_1-1/7&lt;lv8&gt;</v>
      </c>
      <c r="B4" s="19">
        <f t="shared" si="0"/>
        <v>10010</v>
      </c>
      <c r="C4" s="19">
        <f t="shared" si="0"/>
        <v>1</v>
      </c>
      <c r="D4" s="19">
        <f t="shared" si="0"/>
        <v>1</v>
      </c>
      <c r="E4" s="19">
        <f t="shared" si="0"/>
        <v>7</v>
      </c>
      <c r="F4" s="19">
        <f t="shared" si="0"/>
        <v>8</v>
      </c>
      <c r="G4" s="19">
        <f t="shared" si="1"/>
        <v>1</v>
      </c>
      <c r="H4" s="19">
        <f t="shared" si="1"/>
        <v>1</v>
      </c>
      <c r="I4" s="19">
        <f t="shared" si="1"/>
        <v>0</v>
      </c>
      <c r="J4" s="19">
        <f t="shared" si="0"/>
        <v>0</v>
      </c>
      <c r="K4" s="19">
        <f t="shared" si="0"/>
        <v>0</v>
      </c>
      <c r="L4" s="19">
        <f t="shared" si="0"/>
        <v>100</v>
      </c>
      <c r="M4" s="19">
        <f t="shared" si="0"/>
        <v>0</v>
      </c>
      <c r="N4" s="19">
        <f t="shared" si="0"/>
        <v>2</v>
      </c>
      <c r="O4" s="19">
        <f t="shared" si="0"/>
        <v>7</v>
      </c>
      <c r="P4" s="19">
        <f t="shared" si="0"/>
        <v>1</v>
      </c>
      <c r="Q4" s="19">
        <f t="shared" si="0"/>
        <v>1</v>
      </c>
      <c r="R4" s="19">
        <f t="shared" si="0"/>
        <v>25</v>
      </c>
      <c r="S4" s="19">
        <f t="shared" si="0"/>
        <v>0</v>
      </c>
      <c r="T4" s="19">
        <f t="shared" si="0"/>
        <v>0</v>
      </c>
      <c r="U4" s="19">
        <f t="shared" si="0"/>
        <v>0</v>
      </c>
      <c r="V4" s="19">
        <f t="shared" si="0"/>
        <v>0</v>
      </c>
      <c r="W4" s="19">
        <f t="shared" si="0"/>
        <v>1</v>
      </c>
    </row>
    <row r="5" spans="1:23">
      <c r="A5" s="24" t="str">
        <f t="shared" si="2"/>
        <v>10010_1-1/13&lt;lv8&gt;</v>
      </c>
      <c r="B5" s="19">
        <f t="shared" si="0"/>
        <v>10010</v>
      </c>
      <c r="C5" s="19">
        <f t="shared" si="0"/>
        <v>1</v>
      </c>
      <c r="D5" s="19">
        <f t="shared" si="0"/>
        <v>1</v>
      </c>
      <c r="E5" s="19">
        <f t="shared" si="0"/>
        <v>13</v>
      </c>
      <c r="F5" s="19">
        <f t="shared" si="0"/>
        <v>8</v>
      </c>
      <c r="G5" s="19">
        <f t="shared" si="1"/>
        <v>1</v>
      </c>
      <c r="H5" s="19">
        <f t="shared" si="1"/>
        <v>1</v>
      </c>
      <c r="I5" s="19">
        <f t="shared" si="1"/>
        <v>0</v>
      </c>
      <c r="J5" s="19">
        <f t="shared" si="0"/>
        <v>0</v>
      </c>
      <c r="K5" s="19">
        <f t="shared" si="0"/>
        <v>0</v>
      </c>
      <c r="L5" s="19">
        <f t="shared" si="0"/>
        <v>100</v>
      </c>
      <c r="M5" s="19">
        <f t="shared" si="0"/>
        <v>0</v>
      </c>
      <c r="N5" s="19">
        <f t="shared" si="0"/>
        <v>2</v>
      </c>
      <c r="O5" s="19">
        <f t="shared" si="0"/>
        <v>13</v>
      </c>
      <c r="P5" s="19">
        <f t="shared" si="0"/>
        <v>1</v>
      </c>
      <c r="Q5" s="19">
        <f t="shared" si="0"/>
        <v>1</v>
      </c>
      <c r="R5" s="19">
        <f t="shared" si="0"/>
        <v>25</v>
      </c>
      <c r="S5" s="19">
        <f t="shared" si="0"/>
        <v>0</v>
      </c>
      <c r="T5" s="19">
        <f t="shared" si="0"/>
        <v>0</v>
      </c>
      <c r="U5" s="19">
        <f t="shared" si="0"/>
        <v>0</v>
      </c>
      <c r="V5" s="19">
        <f t="shared" si="0"/>
        <v>0</v>
      </c>
      <c r="W5" s="19">
        <f t="shared" si="0"/>
        <v>1</v>
      </c>
    </row>
    <row r="6" spans="1:23">
      <c r="A6" s="24" t="str">
        <f t="shared" si="2"/>
        <v>10010_1-1/19&lt;lv8&gt;</v>
      </c>
      <c r="B6" s="19">
        <f t="shared" si="0"/>
        <v>10010</v>
      </c>
      <c r="C6" s="19">
        <f t="shared" si="0"/>
        <v>1</v>
      </c>
      <c r="D6" s="19">
        <f t="shared" si="0"/>
        <v>1</v>
      </c>
      <c r="E6" s="19">
        <f t="shared" si="0"/>
        <v>19</v>
      </c>
      <c r="F6" s="19">
        <f t="shared" si="0"/>
        <v>8</v>
      </c>
      <c r="G6" s="19">
        <f t="shared" si="1"/>
        <v>1</v>
      </c>
      <c r="H6" s="19">
        <f t="shared" si="1"/>
        <v>1</v>
      </c>
      <c r="I6" s="19">
        <f t="shared" si="1"/>
        <v>0</v>
      </c>
      <c r="J6" s="19">
        <f t="shared" si="0"/>
        <v>0</v>
      </c>
      <c r="K6" s="19">
        <f t="shared" si="0"/>
        <v>0</v>
      </c>
      <c r="L6" s="19">
        <f t="shared" si="0"/>
        <v>100</v>
      </c>
      <c r="M6" s="19">
        <f t="shared" si="0"/>
        <v>0</v>
      </c>
      <c r="N6" s="19">
        <f t="shared" si="0"/>
        <v>3</v>
      </c>
      <c r="O6" s="19">
        <f t="shared" si="0"/>
        <v>19</v>
      </c>
      <c r="P6" s="19">
        <f t="shared" si="0"/>
        <v>1</v>
      </c>
      <c r="Q6" s="19">
        <f t="shared" si="0"/>
        <v>1</v>
      </c>
      <c r="R6" s="19">
        <f t="shared" si="0"/>
        <v>25</v>
      </c>
      <c r="S6" s="19">
        <f t="shared" si="0"/>
        <v>0</v>
      </c>
      <c r="T6" s="19">
        <f t="shared" si="0"/>
        <v>0</v>
      </c>
      <c r="U6" s="19">
        <f t="shared" si="0"/>
        <v>0</v>
      </c>
      <c r="V6" s="19">
        <f t="shared" si="0"/>
        <v>0</v>
      </c>
      <c r="W6" s="19">
        <f t="shared" si="0"/>
        <v>1</v>
      </c>
    </row>
    <row r="7" spans="1:23">
      <c r="A7" s="24" t="str">
        <f t="shared" si="2"/>
        <v>10010_1-2/7&lt;lv8&gt;</v>
      </c>
      <c r="B7" s="19">
        <f t="shared" si="0"/>
        <v>10010</v>
      </c>
      <c r="C7" s="19">
        <f t="shared" si="0"/>
        <v>1</v>
      </c>
      <c r="D7" s="19">
        <f t="shared" si="0"/>
        <v>2</v>
      </c>
      <c r="E7" s="19">
        <f t="shared" si="0"/>
        <v>7</v>
      </c>
      <c r="F7" s="19">
        <f t="shared" si="0"/>
        <v>8</v>
      </c>
      <c r="G7" s="19">
        <f t="shared" si="1"/>
        <v>1</v>
      </c>
      <c r="H7" s="19">
        <f t="shared" si="1"/>
        <v>1</v>
      </c>
      <c r="I7" s="19">
        <f t="shared" si="1"/>
        <v>0</v>
      </c>
      <c r="J7" s="19">
        <f t="shared" si="0"/>
        <v>0</v>
      </c>
      <c r="K7" s="19">
        <f t="shared" si="0"/>
        <v>0</v>
      </c>
      <c r="L7" s="19">
        <f t="shared" si="0"/>
        <v>100</v>
      </c>
      <c r="M7" s="19">
        <f t="shared" si="0"/>
        <v>0</v>
      </c>
      <c r="N7" s="19">
        <f t="shared" si="0"/>
        <v>2</v>
      </c>
      <c r="O7" s="19">
        <f t="shared" si="0"/>
        <v>7</v>
      </c>
      <c r="P7" s="19">
        <f t="shared" si="0"/>
        <v>1</v>
      </c>
      <c r="Q7" s="19">
        <f t="shared" si="0"/>
        <v>1</v>
      </c>
      <c r="R7" s="19">
        <f t="shared" si="0"/>
        <v>25</v>
      </c>
      <c r="S7" s="19">
        <f t="shared" si="0"/>
        <v>0</v>
      </c>
      <c r="T7" s="19">
        <f t="shared" si="0"/>
        <v>0</v>
      </c>
      <c r="U7" s="19">
        <f t="shared" si="0"/>
        <v>0</v>
      </c>
      <c r="V7" s="19">
        <f t="shared" si="0"/>
        <v>0</v>
      </c>
      <c r="W7" s="19">
        <f t="shared" si="0"/>
        <v>1</v>
      </c>
    </row>
    <row r="8" spans="1:23">
      <c r="A8" s="24" t="str">
        <f t="shared" si="2"/>
        <v>10010_1-2/13&lt;lv8&gt;</v>
      </c>
      <c r="B8" s="19">
        <f t="shared" si="0"/>
        <v>10010</v>
      </c>
      <c r="C8" s="19">
        <f t="shared" si="0"/>
        <v>1</v>
      </c>
      <c r="D8" s="19">
        <f t="shared" si="0"/>
        <v>2</v>
      </c>
      <c r="E8" s="19">
        <f t="shared" si="0"/>
        <v>13</v>
      </c>
      <c r="F8" s="19">
        <f t="shared" si="0"/>
        <v>8</v>
      </c>
      <c r="G8" s="19">
        <f t="shared" si="1"/>
        <v>1</v>
      </c>
      <c r="H8" s="19">
        <f t="shared" si="1"/>
        <v>1</v>
      </c>
      <c r="I8" s="19">
        <f t="shared" si="1"/>
        <v>0</v>
      </c>
      <c r="J8" s="19">
        <f t="shared" si="0"/>
        <v>0</v>
      </c>
      <c r="K8" s="19">
        <f t="shared" si="0"/>
        <v>0</v>
      </c>
      <c r="L8" s="19">
        <f t="shared" si="0"/>
        <v>100</v>
      </c>
      <c r="M8" s="19">
        <f t="shared" si="0"/>
        <v>0</v>
      </c>
      <c r="N8" s="19">
        <f t="shared" si="0"/>
        <v>2</v>
      </c>
      <c r="O8" s="19">
        <f t="shared" si="0"/>
        <v>13</v>
      </c>
      <c r="P8" s="19">
        <f t="shared" si="0"/>
        <v>1</v>
      </c>
      <c r="Q8" s="19">
        <f t="shared" si="0"/>
        <v>1</v>
      </c>
      <c r="R8" s="19">
        <f t="shared" si="0"/>
        <v>25</v>
      </c>
      <c r="S8" s="19">
        <f t="shared" si="0"/>
        <v>0</v>
      </c>
      <c r="T8" s="19">
        <f t="shared" si="0"/>
        <v>0</v>
      </c>
      <c r="U8" s="19">
        <f t="shared" si="0"/>
        <v>0</v>
      </c>
      <c r="V8" s="19">
        <f t="shared" si="0"/>
        <v>0</v>
      </c>
      <c r="W8" s="19">
        <f t="shared" si="0"/>
        <v>1</v>
      </c>
    </row>
    <row r="9" spans="1:23">
      <c r="A9" s="24" t="str">
        <f t="shared" si="2"/>
        <v>10010_1-2/19&lt;lv8&gt;</v>
      </c>
      <c r="B9" s="19">
        <f t="shared" si="0"/>
        <v>10010</v>
      </c>
      <c r="C9" s="19">
        <f t="shared" si="0"/>
        <v>1</v>
      </c>
      <c r="D9" s="19">
        <f t="shared" si="0"/>
        <v>2</v>
      </c>
      <c r="E9" s="19">
        <f t="shared" si="0"/>
        <v>19</v>
      </c>
      <c r="F9" s="19">
        <f t="shared" si="0"/>
        <v>8</v>
      </c>
      <c r="G9" s="19">
        <f t="shared" si="1"/>
        <v>1</v>
      </c>
      <c r="H9" s="19">
        <f t="shared" si="1"/>
        <v>1</v>
      </c>
      <c r="I9" s="19">
        <f t="shared" si="1"/>
        <v>0</v>
      </c>
      <c r="J9" s="19">
        <f t="shared" si="0"/>
        <v>0</v>
      </c>
      <c r="K9" s="19">
        <f t="shared" si="0"/>
        <v>0</v>
      </c>
      <c r="L9" s="19">
        <f t="shared" si="0"/>
        <v>100</v>
      </c>
      <c r="M9" s="19">
        <f t="shared" si="0"/>
        <v>0</v>
      </c>
      <c r="N9" s="19">
        <f t="shared" si="0"/>
        <v>3</v>
      </c>
      <c r="O9" s="19">
        <f t="shared" si="0"/>
        <v>19</v>
      </c>
      <c r="P9" s="19">
        <f t="shared" si="0"/>
        <v>1</v>
      </c>
      <c r="Q9" s="19">
        <f t="shared" si="0"/>
        <v>1</v>
      </c>
      <c r="R9" s="19">
        <f t="shared" si="0"/>
        <v>25</v>
      </c>
      <c r="S9" s="19">
        <f t="shared" si="0"/>
        <v>0</v>
      </c>
      <c r="T9" s="19">
        <f t="shared" si="0"/>
        <v>0</v>
      </c>
      <c r="U9" s="19">
        <f t="shared" si="0"/>
        <v>0</v>
      </c>
      <c r="V9" s="19">
        <f t="shared" si="0"/>
        <v>0</v>
      </c>
      <c r="W9" s="19">
        <f t="shared" si="0"/>
        <v>1</v>
      </c>
    </row>
    <row r="10" spans="1:23">
      <c r="A10" s="24" t="str">
        <f t="shared" si="2"/>
        <v>10010_1-3/83&lt;lv15&gt;</v>
      </c>
      <c r="B10" s="19">
        <f t="shared" si="0"/>
        <v>10010</v>
      </c>
      <c r="C10" s="19">
        <f t="shared" si="0"/>
        <v>1</v>
      </c>
      <c r="D10" s="19">
        <f t="shared" si="0"/>
        <v>3</v>
      </c>
      <c r="E10" s="19">
        <f t="shared" si="0"/>
        <v>83</v>
      </c>
      <c r="F10" s="19">
        <f t="shared" si="0"/>
        <v>15</v>
      </c>
      <c r="G10" s="19">
        <f t="shared" si="1"/>
        <v>1</v>
      </c>
      <c r="H10" s="19">
        <f t="shared" si="1"/>
        <v>1</v>
      </c>
      <c r="I10" s="19">
        <f t="shared" si="1"/>
        <v>0</v>
      </c>
      <c r="J10" s="19">
        <f t="shared" si="0"/>
        <v>83</v>
      </c>
      <c r="K10" s="19">
        <f t="shared" si="0"/>
        <v>1</v>
      </c>
      <c r="L10" s="19">
        <f t="shared" si="0"/>
        <v>100</v>
      </c>
      <c r="M10" s="19">
        <f t="shared" si="0"/>
        <v>1</v>
      </c>
      <c r="N10" s="19">
        <f t="shared" si="0"/>
        <v>2</v>
      </c>
      <c r="O10" s="19">
        <f t="shared" si="0"/>
        <v>83</v>
      </c>
      <c r="P10" s="19">
        <f t="shared" si="0"/>
        <v>1</v>
      </c>
      <c r="Q10" s="19">
        <f t="shared" si="0"/>
        <v>3</v>
      </c>
      <c r="R10" s="19">
        <f t="shared" si="0"/>
        <v>0</v>
      </c>
      <c r="S10" s="19">
        <f t="shared" si="0"/>
        <v>0</v>
      </c>
      <c r="T10" s="19">
        <f t="shared" si="0"/>
        <v>0</v>
      </c>
      <c r="U10" s="19">
        <f t="shared" si="0"/>
        <v>0</v>
      </c>
      <c r="V10" s="19">
        <f t="shared" si="0"/>
        <v>0</v>
      </c>
      <c r="W10" s="19">
        <f t="shared" si="0"/>
        <v>1</v>
      </c>
    </row>
    <row r="11" spans="1:23">
      <c r="A11" s="24" t="str">
        <f t="shared" si="2"/>
        <v>10015_1-1/17&lt;lv12&gt;</v>
      </c>
      <c r="B11" s="19">
        <f t="shared" si="0"/>
        <v>10015</v>
      </c>
      <c r="C11" s="19">
        <f t="shared" si="0"/>
        <v>1</v>
      </c>
      <c r="D11" s="19">
        <f t="shared" si="0"/>
        <v>1</v>
      </c>
      <c r="E11" s="19">
        <f t="shared" si="0"/>
        <v>17</v>
      </c>
      <c r="F11" s="19">
        <f t="shared" si="0"/>
        <v>12</v>
      </c>
      <c r="G11" s="19">
        <f t="shared" si="1"/>
        <v>1</v>
      </c>
      <c r="H11" s="19">
        <f t="shared" si="1"/>
        <v>1</v>
      </c>
      <c r="I11" s="19">
        <f t="shared" si="1"/>
        <v>0</v>
      </c>
      <c r="J11" s="19">
        <f t="shared" si="0"/>
        <v>0</v>
      </c>
      <c r="K11" s="19">
        <f t="shared" si="0"/>
        <v>0</v>
      </c>
      <c r="L11" s="19">
        <f t="shared" si="0"/>
        <v>100</v>
      </c>
      <c r="M11" s="19">
        <f t="shared" si="0"/>
        <v>0</v>
      </c>
      <c r="N11" s="19">
        <f t="shared" si="0"/>
        <v>2</v>
      </c>
      <c r="O11" s="19">
        <f t="shared" si="0"/>
        <v>17</v>
      </c>
      <c r="P11" s="19">
        <f t="shared" si="0"/>
        <v>1</v>
      </c>
      <c r="Q11" s="19">
        <f t="shared" si="0"/>
        <v>1</v>
      </c>
      <c r="R11" s="19">
        <f t="shared" si="0"/>
        <v>25</v>
      </c>
      <c r="S11" s="19">
        <f t="shared" si="0"/>
        <v>0</v>
      </c>
      <c r="T11" s="19">
        <f t="shared" si="0"/>
        <v>0</v>
      </c>
      <c r="U11" s="19">
        <f t="shared" si="0"/>
        <v>0</v>
      </c>
      <c r="V11" s="19">
        <f t="shared" si="0"/>
        <v>0</v>
      </c>
      <c r="W11" s="19">
        <f t="shared" si="0"/>
        <v>1</v>
      </c>
    </row>
    <row r="12" spans="1:23">
      <c r="A12" s="24" t="str">
        <f t="shared" si="2"/>
        <v>10015_1-1/29&lt;lv12&gt;</v>
      </c>
      <c r="B12" s="19">
        <f t="shared" si="0"/>
        <v>10015</v>
      </c>
      <c r="C12" s="19">
        <f t="shared" si="0"/>
        <v>1</v>
      </c>
      <c r="D12" s="19">
        <f t="shared" si="0"/>
        <v>1</v>
      </c>
      <c r="E12" s="19">
        <f t="shared" si="0"/>
        <v>29</v>
      </c>
      <c r="F12" s="19">
        <f t="shared" si="0"/>
        <v>12</v>
      </c>
      <c r="G12" s="19">
        <f t="shared" si="1"/>
        <v>1</v>
      </c>
      <c r="H12" s="19">
        <f t="shared" si="1"/>
        <v>1</v>
      </c>
      <c r="I12" s="19">
        <f t="shared" si="1"/>
        <v>0</v>
      </c>
      <c r="J12" s="19">
        <f t="shared" si="0"/>
        <v>0</v>
      </c>
      <c r="K12" s="19">
        <f t="shared" si="0"/>
        <v>0</v>
      </c>
      <c r="L12" s="19">
        <f t="shared" si="0"/>
        <v>100</v>
      </c>
      <c r="M12" s="19">
        <f t="shared" si="0"/>
        <v>0</v>
      </c>
      <c r="N12" s="19">
        <f t="shared" si="0"/>
        <v>2</v>
      </c>
      <c r="O12" s="19">
        <f t="shared" si="0"/>
        <v>29</v>
      </c>
      <c r="P12" s="19">
        <f t="shared" si="0"/>
        <v>1</v>
      </c>
      <c r="Q12" s="19">
        <f t="shared" si="0"/>
        <v>1</v>
      </c>
      <c r="R12" s="19">
        <f t="shared" si="0"/>
        <v>25</v>
      </c>
      <c r="S12" s="19">
        <f t="shared" si="0"/>
        <v>0</v>
      </c>
      <c r="T12" s="19">
        <f t="shared" si="0"/>
        <v>0</v>
      </c>
      <c r="U12" s="19">
        <f t="shared" si="0"/>
        <v>0</v>
      </c>
      <c r="V12" s="19">
        <f t="shared" si="0"/>
        <v>0</v>
      </c>
      <c r="W12" s="19">
        <f t="shared" si="0"/>
        <v>1</v>
      </c>
    </row>
    <row r="13" spans="1:23">
      <c r="A13" s="24" t="str">
        <f t="shared" si="2"/>
        <v>10015_1-1/25&lt;lv12&gt;</v>
      </c>
      <c r="B13" s="19">
        <f t="shared" si="0"/>
        <v>10015</v>
      </c>
      <c r="C13" s="19">
        <f t="shared" si="0"/>
        <v>1</v>
      </c>
      <c r="D13" s="19">
        <f t="shared" si="0"/>
        <v>1</v>
      </c>
      <c r="E13" s="19">
        <f t="shared" si="0"/>
        <v>25</v>
      </c>
      <c r="F13" s="19">
        <f t="shared" si="0"/>
        <v>12</v>
      </c>
      <c r="G13" s="19">
        <f t="shared" si="1"/>
        <v>1</v>
      </c>
      <c r="H13" s="19">
        <f t="shared" si="1"/>
        <v>1</v>
      </c>
      <c r="I13" s="19">
        <f t="shared" si="1"/>
        <v>0</v>
      </c>
      <c r="J13" s="19">
        <f t="shared" si="0"/>
        <v>0</v>
      </c>
      <c r="K13" s="19">
        <f t="shared" si="0"/>
        <v>0</v>
      </c>
      <c r="L13" s="19">
        <f t="shared" si="0"/>
        <v>100</v>
      </c>
      <c r="M13" s="19">
        <f t="shared" si="0"/>
        <v>0</v>
      </c>
      <c r="N13" s="19">
        <f t="shared" si="0"/>
        <v>3</v>
      </c>
      <c r="O13" s="19">
        <f t="shared" si="0"/>
        <v>25</v>
      </c>
      <c r="P13" s="19">
        <f t="shared" si="0"/>
        <v>1</v>
      </c>
      <c r="Q13" s="19">
        <f t="shared" si="0"/>
        <v>1</v>
      </c>
      <c r="R13" s="19">
        <f t="shared" si="0"/>
        <v>25</v>
      </c>
      <c r="S13" s="19">
        <f t="shared" si="0"/>
        <v>0</v>
      </c>
      <c r="T13" s="19">
        <f t="shared" si="0"/>
        <v>0</v>
      </c>
      <c r="U13" s="19">
        <f t="shared" si="0"/>
        <v>0</v>
      </c>
      <c r="V13" s="19">
        <f t="shared" si="0"/>
        <v>0</v>
      </c>
      <c r="W13" s="19">
        <f t="shared" si="0"/>
        <v>1</v>
      </c>
    </row>
    <row r="14" spans="1:23">
      <c r="A14" s="24" t="str">
        <f t="shared" si="2"/>
        <v>10015_1-2/17&lt;lv12&gt;</v>
      </c>
      <c r="B14" s="19">
        <f t="shared" si="0"/>
        <v>10015</v>
      </c>
      <c r="C14" s="19">
        <f t="shared" si="0"/>
        <v>1</v>
      </c>
      <c r="D14" s="19">
        <f t="shared" si="0"/>
        <v>2</v>
      </c>
      <c r="E14" s="19">
        <f t="shared" si="0"/>
        <v>17</v>
      </c>
      <c r="F14" s="19">
        <f t="shared" si="0"/>
        <v>12</v>
      </c>
      <c r="G14" s="19">
        <f t="shared" si="1"/>
        <v>1</v>
      </c>
      <c r="H14" s="19">
        <f t="shared" si="1"/>
        <v>1</v>
      </c>
      <c r="I14" s="19">
        <f t="shared" si="1"/>
        <v>0</v>
      </c>
      <c r="J14" s="19">
        <f t="shared" si="0"/>
        <v>0</v>
      </c>
      <c r="K14" s="19">
        <f t="shared" si="0"/>
        <v>0</v>
      </c>
      <c r="L14" s="19">
        <f t="shared" si="0"/>
        <v>100</v>
      </c>
      <c r="M14" s="19">
        <f t="shared" si="0"/>
        <v>0</v>
      </c>
      <c r="N14" s="19">
        <f t="shared" si="0"/>
        <v>2</v>
      </c>
      <c r="O14" s="19">
        <f t="shared" si="0"/>
        <v>17</v>
      </c>
      <c r="P14" s="19">
        <f t="shared" si="0"/>
        <v>1</v>
      </c>
      <c r="Q14" s="19">
        <f t="shared" si="0"/>
        <v>1</v>
      </c>
      <c r="R14" s="19">
        <f t="shared" si="0"/>
        <v>25</v>
      </c>
      <c r="S14" s="19">
        <f t="shared" si="0"/>
        <v>0</v>
      </c>
      <c r="T14" s="19">
        <f t="shared" si="0"/>
        <v>0</v>
      </c>
      <c r="U14" s="19">
        <f t="shared" si="0"/>
        <v>0</v>
      </c>
      <c r="V14" s="19">
        <f t="shared" si="0"/>
        <v>0</v>
      </c>
      <c r="W14" s="19">
        <f t="shared" si="0"/>
        <v>1</v>
      </c>
    </row>
    <row r="15" spans="1:23">
      <c r="A15" s="24" t="str">
        <f t="shared" si="2"/>
        <v>10015_1-2/25&lt;lv12&gt;</v>
      </c>
      <c r="B15" s="19">
        <f t="shared" si="0"/>
        <v>10015</v>
      </c>
      <c r="C15" s="19">
        <f t="shared" si="0"/>
        <v>1</v>
      </c>
      <c r="D15" s="19">
        <f t="shared" si="0"/>
        <v>2</v>
      </c>
      <c r="E15" s="19">
        <f t="shared" si="0"/>
        <v>25</v>
      </c>
      <c r="F15" s="19">
        <f t="shared" si="0"/>
        <v>12</v>
      </c>
      <c r="G15" s="19">
        <f t="shared" si="1"/>
        <v>1</v>
      </c>
      <c r="H15" s="19">
        <f t="shared" si="1"/>
        <v>1</v>
      </c>
      <c r="I15" s="19">
        <f t="shared" si="1"/>
        <v>0</v>
      </c>
      <c r="J15" s="19">
        <f t="shared" si="0"/>
        <v>0</v>
      </c>
      <c r="K15" s="19">
        <f t="shared" si="0"/>
        <v>0</v>
      </c>
      <c r="L15" s="19">
        <f t="shared" si="0"/>
        <v>100</v>
      </c>
      <c r="M15" s="19">
        <f t="shared" si="0"/>
        <v>0</v>
      </c>
      <c r="N15" s="19">
        <f t="shared" si="0"/>
        <v>3</v>
      </c>
      <c r="O15" s="19">
        <f t="shared" si="0"/>
        <v>25</v>
      </c>
      <c r="P15" s="19">
        <f t="shared" si="0"/>
        <v>1</v>
      </c>
      <c r="Q15" s="19">
        <f t="shared" si="0"/>
        <v>1</v>
      </c>
      <c r="R15" s="19">
        <f t="shared" si="0"/>
        <v>25</v>
      </c>
      <c r="S15" s="19">
        <f t="shared" si="0"/>
        <v>0</v>
      </c>
      <c r="T15" s="19">
        <f t="shared" si="0"/>
        <v>0</v>
      </c>
      <c r="U15" s="19">
        <f t="shared" si="0"/>
        <v>0</v>
      </c>
      <c r="V15" s="19">
        <f t="shared" si="0"/>
        <v>0</v>
      </c>
      <c r="W15" s="19">
        <f t="shared" si="0"/>
        <v>1</v>
      </c>
    </row>
    <row r="16" spans="1:23">
      <c r="A16" s="24" t="str">
        <f t="shared" si="2"/>
        <v>10015_1-2/29&lt;lv12&gt;</v>
      </c>
      <c r="B16" s="19">
        <f t="shared" si="0"/>
        <v>10015</v>
      </c>
      <c r="C16" s="19">
        <f t="shared" si="0"/>
        <v>1</v>
      </c>
      <c r="D16" s="19">
        <f t="shared" si="0"/>
        <v>2</v>
      </c>
      <c r="E16" s="19">
        <f t="shared" si="0"/>
        <v>29</v>
      </c>
      <c r="F16" s="19">
        <f t="shared" si="0"/>
        <v>12</v>
      </c>
      <c r="G16" s="19">
        <f t="shared" si="1"/>
        <v>1</v>
      </c>
      <c r="H16" s="19">
        <f t="shared" si="1"/>
        <v>1</v>
      </c>
      <c r="I16" s="19">
        <f t="shared" si="1"/>
        <v>0</v>
      </c>
      <c r="J16" s="19">
        <f t="shared" si="0"/>
        <v>0</v>
      </c>
      <c r="K16" s="19">
        <f t="shared" si="0"/>
        <v>0</v>
      </c>
      <c r="L16" s="19">
        <f t="shared" si="0"/>
        <v>100</v>
      </c>
      <c r="M16" s="19">
        <f t="shared" ref="M16:W52" si="3">VLOOKUP($A16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16" s="19">
        <f t="shared" si="3"/>
        <v>2</v>
      </c>
      <c r="O16" s="19">
        <f t="shared" si="3"/>
        <v>29</v>
      </c>
      <c r="P16" s="19">
        <f t="shared" si="3"/>
        <v>1</v>
      </c>
      <c r="Q16" s="19">
        <f t="shared" si="3"/>
        <v>1</v>
      </c>
      <c r="R16" s="19">
        <f t="shared" si="3"/>
        <v>25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1</v>
      </c>
    </row>
    <row r="17" spans="1:23">
      <c r="A17" s="24" t="str">
        <f t="shared" si="2"/>
        <v>10015_1-3/25&lt;lv12&gt;</v>
      </c>
      <c r="B17" s="19">
        <f t="shared" ref="B17:Q33" si="4">VLOOKUP($A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10015</v>
      </c>
      <c r="C17" s="19">
        <f t="shared" si="4"/>
        <v>1</v>
      </c>
      <c r="D17" s="19">
        <f t="shared" si="4"/>
        <v>3</v>
      </c>
      <c r="E17" s="19">
        <f t="shared" si="4"/>
        <v>25</v>
      </c>
      <c r="F17" s="19">
        <f t="shared" si="4"/>
        <v>12</v>
      </c>
      <c r="G17" s="19">
        <f t="shared" si="1"/>
        <v>1</v>
      </c>
      <c r="H17" s="19">
        <f t="shared" si="1"/>
        <v>1</v>
      </c>
      <c r="I17" s="19">
        <f t="shared" si="1"/>
        <v>0</v>
      </c>
      <c r="J17" s="19">
        <f t="shared" si="4"/>
        <v>0</v>
      </c>
      <c r="K17" s="19">
        <f t="shared" si="4"/>
        <v>1</v>
      </c>
      <c r="L17" s="19">
        <f t="shared" si="4"/>
        <v>100</v>
      </c>
      <c r="M17" s="19">
        <f t="shared" si="4"/>
        <v>1</v>
      </c>
      <c r="N17" s="19">
        <f t="shared" si="4"/>
        <v>3</v>
      </c>
      <c r="O17" s="19">
        <f t="shared" si="4"/>
        <v>25</v>
      </c>
      <c r="P17" s="19">
        <f t="shared" si="4"/>
        <v>1</v>
      </c>
      <c r="Q17" s="19">
        <f t="shared" si="4"/>
        <v>1</v>
      </c>
      <c r="R17" s="19">
        <f t="shared" si="3"/>
        <v>25</v>
      </c>
      <c r="S17" s="19">
        <f t="shared" si="3"/>
        <v>0</v>
      </c>
      <c r="T17" s="19">
        <f t="shared" si="3"/>
        <v>0</v>
      </c>
      <c r="U17" s="19">
        <f t="shared" si="3"/>
        <v>0</v>
      </c>
      <c r="V17" s="19">
        <f t="shared" si="3"/>
        <v>0</v>
      </c>
      <c r="W17" s="19">
        <f t="shared" si="3"/>
        <v>1</v>
      </c>
    </row>
    <row r="18" spans="1:23">
      <c r="A18" s="24" t="str">
        <f t="shared" si="2"/>
        <v>10015_1-3/17&lt;lv12&gt;</v>
      </c>
      <c r="B18" s="19">
        <f t="shared" si="4"/>
        <v>10015</v>
      </c>
      <c r="C18" s="19">
        <f t="shared" si="4"/>
        <v>1</v>
      </c>
      <c r="D18" s="19">
        <f t="shared" si="4"/>
        <v>3</v>
      </c>
      <c r="E18" s="19">
        <f t="shared" si="4"/>
        <v>17</v>
      </c>
      <c r="F18" s="19">
        <f t="shared" si="4"/>
        <v>12</v>
      </c>
      <c r="G18" s="19">
        <f t="shared" si="1"/>
        <v>1</v>
      </c>
      <c r="H18" s="19">
        <f t="shared" si="1"/>
        <v>1</v>
      </c>
      <c r="I18" s="19">
        <f t="shared" si="1"/>
        <v>0</v>
      </c>
      <c r="J18" s="19">
        <f t="shared" si="4"/>
        <v>0</v>
      </c>
      <c r="K18" s="19">
        <f t="shared" si="4"/>
        <v>2</v>
      </c>
      <c r="L18" s="19">
        <f t="shared" si="4"/>
        <v>100</v>
      </c>
      <c r="M18" s="19">
        <f t="shared" si="4"/>
        <v>0</v>
      </c>
      <c r="N18" s="19">
        <f t="shared" si="4"/>
        <v>2</v>
      </c>
      <c r="O18" s="19">
        <f t="shared" si="4"/>
        <v>17</v>
      </c>
      <c r="P18" s="19">
        <f t="shared" si="4"/>
        <v>1</v>
      </c>
      <c r="Q18" s="19">
        <f t="shared" si="4"/>
        <v>1</v>
      </c>
      <c r="R18" s="19">
        <f t="shared" si="3"/>
        <v>25</v>
      </c>
      <c r="S18" s="19">
        <f t="shared" si="3"/>
        <v>0</v>
      </c>
      <c r="T18" s="19">
        <f t="shared" si="3"/>
        <v>0</v>
      </c>
      <c r="U18" s="19">
        <f t="shared" si="3"/>
        <v>0</v>
      </c>
      <c r="V18" s="19">
        <f t="shared" si="3"/>
        <v>0</v>
      </c>
      <c r="W18" s="19">
        <f t="shared" si="3"/>
        <v>1</v>
      </c>
    </row>
    <row r="19" spans="1:23">
      <c r="A19" s="24" t="str">
        <f t="shared" si="2"/>
        <v>10015_1-4/81&lt;lv16&gt;</v>
      </c>
      <c r="B19" s="19">
        <f t="shared" si="4"/>
        <v>10015</v>
      </c>
      <c r="C19" s="19">
        <f t="shared" si="4"/>
        <v>1</v>
      </c>
      <c r="D19" s="19">
        <f t="shared" si="4"/>
        <v>4</v>
      </c>
      <c r="E19" s="19">
        <f t="shared" si="4"/>
        <v>81</v>
      </c>
      <c r="F19" s="19">
        <f t="shared" si="4"/>
        <v>16</v>
      </c>
      <c r="G19" s="19">
        <f t="shared" si="4"/>
        <v>1.5</v>
      </c>
      <c r="H19" s="19">
        <f t="shared" si="4"/>
        <v>1.2</v>
      </c>
      <c r="I19" s="19">
        <f t="shared" si="4"/>
        <v>0</v>
      </c>
      <c r="J19" s="19">
        <f t="shared" si="4"/>
        <v>81</v>
      </c>
      <c r="K19" s="19">
        <f t="shared" si="4"/>
        <v>1</v>
      </c>
      <c r="L19" s="19">
        <f t="shared" si="4"/>
        <v>100</v>
      </c>
      <c r="M19" s="19">
        <f t="shared" si="4"/>
        <v>1</v>
      </c>
      <c r="N19" s="19">
        <f t="shared" si="4"/>
        <v>5</v>
      </c>
      <c r="O19" s="19">
        <f t="shared" si="4"/>
        <v>81</v>
      </c>
      <c r="P19" s="19">
        <f t="shared" si="4"/>
        <v>1</v>
      </c>
      <c r="Q19" s="19">
        <f t="shared" si="4"/>
        <v>3</v>
      </c>
      <c r="R19" s="19">
        <f t="shared" si="3"/>
        <v>0</v>
      </c>
      <c r="S19" s="19">
        <f t="shared" si="3"/>
        <v>0</v>
      </c>
      <c r="T19" s="19">
        <f t="shared" si="3"/>
        <v>0</v>
      </c>
      <c r="U19" s="19">
        <f t="shared" si="3"/>
        <v>0</v>
      </c>
      <c r="V19" s="19">
        <f t="shared" si="3"/>
        <v>0</v>
      </c>
      <c r="W19" s="19">
        <f t="shared" si="3"/>
        <v>1</v>
      </c>
    </row>
    <row r="20" spans="1:23">
      <c r="A20" s="24" t="str">
        <f t="shared" si="2"/>
        <v>10020_1-1/9&lt;lv13&gt;</v>
      </c>
      <c r="B20" s="19">
        <f t="shared" si="4"/>
        <v>10020</v>
      </c>
      <c r="C20" s="19">
        <f t="shared" si="4"/>
        <v>1</v>
      </c>
      <c r="D20" s="19">
        <f t="shared" si="4"/>
        <v>1</v>
      </c>
      <c r="E20" s="19">
        <f t="shared" si="4"/>
        <v>9</v>
      </c>
      <c r="F20" s="19">
        <f t="shared" si="4"/>
        <v>13</v>
      </c>
      <c r="G20" s="19">
        <f t="shared" si="4"/>
        <v>1</v>
      </c>
      <c r="H20" s="19">
        <f t="shared" si="4"/>
        <v>1</v>
      </c>
      <c r="I20" s="19">
        <f t="shared" si="4"/>
        <v>0</v>
      </c>
      <c r="J20" s="19">
        <f t="shared" si="4"/>
        <v>0</v>
      </c>
      <c r="K20" s="19">
        <f t="shared" si="4"/>
        <v>0</v>
      </c>
      <c r="L20" s="19">
        <f t="shared" si="4"/>
        <v>100</v>
      </c>
      <c r="M20" s="19">
        <f t="shared" si="4"/>
        <v>0</v>
      </c>
      <c r="N20" s="19">
        <f t="shared" si="4"/>
        <v>2</v>
      </c>
      <c r="O20" s="19">
        <f t="shared" si="4"/>
        <v>9</v>
      </c>
      <c r="P20" s="19">
        <f t="shared" si="4"/>
        <v>1</v>
      </c>
      <c r="Q20" s="19">
        <f t="shared" si="4"/>
        <v>1</v>
      </c>
      <c r="R20" s="19">
        <f t="shared" si="3"/>
        <v>25</v>
      </c>
      <c r="S20" s="19">
        <f t="shared" si="3"/>
        <v>0</v>
      </c>
      <c r="T20" s="19">
        <f t="shared" si="3"/>
        <v>0</v>
      </c>
      <c r="U20" s="19">
        <f t="shared" si="3"/>
        <v>0</v>
      </c>
      <c r="V20" s="19">
        <f t="shared" si="3"/>
        <v>0</v>
      </c>
      <c r="W20" s="19">
        <f t="shared" si="3"/>
        <v>1</v>
      </c>
    </row>
    <row r="21" spans="1:23">
      <c r="A21" s="24" t="str">
        <f t="shared" si="2"/>
        <v>10020_1-1/15&lt;lv13&gt;</v>
      </c>
      <c r="B21" s="19">
        <f t="shared" si="4"/>
        <v>10020</v>
      </c>
      <c r="C21" s="19">
        <f t="shared" si="4"/>
        <v>1</v>
      </c>
      <c r="D21" s="19">
        <f t="shared" si="4"/>
        <v>1</v>
      </c>
      <c r="E21" s="19">
        <f t="shared" si="4"/>
        <v>15</v>
      </c>
      <c r="F21" s="19">
        <f t="shared" si="4"/>
        <v>13</v>
      </c>
      <c r="G21" s="19">
        <f t="shared" si="4"/>
        <v>1</v>
      </c>
      <c r="H21" s="19">
        <f t="shared" si="4"/>
        <v>1</v>
      </c>
      <c r="I21" s="19">
        <f t="shared" si="4"/>
        <v>0</v>
      </c>
      <c r="J21" s="19">
        <f t="shared" si="4"/>
        <v>0</v>
      </c>
      <c r="K21" s="19">
        <f t="shared" si="4"/>
        <v>0</v>
      </c>
      <c r="L21" s="19">
        <f t="shared" si="4"/>
        <v>100</v>
      </c>
      <c r="M21" s="19">
        <f t="shared" si="4"/>
        <v>0</v>
      </c>
      <c r="N21" s="19">
        <f t="shared" si="4"/>
        <v>3</v>
      </c>
      <c r="O21" s="19">
        <f t="shared" si="4"/>
        <v>15</v>
      </c>
      <c r="P21" s="19">
        <f t="shared" si="4"/>
        <v>1</v>
      </c>
      <c r="Q21" s="19">
        <f t="shared" si="4"/>
        <v>1</v>
      </c>
      <c r="R21" s="19">
        <f t="shared" si="3"/>
        <v>25</v>
      </c>
      <c r="S21" s="19">
        <f t="shared" si="3"/>
        <v>0</v>
      </c>
      <c r="T21" s="19">
        <f t="shared" si="3"/>
        <v>0</v>
      </c>
      <c r="U21" s="19">
        <f t="shared" si="3"/>
        <v>0</v>
      </c>
      <c r="V21" s="19">
        <f t="shared" si="3"/>
        <v>0</v>
      </c>
      <c r="W21" s="19">
        <f t="shared" si="3"/>
        <v>1</v>
      </c>
    </row>
    <row r="22" spans="1:23">
      <c r="A22" s="24" t="str">
        <f t="shared" si="2"/>
        <v>10020_1-1/21&lt;lv13&gt;</v>
      </c>
      <c r="B22" s="19">
        <f t="shared" si="4"/>
        <v>10020</v>
      </c>
      <c r="C22" s="19">
        <f t="shared" si="4"/>
        <v>1</v>
      </c>
      <c r="D22" s="19">
        <f t="shared" si="4"/>
        <v>1</v>
      </c>
      <c r="E22" s="19">
        <f t="shared" si="4"/>
        <v>21</v>
      </c>
      <c r="F22" s="19">
        <f t="shared" si="4"/>
        <v>13</v>
      </c>
      <c r="G22" s="19">
        <f t="shared" si="4"/>
        <v>1</v>
      </c>
      <c r="H22" s="19">
        <f t="shared" si="4"/>
        <v>1</v>
      </c>
      <c r="I22" s="19">
        <f t="shared" si="4"/>
        <v>0</v>
      </c>
      <c r="J22" s="19">
        <f t="shared" si="4"/>
        <v>0</v>
      </c>
      <c r="K22" s="19">
        <f t="shared" si="4"/>
        <v>0</v>
      </c>
      <c r="L22" s="19">
        <f t="shared" si="4"/>
        <v>100</v>
      </c>
      <c r="M22" s="19">
        <f t="shared" si="4"/>
        <v>0</v>
      </c>
      <c r="N22" s="19">
        <f t="shared" si="4"/>
        <v>2</v>
      </c>
      <c r="O22" s="19">
        <f t="shared" si="4"/>
        <v>21</v>
      </c>
      <c r="P22" s="19">
        <f t="shared" si="4"/>
        <v>1</v>
      </c>
      <c r="Q22" s="19">
        <f t="shared" si="4"/>
        <v>1</v>
      </c>
      <c r="R22" s="19">
        <f t="shared" si="3"/>
        <v>25</v>
      </c>
      <c r="S22" s="19">
        <f t="shared" si="3"/>
        <v>0</v>
      </c>
      <c r="T22" s="19">
        <f t="shared" si="3"/>
        <v>0</v>
      </c>
      <c r="U22" s="19">
        <f t="shared" si="3"/>
        <v>0</v>
      </c>
      <c r="V22" s="19">
        <f t="shared" si="3"/>
        <v>0</v>
      </c>
      <c r="W22" s="19">
        <f t="shared" si="3"/>
        <v>1</v>
      </c>
    </row>
    <row r="23" spans="1:23">
      <c r="A23" s="24" t="str">
        <f t="shared" si="2"/>
        <v>10020_1-2/15&lt;lv13&gt;</v>
      </c>
      <c r="B23" s="19">
        <f t="shared" si="4"/>
        <v>10020</v>
      </c>
      <c r="C23" s="19">
        <f t="shared" si="4"/>
        <v>1</v>
      </c>
      <c r="D23" s="19">
        <f t="shared" si="4"/>
        <v>2</v>
      </c>
      <c r="E23" s="19">
        <f t="shared" si="4"/>
        <v>15</v>
      </c>
      <c r="F23" s="19">
        <f t="shared" si="4"/>
        <v>13</v>
      </c>
      <c r="G23" s="19">
        <f t="shared" si="4"/>
        <v>1</v>
      </c>
      <c r="H23" s="19">
        <f t="shared" si="4"/>
        <v>1</v>
      </c>
      <c r="I23" s="19">
        <f t="shared" si="4"/>
        <v>0</v>
      </c>
      <c r="J23" s="19">
        <f t="shared" si="4"/>
        <v>0</v>
      </c>
      <c r="K23" s="19">
        <f t="shared" si="4"/>
        <v>0</v>
      </c>
      <c r="L23" s="19">
        <f t="shared" si="4"/>
        <v>100</v>
      </c>
      <c r="M23" s="19">
        <f t="shared" si="4"/>
        <v>0</v>
      </c>
      <c r="N23" s="19">
        <f t="shared" si="4"/>
        <v>3</v>
      </c>
      <c r="O23" s="19">
        <f t="shared" si="4"/>
        <v>15</v>
      </c>
      <c r="P23" s="19">
        <f t="shared" si="4"/>
        <v>1</v>
      </c>
      <c r="Q23" s="19">
        <f t="shared" si="4"/>
        <v>1</v>
      </c>
      <c r="R23" s="19">
        <f t="shared" si="3"/>
        <v>25</v>
      </c>
      <c r="S23" s="19">
        <f t="shared" si="3"/>
        <v>0</v>
      </c>
      <c r="T23" s="19">
        <f t="shared" si="3"/>
        <v>0</v>
      </c>
      <c r="U23" s="19">
        <f t="shared" si="3"/>
        <v>0</v>
      </c>
      <c r="V23" s="19">
        <f t="shared" si="3"/>
        <v>0</v>
      </c>
      <c r="W23" s="19">
        <f t="shared" si="3"/>
        <v>1</v>
      </c>
    </row>
    <row r="24" spans="1:23">
      <c r="A24" s="24" t="str">
        <f t="shared" si="2"/>
        <v>10020_1-2/21&lt;lv13&gt;</v>
      </c>
      <c r="B24" s="19">
        <f t="shared" si="4"/>
        <v>10020</v>
      </c>
      <c r="C24" s="19">
        <f t="shared" si="4"/>
        <v>1</v>
      </c>
      <c r="D24" s="19">
        <f t="shared" si="4"/>
        <v>2</v>
      </c>
      <c r="E24" s="19">
        <f t="shared" si="4"/>
        <v>21</v>
      </c>
      <c r="F24" s="19">
        <f t="shared" si="4"/>
        <v>13</v>
      </c>
      <c r="G24" s="19">
        <f t="shared" si="4"/>
        <v>1</v>
      </c>
      <c r="H24" s="19">
        <f t="shared" si="4"/>
        <v>1</v>
      </c>
      <c r="I24" s="19">
        <f t="shared" si="4"/>
        <v>0</v>
      </c>
      <c r="J24" s="19">
        <f t="shared" si="4"/>
        <v>0</v>
      </c>
      <c r="K24" s="19">
        <f t="shared" si="4"/>
        <v>0</v>
      </c>
      <c r="L24" s="19">
        <f t="shared" si="4"/>
        <v>100</v>
      </c>
      <c r="M24" s="19">
        <f t="shared" si="4"/>
        <v>0</v>
      </c>
      <c r="N24" s="19">
        <f t="shared" si="4"/>
        <v>2</v>
      </c>
      <c r="O24" s="19">
        <f t="shared" si="4"/>
        <v>21</v>
      </c>
      <c r="P24" s="19">
        <f t="shared" si="4"/>
        <v>1</v>
      </c>
      <c r="Q24" s="19">
        <f t="shared" si="4"/>
        <v>1</v>
      </c>
      <c r="R24" s="19">
        <f t="shared" si="3"/>
        <v>25</v>
      </c>
      <c r="S24" s="19">
        <f t="shared" si="3"/>
        <v>0</v>
      </c>
      <c r="T24" s="19">
        <f t="shared" si="3"/>
        <v>0</v>
      </c>
      <c r="U24" s="19">
        <f t="shared" si="3"/>
        <v>0</v>
      </c>
      <c r="V24" s="19">
        <f t="shared" si="3"/>
        <v>0</v>
      </c>
      <c r="W24" s="19">
        <f t="shared" si="3"/>
        <v>1</v>
      </c>
    </row>
    <row r="25" spans="1:23">
      <c r="A25" s="24" t="str">
        <f t="shared" si="2"/>
        <v>10020_1-2/41&lt;lv13&gt;</v>
      </c>
      <c r="B25" s="19">
        <f t="shared" si="4"/>
        <v>10020</v>
      </c>
      <c r="C25" s="19">
        <f t="shared" si="4"/>
        <v>1</v>
      </c>
      <c r="D25" s="19">
        <f t="shared" si="4"/>
        <v>2</v>
      </c>
      <c r="E25" s="19">
        <f t="shared" si="4"/>
        <v>41</v>
      </c>
      <c r="F25" s="19">
        <f t="shared" si="4"/>
        <v>13</v>
      </c>
      <c r="G25" s="19">
        <f t="shared" si="4"/>
        <v>1</v>
      </c>
      <c r="H25" s="19">
        <f t="shared" si="4"/>
        <v>1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100</v>
      </c>
      <c r="M25" s="19">
        <f t="shared" si="4"/>
        <v>0</v>
      </c>
      <c r="N25" s="19">
        <f t="shared" si="4"/>
        <v>1</v>
      </c>
      <c r="O25" s="19">
        <f t="shared" si="4"/>
        <v>41</v>
      </c>
      <c r="P25" s="19">
        <f t="shared" si="4"/>
        <v>1</v>
      </c>
      <c r="Q25" s="19">
        <f t="shared" si="4"/>
        <v>2</v>
      </c>
      <c r="R25" s="19">
        <f t="shared" si="3"/>
        <v>25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1</v>
      </c>
    </row>
    <row r="26" spans="1:23">
      <c r="A26" s="24" t="str">
        <f t="shared" si="2"/>
        <v>10020_1-3/15&lt;lv13&gt;</v>
      </c>
      <c r="B26" s="19">
        <f t="shared" si="4"/>
        <v>10020</v>
      </c>
      <c r="C26" s="19">
        <f t="shared" si="4"/>
        <v>1</v>
      </c>
      <c r="D26" s="19">
        <f t="shared" si="4"/>
        <v>3</v>
      </c>
      <c r="E26" s="19">
        <f t="shared" si="4"/>
        <v>15</v>
      </c>
      <c r="F26" s="19">
        <f t="shared" si="4"/>
        <v>13</v>
      </c>
      <c r="G26" s="19">
        <f t="shared" si="4"/>
        <v>1</v>
      </c>
      <c r="H26" s="19">
        <f t="shared" si="4"/>
        <v>1</v>
      </c>
      <c r="I26" s="19">
        <f t="shared" si="4"/>
        <v>0</v>
      </c>
      <c r="J26" s="19">
        <f t="shared" si="4"/>
        <v>0</v>
      </c>
      <c r="K26" s="19">
        <f t="shared" si="4"/>
        <v>4</v>
      </c>
      <c r="L26" s="19">
        <f t="shared" si="4"/>
        <v>100</v>
      </c>
      <c r="M26" s="19">
        <f t="shared" si="4"/>
        <v>0</v>
      </c>
      <c r="N26" s="19">
        <f t="shared" si="4"/>
        <v>3</v>
      </c>
      <c r="O26" s="19">
        <f t="shared" si="4"/>
        <v>15</v>
      </c>
      <c r="P26" s="19">
        <f t="shared" si="4"/>
        <v>1</v>
      </c>
      <c r="Q26" s="19">
        <f t="shared" si="4"/>
        <v>1</v>
      </c>
      <c r="R26" s="19">
        <f t="shared" si="3"/>
        <v>25</v>
      </c>
      <c r="S26" s="19">
        <f t="shared" si="3"/>
        <v>0</v>
      </c>
      <c r="T26" s="19">
        <f t="shared" si="3"/>
        <v>0</v>
      </c>
      <c r="U26" s="19">
        <f t="shared" si="3"/>
        <v>0</v>
      </c>
      <c r="V26" s="19">
        <f t="shared" si="3"/>
        <v>0</v>
      </c>
      <c r="W26" s="19">
        <f t="shared" si="3"/>
        <v>1</v>
      </c>
    </row>
    <row r="27" spans="1:23">
      <c r="A27" s="24" t="str">
        <f t="shared" si="2"/>
        <v>10020_1-4/9&lt;lv13&gt;</v>
      </c>
      <c r="B27" s="19">
        <f t="shared" si="4"/>
        <v>10020</v>
      </c>
      <c r="C27" s="19">
        <f t="shared" si="4"/>
        <v>1</v>
      </c>
      <c r="D27" s="19">
        <f t="shared" si="4"/>
        <v>4</v>
      </c>
      <c r="E27" s="19">
        <f t="shared" si="4"/>
        <v>9</v>
      </c>
      <c r="F27" s="19">
        <f t="shared" si="4"/>
        <v>13</v>
      </c>
      <c r="G27" s="19">
        <f t="shared" si="4"/>
        <v>1</v>
      </c>
      <c r="H27" s="19">
        <f t="shared" si="4"/>
        <v>1</v>
      </c>
      <c r="I27" s="19">
        <f t="shared" si="4"/>
        <v>0</v>
      </c>
      <c r="J27" s="19">
        <f t="shared" si="4"/>
        <v>0</v>
      </c>
      <c r="K27" s="19">
        <f t="shared" si="4"/>
        <v>0</v>
      </c>
      <c r="L27" s="19">
        <f t="shared" si="4"/>
        <v>100</v>
      </c>
      <c r="M27" s="19">
        <f t="shared" si="4"/>
        <v>0</v>
      </c>
      <c r="N27" s="19">
        <f t="shared" si="4"/>
        <v>2</v>
      </c>
      <c r="O27" s="19">
        <f t="shared" si="4"/>
        <v>9</v>
      </c>
      <c r="P27" s="19">
        <f t="shared" si="4"/>
        <v>1</v>
      </c>
      <c r="Q27" s="19">
        <f t="shared" si="4"/>
        <v>1</v>
      </c>
      <c r="R27" s="19">
        <f t="shared" si="3"/>
        <v>25</v>
      </c>
      <c r="S27" s="19">
        <f t="shared" si="3"/>
        <v>0</v>
      </c>
      <c r="T27" s="19">
        <f t="shared" si="3"/>
        <v>0</v>
      </c>
      <c r="U27" s="19">
        <f t="shared" si="3"/>
        <v>0</v>
      </c>
      <c r="V27" s="19">
        <f t="shared" si="3"/>
        <v>0</v>
      </c>
      <c r="W27" s="19">
        <f t="shared" si="3"/>
        <v>1</v>
      </c>
    </row>
    <row r="28" spans="1:23">
      <c r="A28" s="24" t="str">
        <f t="shared" si="2"/>
        <v>10020_1-4/21&lt;lv13&gt;</v>
      </c>
      <c r="B28" s="19">
        <f t="shared" si="4"/>
        <v>10020</v>
      </c>
      <c r="C28" s="19">
        <f t="shared" si="4"/>
        <v>1</v>
      </c>
      <c r="D28" s="19">
        <f t="shared" si="4"/>
        <v>4</v>
      </c>
      <c r="E28" s="19">
        <f t="shared" si="4"/>
        <v>21</v>
      </c>
      <c r="F28" s="19">
        <f t="shared" si="4"/>
        <v>13</v>
      </c>
      <c r="G28" s="19">
        <f t="shared" si="4"/>
        <v>1</v>
      </c>
      <c r="H28" s="19">
        <f t="shared" si="4"/>
        <v>1</v>
      </c>
      <c r="I28" s="19">
        <f t="shared" si="4"/>
        <v>0</v>
      </c>
      <c r="J28" s="19">
        <f t="shared" si="4"/>
        <v>0</v>
      </c>
      <c r="K28" s="19">
        <f t="shared" si="4"/>
        <v>0</v>
      </c>
      <c r="L28" s="19">
        <f t="shared" si="4"/>
        <v>100</v>
      </c>
      <c r="M28" s="19">
        <f t="shared" si="4"/>
        <v>0</v>
      </c>
      <c r="N28" s="19">
        <f t="shared" si="4"/>
        <v>2</v>
      </c>
      <c r="O28" s="19">
        <f t="shared" si="4"/>
        <v>21</v>
      </c>
      <c r="P28" s="19">
        <f t="shared" si="4"/>
        <v>1</v>
      </c>
      <c r="Q28" s="19">
        <f t="shared" si="4"/>
        <v>1</v>
      </c>
      <c r="R28" s="19">
        <f t="shared" si="3"/>
        <v>25</v>
      </c>
      <c r="S28" s="19">
        <f t="shared" si="3"/>
        <v>0</v>
      </c>
      <c r="T28" s="19">
        <f t="shared" si="3"/>
        <v>0</v>
      </c>
      <c r="U28" s="19">
        <f t="shared" si="3"/>
        <v>0</v>
      </c>
      <c r="V28" s="19">
        <f t="shared" si="3"/>
        <v>0</v>
      </c>
      <c r="W28" s="19">
        <f t="shared" si="3"/>
        <v>1</v>
      </c>
    </row>
    <row r="29" spans="1:23">
      <c r="A29" s="24" t="str">
        <f t="shared" si="2"/>
        <v>10020_1-4/41&lt;lv13&gt;</v>
      </c>
      <c r="B29" s="19">
        <f t="shared" si="4"/>
        <v>10020</v>
      </c>
      <c r="C29" s="19">
        <f t="shared" si="4"/>
        <v>1</v>
      </c>
      <c r="D29" s="19">
        <f t="shared" si="4"/>
        <v>4</v>
      </c>
      <c r="E29" s="19">
        <f t="shared" si="4"/>
        <v>41</v>
      </c>
      <c r="F29" s="19">
        <f t="shared" si="4"/>
        <v>13</v>
      </c>
      <c r="G29" s="19">
        <f t="shared" si="4"/>
        <v>1</v>
      </c>
      <c r="H29" s="19">
        <f t="shared" si="4"/>
        <v>1</v>
      </c>
      <c r="I29" s="19">
        <f t="shared" si="4"/>
        <v>0</v>
      </c>
      <c r="J29" s="19">
        <f t="shared" si="4"/>
        <v>0</v>
      </c>
      <c r="K29" s="19">
        <f t="shared" si="4"/>
        <v>0</v>
      </c>
      <c r="L29" s="19">
        <f t="shared" si="4"/>
        <v>100</v>
      </c>
      <c r="M29" s="19">
        <f t="shared" si="4"/>
        <v>0</v>
      </c>
      <c r="N29" s="19">
        <f t="shared" si="4"/>
        <v>1</v>
      </c>
      <c r="O29" s="19">
        <f t="shared" si="4"/>
        <v>41</v>
      </c>
      <c r="P29" s="19">
        <f t="shared" si="4"/>
        <v>1</v>
      </c>
      <c r="Q29" s="19">
        <f t="shared" si="4"/>
        <v>2</v>
      </c>
      <c r="R29" s="19">
        <f t="shared" si="3"/>
        <v>25</v>
      </c>
      <c r="S29" s="19">
        <f t="shared" si="3"/>
        <v>0</v>
      </c>
      <c r="T29" s="19">
        <f t="shared" si="3"/>
        <v>0</v>
      </c>
      <c r="U29" s="19">
        <f t="shared" si="3"/>
        <v>0</v>
      </c>
      <c r="V29" s="19">
        <f t="shared" si="3"/>
        <v>0</v>
      </c>
      <c r="W29" s="19">
        <f t="shared" si="3"/>
        <v>1</v>
      </c>
    </row>
    <row r="30" spans="1:23">
      <c r="A30" s="24" t="str">
        <f t="shared" si="2"/>
        <v>10020_1-5/77&lt;lv23&gt;</v>
      </c>
      <c r="B30" s="19">
        <f t="shared" si="4"/>
        <v>10020</v>
      </c>
      <c r="C30" s="19">
        <f t="shared" si="4"/>
        <v>1</v>
      </c>
      <c r="D30" s="19">
        <f t="shared" si="4"/>
        <v>5</v>
      </c>
      <c r="E30" s="19">
        <f t="shared" si="4"/>
        <v>77</v>
      </c>
      <c r="F30" s="19">
        <f t="shared" si="4"/>
        <v>23</v>
      </c>
      <c r="G30" s="19">
        <f t="shared" si="4"/>
        <v>1</v>
      </c>
      <c r="H30" s="19">
        <f t="shared" si="4"/>
        <v>1</v>
      </c>
      <c r="I30" s="19">
        <f t="shared" si="4"/>
        <v>0</v>
      </c>
      <c r="J30" s="19">
        <f t="shared" si="4"/>
        <v>77</v>
      </c>
      <c r="K30" s="19">
        <f t="shared" si="4"/>
        <v>1</v>
      </c>
      <c r="L30" s="19">
        <f t="shared" si="4"/>
        <v>100</v>
      </c>
      <c r="M30" s="19">
        <f t="shared" si="4"/>
        <v>1</v>
      </c>
      <c r="N30" s="19">
        <f t="shared" si="4"/>
        <v>1</v>
      </c>
      <c r="O30" s="19">
        <f t="shared" si="4"/>
        <v>77</v>
      </c>
      <c r="P30" s="19">
        <f t="shared" si="4"/>
        <v>1</v>
      </c>
      <c r="Q30" s="19">
        <f t="shared" si="4"/>
        <v>3</v>
      </c>
      <c r="R30" s="19">
        <f t="shared" si="3"/>
        <v>0</v>
      </c>
      <c r="S30" s="19">
        <f t="shared" si="3"/>
        <v>0</v>
      </c>
      <c r="T30" s="19">
        <f t="shared" si="3"/>
        <v>0</v>
      </c>
      <c r="U30" s="19">
        <f t="shared" si="3"/>
        <v>0</v>
      </c>
      <c r="V30" s="19">
        <f t="shared" si="3"/>
        <v>0</v>
      </c>
      <c r="W30" s="19">
        <f t="shared" si="3"/>
        <v>1</v>
      </c>
    </row>
    <row r="31" spans="1:23">
      <c r="A31" s="24" t="str">
        <f t="shared" si="2"/>
        <v>10025_1-1/25&lt;lv30&gt;</v>
      </c>
      <c r="B31" s="19">
        <f t="shared" si="4"/>
        <v>10025</v>
      </c>
      <c r="C31" s="19">
        <f t="shared" si="4"/>
        <v>1</v>
      </c>
      <c r="D31" s="19">
        <f t="shared" si="4"/>
        <v>1</v>
      </c>
      <c r="E31" s="19">
        <f t="shared" si="4"/>
        <v>25</v>
      </c>
      <c r="F31" s="19">
        <f t="shared" si="4"/>
        <v>30</v>
      </c>
      <c r="G31" s="19">
        <f t="shared" si="4"/>
        <v>1</v>
      </c>
      <c r="H31" s="19">
        <f t="shared" si="4"/>
        <v>1</v>
      </c>
      <c r="I31" s="19">
        <f t="shared" si="4"/>
        <v>0</v>
      </c>
      <c r="J31" s="19">
        <f t="shared" si="4"/>
        <v>0</v>
      </c>
      <c r="K31" s="19">
        <f t="shared" si="4"/>
        <v>0</v>
      </c>
      <c r="L31" s="19">
        <f t="shared" si="4"/>
        <v>100</v>
      </c>
      <c r="M31" s="19">
        <f t="shared" si="4"/>
        <v>0</v>
      </c>
      <c r="N31" s="19">
        <f t="shared" si="4"/>
        <v>3</v>
      </c>
      <c r="O31" s="19">
        <f t="shared" si="4"/>
        <v>25</v>
      </c>
      <c r="P31" s="19">
        <f t="shared" si="4"/>
        <v>1</v>
      </c>
      <c r="Q31" s="19">
        <f t="shared" si="4"/>
        <v>1</v>
      </c>
      <c r="R31" s="19">
        <f t="shared" si="3"/>
        <v>25</v>
      </c>
      <c r="S31" s="19">
        <f t="shared" si="3"/>
        <v>0</v>
      </c>
      <c r="T31" s="19">
        <f t="shared" si="3"/>
        <v>0</v>
      </c>
      <c r="U31" s="19">
        <f t="shared" si="3"/>
        <v>0</v>
      </c>
      <c r="V31" s="19">
        <f t="shared" si="3"/>
        <v>0</v>
      </c>
      <c r="W31" s="19">
        <f t="shared" si="3"/>
        <v>1</v>
      </c>
    </row>
    <row r="32" spans="1:23">
      <c r="A32" s="24" t="str">
        <f t="shared" si="2"/>
        <v>10025_1-1/47&lt;lv30&gt;</v>
      </c>
      <c r="B32" s="19">
        <f t="shared" si="4"/>
        <v>10025</v>
      </c>
      <c r="C32" s="19">
        <f t="shared" si="4"/>
        <v>1</v>
      </c>
      <c r="D32" s="19">
        <f t="shared" si="4"/>
        <v>1</v>
      </c>
      <c r="E32" s="19">
        <f t="shared" si="4"/>
        <v>47</v>
      </c>
      <c r="F32" s="19">
        <f t="shared" si="4"/>
        <v>30</v>
      </c>
      <c r="G32" s="19">
        <f t="shared" si="4"/>
        <v>1</v>
      </c>
      <c r="H32" s="19">
        <f t="shared" si="4"/>
        <v>1</v>
      </c>
      <c r="I32" s="19">
        <f t="shared" si="4"/>
        <v>0</v>
      </c>
      <c r="J32" s="19">
        <f t="shared" si="4"/>
        <v>0</v>
      </c>
      <c r="K32" s="19">
        <f t="shared" si="4"/>
        <v>0</v>
      </c>
      <c r="L32" s="19">
        <f t="shared" si="4"/>
        <v>100</v>
      </c>
      <c r="M32" s="19">
        <f t="shared" si="4"/>
        <v>0</v>
      </c>
      <c r="N32" s="19">
        <f t="shared" si="4"/>
        <v>1</v>
      </c>
      <c r="O32" s="19">
        <f t="shared" si="4"/>
        <v>47</v>
      </c>
      <c r="P32" s="19">
        <f t="shared" si="4"/>
        <v>1</v>
      </c>
      <c r="Q32" s="19">
        <f t="shared" si="4"/>
        <v>2</v>
      </c>
      <c r="R32" s="19">
        <f t="shared" si="3"/>
        <v>25</v>
      </c>
      <c r="S32" s="19">
        <f t="shared" si="3"/>
        <v>0</v>
      </c>
      <c r="T32" s="19">
        <f t="shared" si="3"/>
        <v>0</v>
      </c>
      <c r="U32" s="19">
        <f t="shared" si="3"/>
        <v>0</v>
      </c>
      <c r="V32" s="19">
        <f t="shared" si="3"/>
        <v>0</v>
      </c>
      <c r="W32" s="19">
        <f t="shared" si="3"/>
        <v>1</v>
      </c>
    </row>
    <row r="33" spans="1:23">
      <c r="A33" s="24" t="str">
        <f t="shared" si="2"/>
        <v>10025_1-2/31&lt;lv30&gt;</v>
      </c>
      <c r="B33" s="19">
        <f t="shared" si="4"/>
        <v>10025</v>
      </c>
      <c r="C33" s="19">
        <f t="shared" si="4"/>
        <v>1</v>
      </c>
      <c r="D33" s="19">
        <f t="shared" si="4"/>
        <v>2</v>
      </c>
      <c r="E33" s="19">
        <f t="shared" si="4"/>
        <v>31</v>
      </c>
      <c r="F33" s="19">
        <f t="shared" si="4"/>
        <v>30</v>
      </c>
      <c r="G33" s="19">
        <f t="shared" ref="G33:V81" si="5">VLOOKUP($A33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33" s="19">
        <f t="shared" si="5"/>
        <v>1</v>
      </c>
      <c r="I33" s="19">
        <f t="shared" si="5"/>
        <v>0</v>
      </c>
      <c r="J33" s="19">
        <f t="shared" si="5"/>
        <v>0</v>
      </c>
      <c r="K33" s="19">
        <f t="shared" si="5"/>
        <v>0</v>
      </c>
      <c r="L33" s="19">
        <f t="shared" si="5"/>
        <v>100</v>
      </c>
      <c r="M33" s="19">
        <f t="shared" si="5"/>
        <v>0</v>
      </c>
      <c r="N33" s="19">
        <f t="shared" si="5"/>
        <v>2</v>
      </c>
      <c r="O33" s="19">
        <f t="shared" si="5"/>
        <v>31</v>
      </c>
      <c r="P33" s="19">
        <f t="shared" si="5"/>
        <v>1</v>
      </c>
      <c r="Q33" s="19">
        <f t="shared" si="5"/>
        <v>1</v>
      </c>
      <c r="R33" s="19">
        <f t="shared" si="5"/>
        <v>25</v>
      </c>
      <c r="S33" s="19">
        <f t="shared" si="5"/>
        <v>0</v>
      </c>
      <c r="T33" s="19">
        <f t="shared" si="5"/>
        <v>0</v>
      </c>
      <c r="U33" s="19">
        <f t="shared" si="5"/>
        <v>0</v>
      </c>
      <c r="V33" s="19">
        <f t="shared" si="5"/>
        <v>0</v>
      </c>
      <c r="W33" s="19">
        <f t="shared" si="3"/>
        <v>1</v>
      </c>
    </row>
    <row r="34" spans="1:23">
      <c r="A34" s="24" t="str">
        <f t="shared" si="2"/>
        <v>10025_1-2/17&lt;lv30&gt;</v>
      </c>
      <c r="B34" s="19">
        <f t="shared" ref="B34:Q53" si="6">VLOOKUP($A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10025</v>
      </c>
      <c r="C34" s="19">
        <f t="shared" si="6"/>
        <v>1</v>
      </c>
      <c r="D34" s="19">
        <f t="shared" si="6"/>
        <v>2</v>
      </c>
      <c r="E34" s="19">
        <f t="shared" si="6"/>
        <v>17</v>
      </c>
      <c r="F34" s="19">
        <f t="shared" si="6"/>
        <v>30</v>
      </c>
      <c r="G34" s="19">
        <f t="shared" si="5"/>
        <v>1</v>
      </c>
      <c r="H34" s="19">
        <f t="shared" si="5"/>
        <v>1</v>
      </c>
      <c r="I34" s="19">
        <f t="shared" si="5"/>
        <v>0</v>
      </c>
      <c r="J34" s="19">
        <f t="shared" si="6"/>
        <v>0</v>
      </c>
      <c r="K34" s="19">
        <f t="shared" si="6"/>
        <v>0</v>
      </c>
      <c r="L34" s="19">
        <f t="shared" si="6"/>
        <v>100</v>
      </c>
      <c r="M34" s="19">
        <f t="shared" si="6"/>
        <v>0</v>
      </c>
      <c r="N34" s="19">
        <f t="shared" si="6"/>
        <v>2</v>
      </c>
      <c r="O34" s="19">
        <f t="shared" si="6"/>
        <v>17</v>
      </c>
      <c r="P34" s="19">
        <f t="shared" si="6"/>
        <v>1</v>
      </c>
      <c r="Q34" s="19">
        <f t="shared" si="6"/>
        <v>1</v>
      </c>
      <c r="R34" s="19">
        <f t="shared" si="5"/>
        <v>25</v>
      </c>
      <c r="S34" s="19">
        <f t="shared" si="5"/>
        <v>0</v>
      </c>
      <c r="T34" s="19">
        <f t="shared" si="5"/>
        <v>0</v>
      </c>
      <c r="U34" s="19">
        <f t="shared" si="5"/>
        <v>0</v>
      </c>
      <c r="V34" s="19">
        <f t="shared" si="5"/>
        <v>0</v>
      </c>
      <c r="W34" s="19">
        <f t="shared" si="3"/>
        <v>1</v>
      </c>
    </row>
    <row r="35" spans="1:23">
      <c r="A35" s="24" t="str">
        <f t="shared" si="2"/>
        <v>10025_1-2/19&lt;lv30&gt;</v>
      </c>
      <c r="B35" s="19">
        <f t="shared" si="6"/>
        <v>10025</v>
      </c>
      <c r="C35" s="19">
        <f t="shared" si="6"/>
        <v>1</v>
      </c>
      <c r="D35" s="19">
        <f t="shared" si="6"/>
        <v>2</v>
      </c>
      <c r="E35" s="19">
        <f t="shared" si="6"/>
        <v>19</v>
      </c>
      <c r="F35" s="19">
        <f t="shared" si="6"/>
        <v>30</v>
      </c>
      <c r="G35" s="19">
        <f t="shared" si="5"/>
        <v>1</v>
      </c>
      <c r="H35" s="19">
        <f t="shared" si="5"/>
        <v>1</v>
      </c>
      <c r="I35" s="19">
        <f t="shared" si="5"/>
        <v>0</v>
      </c>
      <c r="J35" s="19">
        <f t="shared" si="6"/>
        <v>0</v>
      </c>
      <c r="K35" s="19">
        <f t="shared" si="6"/>
        <v>0</v>
      </c>
      <c r="L35" s="19">
        <f t="shared" si="6"/>
        <v>100</v>
      </c>
      <c r="M35" s="19">
        <f t="shared" si="6"/>
        <v>0</v>
      </c>
      <c r="N35" s="19">
        <f t="shared" si="6"/>
        <v>3</v>
      </c>
      <c r="O35" s="19">
        <f t="shared" si="6"/>
        <v>19</v>
      </c>
      <c r="P35" s="19">
        <f t="shared" si="6"/>
        <v>1</v>
      </c>
      <c r="Q35" s="19">
        <f t="shared" si="6"/>
        <v>1</v>
      </c>
      <c r="R35" s="19">
        <f t="shared" si="5"/>
        <v>25</v>
      </c>
      <c r="S35" s="19">
        <f t="shared" si="5"/>
        <v>0</v>
      </c>
      <c r="T35" s="19">
        <f t="shared" si="5"/>
        <v>0</v>
      </c>
      <c r="U35" s="19">
        <f t="shared" si="5"/>
        <v>0</v>
      </c>
      <c r="V35" s="19">
        <f t="shared" si="5"/>
        <v>0</v>
      </c>
      <c r="W35" s="19">
        <f t="shared" si="3"/>
        <v>1</v>
      </c>
    </row>
    <row r="36" spans="1:23">
      <c r="A36" s="24" t="str">
        <f t="shared" si="2"/>
        <v>10025_1-3/25&lt;lv30&gt;</v>
      </c>
      <c r="B36" s="19">
        <f t="shared" si="6"/>
        <v>10025</v>
      </c>
      <c r="C36" s="19">
        <f t="shared" si="6"/>
        <v>1</v>
      </c>
      <c r="D36" s="19">
        <f t="shared" si="6"/>
        <v>3</v>
      </c>
      <c r="E36" s="19">
        <f t="shared" si="6"/>
        <v>25</v>
      </c>
      <c r="F36" s="19">
        <f t="shared" si="6"/>
        <v>30</v>
      </c>
      <c r="G36" s="19">
        <f t="shared" si="5"/>
        <v>1</v>
      </c>
      <c r="H36" s="19">
        <f t="shared" si="5"/>
        <v>1</v>
      </c>
      <c r="I36" s="19">
        <f t="shared" si="5"/>
        <v>0</v>
      </c>
      <c r="J36" s="19">
        <f t="shared" si="6"/>
        <v>0</v>
      </c>
      <c r="K36" s="19">
        <f t="shared" si="6"/>
        <v>0</v>
      </c>
      <c r="L36" s="19">
        <f t="shared" si="6"/>
        <v>100</v>
      </c>
      <c r="M36" s="19">
        <f t="shared" si="6"/>
        <v>0</v>
      </c>
      <c r="N36" s="19">
        <f t="shared" si="6"/>
        <v>3</v>
      </c>
      <c r="O36" s="19">
        <f t="shared" si="6"/>
        <v>25</v>
      </c>
      <c r="P36" s="19">
        <f t="shared" si="6"/>
        <v>1</v>
      </c>
      <c r="Q36" s="19">
        <f t="shared" si="6"/>
        <v>1</v>
      </c>
      <c r="R36" s="19">
        <f t="shared" si="5"/>
        <v>25</v>
      </c>
      <c r="S36" s="19">
        <f t="shared" si="5"/>
        <v>0</v>
      </c>
      <c r="T36" s="19">
        <f t="shared" si="5"/>
        <v>0</v>
      </c>
      <c r="U36" s="19">
        <f t="shared" si="5"/>
        <v>0</v>
      </c>
      <c r="V36" s="19">
        <f t="shared" si="5"/>
        <v>0</v>
      </c>
      <c r="W36" s="19">
        <f t="shared" si="3"/>
        <v>1</v>
      </c>
    </row>
    <row r="37" spans="1:23">
      <c r="A37" s="24" t="str">
        <f t="shared" si="2"/>
        <v>10025_1-3/47&lt;lv30&gt;</v>
      </c>
      <c r="B37" s="19">
        <f t="shared" si="6"/>
        <v>10025</v>
      </c>
      <c r="C37" s="19">
        <f t="shared" si="6"/>
        <v>1</v>
      </c>
      <c r="D37" s="19">
        <f t="shared" si="6"/>
        <v>3</v>
      </c>
      <c r="E37" s="19">
        <f t="shared" si="6"/>
        <v>47</v>
      </c>
      <c r="F37" s="19">
        <f t="shared" si="6"/>
        <v>30</v>
      </c>
      <c r="G37" s="19">
        <f t="shared" si="5"/>
        <v>1</v>
      </c>
      <c r="H37" s="19">
        <f t="shared" si="5"/>
        <v>1</v>
      </c>
      <c r="I37" s="19">
        <f t="shared" si="5"/>
        <v>0</v>
      </c>
      <c r="J37" s="19">
        <f t="shared" si="6"/>
        <v>0</v>
      </c>
      <c r="K37" s="19">
        <f t="shared" si="6"/>
        <v>0</v>
      </c>
      <c r="L37" s="19">
        <f t="shared" si="6"/>
        <v>100</v>
      </c>
      <c r="M37" s="19">
        <f t="shared" si="6"/>
        <v>0</v>
      </c>
      <c r="N37" s="19">
        <f t="shared" si="6"/>
        <v>1</v>
      </c>
      <c r="O37" s="19">
        <f t="shared" si="6"/>
        <v>47</v>
      </c>
      <c r="P37" s="19">
        <f t="shared" si="6"/>
        <v>1</v>
      </c>
      <c r="Q37" s="19">
        <f t="shared" si="6"/>
        <v>2</v>
      </c>
      <c r="R37" s="19">
        <f t="shared" si="5"/>
        <v>25</v>
      </c>
      <c r="S37" s="19">
        <f t="shared" si="5"/>
        <v>0</v>
      </c>
      <c r="T37" s="19">
        <f t="shared" si="5"/>
        <v>0</v>
      </c>
      <c r="U37" s="19">
        <f t="shared" si="5"/>
        <v>0</v>
      </c>
      <c r="V37" s="19">
        <f t="shared" si="5"/>
        <v>0</v>
      </c>
      <c r="W37" s="19">
        <f t="shared" si="3"/>
        <v>1</v>
      </c>
    </row>
    <row r="38" spans="1:23">
      <c r="A38" s="24" t="str">
        <f t="shared" si="2"/>
        <v>10025_1-3/45&lt;lv30&gt;</v>
      </c>
      <c r="B38" s="19">
        <f t="shared" si="6"/>
        <v>10025</v>
      </c>
      <c r="C38" s="19">
        <f t="shared" si="6"/>
        <v>1</v>
      </c>
      <c r="D38" s="19">
        <f t="shared" si="6"/>
        <v>3</v>
      </c>
      <c r="E38" s="19">
        <f t="shared" si="6"/>
        <v>45</v>
      </c>
      <c r="F38" s="19">
        <f t="shared" si="6"/>
        <v>30</v>
      </c>
      <c r="G38" s="19">
        <f t="shared" si="5"/>
        <v>1</v>
      </c>
      <c r="H38" s="19">
        <f t="shared" si="5"/>
        <v>1</v>
      </c>
      <c r="I38" s="19">
        <f t="shared" si="5"/>
        <v>0</v>
      </c>
      <c r="J38" s="19">
        <f t="shared" si="6"/>
        <v>0</v>
      </c>
      <c r="K38" s="19">
        <f t="shared" si="6"/>
        <v>1</v>
      </c>
      <c r="L38" s="19">
        <f t="shared" si="6"/>
        <v>100</v>
      </c>
      <c r="M38" s="19">
        <f t="shared" si="6"/>
        <v>0</v>
      </c>
      <c r="N38" s="19">
        <f t="shared" si="6"/>
        <v>3</v>
      </c>
      <c r="O38" s="19">
        <f t="shared" si="6"/>
        <v>45</v>
      </c>
      <c r="P38" s="19">
        <f t="shared" si="6"/>
        <v>1</v>
      </c>
      <c r="Q38" s="19">
        <f t="shared" si="6"/>
        <v>2</v>
      </c>
      <c r="R38" s="19">
        <f t="shared" si="5"/>
        <v>25</v>
      </c>
      <c r="S38" s="19">
        <f t="shared" si="5"/>
        <v>0</v>
      </c>
      <c r="T38" s="19">
        <f t="shared" si="5"/>
        <v>0</v>
      </c>
      <c r="U38" s="19">
        <f t="shared" si="5"/>
        <v>0</v>
      </c>
      <c r="V38" s="19">
        <f t="shared" si="5"/>
        <v>0</v>
      </c>
      <c r="W38" s="19">
        <f t="shared" si="3"/>
        <v>1</v>
      </c>
    </row>
    <row r="39" spans="1:23">
      <c r="A39" s="24" t="str">
        <f t="shared" si="2"/>
        <v>10025_1-4/47&lt;lv30&gt;</v>
      </c>
      <c r="B39" s="19">
        <f t="shared" si="6"/>
        <v>10025</v>
      </c>
      <c r="C39" s="19">
        <f t="shared" si="6"/>
        <v>1</v>
      </c>
      <c r="D39" s="19">
        <f t="shared" si="6"/>
        <v>4</v>
      </c>
      <c r="E39" s="19">
        <f t="shared" si="6"/>
        <v>47</v>
      </c>
      <c r="F39" s="19">
        <f t="shared" si="6"/>
        <v>30</v>
      </c>
      <c r="G39" s="19">
        <f t="shared" si="5"/>
        <v>1</v>
      </c>
      <c r="H39" s="19">
        <f t="shared" si="5"/>
        <v>1</v>
      </c>
      <c r="I39" s="19">
        <f t="shared" si="5"/>
        <v>0</v>
      </c>
      <c r="J39" s="19">
        <f t="shared" si="6"/>
        <v>0</v>
      </c>
      <c r="K39" s="19">
        <f t="shared" si="6"/>
        <v>1</v>
      </c>
      <c r="L39" s="19">
        <f t="shared" si="6"/>
        <v>100</v>
      </c>
      <c r="M39" s="19">
        <f t="shared" si="6"/>
        <v>0</v>
      </c>
      <c r="N39" s="19">
        <f t="shared" si="6"/>
        <v>1</v>
      </c>
      <c r="O39" s="19">
        <f t="shared" si="6"/>
        <v>47</v>
      </c>
      <c r="P39" s="19">
        <f t="shared" si="6"/>
        <v>1</v>
      </c>
      <c r="Q39" s="19">
        <f t="shared" si="6"/>
        <v>2</v>
      </c>
      <c r="R39" s="19">
        <f t="shared" si="5"/>
        <v>25</v>
      </c>
      <c r="S39" s="19">
        <f t="shared" si="5"/>
        <v>0</v>
      </c>
      <c r="T39" s="19">
        <f t="shared" si="5"/>
        <v>0</v>
      </c>
      <c r="U39" s="19">
        <f t="shared" si="5"/>
        <v>0</v>
      </c>
      <c r="V39" s="19">
        <f t="shared" si="5"/>
        <v>0</v>
      </c>
      <c r="W39" s="19">
        <f t="shared" si="3"/>
        <v>1</v>
      </c>
    </row>
    <row r="40" spans="1:23">
      <c r="A40" s="24" t="str">
        <f t="shared" si="2"/>
        <v>10025_1-4/45&lt;lv30&gt;</v>
      </c>
      <c r="B40" s="19">
        <f t="shared" si="6"/>
        <v>10025</v>
      </c>
      <c r="C40" s="19">
        <f t="shared" si="6"/>
        <v>1</v>
      </c>
      <c r="D40" s="19">
        <f t="shared" si="6"/>
        <v>4</v>
      </c>
      <c r="E40" s="19">
        <f t="shared" si="6"/>
        <v>45</v>
      </c>
      <c r="F40" s="19">
        <f t="shared" si="6"/>
        <v>30</v>
      </c>
      <c r="G40" s="19">
        <f t="shared" si="5"/>
        <v>1</v>
      </c>
      <c r="H40" s="19">
        <f t="shared" si="5"/>
        <v>1</v>
      </c>
      <c r="I40" s="19">
        <f t="shared" si="5"/>
        <v>0</v>
      </c>
      <c r="J40" s="19">
        <f t="shared" si="6"/>
        <v>0</v>
      </c>
      <c r="K40" s="19">
        <f t="shared" si="6"/>
        <v>2</v>
      </c>
      <c r="L40" s="19">
        <f t="shared" si="6"/>
        <v>100</v>
      </c>
      <c r="M40" s="19">
        <f t="shared" si="6"/>
        <v>0</v>
      </c>
      <c r="N40" s="19">
        <f t="shared" si="6"/>
        <v>3</v>
      </c>
      <c r="O40" s="19">
        <f t="shared" si="6"/>
        <v>45</v>
      </c>
      <c r="P40" s="19">
        <f t="shared" si="6"/>
        <v>1</v>
      </c>
      <c r="Q40" s="19">
        <f t="shared" si="6"/>
        <v>2</v>
      </c>
      <c r="R40" s="19">
        <f t="shared" si="5"/>
        <v>25</v>
      </c>
      <c r="S40" s="19">
        <f t="shared" si="5"/>
        <v>0</v>
      </c>
      <c r="T40" s="19">
        <f t="shared" si="5"/>
        <v>0</v>
      </c>
      <c r="U40" s="19">
        <f t="shared" si="5"/>
        <v>0</v>
      </c>
      <c r="V40" s="19">
        <f t="shared" si="5"/>
        <v>0</v>
      </c>
      <c r="W40" s="19">
        <f t="shared" si="3"/>
        <v>1</v>
      </c>
    </row>
    <row r="41" spans="1:23">
      <c r="A41" s="24" t="str">
        <f t="shared" si="2"/>
        <v>10025_1-5/164&lt;lv37&gt;</v>
      </c>
      <c r="B41" s="19">
        <f t="shared" si="6"/>
        <v>10025</v>
      </c>
      <c r="C41" s="19">
        <f t="shared" si="6"/>
        <v>1</v>
      </c>
      <c r="D41" s="19">
        <f t="shared" si="6"/>
        <v>5</v>
      </c>
      <c r="E41" s="19">
        <f t="shared" si="6"/>
        <v>164</v>
      </c>
      <c r="F41" s="19">
        <f t="shared" si="6"/>
        <v>37</v>
      </c>
      <c r="G41" s="19">
        <f t="shared" si="5"/>
        <v>1</v>
      </c>
      <c r="H41" s="19">
        <f t="shared" si="5"/>
        <v>1</v>
      </c>
      <c r="I41" s="19">
        <f t="shared" si="5"/>
        <v>0</v>
      </c>
      <c r="J41" s="19">
        <f t="shared" si="6"/>
        <v>164</v>
      </c>
      <c r="K41" s="19">
        <f t="shared" si="6"/>
        <v>1</v>
      </c>
      <c r="L41" s="19">
        <f t="shared" si="6"/>
        <v>100</v>
      </c>
      <c r="M41" s="19">
        <f t="shared" si="6"/>
        <v>1</v>
      </c>
      <c r="N41" s="19">
        <f t="shared" si="6"/>
        <v>3</v>
      </c>
      <c r="O41" s="19">
        <f t="shared" si="6"/>
        <v>164</v>
      </c>
      <c r="P41" s="19">
        <f t="shared" si="6"/>
        <v>1</v>
      </c>
      <c r="Q41" s="19">
        <f t="shared" si="6"/>
        <v>3</v>
      </c>
      <c r="R41" s="19">
        <f t="shared" si="5"/>
        <v>0</v>
      </c>
      <c r="S41" s="19">
        <f t="shared" si="5"/>
        <v>0</v>
      </c>
      <c r="T41" s="19">
        <f t="shared" si="5"/>
        <v>0</v>
      </c>
      <c r="U41" s="19">
        <f t="shared" si="5"/>
        <v>0</v>
      </c>
      <c r="V41" s="19">
        <f t="shared" si="5"/>
        <v>0</v>
      </c>
      <c r="W41" s="19">
        <f t="shared" si="3"/>
        <v>1</v>
      </c>
    </row>
    <row r="42" spans="1:23">
      <c r="A42" s="24" t="str">
        <f t="shared" si="2"/>
        <v>10025_1-5/130&lt;lv32&gt;</v>
      </c>
      <c r="B42" s="19">
        <f t="shared" si="6"/>
        <v>10025</v>
      </c>
      <c r="C42" s="19">
        <f t="shared" si="6"/>
        <v>1</v>
      </c>
      <c r="D42" s="19">
        <f t="shared" si="6"/>
        <v>5</v>
      </c>
      <c r="E42" s="19">
        <f t="shared" si="6"/>
        <v>130</v>
      </c>
      <c r="F42" s="19">
        <f t="shared" si="6"/>
        <v>32</v>
      </c>
      <c r="G42" s="19">
        <f t="shared" si="5"/>
        <v>1</v>
      </c>
      <c r="H42" s="19">
        <f t="shared" si="5"/>
        <v>1</v>
      </c>
      <c r="I42" s="19">
        <f t="shared" si="5"/>
        <v>0</v>
      </c>
      <c r="J42" s="19">
        <f t="shared" si="6"/>
        <v>130</v>
      </c>
      <c r="K42" s="19">
        <f t="shared" si="6"/>
        <v>1</v>
      </c>
      <c r="L42" s="19">
        <f t="shared" si="6"/>
        <v>100</v>
      </c>
      <c r="M42" s="19">
        <f t="shared" si="6"/>
        <v>1</v>
      </c>
      <c r="N42" s="19">
        <f t="shared" si="6"/>
        <v>3</v>
      </c>
      <c r="O42" s="19">
        <f t="shared" si="6"/>
        <v>130</v>
      </c>
      <c r="P42" s="19">
        <f t="shared" si="6"/>
        <v>1</v>
      </c>
      <c r="Q42" s="19">
        <f t="shared" si="6"/>
        <v>3</v>
      </c>
      <c r="R42" s="19">
        <f t="shared" si="5"/>
        <v>0</v>
      </c>
      <c r="S42" s="19">
        <f t="shared" si="5"/>
        <v>0</v>
      </c>
      <c r="T42" s="19">
        <f t="shared" si="5"/>
        <v>0</v>
      </c>
      <c r="U42" s="19">
        <f t="shared" si="5"/>
        <v>0</v>
      </c>
      <c r="V42" s="19">
        <f t="shared" si="5"/>
        <v>0</v>
      </c>
      <c r="W42" s="19">
        <f t="shared" si="3"/>
        <v>1</v>
      </c>
    </row>
    <row r="43" spans="1:23">
      <c r="A43" s="24" t="str">
        <f t="shared" si="2"/>
        <v>10030_1-1/25&lt;lv38&gt;</v>
      </c>
      <c r="B43" s="19">
        <f t="shared" si="6"/>
        <v>10030</v>
      </c>
      <c r="C43" s="19">
        <f t="shared" si="6"/>
        <v>1</v>
      </c>
      <c r="D43" s="19">
        <f t="shared" si="6"/>
        <v>1</v>
      </c>
      <c r="E43" s="19">
        <f t="shared" si="6"/>
        <v>25</v>
      </c>
      <c r="F43" s="19">
        <f t="shared" si="6"/>
        <v>38</v>
      </c>
      <c r="G43" s="19">
        <f t="shared" si="5"/>
        <v>1</v>
      </c>
      <c r="H43" s="19">
        <f t="shared" si="5"/>
        <v>1</v>
      </c>
      <c r="I43" s="19">
        <f t="shared" si="5"/>
        <v>0</v>
      </c>
      <c r="J43" s="19">
        <f t="shared" si="6"/>
        <v>0</v>
      </c>
      <c r="K43" s="19">
        <f t="shared" si="6"/>
        <v>0</v>
      </c>
      <c r="L43" s="19">
        <f t="shared" si="6"/>
        <v>100</v>
      </c>
      <c r="M43" s="19">
        <f t="shared" si="6"/>
        <v>0</v>
      </c>
      <c r="N43" s="19">
        <f t="shared" si="6"/>
        <v>3</v>
      </c>
      <c r="O43" s="19">
        <f t="shared" si="6"/>
        <v>25</v>
      </c>
      <c r="P43" s="19">
        <f t="shared" si="6"/>
        <v>1</v>
      </c>
      <c r="Q43" s="19">
        <f t="shared" si="6"/>
        <v>1</v>
      </c>
      <c r="R43" s="19">
        <f t="shared" si="5"/>
        <v>25</v>
      </c>
      <c r="S43" s="19">
        <f t="shared" si="5"/>
        <v>0</v>
      </c>
      <c r="T43" s="19">
        <f t="shared" si="5"/>
        <v>0</v>
      </c>
      <c r="U43" s="19">
        <f t="shared" si="5"/>
        <v>0</v>
      </c>
      <c r="V43" s="19">
        <f t="shared" si="5"/>
        <v>0</v>
      </c>
      <c r="W43" s="19">
        <f t="shared" si="3"/>
        <v>1</v>
      </c>
    </row>
    <row r="44" spans="1:23">
      <c r="A44" s="24" t="str">
        <f t="shared" si="2"/>
        <v>10030_1-1/11&lt;lv38&gt;</v>
      </c>
      <c r="B44" s="19">
        <f t="shared" si="6"/>
        <v>10030</v>
      </c>
      <c r="C44" s="19">
        <f t="shared" si="6"/>
        <v>1</v>
      </c>
      <c r="D44" s="19">
        <f t="shared" si="6"/>
        <v>1</v>
      </c>
      <c r="E44" s="19">
        <f t="shared" si="6"/>
        <v>11</v>
      </c>
      <c r="F44" s="19">
        <f t="shared" si="6"/>
        <v>38</v>
      </c>
      <c r="G44" s="19">
        <f t="shared" si="5"/>
        <v>1</v>
      </c>
      <c r="H44" s="19">
        <f t="shared" si="5"/>
        <v>1</v>
      </c>
      <c r="I44" s="19">
        <f t="shared" si="5"/>
        <v>0</v>
      </c>
      <c r="J44" s="19">
        <f t="shared" si="6"/>
        <v>0</v>
      </c>
      <c r="K44" s="19">
        <f t="shared" si="6"/>
        <v>0</v>
      </c>
      <c r="L44" s="19">
        <f t="shared" si="6"/>
        <v>100</v>
      </c>
      <c r="M44" s="19">
        <f t="shared" si="6"/>
        <v>0</v>
      </c>
      <c r="N44" s="19">
        <f t="shared" si="6"/>
        <v>3</v>
      </c>
      <c r="O44" s="19">
        <f t="shared" si="6"/>
        <v>11</v>
      </c>
      <c r="P44" s="19">
        <f t="shared" si="6"/>
        <v>1</v>
      </c>
      <c r="Q44" s="19">
        <f t="shared" si="6"/>
        <v>1</v>
      </c>
      <c r="R44" s="19">
        <f t="shared" si="5"/>
        <v>25</v>
      </c>
      <c r="S44" s="19">
        <f t="shared" si="5"/>
        <v>0</v>
      </c>
      <c r="T44" s="19">
        <f t="shared" si="5"/>
        <v>0</v>
      </c>
      <c r="U44" s="19">
        <f t="shared" si="5"/>
        <v>0</v>
      </c>
      <c r="V44" s="19">
        <f t="shared" si="5"/>
        <v>0</v>
      </c>
      <c r="W44" s="19">
        <f t="shared" si="3"/>
        <v>1</v>
      </c>
    </row>
    <row r="45" spans="1:23">
      <c r="A45" s="24" t="str">
        <f t="shared" si="2"/>
        <v>10030_1-2/23&lt;lv38&gt;</v>
      </c>
      <c r="B45" s="19">
        <f t="shared" si="6"/>
        <v>10030</v>
      </c>
      <c r="C45" s="19">
        <f t="shared" si="6"/>
        <v>1</v>
      </c>
      <c r="D45" s="19">
        <f t="shared" si="6"/>
        <v>2</v>
      </c>
      <c r="E45" s="19">
        <f t="shared" si="6"/>
        <v>23</v>
      </c>
      <c r="F45" s="19">
        <f t="shared" si="6"/>
        <v>38</v>
      </c>
      <c r="G45" s="19">
        <f t="shared" si="5"/>
        <v>1</v>
      </c>
      <c r="H45" s="19">
        <f t="shared" si="5"/>
        <v>1</v>
      </c>
      <c r="I45" s="19">
        <f t="shared" si="5"/>
        <v>0</v>
      </c>
      <c r="J45" s="19">
        <f t="shared" si="6"/>
        <v>0</v>
      </c>
      <c r="K45" s="19">
        <f t="shared" si="6"/>
        <v>0</v>
      </c>
      <c r="L45" s="19">
        <f t="shared" si="6"/>
        <v>100</v>
      </c>
      <c r="M45" s="19">
        <f t="shared" si="6"/>
        <v>0</v>
      </c>
      <c r="N45" s="19">
        <f t="shared" si="6"/>
        <v>4</v>
      </c>
      <c r="O45" s="19">
        <f t="shared" si="6"/>
        <v>23</v>
      </c>
      <c r="P45" s="19">
        <f t="shared" si="6"/>
        <v>1</v>
      </c>
      <c r="Q45" s="19">
        <f t="shared" si="6"/>
        <v>1</v>
      </c>
      <c r="R45" s="19">
        <f t="shared" si="5"/>
        <v>25</v>
      </c>
      <c r="S45" s="19">
        <f t="shared" si="5"/>
        <v>0</v>
      </c>
      <c r="T45" s="19">
        <f t="shared" si="5"/>
        <v>0</v>
      </c>
      <c r="U45" s="19">
        <f t="shared" si="5"/>
        <v>0</v>
      </c>
      <c r="V45" s="19">
        <f t="shared" si="5"/>
        <v>0</v>
      </c>
      <c r="W45" s="19">
        <f t="shared" si="3"/>
        <v>1</v>
      </c>
    </row>
    <row r="46" spans="1:23">
      <c r="A46" s="24" t="str">
        <f t="shared" si="2"/>
        <v>10030_1-2/27&lt;lv38&gt;</v>
      </c>
      <c r="B46" s="19">
        <f t="shared" si="6"/>
        <v>10030</v>
      </c>
      <c r="C46" s="19">
        <f t="shared" si="6"/>
        <v>1</v>
      </c>
      <c r="D46" s="19">
        <f t="shared" si="6"/>
        <v>2</v>
      </c>
      <c r="E46" s="19">
        <f t="shared" si="6"/>
        <v>27</v>
      </c>
      <c r="F46" s="19">
        <f t="shared" si="6"/>
        <v>38</v>
      </c>
      <c r="G46" s="19">
        <f t="shared" si="5"/>
        <v>1</v>
      </c>
      <c r="H46" s="19">
        <f t="shared" si="5"/>
        <v>1</v>
      </c>
      <c r="I46" s="19">
        <f t="shared" si="5"/>
        <v>0</v>
      </c>
      <c r="J46" s="19">
        <f t="shared" si="6"/>
        <v>0</v>
      </c>
      <c r="K46" s="19">
        <f t="shared" si="6"/>
        <v>0</v>
      </c>
      <c r="L46" s="19">
        <f t="shared" si="6"/>
        <v>100</v>
      </c>
      <c r="M46" s="19">
        <f t="shared" si="6"/>
        <v>0</v>
      </c>
      <c r="N46" s="19">
        <f t="shared" si="6"/>
        <v>1</v>
      </c>
      <c r="O46" s="19">
        <f t="shared" si="6"/>
        <v>27</v>
      </c>
      <c r="P46" s="19">
        <f t="shared" si="6"/>
        <v>1</v>
      </c>
      <c r="Q46" s="19">
        <f t="shared" si="6"/>
        <v>1</v>
      </c>
      <c r="R46" s="19">
        <f t="shared" si="5"/>
        <v>25</v>
      </c>
      <c r="S46" s="19">
        <f t="shared" si="5"/>
        <v>0</v>
      </c>
      <c r="T46" s="19">
        <f t="shared" si="5"/>
        <v>0</v>
      </c>
      <c r="U46" s="19">
        <f t="shared" si="5"/>
        <v>0</v>
      </c>
      <c r="V46" s="19">
        <f t="shared" si="5"/>
        <v>0</v>
      </c>
      <c r="W46" s="19">
        <f t="shared" si="3"/>
        <v>1</v>
      </c>
    </row>
    <row r="47" spans="1:23">
      <c r="A47" s="24" t="str">
        <f t="shared" si="2"/>
        <v>10030_1-3/61&lt;lv38&gt;</v>
      </c>
      <c r="B47" s="19">
        <f t="shared" si="6"/>
        <v>10030</v>
      </c>
      <c r="C47" s="19">
        <f t="shared" si="6"/>
        <v>1</v>
      </c>
      <c r="D47" s="19">
        <f t="shared" si="6"/>
        <v>3</v>
      </c>
      <c r="E47" s="19">
        <f t="shared" si="6"/>
        <v>61</v>
      </c>
      <c r="F47" s="19">
        <f t="shared" si="6"/>
        <v>38</v>
      </c>
      <c r="G47" s="19">
        <f t="shared" si="5"/>
        <v>1</v>
      </c>
      <c r="H47" s="19">
        <f t="shared" si="5"/>
        <v>1</v>
      </c>
      <c r="I47" s="19">
        <f t="shared" si="5"/>
        <v>0</v>
      </c>
      <c r="J47" s="19">
        <f t="shared" si="6"/>
        <v>61</v>
      </c>
      <c r="K47" s="19">
        <f t="shared" si="6"/>
        <v>0</v>
      </c>
      <c r="L47" s="19">
        <f t="shared" si="6"/>
        <v>100</v>
      </c>
      <c r="M47" s="19">
        <f t="shared" si="6"/>
        <v>0</v>
      </c>
      <c r="N47" s="19">
        <f t="shared" si="6"/>
        <v>2</v>
      </c>
      <c r="O47" s="19">
        <f t="shared" si="6"/>
        <v>61</v>
      </c>
      <c r="P47" s="19">
        <f t="shared" si="6"/>
        <v>1</v>
      </c>
      <c r="Q47" s="19">
        <f t="shared" si="6"/>
        <v>2</v>
      </c>
      <c r="R47" s="19">
        <f t="shared" si="5"/>
        <v>25</v>
      </c>
      <c r="S47" s="19">
        <f t="shared" si="5"/>
        <v>0</v>
      </c>
      <c r="T47" s="19">
        <f t="shared" si="5"/>
        <v>0</v>
      </c>
      <c r="U47" s="19">
        <f t="shared" si="5"/>
        <v>0</v>
      </c>
      <c r="V47" s="19">
        <f t="shared" si="5"/>
        <v>0</v>
      </c>
      <c r="W47" s="19">
        <f t="shared" si="3"/>
        <v>1</v>
      </c>
    </row>
    <row r="48" spans="1:23">
      <c r="A48" s="24" t="str">
        <f t="shared" si="2"/>
        <v>10030_1-3/43&lt;lv38&gt;</v>
      </c>
      <c r="B48" s="19">
        <f t="shared" si="6"/>
        <v>10030</v>
      </c>
      <c r="C48" s="19">
        <f t="shared" si="6"/>
        <v>1</v>
      </c>
      <c r="D48" s="19">
        <f t="shared" si="6"/>
        <v>3</v>
      </c>
      <c r="E48" s="19">
        <f t="shared" si="6"/>
        <v>43</v>
      </c>
      <c r="F48" s="19">
        <f t="shared" si="6"/>
        <v>38</v>
      </c>
      <c r="G48" s="19">
        <f t="shared" si="5"/>
        <v>1</v>
      </c>
      <c r="H48" s="19">
        <f t="shared" si="5"/>
        <v>1</v>
      </c>
      <c r="I48" s="19">
        <f t="shared" si="5"/>
        <v>0</v>
      </c>
      <c r="J48" s="19">
        <f t="shared" si="6"/>
        <v>0</v>
      </c>
      <c r="K48" s="19">
        <f t="shared" si="6"/>
        <v>1</v>
      </c>
      <c r="L48" s="19">
        <f t="shared" si="6"/>
        <v>100</v>
      </c>
      <c r="M48" s="19">
        <f t="shared" si="6"/>
        <v>0</v>
      </c>
      <c r="N48" s="19">
        <f t="shared" si="6"/>
        <v>2</v>
      </c>
      <c r="O48" s="19">
        <f t="shared" si="6"/>
        <v>43</v>
      </c>
      <c r="P48" s="19">
        <f t="shared" si="6"/>
        <v>1</v>
      </c>
      <c r="Q48" s="19">
        <f t="shared" si="6"/>
        <v>2</v>
      </c>
      <c r="R48" s="19">
        <f t="shared" si="5"/>
        <v>25</v>
      </c>
      <c r="S48" s="19">
        <f t="shared" si="5"/>
        <v>0</v>
      </c>
      <c r="T48" s="19">
        <f t="shared" si="5"/>
        <v>0</v>
      </c>
      <c r="U48" s="19">
        <f t="shared" si="5"/>
        <v>0</v>
      </c>
      <c r="V48" s="19">
        <f t="shared" si="5"/>
        <v>0</v>
      </c>
      <c r="W48" s="19">
        <f t="shared" si="3"/>
        <v>1</v>
      </c>
    </row>
    <row r="49" spans="1:23">
      <c r="A49" s="24" t="str">
        <f t="shared" si="2"/>
        <v>10030_1-4/59&lt;lv41&gt;</v>
      </c>
      <c r="B49" s="19">
        <f t="shared" si="6"/>
        <v>10030</v>
      </c>
      <c r="C49" s="19">
        <f t="shared" si="6"/>
        <v>1</v>
      </c>
      <c r="D49" s="19">
        <f t="shared" si="6"/>
        <v>4</v>
      </c>
      <c r="E49" s="19">
        <f t="shared" si="6"/>
        <v>59</v>
      </c>
      <c r="F49" s="19">
        <f t="shared" si="6"/>
        <v>41</v>
      </c>
      <c r="G49" s="19">
        <f t="shared" si="5"/>
        <v>1</v>
      </c>
      <c r="H49" s="19">
        <f t="shared" si="5"/>
        <v>1</v>
      </c>
      <c r="I49" s="19">
        <f t="shared" si="5"/>
        <v>0</v>
      </c>
      <c r="J49" s="19">
        <f t="shared" si="6"/>
        <v>59</v>
      </c>
      <c r="K49" s="19">
        <f t="shared" si="6"/>
        <v>1</v>
      </c>
      <c r="L49" s="19">
        <f t="shared" si="6"/>
        <v>100</v>
      </c>
      <c r="M49" s="19">
        <f t="shared" si="6"/>
        <v>0</v>
      </c>
      <c r="N49" s="19">
        <f t="shared" si="6"/>
        <v>2</v>
      </c>
      <c r="O49" s="19">
        <f t="shared" si="6"/>
        <v>59</v>
      </c>
      <c r="P49" s="19">
        <f t="shared" si="6"/>
        <v>1</v>
      </c>
      <c r="Q49" s="19">
        <f t="shared" si="6"/>
        <v>2</v>
      </c>
      <c r="R49" s="19">
        <f t="shared" si="5"/>
        <v>25</v>
      </c>
      <c r="S49" s="19">
        <f t="shared" si="5"/>
        <v>0</v>
      </c>
      <c r="T49" s="19">
        <f t="shared" si="5"/>
        <v>0</v>
      </c>
      <c r="U49" s="19">
        <f t="shared" si="5"/>
        <v>0</v>
      </c>
      <c r="V49" s="19">
        <f t="shared" si="5"/>
        <v>0</v>
      </c>
      <c r="W49" s="19">
        <f t="shared" si="3"/>
        <v>1</v>
      </c>
    </row>
    <row r="50" spans="1:23">
      <c r="A50" s="24" t="str">
        <f t="shared" si="2"/>
        <v>10030_1-4/45&lt;lv41&gt;</v>
      </c>
      <c r="B50" s="19">
        <f t="shared" si="6"/>
        <v>10030</v>
      </c>
      <c r="C50" s="19">
        <f t="shared" si="6"/>
        <v>1</v>
      </c>
      <c r="D50" s="19">
        <f t="shared" si="6"/>
        <v>4</v>
      </c>
      <c r="E50" s="19">
        <f t="shared" si="6"/>
        <v>45</v>
      </c>
      <c r="F50" s="19">
        <f t="shared" si="6"/>
        <v>41</v>
      </c>
      <c r="G50" s="19">
        <f t="shared" si="5"/>
        <v>1</v>
      </c>
      <c r="H50" s="19">
        <f t="shared" si="5"/>
        <v>1</v>
      </c>
      <c r="I50" s="19">
        <f t="shared" si="5"/>
        <v>0</v>
      </c>
      <c r="J50" s="19">
        <f t="shared" si="6"/>
        <v>0</v>
      </c>
      <c r="K50" s="19">
        <f t="shared" si="6"/>
        <v>2</v>
      </c>
      <c r="L50" s="19">
        <f t="shared" si="6"/>
        <v>100</v>
      </c>
      <c r="M50" s="19">
        <f t="shared" si="6"/>
        <v>0</v>
      </c>
      <c r="N50" s="19">
        <f t="shared" si="6"/>
        <v>3</v>
      </c>
      <c r="O50" s="19">
        <f t="shared" si="6"/>
        <v>45</v>
      </c>
      <c r="P50" s="19">
        <f t="shared" si="6"/>
        <v>1</v>
      </c>
      <c r="Q50" s="19">
        <f t="shared" si="6"/>
        <v>2</v>
      </c>
      <c r="R50" s="19">
        <f t="shared" si="5"/>
        <v>25</v>
      </c>
      <c r="S50" s="19">
        <f t="shared" si="5"/>
        <v>0</v>
      </c>
      <c r="T50" s="19">
        <f t="shared" si="5"/>
        <v>0</v>
      </c>
      <c r="U50" s="19">
        <f t="shared" si="5"/>
        <v>0</v>
      </c>
      <c r="V50" s="19">
        <f t="shared" si="5"/>
        <v>0</v>
      </c>
      <c r="W50" s="19">
        <f t="shared" si="3"/>
        <v>1</v>
      </c>
    </row>
    <row r="51" spans="1:23">
      <c r="A51" s="24" t="str">
        <f t="shared" si="2"/>
        <v>10030_1-5/185&lt;lv32&gt;</v>
      </c>
      <c r="B51" s="19">
        <f t="shared" si="6"/>
        <v>10030</v>
      </c>
      <c r="C51" s="19">
        <f t="shared" si="6"/>
        <v>1</v>
      </c>
      <c r="D51" s="19">
        <f t="shared" si="6"/>
        <v>5</v>
      </c>
      <c r="E51" s="19">
        <f t="shared" si="6"/>
        <v>185</v>
      </c>
      <c r="F51" s="19">
        <f t="shared" si="6"/>
        <v>32</v>
      </c>
      <c r="G51" s="19">
        <f t="shared" si="5"/>
        <v>1</v>
      </c>
      <c r="H51" s="19">
        <f t="shared" si="5"/>
        <v>1</v>
      </c>
      <c r="I51" s="19">
        <f t="shared" si="5"/>
        <v>0</v>
      </c>
      <c r="J51" s="19">
        <f t="shared" si="6"/>
        <v>185</v>
      </c>
      <c r="K51" s="19">
        <f t="shared" si="6"/>
        <v>1</v>
      </c>
      <c r="L51" s="19">
        <f t="shared" si="6"/>
        <v>100</v>
      </c>
      <c r="M51" s="19">
        <f t="shared" si="6"/>
        <v>1</v>
      </c>
      <c r="N51" s="19">
        <f t="shared" si="6"/>
        <v>3</v>
      </c>
      <c r="O51" s="19">
        <f t="shared" si="6"/>
        <v>184</v>
      </c>
      <c r="P51" s="19">
        <f t="shared" si="6"/>
        <v>1</v>
      </c>
      <c r="Q51" s="19">
        <f t="shared" si="6"/>
        <v>3</v>
      </c>
      <c r="R51" s="19">
        <f t="shared" si="5"/>
        <v>0</v>
      </c>
      <c r="S51" s="19">
        <f t="shared" si="5"/>
        <v>0</v>
      </c>
      <c r="T51" s="19">
        <f t="shared" si="5"/>
        <v>0</v>
      </c>
      <c r="U51" s="19">
        <f t="shared" si="5"/>
        <v>0</v>
      </c>
      <c r="V51" s="19">
        <f t="shared" si="5"/>
        <v>0</v>
      </c>
      <c r="W51" s="19">
        <f t="shared" si="3"/>
        <v>1</v>
      </c>
    </row>
    <row r="52" spans="1:23">
      <c r="A52" s="24" t="str">
        <f t="shared" si="2"/>
        <v>10030_1-5/182&lt;lv31&gt;</v>
      </c>
      <c r="B52" s="19">
        <f t="shared" si="6"/>
        <v>10030</v>
      </c>
      <c r="C52" s="19">
        <f t="shared" si="6"/>
        <v>1</v>
      </c>
      <c r="D52" s="19">
        <f t="shared" si="6"/>
        <v>5</v>
      </c>
      <c r="E52" s="19">
        <f t="shared" si="6"/>
        <v>182</v>
      </c>
      <c r="F52" s="19">
        <f t="shared" si="6"/>
        <v>31</v>
      </c>
      <c r="G52" s="19">
        <f t="shared" si="5"/>
        <v>1</v>
      </c>
      <c r="H52" s="19">
        <f t="shared" si="5"/>
        <v>1</v>
      </c>
      <c r="I52" s="19">
        <f t="shared" si="5"/>
        <v>0</v>
      </c>
      <c r="J52" s="19">
        <f t="shared" si="6"/>
        <v>182</v>
      </c>
      <c r="K52" s="19">
        <f t="shared" si="6"/>
        <v>1</v>
      </c>
      <c r="L52" s="19">
        <f t="shared" si="6"/>
        <v>100</v>
      </c>
      <c r="M52" s="19">
        <f t="shared" si="6"/>
        <v>1</v>
      </c>
      <c r="N52" s="19">
        <f t="shared" si="6"/>
        <v>2</v>
      </c>
      <c r="O52" s="19">
        <f t="shared" si="6"/>
        <v>181</v>
      </c>
      <c r="P52" s="19">
        <f t="shared" si="6"/>
        <v>1</v>
      </c>
      <c r="Q52" s="19">
        <f t="shared" si="6"/>
        <v>3</v>
      </c>
      <c r="R52" s="19">
        <f t="shared" si="5"/>
        <v>0</v>
      </c>
      <c r="S52" s="19">
        <f t="shared" si="5"/>
        <v>0</v>
      </c>
      <c r="T52" s="19">
        <f t="shared" si="5"/>
        <v>0</v>
      </c>
      <c r="U52" s="19">
        <f t="shared" si="5"/>
        <v>0</v>
      </c>
      <c r="V52" s="19">
        <f t="shared" si="5"/>
        <v>0</v>
      </c>
      <c r="W52" s="19">
        <f t="shared" si="3"/>
        <v>1</v>
      </c>
    </row>
    <row r="53" spans="1:23">
      <c r="A53" s="24" t="str">
        <f t="shared" si="2"/>
        <v>10035_1-1/21&lt;lv44&gt;</v>
      </c>
      <c r="B53" s="19">
        <f t="shared" si="6"/>
        <v>10035</v>
      </c>
      <c r="C53" s="19">
        <f t="shared" si="6"/>
        <v>1</v>
      </c>
      <c r="D53" s="19">
        <f t="shared" si="6"/>
        <v>1</v>
      </c>
      <c r="E53" s="19">
        <f t="shared" si="6"/>
        <v>21</v>
      </c>
      <c r="F53" s="19">
        <f t="shared" si="6"/>
        <v>44</v>
      </c>
      <c r="G53" s="19">
        <f t="shared" si="5"/>
        <v>1</v>
      </c>
      <c r="H53" s="19">
        <f t="shared" si="5"/>
        <v>1</v>
      </c>
      <c r="I53" s="19">
        <f t="shared" si="5"/>
        <v>0</v>
      </c>
      <c r="J53" s="19">
        <f t="shared" si="6"/>
        <v>0</v>
      </c>
      <c r="K53" s="19">
        <f t="shared" si="6"/>
        <v>0</v>
      </c>
      <c r="L53" s="19">
        <f t="shared" si="6"/>
        <v>100</v>
      </c>
      <c r="M53" s="19">
        <f t="shared" ref="M53:W72" si="7">VLOOKUP($A53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53" s="19">
        <f t="shared" si="7"/>
        <v>2</v>
      </c>
      <c r="O53" s="19">
        <f t="shared" si="7"/>
        <v>21</v>
      </c>
      <c r="P53" s="19">
        <f t="shared" si="7"/>
        <v>1</v>
      </c>
      <c r="Q53" s="19">
        <f t="shared" si="7"/>
        <v>1</v>
      </c>
      <c r="R53" s="19">
        <f t="shared" si="7"/>
        <v>25</v>
      </c>
      <c r="S53" s="19">
        <f t="shared" si="7"/>
        <v>0</v>
      </c>
      <c r="T53" s="19">
        <f t="shared" si="7"/>
        <v>0</v>
      </c>
      <c r="U53" s="19">
        <f t="shared" si="7"/>
        <v>0</v>
      </c>
      <c r="V53" s="19">
        <f t="shared" si="7"/>
        <v>0</v>
      </c>
      <c r="W53" s="19">
        <f t="shared" si="7"/>
        <v>1</v>
      </c>
    </row>
    <row r="54" spans="1:23">
      <c r="A54" s="24" t="str">
        <f t="shared" si="2"/>
        <v>10035_1-1/9&lt;lv44&gt;</v>
      </c>
      <c r="B54" s="19">
        <f t="shared" ref="B54:Q73" si="8">VLOOKUP($A54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10035</v>
      </c>
      <c r="C54" s="19">
        <f t="shared" si="8"/>
        <v>1</v>
      </c>
      <c r="D54" s="19">
        <f t="shared" si="8"/>
        <v>1</v>
      </c>
      <c r="E54" s="19">
        <f t="shared" si="8"/>
        <v>9</v>
      </c>
      <c r="F54" s="19">
        <f t="shared" si="8"/>
        <v>44</v>
      </c>
      <c r="G54" s="19">
        <f t="shared" si="5"/>
        <v>1</v>
      </c>
      <c r="H54" s="19">
        <f t="shared" si="5"/>
        <v>1</v>
      </c>
      <c r="I54" s="19">
        <f t="shared" si="5"/>
        <v>0</v>
      </c>
      <c r="J54" s="19">
        <f t="shared" si="8"/>
        <v>0</v>
      </c>
      <c r="K54" s="19">
        <f t="shared" si="8"/>
        <v>0</v>
      </c>
      <c r="L54" s="19">
        <f t="shared" si="8"/>
        <v>100</v>
      </c>
      <c r="M54" s="19">
        <f t="shared" si="8"/>
        <v>0</v>
      </c>
      <c r="N54" s="19">
        <f t="shared" si="8"/>
        <v>2</v>
      </c>
      <c r="O54" s="19">
        <f t="shared" si="8"/>
        <v>9</v>
      </c>
      <c r="P54" s="19">
        <f t="shared" si="8"/>
        <v>1</v>
      </c>
      <c r="Q54" s="19">
        <f t="shared" si="8"/>
        <v>1</v>
      </c>
      <c r="R54" s="19">
        <f t="shared" si="7"/>
        <v>25</v>
      </c>
      <c r="S54" s="19">
        <f t="shared" si="7"/>
        <v>0</v>
      </c>
      <c r="T54" s="19">
        <f t="shared" si="7"/>
        <v>0</v>
      </c>
      <c r="U54" s="19">
        <f t="shared" si="7"/>
        <v>0</v>
      </c>
      <c r="V54" s="19">
        <f t="shared" si="7"/>
        <v>0</v>
      </c>
      <c r="W54" s="19">
        <f t="shared" si="7"/>
        <v>1</v>
      </c>
    </row>
    <row r="55" spans="1:23">
      <c r="A55" s="24" t="str">
        <f t="shared" si="2"/>
        <v>10035_1-2/13&lt;lv44&gt;</v>
      </c>
      <c r="B55" s="19">
        <f t="shared" si="8"/>
        <v>10035</v>
      </c>
      <c r="C55" s="19">
        <f t="shared" si="8"/>
        <v>1</v>
      </c>
      <c r="D55" s="19">
        <f t="shared" si="8"/>
        <v>2</v>
      </c>
      <c r="E55" s="19">
        <f t="shared" si="8"/>
        <v>13</v>
      </c>
      <c r="F55" s="19">
        <f t="shared" si="8"/>
        <v>44</v>
      </c>
      <c r="G55" s="19">
        <f t="shared" si="5"/>
        <v>1</v>
      </c>
      <c r="H55" s="19">
        <f t="shared" si="5"/>
        <v>1</v>
      </c>
      <c r="I55" s="19">
        <f t="shared" si="5"/>
        <v>0</v>
      </c>
      <c r="J55" s="19">
        <f t="shared" si="8"/>
        <v>0</v>
      </c>
      <c r="K55" s="19">
        <f t="shared" si="8"/>
        <v>0</v>
      </c>
      <c r="L55" s="19">
        <f t="shared" si="8"/>
        <v>100</v>
      </c>
      <c r="M55" s="19">
        <f t="shared" si="8"/>
        <v>0</v>
      </c>
      <c r="N55" s="19">
        <f t="shared" si="8"/>
        <v>2</v>
      </c>
      <c r="O55" s="19">
        <f t="shared" si="8"/>
        <v>13</v>
      </c>
      <c r="P55" s="19">
        <f t="shared" si="8"/>
        <v>1</v>
      </c>
      <c r="Q55" s="19">
        <f t="shared" si="8"/>
        <v>1</v>
      </c>
      <c r="R55" s="19">
        <f t="shared" si="7"/>
        <v>25</v>
      </c>
      <c r="S55" s="19">
        <f t="shared" si="7"/>
        <v>0</v>
      </c>
      <c r="T55" s="19">
        <f t="shared" si="7"/>
        <v>0</v>
      </c>
      <c r="U55" s="19">
        <f t="shared" si="7"/>
        <v>0</v>
      </c>
      <c r="V55" s="19">
        <f t="shared" si="7"/>
        <v>0</v>
      </c>
      <c r="W55" s="19">
        <f t="shared" si="7"/>
        <v>1</v>
      </c>
    </row>
    <row r="56" spans="1:23">
      <c r="A56" s="24" t="str">
        <f t="shared" si="2"/>
        <v>10035_1-2/15&lt;lv44&gt;</v>
      </c>
      <c r="B56" s="19">
        <f t="shared" si="8"/>
        <v>10035</v>
      </c>
      <c r="C56" s="19">
        <f t="shared" si="8"/>
        <v>1</v>
      </c>
      <c r="D56" s="19">
        <f t="shared" si="8"/>
        <v>2</v>
      </c>
      <c r="E56" s="19">
        <f t="shared" si="8"/>
        <v>15</v>
      </c>
      <c r="F56" s="19">
        <f t="shared" si="8"/>
        <v>44</v>
      </c>
      <c r="G56" s="19">
        <f t="shared" si="5"/>
        <v>1</v>
      </c>
      <c r="H56" s="19">
        <f t="shared" si="5"/>
        <v>1</v>
      </c>
      <c r="I56" s="19">
        <f t="shared" si="5"/>
        <v>0</v>
      </c>
      <c r="J56" s="19">
        <f t="shared" si="8"/>
        <v>0</v>
      </c>
      <c r="K56" s="19">
        <f t="shared" si="8"/>
        <v>0</v>
      </c>
      <c r="L56" s="19">
        <f t="shared" si="8"/>
        <v>100</v>
      </c>
      <c r="M56" s="19">
        <f t="shared" si="8"/>
        <v>0</v>
      </c>
      <c r="N56" s="19">
        <f t="shared" si="8"/>
        <v>3</v>
      </c>
      <c r="O56" s="19">
        <f t="shared" si="8"/>
        <v>15</v>
      </c>
      <c r="P56" s="19">
        <f t="shared" si="8"/>
        <v>1</v>
      </c>
      <c r="Q56" s="19">
        <f t="shared" si="8"/>
        <v>1</v>
      </c>
      <c r="R56" s="19">
        <f t="shared" si="7"/>
        <v>25</v>
      </c>
      <c r="S56" s="19">
        <f t="shared" si="7"/>
        <v>0</v>
      </c>
      <c r="T56" s="19">
        <f t="shared" si="7"/>
        <v>0</v>
      </c>
      <c r="U56" s="19">
        <f t="shared" si="7"/>
        <v>0</v>
      </c>
      <c r="V56" s="19">
        <f t="shared" si="7"/>
        <v>0</v>
      </c>
      <c r="W56" s="19">
        <f t="shared" si="7"/>
        <v>1</v>
      </c>
    </row>
    <row r="57" spans="1:23">
      <c r="A57" s="24" t="str">
        <f t="shared" si="2"/>
        <v>10035_1-2/31&lt;lv44&gt;</v>
      </c>
      <c r="B57" s="19">
        <f t="shared" si="8"/>
        <v>10035</v>
      </c>
      <c r="C57" s="19">
        <f t="shared" si="8"/>
        <v>1</v>
      </c>
      <c r="D57" s="19">
        <f t="shared" si="8"/>
        <v>2</v>
      </c>
      <c r="E57" s="19">
        <f t="shared" si="8"/>
        <v>31</v>
      </c>
      <c r="F57" s="19">
        <f t="shared" si="8"/>
        <v>44</v>
      </c>
      <c r="G57" s="19">
        <f t="shared" si="5"/>
        <v>1</v>
      </c>
      <c r="H57" s="19">
        <f t="shared" si="5"/>
        <v>1</v>
      </c>
      <c r="I57" s="19">
        <f t="shared" si="5"/>
        <v>0</v>
      </c>
      <c r="J57" s="19">
        <f t="shared" si="8"/>
        <v>0</v>
      </c>
      <c r="K57" s="19">
        <f t="shared" si="8"/>
        <v>0</v>
      </c>
      <c r="L57" s="19">
        <f t="shared" si="8"/>
        <v>100</v>
      </c>
      <c r="M57" s="19">
        <f t="shared" si="8"/>
        <v>0</v>
      </c>
      <c r="N57" s="19">
        <f t="shared" si="8"/>
        <v>2</v>
      </c>
      <c r="O57" s="19">
        <f t="shared" si="8"/>
        <v>31</v>
      </c>
      <c r="P57" s="19">
        <f t="shared" si="8"/>
        <v>1</v>
      </c>
      <c r="Q57" s="19">
        <f t="shared" si="8"/>
        <v>1</v>
      </c>
      <c r="R57" s="19">
        <f t="shared" si="7"/>
        <v>25</v>
      </c>
      <c r="S57" s="19">
        <f t="shared" si="7"/>
        <v>0</v>
      </c>
      <c r="T57" s="19">
        <f t="shared" si="7"/>
        <v>0</v>
      </c>
      <c r="U57" s="19">
        <f t="shared" si="7"/>
        <v>0</v>
      </c>
      <c r="V57" s="19">
        <f t="shared" si="7"/>
        <v>0</v>
      </c>
      <c r="W57" s="19">
        <f t="shared" si="7"/>
        <v>1</v>
      </c>
    </row>
    <row r="58" spans="1:23">
      <c r="A58" s="24" t="str">
        <f t="shared" si="2"/>
        <v>10035_1-3/19&lt;lv44&gt;</v>
      </c>
      <c r="B58" s="19">
        <f t="shared" si="8"/>
        <v>10035</v>
      </c>
      <c r="C58" s="19">
        <f t="shared" si="8"/>
        <v>1</v>
      </c>
      <c r="D58" s="19">
        <f t="shared" si="8"/>
        <v>3</v>
      </c>
      <c r="E58" s="19">
        <f t="shared" si="8"/>
        <v>19</v>
      </c>
      <c r="F58" s="19">
        <f t="shared" si="8"/>
        <v>44</v>
      </c>
      <c r="G58" s="19">
        <f t="shared" si="5"/>
        <v>1</v>
      </c>
      <c r="H58" s="19">
        <f t="shared" si="5"/>
        <v>1</v>
      </c>
      <c r="I58" s="19">
        <f t="shared" si="5"/>
        <v>0</v>
      </c>
      <c r="J58" s="19">
        <f t="shared" si="8"/>
        <v>0</v>
      </c>
      <c r="K58" s="19">
        <f t="shared" si="8"/>
        <v>0</v>
      </c>
      <c r="L58" s="19">
        <f t="shared" si="8"/>
        <v>100</v>
      </c>
      <c r="M58" s="19">
        <f t="shared" si="8"/>
        <v>0</v>
      </c>
      <c r="N58" s="19">
        <f t="shared" si="8"/>
        <v>3</v>
      </c>
      <c r="O58" s="19">
        <f t="shared" si="8"/>
        <v>19</v>
      </c>
      <c r="P58" s="19">
        <f t="shared" si="8"/>
        <v>1</v>
      </c>
      <c r="Q58" s="19">
        <f t="shared" si="8"/>
        <v>1</v>
      </c>
      <c r="R58" s="19">
        <f t="shared" si="7"/>
        <v>25</v>
      </c>
      <c r="S58" s="19">
        <f t="shared" si="7"/>
        <v>0</v>
      </c>
      <c r="T58" s="19">
        <f t="shared" si="7"/>
        <v>0</v>
      </c>
      <c r="U58" s="19">
        <f t="shared" si="7"/>
        <v>0</v>
      </c>
      <c r="V58" s="19">
        <f t="shared" si="7"/>
        <v>0</v>
      </c>
      <c r="W58" s="19">
        <f t="shared" si="7"/>
        <v>1</v>
      </c>
    </row>
    <row r="59" spans="1:23">
      <c r="A59" s="24" t="str">
        <f t="shared" si="2"/>
        <v>10035_1-3/47&lt;lv44&gt;</v>
      </c>
      <c r="B59" s="19">
        <f t="shared" si="8"/>
        <v>10035</v>
      </c>
      <c r="C59" s="19">
        <f t="shared" si="8"/>
        <v>1</v>
      </c>
      <c r="D59" s="19">
        <f t="shared" si="8"/>
        <v>3</v>
      </c>
      <c r="E59" s="19">
        <f t="shared" si="8"/>
        <v>47</v>
      </c>
      <c r="F59" s="19">
        <f t="shared" si="8"/>
        <v>44</v>
      </c>
      <c r="G59" s="19">
        <f t="shared" si="5"/>
        <v>1</v>
      </c>
      <c r="H59" s="19">
        <f t="shared" si="5"/>
        <v>1</v>
      </c>
      <c r="I59" s="19">
        <f t="shared" si="5"/>
        <v>0</v>
      </c>
      <c r="J59" s="19">
        <f t="shared" si="8"/>
        <v>0</v>
      </c>
      <c r="K59" s="19">
        <f t="shared" si="8"/>
        <v>0</v>
      </c>
      <c r="L59" s="19">
        <f t="shared" si="8"/>
        <v>100</v>
      </c>
      <c r="M59" s="19">
        <f t="shared" si="8"/>
        <v>0</v>
      </c>
      <c r="N59" s="19">
        <f t="shared" si="8"/>
        <v>1</v>
      </c>
      <c r="O59" s="19">
        <f t="shared" si="8"/>
        <v>47</v>
      </c>
      <c r="P59" s="19">
        <f t="shared" si="8"/>
        <v>1</v>
      </c>
      <c r="Q59" s="19">
        <f t="shared" si="8"/>
        <v>2</v>
      </c>
      <c r="R59" s="19">
        <f t="shared" si="7"/>
        <v>25</v>
      </c>
      <c r="S59" s="19">
        <f t="shared" si="7"/>
        <v>0</v>
      </c>
      <c r="T59" s="19">
        <f t="shared" si="7"/>
        <v>0</v>
      </c>
      <c r="U59" s="19">
        <f t="shared" si="7"/>
        <v>0</v>
      </c>
      <c r="V59" s="19">
        <f t="shared" si="7"/>
        <v>0</v>
      </c>
      <c r="W59" s="19">
        <f t="shared" si="7"/>
        <v>1</v>
      </c>
    </row>
    <row r="60" spans="1:23">
      <c r="A60" s="24" t="str">
        <f t="shared" si="2"/>
        <v>10035_1-3/41&lt;lv44&gt;</v>
      </c>
      <c r="B60" s="19">
        <f t="shared" si="8"/>
        <v>10035</v>
      </c>
      <c r="C60" s="19">
        <f t="shared" si="8"/>
        <v>1</v>
      </c>
      <c r="D60" s="19">
        <f t="shared" si="8"/>
        <v>3</v>
      </c>
      <c r="E60" s="19">
        <f t="shared" si="8"/>
        <v>41</v>
      </c>
      <c r="F60" s="19">
        <f t="shared" si="8"/>
        <v>44</v>
      </c>
      <c r="G60" s="19">
        <f t="shared" si="5"/>
        <v>1</v>
      </c>
      <c r="H60" s="19">
        <f t="shared" si="5"/>
        <v>1</v>
      </c>
      <c r="I60" s="19">
        <f t="shared" si="5"/>
        <v>0</v>
      </c>
      <c r="J60" s="19">
        <f t="shared" si="8"/>
        <v>0</v>
      </c>
      <c r="K60" s="19">
        <f t="shared" si="8"/>
        <v>1</v>
      </c>
      <c r="L60" s="19">
        <f t="shared" si="8"/>
        <v>100</v>
      </c>
      <c r="M60" s="19">
        <f t="shared" si="8"/>
        <v>0</v>
      </c>
      <c r="N60" s="19">
        <f t="shared" si="8"/>
        <v>1</v>
      </c>
      <c r="O60" s="19">
        <f t="shared" si="8"/>
        <v>41</v>
      </c>
      <c r="P60" s="19">
        <f t="shared" si="8"/>
        <v>1</v>
      </c>
      <c r="Q60" s="19">
        <f t="shared" si="8"/>
        <v>2</v>
      </c>
      <c r="R60" s="19">
        <f t="shared" si="7"/>
        <v>25</v>
      </c>
      <c r="S60" s="19">
        <f t="shared" si="7"/>
        <v>0</v>
      </c>
      <c r="T60" s="19">
        <f t="shared" si="7"/>
        <v>0</v>
      </c>
      <c r="U60" s="19">
        <f t="shared" si="7"/>
        <v>0</v>
      </c>
      <c r="V60" s="19">
        <f t="shared" si="7"/>
        <v>0</v>
      </c>
      <c r="W60" s="19">
        <f t="shared" si="7"/>
        <v>1</v>
      </c>
    </row>
    <row r="61" spans="1:23">
      <c r="A61" s="24" t="str">
        <f t="shared" si="2"/>
        <v>10035_1-4/63&lt;lv45&gt;</v>
      </c>
      <c r="B61" s="19">
        <f t="shared" si="8"/>
        <v>10035</v>
      </c>
      <c r="C61" s="19">
        <f t="shared" si="8"/>
        <v>1</v>
      </c>
      <c r="D61" s="19">
        <f t="shared" si="8"/>
        <v>4</v>
      </c>
      <c r="E61" s="19">
        <f t="shared" si="8"/>
        <v>63</v>
      </c>
      <c r="F61" s="19">
        <f t="shared" si="8"/>
        <v>45</v>
      </c>
      <c r="G61" s="19">
        <f t="shared" si="5"/>
        <v>1</v>
      </c>
      <c r="H61" s="19">
        <f t="shared" si="5"/>
        <v>1</v>
      </c>
      <c r="I61" s="19">
        <f t="shared" si="5"/>
        <v>0</v>
      </c>
      <c r="J61" s="19">
        <f t="shared" si="8"/>
        <v>63</v>
      </c>
      <c r="K61" s="19">
        <f t="shared" si="8"/>
        <v>1</v>
      </c>
      <c r="L61" s="19">
        <f t="shared" si="8"/>
        <v>100</v>
      </c>
      <c r="M61" s="19">
        <f t="shared" si="8"/>
        <v>0</v>
      </c>
      <c r="N61" s="19">
        <f t="shared" si="8"/>
        <v>2</v>
      </c>
      <c r="O61" s="19">
        <f t="shared" si="8"/>
        <v>63</v>
      </c>
      <c r="P61" s="19">
        <f t="shared" si="8"/>
        <v>1</v>
      </c>
      <c r="Q61" s="19">
        <f t="shared" si="8"/>
        <v>2</v>
      </c>
      <c r="R61" s="19">
        <f t="shared" si="7"/>
        <v>25</v>
      </c>
      <c r="S61" s="19">
        <f t="shared" si="7"/>
        <v>0</v>
      </c>
      <c r="T61" s="19">
        <f t="shared" si="7"/>
        <v>0</v>
      </c>
      <c r="U61" s="19">
        <f t="shared" si="7"/>
        <v>0</v>
      </c>
      <c r="V61" s="19">
        <f t="shared" si="7"/>
        <v>0</v>
      </c>
      <c r="W61" s="19">
        <f t="shared" si="7"/>
        <v>1</v>
      </c>
    </row>
    <row r="62" spans="1:23">
      <c r="A62" s="24" t="str">
        <f t="shared" si="2"/>
        <v>10035_1-4/57&lt;lv45&gt;</v>
      </c>
      <c r="B62" s="19">
        <f t="shared" si="8"/>
        <v>10035</v>
      </c>
      <c r="C62" s="19">
        <f t="shared" si="8"/>
        <v>1</v>
      </c>
      <c r="D62" s="19">
        <f t="shared" si="8"/>
        <v>4</v>
      </c>
      <c r="E62" s="19">
        <f t="shared" si="8"/>
        <v>57</v>
      </c>
      <c r="F62" s="19">
        <f t="shared" si="8"/>
        <v>45</v>
      </c>
      <c r="G62" s="19">
        <f t="shared" si="5"/>
        <v>1</v>
      </c>
      <c r="H62" s="19">
        <f t="shared" si="5"/>
        <v>1</v>
      </c>
      <c r="I62" s="19">
        <f t="shared" si="5"/>
        <v>0</v>
      </c>
      <c r="J62" s="19">
        <f t="shared" si="8"/>
        <v>57</v>
      </c>
      <c r="K62" s="19">
        <f t="shared" si="8"/>
        <v>1</v>
      </c>
      <c r="L62" s="19">
        <f t="shared" si="8"/>
        <v>100</v>
      </c>
      <c r="M62" s="19">
        <f t="shared" si="8"/>
        <v>0</v>
      </c>
      <c r="N62" s="19">
        <f t="shared" si="8"/>
        <v>2</v>
      </c>
      <c r="O62" s="19">
        <f t="shared" si="8"/>
        <v>57</v>
      </c>
      <c r="P62" s="19">
        <f t="shared" si="8"/>
        <v>1</v>
      </c>
      <c r="Q62" s="19">
        <f t="shared" si="8"/>
        <v>2</v>
      </c>
      <c r="R62" s="19">
        <f t="shared" si="7"/>
        <v>25</v>
      </c>
      <c r="S62" s="19">
        <f t="shared" si="7"/>
        <v>0</v>
      </c>
      <c r="T62" s="19">
        <f t="shared" si="7"/>
        <v>0</v>
      </c>
      <c r="U62" s="19">
        <f t="shared" si="7"/>
        <v>0</v>
      </c>
      <c r="V62" s="19">
        <f t="shared" si="7"/>
        <v>0</v>
      </c>
      <c r="W62" s="19">
        <f t="shared" si="7"/>
        <v>1</v>
      </c>
    </row>
    <row r="63" spans="1:23">
      <c r="A63" s="24" t="str">
        <f t="shared" si="2"/>
        <v>10035_1-5/224&lt;lv38&gt;</v>
      </c>
      <c r="B63" s="19">
        <f t="shared" si="8"/>
        <v>10035</v>
      </c>
      <c r="C63" s="19">
        <f t="shared" si="8"/>
        <v>1</v>
      </c>
      <c r="D63" s="19">
        <f t="shared" si="8"/>
        <v>5</v>
      </c>
      <c r="E63" s="19">
        <f t="shared" si="8"/>
        <v>224</v>
      </c>
      <c r="F63" s="19">
        <f t="shared" si="8"/>
        <v>38</v>
      </c>
      <c r="G63" s="19">
        <f t="shared" si="5"/>
        <v>1</v>
      </c>
      <c r="H63" s="19">
        <f t="shared" si="5"/>
        <v>1</v>
      </c>
      <c r="I63" s="19">
        <f t="shared" si="5"/>
        <v>0</v>
      </c>
      <c r="J63" s="19">
        <f t="shared" si="8"/>
        <v>224</v>
      </c>
      <c r="K63" s="19">
        <f t="shared" si="8"/>
        <v>1</v>
      </c>
      <c r="L63" s="19">
        <f t="shared" si="8"/>
        <v>100</v>
      </c>
      <c r="M63" s="19">
        <f t="shared" si="8"/>
        <v>1</v>
      </c>
      <c r="N63" s="19">
        <f t="shared" si="8"/>
        <v>2</v>
      </c>
      <c r="O63" s="19">
        <f t="shared" si="8"/>
        <v>223</v>
      </c>
      <c r="P63" s="19">
        <f t="shared" si="8"/>
        <v>1</v>
      </c>
      <c r="Q63" s="19">
        <f t="shared" si="8"/>
        <v>3</v>
      </c>
      <c r="R63" s="19">
        <f t="shared" si="7"/>
        <v>0</v>
      </c>
      <c r="S63" s="19">
        <f t="shared" si="7"/>
        <v>0</v>
      </c>
      <c r="T63" s="19">
        <f t="shared" si="7"/>
        <v>0</v>
      </c>
      <c r="U63" s="19">
        <f t="shared" si="7"/>
        <v>0</v>
      </c>
      <c r="V63" s="19">
        <f t="shared" si="7"/>
        <v>0</v>
      </c>
      <c r="W63" s="19">
        <f t="shared" si="7"/>
        <v>1</v>
      </c>
    </row>
    <row r="64" spans="1:23">
      <c r="A64" s="24" t="str">
        <f t="shared" si="2"/>
        <v>10035_1-5/215&lt;lv36&gt;</v>
      </c>
      <c r="B64" s="19">
        <f t="shared" si="8"/>
        <v>10035</v>
      </c>
      <c r="C64" s="19">
        <f t="shared" si="8"/>
        <v>1</v>
      </c>
      <c r="D64" s="19">
        <f t="shared" si="8"/>
        <v>5</v>
      </c>
      <c r="E64" s="19">
        <f t="shared" si="8"/>
        <v>215</v>
      </c>
      <c r="F64" s="19">
        <f t="shared" si="8"/>
        <v>36</v>
      </c>
      <c r="G64" s="19">
        <f t="shared" si="5"/>
        <v>1</v>
      </c>
      <c r="H64" s="19">
        <f t="shared" si="5"/>
        <v>1</v>
      </c>
      <c r="I64" s="19">
        <f t="shared" si="5"/>
        <v>0</v>
      </c>
      <c r="J64" s="19">
        <f t="shared" si="8"/>
        <v>215</v>
      </c>
      <c r="K64" s="19">
        <f t="shared" si="8"/>
        <v>1</v>
      </c>
      <c r="L64" s="19">
        <f t="shared" si="8"/>
        <v>100</v>
      </c>
      <c r="M64" s="19">
        <f t="shared" si="8"/>
        <v>1</v>
      </c>
      <c r="N64" s="19">
        <f t="shared" si="8"/>
        <v>2</v>
      </c>
      <c r="O64" s="19">
        <f t="shared" si="8"/>
        <v>214</v>
      </c>
      <c r="P64" s="19">
        <f t="shared" si="8"/>
        <v>1</v>
      </c>
      <c r="Q64" s="19">
        <f t="shared" si="8"/>
        <v>3</v>
      </c>
      <c r="R64" s="19">
        <f t="shared" si="7"/>
        <v>0</v>
      </c>
      <c r="S64" s="19">
        <f t="shared" si="7"/>
        <v>0</v>
      </c>
      <c r="T64" s="19">
        <f t="shared" si="7"/>
        <v>0</v>
      </c>
      <c r="U64" s="19">
        <f t="shared" si="7"/>
        <v>0</v>
      </c>
      <c r="V64" s="19">
        <f t="shared" si="7"/>
        <v>0</v>
      </c>
      <c r="W64" s="19">
        <f t="shared" si="7"/>
        <v>1</v>
      </c>
    </row>
    <row r="65" spans="1:23">
      <c r="A65" s="24" t="str">
        <f t="shared" si="2"/>
        <v>10040_1-1/11&lt;lv50&gt;</v>
      </c>
      <c r="B65" s="19">
        <f t="shared" si="8"/>
        <v>10040</v>
      </c>
      <c r="C65" s="19">
        <f t="shared" si="8"/>
        <v>1</v>
      </c>
      <c r="D65" s="19">
        <f t="shared" si="8"/>
        <v>1</v>
      </c>
      <c r="E65" s="19">
        <f t="shared" si="8"/>
        <v>11</v>
      </c>
      <c r="F65" s="19">
        <f t="shared" si="8"/>
        <v>50</v>
      </c>
      <c r="G65" s="19">
        <f t="shared" si="5"/>
        <v>1</v>
      </c>
      <c r="H65" s="19">
        <f t="shared" si="5"/>
        <v>1</v>
      </c>
      <c r="I65" s="19">
        <f t="shared" si="5"/>
        <v>0</v>
      </c>
      <c r="J65" s="19">
        <f t="shared" si="8"/>
        <v>0</v>
      </c>
      <c r="K65" s="19">
        <f t="shared" si="8"/>
        <v>0</v>
      </c>
      <c r="L65" s="19">
        <f t="shared" si="8"/>
        <v>100</v>
      </c>
      <c r="M65" s="19">
        <f t="shared" si="8"/>
        <v>0</v>
      </c>
      <c r="N65" s="19">
        <f t="shared" si="8"/>
        <v>3</v>
      </c>
      <c r="O65" s="19">
        <f t="shared" si="8"/>
        <v>11</v>
      </c>
      <c r="P65" s="19">
        <f t="shared" si="8"/>
        <v>1</v>
      </c>
      <c r="Q65" s="19">
        <f t="shared" si="8"/>
        <v>1</v>
      </c>
      <c r="R65" s="19">
        <f t="shared" si="7"/>
        <v>25</v>
      </c>
      <c r="S65" s="19">
        <f t="shared" si="7"/>
        <v>0</v>
      </c>
      <c r="T65" s="19">
        <f t="shared" si="7"/>
        <v>0</v>
      </c>
      <c r="U65" s="19">
        <f t="shared" si="7"/>
        <v>0</v>
      </c>
      <c r="V65" s="19">
        <f t="shared" si="7"/>
        <v>0</v>
      </c>
      <c r="W65" s="19">
        <f t="shared" si="7"/>
        <v>1</v>
      </c>
    </row>
    <row r="66" spans="1:23">
      <c r="A66" s="24" t="str">
        <f t="shared" si="2"/>
        <v>10040_1-1/31&lt;lv50&gt;</v>
      </c>
      <c r="B66" s="19">
        <f t="shared" si="8"/>
        <v>10040</v>
      </c>
      <c r="C66" s="19">
        <f t="shared" si="8"/>
        <v>1</v>
      </c>
      <c r="D66" s="19">
        <f t="shared" si="8"/>
        <v>1</v>
      </c>
      <c r="E66" s="19">
        <f t="shared" si="8"/>
        <v>31</v>
      </c>
      <c r="F66" s="19">
        <f t="shared" si="8"/>
        <v>50</v>
      </c>
      <c r="G66" s="19">
        <f t="shared" si="5"/>
        <v>1</v>
      </c>
      <c r="H66" s="19">
        <f t="shared" si="5"/>
        <v>1</v>
      </c>
      <c r="I66" s="19">
        <f t="shared" si="5"/>
        <v>0</v>
      </c>
      <c r="J66" s="19">
        <f t="shared" si="8"/>
        <v>0</v>
      </c>
      <c r="K66" s="19">
        <f t="shared" si="8"/>
        <v>0</v>
      </c>
      <c r="L66" s="19">
        <f t="shared" si="8"/>
        <v>100</v>
      </c>
      <c r="M66" s="19">
        <f t="shared" si="8"/>
        <v>0</v>
      </c>
      <c r="N66" s="19">
        <f t="shared" si="8"/>
        <v>2</v>
      </c>
      <c r="O66" s="19">
        <f t="shared" si="8"/>
        <v>31</v>
      </c>
      <c r="P66" s="19">
        <f t="shared" si="8"/>
        <v>1</v>
      </c>
      <c r="Q66" s="19">
        <f t="shared" si="8"/>
        <v>1</v>
      </c>
      <c r="R66" s="19">
        <f t="shared" si="7"/>
        <v>25</v>
      </c>
      <c r="S66" s="19">
        <f t="shared" si="7"/>
        <v>0</v>
      </c>
      <c r="T66" s="19">
        <f t="shared" si="7"/>
        <v>0</v>
      </c>
      <c r="U66" s="19">
        <f t="shared" si="7"/>
        <v>0</v>
      </c>
      <c r="V66" s="19">
        <f t="shared" si="7"/>
        <v>0</v>
      </c>
      <c r="W66" s="19">
        <f t="shared" si="7"/>
        <v>1</v>
      </c>
    </row>
    <row r="67" spans="1:23">
      <c r="A67" s="24" t="str">
        <f t="shared" si="2"/>
        <v>10040_1-2/31&lt;lv50&gt;</v>
      </c>
      <c r="B67" s="19">
        <f t="shared" si="8"/>
        <v>10040</v>
      </c>
      <c r="C67" s="19">
        <f t="shared" si="8"/>
        <v>1</v>
      </c>
      <c r="D67" s="19">
        <f t="shared" si="8"/>
        <v>2</v>
      </c>
      <c r="E67" s="19">
        <f t="shared" si="8"/>
        <v>31</v>
      </c>
      <c r="F67" s="19">
        <f t="shared" si="8"/>
        <v>50</v>
      </c>
      <c r="G67" s="19">
        <f t="shared" si="5"/>
        <v>1</v>
      </c>
      <c r="H67" s="19">
        <f t="shared" si="5"/>
        <v>1</v>
      </c>
      <c r="I67" s="19">
        <f t="shared" si="5"/>
        <v>0</v>
      </c>
      <c r="J67" s="19">
        <f t="shared" si="8"/>
        <v>0</v>
      </c>
      <c r="K67" s="19">
        <f t="shared" si="8"/>
        <v>0</v>
      </c>
      <c r="L67" s="19">
        <f t="shared" si="8"/>
        <v>100</v>
      </c>
      <c r="M67" s="19">
        <f t="shared" si="8"/>
        <v>0</v>
      </c>
      <c r="N67" s="19">
        <f t="shared" si="8"/>
        <v>2</v>
      </c>
      <c r="O67" s="19">
        <f t="shared" si="8"/>
        <v>31</v>
      </c>
      <c r="P67" s="19">
        <f t="shared" si="8"/>
        <v>1</v>
      </c>
      <c r="Q67" s="19">
        <f t="shared" si="8"/>
        <v>1</v>
      </c>
      <c r="R67" s="19">
        <f t="shared" si="7"/>
        <v>25</v>
      </c>
      <c r="S67" s="19">
        <f t="shared" si="7"/>
        <v>0</v>
      </c>
      <c r="T67" s="19">
        <f t="shared" si="7"/>
        <v>0</v>
      </c>
      <c r="U67" s="19">
        <f t="shared" si="7"/>
        <v>0</v>
      </c>
      <c r="V67" s="19">
        <f t="shared" si="7"/>
        <v>0</v>
      </c>
      <c r="W67" s="19">
        <f t="shared" si="7"/>
        <v>1</v>
      </c>
    </row>
    <row r="68" spans="1:23">
      <c r="A68" s="24" t="str">
        <f t="shared" ref="A68:A130" si="9">INDIRECT(ADDRESS(ROW()+$A$1,COLUMN(),1,TRUE,$C$1))</f>
        <v>10040_1-2/23&lt;lv50&gt;</v>
      </c>
      <c r="B68" s="19">
        <f t="shared" si="8"/>
        <v>10040</v>
      </c>
      <c r="C68" s="19">
        <f t="shared" si="8"/>
        <v>1</v>
      </c>
      <c r="D68" s="19">
        <f t="shared" si="8"/>
        <v>2</v>
      </c>
      <c r="E68" s="19">
        <f t="shared" si="8"/>
        <v>23</v>
      </c>
      <c r="F68" s="19">
        <f t="shared" si="8"/>
        <v>50</v>
      </c>
      <c r="G68" s="19">
        <f t="shared" si="5"/>
        <v>1</v>
      </c>
      <c r="H68" s="19">
        <f t="shared" si="5"/>
        <v>1</v>
      </c>
      <c r="I68" s="19">
        <f t="shared" si="5"/>
        <v>0</v>
      </c>
      <c r="J68" s="19">
        <f t="shared" si="8"/>
        <v>0</v>
      </c>
      <c r="K68" s="19">
        <f t="shared" si="8"/>
        <v>0</v>
      </c>
      <c r="L68" s="19">
        <f t="shared" si="8"/>
        <v>100</v>
      </c>
      <c r="M68" s="19">
        <f t="shared" si="8"/>
        <v>0</v>
      </c>
      <c r="N68" s="19">
        <f t="shared" si="8"/>
        <v>4</v>
      </c>
      <c r="O68" s="19">
        <f t="shared" si="8"/>
        <v>23</v>
      </c>
      <c r="P68" s="19">
        <f t="shared" si="8"/>
        <v>1</v>
      </c>
      <c r="Q68" s="19">
        <f t="shared" si="8"/>
        <v>1</v>
      </c>
      <c r="R68" s="19">
        <f t="shared" si="7"/>
        <v>25</v>
      </c>
      <c r="S68" s="19">
        <f t="shared" si="7"/>
        <v>0</v>
      </c>
      <c r="T68" s="19">
        <f t="shared" si="7"/>
        <v>0</v>
      </c>
      <c r="U68" s="19">
        <f t="shared" si="7"/>
        <v>0</v>
      </c>
      <c r="V68" s="19">
        <f t="shared" si="7"/>
        <v>0</v>
      </c>
      <c r="W68" s="19">
        <f t="shared" si="7"/>
        <v>1</v>
      </c>
    </row>
    <row r="69" spans="1:23">
      <c r="A69" s="24" t="str">
        <f t="shared" si="9"/>
        <v>10040_1-2/27&lt;lv50&gt;</v>
      </c>
      <c r="B69" s="19">
        <f t="shared" si="8"/>
        <v>10040</v>
      </c>
      <c r="C69" s="19">
        <f t="shared" si="8"/>
        <v>1</v>
      </c>
      <c r="D69" s="19">
        <f t="shared" si="8"/>
        <v>2</v>
      </c>
      <c r="E69" s="19">
        <f t="shared" si="8"/>
        <v>27</v>
      </c>
      <c r="F69" s="19">
        <f t="shared" si="8"/>
        <v>50</v>
      </c>
      <c r="G69" s="19">
        <f t="shared" si="5"/>
        <v>1</v>
      </c>
      <c r="H69" s="19">
        <f t="shared" si="5"/>
        <v>1</v>
      </c>
      <c r="I69" s="19">
        <f t="shared" si="5"/>
        <v>0</v>
      </c>
      <c r="J69" s="19">
        <f t="shared" si="8"/>
        <v>0</v>
      </c>
      <c r="K69" s="19">
        <f t="shared" si="8"/>
        <v>0</v>
      </c>
      <c r="L69" s="19">
        <f t="shared" si="8"/>
        <v>100</v>
      </c>
      <c r="M69" s="19">
        <f t="shared" si="8"/>
        <v>0</v>
      </c>
      <c r="N69" s="19">
        <f t="shared" si="8"/>
        <v>1</v>
      </c>
      <c r="O69" s="19">
        <f t="shared" si="8"/>
        <v>27</v>
      </c>
      <c r="P69" s="19">
        <f t="shared" si="8"/>
        <v>1</v>
      </c>
      <c r="Q69" s="19">
        <f t="shared" si="8"/>
        <v>1</v>
      </c>
      <c r="R69" s="19">
        <f t="shared" si="7"/>
        <v>25</v>
      </c>
      <c r="S69" s="19">
        <f t="shared" si="7"/>
        <v>0</v>
      </c>
      <c r="T69" s="19">
        <f t="shared" si="7"/>
        <v>0</v>
      </c>
      <c r="U69" s="19">
        <f t="shared" si="7"/>
        <v>0</v>
      </c>
      <c r="V69" s="19">
        <f t="shared" si="7"/>
        <v>0</v>
      </c>
      <c r="W69" s="19">
        <f t="shared" si="7"/>
        <v>1</v>
      </c>
    </row>
    <row r="70" spans="1:23">
      <c r="A70" s="24" t="str">
        <f t="shared" si="9"/>
        <v>10040_1-3/43&lt;lv50&gt;</v>
      </c>
      <c r="B70" s="19">
        <f t="shared" si="8"/>
        <v>10040</v>
      </c>
      <c r="C70" s="19">
        <f t="shared" si="8"/>
        <v>1</v>
      </c>
      <c r="D70" s="19">
        <f t="shared" si="8"/>
        <v>3</v>
      </c>
      <c r="E70" s="19">
        <f t="shared" si="8"/>
        <v>43</v>
      </c>
      <c r="F70" s="19">
        <f t="shared" si="8"/>
        <v>50</v>
      </c>
      <c r="G70" s="19">
        <f t="shared" si="5"/>
        <v>1</v>
      </c>
      <c r="H70" s="19">
        <f t="shared" si="5"/>
        <v>1</v>
      </c>
      <c r="I70" s="19">
        <f t="shared" si="5"/>
        <v>0</v>
      </c>
      <c r="J70" s="19">
        <f t="shared" si="8"/>
        <v>0</v>
      </c>
      <c r="K70" s="19">
        <f t="shared" si="8"/>
        <v>1</v>
      </c>
      <c r="L70" s="19">
        <f t="shared" si="8"/>
        <v>100</v>
      </c>
      <c r="M70" s="19">
        <f t="shared" si="8"/>
        <v>0</v>
      </c>
      <c r="N70" s="19">
        <f t="shared" si="8"/>
        <v>2</v>
      </c>
      <c r="O70" s="19">
        <f t="shared" si="8"/>
        <v>43</v>
      </c>
      <c r="P70" s="19">
        <f t="shared" si="8"/>
        <v>1</v>
      </c>
      <c r="Q70" s="19">
        <f t="shared" si="8"/>
        <v>2</v>
      </c>
      <c r="R70" s="19">
        <f t="shared" si="7"/>
        <v>25</v>
      </c>
      <c r="S70" s="19">
        <f t="shared" si="7"/>
        <v>0</v>
      </c>
      <c r="T70" s="19">
        <f t="shared" si="7"/>
        <v>0</v>
      </c>
      <c r="U70" s="19">
        <f t="shared" si="7"/>
        <v>0</v>
      </c>
      <c r="V70" s="19">
        <f t="shared" si="7"/>
        <v>0</v>
      </c>
      <c r="W70" s="19">
        <f t="shared" si="7"/>
        <v>1</v>
      </c>
    </row>
    <row r="71" spans="1:23">
      <c r="A71" s="24" t="str">
        <f t="shared" si="9"/>
        <v>10040_1-3/31&lt;lv50&gt;</v>
      </c>
      <c r="B71" s="19">
        <f t="shared" si="8"/>
        <v>10040</v>
      </c>
      <c r="C71" s="19">
        <f t="shared" si="8"/>
        <v>1</v>
      </c>
      <c r="D71" s="19">
        <f t="shared" si="8"/>
        <v>3</v>
      </c>
      <c r="E71" s="19">
        <f t="shared" si="8"/>
        <v>31</v>
      </c>
      <c r="F71" s="19">
        <f t="shared" si="8"/>
        <v>50</v>
      </c>
      <c r="G71" s="19">
        <f t="shared" si="5"/>
        <v>1</v>
      </c>
      <c r="H71" s="19">
        <f t="shared" si="5"/>
        <v>1</v>
      </c>
      <c r="I71" s="19">
        <f t="shared" si="5"/>
        <v>0</v>
      </c>
      <c r="J71" s="19">
        <f t="shared" si="8"/>
        <v>0</v>
      </c>
      <c r="K71" s="19">
        <f t="shared" si="8"/>
        <v>0</v>
      </c>
      <c r="L71" s="19">
        <f t="shared" si="8"/>
        <v>100</v>
      </c>
      <c r="M71" s="19">
        <f t="shared" si="8"/>
        <v>0</v>
      </c>
      <c r="N71" s="19">
        <f t="shared" si="8"/>
        <v>2</v>
      </c>
      <c r="O71" s="19">
        <f t="shared" si="8"/>
        <v>31</v>
      </c>
      <c r="P71" s="19">
        <f t="shared" si="8"/>
        <v>1</v>
      </c>
      <c r="Q71" s="19">
        <f t="shared" si="8"/>
        <v>1</v>
      </c>
      <c r="R71" s="19">
        <f t="shared" si="7"/>
        <v>25</v>
      </c>
      <c r="S71" s="19">
        <f t="shared" si="7"/>
        <v>0</v>
      </c>
      <c r="T71" s="19">
        <f t="shared" si="7"/>
        <v>0</v>
      </c>
      <c r="U71" s="19">
        <f t="shared" si="7"/>
        <v>0</v>
      </c>
      <c r="V71" s="19">
        <f t="shared" si="7"/>
        <v>0</v>
      </c>
      <c r="W71" s="19">
        <f t="shared" si="7"/>
        <v>1</v>
      </c>
    </row>
    <row r="72" spans="1:23">
      <c r="A72" s="24" t="str">
        <f t="shared" si="9"/>
        <v>10040_1-4/59&lt;lv50&gt;</v>
      </c>
      <c r="B72" s="19">
        <f t="shared" si="8"/>
        <v>10040</v>
      </c>
      <c r="C72" s="19">
        <f t="shared" si="8"/>
        <v>1</v>
      </c>
      <c r="D72" s="19">
        <f t="shared" si="8"/>
        <v>4</v>
      </c>
      <c r="E72" s="19">
        <f t="shared" si="8"/>
        <v>59</v>
      </c>
      <c r="F72" s="19">
        <f t="shared" si="8"/>
        <v>50</v>
      </c>
      <c r="G72" s="19">
        <f t="shared" si="5"/>
        <v>1</v>
      </c>
      <c r="H72" s="19">
        <f t="shared" si="5"/>
        <v>1</v>
      </c>
      <c r="I72" s="19">
        <f t="shared" si="5"/>
        <v>0</v>
      </c>
      <c r="J72" s="19">
        <f t="shared" si="8"/>
        <v>59</v>
      </c>
      <c r="K72" s="19">
        <f t="shared" si="8"/>
        <v>1</v>
      </c>
      <c r="L72" s="19">
        <f t="shared" si="8"/>
        <v>100</v>
      </c>
      <c r="M72" s="19">
        <f t="shared" si="8"/>
        <v>1</v>
      </c>
      <c r="N72" s="19">
        <f t="shared" si="8"/>
        <v>2</v>
      </c>
      <c r="O72" s="19">
        <f t="shared" si="8"/>
        <v>59</v>
      </c>
      <c r="P72" s="19">
        <f t="shared" si="8"/>
        <v>1</v>
      </c>
      <c r="Q72" s="19">
        <f t="shared" si="8"/>
        <v>2</v>
      </c>
      <c r="R72" s="19">
        <f t="shared" si="7"/>
        <v>25</v>
      </c>
      <c r="S72" s="19">
        <f t="shared" si="7"/>
        <v>0</v>
      </c>
      <c r="T72" s="19">
        <f t="shared" si="7"/>
        <v>0</v>
      </c>
      <c r="U72" s="19">
        <f t="shared" si="7"/>
        <v>0</v>
      </c>
      <c r="V72" s="19">
        <f t="shared" si="7"/>
        <v>0</v>
      </c>
      <c r="W72" s="19">
        <f t="shared" si="7"/>
        <v>1</v>
      </c>
    </row>
    <row r="73" spans="1:23">
      <c r="A73" s="24" t="str">
        <f t="shared" si="9"/>
        <v>10040_1-4/31&lt;lv50&gt;</v>
      </c>
      <c r="B73" s="19">
        <f t="shared" si="8"/>
        <v>10040</v>
      </c>
      <c r="C73" s="19">
        <f t="shared" si="8"/>
        <v>1</v>
      </c>
      <c r="D73" s="19">
        <f t="shared" si="8"/>
        <v>4</v>
      </c>
      <c r="E73" s="19">
        <f t="shared" si="8"/>
        <v>31</v>
      </c>
      <c r="F73" s="19">
        <f t="shared" si="8"/>
        <v>50</v>
      </c>
      <c r="G73" s="19">
        <f t="shared" si="5"/>
        <v>1</v>
      </c>
      <c r="H73" s="19">
        <f t="shared" si="5"/>
        <v>1</v>
      </c>
      <c r="I73" s="19">
        <f t="shared" si="5"/>
        <v>0</v>
      </c>
      <c r="J73" s="19">
        <f t="shared" si="8"/>
        <v>0</v>
      </c>
      <c r="K73" s="19">
        <f t="shared" si="8"/>
        <v>0</v>
      </c>
      <c r="L73" s="19">
        <f t="shared" si="8"/>
        <v>100</v>
      </c>
      <c r="M73" s="19">
        <f t="shared" ref="M73:W90" si="10">VLOOKUP($A73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73" s="19">
        <f t="shared" si="10"/>
        <v>2</v>
      </c>
      <c r="O73" s="19">
        <f t="shared" si="10"/>
        <v>31</v>
      </c>
      <c r="P73" s="19">
        <f t="shared" si="10"/>
        <v>1</v>
      </c>
      <c r="Q73" s="19">
        <f t="shared" si="10"/>
        <v>1</v>
      </c>
      <c r="R73" s="19">
        <f t="shared" si="10"/>
        <v>25</v>
      </c>
      <c r="S73" s="19">
        <f t="shared" si="10"/>
        <v>0</v>
      </c>
      <c r="T73" s="19">
        <f t="shared" si="10"/>
        <v>0</v>
      </c>
      <c r="U73" s="19">
        <f t="shared" si="10"/>
        <v>0</v>
      </c>
      <c r="V73" s="19">
        <f t="shared" si="10"/>
        <v>0</v>
      </c>
      <c r="W73" s="19">
        <f t="shared" si="10"/>
        <v>1</v>
      </c>
    </row>
    <row r="74" spans="1:23">
      <c r="A74" s="24" t="str">
        <f t="shared" si="9"/>
        <v>10040_1-5/230&lt;lv42&gt;</v>
      </c>
      <c r="B74" s="19">
        <f t="shared" ref="B74:Q91" si="11">VLOOKUP($A74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10040</v>
      </c>
      <c r="C74" s="19">
        <f t="shared" si="11"/>
        <v>1</v>
      </c>
      <c r="D74" s="19">
        <f t="shared" si="11"/>
        <v>5</v>
      </c>
      <c r="E74" s="19">
        <f t="shared" si="11"/>
        <v>230</v>
      </c>
      <c r="F74" s="19">
        <f t="shared" si="11"/>
        <v>42</v>
      </c>
      <c r="G74" s="19">
        <f t="shared" si="5"/>
        <v>1</v>
      </c>
      <c r="H74" s="19">
        <f t="shared" si="5"/>
        <v>1</v>
      </c>
      <c r="I74" s="19">
        <f t="shared" si="5"/>
        <v>0</v>
      </c>
      <c r="J74" s="19">
        <f t="shared" si="11"/>
        <v>230</v>
      </c>
      <c r="K74" s="19">
        <f t="shared" si="11"/>
        <v>1</v>
      </c>
      <c r="L74" s="19">
        <f t="shared" si="11"/>
        <v>100</v>
      </c>
      <c r="M74" s="19">
        <f t="shared" si="11"/>
        <v>1</v>
      </c>
      <c r="N74" s="19">
        <f t="shared" si="11"/>
        <v>5</v>
      </c>
      <c r="O74" s="19">
        <f t="shared" si="11"/>
        <v>229</v>
      </c>
      <c r="P74" s="19">
        <f t="shared" si="11"/>
        <v>1</v>
      </c>
      <c r="Q74" s="19">
        <f t="shared" si="11"/>
        <v>3</v>
      </c>
      <c r="R74" s="19">
        <f t="shared" si="10"/>
        <v>0</v>
      </c>
      <c r="S74" s="19">
        <f t="shared" si="10"/>
        <v>0</v>
      </c>
      <c r="T74" s="19">
        <f t="shared" si="10"/>
        <v>0</v>
      </c>
      <c r="U74" s="19">
        <f t="shared" si="10"/>
        <v>0</v>
      </c>
      <c r="V74" s="19">
        <f t="shared" si="10"/>
        <v>0</v>
      </c>
      <c r="W74" s="19">
        <f t="shared" si="10"/>
        <v>1</v>
      </c>
    </row>
    <row r="75" spans="1:23">
      <c r="A75" s="24" t="str">
        <f t="shared" si="9"/>
        <v>10040_1-5/157&lt;lv42&gt;</v>
      </c>
      <c r="B75" s="19">
        <f t="shared" si="11"/>
        <v>10040</v>
      </c>
      <c r="C75" s="19">
        <f t="shared" si="11"/>
        <v>1</v>
      </c>
      <c r="D75" s="19">
        <f t="shared" si="11"/>
        <v>5</v>
      </c>
      <c r="E75" s="19">
        <f t="shared" si="11"/>
        <v>157</v>
      </c>
      <c r="F75" s="19">
        <f t="shared" si="11"/>
        <v>42</v>
      </c>
      <c r="G75" s="19">
        <f t="shared" si="5"/>
        <v>1</v>
      </c>
      <c r="H75" s="19">
        <f t="shared" si="5"/>
        <v>1</v>
      </c>
      <c r="I75" s="19">
        <f t="shared" si="5"/>
        <v>0</v>
      </c>
      <c r="J75" s="19">
        <f t="shared" si="11"/>
        <v>157</v>
      </c>
      <c r="K75" s="19">
        <f t="shared" si="11"/>
        <v>1</v>
      </c>
      <c r="L75" s="19">
        <f t="shared" si="11"/>
        <v>100</v>
      </c>
      <c r="M75" s="19">
        <f t="shared" si="11"/>
        <v>1</v>
      </c>
      <c r="N75" s="19">
        <f t="shared" si="11"/>
        <v>1</v>
      </c>
      <c r="O75" s="19">
        <f t="shared" si="11"/>
        <v>156</v>
      </c>
      <c r="P75" s="19">
        <f t="shared" si="11"/>
        <v>1</v>
      </c>
      <c r="Q75" s="19">
        <f t="shared" si="11"/>
        <v>3</v>
      </c>
      <c r="R75" s="19">
        <f t="shared" si="10"/>
        <v>0</v>
      </c>
      <c r="S75" s="19">
        <f t="shared" si="10"/>
        <v>0</v>
      </c>
      <c r="T75" s="19">
        <f t="shared" si="10"/>
        <v>0</v>
      </c>
      <c r="U75" s="19">
        <f t="shared" si="10"/>
        <v>0</v>
      </c>
      <c r="V75" s="19">
        <f t="shared" si="10"/>
        <v>0</v>
      </c>
      <c r="W75" s="19">
        <f t="shared" si="10"/>
        <v>1</v>
      </c>
    </row>
    <row r="76" spans="1:23">
      <c r="A76" s="24" t="str">
        <f t="shared" si="9"/>
        <v>10045_1-1/19&lt;lv54&gt;</v>
      </c>
      <c r="B76" s="19">
        <f t="shared" si="11"/>
        <v>10045</v>
      </c>
      <c r="C76" s="19">
        <f t="shared" si="11"/>
        <v>1</v>
      </c>
      <c r="D76" s="19">
        <f t="shared" si="11"/>
        <v>1</v>
      </c>
      <c r="E76" s="19">
        <f t="shared" si="11"/>
        <v>19</v>
      </c>
      <c r="F76" s="19">
        <f t="shared" si="11"/>
        <v>54</v>
      </c>
      <c r="G76" s="19">
        <f t="shared" si="5"/>
        <v>1</v>
      </c>
      <c r="H76" s="19">
        <f t="shared" si="5"/>
        <v>1</v>
      </c>
      <c r="I76" s="19">
        <f t="shared" si="5"/>
        <v>0</v>
      </c>
      <c r="J76" s="19">
        <f t="shared" si="11"/>
        <v>0</v>
      </c>
      <c r="K76" s="19">
        <f t="shared" si="11"/>
        <v>0</v>
      </c>
      <c r="L76" s="19">
        <f t="shared" si="11"/>
        <v>100</v>
      </c>
      <c r="M76" s="19">
        <f t="shared" si="11"/>
        <v>0</v>
      </c>
      <c r="N76" s="19">
        <f t="shared" si="11"/>
        <v>3</v>
      </c>
      <c r="O76" s="19">
        <f t="shared" si="11"/>
        <v>19</v>
      </c>
      <c r="P76" s="19">
        <f t="shared" si="11"/>
        <v>1</v>
      </c>
      <c r="Q76" s="19">
        <f t="shared" si="11"/>
        <v>1</v>
      </c>
      <c r="R76" s="19">
        <f t="shared" si="10"/>
        <v>25</v>
      </c>
      <c r="S76" s="19">
        <f t="shared" si="10"/>
        <v>0</v>
      </c>
      <c r="T76" s="19">
        <f t="shared" si="10"/>
        <v>0</v>
      </c>
      <c r="U76" s="19">
        <f t="shared" si="10"/>
        <v>0</v>
      </c>
      <c r="V76" s="19">
        <f t="shared" si="10"/>
        <v>0</v>
      </c>
      <c r="W76" s="19">
        <f t="shared" si="10"/>
        <v>1</v>
      </c>
    </row>
    <row r="77" spans="1:23">
      <c r="A77" s="24" t="str">
        <f t="shared" si="9"/>
        <v>10045_1-1/11&lt;lv54&gt;</v>
      </c>
      <c r="B77" s="19">
        <f t="shared" si="11"/>
        <v>10045</v>
      </c>
      <c r="C77" s="19">
        <f t="shared" si="11"/>
        <v>1</v>
      </c>
      <c r="D77" s="19">
        <f t="shared" si="11"/>
        <v>1</v>
      </c>
      <c r="E77" s="19">
        <f t="shared" si="11"/>
        <v>11</v>
      </c>
      <c r="F77" s="19">
        <f t="shared" si="11"/>
        <v>54</v>
      </c>
      <c r="G77" s="19">
        <f t="shared" si="5"/>
        <v>1</v>
      </c>
      <c r="H77" s="19">
        <f t="shared" si="5"/>
        <v>1</v>
      </c>
      <c r="I77" s="19">
        <f t="shared" si="5"/>
        <v>0</v>
      </c>
      <c r="J77" s="19">
        <f t="shared" si="11"/>
        <v>0</v>
      </c>
      <c r="K77" s="19">
        <f t="shared" si="11"/>
        <v>0</v>
      </c>
      <c r="L77" s="19">
        <f t="shared" si="11"/>
        <v>100</v>
      </c>
      <c r="M77" s="19">
        <f t="shared" si="11"/>
        <v>0</v>
      </c>
      <c r="N77" s="19">
        <f t="shared" si="11"/>
        <v>3</v>
      </c>
      <c r="O77" s="19">
        <f t="shared" si="11"/>
        <v>11</v>
      </c>
      <c r="P77" s="19">
        <f t="shared" si="11"/>
        <v>1</v>
      </c>
      <c r="Q77" s="19">
        <f t="shared" si="11"/>
        <v>1</v>
      </c>
      <c r="R77" s="19">
        <f t="shared" si="10"/>
        <v>25</v>
      </c>
      <c r="S77" s="19">
        <f t="shared" si="10"/>
        <v>0</v>
      </c>
      <c r="T77" s="19">
        <f t="shared" si="10"/>
        <v>0</v>
      </c>
      <c r="U77" s="19">
        <f t="shared" si="10"/>
        <v>0</v>
      </c>
      <c r="V77" s="19">
        <f t="shared" si="10"/>
        <v>0</v>
      </c>
      <c r="W77" s="19">
        <f t="shared" si="10"/>
        <v>1</v>
      </c>
    </row>
    <row r="78" spans="1:23">
      <c r="A78" s="24" t="str">
        <f t="shared" si="9"/>
        <v>10045_1-2/31&lt;lv54&gt;</v>
      </c>
      <c r="B78" s="19">
        <f t="shared" si="11"/>
        <v>10045</v>
      </c>
      <c r="C78" s="19">
        <f t="shared" si="11"/>
        <v>1</v>
      </c>
      <c r="D78" s="19">
        <f t="shared" si="11"/>
        <v>2</v>
      </c>
      <c r="E78" s="19">
        <f t="shared" si="11"/>
        <v>31</v>
      </c>
      <c r="F78" s="19">
        <f t="shared" si="11"/>
        <v>54</v>
      </c>
      <c r="G78" s="19">
        <f t="shared" si="5"/>
        <v>1</v>
      </c>
      <c r="H78" s="19">
        <f t="shared" si="5"/>
        <v>1</v>
      </c>
      <c r="I78" s="19">
        <f t="shared" si="5"/>
        <v>0</v>
      </c>
      <c r="J78" s="19">
        <f t="shared" si="11"/>
        <v>0</v>
      </c>
      <c r="K78" s="19">
        <f t="shared" si="11"/>
        <v>0</v>
      </c>
      <c r="L78" s="19">
        <f t="shared" si="11"/>
        <v>100</v>
      </c>
      <c r="M78" s="19">
        <f t="shared" si="11"/>
        <v>0</v>
      </c>
      <c r="N78" s="19">
        <f t="shared" si="11"/>
        <v>2</v>
      </c>
      <c r="O78" s="19">
        <f t="shared" si="11"/>
        <v>31</v>
      </c>
      <c r="P78" s="19">
        <f t="shared" si="11"/>
        <v>1</v>
      </c>
      <c r="Q78" s="19">
        <f t="shared" si="11"/>
        <v>1</v>
      </c>
      <c r="R78" s="19">
        <f t="shared" si="10"/>
        <v>25</v>
      </c>
      <c r="S78" s="19">
        <f t="shared" si="10"/>
        <v>0</v>
      </c>
      <c r="T78" s="19">
        <f t="shared" si="10"/>
        <v>0</v>
      </c>
      <c r="U78" s="19">
        <f t="shared" si="10"/>
        <v>0</v>
      </c>
      <c r="V78" s="19">
        <f t="shared" si="10"/>
        <v>0</v>
      </c>
      <c r="W78" s="19">
        <f t="shared" si="10"/>
        <v>1</v>
      </c>
    </row>
    <row r="79" spans="1:23">
      <c r="A79" s="24" t="str">
        <f t="shared" si="9"/>
        <v>10045_1-2/23&lt;lv54&gt;</v>
      </c>
      <c r="B79" s="19">
        <f t="shared" si="11"/>
        <v>10045</v>
      </c>
      <c r="C79" s="19">
        <f t="shared" si="11"/>
        <v>1</v>
      </c>
      <c r="D79" s="19">
        <f t="shared" si="11"/>
        <v>2</v>
      </c>
      <c r="E79" s="19">
        <f t="shared" si="11"/>
        <v>23</v>
      </c>
      <c r="F79" s="19">
        <f t="shared" si="11"/>
        <v>54</v>
      </c>
      <c r="G79" s="19">
        <f t="shared" si="5"/>
        <v>1</v>
      </c>
      <c r="H79" s="19">
        <f t="shared" si="5"/>
        <v>1</v>
      </c>
      <c r="I79" s="19">
        <f t="shared" si="5"/>
        <v>0</v>
      </c>
      <c r="J79" s="19">
        <f t="shared" si="11"/>
        <v>0</v>
      </c>
      <c r="K79" s="19">
        <f t="shared" si="11"/>
        <v>0</v>
      </c>
      <c r="L79" s="19">
        <f t="shared" si="11"/>
        <v>100</v>
      </c>
      <c r="M79" s="19">
        <f t="shared" si="11"/>
        <v>0</v>
      </c>
      <c r="N79" s="19">
        <f t="shared" si="11"/>
        <v>4</v>
      </c>
      <c r="O79" s="19">
        <f t="shared" si="11"/>
        <v>23</v>
      </c>
      <c r="P79" s="19">
        <f t="shared" si="11"/>
        <v>1</v>
      </c>
      <c r="Q79" s="19">
        <f t="shared" si="11"/>
        <v>1</v>
      </c>
      <c r="R79" s="19">
        <f t="shared" si="10"/>
        <v>25</v>
      </c>
      <c r="S79" s="19">
        <f t="shared" si="10"/>
        <v>0</v>
      </c>
      <c r="T79" s="19">
        <f t="shared" si="10"/>
        <v>0</v>
      </c>
      <c r="U79" s="19">
        <f t="shared" si="10"/>
        <v>0</v>
      </c>
      <c r="V79" s="19">
        <f t="shared" si="10"/>
        <v>0</v>
      </c>
      <c r="W79" s="19">
        <f t="shared" si="10"/>
        <v>1</v>
      </c>
    </row>
    <row r="80" spans="1:23">
      <c r="A80" s="24" t="str">
        <f t="shared" si="9"/>
        <v>10045_1-2/27&lt;lv54&gt;</v>
      </c>
      <c r="B80" s="19">
        <f t="shared" si="11"/>
        <v>10045</v>
      </c>
      <c r="C80" s="19">
        <f t="shared" si="11"/>
        <v>1</v>
      </c>
      <c r="D80" s="19">
        <f t="shared" si="11"/>
        <v>2</v>
      </c>
      <c r="E80" s="19">
        <f t="shared" si="11"/>
        <v>27</v>
      </c>
      <c r="F80" s="19">
        <f t="shared" si="11"/>
        <v>54</v>
      </c>
      <c r="G80" s="19">
        <f t="shared" si="5"/>
        <v>1</v>
      </c>
      <c r="H80" s="19">
        <f t="shared" si="5"/>
        <v>1</v>
      </c>
      <c r="I80" s="19">
        <f t="shared" si="5"/>
        <v>0</v>
      </c>
      <c r="J80" s="19">
        <f t="shared" si="11"/>
        <v>0</v>
      </c>
      <c r="K80" s="19">
        <f t="shared" si="11"/>
        <v>0</v>
      </c>
      <c r="L80" s="19">
        <f t="shared" si="11"/>
        <v>100</v>
      </c>
      <c r="M80" s="19">
        <f t="shared" si="11"/>
        <v>0</v>
      </c>
      <c r="N80" s="19">
        <f t="shared" si="11"/>
        <v>1</v>
      </c>
      <c r="O80" s="19">
        <f t="shared" si="11"/>
        <v>27</v>
      </c>
      <c r="P80" s="19">
        <f t="shared" si="11"/>
        <v>1</v>
      </c>
      <c r="Q80" s="19">
        <f t="shared" si="11"/>
        <v>1</v>
      </c>
      <c r="R80" s="19">
        <f t="shared" si="10"/>
        <v>25</v>
      </c>
      <c r="S80" s="19">
        <f t="shared" si="10"/>
        <v>0</v>
      </c>
      <c r="T80" s="19">
        <f t="shared" si="10"/>
        <v>0</v>
      </c>
      <c r="U80" s="19">
        <f t="shared" si="10"/>
        <v>0</v>
      </c>
      <c r="V80" s="19">
        <f t="shared" si="10"/>
        <v>0</v>
      </c>
      <c r="W80" s="19">
        <f t="shared" si="10"/>
        <v>1</v>
      </c>
    </row>
    <row r="81" spans="1:23">
      <c r="A81" s="24" t="str">
        <f t="shared" si="9"/>
        <v>10045_1-3/19&lt;lv54&gt;</v>
      </c>
      <c r="B81" s="19">
        <f t="shared" si="11"/>
        <v>10045</v>
      </c>
      <c r="C81" s="19">
        <f t="shared" si="11"/>
        <v>1</v>
      </c>
      <c r="D81" s="19">
        <f t="shared" si="11"/>
        <v>3</v>
      </c>
      <c r="E81" s="19">
        <f t="shared" si="11"/>
        <v>19</v>
      </c>
      <c r="F81" s="19">
        <f t="shared" si="11"/>
        <v>54</v>
      </c>
      <c r="G81" s="19">
        <f t="shared" si="5"/>
        <v>1</v>
      </c>
      <c r="H81" s="19">
        <f t="shared" si="5"/>
        <v>1</v>
      </c>
      <c r="I81" s="19">
        <f t="shared" si="5"/>
        <v>0</v>
      </c>
      <c r="J81" s="19">
        <f t="shared" si="11"/>
        <v>0</v>
      </c>
      <c r="K81" s="19">
        <f t="shared" si="11"/>
        <v>0</v>
      </c>
      <c r="L81" s="19">
        <f t="shared" si="11"/>
        <v>100</v>
      </c>
      <c r="M81" s="19">
        <f t="shared" si="11"/>
        <v>0</v>
      </c>
      <c r="N81" s="19">
        <f t="shared" si="11"/>
        <v>3</v>
      </c>
      <c r="O81" s="19">
        <f t="shared" si="11"/>
        <v>19</v>
      </c>
      <c r="P81" s="19">
        <f t="shared" si="11"/>
        <v>1</v>
      </c>
      <c r="Q81" s="19">
        <f t="shared" si="11"/>
        <v>1</v>
      </c>
      <c r="R81" s="19">
        <f t="shared" si="10"/>
        <v>25</v>
      </c>
      <c r="S81" s="19">
        <f t="shared" si="10"/>
        <v>0</v>
      </c>
      <c r="T81" s="19">
        <f t="shared" si="10"/>
        <v>0</v>
      </c>
      <c r="U81" s="19">
        <f t="shared" si="10"/>
        <v>0</v>
      </c>
      <c r="V81" s="19">
        <f t="shared" si="10"/>
        <v>0</v>
      </c>
      <c r="W81" s="19">
        <f t="shared" si="10"/>
        <v>1</v>
      </c>
    </row>
    <row r="82" spans="1:23">
      <c r="A82" s="24" t="str">
        <f t="shared" si="9"/>
        <v>10045_1-3/47&lt;lv54&gt;</v>
      </c>
      <c r="B82" s="19">
        <f t="shared" si="11"/>
        <v>10045</v>
      </c>
      <c r="C82" s="19">
        <f t="shared" si="11"/>
        <v>1</v>
      </c>
      <c r="D82" s="19">
        <f t="shared" si="11"/>
        <v>3</v>
      </c>
      <c r="E82" s="19">
        <f t="shared" si="11"/>
        <v>47</v>
      </c>
      <c r="F82" s="19">
        <f t="shared" si="11"/>
        <v>54</v>
      </c>
      <c r="G82" s="19">
        <f t="shared" si="11"/>
        <v>1</v>
      </c>
      <c r="H82" s="19">
        <f t="shared" si="11"/>
        <v>1</v>
      </c>
      <c r="I82" s="19">
        <f t="shared" si="11"/>
        <v>0</v>
      </c>
      <c r="J82" s="19">
        <f t="shared" si="11"/>
        <v>0</v>
      </c>
      <c r="K82" s="19">
        <f t="shared" si="11"/>
        <v>0</v>
      </c>
      <c r="L82" s="19">
        <f t="shared" si="11"/>
        <v>100</v>
      </c>
      <c r="M82" s="19">
        <f t="shared" si="11"/>
        <v>0</v>
      </c>
      <c r="N82" s="19">
        <f t="shared" si="11"/>
        <v>1</v>
      </c>
      <c r="O82" s="19">
        <f t="shared" si="11"/>
        <v>47</v>
      </c>
      <c r="P82" s="19">
        <f t="shared" si="11"/>
        <v>1</v>
      </c>
      <c r="Q82" s="19">
        <f t="shared" si="11"/>
        <v>2</v>
      </c>
      <c r="R82" s="19">
        <f t="shared" si="10"/>
        <v>25</v>
      </c>
      <c r="S82" s="19">
        <f t="shared" si="10"/>
        <v>0</v>
      </c>
      <c r="T82" s="19">
        <f t="shared" si="10"/>
        <v>0</v>
      </c>
      <c r="U82" s="19">
        <f t="shared" si="10"/>
        <v>0</v>
      </c>
      <c r="V82" s="19">
        <f t="shared" si="10"/>
        <v>0</v>
      </c>
      <c r="W82" s="19">
        <f t="shared" si="10"/>
        <v>1</v>
      </c>
    </row>
    <row r="83" spans="1:23">
      <c r="A83" s="24" t="str">
        <f t="shared" si="9"/>
        <v>10045_1-4/63&lt;lv55&gt;</v>
      </c>
      <c r="B83" s="19">
        <f t="shared" si="11"/>
        <v>10045</v>
      </c>
      <c r="C83" s="19">
        <f t="shared" si="11"/>
        <v>1</v>
      </c>
      <c r="D83" s="19">
        <f t="shared" si="11"/>
        <v>4</v>
      </c>
      <c r="E83" s="19">
        <f t="shared" si="11"/>
        <v>63</v>
      </c>
      <c r="F83" s="19">
        <f t="shared" si="11"/>
        <v>55</v>
      </c>
      <c r="G83" s="19">
        <f t="shared" si="11"/>
        <v>1</v>
      </c>
      <c r="H83" s="19">
        <f t="shared" si="11"/>
        <v>1</v>
      </c>
      <c r="I83" s="19">
        <f t="shared" si="11"/>
        <v>0</v>
      </c>
      <c r="J83" s="19">
        <f t="shared" si="11"/>
        <v>63</v>
      </c>
      <c r="K83" s="19">
        <f t="shared" si="11"/>
        <v>1</v>
      </c>
      <c r="L83" s="19">
        <f t="shared" si="11"/>
        <v>100</v>
      </c>
      <c r="M83" s="19">
        <f t="shared" si="11"/>
        <v>0</v>
      </c>
      <c r="N83" s="19">
        <f t="shared" si="11"/>
        <v>2</v>
      </c>
      <c r="O83" s="19">
        <f t="shared" si="11"/>
        <v>63</v>
      </c>
      <c r="P83" s="19">
        <f t="shared" si="11"/>
        <v>1</v>
      </c>
      <c r="Q83" s="19">
        <f t="shared" si="11"/>
        <v>2</v>
      </c>
      <c r="R83" s="19">
        <f t="shared" si="10"/>
        <v>25</v>
      </c>
      <c r="S83" s="19">
        <f t="shared" si="10"/>
        <v>0</v>
      </c>
      <c r="T83" s="19">
        <f t="shared" si="10"/>
        <v>0</v>
      </c>
      <c r="U83" s="19">
        <f t="shared" si="10"/>
        <v>0</v>
      </c>
      <c r="V83" s="19">
        <f t="shared" si="10"/>
        <v>0</v>
      </c>
      <c r="W83" s="19">
        <f t="shared" si="10"/>
        <v>1</v>
      </c>
    </row>
    <row r="84" spans="1:23">
      <c r="A84" s="24" t="str">
        <f t="shared" si="9"/>
        <v>10045_1-4/11&lt;lv55&gt;</v>
      </c>
      <c r="B84" s="19">
        <f t="shared" si="11"/>
        <v>10045</v>
      </c>
      <c r="C84" s="19">
        <f t="shared" si="11"/>
        <v>1</v>
      </c>
      <c r="D84" s="19">
        <f t="shared" si="11"/>
        <v>4</v>
      </c>
      <c r="E84" s="19">
        <f t="shared" si="11"/>
        <v>11</v>
      </c>
      <c r="F84" s="19">
        <f t="shared" si="11"/>
        <v>55</v>
      </c>
      <c r="G84" s="19">
        <f t="shared" si="11"/>
        <v>1</v>
      </c>
      <c r="H84" s="19">
        <f t="shared" si="11"/>
        <v>1</v>
      </c>
      <c r="I84" s="19">
        <f t="shared" si="11"/>
        <v>0</v>
      </c>
      <c r="J84" s="19">
        <f t="shared" si="11"/>
        <v>0</v>
      </c>
      <c r="K84" s="19">
        <f t="shared" si="11"/>
        <v>0</v>
      </c>
      <c r="L84" s="19">
        <f t="shared" si="11"/>
        <v>100</v>
      </c>
      <c r="M84" s="19">
        <f t="shared" si="11"/>
        <v>0</v>
      </c>
      <c r="N84" s="19">
        <f t="shared" si="11"/>
        <v>3</v>
      </c>
      <c r="O84" s="19">
        <f t="shared" si="11"/>
        <v>11</v>
      </c>
      <c r="P84" s="19">
        <f t="shared" si="11"/>
        <v>1</v>
      </c>
      <c r="Q84" s="19">
        <f t="shared" si="11"/>
        <v>1</v>
      </c>
      <c r="R84" s="19">
        <f t="shared" si="10"/>
        <v>25</v>
      </c>
      <c r="S84" s="19">
        <f t="shared" si="10"/>
        <v>0</v>
      </c>
      <c r="T84" s="19">
        <f t="shared" si="10"/>
        <v>0</v>
      </c>
      <c r="U84" s="19">
        <f t="shared" si="10"/>
        <v>0</v>
      </c>
      <c r="V84" s="19">
        <f t="shared" si="10"/>
        <v>0</v>
      </c>
      <c r="W84" s="19">
        <f t="shared" si="10"/>
        <v>1</v>
      </c>
    </row>
    <row r="85" spans="1:23">
      <c r="A85" s="24" t="str">
        <f t="shared" si="9"/>
        <v>10045_1-5/197&lt;lv49&gt;</v>
      </c>
      <c r="B85" s="19">
        <f t="shared" si="11"/>
        <v>10045</v>
      </c>
      <c r="C85" s="19">
        <f t="shared" si="11"/>
        <v>1</v>
      </c>
      <c r="D85" s="19">
        <f t="shared" si="11"/>
        <v>5</v>
      </c>
      <c r="E85" s="19">
        <f t="shared" si="11"/>
        <v>197</v>
      </c>
      <c r="F85" s="19">
        <f t="shared" si="11"/>
        <v>49</v>
      </c>
      <c r="G85" s="19">
        <f t="shared" si="11"/>
        <v>1</v>
      </c>
      <c r="H85" s="19">
        <f t="shared" si="11"/>
        <v>1</v>
      </c>
      <c r="I85" s="19">
        <f t="shared" si="11"/>
        <v>0</v>
      </c>
      <c r="J85" s="19">
        <f t="shared" si="11"/>
        <v>198</v>
      </c>
      <c r="K85" s="19">
        <f t="shared" si="11"/>
        <v>1</v>
      </c>
      <c r="L85" s="19">
        <f t="shared" si="11"/>
        <v>100</v>
      </c>
      <c r="M85" s="19">
        <f t="shared" si="11"/>
        <v>1</v>
      </c>
      <c r="N85" s="19">
        <f t="shared" si="11"/>
        <v>2</v>
      </c>
      <c r="O85" s="19">
        <f t="shared" si="11"/>
        <v>196</v>
      </c>
      <c r="P85" s="19">
        <f t="shared" si="11"/>
        <v>1</v>
      </c>
      <c r="Q85" s="19">
        <f t="shared" si="11"/>
        <v>3</v>
      </c>
      <c r="R85" s="19">
        <f t="shared" si="10"/>
        <v>0</v>
      </c>
      <c r="S85" s="19">
        <f t="shared" si="10"/>
        <v>0</v>
      </c>
      <c r="T85" s="19">
        <f t="shared" si="10"/>
        <v>0</v>
      </c>
      <c r="U85" s="19">
        <f t="shared" si="10"/>
        <v>0</v>
      </c>
      <c r="V85" s="19">
        <f t="shared" si="10"/>
        <v>0</v>
      </c>
      <c r="W85" s="19">
        <f t="shared" si="10"/>
        <v>1</v>
      </c>
    </row>
    <row r="86" spans="1:23">
      <c r="A86" s="24" t="str">
        <f t="shared" si="9"/>
        <v>10045_1-5/193&lt;lv46&gt;</v>
      </c>
      <c r="B86" s="19">
        <f t="shared" si="11"/>
        <v>10045</v>
      </c>
      <c r="C86" s="19">
        <f t="shared" si="11"/>
        <v>1</v>
      </c>
      <c r="D86" s="19">
        <f t="shared" si="11"/>
        <v>5</v>
      </c>
      <c r="E86" s="19">
        <f t="shared" si="11"/>
        <v>193</v>
      </c>
      <c r="F86" s="19">
        <f t="shared" si="11"/>
        <v>46</v>
      </c>
      <c r="G86" s="19">
        <f t="shared" si="11"/>
        <v>1</v>
      </c>
      <c r="H86" s="19">
        <f t="shared" si="11"/>
        <v>1</v>
      </c>
      <c r="I86" s="19">
        <f t="shared" si="11"/>
        <v>0</v>
      </c>
      <c r="J86" s="19">
        <f t="shared" si="11"/>
        <v>193</v>
      </c>
      <c r="K86" s="19">
        <f t="shared" si="11"/>
        <v>1</v>
      </c>
      <c r="L86" s="19">
        <f t="shared" si="11"/>
        <v>100</v>
      </c>
      <c r="M86" s="19">
        <f t="shared" si="11"/>
        <v>1</v>
      </c>
      <c r="N86" s="19">
        <f t="shared" si="11"/>
        <v>3</v>
      </c>
      <c r="O86" s="19">
        <f t="shared" si="11"/>
        <v>193</v>
      </c>
      <c r="P86" s="19">
        <f t="shared" si="11"/>
        <v>1</v>
      </c>
      <c r="Q86" s="19">
        <f t="shared" si="11"/>
        <v>3</v>
      </c>
      <c r="R86" s="19">
        <f t="shared" si="10"/>
        <v>0</v>
      </c>
      <c r="S86" s="19">
        <f t="shared" si="10"/>
        <v>0</v>
      </c>
      <c r="T86" s="19">
        <f t="shared" si="10"/>
        <v>0</v>
      </c>
      <c r="U86" s="19">
        <f t="shared" si="10"/>
        <v>0</v>
      </c>
      <c r="V86" s="19">
        <f t="shared" si="10"/>
        <v>0</v>
      </c>
      <c r="W86" s="19">
        <f t="shared" si="10"/>
        <v>1</v>
      </c>
    </row>
    <row r="87" spans="1:23">
      <c r="A87" s="24" t="str">
        <f t="shared" si="9"/>
        <v>10050_1-1/21&lt;lv56&gt;</v>
      </c>
      <c r="B87" s="19">
        <f t="shared" si="11"/>
        <v>10050</v>
      </c>
      <c r="C87" s="19">
        <f t="shared" si="11"/>
        <v>1</v>
      </c>
      <c r="D87" s="19">
        <f t="shared" si="11"/>
        <v>1</v>
      </c>
      <c r="E87" s="19">
        <f t="shared" si="11"/>
        <v>21</v>
      </c>
      <c r="F87" s="19">
        <f t="shared" si="11"/>
        <v>56</v>
      </c>
      <c r="G87" s="19">
        <f t="shared" si="11"/>
        <v>1</v>
      </c>
      <c r="H87" s="19">
        <f t="shared" si="11"/>
        <v>1</v>
      </c>
      <c r="I87" s="19">
        <f t="shared" si="11"/>
        <v>0</v>
      </c>
      <c r="J87" s="19">
        <f t="shared" si="11"/>
        <v>0</v>
      </c>
      <c r="K87" s="19">
        <f t="shared" si="11"/>
        <v>0</v>
      </c>
      <c r="L87" s="19">
        <f t="shared" si="11"/>
        <v>100</v>
      </c>
      <c r="M87" s="19">
        <f t="shared" si="11"/>
        <v>0</v>
      </c>
      <c r="N87" s="19">
        <f t="shared" si="11"/>
        <v>2</v>
      </c>
      <c r="O87" s="19">
        <f t="shared" si="11"/>
        <v>21</v>
      </c>
      <c r="P87" s="19">
        <f t="shared" si="11"/>
        <v>1</v>
      </c>
      <c r="Q87" s="19">
        <f t="shared" si="11"/>
        <v>1</v>
      </c>
      <c r="R87" s="19">
        <f t="shared" si="10"/>
        <v>25</v>
      </c>
      <c r="S87" s="19">
        <f t="shared" si="10"/>
        <v>0</v>
      </c>
      <c r="T87" s="19">
        <f t="shared" si="10"/>
        <v>0</v>
      </c>
      <c r="U87" s="19">
        <f t="shared" si="10"/>
        <v>0</v>
      </c>
      <c r="V87" s="19">
        <f t="shared" si="10"/>
        <v>0</v>
      </c>
      <c r="W87" s="19">
        <f t="shared" si="10"/>
        <v>1</v>
      </c>
    </row>
    <row r="88" spans="1:23">
      <c r="A88" s="24" t="str">
        <f t="shared" si="9"/>
        <v>10050_1-1/11&lt;lv56&gt;</v>
      </c>
      <c r="B88" s="19">
        <f t="shared" si="11"/>
        <v>10050</v>
      </c>
      <c r="C88" s="19">
        <f t="shared" si="11"/>
        <v>1</v>
      </c>
      <c r="D88" s="19">
        <f t="shared" si="11"/>
        <v>1</v>
      </c>
      <c r="E88" s="19">
        <f t="shared" si="11"/>
        <v>11</v>
      </c>
      <c r="F88" s="19">
        <f t="shared" si="11"/>
        <v>56</v>
      </c>
      <c r="G88" s="19">
        <f t="shared" si="11"/>
        <v>1</v>
      </c>
      <c r="H88" s="19">
        <f t="shared" si="11"/>
        <v>1</v>
      </c>
      <c r="I88" s="19">
        <f t="shared" si="11"/>
        <v>0</v>
      </c>
      <c r="J88" s="19">
        <f t="shared" si="11"/>
        <v>0</v>
      </c>
      <c r="K88" s="19">
        <f t="shared" si="11"/>
        <v>0</v>
      </c>
      <c r="L88" s="19">
        <f t="shared" si="11"/>
        <v>100</v>
      </c>
      <c r="M88" s="19">
        <f t="shared" si="11"/>
        <v>0</v>
      </c>
      <c r="N88" s="19">
        <f t="shared" si="11"/>
        <v>3</v>
      </c>
      <c r="O88" s="19">
        <f t="shared" si="11"/>
        <v>11</v>
      </c>
      <c r="P88" s="19">
        <f t="shared" si="11"/>
        <v>1</v>
      </c>
      <c r="Q88" s="19">
        <f t="shared" si="11"/>
        <v>1</v>
      </c>
      <c r="R88" s="19">
        <f t="shared" si="10"/>
        <v>25</v>
      </c>
      <c r="S88" s="19">
        <f t="shared" si="10"/>
        <v>0</v>
      </c>
      <c r="T88" s="19">
        <f t="shared" si="10"/>
        <v>0</v>
      </c>
      <c r="U88" s="19">
        <f t="shared" si="10"/>
        <v>0</v>
      </c>
      <c r="V88" s="19">
        <f t="shared" si="10"/>
        <v>0</v>
      </c>
      <c r="W88" s="19">
        <f t="shared" si="10"/>
        <v>1</v>
      </c>
    </row>
    <row r="89" spans="1:23">
      <c r="A89" s="24" t="str">
        <f t="shared" si="9"/>
        <v>10050_1-2/9&lt;lv56&gt;</v>
      </c>
      <c r="B89" s="19">
        <f t="shared" si="11"/>
        <v>10050</v>
      </c>
      <c r="C89" s="19">
        <f t="shared" si="11"/>
        <v>1</v>
      </c>
      <c r="D89" s="19">
        <f t="shared" si="11"/>
        <v>2</v>
      </c>
      <c r="E89" s="19">
        <f t="shared" si="11"/>
        <v>9</v>
      </c>
      <c r="F89" s="19">
        <f t="shared" si="11"/>
        <v>56</v>
      </c>
      <c r="G89" s="19">
        <f t="shared" si="11"/>
        <v>1</v>
      </c>
      <c r="H89" s="19">
        <f t="shared" si="11"/>
        <v>1</v>
      </c>
      <c r="I89" s="19">
        <f t="shared" si="11"/>
        <v>0</v>
      </c>
      <c r="J89" s="19">
        <f t="shared" si="11"/>
        <v>0</v>
      </c>
      <c r="K89" s="19">
        <f t="shared" si="11"/>
        <v>0</v>
      </c>
      <c r="L89" s="19">
        <f t="shared" si="11"/>
        <v>100</v>
      </c>
      <c r="M89" s="19">
        <f t="shared" si="11"/>
        <v>0</v>
      </c>
      <c r="N89" s="19">
        <f t="shared" si="11"/>
        <v>2</v>
      </c>
      <c r="O89" s="19">
        <f t="shared" si="11"/>
        <v>9</v>
      </c>
      <c r="P89" s="19">
        <f t="shared" si="11"/>
        <v>1</v>
      </c>
      <c r="Q89" s="19">
        <f t="shared" si="11"/>
        <v>1</v>
      </c>
      <c r="R89" s="19">
        <f t="shared" si="10"/>
        <v>25</v>
      </c>
      <c r="S89" s="19">
        <f t="shared" si="10"/>
        <v>0</v>
      </c>
      <c r="T89" s="19">
        <f t="shared" si="10"/>
        <v>0</v>
      </c>
      <c r="U89" s="19">
        <f t="shared" si="10"/>
        <v>0</v>
      </c>
      <c r="V89" s="19">
        <f t="shared" si="10"/>
        <v>0</v>
      </c>
      <c r="W89" s="19">
        <f t="shared" si="10"/>
        <v>1</v>
      </c>
    </row>
    <row r="90" spans="1:23">
      <c r="A90" s="24" t="str">
        <f t="shared" si="9"/>
        <v>10050_1-2/23&lt;lv56&gt;</v>
      </c>
      <c r="B90" s="19">
        <f t="shared" si="11"/>
        <v>10050</v>
      </c>
      <c r="C90" s="19">
        <f t="shared" si="11"/>
        <v>1</v>
      </c>
      <c r="D90" s="19">
        <f t="shared" si="11"/>
        <v>2</v>
      </c>
      <c r="E90" s="19">
        <f t="shared" si="11"/>
        <v>23</v>
      </c>
      <c r="F90" s="19">
        <f t="shared" si="11"/>
        <v>56</v>
      </c>
      <c r="G90" s="19">
        <f t="shared" si="11"/>
        <v>1</v>
      </c>
      <c r="H90" s="19">
        <f t="shared" si="11"/>
        <v>1</v>
      </c>
      <c r="I90" s="19">
        <f t="shared" si="11"/>
        <v>0</v>
      </c>
      <c r="J90" s="19">
        <f t="shared" si="11"/>
        <v>0</v>
      </c>
      <c r="K90" s="19">
        <f t="shared" si="11"/>
        <v>0</v>
      </c>
      <c r="L90" s="19">
        <f t="shared" si="11"/>
        <v>100</v>
      </c>
      <c r="M90" s="19">
        <f t="shared" si="11"/>
        <v>0</v>
      </c>
      <c r="N90" s="19">
        <f t="shared" si="11"/>
        <v>4</v>
      </c>
      <c r="O90" s="19">
        <f t="shared" si="11"/>
        <v>23</v>
      </c>
      <c r="P90" s="19">
        <f t="shared" si="11"/>
        <v>1</v>
      </c>
      <c r="Q90" s="19">
        <f t="shared" si="11"/>
        <v>1</v>
      </c>
      <c r="R90" s="19">
        <f t="shared" si="10"/>
        <v>25</v>
      </c>
      <c r="S90" s="19">
        <f t="shared" si="10"/>
        <v>0</v>
      </c>
      <c r="T90" s="19">
        <f t="shared" si="10"/>
        <v>0</v>
      </c>
      <c r="U90" s="19">
        <f t="shared" si="10"/>
        <v>0</v>
      </c>
      <c r="V90" s="19">
        <f t="shared" si="10"/>
        <v>0</v>
      </c>
      <c r="W90" s="19">
        <f t="shared" si="10"/>
        <v>1</v>
      </c>
    </row>
    <row r="91" spans="1:23">
      <c r="A91" s="24" t="str">
        <f t="shared" si="9"/>
        <v>10050_1-2/27&lt;lv56&gt;</v>
      </c>
      <c r="B91" s="19">
        <f t="shared" si="11"/>
        <v>10050</v>
      </c>
      <c r="C91" s="19">
        <f t="shared" si="11"/>
        <v>1</v>
      </c>
      <c r="D91" s="19">
        <f t="shared" si="11"/>
        <v>2</v>
      </c>
      <c r="E91" s="19">
        <f t="shared" si="11"/>
        <v>27</v>
      </c>
      <c r="F91" s="19">
        <f t="shared" si="11"/>
        <v>56</v>
      </c>
      <c r="G91" s="19">
        <f t="shared" si="11"/>
        <v>1</v>
      </c>
      <c r="H91" s="19">
        <f t="shared" si="11"/>
        <v>1</v>
      </c>
      <c r="I91" s="19">
        <f t="shared" ref="I91:W106" si="12">VLOOKUP($A91,OFFSET(INDIRECT($C$1&amp;"!$A1"),0,0,COUNTA(INDIRECT($C$1&amp;"!$A:$A"))+1,MATCH(I$2,INDIRECT($C$1&amp;"!"&amp;$B$1),0)-MATCH($A$2,INDIRECT($C$1&amp;"!"&amp;$B$1),0)+1),MATCH(I$2,INDIRECT($C$1&amp;"!"&amp;$B$1),0)-MATCH($A$2,INDIRECT($C$1&amp;"!"&amp;$B$1),0)+1,FALSE)</f>
        <v>0</v>
      </c>
      <c r="J91" s="19">
        <f t="shared" si="12"/>
        <v>0</v>
      </c>
      <c r="K91" s="19">
        <f t="shared" si="12"/>
        <v>0</v>
      </c>
      <c r="L91" s="19">
        <f t="shared" si="12"/>
        <v>100</v>
      </c>
      <c r="M91" s="19">
        <f t="shared" si="12"/>
        <v>0</v>
      </c>
      <c r="N91" s="19">
        <f t="shared" si="12"/>
        <v>1</v>
      </c>
      <c r="O91" s="19">
        <f t="shared" si="12"/>
        <v>27</v>
      </c>
      <c r="P91" s="19">
        <f t="shared" si="12"/>
        <v>1</v>
      </c>
      <c r="Q91" s="19">
        <f t="shared" si="12"/>
        <v>1</v>
      </c>
      <c r="R91" s="19">
        <f t="shared" si="12"/>
        <v>25</v>
      </c>
      <c r="S91" s="19">
        <f t="shared" si="12"/>
        <v>0</v>
      </c>
      <c r="T91" s="19">
        <f t="shared" si="12"/>
        <v>0</v>
      </c>
      <c r="U91" s="19">
        <f t="shared" si="12"/>
        <v>0</v>
      </c>
      <c r="V91" s="19">
        <f t="shared" si="12"/>
        <v>0</v>
      </c>
      <c r="W91" s="19">
        <f t="shared" si="12"/>
        <v>1</v>
      </c>
    </row>
    <row r="92" spans="1:23">
      <c r="A92" s="24" t="str">
        <f t="shared" si="9"/>
        <v>10050_1-3/41&lt;lv56&gt;</v>
      </c>
      <c r="B92" s="19">
        <f t="shared" ref="B92:Q107" si="13">VLOOKUP($A92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10050</v>
      </c>
      <c r="C92" s="19">
        <f t="shared" si="13"/>
        <v>1</v>
      </c>
      <c r="D92" s="19">
        <f t="shared" si="13"/>
        <v>3</v>
      </c>
      <c r="E92" s="19">
        <f t="shared" si="13"/>
        <v>41</v>
      </c>
      <c r="F92" s="19">
        <f t="shared" si="13"/>
        <v>56</v>
      </c>
      <c r="G92" s="19">
        <f t="shared" si="13"/>
        <v>1</v>
      </c>
      <c r="H92" s="19">
        <f t="shared" si="13"/>
        <v>1</v>
      </c>
      <c r="I92" s="19">
        <f t="shared" si="13"/>
        <v>0</v>
      </c>
      <c r="J92" s="19">
        <f t="shared" si="13"/>
        <v>0</v>
      </c>
      <c r="K92" s="19">
        <f t="shared" si="13"/>
        <v>0</v>
      </c>
      <c r="L92" s="19">
        <f t="shared" si="13"/>
        <v>100</v>
      </c>
      <c r="M92" s="19">
        <f t="shared" si="13"/>
        <v>0</v>
      </c>
      <c r="N92" s="19">
        <f t="shared" si="13"/>
        <v>1</v>
      </c>
      <c r="O92" s="19">
        <f t="shared" si="13"/>
        <v>41</v>
      </c>
      <c r="P92" s="19">
        <f t="shared" si="13"/>
        <v>1</v>
      </c>
      <c r="Q92" s="19">
        <f t="shared" si="13"/>
        <v>2</v>
      </c>
      <c r="R92" s="19">
        <f t="shared" si="12"/>
        <v>25</v>
      </c>
      <c r="S92" s="19">
        <f t="shared" si="12"/>
        <v>0</v>
      </c>
      <c r="T92" s="19">
        <f t="shared" si="12"/>
        <v>0</v>
      </c>
      <c r="U92" s="19">
        <f t="shared" si="12"/>
        <v>0</v>
      </c>
      <c r="V92" s="19">
        <f t="shared" si="12"/>
        <v>0</v>
      </c>
      <c r="W92" s="19">
        <f t="shared" si="12"/>
        <v>1</v>
      </c>
    </row>
    <row r="93" spans="1:23">
      <c r="A93" s="24" t="str">
        <f t="shared" si="9"/>
        <v>10050_1-3/43&lt;lv56&gt;</v>
      </c>
      <c r="B93" s="19">
        <f t="shared" si="13"/>
        <v>10050</v>
      </c>
      <c r="C93" s="19">
        <f t="shared" si="13"/>
        <v>1</v>
      </c>
      <c r="D93" s="19">
        <f t="shared" si="13"/>
        <v>3</v>
      </c>
      <c r="E93" s="19">
        <f t="shared" si="13"/>
        <v>43</v>
      </c>
      <c r="F93" s="19">
        <f t="shared" si="13"/>
        <v>56</v>
      </c>
      <c r="G93" s="19">
        <f t="shared" si="13"/>
        <v>1</v>
      </c>
      <c r="H93" s="19">
        <f t="shared" si="13"/>
        <v>1</v>
      </c>
      <c r="I93" s="19">
        <f t="shared" si="13"/>
        <v>0</v>
      </c>
      <c r="J93" s="19">
        <f t="shared" si="13"/>
        <v>0</v>
      </c>
      <c r="K93" s="19">
        <f t="shared" si="13"/>
        <v>0</v>
      </c>
      <c r="L93" s="19">
        <f t="shared" si="13"/>
        <v>100</v>
      </c>
      <c r="M93" s="19">
        <f t="shared" si="13"/>
        <v>0</v>
      </c>
      <c r="N93" s="19">
        <f t="shared" si="13"/>
        <v>2</v>
      </c>
      <c r="O93" s="19">
        <f t="shared" si="13"/>
        <v>43</v>
      </c>
      <c r="P93" s="19">
        <f t="shared" si="13"/>
        <v>1</v>
      </c>
      <c r="Q93" s="19">
        <f t="shared" si="13"/>
        <v>2</v>
      </c>
      <c r="R93" s="19">
        <f t="shared" si="12"/>
        <v>25</v>
      </c>
      <c r="S93" s="19">
        <f t="shared" si="12"/>
        <v>0</v>
      </c>
      <c r="T93" s="19">
        <f t="shared" si="12"/>
        <v>0</v>
      </c>
      <c r="U93" s="19">
        <f t="shared" si="12"/>
        <v>0</v>
      </c>
      <c r="V93" s="19">
        <f t="shared" si="12"/>
        <v>0</v>
      </c>
      <c r="W93" s="19">
        <f t="shared" si="12"/>
        <v>1</v>
      </c>
    </row>
    <row r="94" spans="1:23">
      <c r="A94" s="24" t="str">
        <f t="shared" si="9"/>
        <v>10050_1-4/57&lt;lv56&gt;</v>
      </c>
      <c r="B94" s="19">
        <f t="shared" si="13"/>
        <v>10050</v>
      </c>
      <c r="C94" s="19">
        <f t="shared" si="13"/>
        <v>1</v>
      </c>
      <c r="D94" s="19">
        <f t="shared" si="13"/>
        <v>4</v>
      </c>
      <c r="E94" s="19">
        <f t="shared" si="13"/>
        <v>57</v>
      </c>
      <c r="F94" s="19">
        <f t="shared" si="13"/>
        <v>56</v>
      </c>
      <c r="G94" s="19">
        <f t="shared" si="13"/>
        <v>1</v>
      </c>
      <c r="H94" s="19">
        <f t="shared" si="13"/>
        <v>1</v>
      </c>
      <c r="I94" s="19">
        <f t="shared" si="13"/>
        <v>0</v>
      </c>
      <c r="J94" s="19">
        <f t="shared" si="13"/>
        <v>57</v>
      </c>
      <c r="K94" s="19">
        <f t="shared" si="13"/>
        <v>1</v>
      </c>
      <c r="L94" s="19">
        <f t="shared" si="13"/>
        <v>100</v>
      </c>
      <c r="M94" s="19">
        <f t="shared" si="13"/>
        <v>0</v>
      </c>
      <c r="N94" s="19">
        <f t="shared" si="13"/>
        <v>2</v>
      </c>
      <c r="O94" s="19">
        <f t="shared" si="13"/>
        <v>57</v>
      </c>
      <c r="P94" s="19">
        <f t="shared" si="13"/>
        <v>1</v>
      </c>
      <c r="Q94" s="19">
        <f t="shared" si="13"/>
        <v>2</v>
      </c>
      <c r="R94" s="19">
        <f t="shared" si="12"/>
        <v>25</v>
      </c>
      <c r="S94" s="19">
        <f t="shared" si="12"/>
        <v>0</v>
      </c>
      <c r="T94" s="19">
        <f t="shared" si="12"/>
        <v>0</v>
      </c>
      <c r="U94" s="19">
        <f t="shared" si="12"/>
        <v>0</v>
      </c>
      <c r="V94" s="19">
        <f t="shared" si="12"/>
        <v>0</v>
      </c>
      <c r="W94" s="19">
        <f t="shared" si="12"/>
        <v>1</v>
      </c>
    </row>
    <row r="95" spans="1:23">
      <c r="A95" s="24" t="str">
        <f t="shared" si="9"/>
        <v>10050_1-4/59&lt;lv56&gt;</v>
      </c>
      <c r="B95" s="19">
        <f t="shared" si="13"/>
        <v>10050</v>
      </c>
      <c r="C95" s="19">
        <f t="shared" si="13"/>
        <v>1</v>
      </c>
      <c r="D95" s="19">
        <f t="shared" si="13"/>
        <v>4</v>
      </c>
      <c r="E95" s="19">
        <f t="shared" si="13"/>
        <v>59</v>
      </c>
      <c r="F95" s="19">
        <f t="shared" si="13"/>
        <v>56</v>
      </c>
      <c r="G95" s="19">
        <f t="shared" si="13"/>
        <v>1</v>
      </c>
      <c r="H95" s="19">
        <f t="shared" si="13"/>
        <v>1</v>
      </c>
      <c r="I95" s="19">
        <f t="shared" si="13"/>
        <v>0</v>
      </c>
      <c r="J95" s="19">
        <f t="shared" si="13"/>
        <v>59</v>
      </c>
      <c r="K95" s="19">
        <f t="shared" si="13"/>
        <v>2</v>
      </c>
      <c r="L95" s="19">
        <f t="shared" si="13"/>
        <v>100</v>
      </c>
      <c r="M95" s="19">
        <f t="shared" si="13"/>
        <v>0</v>
      </c>
      <c r="N95" s="19">
        <f t="shared" si="13"/>
        <v>2</v>
      </c>
      <c r="O95" s="19">
        <f t="shared" si="13"/>
        <v>59</v>
      </c>
      <c r="P95" s="19">
        <f t="shared" si="13"/>
        <v>1</v>
      </c>
      <c r="Q95" s="19">
        <f t="shared" si="13"/>
        <v>2</v>
      </c>
      <c r="R95" s="19">
        <f t="shared" si="12"/>
        <v>25</v>
      </c>
      <c r="S95" s="19">
        <f t="shared" si="12"/>
        <v>0</v>
      </c>
      <c r="T95" s="19">
        <f t="shared" si="12"/>
        <v>0</v>
      </c>
      <c r="U95" s="19">
        <f t="shared" si="12"/>
        <v>0</v>
      </c>
      <c r="V95" s="19">
        <f t="shared" si="12"/>
        <v>0</v>
      </c>
      <c r="W95" s="19">
        <f t="shared" si="12"/>
        <v>1</v>
      </c>
    </row>
    <row r="96" spans="1:23">
      <c r="A96" s="24" t="str">
        <f t="shared" si="9"/>
        <v>10050_1-5/254&lt;lv46&gt;</v>
      </c>
      <c r="B96" s="19">
        <f t="shared" si="13"/>
        <v>10050</v>
      </c>
      <c r="C96" s="19">
        <f t="shared" si="13"/>
        <v>1</v>
      </c>
      <c r="D96" s="19">
        <f t="shared" si="13"/>
        <v>5</v>
      </c>
      <c r="E96" s="19">
        <f t="shared" si="13"/>
        <v>254</v>
      </c>
      <c r="F96" s="19">
        <f t="shared" si="13"/>
        <v>46</v>
      </c>
      <c r="G96" s="19">
        <f t="shared" si="13"/>
        <v>1</v>
      </c>
      <c r="H96" s="19">
        <f t="shared" si="13"/>
        <v>1</v>
      </c>
      <c r="I96" s="19">
        <f t="shared" si="13"/>
        <v>0</v>
      </c>
      <c r="J96" s="19">
        <f t="shared" si="13"/>
        <v>254</v>
      </c>
      <c r="K96" s="19">
        <f t="shared" si="13"/>
        <v>1</v>
      </c>
      <c r="L96" s="19">
        <f t="shared" si="13"/>
        <v>100</v>
      </c>
      <c r="M96" s="19">
        <f t="shared" si="13"/>
        <v>1</v>
      </c>
      <c r="N96" s="19">
        <f t="shared" si="13"/>
        <v>4</v>
      </c>
      <c r="O96" s="19">
        <f t="shared" si="13"/>
        <v>253</v>
      </c>
      <c r="P96" s="19">
        <f t="shared" si="13"/>
        <v>1</v>
      </c>
      <c r="Q96" s="19">
        <f t="shared" si="13"/>
        <v>3</v>
      </c>
      <c r="R96" s="19">
        <f t="shared" si="12"/>
        <v>0</v>
      </c>
      <c r="S96" s="19">
        <f t="shared" si="12"/>
        <v>0</v>
      </c>
      <c r="T96" s="19">
        <f t="shared" si="12"/>
        <v>0</v>
      </c>
      <c r="U96" s="19">
        <f t="shared" si="12"/>
        <v>0</v>
      </c>
      <c r="V96" s="19">
        <f t="shared" si="12"/>
        <v>0</v>
      </c>
      <c r="W96" s="19">
        <f t="shared" si="12"/>
        <v>1</v>
      </c>
    </row>
    <row r="97" spans="1:23">
      <c r="A97" s="24" t="str">
        <f t="shared" si="9"/>
        <v>10050_1-5/203&lt;lv52&gt;</v>
      </c>
      <c r="B97" s="19">
        <f t="shared" si="13"/>
        <v>10050</v>
      </c>
      <c r="C97" s="19">
        <f t="shared" si="13"/>
        <v>1</v>
      </c>
      <c r="D97" s="19">
        <f t="shared" si="13"/>
        <v>5</v>
      </c>
      <c r="E97" s="19">
        <f t="shared" si="13"/>
        <v>203</v>
      </c>
      <c r="F97" s="19">
        <f t="shared" si="13"/>
        <v>52</v>
      </c>
      <c r="G97" s="19">
        <f t="shared" si="13"/>
        <v>1</v>
      </c>
      <c r="H97" s="19">
        <f t="shared" si="13"/>
        <v>1</v>
      </c>
      <c r="I97" s="19">
        <f t="shared" si="13"/>
        <v>0</v>
      </c>
      <c r="J97" s="19">
        <f t="shared" si="13"/>
        <v>203</v>
      </c>
      <c r="K97" s="19">
        <f t="shared" si="13"/>
        <v>1</v>
      </c>
      <c r="L97" s="19">
        <f t="shared" si="13"/>
        <v>100</v>
      </c>
      <c r="M97" s="19">
        <f t="shared" si="13"/>
        <v>1</v>
      </c>
      <c r="N97" s="19">
        <f t="shared" si="13"/>
        <v>3</v>
      </c>
      <c r="O97" s="19">
        <f t="shared" si="13"/>
        <v>202</v>
      </c>
      <c r="P97" s="19">
        <f t="shared" si="13"/>
        <v>1</v>
      </c>
      <c r="Q97" s="19">
        <f t="shared" si="13"/>
        <v>3</v>
      </c>
      <c r="R97" s="19">
        <f t="shared" si="12"/>
        <v>0</v>
      </c>
      <c r="S97" s="19">
        <f t="shared" si="12"/>
        <v>0</v>
      </c>
      <c r="T97" s="19">
        <f t="shared" si="12"/>
        <v>0</v>
      </c>
      <c r="U97" s="19">
        <f t="shared" si="12"/>
        <v>0</v>
      </c>
      <c r="V97" s="19">
        <f t="shared" si="12"/>
        <v>0</v>
      </c>
      <c r="W97" s="19">
        <f t="shared" si="12"/>
        <v>1</v>
      </c>
    </row>
    <row r="98" spans="1:23">
      <c r="A98" s="24" t="str">
        <f t="shared" si="9"/>
        <v>10055_1-1/59&lt;lv56&gt;</v>
      </c>
      <c r="B98" s="19">
        <f t="shared" si="13"/>
        <v>10055</v>
      </c>
      <c r="C98" s="19">
        <f t="shared" si="13"/>
        <v>1</v>
      </c>
      <c r="D98" s="19">
        <f t="shared" si="13"/>
        <v>1</v>
      </c>
      <c r="E98" s="19">
        <f t="shared" si="13"/>
        <v>59</v>
      </c>
      <c r="F98" s="19">
        <f t="shared" si="13"/>
        <v>56</v>
      </c>
      <c r="G98" s="19">
        <f t="shared" si="13"/>
        <v>1</v>
      </c>
      <c r="H98" s="19">
        <f t="shared" si="13"/>
        <v>1</v>
      </c>
      <c r="I98" s="19">
        <f t="shared" si="13"/>
        <v>0</v>
      </c>
      <c r="J98" s="19">
        <f t="shared" si="13"/>
        <v>59</v>
      </c>
      <c r="K98" s="19">
        <f t="shared" si="13"/>
        <v>0</v>
      </c>
      <c r="L98" s="19">
        <f t="shared" si="13"/>
        <v>100</v>
      </c>
      <c r="M98" s="19">
        <f t="shared" si="13"/>
        <v>0</v>
      </c>
      <c r="N98" s="19">
        <f t="shared" si="13"/>
        <v>2</v>
      </c>
      <c r="O98" s="19">
        <f t="shared" si="13"/>
        <v>59</v>
      </c>
      <c r="P98" s="19">
        <f t="shared" si="13"/>
        <v>1</v>
      </c>
      <c r="Q98" s="19">
        <f t="shared" si="13"/>
        <v>2</v>
      </c>
      <c r="R98" s="19">
        <f t="shared" si="12"/>
        <v>25</v>
      </c>
      <c r="S98" s="19">
        <f t="shared" si="12"/>
        <v>0</v>
      </c>
      <c r="T98" s="19">
        <f t="shared" si="12"/>
        <v>0</v>
      </c>
      <c r="U98" s="19">
        <f t="shared" si="12"/>
        <v>0</v>
      </c>
      <c r="V98" s="19">
        <f t="shared" si="12"/>
        <v>0</v>
      </c>
      <c r="W98" s="19">
        <f t="shared" si="12"/>
        <v>1</v>
      </c>
    </row>
    <row r="99" spans="1:23">
      <c r="A99" s="24" t="str">
        <f t="shared" si="9"/>
        <v>10055_1-1/23&lt;lv56&gt;</v>
      </c>
      <c r="B99" s="19">
        <f t="shared" si="13"/>
        <v>10055</v>
      </c>
      <c r="C99" s="19">
        <f t="shared" si="13"/>
        <v>1</v>
      </c>
      <c r="D99" s="19">
        <f t="shared" si="13"/>
        <v>1</v>
      </c>
      <c r="E99" s="19">
        <f t="shared" si="13"/>
        <v>23</v>
      </c>
      <c r="F99" s="19">
        <f t="shared" si="13"/>
        <v>56</v>
      </c>
      <c r="G99" s="19">
        <f t="shared" si="13"/>
        <v>1</v>
      </c>
      <c r="H99" s="19">
        <f t="shared" si="13"/>
        <v>1</v>
      </c>
      <c r="I99" s="19">
        <f t="shared" si="13"/>
        <v>0</v>
      </c>
      <c r="J99" s="19">
        <f t="shared" si="13"/>
        <v>0</v>
      </c>
      <c r="K99" s="19">
        <f t="shared" si="13"/>
        <v>0</v>
      </c>
      <c r="L99" s="19">
        <f t="shared" si="13"/>
        <v>100</v>
      </c>
      <c r="M99" s="19">
        <f t="shared" si="13"/>
        <v>0</v>
      </c>
      <c r="N99" s="19">
        <f t="shared" si="13"/>
        <v>4</v>
      </c>
      <c r="O99" s="19">
        <f t="shared" si="13"/>
        <v>23</v>
      </c>
      <c r="P99" s="19">
        <f t="shared" si="13"/>
        <v>1</v>
      </c>
      <c r="Q99" s="19">
        <f t="shared" si="13"/>
        <v>1</v>
      </c>
      <c r="R99" s="19">
        <f t="shared" si="12"/>
        <v>25</v>
      </c>
      <c r="S99" s="19">
        <f t="shared" si="12"/>
        <v>0</v>
      </c>
      <c r="T99" s="19">
        <f t="shared" si="12"/>
        <v>0</v>
      </c>
      <c r="U99" s="19">
        <f t="shared" si="12"/>
        <v>0</v>
      </c>
      <c r="V99" s="19">
        <f t="shared" si="12"/>
        <v>0</v>
      </c>
      <c r="W99" s="19">
        <f t="shared" si="12"/>
        <v>1</v>
      </c>
    </row>
    <row r="100" spans="1:23">
      <c r="A100" s="24" t="str">
        <f t="shared" si="9"/>
        <v>10055_1-1/11&lt;lv56&gt;</v>
      </c>
      <c r="B100" s="19">
        <f t="shared" si="13"/>
        <v>10055</v>
      </c>
      <c r="C100" s="19">
        <f t="shared" si="13"/>
        <v>1</v>
      </c>
      <c r="D100" s="19">
        <f t="shared" si="13"/>
        <v>1</v>
      </c>
      <c r="E100" s="19">
        <f t="shared" si="13"/>
        <v>11</v>
      </c>
      <c r="F100" s="19">
        <f t="shared" si="13"/>
        <v>56</v>
      </c>
      <c r="G100" s="19">
        <f t="shared" si="13"/>
        <v>1</v>
      </c>
      <c r="H100" s="19">
        <f t="shared" si="13"/>
        <v>1</v>
      </c>
      <c r="I100" s="19">
        <f t="shared" si="13"/>
        <v>0</v>
      </c>
      <c r="J100" s="19">
        <f t="shared" si="13"/>
        <v>0</v>
      </c>
      <c r="K100" s="19">
        <f t="shared" si="13"/>
        <v>0</v>
      </c>
      <c r="L100" s="19">
        <f t="shared" si="13"/>
        <v>100</v>
      </c>
      <c r="M100" s="19">
        <f t="shared" si="13"/>
        <v>0</v>
      </c>
      <c r="N100" s="19">
        <f t="shared" si="13"/>
        <v>3</v>
      </c>
      <c r="O100" s="19">
        <f t="shared" si="13"/>
        <v>11</v>
      </c>
      <c r="P100" s="19">
        <f t="shared" si="13"/>
        <v>1</v>
      </c>
      <c r="Q100" s="19">
        <f t="shared" si="13"/>
        <v>1</v>
      </c>
      <c r="R100" s="19">
        <f t="shared" si="12"/>
        <v>25</v>
      </c>
      <c r="S100" s="19">
        <f t="shared" si="12"/>
        <v>0</v>
      </c>
      <c r="T100" s="19">
        <f t="shared" si="12"/>
        <v>0</v>
      </c>
      <c r="U100" s="19">
        <f t="shared" si="12"/>
        <v>0</v>
      </c>
      <c r="V100" s="19">
        <f t="shared" si="12"/>
        <v>0</v>
      </c>
      <c r="W100" s="19">
        <f t="shared" si="12"/>
        <v>1</v>
      </c>
    </row>
    <row r="101" spans="1:23">
      <c r="A101" s="24" t="str">
        <f t="shared" si="9"/>
        <v>10055_1-2/47&lt;lv56&gt;</v>
      </c>
      <c r="B101" s="19">
        <f t="shared" si="13"/>
        <v>10055</v>
      </c>
      <c r="C101" s="19">
        <f t="shared" si="13"/>
        <v>1</v>
      </c>
      <c r="D101" s="19">
        <f t="shared" si="13"/>
        <v>2</v>
      </c>
      <c r="E101" s="19">
        <f t="shared" si="13"/>
        <v>47</v>
      </c>
      <c r="F101" s="19">
        <f t="shared" si="13"/>
        <v>56</v>
      </c>
      <c r="G101" s="19">
        <f t="shared" si="13"/>
        <v>1</v>
      </c>
      <c r="H101" s="19">
        <f t="shared" si="13"/>
        <v>1</v>
      </c>
      <c r="I101" s="19">
        <f t="shared" si="13"/>
        <v>0</v>
      </c>
      <c r="J101" s="19">
        <f t="shared" si="13"/>
        <v>0</v>
      </c>
      <c r="K101" s="19">
        <f t="shared" si="13"/>
        <v>0</v>
      </c>
      <c r="L101" s="19">
        <f t="shared" si="13"/>
        <v>100</v>
      </c>
      <c r="M101" s="19">
        <f t="shared" si="13"/>
        <v>0</v>
      </c>
      <c r="N101" s="19">
        <f t="shared" si="13"/>
        <v>1</v>
      </c>
      <c r="O101" s="19">
        <f t="shared" si="13"/>
        <v>47</v>
      </c>
      <c r="P101" s="19">
        <f t="shared" si="13"/>
        <v>1</v>
      </c>
      <c r="Q101" s="19">
        <f t="shared" si="13"/>
        <v>2</v>
      </c>
      <c r="R101" s="19">
        <f t="shared" si="12"/>
        <v>25</v>
      </c>
      <c r="S101" s="19">
        <f t="shared" si="12"/>
        <v>0</v>
      </c>
      <c r="T101" s="19">
        <f t="shared" si="12"/>
        <v>0</v>
      </c>
      <c r="U101" s="19">
        <f t="shared" si="12"/>
        <v>0</v>
      </c>
      <c r="V101" s="19">
        <f t="shared" si="12"/>
        <v>0</v>
      </c>
      <c r="W101" s="19">
        <f t="shared" si="12"/>
        <v>1</v>
      </c>
    </row>
    <row r="102" spans="1:23">
      <c r="A102" s="24" t="str">
        <f t="shared" si="9"/>
        <v>10055_1-2/63&lt;lv56&gt;</v>
      </c>
      <c r="B102" s="19">
        <f t="shared" si="13"/>
        <v>10055</v>
      </c>
      <c r="C102" s="19">
        <f t="shared" si="13"/>
        <v>1</v>
      </c>
      <c r="D102" s="19">
        <f t="shared" si="13"/>
        <v>2</v>
      </c>
      <c r="E102" s="19">
        <f t="shared" si="13"/>
        <v>63</v>
      </c>
      <c r="F102" s="19">
        <f t="shared" si="13"/>
        <v>56</v>
      </c>
      <c r="G102" s="19">
        <f t="shared" si="13"/>
        <v>1</v>
      </c>
      <c r="H102" s="19">
        <f t="shared" si="13"/>
        <v>1</v>
      </c>
      <c r="I102" s="19">
        <f t="shared" si="13"/>
        <v>0</v>
      </c>
      <c r="J102" s="19">
        <f t="shared" si="13"/>
        <v>63</v>
      </c>
      <c r="K102" s="19">
        <f t="shared" si="13"/>
        <v>0</v>
      </c>
      <c r="L102" s="19">
        <f t="shared" si="13"/>
        <v>100</v>
      </c>
      <c r="M102" s="19">
        <f t="shared" si="13"/>
        <v>0</v>
      </c>
      <c r="N102" s="19">
        <f t="shared" si="13"/>
        <v>2</v>
      </c>
      <c r="O102" s="19">
        <f t="shared" si="13"/>
        <v>63</v>
      </c>
      <c r="P102" s="19">
        <f t="shared" si="13"/>
        <v>1</v>
      </c>
      <c r="Q102" s="19">
        <f t="shared" si="13"/>
        <v>2</v>
      </c>
      <c r="R102" s="19">
        <f t="shared" si="12"/>
        <v>25</v>
      </c>
      <c r="S102" s="19">
        <f t="shared" si="12"/>
        <v>0</v>
      </c>
      <c r="T102" s="19">
        <f t="shared" si="12"/>
        <v>0</v>
      </c>
      <c r="U102" s="19">
        <f t="shared" si="12"/>
        <v>0</v>
      </c>
      <c r="V102" s="19">
        <f t="shared" si="12"/>
        <v>0</v>
      </c>
      <c r="W102" s="19">
        <f t="shared" si="12"/>
        <v>1</v>
      </c>
    </row>
    <row r="103" spans="1:23">
      <c r="A103" s="24" t="str">
        <f t="shared" si="9"/>
        <v>10055_1-3/129&lt;lv56&gt;</v>
      </c>
      <c r="B103" s="19">
        <f t="shared" si="13"/>
        <v>10055</v>
      </c>
      <c r="C103" s="19">
        <f t="shared" si="13"/>
        <v>1</v>
      </c>
      <c r="D103" s="19">
        <f t="shared" si="13"/>
        <v>3</v>
      </c>
      <c r="E103" s="19">
        <f t="shared" si="13"/>
        <v>129</v>
      </c>
      <c r="F103" s="19">
        <f t="shared" si="13"/>
        <v>56</v>
      </c>
      <c r="G103" s="19">
        <f t="shared" si="13"/>
        <v>1</v>
      </c>
      <c r="H103" s="19">
        <f t="shared" si="13"/>
        <v>1</v>
      </c>
      <c r="I103" s="19">
        <f t="shared" si="13"/>
        <v>0</v>
      </c>
      <c r="J103" s="19">
        <f t="shared" si="13"/>
        <v>12901</v>
      </c>
      <c r="K103" s="19">
        <f t="shared" si="13"/>
        <v>1</v>
      </c>
      <c r="L103" s="19">
        <f t="shared" si="13"/>
        <v>100</v>
      </c>
      <c r="M103" s="19">
        <f t="shared" si="13"/>
        <v>1</v>
      </c>
      <c r="N103" s="19">
        <f t="shared" si="13"/>
        <v>3</v>
      </c>
      <c r="O103" s="19">
        <f t="shared" si="13"/>
        <v>128</v>
      </c>
      <c r="P103" s="19">
        <f t="shared" si="13"/>
        <v>1</v>
      </c>
      <c r="Q103" s="19">
        <f t="shared" si="13"/>
        <v>3</v>
      </c>
      <c r="R103" s="19">
        <f t="shared" si="12"/>
        <v>0</v>
      </c>
      <c r="S103" s="19">
        <f t="shared" si="12"/>
        <v>0</v>
      </c>
      <c r="T103" s="19">
        <f t="shared" si="12"/>
        <v>0</v>
      </c>
      <c r="U103" s="19">
        <f t="shared" si="12"/>
        <v>0</v>
      </c>
      <c r="V103" s="19">
        <f t="shared" si="12"/>
        <v>0</v>
      </c>
      <c r="W103" s="19">
        <f t="shared" si="12"/>
        <v>1</v>
      </c>
    </row>
    <row r="104" spans="1:23">
      <c r="A104" s="24" t="str">
        <f t="shared" si="9"/>
        <v>10055_1-3/141&lt;lv56&gt;</v>
      </c>
      <c r="B104" s="19">
        <f t="shared" si="13"/>
        <v>10055</v>
      </c>
      <c r="C104" s="19">
        <f t="shared" si="13"/>
        <v>1</v>
      </c>
      <c r="D104" s="19">
        <f t="shared" si="13"/>
        <v>3</v>
      </c>
      <c r="E104" s="19">
        <f t="shared" si="13"/>
        <v>141</v>
      </c>
      <c r="F104" s="19">
        <f t="shared" si="13"/>
        <v>56</v>
      </c>
      <c r="G104" s="19">
        <f t="shared" si="13"/>
        <v>1</v>
      </c>
      <c r="H104" s="19">
        <f t="shared" si="13"/>
        <v>1.2</v>
      </c>
      <c r="I104" s="19">
        <f t="shared" si="13"/>
        <v>0</v>
      </c>
      <c r="J104" s="19">
        <f t="shared" si="13"/>
        <v>14101</v>
      </c>
      <c r="K104" s="19">
        <f t="shared" si="13"/>
        <v>1</v>
      </c>
      <c r="L104" s="19">
        <f t="shared" si="13"/>
        <v>100</v>
      </c>
      <c r="M104" s="19">
        <f t="shared" si="13"/>
        <v>1</v>
      </c>
      <c r="N104" s="19">
        <f t="shared" si="13"/>
        <v>2</v>
      </c>
      <c r="O104" s="19">
        <f t="shared" si="13"/>
        <v>140</v>
      </c>
      <c r="P104" s="19">
        <f t="shared" si="13"/>
        <v>1</v>
      </c>
      <c r="Q104" s="19">
        <f t="shared" si="13"/>
        <v>3</v>
      </c>
      <c r="R104" s="19">
        <f t="shared" si="12"/>
        <v>0</v>
      </c>
      <c r="S104" s="19">
        <f t="shared" si="12"/>
        <v>0</v>
      </c>
      <c r="T104" s="19">
        <f t="shared" si="12"/>
        <v>0</v>
      </c>
      <c r="U104" s="19">
        <f t="shared" si="12"/>
        <v>0</v>
      </c>
      <c r="V104" s="19">
        <f t="shared" si="12"/>
        <v>0</v>
      </c>
      <c r="W104" s="19">
        <f t="shared" si="12"/>
        <v>1</v>
      </c>
    </row>
    <row r="105" spans="1:23">
      <c r="A105" s="24" t="str">
        <f t="shared" si="9"/>
        <v>10055_1-4/13&lt;lv56&gt;</v>
      </c>
      <c r="B105" s="19">
        <f t="shared" si="13"/>
        <v>10055</v>
      </c>
      <c r="C105" s="19">
        <f t="shared" si="13"/>
        <v>1</v>
      </c>
      <c r="D105" s="19">
        <f t="shared" si="13"/>
        <v>4</v>
      </c>
      <c r="E105" s="19">
        <f t="shared" si="13"/>
        <v>13</v>
      </c>
      <c r="F105" s="19">
        <f t="shared" si="13"/>
        <v>56</v>
      </c>
      <c r="G105" s="19">
        <f t="shared" si="13"/>
        <v>1</v>
      </c>
      <c r="H105" s="19">
        <f t="shared" si="13"/>
        <v>1</v>
      </c>
      <c r="I105" s="19">
        <f t="shared" si="13"/>
        <v>0</v>
      </c>
      <c r="J105" s="19">
        <f t="shared" si="13"/>
        <v>0</v>
      </c>
      <c r="K105" s="19">
        <f t="shared" si="13"/>
        <v>0</v>
      </c>
      <c r="L105" s="19">
        <f t="shared" si="13"/>
        <v>100</v>
      </c>
      <c r="M105" s="19">
        <f t="shared" si="13"/>
        <v>0</v>
      </c>
      <c r="N105" s="19">
        <f t="shared" si="13"/>
        <v>2</v>
      </c>
      <c r="O105" s="19">
        <f t="shared" si="13"/>
        <v>13</v>
      </c>
      <c r="P105" s="19">
        <f t="shared" si="13"/>
        <v>1</v>
      </c>
      <c r="Q105" s="19">
        <f t="shared" si="13"/>
        <v>1</v>
      </c>
      <c r="R105" s="19">
        <f t="shared" si="12"/>
        <v>25</v>
      </c>
      <c r="S105" s="19">
        <f t="shared" si="12"/>
        <v>0</v>
      </c>
      <c r="T105" s="19">
        <f t="shared" si="12"/>
        <v>0</v>
      </c>
      <c r="U105" s="19">
        <f t="shared" si="12"/>
        <v>0</v>
      </c>
      <c r="V105" s="19">
        <f t="shared" si="12"/>
        <v>0</v>
      </c>
      <c r="W105" s="19">
        <f t="shared" si="12"/>
        <v>1</v>
      </c>
    </row>
    <row r="106" spans="1:23">
      <c r="A106" s="24" t="str">
        <f t="shared" si="9"/>
        <v>10055_1-4/11&lt;lv56&gt;</v>
      </c>
      <c r="B106" s="19">
        <f t="shared" si="13"/>
        <v>10055</v>
      </c>
      <c r="C106" s="19">
        <f t="shared" si="13"/>
        <v>1</v>
      </c>
      <c r="D106" s="19">
        <f t="shared" si="13"/>
        <v>4</v>
      </c>
      <c r="E106" s="19">
        <f t="shared" si="13"/>
        <v>11</v>
      </c>
      <c r="F106" s="19">
        <f t="shared" si="13"/>
        <v>56</v>
      </c>
      <c r="G106" s="19">
        <f t="shared" si="13"/>
        <v>1</v>
      </c>
      <c r="H106" s="19">
        <f t="shared" si="13"/>
        <v>1</v>
      </c>
      <c r="I106" s="19">
        <f t="shared" si="13"/>
        <v>0</v>
      </c>
      <c r="J106" s="19">
        <f t="shared" si="13"/>
        <v>0</v>
      </c>
      <c r="K106" s="19">
        <f t="shared" si="13"/>
        <v>0</v>
      </c>
      <c r="L106" s="19">
        <f t="shared" si="13"/>
        <v>100</v>
      </c>
      <c r="M106" s="19">
        <f t="shared" si="13"/>
        <v>0</v>
      </c>
      <c r="N106" s="19">
        <f t="shared" si="13"/>
        <v>3</v>
      </c>
      <c r="O106" s="19">
        <f t="shared" si="13"/>
        <v>11</v>
      </c>
      <c r="P106" s="19">
        <f t="shared" si="13"/>
        <v>1</v>
      </c>
      <c r="Q106" s="19">
        <f t="shared" si="13"/>
        <v>1</v>
      </c>
      <c r="R106" s="19">
        <f t="shared" si="12"/>
        <v>25</v>
      </c>
      <c r="S106" s="19">
        <f t="shared" si="12"/>
        <v>0</v>
      </c>
      <c r="T106" s="19">
        <f t="shared" si="12"/>
        <v>0</v>
      </c>
      <c r="U106" s="19">
        <f t="shared" si="12"/>
        <v>0</v>
      </c>
      <c r="V106" s="19">
        <f t="shared" si="12"/>
        <v>0</v>
      </c>
      <c r="W106" s="19">
        <f t="shared" si="12"/>
        <v>1</v>
      </c>
    </row>
    <row r="107" spans="1:23">
      <c r="A107" s="24" t="str">
        <f t="shared" si="9"/>
        <v>10055_1-4/59&lt;lv56&gt;</v>
      </c>
      <c r="B107" s="19">
        <f t="shared" si="13"/>
        <v>10055</v>
      </c>
      <c r="C107" s="19">
        <f t="shared" si="13"/>
        <v>1</v>
      </c>
      <c r="D107" s="19">
        <f t="shared" si="13"/>
        <v>4</v>
      </c>
      <c r="E107" s="19">
        <f t="shared" si="13"/>
        <v>59</v>
      </c>
      <c r="F107" s="19">
        <f t="shared" si="13"/>
        <v>56</v>
      </c>
      <c r="G107" s="19">
        <f t="shared" si="13"/>
        <v>1</v>
      </c>
      <c r="H107" s="19">
        <f t="shared" si="13"/>
        <v>1</v>
      </c>
      <c r="I107" s="19">
        <f t="shared" si="13"/>
        <v>0</v>
      </c>
      <c r="J107" s="19">
        <f t="shared" si="13"/>
        <v>59</v>
      </c>
      <c r="K107" s="19">
        <f t="shared" si="13"/>
        <v>0</v>
      </c>
      <c r="L107" s="19">
        <f t="shared" si="13"/>
        <v>100</v>
      </c>
      <c r="M107" s="19">
        <f t="shared" si="13"/>
        <v>0</v>
      </c>
      <c r="N107" s="19">
        <f t="shared" si="13"/>
        <v>2</v>
      </c>
      <c r="O107" s="19">
        <f t="shared" si="13"/>
        <v>59</v>
      </c>
      <c r="P107" s="19">
        <f t="shared" si="13"/>
        <v>1</v>
      </c>
      <c r="Q107" s="19">
        <f t="shared" ref="Q107:W122" si="14">VLOOKUP($A107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107" s="19">
        <f t="shared" si="14"/>
        <v>25</v>
      </c>
      <c r="S107" s="19">
        <f t="shared" si="14"/>
        <v>0</v>
      </c>
      <c r="T107" s="19">
        <f t="shared" si="14"/>
        <v>0</v>
      </c>
      <c r="U107" s="19">
        <f t="shared" si="14"/>
        <v>0</v>
      </c>
      <c r="V107" s="19">
        <f t="shared" si="14"/>
        <v>0</v>
      </c>
      <c r="W107" s="19">
        <f t="shared" si="14"/>
        <v>1</v>
      </c>
    </row>
    <row r="108" spans="1:23">
      <c r="A108" s="24" t="str">
        <f t="shared" si="9"/>
        <v>10055_1-5/224&lt;lv62&gt;</v>
      </c>
      <c r="B108" s="19">
        <f t="shared" ref="B108:Q123" si="15">VLOOKUP($A108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10055</v>
      </c>
      <c r="C108" s="19">
        <f t="shared" si="15"/>
        <v>1</v>
      </c>
      <c r="D108" s="19">
        <f t="shared" si="15"/>
        <v>5</v>
      </c>
      <c r="E108" s="19">
        <f t="shared" si="15"/>
        <v>224</v>
      </c>
      <c r="F108" s="19">
        <f t="shared" si="15"/>
        <v>62</v>
      </c>
      <c r="G108" s="19">
        <f t="shared" si="15"/>
        <v>2</v>
      </c>
      <c r="H108" s="19">
        <f t="shared" si="15"/>
        <v>1</v>
      </c>
      <c r="I108" s="19">
        <f t="shared" si="15"/>
        <v>0</v>
      </c>
      <c r="J108" s="19">
        <f t="shared" si="15"/>
        <v>22401</v>
      </c>
      <c r="K108" s="19">
        <f t="shared" si="15"/>
        <v>1</v>
      </c>
      <c r="L108" s="19">
        <f t="shared" si="15"/>
        <v>100</v>
      </c>
      <c r="M108" s="19">
        <f t="shared" si="15"/>
        <v>1</v>
      </c>
      <c r="N108" s="19">
        <f t="shared" si="15"/>
        <v>2</v>
      </c>
      <c r="O108" s="19">
        <f t="shared" si="15"/>
        <v>223</v>
      </c>
      <c r="P108" s="19">
        <f t="shared" si="15"/>
        <v>1</v>
      </c>
      <c r="Q108" s="19">
        <f t="shared" si="15"/>
        <v>3</v>
      </c>
      <c r="R108" s="19">
        <f t="shared" si="14"/>
        <v>0</v>
      </c>
      <c r="S108" s="19">
        <f t="shared" si="14"/>
        <v>0</v>
      </c>
      <c r="T108" s="19">
        <f t="shared" si="14"/>
        <v>0</v>
      </c>
      <c r="U108" s="19">
        <f t="shared" si="14"/>
        <v>0</v>
      </c>
      <c r="V108" s="19">
        <f t="shared" si="14"/>
        <v>0</v>
      </c>
      <c r="W108" s="19">
        <f t="shared" si="14"/>
        <v>1</v>
      </c>
    </row>
    <row r="109" spans="1:23">
      <c r="A109" s="24" t="str">
        <f t="shared" si="9"/>
        <v>10055_1-5/206&lt;lv62&gt;</v>
      </c>
      <c r="B109" s="19">
        <f t="shared" si="15"/>
        <v>10055</v>
      </c>
      <c r="C109" s="19">
        <f t="shared" si="15"/>
        <v>1</v>
      </c>
      <c r="D109" s="19">
        <f t="shared" si="15"/>
        <v>5</v>
      </c>
      <c r="E109" s="19">
        <f t="shared" si="15"/>
        <v>206</v>
      </c>
      <c r="F109" s="19">
        <f t="shared" si="15"/>
        <v>62</v>
      </c>
      <c r="G109" s="19">
        <f t="shared" si="15"/>
        <v>1.2</v>
      </c>
      <c r="H109" s="19">
        <f t="shared" si="15"/>
        <v>1</v>
      </c>
      <c r="I109" s="19">
        <f t="shared" si="15"/>
        <v>0</v>
      </c>
      <c r="J109" s="19">
        <f t="shared" si="15"/>
        <v>20601</v>
      </c>
      <c r="K109" s="19">
        <f t="shared" si="15"/>
        <v>1</v>
      </c>
      <c r="L109" s="19">
        <f t="shared" si="15"/>
        <v>100</v>
      </c>
      <c r="M109" s="19">
        <f t="shared" si="15"/>
        <v>1</v>
      </c>
      <c r="N109" s="19">
        <f t="shared" si="15"/>
        <v>3</v>
      </c>
      <c r="O109" s="19">
        <f t="shared" si="15"/>
        <v>205</v>
      </c>
      <c r="P109" s="19">
        <f t="shared" si="15"/>
        <v>1</v>
      </c>
      <c r="Q109" s="19">
        <f t="shared" si="15"/>
        <v>3</v>
      </c>
      <c r="R109" s="19">
        <f t="shared" si="14"/>
        <v>0</v>
      </c>
      <c r="S109" s="19">
        <f t="shared" si="14"/>
        <v>0</v>
      </c>
      <c r="T109" s="19">
        <f t="shared" si="14"/>
        <v>0</v>
      </c>
      <c r="U109" s="19">
        <f t="shared" si="14"/>
        <v>0</v>
      </c>
      <c r="V109" s="19">
        <f t="shared" si="14"/>
        <v>0</v>
      </c>
      <c r="W109" s="19">
        <f t="shared" si="14"/>
        <v>1</v>
      </c>
    </row>
    <row r="110" spans="1:23">
      <c r="A110" s="24" t="str">
        <f t="shared" si="9"/>
        <v>10060_1-1/17&lt;lv64&gt;</v>
      </c>
      <c r="B110" s="19">
        <f t="shared" si="15"/>
        <v>10060</v>
      </c>
      <c r="C110" s="19">
        <f t="shared" si="15"/>
        <v>1</v>
      </c>
      <c r="D110" s="19">
        <f t="shared" si="15"/>
        <v>1</v>
      </c>
      <c r="E110" s="19">
        <f t="shared" si="15"/>
        <v>17</v>
      </c>
      <c r="F110" s="19">
        <f t="shared" si="15"/>
        <v>64</v>
      </c>
      <c r="G110" s="19">
        <f t="shared" si="15"/>
        <v>1</v>
      </c>
      <c r="H110" s="19">
        <f t="shared" si="15"/>
        <v>1</v>
      </c>
      <c r="I110" s="19">
        <f t="shared" si="15"/>
        <v>0</v>
      </c>
      <c r="J110" s="19">
        <f t="shared" si="15"/>
        <v>0</v>
      </c>
      <c r="K110" s="19">
        <f t="shared" si="15"/>
        <v>0</v>
      </c>
      <c r="L110" s="19">
        <f t="shared" si="15"/>
        <v>100</v>
      </c>
      <c r="M110" s="19">
        <f t="shared" si="15"/>
        <v>0</v>
      </c>
      <c r="N110" s="19">
        <f t="shared" si="15"/>
        <v>2</v>
      </c>
      <c r="O110" s="19">
        <f t="shared" si="15"/>
        <v>17</v>
      </c>
      <c r="P110" s="19">
        <f t="shared" si="15"/>
        <v>1</v>
      </c>
      <c r="Q110" s="19">
        <f t="shared" si="15"/>
        <v>1</v>
      </c>
      <c r="R110" s="19">
        <f t="shared" si="14"/>
        <v>25</v>
      </c>
      <c r="S110" s="19">
        <f t="shared" si="14"/>
        <v>0</v>
      </c>
      <c r="T110" s="19">
        <f t="shared" si="14"/>
        <v>0</v>
      </c>
      <c r="U110" s="19">
        <f t="shared" si="14"/>
        <v>0</v>
      </c>
      <c r="V110" s="19">
        <f t="shared" si="14"/>
        <v>0</v>
      </c>
      <c r="W110" s="19">
        <f t="shared" si="14"/>
        <v>1</v>
      </c>
    </row>
    <row r="111" spans="1:23">
      <c r="A111" s="24" t="str">
        <f t="shared" si="9"/>
        <v>10060_1-1/15&lt;lv64&gt;</v>
      </c>
      <c r="B111" s="19">
        <f t="shared" si="15"/>
        <v>10060</v>
      </c>
      <c r="C111" s="19">
        <f t="shared" si="15"/>
        <v>1</v>
      </c>
      <c r="D111" s="19">
        <f t="shared" si="15"/>
        <v>1</v>
      </c>
      <c r="E111" s="19">
        <f t="shared" si="15"/>
        <v>15</v>
      </c>
      <c r="F111" s="19">
        <f t="shared" si="15"/>
        <v>64</v>
      </c>
      <c r="G111" s="19">
        <f t="shared" si="15"/>
        <v>1</v>
      </c>
      <c r="H111" s="19">
        <f t="shared" si="15"/>
        <v>1</v>
      </c>
      <c r="I111" s="19">
        <f t="shared" si="15"/>
        <v>0</v>
      </c>
      <c r="J111" s="19">
        <f t="shared" si="15"/>
        <v>0</v>
      </c>
      <c r="K111" s="19">
        <f t="shared" si="15"/>
        <v>0</v>
      </c>
      <c r="L111" s="19">
        <f t="shared" si="15"/>
        <v>100</v>
      </c>
      <c r="M111" s="19">
        <f t="shared" si="15"/>
        <v>0</v>
      </c>
      <c r="N111" s="19">
        <f t="shared" si="15"/>
        <v>3</v>
      </c>
      <c r="O111" s="19">
        <f t="shared" si="15"/>
        <v>15</v>
      </c>
      <c r="P111" s="19">
        <f t="shared" si="15"/>
        <v>1</v>
      </c>
      <c r="Q111" s="19">
        <f t="shared" si="15"/>
        <v>1</v>
      </c>
      <c r="R111" s="19">
        <f t="shared" si="14"/>
        <v>25</v>
      </c>
      <c r="S111" s="19">
        <f t="shared" si="14"/>
        <v>0</v>
      </c>
      <c r="T111" s="19">
        <f t="shared" si="14"/>
        <v>0</v>
      </c>
      <c r="U111" s="19">
        <f t="shared" si="14"/>
        <v>0</v>
      </c>
      <c r="V111" s="19">
        <f t="shared" si="14"/>
        <v>0</v>
      </c>
      <c r="W111" s="19">
        <f t="shared" si="14"/>
        <v>1</v>
      </c>
    </row>
    <row r="112" spans="1:23">
      <c r="A112" s="24" t="str">
        <f t="shared" si="9"/>
        <v>10060_1-2/16&lt;lv64&gt;</v>
      </c>
      <c r="B112" s="19">
        <f t="shared" si="15"/>
        <v>10060</v>
      </c>
      <c r="C112" s="19">
        <f t="shared" si="15"/>
        <v>1</v>
      </c>
      <c r="D112" s="19">
        <f t="shared" si="15"/>
        <v>2</v>
      </c>
      <c r="E112" s="19">
        <f t="shared" si="15"/>
        <v>16</v>
      </c>
      <c r="F112" s="19">
        <f t="shared" si="15"/>
        <v>64</v>
      </c>
      <c r="G112" s="19">
        <f t="shared" si="15"/>
        <v>1</v>
      </c>
      <c r="H112" s="19">
        <f t="shared" si="15"/>
        <v>1</v>
      </c>
      <c r="I112" s="19">
        <f t="shared" si="15"/>
        <v>0</v>
      </c>
      <c r="J112" s="19">
        <f t="shared" si="15"/>
        <v>0</v>
      </c>
      <c r="K112" s="19">
        <f t="shared" si="15"/>
        <v>3</v>
      </c>
      <c r="L112" s="19">
        <f t="shared" si="15"/>
        <v>100</v>
      </c>
      <c r="M112" s="19">
        <f t="shared" si="15"/>
        <v>0</v>
      </c>
      <c r="N112" s="19">
        <f t="shared" si="15"/>
        <v>3</v>
      </c>
      <c r="O112" s="19">
        <f t="shared" si="15"/>
        <v>15</v>
      </c>
      <c r="P112" s="19">
        <f t="shared" si="15"/>
        <v>1</v>
      </c>
      <c r="Q112" s="19">
        <f t="shared" si="15"/>
        <v>1</v>
      </c>
      <c r="R112" s="19">
        <f t="shared" si="14"/>
        <v>25</v>
      </c>
      <c r="S112" s="19">
        <f t="shared" si="14"/>
        <v>0</v>
      </c>
      <c r="T112" s="19">
        <f t="shared" si="14"/>
        <v>0</v>
      </c>
      <c r="U112" s="19">
        <f t="shared" si="14"/>
        <v>0</v>
      </c>
      <c r="V112" s="19">
        <f t="shared" si="14"/>
        <v>0</v>
      </c>
      <c r="W112" s="19">
        <f t="shared" si="14"/>
        <v>1</v>
      </c>
    </row>
    <row r="113" spans="1:23">
      <c r="A113" s="24" t="str">
        <f t="shared" si="9"/>
        <v>10060_1-3/147&lt;lv64&gt;</v>
      </c>
      <c r="B113" s="19">
        <f t="shared" si="15"/>
        <v>10060</v>
      </c>
      <c r="C113" s="19">
        <f t="shared" si="15"/>
        <v>1</v>
      </c>
      <c r="D113" s="19">
        <f t="shared" si="15"/>
        <v>3</v>
      </c>
      <c r="E113" s="19">
        <f t="shared" si="15"/>
        <v>147</v>
      </c>
      <c r="F113" s="19">
        <f t="shared" si="15"/>
        <v>64</v>
      </c>
      <c r="G113" s="19">
        <f t="shared" si="15"/>
        <v>1.2</v>
      </c>
      <c r="H113" s="19">
        <f t="shared" si="15"/>
        <v>1</v>
      </c>
      <c r="I113" s="19">
        <f t="shared" si="15"/>
        <v>0</v>
      </c>
      <c r="J113" s="19">
        <f t="shared" si="15"/>
        <v>14601</v>
      </c>
      <c r="K113" s="19">
        <f t="shared" si="15"/>
        <v>1</v>
      </c>
      <c r="L113" s="19">
        <f t="shared" si="15"/>
        <v>100</v>
      </c>
      <c r="M113" s="19">
        <f t="shared" si="15"/>
        <v>1</v>
      </c>
      <c r="N113" s="19">
        <f t="shared" si="15"/>
        <v>3</v>
      </c>
      <c r="O113" s="19">
        <f t="shared" si="15"/>
        <v>146</v>
      </c>
      <c r="P113" s="19">
        <f t="shared" si="15"/>
        <v>1</v>
      </c>
      <c r="Q113" s="19">
        <f t="shared" si="15"/>
        <v>3</v>
      </c>
      <c r="R113" s="19">
        <f t="shared" si="14"/>
        <v>0</v>
      </c>
      <c r="S113" s="19">
        <f t="shared" si="14"/>
        <v>0</v>
      </c>
      <c r="T113" s="19">
        <f t="shared" si="14"/>
        <v>0</v>
      </c>
      <c r="U113" s="19">
        <f t="shared" si="14"/>
        <v>0</v>
      </c>
      <c r="V113" s="19">
        <f t="shared" si="14"/>
        <v>0</v>
      </c>
      <c r="W113" s="19">
        <f t="shared" si="14"/>
        <v>1</v>
      </c>
    </row>
    <row r="114" spans="1:23">
      <c r="A114" s="24" t="str">
        <f t="shared" si="9"/>
        <v>10060_1-3/143&lt;lv64&gt;</v>
      </c>
      <c r="B114" s="19">
        <f t="shared" si="15"/>
        <v>10060</v>
      </c>
      <c r="C114" s="19">
        <f t="shared" si="15"/>
        <v>1</v>
      </c>
      <c r="D114" s="19">
        <f t="shared" si="15"/>
        <v>3</v>
      </c>
      <c r="E114" s="19">
        <f t="shared" si="15"/>
        <v>143</v>
      </c>
      <c r="F114" s="19">
        <f t="shared" si="15"/>
        <v>64</v>
      </c>
      <c r="G114" s="19">
        <f t="shared" si="15"/>
        <v>1.6</v>
      </c>
      <c r="H114" s="19">
        <f t="shared" si="15"/>
        <v>1</v>
      </c>
      <c r="I114" s="19">
        <f t="shared" si="15"/>
        <v>0</v>
      </c>
      <c r="J114" s="19">
        <f t="shared" si="15"/>
        <v>14301</v>
      </c>
      <c r="K114" s="19">
        <f t="shared" si="15"/>
        <v>1</v>
      </c>
      <c r="L114" s="19">
        <f t="shared" si="15"/>
        <v>100</v>
      </c>
      <c r="M114" s="19">
        <f t="shared" si="15"/>
        <v>1</v>
      </c>
      <c r="N114" s="19">
        <f t="shared" si="15"/>
        <v>2</v>
      </c>
      <c r="O114" s="19">
        <f t="shared" si="15"/>
        <v>142</v>
      </c>
      <c r="P114" s="19">
        <f t="shared" si="15"/>
        <v>1</v>
      </c>
      <c r="Q114" s="19">
        <f t="shared" si="15"/>
        <v>3</v>
      </c>
      <c r="R114" s="19">
        <f t="shared" si="14"/>
        <v>0</v>
      </c>
      <c r="S114" s="19">
        <f t="shared" si="14"/>
        <v>0</v>
      </c>
      <c r="T114" s="19">
        <f t="shared" si="14"/>
        <v>0</v>
      </c>
      <c r="U114" s="19">
        <f t="shared" si="14"/>
        <v>0</v>
      </c>
      <c r="V114" s="19">
        <f t="shared" si="14"/>
        <v>0</v>
      </c>
      <c r="W114" s="19">
        <f t="shared" si="14"/>
        <v>1</v>
      </c>
    </row>
    <row r="115" spans="1:23">
      <c r="A115" s="24" t="str">
        <f t="shared" si="9"/>
        <v>10060_1-4/138&lt;lv64&gt;</v>
      </c>
      <c r="B115" s="19">
        <f t="shared" si="15"/>
        <v>10060</v>
      </c>
      <c r="C115" s="19">
        <f t="shared" si="15"/>
        <v>1</v>
      </c>
      <c r="D115" s="19">
        <f t="shared" si="15"/>
        <v>4</v>
      </c>
      <c r="E115" s="19">
        <f t="shared" si="15"/>
        <v>138</v>
      </c>
      <c r="F115" s="19">
        <f t="shared" si="15"/>
        <v>64</v>
      </c>
      <c r="G115" s="19">
        <f t="shared" si="15"/>
        <v>0.8</v>
      </c>
      <c r="H115" s="19">
        <f t="shared" si="15"/>
        <v>1</v>
      </c>
      <c r="I115" s="19">
        <f t="shared" si="15"/>
        <v>0</v>
      </c>
      <c r="J115" s="19">
        <f t="shared" si="15"/>
        <v>0</v>
      </c>
      <c r="K115" s="19">
        <f t="shared" si="15"/>
        <v>1</v>
      </c>
      <c r="L115" s="19">
        <f t="shared" si="15"/>
        <v>100</v>
      </c>
      <c r="M115" s="19">
        <f t="shared" si="15"/>
        <v>1</v>
      </c>
      <c r="N115" s="19">
        <f t="shared" si="15"/>
        <v>2</v>
      </c>
      <c r="O115" s="19">
        <f t="shared" si="15"/>
        <v>138</v>
      </c>
      <c r="P115" s="19">
        <f t="shared" si="15"/>
        <v>1</v>
      </c>
      <c r="Q115" s="19">
        <f t="shared" si="15"/>
        <v>3</v>
      </c>
      <c r="R115" s="19">
        <f t="shared" si="14"/>
        <v>0</v>
      </c>
      <c r="S115" s="19">
        <f t="shared" si="14"/>
        <v>0</v>
      </c>
      <c r="T115" s="19">
        <f t="shared" si="14"/>
        <v>0</v>
      </c>
      <c r="U115" s="19">
        <f t="shared" si="14"/>
        <v>0</v>
      </c>
      <c r="V115" s="19">
        <f t="shared" si="14"/>
        <v>0</v>
      </c>
      <c r="W115" s="19">
        <f t="shared" si="14"/>
        <v>1</v>
      </c>
    </row>
    <row r="116" spans="1:23">
      <c r="A116" s="24" t="str">
        <f t="shared" si="9"/>
        <v>10060_1-4/16&lt;lv64&gt;</v>
      </c>
      <c r="B116" s="19">
        <f t="shared" si="15"/>
        <v>10060</v>
      </c>
      <c r="C116" s="19">
        <f t="shared" si="15"/>
        <v>1</v>
      </c>
      <c r="D116" s="19">
        <f t="shared" si="15"/>
        <v>4</v>
      </c>
      <c r="E116" s="19">
        <f t="shared" si="15"/>
        <v>16</v>
      </c>
      <c r="F116" s="19">
        <f t="shared" si="15"/>
        <v>64</v>
      </c>
      <c r="G116" s="19">
        <f t="shared" si="15"/>
        <v>1</v>
      </c>
      <c r="H116" s="19">
        <f t="shared" si="15"/>
        <v>1</v>
      </c>
      <c r="I116" s="19">
        <f t="shared" si="15"/>
        <v>0</v>
      </c>
      <c r="J116" s="19">
        <f t="shared" si="15"/>
        <v>0</v>
      </c>
      <c r="K116" s="19">
        <f t="shared" si="15"/>
        <v>2</v>
      </c>
      <c r="L116" s="19">
        <f t="shared" si="15"/>
        <v>100</v>
      </c>
      <c r="M116" s="19">
        <f t="shared" si="15"/>
        <v>0</v>
      </c>
      <c r="N116" s="19">
        <f t="shared" si="15"/>
        <v>3</v>
      </c>
      <c r="O116" s="19">
        <f t="shared" si="15"/>
        <v>15</v>
      </c>
      <c r="P116" s="19">
        <f t="shared" si="15"/>
        <v>1</v>
      </c>
      <c r="Q116" s="19">
        <f t="shared" si="15"/>
        <v>1</v>
      </c>
      <c r="R116" s="19">
        <f t="shared" si="14"/>
        <v>0</v>
      </c>
      <c r="S116" s="19">
        <f t="shared" si="14"/>
        <v>0</v>
      </c>
      <c r="T116" s="19">
        <f t="shared" si="14"/>
        <v>0</v>
      </c>
      <c r="U116" s="19">
        <f t="shared" si="14"/>
        <v>0</v>
      </c>
      <c r="V116" s="19">
        <f t="shared" si="14"/>
        <v>0</v>
      </c>
      <c r="W116" s="19">
        <f t="shared" si="14"/>
        <v>1</v>
      </c>
    </row>
    <row r="117" spans="1:23">
      <c r="A117" s="24" t="str">
        <f t="shared" si="9"/>
        <v>10060_1-5/209&lt;lv64&gt;</v>
      </c>
      <c r="B117" s="19">
        <f t="shared" si="15"/>
        <v>10060</v>
      </c>
      <c r="C117" s="19">
        <f t="shared" si="15"/>
        <v>1</v>
      </c>
      <c r="D117" s="19">
        <f t="shared" si="15"/>
        <v>5</v>
      </c>
      <c r="E117" s="19">
        <f t="shared" si="15"/>
        <v>209</v>
      </c>
      <c r="F117" s="19">
        <f t="shared" si="15"/>
        <v>64</v>
      </c>
      <c r="G117" s="19">
        <f t="shared" si="15"/>
        <v>1.3</v>
      </c>
      <c r="H117" s="19">
        <f t="shared" si="15"/>
        <v>0.8</v>
      </c>
      <c r="I117" s="19">
        <f t="shared" si="15"/>
        <v>0</v>
      </c>
      <c r="J117" s="19">
        <f t="shared" si="15"/>
        <v>20901</v>
      </c>
      <c r="K117" s="19">
        <f t="shared" si="15"/>
        <v>1</v>
      </c>
      <c r="L117" s="19">
        <f t="shared" si="15"/>
        <v>100</v>
      </c>
      <c r="M117" s="19">
        <f t="shared" si="15"/>
        <v>1</v>
      </c>
      <c r="N117" s="19">
        <f t="shared" si="15"/>
        <v>2</v>
      </c>
      <c r="O117" s="19">
        <f t="shared" si="15"/>
        <v>208</v>
      </c>
      <c r="P117" s="19">
        <f t="shared" si="15"/>
        <v>1</v>
      </c>
      <c r="Q117" s="19">
        <f t="shared" si="15"/>
        <v>3</v>
      </c>
      <c r="R117" s="19">
        <f t="shared" si="14"/>
        <v>0</v>
      </c>
      <c r="S117" s="19">
        <f t="shared" si="14"/>
        <v>0</v>
      </c>
      <c r="T117" s="19">
        <f t="shared" si="14"/>
        <v>0</v>
      </c>
      <c r="U117" s="19">
        <f t="shared" si="14"/>
        <v>0</v>
      </c>
      <c r="V117" s="19">
        <f t="shared" si="14"/>
        <v>0</v>
      </c>
      <c r="W117" s="19">
        <f t="shared" si="14"/>
        <v>1</v>
      </c>
    </row>
    <row r="118" spans="1:23">
      <c r="A118" s="24" t="str">
        <f t="shared" si="9"/>
        <v>10060_1-5/191&lt;lv64&gt;</v>
      </c>
      <c r="B118" s="19">
        <f t="shared" si="15"/>
        <v>10060</v>
      </c>
      <c r="C118" s="19">
        <f t="shared" si="15"/>
        <v>1</v>
      </c>
      <c r="D118" s="19">
        <f t="shared" si="15"/>
        <v>5</v>
      </c>
      <c r="E118" s="19">
        <f t="shared" si="15"/>
        <v>191</v>
      </c>
      <c r="F118" s="19">
        <f t="shared" si="15"/>
        <v>64</v>
      </c>
      <c r="G118" s="19">
        <f t="shared" si="15"/>
        <v>1.8</v>
      </c>
      <c r="H118" s="19">
        <f t="shared" si="15"/>
        <v>0.8</v>
      </c>
      <c r="I118" s="19">
        <f t="shared" si="15"/>
        <v>0</v>
      </c>
      <c r="J118" s="19">
        <f t="shared" si="15"/>
        <v>19101</v>
      </c>
      <c r="K118" s="19">
        <f t="shared" si="15"/>
        <v>1</v>
      </c>
      <c r="L118" s="19">
        <f t="shared" si="15"/>
        <v>100</v>
      </c>
      <c r="M118" s="19">
        <f t="shared" si="15"/>
        <v>1</v>
      </c>
      <c r="N118" s="19">
        <f t="shared" si="15"/>
        <v>3</v>
      </c>
      <c r="O118" s="19">
        <f t="shared" si="15"/>
        <v>190</v>
      </c>
      <c r="P118" s="19">
        <f t="shared" si="15"/>
        <v>1</v>
      </c>
      <c r="Q118" s="19">
        <f t="shared" si="15"/>
        <v>3</v>
      </c>
      <c r="R118" s="19">
        <f t="shared" si="14"/>
        <v>0</v>
      </c>
      <c r="S118" s="19">
        <f t="shared" si="14"/>
        <v>0</v>
      </c>
      <c r="T118" s="19">
        <f t="shared" si="14"/>
        <v>0</v>
      </c>
      <c r="U118" s="19">
        <f t="shared" si="14"/>
        <v>0</v>
      </c>
      <c r="V118" s="19">
        <f t="shared" si="14"/>
        <v>0</v>
      </c>
      <c r="W118" s="19">
        <f t="shared" si="14"/>
        <v>1</v>
      </c>
    </row>
    <row r="119" spans="1:23">
      <c r="A119" s="24" t="str">
        <f t="shared" si="9"/>
        <v>10065_1-1/26&lt;lv69&gt;</v>
      </c>
      <c r="B119" s="19">
        <f t="shared" si="15"/>
        <v>10065</v>
      </c>
      <c r="C119" s="19">
        <f t="shared" si="15"/>
        <v>1</v>
      </c>
      <c r="D119" s="19">
        <f t="shared" si="15"/>
        <v>1</v>
      </c>
      <c r="E119" s="19">
        <f t="shared" si="15"/>
        <v>26</v>
      </c>
      <c r="F119" s="19">
        <f t="shared" si="15"/>
        <v>69</v>
      </c>
      <c r="G119" s="19">
        <f t="shared" si="15"/>
        <v>1</v>
      </c>
      <c r="H119" s="19">
        <f t="shared" si="15"/>
        <v>1</v>
      </c>
      <c r="I119" s="19">
        <f t="shared" si="15"/>
        <v>0</v>
      </c>
      <c r="J119" s="19">
        <f t="shared" si="15"/>
        <v>0</v>
      </c>
      <c r="K119" s="19">
        <f t="shared" si="15"/>
        <v>1</v>
      </c>
      <c r="L119" s="19">
        <f t="shared" si="15"/>
        <v>100</v>
      </c>
      <c r="M119" s="19">
        <f t="shared" si="15"/>
        <v>0</v>
      </c>
      <c r="N119" s="19">
        <f t="shared" si="15"/>
        <v>3</v>
      </c>
      <c r="O119" s="19">
        <f t="shared" si="15"/>
        <v>26</v>
      </c>
      <c r="P119" s="19">
        <f t="shared" si="15"/>
        <v>1</v>
      </c>
      <c r="Q119" s="19">
        <f t="shared" si="15"/>
        <v>2</v>
      </c>
      <c r="R119" s="19">
        <f t="shared" si="14"/>
        <v>0</v>
      </c>
      <c r="S119" s="19">
        <f t="shared" si="14"/>
        <v>0</v>
      </c>
      <c r="T119" s="19">
        <f t="shared" si="14"/>
        <v>0</v>
      </c>
      <c r="U119" s="19">
        <f t="shared" si="14"/>
        <v>0</v>
      </c>
      <c r="V119" s="19">
        <f t="shared" si="14"/>
        <v>0</v>
      </c>
      <c r="W119" s="19">
        <f t="shared" si="14"/>
        <v>1</v>
      </c>
    </row>
    <row r="120" spans="1:23">
      <c r="A120" s="24" t="str">
        <f t="shared" si="9"/>
        <v>10065_1-1/14&lt;lv69&gt;</v>
      </c>
      <c r="B120" s="19">
        <f t="shared" si="15"/>
        <v>10065</v>
      </c>
      <c r="C120" s="19">
        <f t="shared" si="15"/>
        <v>1</v>
      </c>
      <c r="D120" s="19">
        <f t="shared" si="15"/>
        <v>1</v>
      </c>
      <c r="E120" s="19">
        <f t="shared" si="15"/>
        <v>14</v>
      </c>
      <c r="F120" s="19">
        <f t="shared" si="15"/>
        <v>69</v>
      </c>
      <c r="G120" s="19">
        <f t="shared" si="15"/>
        <v>1</v>
      </c>
      <c r="H120" s="19">
        <f t="shared" si="15"/>
        <v>1</v>
      </c>
      <c r="I120" s="19">
        <f t="shared" si="15"/>
        <v>0</v>
      </c>
      <c r="J120" s="19">
        <f t="shared" si="15"/>
        <v>0</v>
      </c>
      <c r="K120" s="19">
        <f t="shared" si="15"/>
        <v>1</v>
      </c>
      <c r="L120" s="19">
        <f t="shared" si="15"/>
        <v>100</v>
      </c>
      <c r="M120" s="19">
        <f t="shared" si="15"/>
        <v>0</v>
      </c>
      <c r="N120" s="19">
        <f t="shared" si="15"/>
        <v>2</v>
      </c>
      <c r="O120" s="19">
        <f t="shared" si="15"/>
        <v>14</v>
      </c>
      <c r="P120" s="19">
        <f t="shared" si="15"/>
        <v>1</v>
      </c>
      <c r="Q120" s="19">
        <f t="shared" si="15"/>
        <v>2</v>
      </c>
      <c r="R120" s="19">
        <f t="shared" si="14"/>
        <v>0</v>
      </c>
      <c r="S120" s="19">
        <f t="shared" si="14"/>
        <v>0</v>
      </c>
      <c r="T120" s="19">
        <f t="shared" si="14"/>
        <v>0</v>
      </c>
      <c r="U120" s="19">
        <f t="shared" si="14"/>
        <v>0</v>
      </c>
      <c r="V120" s="19">
        <f t="shared" si="14"/>
        <v>0</v>
      </c>
      <c r="W120" s="19">
        <f t="shared" si="14"/>
        <v>1</v>
      </c>
    </row>
    <row r="121" spans="1:23">
      <c r="A121" s="24" t="str">
        <f t="shared" si="9"/>
        <v>10065_1-2/18&lt;lv69&gt;</v>
      </c>
      <c r="B121" s="19">
        <f t="shared" si="15"/>
        <v>10065</v>
      </c>
      <c r="C121" s="19">
        <f t="shared" si="15"/>
        <v>1</v>
      </c>
      <c r="D121" s="19">
        <f t="shared" si="15"/>
        <v>2</v>
      </c>
      <c r="E121" s="19">
        <f t="shared" si="15"/>
        <v>18</v>
      </c>
      <c r="F121" s="19">
        <f t="shared" si="15"/>
        <v>69</v>
      </c>
      <c r="G121" s="19">
        <f t="shared" si="15"/>
        <v>1</v>
      </c>
      <c r="H121" s="19">
        <f t="shared" si="15"/>
        <v>1</v>
      </c>
      <c r="I121" s="19">
        <f t="shared" si="15"/>
        <v>0</v>
      </c>
      <c r="J121" s="19">
        <f t="shared" si="15"/>
        <v>0</v>
      </c>
      <c r="K121" s="19">
        <f t="shared" si="15"/>
        <v>1</v>
      </c>
      <c r="L121" s="19">
        <f t="shared" si="15"/>
        <v>100</v>
      </c>
      <c r="M121" s="19">
        <f t="shared" si="15"/>
        <v>0</v>
      </c>
      <c r="N121" s="19">
        <f t="shared" si="15"/>
        <v>2</v>
      </c>
      <c r="O121" s="19">
        <f t="shared" si="15"/>
        <v>18</v>
      </c>
      <c r="P121" s="19">
        <f t="shared" si="15"/>
        <v>1</v>
      </c>
      <c r="Q121" s="19">
        <f t="shared" si="15"/>
        <v>2</v>
      </c>
      <c r="R121" s="19">
        <f t="shared" si="14"/>
        <v>0</v>
      </c>
      <c r="S121" s="19">
        <f t="shared" si="14"/>
        <v>0</v>
      </c>
      <c r="T121" s="19">
        <f t="shared" si="14"/>
        <v>0</v>
      </c>
      <c r="U121" s="19">
        <f t="shared" si="14"/>
        <v>0</v>
      </c>
      <c r="V121" s="19">
        <f t="shared" si="14"/>
        <v>0</v>
      </c>
      <c r="W121" s="19">
        <f t="shared" si="14"/>
        <v>1</v>
      </c>
    </row>
    <row r="122" spans="1:23">
      <c r="A122" s="24" t="str">
        <f t="shared" si="9"/>
        <v>10065_1-2/39&lt;lv69&gt;</v>
      </c>
      <c r="B122" s="19">
        <f t="shared" si="15"/>
        <v>10065</v>
      </c>
      <c r="C122" s="19">
        <f t="shared" si="15"/>
        <v>1</v>
      </c>
      <c r="D122" s="19">
        <f t="shared" si="15"/>
        <v>2</v>
      </c>
      <c r="E122" s="19">
        <f t="shared" si="15"/>
        <v>39</v>
      </c>
      <c r="F122" s="19">
        <f t="shared" si="15"/>
        <v>69</v>
      </c>
      <c r="G122" s="19">
        <f t="shared" si="15"/>
        <v>1</v>
      </c>
      <c r="H122" s="19">
        <f t="shared" si="15"/>
        <v>1</v>
      </c>
      <c r="I122" s="19">
        <f t="shared" si="15"/>
        <v>0</v>
      </c>
      <c r="J122" s="19">
        <f t="shared" si="15"/>
        <v>39</v>
      </c>
      <c r="K122" s="19">
        <f t="shared" si="15"/>
        <v>1</v>
      </c>
      <c r="L122" s="19">
        <f t="shared" si="15"/>
        <v>100</v>
      </c>
      <c r="M122" s="19">
        <f t="shared" si="15"/>
        <v>0</v>
      </c>
      <c r="N122" s="19">
        <f t="shared" si="15"/>
        <v>3</v>
      </c>
      <c r="O122" s="19">
        <f t="shared" si="15"/>
        <v>39</v>
      </c>
      <c r="P122" s="19">
        <f t="shared" si="15"/>
        <v>1</v>
      </c>
      <c r="Q122" s="19">
        <f t="shared" si="15"/>
        <v>2</v>
      </c>
      <c r="R122" s="19">
        <f t="shared" si="14"/>
        <v>0</v>
      </c>
      <c r="S122" s="19">
        <f t="shared" si="14"/>
        <v>0</v>
      </c>
      <c r="T122" s="19">
        <f t="shared" si="14"/>
        <v>0</v>
      </c>
      <c r="U122" s="19">
        <f t="shared" si="14"/>
        <v>0</v>
      </c>
      <c r="V122" s="19">
        <f t="shared" si="14"/>
        <v>0</v>
      </c>
      <c r="W122" s="19">
        <f t="shared" si="14"/>
        <v>1</v>
      </c>
    </row>
    <row r="123" spans="1:23">
      <c r="A123" s="24" t="str">
        <f t="shared" si="9"/>
        <v>10065_1-2/53&lt;lv69&gt;</v>
      </c>
      <c r="B123" s="19">
        <f t="shared" si="15"/>
        <v>10065</v>
      </c>
      <c r="C123" s="19">
        <f t="shared" si="15"/>
        <v>1</v>
      </c>
      <c r="D123" s="19">
        <f t="shared" si="15"/>
        <v>2</v>
      </c>
      <c r="E123" s="19">
        <f t="shared" si="15"/>
        <v>53</v>
      </c>
      <c r="F123" s="19">
        <f t="shared" si="15"/>
        <v>69</v>
      </c>
      <c r="G123" s="19">
        <f t="shared" si="15"/>
        <v>1</v>
      </c>
      <c r="H123" s="19">
        <f t="shared" si="15"/>
        <v>1</v>
      </c>
      <c r="I123" s="19">
        <f t="shared" si="15"/>
        <v>0</v>
      </c>
      <c r="J123" s="19">
        <f t="shared" si="15"/>
        <v>53</v>
      </c>
      <c r="K123" s="19">
        <f t="shared" si="15"/>
        <v>1</v>
      </c>
      <c r="L123" s="19">
        <f t="shared" si="15"/>
        <v>100</v>
      </c>
      <c r="M123" s="19">
        <f t="shared" si="15"/>
        <v>0</v>
      </c>
      <c r="N123" s="19">
        <f t="shared" si="15"/>
        <v>2</v>
      </c>
      <c r="O123" s="19">
        <f t="shared" si="15"/>
        <v>53</v>
      </c>
      <c r="P123" s="19">
        <f t="shared" si="15"/>
        <v>1</v>
      </c>
      <c r="Q123" s="19">
        <f t="shared" ref="Q123:W130" si="16">VLOOKUP($A123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123" s="19">
        <f t="shared" si="16"/>
        <v>0</v>
      </c>
      <c r="S123" s="19">
        <f t="shared" si="16"/>
        <v>0</v>
      </c>
      <c r="T123" s="19">
        <f t="shared" si="16"/>
        <v>0</v>
      </c>
      <c r="U123" s="19">
        <f t="shared" si="16"/>
        <v>0</v>
      </c>
      <c r="V123" s="19">
        <f t="shared" si="16"/>
        <v>0</v>
      </c>
      <c r="W123" s="19">
        <f t="shared" si="16"/>
        <v>1</v>
      </c>
    </row>
    <row r="124" spans="1:23">
      <c r="A124" s="24" t="str">
        <f t="shared" si="9"/>
        <v>10065_1-3/133&lt;lv69&gt;</v>
      </c>
      <c r="B124" s="19">
        <f t="shared" ref="B124:Q130" si="17">VLOOKUP($A124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10065</v>
      </c>
      <c r="C124" s="19">
        <f t="shared" si="17"/>
        <v>1</v>
      </c>
      <c r="D124" s="19">
        <f t="shared" si="17"/>
        <v>3</v>
      </c>
      <c r="E124" s="19">
        <f t="shared" si="17"/>
        <v>133</v>
      </c>
      <c r="F124" s="19">
        <f t="shared" si="17"/>
        <v>69</v>
      </c>
      <c r="G124" s="19">
        <f t="shared" si="17"/>
        <v>1</v>
      </c>
      <c r="H124" s="19">
        <f t="shared" si="17"/>
        <v>0.8</v>
      </c>
      <c r="I124" s="19">
        <f t="shared" si="17"/>
        <v>0</v>
      </c>
      <c r="J124" s="19">
        <f t="shared" si="17"/>
        <v>13301</v>
      </c>
      <c r="K124" s="19">
        <f t="shared" si="17"/>
        <v>1</v>
      </c>
      <c r="L124" s="19">
        <f t="shared" si="17"/>
        <v>100</v>
      </c>
      <c r="M124" s="19">
        <f t="shared" si="17"/>
        <v>0</v>
      </c>
      <c r="N124" s="19">
        <f t="shared" si="17"/>
        <v>2</v>
      </c>
      <c r="O124" s="19">
        <f t="shared" si="17"/>
        <v>133</v>
      </c>
      <c r="P124" s="19">
        <f t="shared" si="17"/>
        <v>1</v>
      </c>
      <c r="Q124" s="19">
        <f t="shared" si="17"/>
        <v>4</v>
      </c>
      <c r="R124" s="19">
        <f t="shared" si="16"/>
        <v>0</v>
      </c>
      <c r="S124" s="19">
        <f t="shared" si="16"/>
        <v>0</v>
      </c>
      <c r="T124" s="19">
        <f t="shared" si="16"/>
        <v>0</v>
      </c>
      <c r="U124" s="19">
        <f t="shared" si="16"/>
        <v>0</v>
      </c>
      <c r="V124" s="19">
        <f t="shared" si="16"/>
        <v>0</v>
      </c>
      <c r="W124" s="19">
        <f t="shared" si="16"/>
        <v>1</v>
      </c>
    </row>
    <row r="125" spans="1:23">
      <c r="A125" s="24" t="str">
        <f t="shared" si="9"/>
        <v>10065_1-3/155&lt;lv69&gt;</v>
      </c>
      <c r="B125" s="19">
        <f t="shared" si="17"/>
        <v>10065</v>
      </c>
      <c r="C125" s="19">
        <f t="shared" si="17"/>
        <v>1</v>
      </c>
      <c r="D125" s="19">
        <f t="shared" si="17"/>
        <v>3</v>
      </c>
      <c r="E125" s="19">
        <f t="shared" si="17"/>
        <v>155</v>
      </c>
      <c r="F125" s="19">
        <f t="shared" si="17"/>
        <v>69</v>
      </c>
      <c r="G125" s="19">
        <f t="shared" si="17"/>
        <v>1</v>
      </c>
      <c r="H125" s="19">
        <f t="shared" si="17"/>
        <v>0.8</v>
      </c>
      <c r="I125" s="19">
        <f t="shared" si="17"/>
        <v>0</v>
      </c>
      <c r="J125" s="19">
        <f t="shared" si="17"/>
        <v>15501</v>
      </c>
      <c r="K125" s="19">
        <f t="shared" si="17"/>
        <v>1</v>
      </c>
      <c r="L125" s="19">
        <f t="shared" si="17"/>
        <v>100</v>
      </c>
      <c r="M125" s="19">
        <f t="shared" si="17"/>
        <v>0</v>
      </c>
      <c r="N125" s="19">
        <f t="shared" si="17"/>
        <v>3</v>
      </c>
      <c r="O125" s="19">
        <f t="shared" si="17"/>
        <v>155</v>
      </c>
      <c r="P125" s="19">
        <f t="shared" si="17"/>
        <v>1</v>
      </c>
      <c r="Q125" s="19">
        <f t="shared" si="17"/>
        <v>4</v>
      </c>
      <c r="R125" s="19">
        <f t="shared" si="16"/>
        <v>0</v>
      </c>
      <c r="S125" s="19">
        <f t="shared" si="16"/>
        <v>0</v>
      </c>
      <c r="T125" s="19">
        <f t="shared" si="16"/>
        <v>0</v>
      </c>
      <c r="U125" s="19">
        <f t="shared" si="16"/>
        <v>0</v>
      </c>
      <c r="V125" s="19">
        <f t="shared" si="16"/>
        <v>0</v>
      </c>
      <c r="W125" s="19">
        <f t="shared" si="16"/>
        <v>1</v>
      </c>
    </row>
    <row r="126" spans="1:23">
      <c r="A126" s="24" t="str">
        <f t="shared" si="9"/>
        <v>10065_1-4/38&lt;lv69&gt;</v>
      </c>
      <c r="B126" s="19">
        <f t="shared" si="17"/>
        <v>10065</v>
      </c>
      <c r="C126" s="19">
        <f t="shared" si="17"/>
        <v>1</v>
      </c>
      <c r="D126" s="19">
        <f t="shared" si="17"/>
        <v>4</v>
      </c>
      <c r="E126" s="19">
        <f t="shared" si="17"/>
        <v>38</v>
      </c>
      <c r="F126" s="19">
        <f t="shared" si="17"/>
        <v>69</v>
      </c>
      <c r="G126" s="19">
        <f t="shared" si="17"/>
        <v>1</v>
      </c>
      <c r="H126" s="19">
        <f t="shared" si="17"/>
        <v>0.8</v>
      </c>
      <c r="I126" s="19">
        <f t="shared" si="17"/>
        <v>0</v>
      </c>
      <c r="J126" s="19">
        <f t="shared" si="17"/>
        <v>38</v>
      </c>
      <c r="K126" s="19">
        <f t="shared" si="17"/>
        <v>1</v>
      </c>
      <c r="L126" s="19">
        <f t="shared" si="17"/>
        <v>100</v>
      </c>
      <c r="M126" s="19">
        <f t="shared" si="17"/>
        <v>0</v>
      </c>
      <c r="N126" s="19">
        <f t="shared" si="17"/>
        <v>3</v>
      </c>
      <c r="O126" s="19">
        <f t="shared" si="17"/>
        <v>38</v>
      </c>
      <c r="P126" s="19">
        <f t="shared" si="17"/>
        <v>1</v>
      </c>
      <c r="Q126" s="19">
        <f t="shared" si="17"/>
        <v>3</v>
      </c>
      <c r="R126" s="19">
        <f t="shared" si="16"/>
        <v>0</v>
      </c>
      <c r="S126" s="19">
        <f t="shared" si="16"/>
        <v>0</v>
      </c>
      <c r="T126" s="19">
        <f t="shared" si="16"/>
        <v>0</v>
      </c>
      <c r="U126" s="19">
        <f t="shared" si="16"/>
        <v>0</v>
      </c>
      <c r="V126" s="19">
        <f t="shared" si="16"/>
        <v>0</v>
      </c>
      <c r="W126" s="19">
        <f t="shared" si="16"/>
        <v>1</v>
      </c>
    </row>
    <row r="127" spans="1:23">
      <c r="A127" s="24" t="str">
        <f t="shared" si="9"/>
        <v>10065_1-4/48&lt;lv69&gt;</v>
      </c>
      <c r="B127" s="19">
        <f t="shared" si="17"/>
        <v>10065</v>
      </c>
      <c r="C127" s="19">
        <f t="shared" si="17"/>
        <v>1</v>
      </c>
      <c r="D127" s="19">
        <f t="shared" si="17"/>
        <v>4</v>
      </c>
      <c r="E127" s="19">
        <f t="shared" si="17"/>
        <v>48</v>
      </c>
      <c r="F127" s="19">
        <f t="shared" si="17"/>
        <v>69</v>
      </c>
      <c r="G127" s="19">
        <f t="shared" si="17"/>
        <v>1</v>
      </c>
      <c r="H127" s="19">
        <f t="shared" si="17"/>
        <v>1</v>
      </c>
      <c r="I127" s="19">
        <f t="shared" si="17"/>
        <v>0</v>
      </c>
      <c r="J127" s="19">
        <f t="shared" si="17"/>
        <v>0</v>
      </c>
      <c r="K127" s="19">
        <f t="shared" si="17"/>
        <v>1</v>
      </c>
      <c r="L127" s="19">
        <f t="shared" si="17"/>
        <v>100</v>
      </c>
      <c r="M127" s="19">
        <f t="shared" si="17"/>
        <v>0</v>
      </c>
      <c r="N127" s="19">
        <f t="shared" si="17"/>
        <v>2</v>
      </c>
      <c r="O127" s="19">
        <f t="shared" si="17"/>
        <v>48</v>
      </c>
      <c r="P127" s="19">
        <f t="shared" si="17"/>
        <v>1</v>
      </c>
      <c r="Q127" s="19">
        <f t="shared" si="17"/>
        <v>3</v>
      </c>
      <c r="R127" s="19">
        <f t="shared" si="16"/>
        <v>0</v>
      </c>
      <c r="S127" s="19">
        <f t="shared" si="16"/>
        <v>0</v>
      </c>
      <c r="T127" s="19">
        <f t="shared" si="16"/>
        <v>0</v>
      </c>
      <c r="U127" s="19">
        <f t="shared" si="16"/>
        <v>0</v>
      </c>
      <c r="V127" s="19">
        <f t="shared" si="16"/>
        <v>0</v>
      </c>
      <c r="W127" s="19">
        <f t="shared" si="16"/>
        <v>1</v>
      </c>
    </row>
    <row r="128" spans="1:23">
      <c r="A128" s="24" t="str">
        <f t="shared" si="9"/>
        <v>10065_1-4/54&lt;lv69&gt;</v>
      </c>
      <c r="B128" s="19">
        <f t="shared" si="17"/>
        <v>10065</v>
      </c>
      <c r="C128" s="19">
        <f t="shared" si="17"/>
        <v>1</v>
      </c>
      <c r="D128" s="19">
        <f t="shared" si="17"/>
        <v>4</v>
      </c>
      <c r="E128" s="19">
        <f t="shared" si="17"/>
        <v>54</v>
      </c>
      <c r="F128" s="19">
        <f t="shared" si="17"/>
        <v>69</v>
      </c>
      <c r="G128" s="19">
        <f t="shared" si="17"/>
        <v>1</v>
      </c>
      <c r="H128" s="19">
        <f t="shared" si="17"/>
        <v>1</v>
      </c>
      <c r="I128" s="19">
        <f t="shared" si="17"/>
        <v>0</v>
      </c>
      <c r="J128" s="19">
        <f t="shared" si="17"/>
        <v>53</v>
      </c>
      <c r="K128" s="19">
        <f t="shared" si="17"/>
        <v>1</v>
      </c>
      <c r="L128" s="19">
        <f t="shared" si="17"/>
        <v>100</v>
      </c>
      <c r="M128" s="19">
        <f t="shared" si="17"/>
        <v>1</v>
      </c>
      <c r="N128" s="19">
        <f t="shared" si="17"/>
        <v>2</v>
      </c>
      <c r="O128" s="19">
        <f t="shared" si="17"/>
        <v>54</v>
      </c>
      <c r="P128" s="19">
        <f t="shared" si="17"/>
        <v>1</v>
      </c>
      <c r="Q128" s="19">
        <f t="shared" si="17"/>
        <v>3</v>
      </c>
      <c r="R128" s="19">
        <f t="shared" si="16"/>
        <v>0</v>
      </c>
      <c r="S128" s="19">
        <f t="shared" si="16"/>
        <v>0</v>
      </c>
      <c r="T128" s="19">
        <f t="shared" si="16"/>
        <v>0</v>
      </c>
      <c r="U128" s="19">
        <f t="shared" si="16"/>
        <v>0</v>
      </c>
      <c r="V128" s="19">
        <f t="shared" si="16"/>
        <v>0</v>
      </c>
      <c r="W128" s="19">
        <f t="shared" si="16"/>
        <v>1</v>
      </c>
    </row>
    <row r="129" spans="1:23">
      <c r="A129" s="24" t="str">
        <f t="shared" si="9"/>
        <v>10065_1-5/131&lt;lv69&gt;</v>
      </c>
      <c r="B129" s="19">
        <f t="shared" si="17"/>
        <v>10065</v>
      </c>
      <c r="C129" s="19">
        <f t="shared" si="17"/>
        <v>1</v>
      </c>
      <c r="D129" s="19">
        <f t="shared" si="17"/>
        <v>5</v>
      </c>
      <c r="E129" s="19">
        <f t="shared" si="17"/>
        <v>131</v>
      </c>
      <c r="F129" s="19">
        <f t="shared" si="17"/>
        <v>69</v>
      </c>
      <c r="G129" s="19">
        <f t="shared" si="17"/>
        <v>1</v>
      </c>
      <c r="H129" s="19">
        <f t="shared" si="17"/>
        <v>0.8</v>
      </c>
      <c r="I129" s="19">
        <f t="shared" si="17"/>
        <v>0</v>
      </c>
      <c r="J129" s="19">
        <f t="shared" si="17"/>
        <v>13101</v>
      </c>
      <c r="K129" s="19">
        <f t="shared" si="17"/>
        <v>1</v>
      </c>
      <c r="L129" s="19">
        <f t="shared" si="17"/>
        <v>100</v>
      </c>
      <c r="M129" s="19">
        <f t="shared" si="17"/>
        <v>0</v>
      </c>
      <c r="N129" s="19">
        <f t="shared" si="17"/>
        <v>2</v>
      </c>
      <c r="O129" s="19">
        <f t="shared" si="17"/>
        <v>131</v>
      </c>
      <c r="P129" s="19">
        <f t="shared" si="17"/>
        <v>1</v>
      </c>
      <c r="Q129" s="19">
        <f t="shared" si="17"/>
        <v>4</v>
      </c>
      <c r="R129" s="19">
        <f t="shared" si="16"/>
        <v>0</v>
      </c>
      <c r="S129" s="19">
        <f t="shared" si="16"/>
        <v>0</v>
      </c>
      <c r="T129" s="19">
        <f t="shared" si="16"/>
        <v>0</v>
      </c>
      <c r="U129" s="19">
        <f t="shared" si="16"/>
        <v>0</v>
      </c>
      <c r="V129" s="19">
        <f t="shared" si="16"/>
        <v>0</v>
      </c>
      <c r="W129" s="19">
        <f t="shared" si="16"/>
        <v>1</v>
      </c>
    </row>
    <row r="130" spans="1:23">
      <c r="A130" s="24" t="str">
        <f t="shared" si="9"/>
        <v>10065_1-5/188&lt;lv69&gt;</v>
      </c>
      <c r="B130" s="19">
        <f t="shared" si="17"/>
        <v>10065</v>
      </c>
      <c r="C130" s="19">
        <f t="shared" si="17"/>
        <v>1</v>
      </c>
      <c r="D130" s="19">
        <f t="shared" si="17"/>
        <v>5</v>
      </c>
      <c r="E130" s="19">
        <f t="shared" si="17"/>
        <v>188</v>
      </c>
      <c r="F130" s="19">
        <f t="shared" si="17"/>
        <v>69</v>
      </c>
      <c r="G130" s="19">
        <f t="shared" si="17"/>
        <v>1</v>
      </c>
      <c r="H130" s="19">
        <f t="shared" si="17"/>
        <v>0.8</v>
      </c>
      <c r="I130" s="19">
        <f t="shared" si="17"/>
        <v>0</v>
      </c>
      <c r="J130" s="19">
        <f t="shared" si="17"/>
        <v>18801</v>
      </c>
      <c r="K130" s="19">
        <f t="shared" si="17"/>
        <v>1</v>
      </c>
      <c r="L130" s="19">
        <f t="shared" si="17"/>
        <v>100</v>
      </c>
      <c r="M130" s="19">
        <f t="shared" si="17"/>
        <v>1</v>
      </c>
      <c r="N130" s="19">
        <f t="shared" si="17"/>
        <v>2</v>
      </c>
      <c r="O130" s="19">
        <f t="shared" si="17"/>
        <v>188</v>
      </c>
      <c r="P130" s="19">
        <f t="shared" si="17"/>
        <v>1</v>
      </c>
      <c r="Q130" s="19">
        <f t="shared" si="17"/>
        <v>4</v>
      </c>
      <c r="R130" s="19">
        <f t="shared" si="16"/>
        <v>0</v>
      </c>
      <c r="S130" s="19">
        <f t="shared" si="16"/>
        <v>0</v>
      </c>
      <c r="T130" s="19">
        <f t="shared" si="16"/>
        <v>0</v>
      </c>
      <c r="U130" s="19">
        <f t="shared" si="16"/>
        <v>0</v>
      </c>
      <c r="V130" s="19">
        <f t="shared" si="16"/>
        <v>0</v>
      </c>
      <c r="W130" s="19">
        <f t="shared" si="16"/>
        <v>1</v>
      </c>
    </row>
    <row r="131" spans="1:23">
      <c r="A131"/>
    </row>
    <row r="132" spans="1:23">
      <c r="A132"/>
    </row>
    <row r="133" spans="1:23">
      <c r="A133"/>
    </row>
    <row r="134" spans="1:23">
      <c r="A134"/>
    </row>
    <row r="135" spans="1:23">
      <c r="A135"/>
    </row>
    <row r="136" spans="1:23">
      <c r="A136"/>
    </row>
    <row r="137" spans="1:23">
      <c r="A137"/>
    </row>
    <row r="138" spans="1:23">
      <c r="A138"/>
    </row>
    <row r="139" spans="1:23">
      <c r="A139"/>
    </row>
    <row r="140" spans="1:23">
      <c r="A140"/>
    </row>
    <row r="141" spans="1:23">
      <c r="A141"/>
    </row>
    <row r="142" spans="1:23">
      <c r="A142"/>
    </row>
    <row r="143" spans="1:23">
      <c r="A143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floors_rank_quests</vt:lpstr>
      <vt:lpstr>enemy_habitats_rank_quests</vt:lpstr>
      <vt:lpstr>floors_rank_quests.tmp</vt:lpstr>
      <vt:lpstr>enemy_habitats_rank_quests.tmp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LINKED BRAIN</cp:lastModifiedBy>
  <dcterms:created xsi:type="dcterms:W3CDTF">2015-01-30T13:36:44Z</dcterms:created>
  <dcterms:modified xsi:type="dcterms:W3CDTF">2015-08-21T08:47:09Z</dcterms:modified>
</cp:coreProperties>
</file>