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24" codeName="{00000000-0000-0000-0000-000000000000}"/>
  <workbookPr codeName="ThisWorkbook" autoCompressPictures="0"/>
  <bookViews>
    <workbookView xWindow="1540" yWindow="1260" windowWidth="25040" windowHeight="15500" tabRatio="924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enemy_habitat_S!$B$1:$Y$3</definedName>
    <definedName name="_xlnm._FilterDatabase" localSheetId="2" hidden="1">enemy_habitats!$B$1:$AH$9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enemy_skills!$A$1:$I$1</definedName>
    <definedName name="Excel_BuiltIn__FilterDatabase_6_1" localSheetId="6">[1]unit_skills!#REF!</definedName>
    <definedName name="Excel_BuiltIn__FilterDatabase_6_1" localSheetId="5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" i="1" l="1"/>
  <c r="AD3" i="1"/>
  <c r="AD4" i="1"/>
  <c r="AD5" i="1"/>
  <c r="AD6" i="1"/>
  <c r="AD7" i="1"/>
  <c r="AD8" i="1"/>
  <c r="AD9" i="1"/>
  <c r="AC9" i="1"/>
  <c r="O17" i="9"/>
  <c r="N17" i="9"/>
  <c r="M17" i="9"/>
  <c r="L17" i="9"/>
  <c r="K17" i="9"/>
  <c r="J17" i="9"/>
  <c r="I17" i="9"/>
  <c r="H17" i="9"/>
  <c r="G17" i="9"/>
  <c r="E17" i="9"/>
  <c r="D17" i="9"/>
  <c r="A17" i="9"/>
  <c r="N3" i="7"/>
  <c r="O3" i="7"/>
  <c r="P3" i="7"/>
  <c r="Q3" i="7"/>
  <c r="R3" i="7"/>
  <c r="N4" i="7"/>
  <c r="O4" i="7"/>
  <c r="P4" i="7"/>
  <c r="Q4" i="7"/>
  <c r="R4" i="7"/>
  <c r="R2" i="7"/>
  <c r="Q2" i="7"/>
  <c r="P2" i="7"/>
  <c r="O2" i="7"/>
  <c r="N2" i="7"/>
  <c r="AC3" i="1"/>
  <c r="AE3" i="1"/>
  <c r="AC4" i="1"/>
  <c r="AE4" i="1"/>
  <c r="AC5" i="1"/>
  <c r="AE5" i="1"/>
  <c r="AC6" i="1"/>
  <c r="AE6" i="1"/>
  <c r="AC7" i="1"/>
  <c r="AE7" i="1"/>
  <c r="AC8" i="1"/>
  <c r="AE8" i="1"/>
  <c r="AE9" i="1"/>
  <c r="AE2" i="1"/>
  <c r="AC2" i="1"/>
  <c r="M3" i="1"/>
  <c r="N3" i="1"/>
  <c r="O3" i="1"/>
  <c r="P3" i="1"/>
  <c r="Q3" i="1"/>
  <c r="M4" i="1"/>
  <c r="N4" i="1"/>
  <c r="O4" i="1"/>
  <c r="P4" i="1"/>
  <c r="Q4" i="1"/>
  <c r="M5" i="1"/>
  <c r="N5" i="1"/>
  <c r="O5" i="1"/>
  <c r="P5" i="1"/>
  <c r="Q5" i="1"/>
  <c r="M6" i="1"/>
  <c r="N6" i="1"/>
  <c r="O6" i="1"/>
  <c r="P6" i="1"/>
  <c r="Q6" i="1"/>
  <c r="M7" i="1"/>
  <c r="N7" i="1"/>
  <c r="O7" i="1"/>
  <c r="P7" i="1"/>
  <c r="Q7" i="1"/>
  <c r="M8" i="1"/>
  <c r="N8" i="1"/>
  <c r="O8" i="1"/>
  <c r="P8" i="1"/>
  <c r="Q8" i="1"/>
  <c r="M9" i="1"/>
  <c r="N9" i="1"/>
  <c r="O9" i="1"/>
  <c r="P9" i="1"/>
  <c r="Q9" i="1"/>
  <c r="AA9" i="1"/>
  <c r="AA4" i="1"/>
  <c r="E5" i="9"/>
  <c r="W3" i="1"/>
  <c r="W4" i="1"/>
  <c r="E6" i="9"/>
  <c r="W5" i="1"/>
  <c r="E7" i="9"/>
  <c r="W6" i="1"/>
  <c r="E8" i="9"/>
  <c r="W7" i="1"/>
  <c r="E9" i="9"/>
  <c r="W8" i="1"/>
  <c r="E15" i="9"/>
  <c r="W9" i="1"/>
  <c r="E2" i="9"/>
  <c r="W2" i="1"/>
  <c r="Q2" i="1"/>
  <c r="P2" i="1"/>
  <c r="O2" i="1"/>
  <c r="N2" i="1"/>
  <c r="M2" i="1"/>
  <c r="E8" i="16"/>
  <c r="E7" i="16"/>
  <c r="E6" i="16"/>
  <c r="E5" i="16"/>
  <c r="E4" i="16"/>
  <c r="E3" i="16"/>
  <c r="E2" i="16"/>
  <c r="O27" i="9"/>
  <c r="N27" i="9"/>
  <c r="M27" i="9"/>
  <c r="L27" i="9"/>
  <c r="K27" i="9"/>
  <c r="J27" i="9"/>
  <c r="I27" i="9"/>
  <c r="H27" i="9"/>
  <c r="G27" i="9"/>
  <c r="E27" i="9"/>
  <c r="D27" i="9"/>
  <c r="A27" i="9"/>
  <c r="D15" i="9"/>
  <c r="D16" i="9"/>
  <c r="E16" i="9"/>
  <c r="D18" i="9"/>
  <c r="E18" i="9"/>
  <c r="D19" i="9"/>
  <c r="E19" i="9"/>
  <c r="D20" i="9"/>
  <c r="E20" i="9"/>
  <c r="D21" i="9"/>
  <c r="E21" i="9"/>
  <c r="D22" i="9"/>
  <c r="E22" i="9"/>
  <c r="D23" i="9"/>
  <c r="E23" i="9"/>
  <c r="D24" i="9"/>
  <c r="E24" i="9"/>
  <c r="D25" i="9"/>
  <c r="E25" i="9"/>
  <c r="D26" i="9"/>
  <c r="E26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A26" i="9"/>
  <c r="A25" i="9"/>
  <c r="A24" i="9"/>
  <c r="A23" i="9"/>
  <c r="A22" i="9"/>
  <c r="A21" i="9"/>
  <c r="A20" i="9"/>
  <c r="A19" i="9"/>
  <c r="A18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O2" i="9"/>
  <c r="N2" i="9"/>
  <c r="M2" i="9"/>
  <c r="L2" i="9"/>
  <c r="K2" i="9"/>
  <c r="J2" i="9"/>
  <c r="I2" i="9"/>
  <c r="H2" i="9"/>
  <c r="G2" i="9"/>
  <c r="D3" i="9"/>
  <c r="E3" i="9"/>
  <c r="D4" i="9"/>
  <c r="E4" i="9"/>
  <c r="D5" i="9"/>
  <c r="D6" i="9"/>
  <c r="D7" i="9"/>
  <c r="D8" i="9"/>
  <c r="D9" i="9"/>
  <c r="D10" i="9"/>
  <c r="E10" i="9"/>
  <c r="D11" i="9"/>
  <c r="E11" i="9"/>
  <c r="D12" i="9"/>
  <c r="E12" i="9"/>
  <c r="D13" i="9"/>
  <c r="E13" i="9"/>
  <c r="D14" i="9"/>
  <c r="E14" i="9"/>
  <c r="D2" i="9"/>
  <c r="A14" i="9"/>
  <c r="A13" i="9"/>
  <c r="A12" i="9"/>
  <c r="A11" i="9"/>
  <c r="A10" i="9"/>
  <c r="A16" i="9"/>
  <c r="A15" i="9"/>
  <c r="A9" i="9"/>
  <c r="A8" i="9"/>
  <c r="A7" i="9"/>
  <c r="A6" i="9"/>
  <c r="A5" i="9"/>
  <c r="A4" i="9"/>
  <c r="A3" i="9"/>
  <c r="A2" i="9"/>
  <c r="X2" i="7"/>
  <c r="H2" i="7"/>
  <c r="G2" i="2"/>
  <c r="A2" i="2"/>
  <c r="G3" i="2"/>
  <c r="A3" i="2"/>
  <c r="G4" i="2"/>
  <c r="A4" i="2"/>
  <c r="G5" i="2"/>
  <c r="A5" i="2"/>
  <c r="G6" i="2"/>
  <c r="A6" i="2"/>
  <c r="J2" i="7"/>
  <c r="I2" i="7"/>
  <c r="D2" i="7"/>
  <c r="F2" i="7"/>
  <c r="E2" i="7"/>
  <c r="A2" i="7"/>
  <c r="A9" i="1"/>
  <c r="A4" i="1"/>
  <c r="A6" i="1"/>
  <c r="A7" i="1"/>
  <c r="AG9" i="1"/>
  <c r="AG8" i="1"/>
  <c r="AG7" i="1"/>
  <c r="AG6" i="1"/>
  <c r="AG5" i="1"/>
  <c r="AG4" i="1"/>
  <c r="AG3" i="1"/>
  <c r="H7" i="1"/>
  <c r="J7" i="1"/>
  <c r="I7" i="1"/>
  <c r="D7" i="1"/>
  <c r="F7" i="1"/>
  <c r="E7" i="1"/>
  <c r="H3" i="1"/>
  <c r="J3" i="1"/>
  <c r="I3" i="1"/>
  <c r="D3" i="1"/>
  <c r="F3" i="1"/>
  <c r="E3" i="1"/>
  <c r="A3" i="1"/>
  <c r="A2" i="1"/>
  <c r="A5" i="1"/>
  <c r="A8" i="1"/>
  <c r="X4" i="7"/>
  <c r="H4" i="7"/>
  <c r="J4" i="7"/>
  <c r="I4" i="7"/>
  <c r="D4" i="7"/>
  <c r="F4" i="7"/>
  <c r="E4" i="7"/>
  <c r="A4" i="7"/>
  <c r="H2" i="1"/>
  <c r="H4" i="1"/>
  <c r="H5" i="1"/>
  <c r="H6" i="1"/>
  <c r="H8" i="1"/>
  <c r="H9" i="1"/>
  <c r="J9" i="1"/>
  <c r="I9" i="1"/>
  <c r="D9" i="1"/>
  <c r="F9" i="1"/>
  <c r="E9" i="1"/>
  <c r="J8" i="1"/>
  <c r="I8" i="1"/>
  <c r="D8" i="1"/>
  <c r="F8" i="1"/>
  <c r="E8" i="1"/>
  <c r="J6" i="1"/>
  <c r="I6" i="1"/>
  <c r="D6" i="1"/>
  <c r="F6" i="1"/>
  <c r="E6" i="1"/>
  <c r="J5" i="1"/>
  <c r="I5" i="1"/>
  <c r="D5" i="1"/>
  <c r="F5" i="1"/>
  <c r="E5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J4" i="1"/>
  <c r="I4" i="1"/>
  <c r="D4" i="1"/>
  <c r="F4" i="1"/>
  <c r="E4" i="1"/>
  <c r="A3" i="7"/>
  <c r="X3" i="7"/>
  <c r="H3" i="7"/>
  <c r="J3" i="7"/>
  <c r="I3" i="7"/>
  <c r="D3" i="7"/>
  <c r="F3" i="7"/>
  <c r="E3" i="7"/>
  <c r="J2" i="1"/>
  <c r="I2" i="1"/>
  <c r="D2" i="2"/>
  <c r="E2" i="2"/>
  <c r="H2" i="2"/>
  <c r="D2" i="1"/>
  <c r="E2" i="1"/>
  <c r="F2" i="1"/>
  <c r="AG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<sst xmlns="http://schemas.openxmlformats.org/spreadsheetml/2006/main" count="447" uniqueCount="202">
  <si>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</si>
  <si>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</si>
  <si>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</si>
  <si>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</si>
  <si>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</si>
  <si>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</si>
  <si>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</si>
  <si>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</si>
  <si>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</si>
  <si>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</si>
  <si>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</si>
  <si>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</si>
  <si>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</si>
  <si>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</si>
  <si>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</si>
  <si>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</si>
  <si>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</si>
  <si>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</si>
  <si>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</si>
  <si>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</si>
  <si>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</si>
  <si>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</si>
  <si>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</si>
  <si>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</si>
  <si>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</si>
  <si>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</si>
  <si>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</si>
  <si>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</si>
  <si>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</si>
  <si>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</si>
  <si>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</si>
  <si>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</si>
  <si>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</si>
  <si>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</si>
  <si>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</si>
  <si>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</si>
  <si>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</si>
  <si>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</si>
  <si>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</si>
  <si>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</si>
  <si>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</si>
  <si>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</si>
  <si>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</si>
  <si>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</si>
  <si>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</si>
  <si>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</si>
  <si>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</si>
  <si>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</si>
  <si>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</si>
  <si>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</si>
  <si>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</si>
  <si>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</si>
  <si>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</si>
  <si>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null</t>
    <phoneticPr fontId="3"/>
  </si>
  <si>
    <t>seq_no</t>
    <phoneticPr fontId="3"/>
  </si>
  <si>
    <t>state_no</t>
    <phoneticPr fontId="3"/>
  </si>
  <si>
    <t>speed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</si>
  <si>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</si>
  <si>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</si>
  <si>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</si>
  <si>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</si>
  <si>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</si>
  <si>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</si>
  <si>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skill_trigger_id</t>
    <phoneticPr fontId="5"/>
  </si>
  <si>
    <t>first_time</t>
    <phoneticPr fontId="3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</si>
  <si>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</si>
  <si>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</si>
  <si>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</si>
  <si>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</si>
  <si>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</si>
  <si>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</si>
  <si>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</si>
  <si>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</si>
  <si>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</si>
  <si>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</si>
  <si>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</si>
  <si>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</si>
  <si>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</si>
  <si>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</si>
  <si>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</si>
  <si>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</si>
  <si>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</si>
  <si>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</si>
  <si>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hp_threshold</t>
    <phoneticPr fontId="3"/>
  </si>
  <si>
    <t>hp_termination</t>
    <phoneticPr fontId="3"/>
  </si>
  <si>
    <t>重複チェック</t>
    <rPh sb="0" eb="2">
      <t>チョウフク</t>
    </rPh>
    <phoneticPr fontId="3"/>
  </si>
  <si>
    <t>null</t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</si>
  <si>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</si>
  <si>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</si>
  <si>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</si>
  <si>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</si>
  <si>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</si>
  <si>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</si>
  <si>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</si>
  <si>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</si>
  <si>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</si>
  <si>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LB小村</t>
    <rPh sb="2" eb="4">
      <t>コムラ</t>
    </rPh>
    <phoneticPr fontId="3"/>
  </si>
  <si>
    <t>降臨ジャンヌ_1</t>
    <rPh sb="0" eb="2">
      <t>コウリン</t>
    </rPh>
    <phoneticPr fontId="3"/>
  </si>
  <si>
    <t>降臨_ジャンヌ</t>
    <rPh sb="0" eb="2">
      <t>コウリン</t>
    </rPh>
    <phoneticPr fontId="3"/>
  </si>
  <si>
    <t>降臨クエスト_ジャンヌ_1F</t>
    <rPh sb="0" eb="2">
      <t>コウリン</t>
    </rPh>
    <phoneticPr fontId="3"/>
  </si>
  <si>
    <t>降臨_ジャンヌ　フロア3</t>
    <rPh sb="0" eb="2">
      <t>コウリン</t>
    </rPh>
    <phoneticPr fontId="3"/>
  </si>
  <si>
    <t>衰弱ウィルス</t>
    <rPh sb="0" eb="2">
      <t>スイジャク</t>
    </rPh>
    <phoneticPr fontId="3"/>
  </si>
  <si>
    <t>1ターン回復力が100%DOWN＋攻撃</t>
    <rPh sb="17" eb="19">
      <t>コウゲキ</t>
    </rPh>
    <phoneticPr fontId="3"/>
  </si>
  <si>
    <t>脱力カプセル</t>
    <rPh sb="0" eb="1">
      <t>ダツジョク</t>
    </rPh>
    <rPh sb="1" eb="2">
      <t>チカラ</t>
    </rPh>
    <phoneticPr fontId="3"/>
  </si>
  <si>
    <t>1ターン攻撃力が50%DOWN＋攻撃</t>
    <rPh sb="4" eb="7">
      <t>コウゲキリョク</t>
    </rPh>
    <rPh sb="16" eb="18">
      <t>コウゲキ</t>
    </rPh>
    <phoneticPr fontId="3"/>
  </si>
  <si>
    <t>青龍摘出液ワクチン</t>
    <rPh sb="0" eb="2">
      <t>セイリュウ</t>
    </rPh>
    <rPh sb="2" eb="4">
      <t>テキシュツ</t>
    </rPh>
    <rPh sb="4" eb="5">
      <t>エキ</t>
    </rPh>
    <phoneticPr fontId="3"/>
  </si>
  <si>
    <t>4ターンの間スリープ＋ウィルス</t>
    <rPh sb="5" eb="6">
      <t>アイダ</t>
    </rPh>
    <phoneticPr fontId="3"/>
  </si>
  <si>
    <t>神海の咆哮</t>
    <rPh sb="0" eb="1">
      <t>カミ</t>
    </rPh>
    <rPh sb="1" eb="2">
      <t>ウミ</t>
    </rPh>
    <rPh sb="3" eb="5">
      <t>ホウコウ</t>
    </rPh>
    <phoneticPr fontId="3"/>
  </si>
  <si>
    <t>全体攻撃</t>
    <rPh sb="0" eb="4">
      <t>ゼンタイコウゲキ</t>
    </rPh>
    <phoneticPr fontId="3"/>
  </si>
  <si>
    <t>[effect:change_block, new_block:time_bomb, target:block_red, count:0, val:0.1, animation:change_block]</t>
    <phoneticPr fontId="3"/>
  </si>
  <si>
    <t>仏式真紅爆弾</t>
    <rPh sb="0" eb="1">
      <t>ブツ</t>
    </rPh>
    <rPh sb="1" eb="2">
      <t>シキ</t>
    </rPh>
    <rPh sb="2" eb="4">
      <t>シンク</t>
    </rPh>
    <rPh sb="4" eb="6">
      <t>バクダン</t>
    </rPh>
    <phoneticPr fontId="3"/>
  </si>
  <si>
    <t>赤パネルを時限式ダメージパネルに変換</t>
    <rPh sb="0" eb="1">
      <t>アカ</t>
    </rPh>
    <rPh sb="5" eb="8">
      <t>ジゲンシキ</t>
    </rPh>
    <rPh sb="16" eb="18">
      <t>ヘンカン</t>
    </rPh>
    <phoneticPr fontId="3"/>
  </si>
  <si>
    <t>[effect:change_block, new_block:time_bomb, target:block_green, count:0, val:0.2, animation:change_block]</t>
    <phoneticPr fontId="3"/>
  </si>
  <si>
    <t>仏式翡翠爆弾</t>
    <rPh sb="0" eb="1">
      <t>ブツ</t>
    </rPh>
    <rPh sb="1" eb="2">
      <t>シキ</t>
    </rPh>
    <rPh sb="2" eb="4">
      <t>ヒスイ</t>
    </rPh>
    <rPh sb="4" eb="6">
      <t>バクダン</t>
    </rPh>
    <phoneticPr fontId="3"/>
  </si>
  <si>
    <t>緑パネルを時限式ダメージパネルに変換</t>
    <rPh sb="0" eb="1">
      <t>ミドリ</t>
    </rPh>
    <rPh sb="5" eb="8">
      <t>ジゲンシキ</t>
    </rPh>
    <rPh sb="16" eb="18">
      <t>ヘンカン</t>
    </rPh>
    <phoneticPr fontId="3"/>
  </si>
  <si>
    <t>[effect:change_block, new_block:time_bomb, target:block_yellow, count:0, val:0.1, animation:change_block]</t>
    <phoneticPr fontId="3"/>
  </si>
  <si>
    <t>仏式黄金爆弾</t>
    <rPh sb="0" eb="1">
      <t>ブツ</t>
    </rPh>
    <rPh sb="1" eb="2">
      <t>シキ</t>
    </rPh>
    <rPh sb="2" eb="4">
      <t>コガネ</t>
    </rPh>
    <rPh sb="4" eb="6">
      <t>バクダン</t>
    </rPh>
    <phoneticPr fontId="3"/>
  </si>
  <si>
    <t>黄パネルを時限式ダメージパネルに変換</t>
    <rPh sb="0" eb="1">
      <t>キイロ</t>
    </rPh>
    <rPh sb="5" eb="8">
      <t>ジゲンシキ</t>
    </rPh>
    <rPh sb="16" eb="18">
      <t>ヘンカン</t>
    </rPh>
    <phoneticPr fontId="3"/>
  </si>
  <si>
    <t>[effect:critical, val:1.2.0, animation:enemy_critical]</t>
    <phoneticPr fontId="3"/>
  </si>
  <si>
    <t>破壊する一撃</t>
    <rPh sb="0" eb="2">
      <t>ハカイ</t>
    </rPh>
    <rPh sb="4" eb="6">
      <t>イチゲキ</t>
    </rPh>
    <phoneticPr fontId="3"/>
  </si>
  <si>
    <t>降臨ジャンヌ_アスモデウス</t>
    <rPh sb="0" eb="2">
      <t>コウリン</t>
    </rPh>
    <phoneticPr fontId="3"/>
  </si>
  <si>
    <t>[effect:nothing]</t>
  </si>
  <si>
    <t>限界突破</t>
    <rPh sb="0" eb="2">
      <t>ゲンカイ</t>
    </rPh>
    <rPh sb="2" eb="4">
      <t>トッパ</t>
    </rPh>
    <phoneticPr fontId="3"/>
  </si>
  <si>
    <t>体力が減るほど強くなる</t>
    <rPh sb="0" eb="2">
      <t>タイリョク</t>
    </rPh>
    <rPh sb="3" eb="4">
      <t>ヘ</t>
    </rPh>
    <rPh sb="7" eb="8">
      <t>ツヨ</t>
    </rPh>
    <phoneticPr fontId="3"/>
  </si>
  <si>
    <t>神をも滅する衝撃</t>
    <rPh sb="0" eb="1">
      <t>カミ</t>
    </rPh>
    <rPh sb="3" eb="4">
      <t>メッ</t>
    </rPh>
    <rPh sb="6" eb="8">
      <t>ショウゲキ</t>
    </rPh>
    <phoneticPr fontId="3"/>
  </si>
  <si>
    <t>攻撃力×3.0倍の攻撃＋防御力UP</t>
    <rPh sb="12" eb="15">
      <t>ボウギョリョク</t>
    </rPh>
    <phoneticPr fontId="3"/>
  </si>
  <si>
    <t>[effect:critical, val:2.0.0, animation:enemy_critical],[effect:enhance_enemy, target:enemy_all, turn:-1, status:defense, val:3000, calc:add, animation:enemy_enhance_enemy]</t>
    <phoneticPr fontId="3"/>
  </si>
  <si>
    <t>滅する一撃</t>
    <rPh sb="0" eb="1">
      <t>メッ</t>
    </rPh>
    <rPh sb="3" eb="5">
      <t>イチゲキ</t>
    </rPh>
    <phoneticPr fontId="3"/>
  </si>
  <si>
    <t>攻撃力×2.0倍の攻撃＋防御力UP</t>
    <phoneticPr fontId="3"/>
  </si>
  <si>
    <t>[effect:critical, val:1.5.0, animation:enemy_critical],[effect:enhance_enemy, target:enemy_all, turn:-1, status:defense, val:1000, calc:add, animation:enemy_enhance_enemy]</t>
    <phoneticPr fontId="3"/>
  </si>
  <si>
    <t>破壊する衝撃</t>
    <rPh sb="0" eb="2">
      <t>ハカイ</t>
    </rPh>
    <rPh sb="4" eb="6">
      <t>ショウゲキ</t>
    </rPh>
    <phoneticPr fontId="3"/>
  </si>
  <si>
    <t>攻撃力×1.5倍の攻撃＋防御力UP</t>
    <phoneticPr fontId="3"/>
  </si>
  <si>
    <t>小村</t>
    <rPh sb="0" eb="2">
      <t>コムラ</t>
    </rPh>
    <phoneticPr fontId="3"/>
  </si>
  <si>
    <t>降臨ジャンヌ</t>
    <rPh sb="0" eb="2">
      <t>コウリン</t>
    </rPh>
    <phoneticPr fontId="3"/>
  </si>
  <si>
    <t>ディスハート</t>
    <phoneticPr fontId="5"/>
  </si>
  <si>
    <t>ハートパネルで回復できない</t>
    <rPh sb="7" eb="9">
      <t>カイフク</t>
    </rPh>
    <phoneticPr fontId="3"/>
  </si>
  <si>
    <t>2ターン赤パネルが使えない！</t>
    <rPh sb="4" eb="5">
      <t>アカ</t>
    </rPh>
    <phoneticPr fontId="3"/>
  </si>
  <si>
    <t>2ターン黄パネルが使えない！</t>
    <rPh sb="4" eb="5">
      <t>キイロ</t>
    </rPh>
    <phoneticPr fontId="3"/>
  </si>
  <si>
    <t>2ターン緑パネルが使えない！</t>
    <rPh sb="4" eb="5">
      <t>ミドリ</t>
    </rPh>
    <phoneticPr fontId="3"/>
  </si>
  <si>
    <t>2ターン青パネルが使えない！</t>
    <rPh sb="4" eb="5">
      <t>アオ</t>
    </rPh>
    <phoneticPr fontId="3"/>
  </si>
  <si>
    <t>6回連続攻撃</t>
    <rPh sb="1" eb="2">
      <t>カイ</t>
    </rPh>
    <rPh sb="2" eb="6">
      <t>レンゾクコウゲキ</t>
    </rPh>
    <phoneticPr fontId="3"/>
  </si>
  <si>
    <t>[effect:rush, count:6, val:0.3]</t>
    <phoneticPr fontId="3"/>
  </si>
  <si>
    <t>捉えきれない残像</t>
    <rPh sb="0" eb="1">
      <t>トラ</t>
    </rPh>
    <rPh sb="6" eb="8">
      <t>ザンゾウ</t>
    </rPh>
    <phoneticPr fontId="3"/>
  </si>
  <si>
    <t>加速装置オーバーヒート</t>
    <rPh sb="0" eb="2">
      <t>カソク</t>
    </rPh>
    <rPh sb="2" eb="4">
      <t>ソウチ</t>
    </rPh>
    <phoneticPr fontId="5"/>
  </si>
  <si>
    <t>[effect:freq_turn, target:enemy_all, turn:-1, val:1, animation:enemy_freq_turn]</t>
    <phoneticPr fontId="3"/>
  </si>
  <si>
    <t>断罪の紅</t>
    <rPh sb="0" eb="2">
      <t>ダンザイ</t>
    </rPh>
    <rPh sb="3" eb="4">
      <t>アカ</t>
    </rPh>
    <phoneticPr fontId="3"/>
  </si>
  <si>
    <t>断罪の金</t>
    <rPh sb="0" eb="2">
      <t>ダンザイ</t>
    </rPh>
    <rPh sb="3" eb="4">
      <t>キン</t>
    </rPh>
    <phoneticPr fontId="3"/>
  </si>
  <si>
    <t>断罪の翠</t>
    <rPh sb="0" eb="2">
      <t>ダンザイ</t>
    </rPh>
    <rPh sb="3" eb="4">
      <t>ミドリ</t>
    </rPh>
    <phoneticPr fontId="3"/>
  </si>
  <si>
    <t>断罪の蒼</t>
    <rPh sb="0" eb="2">
      <t>ダンザイ</t>
    </rPh>
    <rPh sb="3" eb="4">
      <t>アオ</t>
    </rPh>
    <phoneticPr fontId="3"/>
  </si>
  <si>
    <t>クレイジーダンス</t>
    <phoneticPr fontId="3"/>
  </si>
  <si>
    <t>攻撃力×1.2倍の攻撃</t>
    <phoneticPr fontId="3"/>
  </si>
  <si>
    <t>[effect:dis_panel, target:block_red, turn:2],[effect:rush, count:1, val:1.0]</t>
    <phoneticPr fontId="3"/>
  </si>
  <si>
    <t>[effect:dis_panel, target:block_yellow, turn:2],[effect:rush, count:1, val:1.0]</t>
    <phoneticPr fontId="3"/>
  </si>
  <si>
    <t>[effect:dis_panel, target:block_green, turn:2],[effect:rush, count:1, val:1.0]</t>
    <phoneticPr fontId="3"/>
  </si>
  <si>
    <t>[effect:dis_panel, target:block_blue, turn:2],[effect:rush, count:1, val:1.0]</t>
    <phoneticPr fontId="3"/>
  </si>
  <si>
    <t>この戦闘の間攻撃頻度が1ターンにUP</t>
    <phoneticPr fontId="3"/>
  </si>
  <si>
    <t>弾丸装填</t>
    <rPh sb="0" eb="2">
      <t>ダンガン</t>
    </rPh>
    <rPh sb="2" eb="4">
      <t>ソウテン</t>
    </rPh>
    <phoneticPr fontId="3"/>
  </si>
  <si>
    <t>次のターン強力な一撃</t>
    <rPh sb="0" eb="1">
      <t>ツギ</t>
    </rPh>
    <rPh sb="5" eb="7">
      <t>キョウリョク</t>
    </rPh>
    <rPh sb="8" eb="10">
      <t>イチゲキ</t>
    </rPh>
    <phoneticPr fontId="3"/>
  </si>
  <si>
    <t>[effect:critical, val:3.0.0, animation:enemy_critical],[effect:enhance_enemy, target:enemy_all, turn:-1, status:defense, val:5000, calc:add, animation:enemy_enhance_enemy]</t>
    <phoneticPr fontId="3"/>
  </si>
  <si>
    <t>ギルティブレイク</t>
    <phoneticPr fontId="3"/>
  </si>
  <si>
    <t>クリティカル攻撃</t>
    <rPh sb="6" eb="8">
      <t>レンゾクコウゲキ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</si>
  <si>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</si>
  <si>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</si>
  <si>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</si>
  <si>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</si>
  <si>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</si>
  <si>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</si>
  <si>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</si>
  <si>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</si>
  <si>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</si>
  <si>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</si>
  <si>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</si>
  <si>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</si>
  <si>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</si>
  <si>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character_id</t>
    <phoneticPr fontId="3"/>
  </si>
  <si>
    <t>level</t>
    <phoneticPr fontId="3"/>
  </si>
  <si>
    <t>skill_set_id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</si>
  <si>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</si>
  <si>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</si>
  <si>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</si>
  <si>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</si>
  <si>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</t>
    <phoneticPr fontId="3"/>
  </si>
  <si>
    <t>effect_param</t>
    <phoneticPr fontId="3"/>
  </si>
  <si>
    <t>enemy_skills_i18n_</t>
    <phoneticPr fontId="3"/>
  </si>
  <si>
    <t>enemy_skill_triggers_</t>
    <phoneticPr fontId="3"/>
  </si>
  <si>
    <t>enemy_skill_triggers</t>
    <phoneticPr fontId="3"/>
  </si>
  <si>
    <t>language</t>
    <phoneticPr fontId="3"/>
  </si>
  <si>
    <t>ja</t>
    <phoneticPr fontId="3"/>
  </si>
  <si>
    <t>advent_3</t>
    <phoneticPr fontId="3"/>
  </si>
  <si>
    <t>[effect:critical, val:2.4, animation:enemy_critical]</t>
    <phoneticPr fontId="3"/>
  </si>
  <si>
    <t>[effect:degrade_unit, target:unit_all, turn:5, status:action, val:2.0,animation:enemy_tap_down]</t>
    <phoneticPr fontId="3"/>
  </si>
  <si>
    <t>Cパネル生成延長</t>
    <rPh sb="4" eb="6">
      <t>セイセイ</t>
    </rPh>
    <rPh sb="6" eb="8">
      <t>エンチョウ</t>
    </rPh>
    <phoneticPr fontId="3"/>
  </si>
  <si>
    <t>今こそ審判の刻だ…</t>
    <rPh sb="0" eb="1">
      <t>イマ</t>
    </rPh>
    <rPh sb="3" eb="5">
      <t>シンパン</t>
    </rPh>
    <rPh sb="6" eb="7">
      <t>トキ</t>
    </rPh>
    <phoneticPr fontId="3"/>
  </si>
  <si>
    <t>[effect:spread, val:0.35, animation:enemy_spread]</t>
    <phoneticPr fontId="3"/>
  </si>
  <si>
    <t>[effect:degrade_unit, target:unit_all, turn:1, status:attack, val:0.5, calc:mul],[effect:rush, count:1, val:0.9]</t>
    <phoneticPr fontId="3"/>
  </si>
  <si>
    <t>[effect:dis_heart, turn:7, rate:1.0, animation:enemy_dis_heart],[effect:rush, count:1, val:0.5]</t>
    <phoneticPr fontId="3"/>
  </si>
  <si>
    <t>5ターンタップ回数を1にする</t>
    <phoneticPr fontId="3"/>
  </si>
  <si>
    <t>[effect:sleep, target:unit_one, turn:4, rate:1.0, animation:enemy_sleep],[effect:virus, turn:4, rate:1.0, val:0.3, animation:enemy_virus]</t>
    <phoneticPr fontId="3"/>
  </si>
  <si>
    <t>出力flg</t>
    <rPh sb="0" eb="2">
      <t>シュツリョク</t>
    </rPh>
    <phoneticPr fontId="3"/>
  </si>
  <si>
    <t>old</t>
    <phoneticPr fontId="3"/>
  </si>
  <si>
    <t>[effect:degrade_unit, target:unit_all, turn:1, status:heal, val:1.0, calc:mul, animation:degrade_unit_all_heal],[effect:rush, count:1, val:0.9]</t>
    <phoneticPr fontId="3"/>
  </si>
  <si>
    <t>[effect:crash_condition, target:unit_all, val:4, turn:5, animation:enemy_crash_extend]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</si>
</sst>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b/>
      <sz val="10"/>
      <name val="ＭＳ Ｐゴシック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.8"/>
      <color theme="1"/>
      <name val="Arial"/>
      <family val="2"/>
    </font>
    <font>
      <sz val="12"/>
      <color rgb="FF000000"/>
      <name val="ＭＳ Ｐ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</borders>
  <cellStyleXfs count="107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7" fillId="0" borderId="0"/>
    <xf numFmtId="38" fontId="18" fillId="0" borderId="0" applyFill="0" applyBorder="0" applyAlignment="0" applyProtection="0"/>
    <xf numFmtId="0" fontId="19" fillId="14" borderId="0" applyNumberFormat="0" applyBorder="0" applyAlignment="0" applyProtection="0"/>
    <xf numFmtId="0" fontId="20" fillId="15" borderId="0" applyNumberFormat="0" applyBorder="0" applyAlignment="0" applyProtection="0"/>
    <xf numFmtId="0" fontId="21" fillId="0" borderId="0"/>
    <xf numFmtId="0" fontId="22" fillId="0" borderId="0">
      <alignment vertical="center"/>
    </xf>
    <xf numFmtId="0" fontId="23" fillId="0" borderId="0">
      <alignment vertical="center"/>
    </xf>
    <xf numFmtId="0" fontId="24" fillId="16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2" fillId="0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177" fontId="6" fillId="0" borderId="13" xfId="0" applyNumberFormat="1" applyFont="1" applyBorder="1" applyAlignment="1">
      <alignment vertical="center"/>
    </xf>
    <xf numFmtId="0" fontId="10" fillId="7" borderId="12" xfId="0" applyFont="1" applyFill="1" applyBorder="1" applyAlignment="1">
      <alignment vertical="center"/>
    </xf>
    <xf numFmtId="176" fontId="2" fillId="0" borderId="14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vertical="center"/>
    </xf>
    <xf numFmtId="0" fontId="4" fillId="0" borderId="15" xfId="0" applyFont="1" applyFill="1" applyBorder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176" fontId="2" fillId="12" borderId="3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vertical="center"/>
    </xf>
    <xf numFmtId="0" fontId="14" fillId="13" borderId="3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5" fillId="6" borderId="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0" borderId="7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3" borderId="7" xfId="0" applyFont="1" applyFill="1" applyBorder="1" applyAlignment="1">
      <alignment horizontal="left" vertical="center"/>
    </xf>
    <xf numFmtId="0" fontId="15" fillId="3" borderId="7" xfId="0" applyFont="1" applyFill="1" applyBorder="1" applyAlignment="1">
      <alignment vertical="center"/>
    </xf>
    <xf numFmtId="14" fontId="15" fillId="0" borderId="7" xfId="0" applyNumberFormat="1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7" xfId="0" applyFont="1" applyFill="1" applyBorder="1" applyAlignment="1">
      <alignment horizontal="left" vertical="center"/>
    </xf>
    <xf numFmtId="0" fontId="15" fillId="0" borderId="7" xfId="0" applyFont="1" applyFill="1" applyBorder="1" applyAlignment="1">
      <alignment horizontal="left" vertical="center" wrapText="1"/>
    </xf>
    <xf numFmtId="14" fontId="15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15" fillId="0" borderId="7" xfId="0" applyFont="1" applyFill="1" applyBorder="1" applyAlignment="1">
      <alignment vertical="center" wrapText="1"/>
    </xf>
    <xf numFmtId="0" fontId="25" fillId="0" borderId="7" xfId="0" applyFont="1" applyFill="1" applyBorder="1" applyAlignment="1">
      <alignment vertical="center"/>
    </xf>
    <xf numFmtId="0" fontId="9" fillId="0" borderId="10" xfId="0" applyFont="1" applyFill="1" applyBorder="1" applyAlignment="1">
      <alignment horizontal="left" vertical="center"/>
    </xf>
    <xf numFmtId="0" fontId="9" fillId="0" borderId="10" xfId="0" applyFont="1" applyFill="1" applyBorder="1" applyAlignment="1">
      <alignment horizontal="left" vertical="center" wrapText="1"/>
    </xf>
    <xf numFmtId="14" fontId="9" fillId="0" borderId="10" xfId="0" applyNumberFormat="1" applyFont="1" applyFill="1" applyBorder="1" applyAlignment="1">
      <alignment horizontal="left" vertical="center"/>
    </xf>
    <xf numFmtId="0" fontId="11" fillId="17" borderId="7" xfId="0" applyFont="1" applyFill="1" applyBorder="1"/>
    <xf numFmtId="0" fontId="0" fillId="17" borderId="7" xfId="0" applyFill="1" applyBorder="1"/>
    <xf numFmtId="0" fontId="0" fillId="0" borderId="7" xfId="0" applyBorder="1"/>
    <xf numFmtId="0" fontId="0" fillId="6" borderId="7" xfId="0" applyFill="1" applyBorder="1"/>
    <xf numFmtId="0" fontId="26" fillId="18" borderId="7" xfId="0" applyFont="1" applyFill="1" applyBorder="1"/>
    <xf numFmtId="0" fontId="11" fillId="17" borderId="7" xfId="886" applyFont="1" applyFill="1" applyBorder="1" applyAlignment="1"/>
    <xf numFmtId="0" fontId="23" fillId="0" borderId="7" xfId="886" applyBorder="1" applyAlignment="1"/>
  </cellXfs>
  <cellStyles count="1078">
    <cellStyle name="Excel Built-in Normal" xfId="880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桁区切り 2" xfId="881"/>
    <cellStyle name="青字強調" xfId="882"/>
    <cellStyle name="赤字強調" xfId="883"/>
    <cellStyle name="標準" xfId="0" builtinId="0"/>
    <cellStyle name="標準 2" xfId="884"/>
    <cellStyle name="標準 2 2" xfId="885"/>
    <cellStyle name="標準 3" xfId="886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無題1" xfId="887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40011</v>
          </cell>
        </row>
        <row r="138">
          <cell r="A138">
            <v>49001</v>
          </cell>
        </row>
        <row r="139">
          <cell r="A139">
            <v>50001</v>
          </cell>
        </row>
        <row r="140">
          <cell r="A140">
            <v>50002</v>
          </cell>
        </row>
        <row r="141">
          <cell r="A141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12001_1</v>
          </cell>
        </row>
        <row r="263">
          <cell r="A263" t="str">
            <v>12001_2</v>
          </cell>
        </row>
        <row r="264">
          <cell r="A264" t="str">
            <v>12001_3</v>
          </cell>
        </row>
        <row r="265">
          <cell r="A265" t="str">
            <v>12002_3</v>
          </cell>
        </row>
        <row r="266">
          <cell r="A266" t="str">
            <v>12002_2</v>
          </cell>
        </row>
        <row r="267">
          <cell r="A267" t="str">
            <v>12002_1</v>
          </cell>
        </row>
        <row r="268">
          <cell r="A268" t="str">
            <v>12003_1</v>
          </cell>
        </row>
        <row r="269">
          <cell r="A269" t="str">
            <v>12003_2</v>
          </cell>
        </row>
        <row r="270">
          <cell r="A270" t="str">
            <v>12003_3</v>
          </cell>
        </row>
        <row r="271">
          <cell r="A271" t="str">
            <v>12003_4</v>
          </cell>
        </row>
        <row r="272">
          <cell r="A272" t="str">
            <v>12004_1</v>
          </cell>
        </row>
        <row r="273">
          <cell r="A273" t="str">
            <v>13001_1</v>
          </cell>
        </row>
        <row r="274">
          <cell r="A274" t="str">
            <v>13001_2</v>
          </cell>
        </row>
        <row r="275">
          <cell r="A275" t="str">
            <v>13001_3</v>
          </cell>
        </row>
        <row r="276">
          <cell r="A276" t="str">
            <v>13001_4</v>
          </cell>
        </row>
        <row r="277">
          <cell r="A277" t="str">
            <v>13001_5</v>
          </cell>
        </row>
        <row r="278">
          <cell r="A278" t="str">
            <v>13001_6</v>
          </cell>
        </row>
        <row r="279">
          <cell r="A279" t="str">
            <v>13001_7</v>
          </cell>
        </row>
        <row r="280">
          <cell r="A280" t="str">
            <v>13001_8</v>
          </cell>
        </row>
        <row r="281">
          <cell r="A281" t="str">
            <v>13001_9</v>
          </cell>
        </row>
        <row r="282">
          <cell r="A282" t="str">
            <v>13001_10</v>
          </cell>
        </row>
        <row r="283">
          <cell r="A283" t="str">
            <v>13001_11</v>
          </cell>
        </row>
        <row r="284">
          <cell r="A284" t="str">
            <v>13001_12</v>
          </cell>
        </row>
        <row r="285">
          <cell r="A285" t="str">
            <v>13001_13</v>
          </cell>
        </row>
        <row r="286">
          <cell r="A286" t="str">
            <v>13001_14</v>
          </cell>
        </row>
        <row r="287">
          <cell r="A287" t="str">
            <v>13001_15</v>
          </cell>
        </row>
        <row r="288">
          <cell r="A288" t="str">
            <v>13001_16</v>
          </cell>
        </row>
        <row r="289">
          <cell r="A289" t="str">
            <v>13001_17</v>
          </cell>
        </row>
        <row r="290">
          <cell r="A290" t="str">
            <v>13001_18</v>
          </cell>
        </row>
        <row r="291">
          <cell r="A291" t="str">
            <v>13001_19</v>
          </cell>
        </row>
        <row r="292">
          <cell r="A292" t="str">
            <v>13001_20</v>
          </cell>
        </row>
        <row r="293">
          <cell r="A293" t="str">
            <v>13001_21</v>
          </cell>
        </row>
        <row r="294">
          <cell r="A294" t="str">
            <v>13001_22</v>
          </cell>
        </row>
        <row r="295">
          <cell r="A295" t="str">
            <v>13001_23</v>
          </cell>
        </row>
        <row r="296">
          <cell r="A296" t="str">
            <v>13001_24</v>
          </cell>
        </row>
        <row r="297">
          <cell r="A297" t="str">
            <v>13001_25</v>
          </cell>
        </row>
        <row r="298">
          <cell r="A298" t="str">
            <v>14001_1</v>
          </cell>
        </row>
        <row r="299">
          <cell r="A299" t="str">
            <v>14001_2</v>
          </cell>
        </row>
        <row r="300">
          <cell r="A300" t="str">
            <v>14001_3</v>
          </cell>
        </row>
        <row r="301">
          <cell r="A301" t="str">
            <v>14001_4</v>
          </cell>
        </row>
        <row r="302">
          <cell r="A302" t="str">
            <v>14002_1</v>
          </cell>
        </row>
        <row r="303">
          <cell r="A303" t="str">
            <v>14003_1</v>
          </cell>
        </row>
        <row r="304">
          <cell r="A304" t="str">
            <v>14004_1</v>
          </cell>
        </row>
        <row r="305">
          <cell r="A305" t="str">
            <v>14004_2</v>
          </cell>
        </row>
        <row r="306">
          <cell r="A306" t="str">
            <v>14004_3</v>
          </cell>
        </row>
        <row r="307">
          <cell r="A307" t="str">
            <v>14004_4</v>
          </cell>
        </row>
        <row r="308">
          <cell r="A308" t="str">
            <v>14005_1</v>
          </cell>
        </row>
        <row r="309">
          <cell r="A309" t="str">
            <v>14006_1</v>
          </cell>
        </row>
        <row r="310">
          <cell r="A310" t="str">
            <v>20001_1</v>
          </cell>
        </row>
        <row r="311">
          <cell r="A311" t="str">
            <v>20001_2</v>
          </cell>
        </row>
        <row r="312">
          <cell r="A312" t="str">
            <v>20001_3</v>
          </cell>
        </row>
        <row r="313">
          <cell r="A313" t="str">
            <v>20002_1</v>
          </cell>
        </row>
        <row r="314">
          <cell r="A314" t="str">
            <v>20002_2</v>
          </cell>
        </row>
        <row r="315">
          <cell r="A315" t="str">
            <v>20002_3</v>
          </cell>
        </row>
        <row r="316">
          <cell r="A316" t="str">
            <v>20003_1</v>
          </cell>
        </row>
        <row r="317">
          <cell r="A317" t="str">
            <v>20003_2</v>
          </cell>
        </row>
        <row r="318">
          <cell r="A318" t="str">
            <v>20003_3</v>
          </cell>
        </row>
        <row r="319">
          <cell r="A319" t="str">
            <v>20004_1</v>
          </cell>
        </row>
        <row r="320">
          <cell r="A320" t="str">
            <v>20004_2</v>
          </cell>
        </row>
        <row r="321">
          <cell r="A321" t="str">
            <v>20004_3</v>
          </cell>
        </row>
        <row r="322">
          <cell r="A322" t="str">
            <v>20005_1</v>
          </cell>
        </row>
        <row r="323">
          <cell r="A323" t="str">
            <v>20005_2</v>
          </cell>
        </row>
        <row r="324">
          <cell r="A324" t="str">
            <v>20005_3</v>
          </cell>
        </row>
        <row r="325">
          <cell r="A325" t="str">
            <v>20006_1</v>
          </cell>
        </row>
        <row r="326">
          <cell r="A326" t="str">
            <v>20006_2</v>
          </cell>
        </row>
        <row r="327">
          <cell r="A327" t="str">
            <v>20006_3</v>
          </cell>
        </row>
        <row r="328">
          <cell r="A328" t="str">
            <v>20007_1</v>
          </cell>
        </row>
        <row r="329">
          <cell r="A329" t="str">
            <v>20007_2</v>
          </cell>
        </row>
        <row r="330">
          <cell r="A330" t="str">
            <v>20007_3</v>
          </cell>
        </row>
        <row r="331">
          <cell r="A331" t="str">
            <v>20008_1</v>
          </cell>
        </row>
        <row r="332">
          <cell r="A332" t="str">
            <v>20008_2</v>
          </cell>
        </row>
        <row r="333">
          <cell r="A333" t="str">
            <v>20008_3</v>
          </cell>
        </row>
        <row r="334">
          <cell r="A334" t="str">
            <v>20009_1</v>
          </cell>
        </row>
        <row r="335">
          <cell r="A335" t="str">
            <v>20009_2</v>
          </cell>
        </row>
        <row r="336">
          <cell r="A336" t="str">
            <v>20009_3</v>
          </cell>
        </row>
        <row r="337">
          <cell r="A337" t="str">
            <v>20010_1</v>
          </cell>
        </row>
        <row r="338">
          <cell r="A338" t="str">
            <v>20010_2</v>
          </cell>
        </row>
        <row r="339">
          <cell r="A339" t="str">
            <v>20010_3</v>
          </cell>
        </row>
        <row r="340">
          <cell r="A340" t="str">
            <v>20011_1</v>
          </cell>
        </row>
        <row r="341">
          <cell r="A341" t="str">
            <v>20011_2</v>
          </cell>
        </row>
        <row r="342">
          <cell r="A342" t="str">
            <v>20011_3</v>
          </cell>
        </row>
        <row r="343">
          <cell r="A343" t="str">
            <v>20012_1</v>
          </cell>
        </row>
        <row r="344">
          <cell r="A344" t="str">
            <v>20012_2</v>
          </cell>
        </row>
        <row r="345">
          <cell r="A345" t="str">
            <v>20012_3</v>
          </cell>
        </row>
        <row r="346">
          <cell r="A346" t="str">
            <v>30001_1</v>
          </cell>
        </row>
        <row r="347">
          <cell r="A347" t="str">
            <v>30001_2</v>
          </cell>
        </row>
        <row r="348">
          <cell r="A348" t="str">
            <v>30001_3</v>
          </cell>
        </row>
        <row r="349">
          <cell r="A349" t="str">
            <v>30002_1</v>
          </cell>
        </row>
        <row r="350">
          <cell r="A350" t="str">
            <v>30002_2</v>
          </cell>
        </row>
        <row r="351">
          <cell r="A351" t="str">
            <v>30002_3</v>
          </cell>
        </row>
        <row r="352">
          <cell r="A352" t="str">
            <v>30003_1</v>
          </cell>
        </row>
        <row r="353">
          <cell r="A353" t="str">
            <v>30003_2</v>
          </cell>
        </row>
        <row r="354">
          <cell r="A354" t="str">
            <v>30003_3</v>
          </cell>
        </row>
        <row r="355">
          <cell r="A355" t="str">
            <v>30004_1</v>
          </cell>
        </row>
        <row r="356">
          <cell r="A356" t="str">
            <v>30004_2</v>
          </cell>
        </row>
        <row r="357">
          <cell r="A357" t="str">
            <v>30004_3</v>
          </cell>
        </row>
        <row r="358">
          <cell r="A358" t="str">
            <v>30005_1</v>
          </cell>
        </row>
        <row r="359">
          <cell r="A359" t="str">
            <v>30005_2</v>
          </cell>
        </row>
        <row r="360">
          <cell r="A360" t="str">
            <v>30005_3</v>
          </cell>
        </row>
        <row r="361">
          <cell r="A361" t="str">
            <v>30006_1</v>
          </cell>
        </row>
        <row r="362">
          <cell r="A362" t="str">
            <v>30006_2</v>
          </cell>
        </row>
        <row r="363">
          <cell r="A363" t="str">
            <v>30006_3</v>
          </cell>
        </row>
        <row r="364">
          <cell r="A364" t="str">
            <v>30007_1</v>
          </cell>
        </row>
        <row r="365">
          <cell r="A365" t="str">
            <v>30007_2</v>
          </cell>
        </row>
        <row r="366">
          <cell r="A366" t="str">
            <v>30007_3</v>
          </cell>
        </row>
        <row r="367">
          <cell r="A367" t="str">
            <v>30008_1</v>
          </cell>
        </row>
        <row r="368">
          <cell r="A368" t="str">
            <v>30008_2</v>
          </cell>
        </row>
        <row r="369">
          <cell r="A369" t="str">
            <v>30008_3</v>
          </cell>
        </row>
        <row r="370">
          <cell r="A370" t="str">
            <v>30009_3</v>
          </cell>
        </row>
        <row r="371">
          <cell r="A371" t="str">
            <v>30009_1</v>
          </cell>
        </row>
        <row r="372">
          <cell r="A372" t="str">
            <v>30009_2</v>
          </cell>
        </row>
        <row r="373">
          <cell r="A373" t="str">
            <v>30010_1</v>
          </cell>
        </row>
        <row r="374">
          <cell r="A374" t="str">
            <v>30010_2</v>
          </cell>
        </row>
        <row r="375">
          <cell r="A375" t="str">
            <v>30010_3</v>
          </cell>
        </row>
        <row r="376">
          <cell r="A376" t="str">
            <v>30011_1</v>
          </cell>
        </row>
        <row r="377">
          <cell r="A377" t="str">
            <v>30011_2</v>
          </cell>
        </row>
        <row r="378">
          <cell r="A378" t="str">
            <v>30011_3</v>
          </cell>
        </row>
        <row r="379">
          <cell r="A379" t="str">
            <v>30012_1</v>
          </cell>
        </row>
        <row r="380">
          <cell r="A380" t="str">
            <v>30012_2</v>
          </cell>
        </row>
        <row r="381">
          <cell r="A381" t="str">
            <v>30012_3</v>
          </cell>
        </row>
        <row r="382">
          <cell r="A382" t="str">
            <v>30013_1</v>
          </cell>
        </row>
        <row r="383">
          <cell r="A383" t="str">
            <v>30013_2</v>
          </cell>
        </row>
        <row r="384">
          <cell r="A384" t="str">
            <v>30014_1</v>
          </cell>
        </row>
        <row r="385">
          <cell r="A385" t="str">
            <v>30014_2</v>
          </cell>
        </row>
        <row r="386">
          <cell r="A386" t="str">
            <v>30015_1</v>
          </cell>
        </row>
        <row r="387">
          <cell r="A387" t="str">
            <v>30015_2</v>
          </cell>
        </row>
        <row r="388">
          <cell r="A388" t="str">
            <v>30016_1</v>
          </cell>
        </row>
        <row r="389">
          <cell r="A389" t="str">
            <v>30016_2</v>
          </cell>
        </row>
        <row r="390">
          <cell r="A390" t="str">
            <v>30017_1</v>
          </cell>
        </row>
        <row r="391">
          <cell r="A391" t="str">
            <v>30017_2</v>
          </cell>
        </row>
        <row r="392">
          <cell r="A392" t="str">
            <v>30018_1</v>
          </cell>
        </row>
        <row r="393">
          <cell r="A393" t="str">
            <v>30018_2</v>
          </cell>
        </row>
        <row r="394">
          <cell r="A394" t="str">
            <v>30019_1</v>
          </cell>
        </row>
        <row r="395">
          <cell r="A395" t="str">
            <v>30019_2</v>
          </cell>
        </row>
        <row r="396">
          <cell r="A396" t="str">
            <v>30020_1</v>
          </cell>
        </row>
        <row r="397">
          <cell r="A397" t="str">
            <v>30020_2</v>
          </cell>
        </row>
        <row r="398">
          <cell r="A398" t="str">
            <v>30021_1</v>
          </cell>
        </row>
        <row r="399">
          <cell r="A399" t="str">
            <v>30021_2</v>
          </cell>
        </row>
        <row r="400">
          <cell r="A400" t="str">
            <v>30021_3</v>
          </cell>
        </row>
        <row r="401">
          <cell r="A401" t="str">
            <v>30022_1</v>
          </cell>
        </row>
        <row r="402">
          <cell r="A402" t="str">
            <v>30022_2</v>
          </cell>
        </row>
        <row r="403">
          <cell r="A403" t="str">
            <v>30023_1</v>
          </cell>
        </row>
        <row r="404">
          <cell r="A404" t="str">
            <v>30023_2</v>
          </cell>
        </row>
        <row r="405">
          <cell r="A405" t="str">
            <v>30023_3</v>
          </cell>
        </row>
        <row r="406">
          <cell r="A406" t="str">
            <v>30024_1</v>
          </cell>
        </row>
        <row r="407">
          <cell r="A407" t="str">
            <v>30024_2</v>
          </cell>
        </row>
        <row r="408">
          <cell r="A408" t="str">
            <v>30024_3</v>
          </cell>
        </row>
        <row r="409">
          <cell r="A409" t="str">
            <v>30025_1</v>
          </cell>
        </row>
        <row r="410">
          <cell r="A410" t="str">
            <v>30025_2</v>
          </cell>
        </row>
        <row r="411">
          <cell r="A411" t="str">
            <v>30025_3</v>
          </cell>
        </row>
        <row r="412">
          <cell r="A412" t="str">
            <v>30026_1</v>
          </cell>
        </row>
        <row r="413">
          <cell r="A413" t="str">
            <v>30026_2</v>
          </cell>
        </row>
        <row r="414">
          <cell r="A414" t="str">
            <v>30026_3</v>
          </cell>
        </row>
        <row r="415">
          <cell r="A415" t="str">
            <v>30027_1</v>
          </cell>
        </row>
        <row r="416">
          <cell r="A416" t="str">
            <v>30027_2</v>
          </cell>
        </row>
        <row r="417">
          <cell r="A417" t="str">
            <v>30027_3</v>
          </cell>
        </row>
        <row r="418">
          <cell r="A418" t="str">
            <v>39001_1</v>
          </cell>
        </row>
        <row r="419">
          <cell r="A419" t="str">
            <v>39001_2</v>
          </cell>
        </row>
        <row r="420">
          <cell r="A420" t="str">
            <v>39001_3</v>
          </cell>
        </row>
        <row r="421">
          <cell r="A421" t="str">
            <v>39001_4</v>
          </cell>
        </row>
        <row r="422">
          <cell r="A422" t="str">
            <v>39001_5</v>
          </cell>
        </row>
        <row r="423">
          <cell r="A423" t="str">
            <v>40001_1</v>
          </cell>
        </row>
        <row r="424">
          <cell r="A424" t="str">
            <v>40002_1</v>
          </cell>
        </row>
        <row r="425">
          <cell r="A425" t="str">
            <v>40002_2</v>
          </cell>
        </row>
        <row r="426">
          <cell r="A426" t="str">
            <v>40002_3</v>
          </cell>
        </row>
        <row r="427">
          <cell r="A427" t="str">
            <v>40003_1</v>
          </cell>
        </row>
        <row r="428">
          <cell r="A428" t="str">
            <v>40004_1</v>
          </cell>
        </row>
        <row r="429">
          <cell r="A429" t="str">
            <v>40005_1</v>
          </cell>
        </row>
        <row r="430">
          <cell r="A430" t="str">
            <v>40006_1</v>
          </cell>
        </row>
        <row r="431">
          <cell r="A431" t="str">
            <v>40007_1</v>
          </cell>
        </row>
        <row r="432">
          <cell r="A432" t="str">
            <v>40008_1</v>
          </cell>
        </row>
        <row r="433">
          <cell r="A433" t="str">
            <v>40009_1</v>
          </cell>
        </row>
        <row r="434">
          <cell r="A434" t="str">
            <v>40010_1</v>
          </cell>
        </row>
        <row r="435">
          <cell r="A435" t="str">
            <v>40011_1</v>
          </cell>
        </row>
        <row r="436">
          <cell r="A436" t="str">
            <v>49001_1</v>
          </cell>
        </row>
        <row r="437">
          <cell r="A437" t="str">
            <v>50001_1</v>
          </cell>
        </row>
        <row r="438">
          <cell r="A438" t="str">
            <v>50002_1</v>
          </cell>
        </row>
        <row r="439">
          <cell r="A439" t="str">
            <v>65535_1</v>
          </cell>
        </row>
        <row r="440">
          <cell r="A440" t="str">
            <v>65535_2</v>
          </cell>
        </row>
        <row r="441">
          <cell r="A441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</row>
        <row r="329">
          <cell r="A329">
            <v>328</v>
          </cell>
          <cell r="B329" t="str">
            <v>none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</row>
        <row r="330">
          <cell r="A330">
            <v>329</v>
          </cell>
          <cell r="B330" t="str">
            <v>none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</row>
        <row r="332">
          <cell r="A332">
            <v>331</v>
          </cell>
          <cell r="B332" t="str">
            <v>シャドウ・オーディン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</row>
        <row r="349">
          <cell r="A349">
            <v>348</v>
          </cell>
          <cell r="B349" t="str">
            <v>炎のケロケロ</v>
          </cell>
          <cell r="C349">
            <v>2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</row>
        <row r="350">
          <cell r="A350">
            <v>349</v>
          </cell>
          <cell r="B350" t="str">
            <v>炎のメタルフロッグ</v>
          </cell>
          <cell r="C350">
            <v>4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</row>
        <row r="351">
          <cell r="A351">
            <v>350</v>
          </cell>
          <cell r="B351" t="str">
            <v>森のケロケロ</v>
          </cell>
          <cell r="C351">
            <v>2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</row>
        <row r="352">
          <cell r="A352">
            <v>351</v>
          </cell>
          <cell r="B352" t="str">
            <v>森のメタルフロッグ</v>
          </cell>
          <cell r="C352">
            <v>4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</row>
        <row r="353">
          <cell r="A353">
            <v>352</v>
          </cell>
          <cell r="B353" t="str">
            <v>水のケロケロ</v>
          </cell>
          <cell r="C353">
            <v>2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</row>
        <row r="354">
          <cell r="A354">
            <v>353</v>
          </cell>
          <cell r="B354" t="str">
            <v>水のメタルフロッグ</v>
          </cell>
          <cell r="C354">
            <v>4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</row>
        <row r="355">
          <cell r="A355">
            <v>354</v>
          </cell>
          <cell r="B355" t="str">
            <v>雷のケロケロ</v>
          </cell>
          <cell r="C355">
            <v>2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</row>
        <row r="356">
          <cell r="A356">
            <v>355</v>
          </cell>
          <cell r="B356" t="str">
            <v>雷のメタルフロッグ</v>
          </cell>
          <cell r="C356">
            <v>4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15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15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15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15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balance</v>
          </cell>
          <cell r="I371" t="str">
            <v>バランスタイプ</v>
          </cell>
          <cell r="J371">
            <v>1</v>
          </cell>
          <cell r="K371">
            <v>1</v>
          </cell>
          <cell r="L371">
            <v>1</v>
          </cell>
          <cell r="M371" t="str">
            <v>human</v>
          </cell>
          <cell r="N371" t="str">
            <v>ヒューマン</v>
          </cell>
          <cell r="O371">
            <v>0.94</v>
          </cell>
          <cell r="P371">
            <v>0.99</v>
          </cell>
          <cell r="Q371">
            <v>1</v>
          </cell>
          <cell r="R371" t="str">
            <v>Boss</v>
          </cell>
          <cell r="S371">
            <v>5</v>
          </cell>
          <cell r="T371">
            <v>1.3</v>
          </cell>
          <cell r="U371">
            <v>0.8</v>
          </cell>
          <cell r="V371">
            <v>3</v>
          </cell>
          <cell r="W371">
            <v>1</v>
          </cell>
          <cell r="X371">
            <v>30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balance</v>
          </cell>
          <cell r="I372" t="str">
            <v>バランスタイプ</v>
          </cell>
          <cell r="J372">
            <v>1</v>
          </cell>
          <cell r="K372">
            <v>1</v>
          </cell>
          <cell r="L372">
            <v>1</v>
          </cell>
          <cell r="M372" t="str">
            <v>human</v>
          </cell>
          <cell r="N372" t="str">
            <v>ヒューマン</v>
          </cell>
          <cell r="O372">
            <v>0.94</v>
          </cell>
          <cell r="P372">
            <v>0.99</v>
          </cell>
          <cell r="Q372">
            <v>1</v>
          </cell>
          <cell r="R372" t="str">
            <v>Boss</v>
          </cell>
          <cell r="S372">
            <v>5</v>
          </cell>
          <cell r="T372">
            <v>1.3</v>
          </cell>
          <cell r="U372">
            <v>0.8</v>
          </cell>
          <cell r="V372">
            <v>3</v>
          </cell>
          <cell r="W372">
            <v>1</v>
          </cell>
          <cell r="X372">
            <v>30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human</v>
          </cell>
          <cell r="N373" t="str">
            <v>ヒューマン</v>
          </cell>
          <cell r="O373">
            <v>0.94</v>
          </cell>
          <cell r="P373">
            <v>0.99</v>
          </cell>
          <cell r="Q373">
            <v>1</v>
          </cell>
          <cell r="R373" t="str">
            <v>Boss</v>
          </cell>
          <cell r="S373">
            <v>5</v>
          </cell>
          <cell r="T373">
            <v>1.3</v>
          </cell>
          <cell r="U373">
            <v>0.8</v>
          </cell>
          <cell r="V373">
            <v>3</v>
          </cell>
          <cell r="W373">
            <v>1</v>
          </cell>
          <cell r="X373">
            <v>30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human</v>
          </cell>
          <cell r="N374" t="str">
            <v>ヒューマン</v>
          </cell>
          <cell r="O374">
            <v>0.94</v>
          </cell>
          <cell r="P374">
            <v>0.99</v>
          </cell>
          <cell r="Q374">
            <v>1</v>
          </cell>
          <cell r="R374" t="str">
            <v>Boss</v>
          </cell>
          <cell r="S374">
            <v>5</v>
          </cell>
          <cell r="T374">
            <v>1.3</v>
          </cell>
          <cell r="U374">
            <v>0.8</v>
          </cell>
          <cell r="V374">
            <v>3</v>
          </cell>
          <cell r="W374">
            <v>1</v>
          </cell>
          <cell r="X374">
            <v>30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balance</v>
          </cell>
          <cell r="I375" t="str">
            <v>バランスタイプ</v>
          </cell>
          <cell r="J375">
            <v>1</v>
          </cell>
          <cell r="K375">
            <v>1</v>
          </cell>
          <cell r="L375">
            <v>1</v>
          </cell>
          <cell r="M375" t="str">
            <v>human</v>
          </cell>
          <cell r="N375" t="str">
            <v>ヒューマン</v>
          </cell>
          <cell r="O375">
            <v>0.94</v>
          </cell>
          <cell r="P375">
            <v>0.99</v>
          </cell>
          <cell r="Q375">
            <v>1</v>
          </cell>
          <cell r="R375" t="str">
            <v>Boss</v>
          </cell>
          <cell r="S375">
            <v>5</v>
          </cell>
          <cell r="T375">
            <v>1.3</v>
          </cell>
          <cell r="U375">
            <v>0.8</v>
          </cell>
          <cell r="V375">
            <v>3</v>
          </cell>
          <cell r="W375">
            <v>1</v>
          </cell>
          <cell r="X375">
            <v>30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balance</v>
          </cell>
          <cell r="I376" t="str">
            <v>バランスタイプ</v>
          </cell>
          <cell r="J376">
            <v>1</v>
          </cell>
          <cell r="K376">
            <v>1</v>
          </cell>
          <cell r="L376">
            <v>1</v>
          </cell>
          <cell r="M376" t="str">
            <v>human</v>
          </cell>
          <cell r="N376" t="str">
            <v>ヒューマン</v>
          </cell>
          <cell r="O376">
            <v>0.94</v>
          </cell>
          <cell r="P376">
            <v>0.99</v>
          </cell>
          <cell r="Q376">
            <v>1</v>
          </cell>
          <cell r="R376" t="str">
            <v>Boss</v>
          </cell>
          <cell r="S376">
            <v>5</v>
          </cell>
          <cell r="T376">
            <v>1.3</v>
          </cell>
          <cell r="U376">
            <v>0.8</v>
          </cell>
          <cell r="V376">
            <v>3</v>
          </cell>
          <cell r="W376">
            <v>1</v>
          </cell>
          <cell r="X376">
            <v>30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60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</row>
        <row r="413">
          <cell r="A413">
            <v>412</v>
          </cell>
          <cell r="B413" t="str">
            <v>ミケランジェロ</v>
          </cell>
          <cell r="C413">
            <v>3</v>
          </cell>
          <cell r="D413" t="str">
            <v>green</v>
          </cell>
          <cell r="E413">
            <v>1.02</v>
          </cell>
          <cell r="F413">
            <v>0.98</v>
          </cell>
          <cell r="G413">
            <v>1</v>
          </cell>
          <cell r="H413" t="str">
            <v>balance</v>
          </cell>
          <cell r="I413" t="str">
            <v>バランスタイプ</v>
          </cell>
          <cell r="J413">
            <v>1</v>
          </cell>
          <cell r="K413">
            <v>1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Boss</v>
          </cell>
          <cell r="S413">
            <v>5</v>
          </cell>
          <cell r="T413">
            <v>1.3</v>
          </cell>
          <cell r="U413">
            <v>0.8</v>
          </cell>
          <cell r="V413">
            <v>3</v>
          </cell>
          <cell r="W413">
            <v>1</v>
          </cell>
          <cell r="X413">
            <v>60</v>
          </cell>
        </row>
        <row r="414">
          <cell r="A414">
            <v>413</v>
          </cell>
          <cell r="B414" t="str">
            <v>侵食破壊性ミケランジェロ</v>
          </cell>
          <cell r="C414">
            <v>4</v>
          </cell>
          <cell r="D414" t="str">
            <v>green</v>
          </cell>
          <cell r="E414">
            <v>1.02</v>
          </cell>
          <cell r="F414">
            <v>0.98</v>
          </cell>
          <cell r="G414">
            <v>1</v>
          </cell>
          <cell r="H414" t="str">
            <v>balance</v>
          </cell>
          <cell r="I414" t="str">
            <v>バランスタイプ</v>
          </cell>
          <cell r="J414">
            <v>1</v>
          </cell>
          <cell r="K414">
            <v>1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Boss</v>
          </cell>
          <cell r="S414">
            <v>5</v>
          </cell>
          <cell r="T414">
            <v>1.3</v>
          </cell>
          <cell r="U414">
            <v>0.8</v>
          </cell>
          <cell r="V414">
            <v>3</v>
          </cell>
          <cell r="W414">
            <v>1</v>
          </cell>
          <cell r="X414">
            <v>60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</row>
        <row r="429">
          <cell r="A429">
            <v>428</v>
          </cell>
          <cell r="B429" t="str">
            <v>レッドダムディ</v>
          </cell>
          <cell r="C429">
            <v>4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</row>
        <row r="430">
          <cell r="A430">
            <v>429</v>
          </cell>
          <cell r="B430" t="str">
            <v>ブルーダムディ</v>
          </cell>
          <cell r="C430">
            <v>4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</row>
        <row r="431">
          <cell r="A431">
            <v>430</v>
          </cell>
          <cell r="B431" t="str">
            <v>グリーンダムディ</v>
          </cell>
          <cell r="C431">
            <v>4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</row>
        <row r="432">
          <cell r="A432">
            <v>431</v>
          </cell>
          <cell r="B432" t="str">
            <v>イエローダムディ</v>
          </cell>
          <cell r="C432">
            <v>4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</row>
        <row r="445">
          <cell r="A445">
            <v>444</v>
          </cell>
          <cell r="B445" t="str">
            <v>ライオネル</v>
          </cell>
          <cell r="C445">
            <v>4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balance</v>
          </cell>
          <cell r="I445" t="str">
            <v>バランスタイプ</v>
          </cell>
          <cell r="J445">
            <v>1</v>
          </cell>
          <cell r="K445">
            <v>1</v>
          </cell>
          <cell r="L445">
            <v>1</v>
          </cell>
          <cell r="M445" t="str">
            <v>human</v>
          </cell>
          <cell r="N445" t="str">
            <v>ヒューマン</v>
          </cell>
          <cell r="O445">
            <v>0.94</v>
          </cell>
          <cell r="P445">
            <v>0.99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30</v>
          </cell>
        </row>
        <row r="446">
          <cell r="A446">
            <v>445</v>
          </cell>
          <cell r="B446" t="str">
            <v>怒鬣の紳獅 ライオネル</v>
          </cell>
          <cell r="C446">
            <v>5</v>
          </cell>
          <cell r="D446" t="str">
            <v>red</v>
          </cell>
          <cell r="E446">
            <v>1</v>
          </cell>
          <cell r="F446">
            <v>1.02</v>
          </cell>
          <cell r="G446">
            <v>1</v>
          </cell>
          <cell r="H446" t="str">
            <v>balance</v>
          </cell>
          <cell r="I446" t="str">
            <v>バランスタイプ</v>
          </cell>
          <cell r="J446">
            <v>1</v>
          </cell>
          <cell r="K446">
            <v>1</v>
          </cell>
          <cell r="L446">
            <v>1</v>
          </cell>
          <cell r="M446" t="str">
            <v>human</v>
          </cell>
          <cell r="N446" t="str">
            <v>ヒューマン</v>
          </cell>
          <cell r="O446">
            <v>0.94</v>
          </cell>
          <cell r="P446">
            <v>0.99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60</v>
          </cell>
        </row>
        <row r="447">
          <cell r="A447">
            <v>446</v>
          </cell>
          <cell r="B447" t="str">
            <v>ガラハッド</v>
          </cell>
          <cell r="C447">
            <v>4</v>
          </cell>
          <cell r="D447" t="str">
            <v>green</v>
          </cell>
          <cell r="E447">
            <v>1.02</v>
          </cell>
          <cell r="F447">
            <v>0.98</v>
          </cell>
          <cell r="G447">
            <v>1</v>
          </cell>
          <cell r="H447" t="str">
            <v>balance</v>
          </cell>
          <cell r="I447" t="str">
            <v>バランスタイプ</v>
          </cell>
          <cell r="J447">
            <v>1</v>
          </cell>
          <cell r="K447">
            <v>1</v>
          </cell>
          <cell r="L447">
            <v>1</v>
          </cell>
          <cell r="M447" t="str">
            <v>human</v>
          </cell>
          <cell r="N447" t="str">
            <v>ヒューマン</v>
          </cell>
          <cell r="O447">
            <v>0.94</v>
          </cell>
          <cell r="P447">
            <v>0.99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30</v>
          </cell>
        </row>
        <row r="448">
          <cell r="A448">
            <v>447</v>
          </cell>
          <cell r="B448" t="str">
            <v>荒息の銃剣 ガラハッド</v>
          </cell>
          <cell r="C448">
            <v>5</v>
          </cell>
          <cell r="D448" t="str">
            <v>green</v>
          </cell>
          <cell r="E448">
            <v>1.02</v>
          </cell>
          <cell r="F448">
            <v>0.98</v>
          </cell>
          <cell r="G448">
            <v>1</v>
          </cell>
          <cell r="H448" t="str">
            <v>balance</v>
          </cell>
          <cell r="I448" t="str">
            <v>バランスタイプ</v>
          </cell>
          <cell r="J448">
            <v>1</v>
          </cell>
          <cell r="K448">
            <v>1</v>
          </cell>
          <cell r="L448">
            <v>1</v>
          </cell>
          <cell r="M448" t="str">
            <v>human</v>
          </cell>
          <cell r="N448" t="str">
            <v>ヒューマン</v>
          </cell>
          <cell r="O448">
            <v>0.94</v>
          </cell>
          <cell r="P448">
            <v>0.99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60</v>
          </cell>
        </row>
        <row r="449">
          <cell r="A449">
            <v>448</v>
          </cell>
          <cell r="B449" t="str">
            <v>ガレス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</row>
        <row r="450">
          <cell r="A450">
            <v>449</v>
          </cell>
          <cell r="B450" t="str">
            <v>幽き美手 ガレス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technical</v>
          </cell>
          <cell r="I488" t="str">
            <v>テクニカルタイプ</v>
          </cell>
          <cell r="J488">
            <v>0.9</v>
          </cell>
          <cell r="K488">
            <v>0.9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60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60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60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60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</row>
        <row r="561">
          <cell r="A561">
            <v>560</v>
          </cell>
          <cell r="B561" t="str">
            <v>ゴーレム亀</v>
          </cell>
          <cell r="C561">
            <v>4</v>
          </cell>
          <cell r="D561" t="str">
            <v>yellow</v>
          </cell>
          <cell r="E561">
            <v>0.98</v>
          </cell>
          <cell r="F561">
            <v>1.01</v>
          </cell>
          <cell r="G561">
            <v>1</v>
          </cell>
          <cell r="H561" t="str">
            <v>hp</v>
          </cell>
          <cell r="I561" t="str">
            <v>体力タイプ</v>
          </cell>
          <cell r="J561">
            <v>1.45</v>
          </cell>
          <cell r="K561">
            <v>0.85</v>
          </cell>
          <cell r="L561">
            <v>1</v>
          </cell>
          <cell r="M561" t="str">
            <v>machine</v>
          </cell>
          <cell r="N561" t="str">
            <v>マシン</v>
          </cell>
          <cell r="O561">
            <v>1</v>
          </cell>
          <cell r="P561">
            <v>1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30</v>
          </cell>
        </row>
        <row r="562">
          <cell r="A562">
            <v>561</v>
          </cell>
          <cell r="B562" t="str">
            <v>ゴーレム亀</v>
          </cell>
          <cell r="C562">
            <v>5</v>
          </cell>
          <cell r="D562" t="str">
            <v>yellow</v>
          </cell>
          <cell r="E562">
            <v>0.98</v>
          </cell>
          <cell r="F562">
            <v>1.01</v>
          </cell>
          <cell r="G562">
            <v>1</v>
          </cell>
          <cell r="H562" t="str">
            <v>hp</v>
          </cell>
          <cell r="I562" t="str">
            <v>体力タイプ</v>
          </cell>
          <cell r="J562">
            <v>1.45</v>
          </cell>
          <cell r="K562">
            <v>0.85</v>
          </cell>
          <cell r="L562">
            <v>1</v>
          </cell>
          <cell r="M562" t="str">
            <v>machine</v>
          </cell>
          <cell r="N562" t="str">
            <v>マシン</v>
          </cell>
          <cell r="O562">
            <v>1</v>
          </cell>
          <cell r="P562">
            <v>1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</row>
        <row r="563">
          <cell r="A563">
            <v>562</v>
          </cell>
          <cell r="B563" t="str">
            <v>ラプラス</v>
          </cell>
          <cell r="C563">
            <v>3</v>
          </cell>
          <cell r="D563" t="str">
            <v>yellow</v>
          </cell>
          <cell r="E563">
            <v>0.98</v>
          </cell>
          <cell r="F563">
            <v>1.01</v>
          </cell>
          <cell r="G563">
            <v>1</v>
          </cell>
          <cell r="H563" t="str">
            <v>technical</v>
          </cell>
          <cell r="I563" t="str">
            <v>テクニカルタイプ</v>
          </cell>
          <cell r="J563">
            <v>0.9</v>
          </cell>
          <cell r="K563">
            <v>0.9</v>
          </cell>
          <cell r="L563">
            <v>1</v>
          </cell>
          <cell r="M563" t="str">
            <v>human</v>
          </cell>
          <cell r="N563" t="str">
            <v>ヒューマン</v>
          </cell>
          <cell r="O563">
            <v>0.94</v>
          </cell>
          <cell r="P563">
            <v>0.99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25</v>
          </cell>
        </row>
        <row r="564">
          <cell r="A564">
            <v>563</v>
          </cell>
          <cell r="B564" t="str">
            <v>ラプラス</v>
          </cell>
          <cell r="C564">
            <v>4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technical</v>
          </cell>
          <cell r="I564" t="str">
            <v>テクニカルタイプ</v>
          </cell>
          <cell r="J564">
            <v>0.9</v>
          </cell>
          <cell r="K564">
            <v>0.9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30</v>
          </cell>
        </row>
        <row r="565">
          <cell r="A565">
            <v>564</v>
          </cell>
          <cell r="B565" t="str">
            <v>カスケード</v>
          </cell>
          <cell r="C565">
            <v>5</v>
          </cell>
          <cell r="D565" t="str">
            <v>yellow</v>
          </cell>
          <cell r="E565">
            <v>0.98</v>
          </cell>
          <cell r="F565">
            <v>1.01</v>
          </cell>
          <cell r="G565">
            <v>1</v>
          </cell>
          <cell r="H565" t="str">
            <v>technical</v>
          </cell>
          <cell r="I565" t="str">
            <v>テクニカルタイプ</v>
          </cell>
          <cell r="J565">
            <v>0.9</v>
          </cell>
          <cell r="K565">
            <v>0.9</v>
          </cell>
          <cell r="L565">
            <v>1</v>
          </cell>
          <cell r="M565" t="str">
            <v>unknown</v>
          </cell>
          <cell r="N565" t="str">
            <v>Unknown</v>
          </cell>
          <cell r="O565">
            <v>1</v>
          </cell>
          <cell r="P565">
            <v>1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</row>
        <row r="566">
          <cell r="A566">
            <v>565</v>
          </cell>
          <cell r="B566" t="str">
            <v>落下分解型カスケード</v>
          </cell>
          <cell r="C566">
            <v>3</v>
          </cell>
          <cell r="D566" t="str">
            <v>yellow</v>
          </cell>
          <cell r="E566">
            <v>0.98</v>
          </cell>
          <cell r="F566">
            <v>1.01</v>
          </cell>
          <cell r="G566">
            <v>1</v>
          </cell>
          <cell r="H566" t="str">
            <v>technical</v>
          </cell>
          <cell r="I566" t="str">
            <v>テクニカルタイプ</v>
          </cell>
          <cell r="J566">
            <v>0.9</v>
          </cell>
          <cell r="K566">
            <v>0.9</v>
          </cell>
          <cell r="L566">
            <v>1</v>
          </cell>
          <cell r="M566" t="str">
            <v>unknown</v>
          </cell>
          <cell r="N566" t="str">
            <v>Unknown</v>
          </cell>
          <cell r="O566">
            <v>1</v>
          </cell>
          <cell r="P566">
            <v>1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25</v>
          </cell>
        </row>
        <row r="567">
          <cell r="A567">
            <v>566</v>
          </cell>
          <cell r="B567" t="str">
            <v>カスケード</v>
          </cell>
          <cell r="C567">
            <v>4</v>
          </cell>
          <cell r="D567" t="str">
            <v>yellow</v>
          </cell>
          <cell r="E567">
            <v>0.98</v>
          </cell>
          <cell r="F567">
            <v>1.01</v>
          </cell>
          <cell r="G567">
            <v>1</v>
          </cell>
          <cell r="H567" t="str">
            <v>technical</v>
          </cell>
          <cell r="I567" t="str">
            <v>テクニカルタイプ</v>
          </cell>
          <cell r="J567">
            <v>0.9</v>
          </cell>
          <cell r="K567">
            <v>0.9</v>
          </cell>
          <cell r="L567">
            <v>1</v>
          </cell>
          <cell r="M567" t="str">
            <v>unknown</v>
          </cell>
          <cell r="N567" t="str">
            <v>Unknown</v>
          </cell>
          <cell r="O567">
            <v>1</v>
          </cell>
          <cell r="P567">
            <v>1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30</v>
          </cell>
        </row>
        <row r="568">
          <cell r="A568">
            <v>567</v>
          </cell>
          <cell r="B568" t="str">
            <v>空白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attack</v>
          </cell>
          <cell r="I568" t="str">
            <v>攻撃タイプ</v>
          </cell>
          <cell r="J568">
            <v>1</v>
          </cell>
          <cell r="K568">
            <v>1.33</v>
          </cell>
          <cell r="L568">
            <v>1</v>
          </cell>
          <cell r="M568" t="str">
            <v>human</v>
          </cell>
          <cell r="N568" t="str">
            <v>ヒューマン</v>
          </cell>
          <cell r="O568">
            <v>0.94</v>
          </cell>
          <cell r="P568">
            <v>0.99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</row>
        <row r="569">
          <cell r="A569">
            <v>568</v>
          </cell>
          <cell r="B569" t="str">
            <v>イゾルデ</v>
          </cell>
          <cell r="C569">
            <v>3</v>
          </cell>
          <cell r="D569" t="str">
            <v>blue</v>
          </cell>
          <cell r="E569">
            <v>1</v>
          </cell>
          <cell r="F569">
            <v>0.98</v>
          </cell>
          <cell r="G569">
            <v>1</v>
          </cell>
          <cell r="H569" t="str">
            <v>attack</v>
          </cell>
          <cell r="I569" t="str">
            <v>攻撃タイプ</v>
          </cell>
          <cell r="J569">
            <v>1</v>
          </cell>
          <cell r="K569">
            <v>1.33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25</v>
          </cell>
        </row>
        <row r="570">
          <cell r="A570">
            <v>569</v>
          </cell>
          <cell r="B570" t="str">
            <v>イゾルデ</v>
          </cell>
          <cell r="C570">
            <v>4</v>
          </cell>
          <cell r="D570" t="str">
            <v>blue</v>
          </cell>
          <cell r="E570">
            <v>1</v>
          </cell>
          <cell r="F570">
            <v>0.98</v>
          </cell>
          <cell r="G570">
            <v>1</v>
          </cell>
          <cell r="H570" t="str">
            <v>attack</v>
          </cell>
          <cell r="I570" t="str">
            <v>攻撃タイプ</v>
          </cell>
          <cell r="J570">
            <v>1</v>
          </cell>
          <cell r="K570">
            <v>1.33</v>
          </cell>
          <cell r="L570">
            <v>1</v>
          </cell>
          <cell r="M570" t="str">
            <v>human</v>
          </cell>
          <cell r="N570" t="str">
            <v>ヒューマン</v>
          </cell>
          <cell r="O570">
            <v>0.94</v>
          </cell>
          <cell r="P570">
            <v>0.99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30</v>
          </cell>
        </row>
        <row r="571">
          <cell r="A571">
            <v>570</v>
          </cell>
          <cell r="B571" t="str">
            <v>イゾルデ</v>
          </cell>
          <cell r="C571">
            <v>5</v>
          </cell>
          <cell r="D571" t="str">
            <v>blue</v>
          </cell>
          <cell r="E571">
            <v>1</v>
          </cell>
          <cell r="F571">
            <v>0.98</v>
          </cell>
          <cell r="G571">
            <v>1</v>
          </cell>
          <cell r="H571" t="str">
            <v>attack</v>
          </cell>
          <cell r="I571" t="str">
            <v>攻撃タイプ</v>
          </cell>
          <cell r="J571">
            <v>1</v>
          </cell>
          <cell r="K571">
            <v>1.33</v>
          </cell>
          <cell r="L571">
            <v>1</v>
          </cell>
          <cell r="M571" t="str">
            <v>human</v>
          </cell>
          <cell r="N571" t="str">
            <v>ヒューマン</v>
          </cell>
          <cell r="O571">
            <v>0.94</v>
          </cell>
          <cell r="P571">
            <v>0.99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</row>
        <row r="577">
          <cell r="A577">
            <v>576</v>
          </cell>
          <cell r="B577" t="str">
            <v>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</row>
        <row r="578">
          <cell r="A578">
            <v>577</v>
          </cell>
          <cell r="B578" t="str">
            <v>ピュグヴィルとベイラ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</row>
        <row r="579">
          <cell r="A579">
            <v>578</v>
          </cell>
          <cell r="B579" t="str">
            <v>ピュグヴィルとベイラ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</row>
        <row r="586">
          <cell r="A586">
            <v>585</v>
          </cell>
          <cell r="B586" t="str">
            <v>ユミルじゃなくなった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</row>
        <row r="611">
          <cell r="A611">
            <v>610</v>
          </cell>
          <cell r="B611" t="str">
            <v>メガ秘術の果実（+2）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</row>
        <row r="615">
          <cell r="A615">
            <v>614</v>
          </cell>
          <cell r="B615" t="str">
            <v>ギガ秘術の果実（+4）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60</v>
          </cell>
        </row>
        <row r="622">
          <cell r="A622">
            <v>621</v>
          </cell>
          <cell r="B622" t="str">
            <v>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60</v>
          </cell>
        </row>
        <row r="623">
          <cell r="A623">
            <v>622</v>
          </cell>
          <cell r="B623" t="str">
            <v>フェルマー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blue</v>
          </cell>
          <cell r="E624">
            <v>1</v>
          </cell>
          <cell r="F624">
            <v>0.98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human</v>
          </cell>
          <cell r="N624" t="str">
            <v>ヒューマン</v>
          </cell>
          <cell r="O624">
            <v>0.94</v>
          </cell>
          <cell r="P624">
            <v>0.99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</row>
        <row r="625">
          <cell r="A625">
            <v>624</v>
          </cell>
          <cell r="B625" t="str">
            <v>フェルマー</v>
          </cell>
          <cell r="C625">
            <v>6</v>
          </cell>
          <cell r="D625" t="str">
            <v>blue</v>
          </cell>
          <cell r="E625">
            <v>1</v>
          </cell>
          <cell r="F625">
            <v>0.98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human</v>
          </cell>
          <cell r="N625" t="str">
            <v>ヒューマン</v>
          </cell>
          <cell r="O625">
            <v>0.94</v>
          </cell>
          <cell r="P625">
            <v>0.99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</row>
        <row r="628">
          <cell r="A628">
            <v>627</v>
          </cell>
          <cell r="B628" t="str">
            <v>ユークリット</v>
          </cell>
          <cell r="C628">
            <v>4</v>
          </cell>
          <cell r="D628" t="str">
            <v>yellow</v>
          </cell>
          <cell r="E628">
            <v>0.98</v>
          </cell>
          <cell r="F628">
            <v>1.01</v>
          </cell>
          <cell r="G628">
            <v>1</v>
          </cell>
          <cell r="H628" t="str">
            <v>attack</v>
          </cell>
          <cell r="I628" t="str">
            <v>攻撃タイプ</v>
          </cell>
          <cell r="J628">
            <v>1</v>
          </cell>
          <cell r="K628">
            <v>1.33</v>
          </cell>
          <cell r="L628">
            <v>1</v>
          </cell>
          <cell r="M628" t="str">
            <v>human</v>
          </cell>
          <cell r="N628" t="str">
            <v>ヒューマン</v>
          </cell>
          <cell r="O628">
            <v>0.94</v>
          </cell>
          <cell r="P628">
            <v>0.99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30</v>
          </cell>
        </row>
        <row r="629">
          <cell r="A629">
            <v>628</v>
          </cell>
          <cell r="B629" t="str">
            <v>ユークリット</v>
          </cell>
          <cell r="C629">
            <v>5</v>
          </cell>
          <cell r="D629" t="str">
            <v>yellow</v>
          </cell>
          <cell r="E629">
            <v>0.98</v>
          </cell>
          <cell r="F629">
            <v>1.01</v>
          </cell>
          <cell r="G629">
            <v>1</v>
          </cell>
          <cell r="H629" t="str">
            <v>attack</v>
          </cell>
          <cell r="I629" t="str">
            <v>攻撃タイプ</v>
          </cell>
          <cell r="J629">
            <v>1</v>
          </cell>
          <cell r="K629">
            <v>1.33</v>
          </cell>
          <cell r="L629">
            <v>1</v>
          </cell>
          <cell r="M629" t="str">
            <v>human</v>
          </cell>
          <cell r="N629" t="str">
            <v>ヒューマン</v>
          </cell>
          <cell r="O629">
            <v>0.94</v>
          </cell>
          <cell r="P629">
            <v>0.99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</row>
        <row r="630">
          <cell r="A630">
            <v>629</v>
          </cell>
          <cell r="B630" t="str">
            <v>フーリエ</v>
          </cell>
          <cell r="C630">
            <v>4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attack</v>
          </cell>
          <cell r="I630" t="str">
            <v>攻撃タイプ</v>
          </cell>
          <cell r="J630">
            <v>1</v>
          </cell>
          <cell r="K630">
            <v>1.33</v>
          </cell>
          <cell r="L630">
            <v>1</v>
          </cell>
          <cell r="M630" t="str">
            <v>human</v>
          </cell>
          <cell r="N630" t="str">
            <v>ヒューマン</v>
          </cell>
          <cell r="O630">
            <v>0.94</v>
          </cell>
          <cell r="P630">
            <v>0.99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30</v>
          </cell>
        </row>
        <row r="631">
          <cell r="A631">
            <v>630</v>
          </cell>
          <cell r="B631" t="str">
            <v>フーリエ</v>
          </cell>
          <cell r="C631">
            <v>5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attack</v>
          </cell>
          <cell r="I631" t="str">
            <v>攻撃タイプ</v>
          </cell>
          <cell r="J631">
            <v>1</v>
          </cell>
          <cell r="K631">
            <v>1.33</v>
          </cell>
          <cell r="L631">
            <v>1</v>
          </cell>
          <cell r="M631" t="str">
            <v>human</v>
          </cell>
          <cell r="N631" t="str">
            <v>ヒューマン</v>
          </cell>
          <cell r="O631">
            <v>0.94</v>
          </cell>
          <cell r="P631">
            <v>0.99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</row>
        <row r="632">
          <cell r="A632">
            <v>631</v>
          </cell>
          <cell r="B632" t="str">
            <v>赤アニマル</v>
          </cell>
          <cell r="C632">
            <v>4</v>
          </cell>
          <cell r="D632" t="str">
            <v>red</v>
          </cell>
          <cell r="E632">
            <v>1</v>
          </cell>
          <cell r="F632">
            <v>1.02</v>
          </cell>
          <cell r="G632">
            <v>1</v>
          </cell>
          <cell r="H632" t="str">
            <v>attack</v>
          </cell>
          <cell r="I632" t="str">
            <v>攻撃タイプ</v>
          </cell>
          <cell r="J632">
            <v>1</v>
          </cell>
          <cell r="K632">
            <v>1.33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30</v>
          </cell>
        </row>
        <row r="633">
          <cell r="A633">
            <v>632</v>
          </cell>
          <cell r="B633" t="str">
            <v>赤アニマル</v>
          </cell>
          <cell r="C633">
            <v>5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attack</v>
          </cell>
          <cell r="I633" t="str">
            <v>攻撃タイプ</v>
          </cell>
          <cell r="J633">
            <v>1</v>
          </cell>
          <cell r="K633">
            <v>1.33</v>
          </cell>
          <cell r="L633">
            <v>1</v>
          </cell>
          <cell r="M633" t="str">
            <v>human</v>
          </cell>
          <cell r="N633" t="str">
            <v>ヒューマン</v>
          </cell>
          <cell r="O633">
            <v>0.94</v>
          </cell>
          <cell r="P633">
            <v>0.99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</row>
        <row r="634">
          <cell r="A634">
            <v>633</v>
          </cell>
          <cell r="B634" t="str">
            <v>赤ドラゴン</v>
          </cell>
          <cell r="C634">
            <v>3</v>
          </cell>
          <cell r="D634" t="str">
            <v>red</v>
          </cell>
          <cell r="E634">
            <v>1</v>
          </cell>
          <cell r="F634">
            <v>1.02</v>
          </cell>
          <cell r="G634">
            <v>1</v>
          </cell>
          <cell r="H634" t="str">
            <v>attack</v>
          </cell>
          <cell r="I634" t="str">
            <v>攻撃タイプ</v>
          </cell>
          <cell r="J634">
            <v>1</v>
          </cell>
          <cell r="K634">
            <v>1.33</v>
          </cell>
          <cell r="L634">
            <v>1</v>
          </cell>
          <cell r="M634" t="str">
            <v>human</v>
          </cell>
          <cell r="N634" t="str">
            <v>ヒューマン</v>
          </cell>
          <cell r="O634">
            <v>0.94</v>
          </cell>
          <cell r="P634">
            <v>0.99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25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human</v>
          </cell>
          <cell r="N635" t="str">
            <v>ヒューマン</v>
          </cell>
          <cell r="O635">
            <v>0.94</v>
          </cell>
          <cell r="P635">
            <v>0.99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human</v>
          </cell>
          <cell r="N636" t="str">
            <v>ヒューマン</v>
          </cell>
          <cell r="O636">
            <v>0.94</v>
          </cell>
          <cell r="P636">
            <v>0.99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human</v>
          </cell>
          <cell r="N637" t="str">
            <v>ヒューマン</v>
          </cell>
          <cell r="O637">
            <v>0.94</v>
          </cell>
          <cell r="P637">
            <v>0.99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human</v>
          </cell>
          <cell r="N638" t="str">
            <v>ヒューマン</v>
          </cell>
          <cell r="O638">
            <v>0.94</v>
          </cell>
          <cell r="P638">
            <v>0.99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</row>
        <row r="639">
          <cell r="A639">
            <v>638</v>
          </cell>
          <cell r="B639" t="str">
            <v>コードレッド</v>
          </cell>
          <cell r="C639">
            <v>5</v>
          </cell>
          <cell r="D639" t="str">
            <v>red</v>
          </cell>
          <cell r="E639">
            <v>1</v>
          </cell>
          <cell r="F639">
            <v>1.02</v>
          </cell>
          <cell r="G639">
            <v>1</v>
          </cell>
          <cell r="H639" t="str">
            <v>attack</v>
          </cell>
          <cell r="I639" t="str">
            <v>攻撃タイプ</v>
          </cell>
          <cell r="J639">
            <v>1</v>
          </cell>
          <cell r="K639">
            <v>1.33</v>
          </cell>
          <cell r="L639">
            <v>1</v>
          </cell>
          <cell r="M639" t="str">
            <v>human</v>
          </cell>
          <cell r="N639" t="str">
            <v>ヒューマン</v>
          </cell>
          <cell r="O639">
            <v>0.94</v>
          </cell>
          <cell r="P639">
            <v>0.99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</row>
        <row r="640">
          <cell r="A640">
            <v>639</v>
          </cell>
          <cell r="B640" t="str">
            <v>ライオネル</v>
          </cell>
          <cell r="C640">
            <v>3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attack</v>
          </cell>
          <cell r="I640" t="str">
            <v>攻撃タイプ</v>
          </cell>
          <cell r="J640">
            <v>1</v>
          </cell>
          <cell r="K640">
            <v>1.33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25</v>
          </cell>
        </row>
        <row r="641">
          <cell r="A641">
            <v>640</v>
          </cell>
          <cell r="B641" t="str">
            <v>ライオネル</v>
          </cell>
          <cell r="C641">
            <v>4</v>
          </cell>
          <cell r="D641" t="str">
            <v>red</v>
          </cell>
          <cell r="E641">
            <v>1</v>
          </cell>
          <cell r="F641">
            <v>1.02</v>
          </cell>
          <cell r="G641">
            <v>1</v>
          </cell>
          <cell r="H641" t="str">
            <v>attack</v>
          </cell>
          <cell r="I641" t="str">
            <v>攻撃タイプ</v>
          </cell>
          <cell r="J641">
            <v>1</v>
          </cell>
          <cell r="K641">
            <v>1.33</v>
          </cell>
          <cell r="L641">
            <v>1</v>
          </cell>
          <cell r="M641" t="str">
            <v>human</v>
          </cell>
          <cell r="N641" t="str">
            <v>ヒューマン</v>
          </cell>
          <cell r="O641">
            <v>0.94</v>
          </cell>
          <cell r="P641">
            <v>0.99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</row>
        <row r="642">
          <cell r="A642">
            <v>641</v>
          </cell>
          <cell r="B642" t="str">
            <v>ライオネル</v>
          </cell>
          <cell r="C642">
            <v>5</v>
          </cell>
          <cell r="D642" t="str">
            <v>red</v>
          </cell>
          <cell r="E642">
            <v>1</v>
          </cell>
          <cell r="F642">
            <v>1.02</v>
          </cell>
          <cell r="G642">
            <v>1</v>
          </cell>
          <cell r="H642" t="str">
            <v>attack</v>
          </cell>
          <cell r="I642" t="str">
            <v>攻撃タイプ</v>
          </cell>
          <cell r="J642">
            <v>1</v>
          </cell>
          <cell r="K642">
            <v>1.33</v>
          </cell>
          <cell r="L642">
            <v>1</v>
          </cell>
          <cell r="M642" t="str">
            <v>human</v>
          </cell>
          <cell r="N642" t="str">
            <v>ヒューマン</v>
          </cell>
          <cell r="O642">
            <v>0.94</v>
          </cell>
          <cell r="P642">
            <v>0.99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60</v>
          </cell>
        </row>
        <row r="643">
          <cell r="A643">
            <v>642</v>
          </cell>
          <cell r="B643" t="str">
            <v>マーラ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human</v>
          </cell>
          <cell r="N643" t="str">
            <v>ヒューマン</v>
          </cell>
          <cell r="O643">
            <v>0.94</v>
          </cell>
          <cell r="P643">
            <v>0.99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</row>
        <row r="644">
          <cell r="A644">
            <v>643</v>
          </cell>
          <cell r="B644" t="str">
            <v>マーラ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human</v>
          </cell>
          <cell r="N644" t="str">
            <v>ヒューマン</v>
          </cell>
          <cell r="O644">
            <v>0.94</v>
          </cell>
          <cell r="P644">
            <v>0.99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</row>
        <row r="645">
          <cell r="A645">
            <v>644</v>
          </cell>
          <cell r="B645" t="str">
            <v>ぬらりひょん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</row>
        <row r="646">
          <cell r="A646">
            <v>645</v>
          </cell>
          <cell r="B646" t="str">
            <v>ぬらりひょん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</row>
        <row r="647">
          <cell r="A647">
            <v>646</v>
          </cell>
          <cell r="B647" t="str">
            <v>雪女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</row>
        <row r="648">
          <cell r="A648">
            <v>647</v>
          </cell>
          <cell r="B648" t="str">
            <v>雪女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attack</v>
          </cell>
          <cell r="I649" t="str">
            <v>攻撃タイプ</v>
          </cell>
          <cell r="J649">
            <v>1</v>
          </cell>
          <cell r="K649">
            <v>1.33</v>
          </cell>
          <cell r="L649">
            <v>1</v>
          </cell>
          <cell r="M649" t="str">
            <v>human</v>
          </cell>
          <cell r="N649" t="str">
            <v>ヒューマン</v>
          </cell>
          <cell r="O649">
            <v>0.94</v>
          </cell>
          <cell r="P649">
            <v>0.99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</row>
        <row r="650">
          <cell r="A650">
            <v>649</v>
          </cell>
          <cell r="B650" t="str">
            <v>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attack</v>
          </cell>
          <cell r="I650" t="str">
            <v>攻撃タイプ</v>
          </cell>
          <cell r="J650">
            <v>1</v>
          </cell>
          <cell r="K650">
            <v>1.33</v>
          </cell>
          <cell r="L650">
            <v>1</v>
          </cell>
          <cell r="M650" t="str">
            <v>human</v>
          </cell>
          <cell r="N650" t="str">
            <v>ヒューマン</v>
          </cell>
          <cell r="O650">
            <v>0.94</v>
          </cell>
          <cell r="P650">
            <v>0.99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</row>
        <row r="651">
          <cell r="A651">
            <v>650</v>
          </cell>
          <cell r="B651" t="str">
            <v>土蜘蛛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</row>
        <row r="652">
          <cell r="A652">
            <v>651</v>
          </cell>
          <cell r="B652" t="str">
            <v>土蜘蛛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attack</v>
          </cell>
          <cell r="I653" t="str">
            <v>攻撃タイプ</v>
          </cell>
          <cell r="J653">
            <v>1</v>
          </cell>
          <cell r="K653">
            <v>1.33</v>
          </cell>
          <cell r="L653">
            <v>1</v>
          </cell>
          <cell r="M653" t="str">
            <v>human</v>
          </cell>
          <cell r="N653" t="str">
            <v>ヒューマン</v>
          </cell>
          <cell r="O653">
            <v>0.94</v>
          </cell>
          <cell r="P653">
            <v>0.99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</row>
        <row r="654">
          <cell r="A654">
            <v>653</v>
          </cell>
          <cell r="B654" t="str">
            <v>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attack</v>
          </cell>
          <cell r="I654" t="str">
            <v>攻撃タイプ</v>
          </cell>
          <cell r="J654">
            <v>1</v>
          </cell>
          <cell r="K654">
            <v>1.33</v>
          </cell>
          <cell r="L654">
            <v>1</v>
          </cell>
          <cell r="M654" t="str">
            <v>human</v>
          </cell>
          <cell r="N654" t="str">
            <v>ヒューマン</v>
          </cell>
          <cell r="O654">
            <v>0.94</v>
          </cell>
          <cell r="P654">
            <v>0.99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</row>
        <row r="655">
          <cell r="A655">
            <v>654</v>
          </cell>
          <cell r="B655" t="str">
            <v>鬼（酒呑童子）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</row>
        <row r="656">
          <cell r="A656">
            <v>655</v>
          </cell>
          <cell r="B656" t="str">
            <v>鬼（酒呑童子）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attack</v>
          </cell>
          <cell r="I657" t="str">
            <v>攻撃タイプ</v>
          </cell>
          <cell r="J657">
            <v>1</v>
          </cell>
          <cell r="K657">
            <v>1.33</v>
          </cell>
          <cell r="L657">
            <v>1</v>
          </cell>
          <cell r="M657" t="str">
            <v>human</v>
          </cell>
          <cell r="N657" t="str">
            <v>ヒューマン</v>
          </cell>
          <cell r="O657">
            <v>0.94</v>
          </cell>
          <cell r="P657">
            <v>0.99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</row>
        <row r="658">
          <cell r="A658">
            <v>657</v>
          </cell>
          <cell r="B658" t="str">
            <v>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attack</v>
          </cell>
          <cell r="I658" t="str">
            <v>攻撃タイプ</v>
          </cell>
          <cell r="J658">
            <v>1</v>
          </cell>
          <cell r="K658">
            <v>1.33</v>
          </cell>
          <cell r="L658">
            <v>1</v>
          </cell>
          <cell r="M658" t="str">
            <v>human</v>
          </cell>
          <cell r="N658" t="str">
            <v>ヒューマン</v>
          </cell>
          <cell r="O658">
            <v>0.94</v>
          </cell>
          <cell r="P658">
            <v>0.99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</row>
        <row r="659">
          <cell r="A659">
            <v>658</v>
          </cell>
          <cell r="B659" t="str">
            <v>化け猫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</row>
        <row r="660">
          <cell r="A660">
            <v>659</v>
          </cell>
          <cell r="B660" t="str">
            <v>化け猫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</row>
        <row r="661">
          <cell r="A661">
            <v>660</v>
          </cell>
          <cell r="B661" t="str">
            <v>カラス天狗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</row>
        <row r="662">
          <cell r="A662">
            <v>661</v>
          </cell>
          <cell r="B662" t="str">
            <v>カラス天狗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</row>
        <row r="663">
          <cell r="A663">
            <v>662</v>
          </cell>
          <cell r="B663" t="str">
            <v>デイダラボッチ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</row>
        <row r="664">
          <cell r="A664">
            <v>663</v>
          </cell>
          <cell r="B664" t="str">
            <v>デイダラボッチ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</row>
        <row r="665">
          <cell r="A665">
            <v>664</v>
          </cell>
          <cell r="B665" t="str">
            <v>デイダラボッチ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</row>
        <row r="666">
          <cell r="A666">
            <v>665</v>
          </cell>
          <cell r="B666" t="str">
            <v>座敷童子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</row>
        <row r="667">
          <cell r="A667">
            <v>666</v>
          </cell>
          <cell r="B667" t="str">
            <v>座敷童子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</row>
        <row r="668">
          <cell r="A668">
            <v>667</v>
          </cell>
          <cell r="B668" t="str">
            <v>座敷童子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attack</v>
          </cell>
          <cell r="I669" t="str">
            <v>攻撃タイプ</v>
          </cell>
          <cell r="J669">
            <v>1</v>
          </cell>
          <cell r="K669">
            <v>1.33</v>
          </cell>
          <cell r="L669">
            <v>1</v>
          </cell>
          <cell r="M669" t="str">
            <v>human</v>
          </cell>
          <cell r="N669" t="str">
            <v>ヒューマン</v>
          </cell>
          <cell r="O669">
            <v>0.94</v>
          </cell>
          <cell r="P669">
            <v>0.99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</row>
        <row r="670">
          <cell r="A670">
            <v>669</v>
          </cell>
          <cell r="B670" t="str">
            <v>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attack</v>
          </cell>
          <cell r="I670" t="str">
            <v>攻撃タイプ</v>
          </cell>
          <cell r="J670">
            <v>1</v>
          </cell>
          <cell r="K670">
            <v>1.33</v>
          </cell>
          <cell r="L670">
            <v>1</v>
          </cell>
          <cell r="M670" t="str">
            <v>human</v>
          </cell>
          <cell r="N670" t="str">
            <v>ヒューマン</v>
          </cell>
          <cell r="O670">
            <v>0.94</v>
          </cell>
          <cell r="P670">
            <v>0.99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</row>
        <row r="671">
          <cell r="A671">
            <v>670</v>
          </cell>
          <cell r="B671" t="str">
            <v>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attack</v>
          </cell>
          <cell r="I671" t="str">
            <v>攻撃タイプ</v>
          </cell>
          <cell r="J671">
            <v>1</v>
          </cell>
          <cell r="K671">
            <v>1.33</v>
          </cell>
          <cell r="L671">
            <v>1</v>
          </cell>
          <cell r="M671" t="str">
            <v>human</v>
          </cell>
          <cell r="N671" t="str">
            <v>ヒューマン</v>
          </cell>
          <cell r="O671">
            <v>0.94</v>
          </cell>
          <cell r="P671">
            <v>0.99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human</v>
          </cell>
          <cell r="N672" t="str">
            <v>ヒューマン</v>
          </cell>
          <cell r="O672">
            <v>0.94</v>
          </cell>
          <cell r="P672">
            <v>0.99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</row>
        <row r="673">
          <cell r="A673">
            <v>672</v>
          </cell>
          <cell r="B673" t="str">
            <v>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human</v>
          </cell>
          <cell r="N673" t="str">
            <v>ヒューマン</v>
          </cell>
          <cell r="O673">
            <v>0.94</v>
          </cell>
          <cell r="P673">
            <v>0.99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</row>
        <row r="674">
          <cell r="A674">
            <v>673</v>
          </cell>
          <cell r="B674" t="str">
            <v>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human</v>
          </cell>
          <cell r="N674" t="str">
            <v>ヒューマン</v>
          </cell>
          <cell r="O674">
            <v>0.94</v>
          </cell>
          <cell r="P674">
            <v>0.99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attack</v>
          </cell>
          <cell r="I675" t="str">
            <v>攻撃タイプ</v>
          </cell>
          <cell r="J675">
            <v>1</v>
          </cell>
          <cell r="K675">
            <v>1.33</v>
          </cell>
          <cell r="L675">
            <v>1</v>
          </cell>
          <cell r="M675" t="str">
            <v>human</v>
          </cell>
          <cell r="N675" t="str">
            <v>ヒューマン</v>
          </cell>
          <cell r="O675">
            <v>0.94</v>
          </cell>
          <cell r="P675">
            <v>0.99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</row>
        <row r="676">
          <cell r="A676">
            <v>675</v>
          </cell>
          <cell r="B676" t="str">
            <v>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attack</v>
          </cell>
          <cell r="I676" t="str">
            <v>攻撃タイプ</v>
          </cell>
          <cell r="J676">
            <v>1</v>
          </cell>
          <cell r="K676">
            <v>1.33</v>
          </cell>
          <cell r="L676">
            <v>1</v>
          </cell>
          <cell r="M676" t="str">
            <v>human</v>
          </cell>
          <cell r="N676" t="str">
            <v>ヒューマン</v>
          </cell>
          <cell r="O676">
            <v>0.94</v>
          </cell>
          <cell r="P676">
            <v>0.99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human</v>
          </cell>
          <cell r="N677" t="str">
            <v>ヒューマン</v>
          </cell>
          <cell r="O677">
            <v>0.94</v>
          </cell>
          <cell r="P677">
            <v>0.99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</row>
        <row r="678">
          <cell r="A678">
            <v>677</v>
          </cell>
          <cell r="B678" t="str">
            <v>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human</v>
          </cell>
          <cell r="N678" t="str">
            <v>ヒューマン</v>
          </cell>
          <cell r="O678">
            <v>0.94</v>
          </cell>
          <cell r="P678">
            <v>0.99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</row>
        <row r="679">
          <cell r="A679">
            <v>678</v>
          </cell>
          <cell r="B679" t="str">
            <v>抜け</v>
          </cell>
          <cell r="C679">
            <v>4</v>
          </cell>
          <cell r="D679" t="str">
            <v>yellow</v>
          </cell>
          <cell r="E679">
            <v>0.98</v>
          </cell>
          <cell r="F679">
            <v>1.01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</row>
        <row r="680">
          <cell r="A680">
            <v>679</v>
          </cell>
          <cell r="B680" t="str">
            <v>抜け</v>
          </cell>
          <cell r="C680">
            <v>5</v>
          </cell>
          <cell r="D680" t="str">
            <v>yellow</v>
          </cell>
          <cell r="E680">
            <v>0.98</v>
          </cell>
          <cell r="F680">
            <v>1.01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</row>
        <row r="681">
          <cell r="A681">
            <v>680</v>
          </cell>
          <cell r="B681" t="str">
            <v>プレゼントケロケロ</v>
          </cell>
          <cell r="C681">
            <v>5</v>
          </cell>
          <cell r="D681" t="str">
            <v>yellow</v>
          </cell>
          <cell r="E681">
            <v>0.98</v>
          </cell>
          <cell r="F681">
            <v>1.01</v>
          </cell>
          <cell r="G681">
            <v>1</v>
          </cell>
          <cell r="H681" t="str">
            <v>attack</v>
          </cell>
          <cell r="I681" t="str">
            <v>攻撃タイプ</v>
          </cell>
          <cell r="J681">
            <v>1</v>
          </cell>
          <cell r="K681">
            <v>1.33</v>
          </cell>
          <cell r="L681">
            <v>1</v>
          </cell>
          <cell r="M681" t="str">
            <v>human</v>
          </cell>
          <cell r="N681" t="str">
            <v>ヒューマン</v>
          </cell>
          <cell r="O681">
            <v>0.94</v>
          </cell>
          <cell r="P681">
            <v>0.99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60</v>
          </cell>
        </row>
        <row r="682">
          <cell r="A682">
            <v>681</v>
          </cell>
          <cell r="B682" t="str">
            <v>プレゼントケロケロ</v>
          </cell>
          <cell r="C682">
            <v>6</v>
          </cell>
          <cell r="D682" t="str">
            <v>blue</v>
          </cell>
          <cell r="E682">
            <v>1</v>
          </cell>
          <cell r="F682">
            <v>0.98</v>
          </cell>
          <cell r="G682">
            <v>1</v>
          </cell>
          <cell r="H682" t="str">
            <v>attack</v>
          </cell>
          <cell r="I682" t="str">
            <v>攻撃タイプ</v>
          </cell>
          <cell r="J682">
            <v>1</v>
          </cell>
          <cell r="K682">
            <v>1.33</v>
          </cell>
          <cell r="L682">
            <v>1</v>
          </cell>
          <cell r="M682" t="str">
            <v>human</v>
          </cell>
          <cell r="N682" t="str">
            <v>ヒューマン</v>
          </cell>
          <cell r="O682">
            <v>0.94</v>
          </cell>
          <cell r="P682">
            <v>0.99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60</v>
          </cell>
        </row>
        <row r="683">
          <cell r="A683">
            <v>682</v>
          </cell>
          <cell r="B683" t="str">
            <v>プレゼントケロケロ</v>
          </cell>
          <cell r="C683">
            <v>5</v>
          </cell>
          <cell r="D683" t="str">
            <v>blue</v>
          </cell>
          <cell r="E683">
            <v>1</v>
          </cell>
          <cell r="F683">
            <v>0.98</v>
          </cell>
          <cell r="G683">
            <v>1</v>
          </cell>
          <cell r="H683" t="str">
            <v>attack</v>
          </cell>
          <cell r="I683" t="str">
            <v>攻撃タイプ</v>
          </cell>
          <cell r="J683">
            <v>1</v>
          </cell>
          <cell r="K683">
            <v>1.33</v>
          </cell>
          <cell r="L683">
            <v>1</v>
          </cell>
          <cell r="M683" t="str">
            <v>human</v>
          </cell>
          <cell r="N683" t="str">
            <v>ヒューマン</v>
          </cell>
          <cell r="O683">
            <v>0.94</v>
          </cell>
          <cell r="P683">
            <v>0.99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60</v>
          </cell>
        </row>
        <row r="684">
          <cell r="A684">
            <v>683</v>
          </cell>
          <cell r="B684" t="str">
            <v>プレゼントケロケロ</v>
          </cell>
          <cell r="C684">
            <v>5</v>
          </cell>
          <cell r="D684" t="str">
            <v>blue</v>
          </cell>
          <cell r="E684">
            <v>1</v>
          </cell>
          <cell r="F684">
            <v>0.98</v>
          </cell>
          <cell r="G684">
            <v>1</v>
          </cell>
          <cell r="H684" t="str">
            <v>attack</v>
          </cell>
          <cell r="I684" t="str">
            <v>攻撃タイプ</v>
          </cell>
          <cell r="J684">
            <v>1</v>
          </cell>
          <cell r="K684">
            <v>1.33</v>
          </cell>
          <cell r="L684">
            <v>1</v>
          </cell>
          <cell r="M684" t="str">
            <v>human</v>
          </cell>
          <cell r="N684" t="str">
            <v>ヒューマン</v>
          </cell>
          <cell r="O684">
            <v>0.94</v>
          </cell>
          <cell r="P684">
            <v>0.99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60</v>
          </cell>
        </row>
        <row r="685">
          <cell r="A685">
            <v>684</v>
          </cell>
          <cell r="B685" t="str">
            <v>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attack</v>
          </cell>
          <cell r="I685" t="str">
            <v>攻撃タイプ</v>
          </cell>
          <cell r="J685">
            <v>1</v>
          </cell>
          <cell r="K685">
            <v>1.33</v>
          </cell>
          <cell r="L685">
            <v>1</v>
          </cell>
          <cell r="M685" t="str">
            <v>human</v>
          </cell>
          <cell r="N685" t="str">
            <v>ヒューマン</v>
          </cell>
          <cell r="O685">
            <v>0.94</v>
          </cell>
          <cell r="P685">
            <v>0.99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60</v>
          </cell>
        </row>
        <row r="686">
          <cell r="A686">
            <v>685</v>
          </cell>
          <cell r="B686" t="str">
            <v>プレゼントケロケロ</v>
          </cell>
          <cell r="C686">
            <v>5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attack</v>
          </cell>
          <cell r="I686" t="str">
            <v>攻撃タイプ</v>
          </cell>
          <cell r="J686">
            <v>1</v>
          </cell>
          <cell r="K686">
            <v>1.33</v>
          </cell>
          <cell r="L686">
            <v>1</v>
          </cell>
          <cell r="M686" t="str">
            <v>human</v>
          </cell>
          <cell r="N686" t="str">
            <v>ヒューマン</v>
          </cell>
          <cell r="O686">
            <v>0.94</v>
          </cell>
          <cell r="P686">
            <v>0.99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60</v>
          </cell>
        </row>
        <row r="687">
          <cell r="A687">
            <v>686</v>
          </cell>
          <cell r="B687" t="str">
            <v>プレゼントケロケロ</v>
          </cell>
          <cell r="C687">
            <v>5</v>
          </cell>
          <cell r="D687" t="str">
            <v>blue</v>
          </cell>
          <cell r="E687">
            <v>1</v>
          </cell>
          <cell r="F687">
            <v>0.98</v>
          </cell>
          <cell r="G687">
            <v>1</v>
          </cell>
          <cell r="H687" t="str">
            <v>attack</v>
          </cell>
          <cell r="I687" t="str">
            <v>攻撃タイプ</v>
          </cell>
          <cell r="J687">
            <v>1</v>
          </cell>
          <cell r="K687">
            <v>1.33</v>
          </cell>
          <cell r="L687">
            <v>1</v>
          </cell>
          <cell r="M687" t="str">
            <v>human</v>
          </cell>
          <cell r="N687" t="str">
            <v>ヒューマン</v>
          </cell>
          <cell r="O687">
            <v>0.94</v>
          </cell>
          <cell r="P687">
            <v>0.99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60</v>
          </cell>
        </row>
        <row r="688">
          <cell r="A688">
            <v>687</v>
          </cell>
          <cell r="B688" t="str">
            <v>プレゼントケロケロ</v>
          </cell>
          <cell r="C688">
            <v>5</v>
          </cell>
          <cell r="D688" t="str">
            <v>blue</v>
          </cell>
          <cell r="E688">
            <v>1</v>
          </cell>
          <cell r="F688">
            <v>0.98</v>
          </cell>
          <cell r="G688">
            <v>1</v>
          </cell>
          <cell r="H688" t="str">
            <v>attack</v>
          </cell>
          <cell r="I688" t="str">
            <v>攻撃タイプ</v>
          </cell>
          <cell r="J688">
            <v>1</v>
          </cell>
          <cell r="K688">
            <v>1.33</v>
          </cell>
          <cell r="L688">
            <v>1</v>
          </cell>
          <cell r="M688" t="str">
            <v>human</v>
          </cell>
          <cell r="N688" t="str">
            <v>ヒューマン</v>
          </cell>
          <cell r="O688">
            <v>0.94</v>
          </cell>
          <cell r="P688">
            <v>0.99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60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</row>
        <row r="691">
          <cell r="A691">
            <v>690</v>
          </cell>
          <cell r="B691" t="str">
            <v>ユークリッド R6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</row>
        <row r="692">
          <cell r="A692">
            <v>691</v>
          </cell>
          <cell r="B692" t="str">
            <v>黒沼青葉</v>
          </cell>
          <cell r="C692">
            <v>5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attack</v>
          </cell>
          <cell r="I692" t="str">
            <v>攻撃タイプ</v>
          </cell>
          <cell r="J692">
            <v>1</v>
          </cell>
          <cell r="K692">
            <v>1.33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60</v>
          </cell>
        </row>
        <row r="693">
          <cell r="A693">
            <v>692</v>
          </cell>
          <cell r="B693" t="str">
            <v>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attack</v>
          </cell>
          <cell r="I693" t="str">
            <v>攻撃タイプ</v>
          </cell>
          <cell r="J693">
            <v>1</v>
          </cell>
          <cell r="K693">
            <v>1.33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</row>
        <row r="694">
          <cell r="A694">
            <v>693</v>
          </cell>
          <cell r="B694" t="str">
            <v>紀田正臣</v>
          </cell>
          <cell r="C694">
            <v>5</v>
          </cell>
          <cell r="D694" t="str">
            <v>blue</v>
          </cell>
          <cell r="E694">
            <v>1</v>
          </cell>
          <cell r="F694">
            <v>0.98</v>
          </cell>
          <cell r="G694">
            <v>1</v>
          </cell>
          <cell r="H694" t="str">
            <v>attack</v>
          </cell>
          <cell r="I694" t="str">
            <v>攻撃タイプ</v>
          </cell>
          <cell r="J694">
            <v>1</v>
          </cell>
          <cell r="K694">
            <v>1.33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60</v>
          </cell>
        </row>
        <row r="695">
          <cell r="A695">
            <v>694</v>
          </cell>
          <cell r="B695" t="str">
            <v>紀田正臣</v>
          </cell>
          <cell r="C695">
            <v>5</v>
          </cell>
          <cell r="D695" t="str">
            <v>blue</v>
          </cell>
          <cell r="E695">
            <v>1</v>
          </cell>
          <cell r="F695">
            <v>0.98</v>
          </cell>
          <cell r="G695">
            <v>1</v>
          </cell>
          <cell r="H695" t="str">
            <v>attack</v>
          </cell>
          <cell r="I695" t="str">
            <v>攻撃タイプ</v>
          </cell>
          <cell r="J695">
            <v>1</v>
          </cell>
          <cell r="K695">
            <v>1.33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</row>
        <row r="696">
          <cell r="A696">
            <v>695</v>
          </cell>
          <cell r="B696" t="str">
            <v>セルティ</v>
          </cell>
          <cell r="C696">
            <v>5</v>
          </cell>
          <cell r="D696" t="str">
            <v>blue</v>
          </cell>
          <cell r="E696">
            <v>1</v>
          </cell>
          <cell r="F696">
            <v>0.98</v>
          </cell>
          <cell r="G696">
            <v>1</v>
          </cell>
          <cell r="H696" t="str">
            <v>attack</v>
          </cell>
          <cell r="I696" t="str">
            <v>攻撃タイプ</v>
          </cell>
          <cell r="J696">
            <v>1</v>
          </cell>
          <cell r="K696">
            <v>1.33</v>
          </cell>
          <cell r="L696">
            <v>1</v>
          </cell>
          <cell r="M696" t="str">
            <v>human</v>
          </cell>
          <cell r="N696" t="str">
            <v>ヒューマン</v>
          </cell>
          <cell r="O696">
            <v>0.94</v>
          </cell>
          <cell r="P696">
            <v>0.99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60</v>
          </cell>
        </row>
        <row r="697">
          <cell r="A697">
            <v>696</v>
          </cell>
          <cell r="B697" t="str">
            <v>セルティ</v>
          </cell>
          <cell r="C697">
            <v>5</v>
          </cell>
          <cell r="D697" t="str">
            <v>blue</v>
          </cell>
          <cell r="E697">
            <v>1</v>
          </cell>
          <cell r="F697">
            <v>0.98</v>
          </cell>
          <cell r="G697">
            <v>1</v>
          </cell>
          <cell r="H697" t="str">
            <v>attack</v>
          </cell>
          <cell r="I697" t="str">
            <v>攻撃タイプ</v>
          </cell>
          <cell r="J697">
            <v>1</v>
          </cell>
          <cell r="K697">
            <v>1.33</v>
          </cell>
          <cell r="L697">
            <v>1</v>
          </cell>
          <cell r="M697" t="str">
            <v>human</v>
          </cell>
          <cell r="N697" t="str">
            <v>ヒューマン</v>
          </cell>
          <cell r="O697">
            <v>0.94</v>
          </cell>
          <cell r="P697">
            <v>0.99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60</v>
          </cell>
        </row>
        <row r="698">
          <cell r="A698">
            <v>697</v>
          </cell>
          <cell r="B698" t="str">
            <v>セルティ</v>
          </cell>
          <cell r="C698">
            <v>5</v>
          </cell>
          <cell r="D698" t="str">
            <v>blue</v>
          </cell>
          <cell r="E698">
            <v>1</v>
          </cell>
          <cell r="F698">
            <v>0.98</v>
          </cell>
          <cell r="G698">
            <v>1</v>
          </cell>
          <cell r="H698" t="str">
            <v>attack</v>
          </cell>
          <cell r="I698" t="str">
            <v>攻撃タイプ</v>
          </cell>
          <cell r="J698">
            <v>1</v>
          </cell>
          <cell r="K698">
            <v>1.33</v>
          </cell>
          <cell r="L698">
            <v>1</v>
          </cell>
          <cell r="M698" t="str">
            <v>human</v>
          </cell>
          <cell r="N698" t="str">
            <v>ヒューマン</v>
          </cell>
          <cell r="O698">
            <v>0.94</v>
          </cell>
          <cell r="P698">
            <v>0.99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blue</v>
          </cell>
          <cell r="E699">
            <v>1</v>
          </cell>
          <cell r="F699">
            <v>0.98</v>
          </cell>
          <cell r="G699">
            <v>1</v>
          </cell>
          <cell r="H699" t="str">
            <v>attack</v>
          </cell>
          <cell r="I699" t="str">
            <v>攻撃タイプ</v>
          </cell>
          <cell r="J699">
            <v>1</v>
          </cell>
          <cell r="K699">
            <v>1.33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</row>
        <row r="700">
          <cell r="A700">
            <v>699</v>
          </cell>
          <cell r="B700" t="str">
            <v>園原杏里</v>
          </cell>
          <cell r="C700">
            <v>5</v>
          </cell>
          <cell r="D700" t="str">
            <v>blue</v>
          </cell>
          <cell r="E700">
            <v>1</v>
          </cell>
          <cell r="F700">
            <v>0.98</v>
          </cell>
          <cell r="G700">
            <v>1</v>
          </cell>
          <cell r="H700" t="str">
            <v>attack</v>
          </cell>
          <cell r="I700" t="str">
            <v>攻撃タイプ</v>
          </cell>
          <cell r="J700">
            <v>1</v>
          </cell>
          <cell r="K700">
            <v>1.33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attack</v>
          </cell>
          <cell r="I701" t="str">
            <v>攻撃タイプ</v>
          </cell>
          <cell r="J701">
            <v>1</v>
          </cell>
          <cell r="K701">
            <v>1.33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</row>
        <row r="702">
          <cell r="A702">
            <v>701</v>
          </cell>
          <cell r="B702" t="str">
            <v>折原臨也</v>
          </cell>
          <cell r="C702">
            <v>5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attack</v>
          </cell>
          <cell r="I702" t="str">
            <v>攻撃タイプ</v>
          </cell>
          <cell r="J702">
            <v>1</v>
          </cell>
          <cell r="K702">
            <v>1.33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</row>
        <row r="703">
          <cell r="A703">
            <v>702</v>
          </cell>
          <cell r="B703" t="str">
            <v>サイモン</v>
          </cell>
          <cell r="C703">
            <v>5</v>
          </cell>
          <cell r="D703" t="str">
            <v>blue</v>
          </cell>
          <cell r="E703">
            <v>1</v>
          </cell>
          <cell r="F703">
            <v>0.98</v>
          </cell>
          <cell r="G703">
            <v>1</v>
          </cell>
          <cell r="H703" t="str">
            <v>attack</v>
          </cell>
          <cell r="I703" t="str">
            <v>攻撃タイプ</v>
          </cell>
          <cell r="J703">
            <v>1</v>
          </cell>
          <cell r="K703">
            <v>1.33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60</v>
          </cell>
        </row>
        <row r="704">
          <cell r="A704">
            <v>703</v>
          </cell>
          <cell r="B704" t="str">
            <v>サイモン</v>
          </cell>
          <cell r="C704">
            <v>5</v>
          </cell>
          <cell r="D704" t="str">
            <v>blue</v>
          </cell>
          <cell r="E704">
            <v>1</v>
          </cell>
          <cell r="F704">
            <v>0.98</v>
          </cell>
          <cell r="G704">
            <v>1</v>
          </cell>
          <cell r="H704" t="str">
            <v>attack</v>
          </cell>
          <cell r="I704" t="str">
            <v>攻撃タイプ</v>
          </cell>
          <cell r="J704">
            <v>1</v>
          </cell>
          <cell r="K704">
            <v>1.33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</row>
        <row r="705">
          <cell r="A705">
            <v>704</v>
          </cell>
          <cell r="B705" t="str">
            <v>贄川春奈</v>
          </cell>
          <cell r="C705">
            <v>5</v>
          </cell>
          <cell r="D705" t="str">
            <v>blue</v>
          </cell>
          <cell r="E705">
            <v>1</v>
          </cell>
          <cell r="F705">
            <v>0.98</v>
          </cell>
          <cell r="G705">
            <v>1</v>
          </cell>
          <cell r="H705" t="str">
            <v>attack</v>
          </cell>
          <cell r="I705" t="str">
            <v>攻撃タイプ</v>
          </cell>
          <cell r="J705">
            <v>1</v>
          </cell>
          <cell r="K705">
            <v>1.33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60</v>
          </cell>
        </row>
        <row r="706">
          <cell r="A706">
            <v>705</v>
          </cell>
          <cell r="B706" t="str">
            <v>贄川春奈</v>
          </cell>
          <cell r="C706">
            <v>5</v>
          </cell>
          <cell r="D706" t="str">
            <v>blue</v>
          </cell>
          <cell r="E706">
            <v>1</v>
          </cell>
          <cell r="F706">
            <v>0.98</v>
          </cell>
          <cell r="G706">
            <v>1</v>
          </cell>
          <cell r="H706" t="str">
            <v>attack</v>
          </cell>
          <cell r="I706" t="str">
            <v>攻撃タイプ</v>
          </cell>
          <cell r="J706">
            <v>1</v>
          </cell>
          <cell r="K706">
            <v>1.33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60</v>
          </cell>
        </row>
        <row r="707">
          <cell r="A707">
            <v>706</v>
          </cell>
          <cell r="B707" t="str">
            <v>岸谷新羅</v>
          </cell>
          <cell r="C707">
            <v>5</v>
          </cell>
          <cell r="D707" t="str">
            <v>blue</v>
          </cell>
          <cell r="E707">
            <v>1</v>
          </cell>
          <cell r="F707">
            <v>0.98</v>
          </cell>
          <cell r="G707">
            <v>1</v>
          </cell>
          <cell r="H707" t="str">
            <v>attack</v>
          </cell>
          <cell r="I707" t="str">
            <v>攻撃タイプ</v>
          </cell>
          <cell r="J707">
            <v>1</v>
          </cell>
          <cell r="K707">
            <v>1.33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60</v>
          </cell>
        </row>
        <row r="708">
          <cell r="A708">
            <v>707</v>
          </cell>
          <cell r="B708" t="str">
            <v>岸谷新羅</v>
          </cell>
          <cell r="C708">
            <v>5</v>
          </cell>
          <cell r="D708" t="str">
            <v>blue</v>
          </cell>
          <cell r="E708">
            <v>1</v>
          </cell>
          <cell r="F708">
            <v>0.98</v>
          </cell>
          <cell r="G708">
            <v>1</v>
          </cell>
          <cell r="H708" t="str">
            <v>attack</v>
          </cell>
          <cell r="I708" t="str">
            <v>攻撃タイプ</v>
          </cell>
          <cell r="J708">
            <v>1</v>
          </cell>
          <cell r="K708">
            <v>1.33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</row>
        <row r="709">
          <cell r="A709">
            <v>708</v>
          </cell>
          <cell r="B709" t="str">
            <v>門田京介</v>
          </cell>
          <cell r="C709">
            <v>5</v>
          </cell>
          <cell r="D709" t="str">
            <v>blue</v>
          </cell>
          <cell r="E709">
            <v>1</v>
          </cell>
          <cell r="F709">
            <v>0.98</v>
          </cell>
          <cell r="G709">
            <v>1</v>
          </cell>
          <cell r="H709" t="str">
            <v>attack</v>
          </cell>
          <cell r="I709" t="str">
            <v>攻撃タイプ</v>
          </cell>
          <cell r="J709">
            <v>1</v>
          </cell>
          <cell r="K709">
            <v>1.33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60</v>
          </cell>
        </row>
        <row r="710">
          <cell r="A710">
            <v>709</v>
          </cell>
          <cell r="B710" t="str">
            <v>門田京介</v>
          </cell>
          <cell r="C710">
            <v>5</v>
          </cell>
          <cell r="D710" t="str">
            <v>blue</v>
          </cell>
          <cell r="E710">
            <v>1</v>
          </cell>
          <cell r="F710">
            <v>0.98</v>
          </cell>
          <cell r="G710">
            <v>1</v>
          </cell>
          <cell r="H710" t="str">
            <v>attack</v>
          </cell>
          <cell r="I710" t="str">
            <v>攻撃タイプ</v>
          </cell>
          <cell r="J710">
            <v>1</v>
          </cell>
          <cell r="K710">
            <v>1.33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60</v>
          </cell>
        </row>
        <row r="711">
          <cell r="A711">
            <v>710</v>
          </cell>
          <cell r="B711" t="str">
            <v>田中トム</v>
          </cell>
          <cell r="C711">
            <v>5</v>
          </cell>
          <cell r="D711" t="str">
            <v>blue</v>
          </cell>
          <cell r="E711">
            <v>1</v>
          </cell>
          <cell r="F711">
            <v>0.98</v>
          </cell>
          <cell r="G711">
            <v>1</v>
          </cell>
          <cell r="H711" t="str">
            <v>attack</v>
          </cell>
          <cell r="I711" t="str">
            <v>攻撃タイプ</v>
          </cell>
          <cell r="J711">
            <v>1</v>
          </cell>
          <cell r="K711">
            <v>1.33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60</v>
          </cell>
        </row>
        <row r="712">
          <cell r="A712">
            <v>711</v>
          </cell>
          <cell r="B712" t="str">
            <v>田中トム</v>
          </cell>
          <cell r="C712">
            <v>5</v>
          </cell>
          <cell r="D712" t="str">
            <v>blue</v>
          </cell>
          <cell r="E712">
            <v>1</v>
          </cell>
          <cell r="F712">
            <v>0.98</v>
          </cell>
          <cell r="G712">
            <v>1</v>
          </cell>
          <cell r="H712" t="str">
            <v>attack</v>
          </cell>
          <cell r="I712" t="str">
            <v>攻撃タイプ</v>
          </cell>
          <cell r="J712">
            <v>1</v>
          </cell>
          <cell r="K712">
            <v>1.33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60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attack</v>
          </cell>
          <cell r="I713" t="str">
            <v>攻撃タイプ</v>
          </cell>
          <cell r="J713">
            <v>1</v>
          </cell>
          <cell r="K713">
            <v>1.33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</row>
        <row r="714">
          <cell r="A714">
            <v>713</v>
          </cell>
          <cell r="B714" t="str">
            <v>竜ヶ峰帝人</v>
          </cell>
          <cell r="C714">
            <v>5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attack</v>
          </cell>
          <cell r="I714" t="str">
            <v>攻撃タイプ</v>
          </cell>
          <cell r="J714">
            <v>1</v>
          </cell>
          <cell r="K714">
            <v>1.33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</row>
        <row r="715">
          <cell r="A715">
            <v>714</v>
          </cell>
          <cell r="B715" t="str">
            <v>粟楠茜</v>
          </cell>
          <cell r="C715">
            <v>5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attack</v>
          </cell>
          <cell r="I715" t="str">
            <v>攻撃タイプ</v>
          </cell>
          <cell r="J715">
            <v>1</v>
          </cell>
          <cell r="K715">
            <v>1.33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60</v>
          </cell>
        </row>
        <row r="716">
          <cell r="A716">
            <v>715</v>
          </cell>
          <cell r="B716" t="str">
            <v>粟楠茜</v>
          </cell>
          <cell r="C716">
            <v>5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attack</v>
          </cell>
          <cell r="I716" t="str">
            <v>攻撃タイプ</v>
          </cell>
          <cell r="J716">
            <v>1</v>
          </cell>
          <cell r="K716">
            <v>1.33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60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blue</v>
          </cell>
          <cell r="E717">
            <v>1</v>
          </cell>
          <cell r="F717">
            <v>0.98</v>
          </cell>
          <cell r="G717">
            <v>1</v>
          </cell>
          <cell r="H717" t="str">
            <v>attack</v>
          </cell>
          <cell r="I717" t="str">
            <v>攻撃タイプ</v>
          </cell>
          <cell r="J717">
            <v>1</v>
          </cell>
          <cell r="K717">
            <v>1.33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</row>
        <row r="718">
          <cell r="A718">
            <v>717</v>
          </cell>
          <cell r="B718" t="str">
            <v>平和島静雄</v>
          </cell>
          <cell r="C718">
            <v>5</v>
          </cell>
          <cell r="D718" t="str">
            <v>blue</v>
          </cell>
          <cell r="E718">
            <v>1</v>
          </cell>
          <cell r="F718">
            <v>0.98</v>
          </cell>
          <cell r="G718">
            <v>1</v>
          </cell>
          <cell r="H718" t="str">
            <v>attack</v>
          </cell>
          <cell r="I718" t="str">
            <v>攻撃タイプ</v>
          </cell>
          <cell r="J718">
            <v>1</v>
          </cell>
          <cell r="K718">
            <v>1.33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</row>
        <row r="719">
          <cell r="A719">
            <v>718</v>
          </cell>
          <cell r="B719" t="str">
            <v>ヴァローナ</v>
          </cell>
          <cell r="C719">
            <v>5</v>
          </cell>
          <cell r="D719" t="str">
            <v>blue</v>
          </cell>
          <cell r="E719">
            <v>1</v>
          </cell>
          <cell r="F719">
            <v>0.98</v>
          </cell>
          <cell r="G719">
            <v>1</v>
          </cell>
          <cell r="H719" t="str">
            <v>attack</v>
          </cell>
          <cell r="I719" t="str">
            <v>攻撃タイプ</v>
          </cell>
          <cell r="J719">
            <v>1</v>
          </cell>
          <cell r="K719">
            <v>1.33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60</v>
          </cell>
        </row>
        <row r="720">
          <cell r="A720">
            <v>719</v>
          </cell>
          <cell r="B720" t="str">
            <v>ヴァローナ</v>
          </cell>
          <cell r="C720">
            <v>5</v>
          </cell>
          <cell r="D720" t="str">
            <v>blue</v>
          </cell>
          <cell r="E720">
            <v>1</v>
          </cell>
          <cell r="F720">
            <v>0.98</v>
          </cell>
          <cell r="G720">
            <v>1</v>
          </cell>
          <cell r="H720" t="str">
            <v>attack</v>
          </cell>
          <cell r="I720" t="str">
            <v>攻撃タイプ</v>
          </cell>
          <cell r="J720">
            <v>1</v>
          </cell>
          <cell r="K720">
            <v>1.33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</row>
        <row r="721">
          <cell r="A721">
            <v>720</v>
          </cell>
          <cell r="B721" t="str">
            <v>直江兼続</v>
          </cell>
          <cell r="C721">
            <v>5</v>
          </cell>
          <cell r="D721" t="str">
            <v>blue</v>
          </cell>
          <cell r="E721">
            <v>1</v>
          </cell>
          <cell r="F721">
            <v>0.98</v>
          </cell>
          <cell r="G721">
            <v>1</v>
          </cell>
          <cell r="H721" t="str">
            <v>attack</v>
          </cell>
          <cell r="I721" t="str">
            <v>攻撃タイプ</v>
          </cell>
          <cell r="J721">
            <v>1</v>
          </cell>
          <cell r="K721">
            <v>1.33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60</v>
          </cell>
        </row>
        <row r="722">
          <cell r="A722">
            <v>721</v>
          </cell>
          <cell r="B722" t="str">
            <v>直江兼続</v>
          </cell>
          <cell r="C722">
            <v>5</v>
          </cell>
          <cell r="D722" t="str">
            <v>blue</v>
          </cell>
          <cell r="E722">
            <v>1</v>
          </cell>
          <cell r="F722">
            <v>0.98</v>
          </cell>
          <cell r="G722">
            <v>1</v>
          </cell>
          <cell r="H722" t="str">
            <v>attack</v>
          </cell>
          <cell r="I722" t="str">
            <v>攻撃タイプ</v>
          </cell>
          <cell r="J722">
            <v>1</v>
          </cell>
          <cell r="K722">
            <v>1.33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</row>
        <row r="723">
          <cell r="A723">
            <v>722</v>
          </cell>
          <cell r="B723" t="str">
            <v>蘭丸</v>
          </cell>
          <cell r="C723">
            <v>5</v>
          </cell>
          <cell r="D723" t="str">
            <v>blue</v>
          </cell>
          <cell r="E723">
            <v>1</v>
          </cell>
          <cell r="F723">
            <v>0.98</v>
          </cell>
          <cell r="G723">
            <v>1</v>
          </cell>
          <cell r="H723" t="str">
            <v>attack</v>
          </cell>
          <cell r="I723" t="str">
            <v>攻撃タイプ</v>
          </cell>
          <cell r="J723">
            <v>1</v>
          </cell>
          <cell r="K723">
            <v>1.33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60</v>
          </cell>
        </row>
        <row r="724">
          <cell r="A724">
            <v>723</v>
          </cell>
          <cell r="B724" t="str">
            <v>蘭丸</v>
          </cell>
          <cell r="C724">
            <v>5</v>
          </cell>
          <cell r="D724" t="str">
            <v>blue</v>
          </cell>
          <cell r="E724">
            <v>1</v>
          </cell>
          <cell r="F724">
            <v>0.98</v>
          </cell>
          <cell r="G724">
            <v>1</v>
          </cell>
          <cell r="H724" t="str">
            <v>attack</v>
          </cell>
          <cell r="I724" t="str">
            <v>攻撃タイプ</v>
          </cell>
          <cell r="J724">
            <v>1</v>
          </cell>
          <cell r="K724">
            <v>1.33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</row>
        <row r="725">
          <cell r="A725">
            <v>724</v>
          </cell>
          <cell r="B725" t="str">
            <v>上杉謙信</v>
          </cell>
          <cell r="C725">
            <v>5</v>
          </cell>
          <cell r="D725" t="str">
            <v>blue</v>
          </cell>
          <cell r="E725">
            <v>1</v>
          </cell>
          <cell r="F725">
            <v>0.98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</row>
        <row r="726">
          <cell r="A726">
            <v>725</v>
          </cell>
          <cell r="B726" t="str">
            <v>上杉謙信</v>
          </cell>
          <cell r="C726">
            <v>5</v>
          </cell>
          <cell r="D726" t="str">
            <v>blue</v>
          </cell>
          <cell r="E726">
            <v>1</v>
          </cell>
          <cell r="F726">
            <v>0.98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blue</v>
          </cell>
          <cell r="E727">
            <v>1</v>
          </cell>
          <cell r="F727">
            <v>0.98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</row>
        <row r="728">
          <cell r="A728">
            <v>727</v>
          </cell>
          <cell r="B728" t="str">
            <v>織田信長</v>
          </cell>
          <cell r="C728">
            <v>5</v>
          </cell>
          <cell r="D728" t="str">
            <v>blue</v>
          </cell>
          <cell r="E728">
            <v>1</v>
          </cell>
          <cell r="F728">
            <v>0.98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</row>
        <row r="729">
          <cell r="A729">
            <v>728</v>
          </cell>
          <cell r="B729" t="str">
            <v>井伊直虎</v>
          </cell>
          <cell r="C729">
            <v>5</v>
          </cell>
          <cell r="D729" t="str">
            <v>blue</v>
          </cell>
          <cell r="E729">
            <v>1</v>
          </cell>
          <cell r="F729">
            <v>0.98</v>
          </cell>
          <cell r="G729">
            <v>1</v>
          </cell>
          <cell r="H729" t="str">
            <v>attack</v>
          </cell>
          <cell r="I729" t="str">
            <v>攻撃タイプ</v>
          </cell>
          <cell r="J729">
            <v>1</v>
          </cell>
          <cell r="K729">
            <v>1.33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60</v>
          </cell>
        </row>
        <row r="730">
          <cell r="A730">
            <v>729</v>
          </cell>
          <cell r="B730" t="str">
            <v>井伊直虎</v>
          </cell>
          <cell r="C730">
            <v>5</v>
          </cell>
          <cell r="D730" t="str">
            <v>blue</v>
          </cell>
          <cell r="E730">
            <v>1</v>
          </cell>
          <cell r="F730">
            <v>0.98</v>
          </cell>
          <cell r="G730">
            <v>1</v>
          </cell>
          <cell r="H730" t="str">
            <v>attack</v>
          </cell>
          <cell r="I730" t="str">
            <v>攻撃タイプ</v>
          </cell>
          <cell r="J730">
            <v>1</v>
          </cell>
          <cell r="K730">
            <v>1.33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</row>
        <row r="731">
          <cell r="A731">
            <v>730</v>
          </cell>
          <cell r="B731" t="str">
            <v>ガラシャ</v>
          </cell>
          <cell r="C731">
            <v>5</v>
          </cell>
          <cell r="D731" t="str">
            <v>blue</v>
          </cell>
          <cell r="E731">
            <v>1</v>
          </cell>
          <cell r="F731">
            <v>0.98</v>
          </cell>
          <cell r="G731">
            <v>1</v>
          </cell>
          <cell r="H731" t="str">
            <v>attack</v>
          </cell>
          <cell r="I731" t="str">
            <v>攻撃タイプ</v>
          </cell>
          <cell r="J731">
            <v>1</v>
          </cell>
          <cell r="K731">
            <v>1.33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60</v>
          </cell>
        </row>
        <row r="732">
          <cell r="A732">
            <v>731</v>
          </cell>
          <cell r="B732" t="str">
            <v>ガラシャ</v>
          </cell>
          <cell r="C732">
            <v>5</v>
          </cell>
          <cell r="D732" t="str">
            <v>blue</v>
          </cell>
          <cell r="E732">
            <v>1</v>
          </cell>
          <cell r="F732">
            <v>0.98</v>
          </cell>
          <cell r="G732">
            <v>1</v>
          </cell>
          <cell r="H732" t="str">
            <v>attack</v>
          </cell>
          <cell r="I732" t="str">
            <v>攻撃タイプ</v>
          </cell>
          <cell r="J732">
            <v>1</v>
          </cell>
          <cell r="K732">
            <v>1.33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</row>
        <row r="733">
          <cell r="A733">
            <v>732</v>
          </cell>
          <cell r="B733" t="str">
            <v>ガラシャ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</row>
        <row r="734">
          <cell r="A734">
            <v>733</v>
          </cell>
          <cell r="B734" t="str">
            <v>伊達政宗</v>
          </cell>
          <cell r="C734">
            <v>5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blue</v>
          </cell>
          <cell r="E735">
            <v>1</v>
          </cell>
          <cell r="F735">
            <v>0.98</v>
          </cell>
          <cell r="G735">
            <v>1</v>
          </cell>
          <cell r="H735" t="str">
            <v>attack</v>
          </cell>
          <cell r="I735" t="str">
            <v>攻撃タイプ</v>
          </cell>
          <cell r="J735">
            <v>1</v>
          </cell>
          <cell r="K735">
            <v>1.33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</row>
        <row r="736">
          <cell r="A736">
            <v>735</v>
          </cell>
          <cell r="B736" t="str">
            <v>信玄</v>
          </cell>
          <cell r="C736">
            <v>5</v>
          </cell>
          <cell r="D736" t="str">
            <v>blue</v>
          </cell>
          <cell r="E736">
            <v>1</v>
          </cell>
          <cell r="F736">
            <v>0.98</v>
          </cell>
          <cell r="G736">
            <v>1</v>
          </cell>
          <cell r="H736" t="str">
            <v>attack</v>
          </cell>
          <cell r="I736" t="str">
            <v>攻撃タイプ</v>
          </cell>
          <cell r="J736">
            <v>1</v>
          </cell>
          <cell r="K736">
            <v>1.33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</row>
        <row r="737">
          <cell r="A737">
            <v>736</v>
          </cell>
          <cell r="B737" t="str">
            <v>信玄</v>
          </cell>
          <cell r="C737">
            <v>5</v>
          </cell>
          <cell r="D737" t="str">
            <v>blue</v>
          </cell>
          <cell r="E737">
            <v>1</v>
          </cell>
          <cell r="F737">
            <v>0.98</v>
          </cell>
          <cell r="G737">
            <v>1</v>
          </cell>
          <cell r="H737" t="str">
            <v>attack</v>
          </cell>
          <cell r="I737" t="str">
            <v>攻撃タイプ</v>
          </cell>
          <cell r="J737">
            <v>1</v>
          </cell>
          <cell r="K737">
            <v>1.33</v>
          </cell>
          <cell r="L737">
            <v>1</v>
          </cell>
          <cell r="M737" t="str">
            <v>human</v>
          </cell>
          <cell r="N737" t="str">
            <v>ヒューマン</v>
          </cell>
          <cell r="O737">
            <v>0.94</v>
          </cell>
          <cell r="P737">
            <v>0.99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60</v>
          </cell>
        </row>
        <row r="738">
          <cell r="A738">
            <v>737</v>
          </cell>
          <cell r="B738" t="str">
            <v>オルトロス</v>
          </cell>
          <cell r="C738">
            <v>5</v>
          </cell>
          <cell r="D738" t="str">
            <v>blue</v>
          </cell>
          <cell r="E738">
            <v>1</v>
          </cell>
          <cell r="F738">
            <v>0.98</v>
          </cell>
          <cell r="G738">
            <v>1</v>
          </cell>
          <cell r="H738" t="str">
            <v>attack</v>
          </cell>
          <cell r="I738" t="str">
            <v>攻撃タイプ</v>
          </cell>
          <cell r="J738">
            <v>1</v>
          </cell>
          <cell r="K738">
            <v>1.33</v>
          </cell>
          <cell r="L738">
            <v>1</v>
          </cell>
          <cell r="M738" t="str">
            <v>human</v>
          </cell>
          <cell r="N738" t="str">
            <v>ヒューマン</v>
          </cell>
          <cell r="O738">
            <v>0.94</v>
          </cell>
          <cell r="P738">
            <v>0.99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</row>
        <row r="739">
          <cell r="A739">
            <v>738</v>
          </cell>
          <cell r="B739" t="str">
            <v>オルトロス</v>
          </cell>
          <cell r="C739">
            <v>5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attack</v>
          </cell>
          <cell r="I739" t="str">
            <v>攻撃タイプ</v>
          </cell>
          <cell r="J739">
            <v>1</v>
          </cell>
          <cell r="K739">
            <v>1.33</v>
          </cell>
          <cell r="L739">
            <v>1</v>
          </cell>
          <cell r="M739" t="str">
            <v>human</v>
          </cell>
          <cell r="N739" t="str">
            <v>ヒューマン</v>
          </cell>
          <cell r="O739">
            <v>0.94</v>
          </cell>
          <cell r="P739">
            <v>0.99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60</v>
          </cell>
        </row>
        <row r="740">
          <cell r="A740">
            <v>739</v>
          </cell>
          <cell r="B740" t="str">
            <v>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attack</v>
          </cell>
          <cell r="I740" t="str">
            <v>攻撃タイプ</v>
          </cell>
          <cell r="J740">
            <v>1</v>
          </cell>
          <cell r="K740">
            <v>1.33</v>
          </cell>
          <cell r="L740">
            <v>1</v>
          </cell>
          <cell r="M740" t="str">
            <v>human</v>
          </cell>
          <cell r="N740" t="str">
            <v>ヒューマン</v>
          </cell>
          <cell r="O740">
            <v>0.94</v>
          </cell>
          <cell r="P740">
            <v>0.99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</row>
        <row r="741">
          <cell r="A741">
            <v>740</v>
          </cell>
          <cell r="B741" t="str">
            <v>ラドン</v>
          </cell>
          <cell r="C741">
            <v>5</v>
          </cell>
          <cell r="D741" t="str">
            <v>blue</v>
          </cell>
          <cell r="E741">
            <v>1</v>
          </cell>
          <cell r="F741">
            <v>0.98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human</v>
          </cell>
          <cell r="N741" t="str">
            <v>ヒューマン</v>
          </cell>
          <cell r="O741">
            <v>0.94</v>
          </cell>
          <cell r="P741">
            <v>0.99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</row>
        <row r="742">
          <cell r="A742">
            <v>741</v>
          </cell>
          <cell r="B742" t="str">
            <v>テュポーン</v>
          </cell>
          <cell r="C742">
            <v>5</v>
          </cell>
          <cell r="D742" t="str">
            <v>blue</v>
          </cell>
          <cell r="E742">
            <v>1</v>
          </cell>
          <cell r="F742">
            <v>0.98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human</v>
          </cell>
          <cell r="N742" t="str">
            <v>ヒューマン</v>
          </cell>
          <cell r="O742">
            <v>0.94</v>
          </cell>
          <cell r="P742">
            <v>0.99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</row>
        <row r="743">
          <cell r="A743">
            <v>742</v>
          </cell>
          <cell r="B743" t="str">
            <v>テュポーン</v>
          </cell>
          <cell r="C743">
            <v>5</v>
          </cell>
          <cell r="D743" t="str">
            <v>blue</v>
          </cell>
          <cell r="E743">
            <v>1</v>
          </cell>
          <cell r="F743">
            <v>0.98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human</v>
          </cell>
          <cell r="N743" t="str">
            <v>ヒューマン</v>
          </cell>
          <cell r="O743">
            <v>0.94</v>
          </cell>
          <cell r="P743">
            <v>0.99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</row>
        <row r="744">
          <cell r="A744">
            <v>743</v>
          </cell>
          <cell r="B744" t="str">
            <v>パーン</v>
          </cell>
          <cell r="C744">
            <v>5</v>
          </cell>
          <cell r="D744" t="str">
            <v>blue</v>
          </cell>
          <cell r="E744">
            <v>1</v>
          </cell>
          <cell r="F744">
            <v>0.98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human</v>
          </cell>
          <cell r="N744" t="str">
            <v>ヒューマン</v>
          </cell>
          <cell r="O744">
            <v>0.94</v>
          </cell>
          <cell r="P744">
            <v>0.99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</row>
        <row r="745">
          <cell r="A745">
            <v>744</v>
          </cell>
          <cell r="B745" t="str">
            <v>パーン</v>
          </cell>
          <cell r="C745">
            <v>5</v>
          </cell>
          <cell r="D745" t="str">
            <v>blue</v>
          </cell>
          <cell r="E745">
            <v>1</v>
          </cell>
          <cell r="F745">
            <v>0.98</v>
          </cell>
          <cell r="G745">
            <v>1</v>
          </cell>
          <cell r="H745" t="str">
            <v>attack</v>
          </cell>
          <cell r="I745" t="str">
            <v>攻撃タイプ</v>
          </cell>
          <cell r="J745">
            <v>1</v>
          </cell>
          <cell r="K745">
            <v>1.33</v>
          </cell>
          <cell r="L745">
            <v>1</v>
          </cell>
          <cell r="M745" t="str">
            <v>human</v>
          </cell>
          <cell r="N745" t="str">
            <v>ヒューマン</v>
          </cell>
          <cell r="O745">
            <v>0.94</v>
          </cell>
          <cell r="P745">
            <v>0.99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</row>
        <row r="746">
          <cell r="A746">
            <v>745</v>
          </cell>
          <cell r="B746" t="str">
            <v>パーン</v>
          </cell>
          <cell r="C746">
            <v>5</v>
          </cell>
          <cell r="D746" t="str">
            <v>blue</v>
          </cell>
          <cell r="E746">
            <v>1</v>
          </cell>
          <cell r="F746">
            <v>0.98</v>
          </cell>
          <cell r="G746">
            <v>1</v>
          </cell>
          <cell r="H746" t="str">
            <v>attack</v>
          </cell>
          <cell r="I746" t="str">
            <v>攻撃タイプ</v>
          </cell>
          <cell r="J746">
            <v>1</v>
          </cell>
          <cell r="K746">
            <v>1.33</v>
          </cell>
          <cell r="L746">
            <v>1</v>
          </cell>
          <cell r="M746" t="str">
            <v>human</v>
          </cell>
          <cell r="N746" t="str">
            <v>ヒューマン</v>
          </cell>
          <cell r="O746">
            <v>0.94</v>
          </cell>
          <cell r="P746">
            <v>0.99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</row>
        <row r="747">
          <cell r="A747">
            <v>746</v>
          </cell>
          <cell r="B747" t="str">
            <v>ヘルメス</v>
          </cell>
          <cell r="C747">
            <v>5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attack</v>
          </cell>
          <cell r="I747" t="str">
            <v>攻撃タイプ</v>
          </cell>
          <cell r="J747">
            <v>1</v>
          </cell>
          <cell r="K747">
            <v>1.33</v>
          </cell>
          <cell r="L747">
            <v>1</v>
          </cell>
          <cell r="M747" t="str">
            <v>human</v>
          </cell>
          <cell r="N747" t="str">
            <v>ヒューマン</v>
          </cell>
          <cell r="O747">
            <v>0.94</v>
          </cell>
          <cell r="P747">
            <v>0.99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60</v>
          </cell>
        </row>
        <row r="748">
          <cell r="A748">
            <v>747</v>
          </cell>
          <cell r="B748" t="str">
            <v>ヘルメス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attack</v>
          </cell>
          <cell r="I748" t="str">
            <v>攻撃タイプ</v>
          </cell>
          <cell r="J748">
            <v>1</v>
          </cell>
          <cell r="K748">
            <v>1.33</v>
          </cell>
          <cell r="L748">
            <v>1</v>
          </cell>
          <cell r="M748" t="str">
            <v>human</v>
          </cell>
          <cell r="N748" t="str">
            <v>ヒューマン</v>
          </cell>
          <cell r="O748">
            <v>0.94</v>
          </cell>
          <cell r="P748">
            <v>0.99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</row>
        <row r="749">
          <cell r="A749">
            <v>748</v>
          </cell>
          <cell r="B749" t="str">
            <v>ノルン</v>
          </cell>
          <cell r="C749">
            <v>5</v>
          </cell>
          <cell r="D749" t="str">
            <v>blue</v>
          </cell>
          <cell r="E749">
            <v>1</v>
          </cell>
          <cell r="F749">
            <v>0.98</v>
          </cell>
          <cell r="G749">
            <v>1</v>
          </cell>
          <cell r="H749" t="str">
            <v>attack</v>
          </cell>
          <cell r="I749" t="str">
            <v>攻撃タイプ</v>
          </cell>
          <cell r="J749">
            <v>1</v>
          </cell>
          <cell r="K749">
            <v>1.33</v>
          </cell>
          <cell r="L749">
            <v>1</v>
          </cell>
          <cell r="M749" t="str">
            <v>human</v>
          </cell>
          <cell r="N749" t="str">
            <v>ヒューマン</v>
          </cell>
          <cell r="O749">
            <v>0.94</v>
          </cell>
          <cell r="P749">
            <v>0.99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60</v>
          </cell>
        </row>
        <row r="750">
          <cell r="A750">
            <v>749</v>
          </cell>
          <cell r="B750" t="str">
            <v>ノルン</v>
          </cell>
          <cell r="C750">
            <v>5</v>
          </cell>
          <cell r="D750" t="str">
            <v>blue</v>
          </cell>
          <cell r="E750">
            <v>1</v>
          </cell>
          <cell r="F750">
            <v>0.98</v>
          </cell>
          <cell r="G750">
            <v>1</v>
          </cell>
          <cell r="H750" t="str">
            <v>attack</v>
          </cell>
          <cell r="I750" t="str">
            <v>攻撃タイプ</v>
          </cell>
          <cell r="J750">
            <v>1</v>
          </cell>
          <cell r="K750">
            <v>1.33</v>
          </cell>
          <cell r="L750">
            <v>1</v>
          </cell>
          <cell r="M750" t="str">
            <v>human</v>
          </cell>
          <cell r="N750" t="str">
            <v>ヒューマン</v>
          </cell>
          <cell r="O750">
            <v>0.94</v>
          </cell>
          <cell r="P750">
            <v>0.99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</row>
        <row r="751">
          <cell r="A751">
            <v>750</v>
          </cell>
          <cell r="B751" t="str">
            <v>アポロン</v>
          </cell>
          <cell r="C751">
            <v>5</v>
          </cell>
          <cell r="D751" t="str">
            <v>blue</v>
          </cell>
          <cell r="E751">
            <v>1</v>
          </cell>
          <cell r="F751">
            <v>0.98</v>
          </cell>
          <cell r="G751">
            <v>1</v>
          </cell>
          <cell r="H751" t="str">
            <v>attack</v>
          </cell>
          <cell r="I751" t="str">
            <v>攻撃タイプ</v>
          </cell>
          <cell r="J751">
            <v>1</v>
          </cell>
          <cell r="K751">
            <v>1.33</v>
          </cell>
          <cell r="L751">
            <v>1</v>
          </cell>
          <cell r="M751" t="str">
            <v>human</v>
          </cell>
          <cell r="N751" t="str">
            <v>ヒューマン</v>
          </cell>
          <cell r="O751">
            <v>0.94</v>
          </cell>
          <cell r="P751">
            <v>0.99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</row>
        <row r="752">
          <cell r="A752">
            <v>751</v>
          </cell>
          <cell r="B752" t="str">
            <v>アポロン</v>
          </cell>
          <cell r="C752">
            <v>5</v>
          </cell>
          <cell r="D752" t="str">
            <v>blue</v>
          </cell>
          <cell r="E752">
            <v>1</v>
          </cell>
          <cell r="F752">
            <v>0.98</v>
          </cell>
          <cell r="G752">
            <v>1</v>
          </cell>
          <cell r="H752" t="str">
            <v>attack</v>
          </cell>
          <cell r="I752" t="str">
            <v>攻撃タイプ</v>
          </cell>
          <cell r="J752">
            <v>1</v>
          </cell>
          <cell r="K752">
            <v>1.33</v>
          </cell>
          <cell r="L752">
            <v>1</v>
          </cell>
          <cell r="M752" t="str">
            <v>human</v>
          </cell>
          <cell r="N752" t="str">
            <v>ヒューマン</v>
          </cell>
          <cell r="O752">
            <v>0.94</v>
          </cell>
          <cell r="P752">
            <v>0.99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blue</v>
          </cell>
          <cell r="E753">
            <v>1</v>
          </cell>
          <cell r="F753">
            <v>0.98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human</v>
          </cell>
          <cell r="N753" t="str">
            <v>ヒューマン</v>
          </cell>
          <cell r="O753">
            <v>0.94</v>
          </cell>
          <cell r="P753">
            <v>0.99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</row>
        <row r="754">
          <cell r="A754">
            <v>753</v>
          </cell>
          <cell r="B754" t="str">
            <v>ムラマサ</v>
          </cell>
          <cell r="C754">
            <v>5</v>
          </cell>
          <cell r="D754" t="str">
            <v>blue</v>
          </cell>
          <cell r="E754">
            <v>1</v>
          </cell>
          <cell r="F754">
            <v>0.98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human</v>
          </cell>
          <cell r="N754" t="str">
            <v>ヒューマン</v>
          </cell>
          <cell r="O754">
            <v>0.94</v>
          </cell>
          <cell r="P754">
            <v>0.99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blue</v>
          </cell>
          <cell r="E755">
            <v>1</v>
          </cell>
          <cell r="F755">
            <v>0.98</v>
          </cell>
          <cell r="G755">
            <v>1</v>
          </cell>
          <cell r="H755" t="str">
            <v>attack</v>
          </cell>
          <cell r="I755" t="str">
            <v>攻撃タイプ</v>
          </cell>
          <cell r="J755">
            <v>1</v>
          </cell>
          <cell r="K755">
            <v>1.33</v>
          </cell>
          <cell r="L755">
            <v>1</v>
          </cell>
          <cell r="M755" t="str">
            <v>human</v>
          </cell>
          <cell r="N755" t="str">
            <v>ヒューマン</v>
          </cell>
          <cell r="O755">
            <v>0.94</v>
          </cell>
          <cell r="P755">
            <v>0.99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</row>
        <row r="756">
          <cell r="A756">
            <v>755</v>
          </cell>
          <cell r="B756" t="str">
            <v>マサムネ</v>
          </cell>
          <cell r="C756">
            <v>5</v>
          </cell>
          <cell r="D756" t="str">
            <v>blue</v>
          </cell>
          <cell r="E756">
            <v>1</v>
          </cell>
          <cell r="F756">
            <v>0.98</v>
          </cell>
          <cell r="G756">
            <v>1</v>
          </cell>
          <cell r="H756" t="str">
            <v>attack</v>
          </cell>
          <cell r="I756" t="str">
            <v>攻撃タイプ</v>
          </cell>
          <cell r="J756">
            <v>1</v>
          </cell>
          <cell r="K756">
            <v>1.33</v>
          </cell>
          <cell r="L756">
            <v>1</v>
          </cell>
          <cell r="M756" t="str">
            <v>human</v>
          </cell>
          <cell r="N756" t="str">
            <v>ヒューマン</v>
          </cell>
          <cell r="O756">
            <v>0.94</v>
          </cell>
          <cell r="P756">
            <v>0.99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attack</v>
          </cell>
          <cell r="I757" t="str">
            <v>攻撃タイプ</v>
          </cell>
          <cell r="J757">
            <v>1</v>
          </cell>
          <cell r="K757">
            <v>1.33</v>
          </cell>
          <cell r="L757">
            <v>1</v>
          </cell>
          <cell r="M757" t="str">
            <v>human</v>
          </cell>
          <cell r="N757" t="str">
            <v>ヒューマン</v>
          </cell>
          <cell r="O757">
            <v>0.94</v>
          </cell>
          <cell r="P757">
            <v>0.99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</row>
        <row r="758">
          <cell r="A758">
            <v>757</v>
          </cell>
          <cell r="B758" t="str">
            <v>アメノムラクモ</v>
          </cell>
          <cell r="C758">
            <v>5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attack</v>
          </cell>
          <cell r="I758" t="str">
            <v>攻撃タイプ</v>
          </cell>
          <cell r="J758">
            <v>1</v>
          </cell>
          <cell r="K758">
            <v>1.33</v>
          </cell>
          <cell r="L758">
            <v>1</v>
          </cell>
          <cell r="M758" t="str">
            <v>human</v>
          </cell>
          <cell r="N758" t="str">
            <v>ヒューマン</v>
          </cell>
          <cell r="O758">
            <v>0.94</v>
          </cell>
          <cell r="P758">
            <v>0.99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blue</v>
          </cell>
          <cell r="E759">
            <v>1</v>
          </cell>
          <cell r="F759">
            <v>0.98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human</v>
          </cell>
          <cell r="N759" t="str">
            <v>ヒューマン</v>
          </cell>
          <cell r="O759">
            <v>0.94</v>
          </cell>
          <cell r="P759">
            <v>0.99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</row>
        <row r="760">
          <cell r="A760">
            <v>759</v>
          </cell>
          <cell r="B760" t="str">
            <v>雷切</v>
          </cell>
          <cell r="C760">
            <v>5</v>
          </cell>
          <cell r="D760" t="str">
            <v>blue</v>
          </cell>
          <cell r="E760">
            <v>1</v>
          </cell>
          <cell r="F760">
            <v>0.98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human</v>
          </cell>
          <cell r="N760" t="str">
            <v>ヒューマン</v>
          </cell>
          <cell r="O760">
            <v>0.94</v>
          </cell>
          <cell r="P760">
            <v>0.99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</row>
        <row r="761">
          <cell r="A761">
            <v>760</v>
          </cell>
          <cell r="B761" t="str">
            <v>クロネッカー</v>
          </cell>
          <cell r="C761">
            <v>5</v>
          </cell>
          <cell r="D761" t="str">
            <v>blue</v>
          </cell>
          <cell r="E761">
            <v>1</v>
          </cell>
          <cell r="F761">
            <v>0.98</v>
          </cell>
          <cell r="G761">
            <v>1</v>
          </cell>
          <cell r="H761" t="str">
            <v>attack</v>
          </cell>
          <cell r="I761" t="str">
            <v>攻撃タイプ</v>
          </cell>
          <cell r="J761">
            <v>1</v>
          </cell>
          <cell r="K761">
            <v>1.33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</row>
        <row r="762">
          <cell r="A762">
            <v>761</v>
          </cell>
          <cell r="B762" t="str">
            <v>クロネッカー</v>
          </cell>
          <cell r="C762">
            <v>5</v>
          </cell>
          <cell r="D762" t="str">
            <v>blue</v>
          </cell>
          <cell r="E762">
            <v>1</v>
          </cell>
          <cell r="F762">
            <v>0.98</v>
          </cell>
          <cell r="G762">
            <v>1</v>
          </cell>
          <cell r="H762" t="str">
            <v>attack</v>
          </cell>
          <cell r="I762" t="str">
            <v>攻撃タイプ</v>
          </cell>
          <cell r="J762">
            <v>1</v>
          </cell>
          <cell r="K762">
            <v>1.33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attack</v>
          </cell>
          <cell r="I763" t="str">
            <v>攻撃タイプ</v>
          </cell>
          <cell r="J763">
            <v>1</v>
          </cell>
          <cell r="K763">
            <v>1.33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</row>
        <row r="764">
          <cell r="A764">
            <v>763</v>
          </cell>
          <cell r="B764" t="str">
            <v>フィボナッチ</v>
          </cell>
          <cell r="C764">
            <v>5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attack</v>
          </cell>
          <cell r="I764" t="str">
            <v>攻撃タイプ</v>
          </cell>
          <cell r="J764">
            <v>1</v>
          </cell>
          <cell r="K764">
            <v>1.33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</row>
        <row r="765">
          <cell r="A765">
            <v>764</v>
          </cell>
          <cell r="B765" t="str">
            <v>バジリスク</v>
          </cell>
          <cell r="C765">
            <v>5</v>
          </cell>
          <cell r="D765" t="str">
            <v>blue</v>
          </cell>
          <cell r="E765">
            <v>1</v>
          </cell>
          <cell r="F765">
            <v>0.98</v>
          </cell>
          <cell r="G765">
            <v>1</v>
          </cell>
          <cell r="H765" t="str">
            <v>attack</v>
          </cell>
          <cell r="I765" t="str">
            <v>攻撃タイプ</v>
          </cell>
          <cell r="J765">
            <v>1</v>
          </cell>
          <cell r="K765">
            <v>1.33</v>
          </cell>
          <cell r="L765">
            <v>1</v>
          </cell>
          <cell r="M765" t="str">
            <v>human</v>
          </cell>
          <cell r="N765" t="str">
            <v>ヒューマン</v>
          </cell>
          <cell r="O765">
            <v>0.94</v>
          </cell>
          <cell r="P765">
            <v>0.99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60</v>
          </cell>
        </row>
        <row r="766">
          <cell r="A766">
            <v>765</v>
          </cell>
          <cell r="B766" t="str">
            <v>バジリスク</v>
          </cell>
          <cell r="C766">
            <v>5</v>
          </cell>
          <cell r="D766" t="str">
            <v>blue</v>
          </cell>
          <cell r="E766">
            <v>1</v>
          </cell>
          <cell r="F766">
            <v>0.98</v>
          </cell>
          <cell r="G766">
            <v>1</v>
          </cell>
          <cell r="H766" t="str">
            <v>attack</v>
          </cell>
          <cell r="I766" t="str">
            <v>攻撃タイプ</v>
          </cell>
          <cell r="J766">
            <v>1</v>
          </cell>
          <cell r="K766">
            <v>1.33</v>
          </cell>
          <cell r="L766">
            <v>1</v>
          </cell>
          <cell r="M766" t="str">
            <v>human</v>
          </cell>
          <cell r="N766" t="str">
            <v>ヒューマン</v>
          </cell>
          <cell r="O766">
            <v>0.94</v>
          </cell>
          <cell r="P766">
            <v>0.99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</row>
        <row r="767">
          <cell r="A767">
            <v>766</v>
          </cell>
          <cell r="B767" t="str">
            <v>イナバ</v>
          </cell>
          <cell r="C767">
            <v>5</v>
          </cell>
          <cell r="D767" t="str">
            <v>blue</v>
          </cell>
          <cell r="E767">
            <v>1</v>
          </cell>
          <cell r="F767">
            <v>0.98</v>
          </cell>
          <cell r="G767">
            <v>1</v>
          </cell>
          <cell r="H767" t="str">
            <v>attack</v>
          </cell>
          <cell r="I767" t="str">
            <v>攻撃タイプ</v>
          </cell>
          <cell r="J767">
            <v>1</v>
          </cell>
          <cell r="K767">
            <v>1.33</v>
          </cell>
          <cell r="L767">
            <v>1</v>
          </cell>
          <cell r="M767" t="str">
            <v>human</v>
          </cell>
          <cell r="N767" t="str">
            <v>ヒューマン</v>
          </cell>
          <cell r="O767">
            <v>0.94</v>
          </cell>
          <cell r="P767">
            <v>0.99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60</v>
          </cell>
        </row>
        <row r="768">
          <cell r="A768">
            <v>767</v>
          </cell>
          <cell r="B768" t="str">
            <v>イナバ</v>
          </cell>
          <cell r="C768">
            <v>5</v>
          </cell>
          <cell r="D768" t="str">
            <v>blue</v>
          </cell>
          <cell r="E768">
            <v>1</v>
          </cell>
          <cell r="F768">
            <v>0.98</v>
          </cell>
          <cell r="G768">
            <v>1</v>
          </cell>
          <cell r="H768" t="str">
            <v>attack</v>
          </cell>
          <cell r="I768" t="str">
            <v>攻撃タイプ</v>
          </cell>
          <cell r="J768">
            <v>1</v>
          </cell>
          <cell r="K768">
            <v>1.33</v>
          </cell>
          <cell r="L768">
            <v>1</v>
          </cell>
          <cell r="M768" t="str">
            <v>human</v>
          </cell>
          <cell r="N768" t="str">
            <v>ヒューマン</v>
          </cell>
          <cell r="O768">
            <v>0.94</v>
          </cell>
          <cell r="P768">
            <v>0.99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</row>
        <row r="769">
          <cell r="A769">
            <v>768</v>
          </cell>
          <cell r="B769" t="str">
            <v>イナバ</v>
          </cell>
          <cell r="C769">
            <v>5</v>
          </cell>
          <cell r="D769" t="str">
            <v>blue</v>
          </cell>
          <cell r="E769">
            <v>1</v>
          </cell>
          <cell r="F769">
            <v>0.98</v>
          </cell>
          <cell r="G769">
            <v>1</v>
          </cell>
          <cell r="H769" t="str">
            <v>attack</v>
          </cell>
          <cell r="I769" t="str">
            <v>攻撃タイプ</v>
          </cell>
          <cell r="J769">
            <v>1</v>
          </cell>
          <cell r="K769">
            <v>1.33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60</v>
          </cell>
        </row>
        <row r="770">
          <cell r="A770">
            <v>769</v>
          </cell>
          <cell r="B770" t="str">
            <v>ミケランジェロ</v>
          </cell>
          <cell r="C770">
            <v>5</v>
          </cell>
          <cell r="D770" t="str">
            <v>blue</v>
          </cell>
          <cell r="E770">
            <v>1</v>
          </cell>
          <cell r="F770">
            <v>0.98</v>
          </cell>
          <cell r="G770">
            <v>1</v>
          </cell>
          <cell r="H770" t="str">
            <v>attack</v>
          </cell>
          <cell r="I770" t="str">
            <v>攻撃タイプ</v>
          </cell>
          <cell r="J770">
            <v>1</v>
          </cell>
          <cell r="K770">
            <v>1.33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</row>
        <row r="771">
          <cell r="A771">
            <v>770</v>
          </cell>
          <cell r="B771" t="str">
            <v>侵食破壊性ミケランジェロ</v>
          </cell>
          <cell r="C771">
            <v>5</v>
          </cell>
          <cell r="D771" t="str">
            <v>blue</v>
          </cell>
          <cell r="E771">
            <v>1</v>
          </cell>
          <cell r="F771">
            <v>0.98</v>
          </cell>
          <cell r="G771">
            <v>1</v>
          </cell>
          <cell r="H771" t="str">
            <v>attack</v>
          </cell>
          <cell r="I771" t="str">
            <v>攻撃タイプ</v>
          </cell>
          <cell r="J771">
            <v>1</v>
          </cell>
          <cell r="K771">
            <v>1.33</v>
          </cell>
          <cell r="L771">
            <v>1</v>
          </cell>
          <cell r="M771" t="str">
            <v>human</v>
          </cell>
          <cell r="N771" t="str">
            <v>ヒューマン</v>
          </cell>
          <cell r="O771">
            <v>0.94</v>
          </cell>
          <cell r="P771">
            <v>0.99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60</v>
          </cell>
        </row>
        <row r="772">
          <cell r="A772">
            <v>771</v>
          </cell>
          <cell r="B772" t="str">
            <v>ミケランジェロ</v>
          </cell>
          <cell r="C772">
            <v>5</v>
          </cell>
          <cell r="D772" t="str">
            <v>blue</v>
          </cell>
          <cell r="E772">
            <v>1</v>
          </cell>
          <cell r="F772">
            <v>0.98</v>
          </cell>
          <cell r="G772">
            <v>1</v>
          </cell>
          <cell r="H772" t="str">
            <v>attack</v>
          </cell>
          <cell r="I772" t="str">
            <v>攻撃タイプ</v>
          </cell>
          <cell r="J772">
            <v>1</v>
          </cell>
          <cell r="K772">
            <v>1.33</v>
          </cell>
          <cell r="L772">
            <v>1</v>
          </cell>
          <cell r="M772" t="str">
            <v>human</v>
          </cell>
          <cell r="N772" t="str">
            <v>ヒューマン</v>
          </cell>
          <cell r="O772">
            <v>0.94</v>
          </cell>
          <cell r="P772">
            <v>0.99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</row>
      </sheetData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侵食性ウイルス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ハース・スポイル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C2" sqref="C2"/>
    </sheetView>
  </sheetViews>
  <sheetFormatPr baseColWidth="12" defaultRowHeight="18" x14ac:dyDescent="0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>
      <c r="A1" s="88" t="s">
        <v>198</v>
      </c>
      <c r="B1" s="83" t="s">
        <v>161</v>
      </c>
      <c r="C1" s="83" t="s">
        <v>162</v>
      </c>
      <c r="D1" s="83" t="s">
        <v>163</v>
      </c>
      <c r="E1" s="83" t="s">
        <v>164</v>
      </c>
      <c r="F1" s="83" t="s">
        <v>165</v>
      </c>
      <c r="G1" s="83" t="s">
        <v>166</v>
      </c>
      <c r="H1" s="83"/>
      <c r="I1" s="83"/>
      <c r="J1" s="83"/>
      <c r="K1" s="83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</row>
    <row r="2" spans="1:29">
      <c r="A2" s="89" t="s">
        <v>199</v>
      </c>
      <c r="B2" s="85" t="s">
        <v>167</v>
      </c>
      <c r="C2" s="85" t="s">
        <v>188</v>
      </c>
      <c r="D2" s="85" t="s">
        <v>168</v>
      </c>
      <c r="E2" s="84" t="str">
        <f>B2&amp;C2&amp;D2</f>
        <v>floors_advent_3.tmp</v>
      </c>
      <c r="F2" s="85" t="s">
        <v>169</v>
      </c>
      <c r="G2" s="86" t="s">
        <v>0</v>
      </c>
      <c r="H2" s="86" t="s">
        <v>1</v>
      </c>
      <c r="I2" s="86" t="s">
        <v>13</v>
      </c>
      <c r="J2" s="86" t="s">
        <v>14</v>
      </c>
      <c r="K2" s="86" t="s">
        <v>15</v>
      </c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</row>
    <row r="3" spans="1:29">
      <c r="A3" s="89" t="s">
        <v>199</v>
      </c>
      <c r="B3" s="85" t="s">
        <v>170</v>
      </c>
      <c r="C3" s="85" t="s">
        <v>188</v>
      </c>
      <c r="D3" s="85" t="s">
        <v>168</v>
      </c>
      <c r="E3" s="84" t="str">
        <f>B3&amp;C3&amp;D3</f>
        <v>enemy_habitats_advent_3.tmp</v>
      </c>
      <c r="F3" s="85" t="s">
        <v>171</v>
      </c>
      <c r="G3" s="86" t="s">
        <v>0</v>
      </c>
      <c r="H3" s="86" t="s">
        <v>1</v>
      </c>
      <c r="I3" s="86" t="s">
        <v>13</v>
      </c>
      <c r="J3" s="86" t="s">
        <v>2</v>
      </c>
      <c r="K3" s="86" t="s">
        <v>3</v>
      </c>
      <c r="L3" s="86" t="s">
        <v>47</v>
      </c>
      <c r="M3" s="86" t="s">
        <v>49</v>
      </c>
      <c r="N3" s="86" t="s">
        <v>51</v>
      </c>
      <c r="O3" s="86" t="s">
        <v>22</v>
      </c>
      <c r="P3" s="86" t="s">
        <v>5</v>
      </c>
      <c r="Q3" s="86" t="s">
        <v>6</v>
      </c>
      <c r="R3" s="86" t="s">
        <v>7</v>
      </c>
      <c r="S3" s="86" t="s">
        <v>8</v>
      </c>
      <c r="T3" s="86" t="s">
        <v>9</v>
      </c>
      <c r="U3" s="86" t="s">
        <v>10</v>
      </c>
      <c r="V3" s="86" t="s">
        <v>11</v>
      </c>
      <c r="W3" s="86" t="s">
        <v>12</v>
      </c>
      <c r="X3" s="86" t="s">
        <v>37</v>
      </c>
      <c r="Y3" s="86" t="s">
        <v>39</v>
      </c>
      <c r="Z3" s="86" t="s">
        <v>41</v>
      </c>
      <c r="AA3" s="86" t="s">
        <v>43</v>
      </c>
      <c r="AB3" s="86" t="s">
        <v>45</v>
      </c>
      <c r="AC3" s="86" t="s">
        <v>54</v>
      </c>
    </row>
    <row r="4" spans="1:29">
      <c r="A4" s="89" t="s">
        <v>199</v>
      </c>
      <c r="B4" s="85" t="s">
        <v>172</v>
      </c>
      <c r="C4" s="85" t="s">
        <v>188</v>
      </c>
      <c r="D4" s="85" t="s">
        <v>168</v>
      </c>
      <c r="E4" s="84" t="str">
        <f>B4&amp;C4&amp;D4</f>
        <v>enemy_habitat_S_advent_3.tmp</v>
      </c>
      <c r="F4" s="85" t="s">
        <v>173</v>
      </c>
      <c r="G4" s="86" t="s">
        <v>0</v>
      </c>
      <c r="H4" s="86" t="s">
        <v>1</v>
      </c>
      <c r="I4" s="86" t="s">
        <v>13</v>
      </c>
      <c r="J4" s="86" t="s">
        <v>54</v>
      </c>
      <c r="K4" s="86" t="s">
        <v>55</v>
      </c>
      <c r="L4" s="86" t="s">
        <v>174</v>
      </c>
      <c r="M4" s="86" t="s">
        <v>175</v>
      </c>
      <c r="N4" s="86" t="s">
        <v>56</v>
      </c>
      <c r="O4" s="86" t="s">
        <v>176</v>
      </c>
      <c r="P4" s="86" t="s">
        <v>48</v>
      </c>
      <c r="Q4" s="86" t="s">
        <v>50</v>
      </c>
      <c r="R4" s="86" t="s">
        <v>52</v>
      </c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</row>
    <row r="5" spans="1:29">
      <c r="A5" s="89" t="s">
        <v>199</v>
      </c>
      <c r="B5" s="85" t="s">
        <v>177</v>
      </c>
      <c r="C5" s="85">
        <v>40003</v>
      </c>
      <c r="D5" s="85" t="s">
        <v>168</v>
      </c>
      <c r="E5" s="84" t="str">
        <f>B5&amp;C5&amp;D5</f>
        <v>enemy_skill_sets_40003.tmp</v>
      </c>
      <c r="F5" s="85" t="s">
        <v>178</v>
      </c>
      <c r="G5" s="87" t="s">
        <v>22</v>
      </c>
      <c r="H5" s="87" t="s">
        <v>95</v>
      </c>
      <c r="I5" s="87" t="s">
        <v>90</v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</row>
    <row r="6" spans="1:29">
      <c r="A6" s="89" t="s">
        <v>199</v>
      </c>
      <c r="B6" s="85" t="s">
        <v>179</v>
      </c>
      <c r="C6" s="85">
        <v>40003</v>
      </c>
      <c r="D6" s="85" t="s">
        <v>180</v>
      </c>
      <c r="E6" s="84" t="str">
        <f t="shared" ref="E6:E8" si="0">B6&amp;C6&amp;D6</f>
        <v>enemy_skills_tmp_40003.tmp</v>
      </c>
      <c r="F6" s="85" t="s">
        <v>181</v>
      </c>
      <c r="G6" s="86" t="s">
        <v>78</v>
      </c>
      <c r="H6" s="86" t="s">
        <v>182</v>
      </c>
      <c r="I6" s="86" t="s">
        <v>80</v>
      </c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</row>
    <row r="7" spans="1:29">
      <c r="A7" s="89" t="s">
        <v>199</v>
      </c>
      <c r="B7" s="85" t="s">
        <v>183</v>
      </c>
      <c r="C7" s="85">
        <v>40003</v>
      </c>
      <c r="D7" s="85" t="s">
        <v>168</v>
      </c>
      <c r="E7" s="84" t="str">
        <f>B7&amp;C7&amp;D7</f>
        <v>enemy_skills_i18n_40003.tmp</v>
      </c>
      <c r="F7" s="85" t="s">
        <v>181</v>
      </c>
      <c r="G7" s="86" t="s">
        <v>78</v>
      </c>
      <c r="H7" s="86" t="s">
        <v>87</v>
      </c>
      <c r="I7" s="86" t="s">
        <v>88</v>
      </c>
      <c r="J7" s="86" t="s">
        <v>89</v>
      </c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</row>
    <row r="8" spans="1:29">
      <c r="A8" s="89" t="s">
        <v>199</v>
      </c>
      <c r="B8" s="85" t="s">
        <v>184</v>
      </c>
      <c r="C8" s="85">
        <v>40003</v>
      </c>
      <c r="D8" s="85" t="s">
        <v>168</v>
      </c>
      <c r="E8" s="84" t="str">
        <f t="shared" si="0"/>
        <v>enemy_skill_triggers_40003.tmp</v>
      </c>
      <c r="F8" s="85" t="s">
        <v>185</v>
      </c>
      <c r="G8" s="86" t="s">
        <v>90</v>
      </c>
      <c r="H8" s="86" t="s">
        <v>91</v>
      </c>
      <c r="I8" s="86" t="s">
        <v>92</v>
      </c>
      <c r="J8" s="86" t="s">
        <v>93</v>
      </c>
      <c r="K8" s="86" t="s">
        <v>70</v>
      </c>
      <c r="L8" s="86" t="s">
        <v>94</v>
      </c>
      <c r="M8" s="86" t="s">
        <v>74</v>
      </c>
      <c r="N8" s="86" t="s">
        <v>72</v>
      </c>
      <c r="O8" s="86" t="s">
        <v>73</v>
      </c>
      <c r="P8" s="86" t="s">
        <v>66</v>
      </c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</row>
  </sheetData>
  <phoneticPr fontId="3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D2" sqref="D2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3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5" t="str">
        <f>G2&amp;"-"&amp;I2</f>
        <v>40003_1-1</v>
      </c>
      <c r="B2" s="15" t="str">
        <f>IF(COUNTIF(enemy_habitats!$H:$H,A2),"OK","NG")</f>
        <v>OK</v>
      </c>
      <c r="C2" s="7">
        <v>40003</v>
      </c>
      <c r="D2" s="11" t="str">
        <f ca="1">VLOOKUP($C2,OFFSET([2]quests!$A$1,0,0,COUNTA([2]quests!$A:$A),MATCH(D$1,[2]quests!$1:$1,0)-MATCH($C$1,[2]quests!$1:$1,0)+1),MATCH(D$1,[2]quests!$1:$1,0)-MATCH($C$1,[2]quests!$1:$1,0)+1,FALSE)</f>
        <v>ジャンヌ襲来！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</v>
      </c>
      <c r="F2" s="55">
        <v>1</v>
      </c>
      <c r="G2" s="23" t="str">
        <f>C2&amp;"_"&amp;F2</f>
        <v>40003_1</v>
      </c>
      <c r="H2" s="14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【ウィザード級】ジャンヌ襲来 </v>
      </c>
      <c r="I2" s="39">
        <v>1</v>
      </c>
      <c r="J2" s="38">
        <v>60</v>
      </c>
      <c r="K2" s="38">
        <v>60</v>
      </c>
    </row>
    <row r="3" spans="1:11" ht="21" customHeight="1">
      <c r="A3" s="15" t="str">
        <f t="shared" ref="A3:A6" si="0">G3&amp;"-"&amp;I3</f>
        <v>40003_1-2</v>
      </c>
      <c r="B3" s="15" t="str">
        <f>IF(COUNTIF(enemy_habitats!$H:$H,A3),"OK","NG")</f>
        <v>OK</v>
      </c>
      <c r="C3" s="7">
        <v>40003</v>
      </c>
      <c r="D3" s="11" t="str">
        <f ca="1">VLOOKUP($C3,OFFSET([2]quests!$A$1,0,0,COUNTA([2]quests!$A:$A),MATCH(D$1,[2]quests!$1:$1,0)-MATCH($C$1,[2]quests!$1:$1,0)+1),MATCH(D$1,[2]quests!$1:$1,0)-MATCH($C$1,[2]quests!$1:$1,0)+1,FALSE)</f>
        <v>ジャンヌ襲来！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</v>
      </c>
      <c r="F3" s="55">
        <v>1</v>
      </c>
      <c r="G3" s="23" t="str">
        <f t="shared" ref="G3:G6" si="1">C3&amp;"_"&amp;F3</f>
        <v>40003_1</v>
      </c>
      <c r="H3" s="14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【ウィザード級】ジャンヌ襲来 </v>
      </c>
      <c r="I3" s="39">
        <v>2</v>
      </c>
      <c r="J3" s="38">
        <v>60</v>
      </c>
      <c r="K3" s="38">
        <v>60</v>
      </c>
    </row>
    <row r="4" spans="1:11" ht="21" customHeight="1">
      <c r="A4" s="15" t="str">
        <f t="shared" si="0"/>
        <v>40003_1-3</v>
      </c>
      <c r="B4" s="15" t="str">
        <f>IF(COUNTIF(enemy_habitats!$H:$H,A4),"OK","NG")</f>
        <v>OK</v>
      </c>
      <c r="C4" s="7">
        <v>40003</v>
      </c>
      <c r="D4" s="11" t="str">
        <f ca="1">VLOOKUP($C4,OFFSET([2]quests!$A$1,0,0,COUNTA([2]quests!$A:$A),MATCH(D$1,[2]quests!$1:$1,0)-MATCH($C$1,[2]quests!$1:$1,0)+1),MATCH(D$1,[2]quests!$1:$1,0)-MATCH($C$1,[2]quests!$1:$1,0)+1,FALSE)</f>
        <v>ジャンヌ襲来！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</v>
      </c>
      <c r="F4" s="55">
        <v>1</v>
      </c>
      <c r="G4" s="23" t="str">
        <f t="shared" si="1"/>
        <v>40003_1</v>
      </c>
      <c r="H4" s="14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【ウィザード級】ジャンヌ襲来 </v>
      </c>
      <c r="I4" s="39">
        <v>3</v>
      </c>
      <c r="J4" s="38">
        <v>60</v>
      </c>
      <c r="K4" s="38">
        <v>60</v>
      </c>
    </row>
    <row r="5" spans="1:11" ht="21" customHeight="1">
      <c r="A5" s="15" t="str">
        <f t="shared" si="0"/>
        <v>40003_1-4</v>
      </c>
      <c r="B5" s="15" t="str">
        <f>IF(COUNTIF(enemy_habitats!$H:$H,A5),"OK","NG")</f>
        <v>OK</v>
      </c>
      <c r="C5" s="7">
        <v>40003</v>
      </c>
      <c r="D5" s="11" t="str">
        <f ca="1">VLOOKUP($C5,OFFSET([2]quests!$A$1,0,0,COUNTA([2]quests!$A:$A),MATCH(D$1,[2]quests!$1:$1,0)-MATCH($C$1,[2]quests!$1:$1,0)+1),MATCH(D$1,[2]quests!$1:$1,0)-MATCH($C$1,[2]quests!$1:$1,0)+1,FALSE)</f>
        <v>ジャンヌ襲来！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</v>
      </c>
      <c r="F5" s="55">
        <v>1</v>
      </c>
      <c r="G5" s="23" t="str">
        <f t="shared" si="1"/>
        <v>40003_1</v>
      </c>
      <c r="H5" s="14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【ウィザード級】ジャンヌ襲来 </v>
      </c>
      <c r="I5" s="39">
        <v>4</v>
      </c>
      <c r="J5" s="38">
        <v>60</v>
      </c>
      <c r="K5" s="38">
        <v>60</v>
      </c>
    </row>
    <row r="6" spans="1:11" ht="21" customHeight="1">
      <c r="A6" s="15" t="str">
        <f t="shared" si="0"/>
        <v>40003_1-5</v>
      </c>
      <c r="B6" s="15" t="str">
        <f>IF(COUNTIF(enemy_habitats!$H:$H,A6),"OK","NG")</f>
        <v>NG</v>
      </c>
      <c r="C6" s="7">
        <v>40003</v>
      </c>
      <c r="D6" s="11" t="str">
        <f ca="1">VLOOKUP($C6,OFFSET([2]quests!$A$1,0,0,COUNTA([2]quests!$A:$A),MATCH(D$1,[2]quests!$1:$1,0)-MATCH($C$1,[2]quests!$1:$1,0)+1),MATCH(D$1,[2]quests!$1:$1,0)-MATCH($C$1,[2]quests!$1:$1,0)+1,FALSE)</f>
        <v>ジャンヌ襲来！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</v>
      </c>
      <c r="F6" s="55">
        <v>1</v>
      </c>
      <c r="G6" s="23" t="str">
        <f t="shared" si="1"/>
        <v>40003_1</v>
      </c>
      <c r="H6" s="14" t="str">
        <f ca="1">VLOOKUP($G6,OFFSET([2]stages!$A$1,0,0,COUNTA([2]stages!$A:$A),MATCH(H$1,[2]stages!$2:$2,0)-MATCH($G$1,[2]stages!$2:$2,0)+1),MATCH(H$1,[2]stages!$2:$2,0)-MATCH($G$1,[2]stages!$2:$2,0)+1,FALSE)</f>
        <v xml:space="preserve">【ウィザード級】ジャンヌ襲来 </v>
      </c>
      <c r="I6" s="39">
        <v>5</v>
      </c>
      <c r="J6" s="38">
        <v>60</v>
      </c>
      <c r="K6" s="38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9"/>
  <sheetViews>
    <sheetView showGridLines="0" zoomScale="75" zoomScaleNormal="75" zoomScalePageLayoutView="75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AD17" sqref="AD17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8.83203125" style="3" customWidth="1" collapsed="1"/>
    <col min="4" max="4" width="11.5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7.1640625" style="3" customWidth="1"/>
    <col min="12" max="12" width="9.33203125" style="9" customWidth="1"/>
    <col min="13" max="13" width="18.33203125" style="3" bestFit="1" customWidth="1" outlineLevel="1"/>
    <col min="14" max="14" width="8.6640625" style="3" customWidth="1" outlineLevel="1"/>
    <col min="15" max="15" width="10" style="3" customWidth="1" outlineLevel="1"/>
    <col min="16" max="16" width="21" style="3" customWidth="1" outlineLevel="1"/>
    <col min="17" max="17" width="5.1640625" style="3" customWidth="1" outlineLevel="1"/>
    <col min="18" max="18" width="8.33203125" style="3" customWidth="1"/>
    <col min="19" max="19" width="14.83203125" style="3" customWidth="1"/>
    <col min="20" max="20" width="17.5" style="3" customWidth="1"/>
    <col min="21" max="21" width="18.33203125" style="3" customWidth="1"/>
    <col min="22" max="22" width="12.1640625" style="3" bestFit="1" customWidth="1" outlineLevel="1"/>
    <col min="23" max="23" width="16.33203125" style="3" customWidth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20.6640625" style="12" bestFit="1" customWidth="1" outlineLevel="1"/>
    <col min="30" max="30" width="8" style="13" bestFit="1" customWidth="1" outlineLevel="1"/>
    <col min="31" max="31" width="12" style="13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8" t="s">
        <v>4</v>
      </c>
      <c r="W1" s="29" t="s">
        <v>31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</row>
    <row r="2" spans="1:39" ht="21" customHeight="1">
      <c r="A2" s="15" t="str">
        <f t="shared" ref="A2:A9" si="0">B2&amp;"_"&amp;C2&amp;"-"&amp;G2&amp;"/"&amp;L2&amp;"&lt;lv"&amp;R2&amp;"&gt;s"&amp;AA2</f>
        <v>40003_1-1/155&lt;lv60&gt;s2</v>
      </c>
      <c r="B2" s="54">
        <v>40003</v>
      </c>
      <c r="C2" s="55">
        <v>1</v>
      </c>
      <c r="D2" s="2" t="str">
        <f t="shared" ref="D2:D9" si="1">B2&amp;"_"&amp;C2</f>
        <v>40003_1</v>
      </c>
      <c r="E2" s="4" t="str">
        <f ca="1">VLOOKUP($B2,OFFSET([2]quests!$A$1,0,0,COUNTA([2]quests!$A:$A),MATCH(E$1,[2]quests!$1:$1,0)-MATCH($B$1,[2]quests!$1:$1,0)+1),MATCH(E$1,[2]quests!$1:$1,0)-MATCH($B$1,[2]quests!$1:$1,0)+1,FALSE)</f>
        <v>ジャンヌ襲来！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2" s="40">
        <v>1</v>
      </c>
      <c r="H2" s="14" t="str">
        <f t="shared" ref="H2:H9" si="2">B2&amp;"_"&amp;C2&amp;"-"&amp;G2</f>
        <v>40003_1-1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155</v>
      </c>
      <c r="M2" s="16" t="str">
        <f ca="1">VLOOKUP(L2,[3]enemies!$A:$B,2,FALSE)</f>
        <v>隻眼の掃除屋 ハンナ</v>
      </c>
      <c r="N2" s="18" t="str">
        <f ca="1">VLOOKUP(L2,[3]enemies!$A:$D,4,FALSE)</f>
        <v>blue</v>
      </c>
      <c r="O2" s="18" t="str">
        <f>VLOOKUP(L2,[4]characters!$A:$J,10,FALSE)</f>
        <v>PremiumW</v>
      </c>
      <c r="P2" s="17" t="str">
        <f>VLOOKUP(L2,[4]characters!$A:$M,13,FALSE)</f>
        <v>human</v>
      </c>
      <c r="Q2" s="4">
        <f ca="1">VLOOKUP(L2,[3]enemies!$A:$X,24,FALSE)</f>
        <v>30</v>
      </c>
      <c r="R2" s="5">
        <v>60</v>
      </c>
      <c r="S2" s="44">
        <v>1.8</v>
      </c>
      <c r="T2" s="44">
        <v>1.1000000000000001</v>
      </c>
      <c r="U2" s="5">
        <v>0</v>
      </c>
      <c r="V2" s="57">
        <v>15502</v>
      </c>
      <c r="W2" s="4" t="str">
        <f>IFERROR(VLOOKUP(V2,[5]enemy_skill_sets!$B:$E,4,FALSE),VLOOKUP(V2,enemy_skill_sets!B:E,4,FALSE))</f>
        <v>衰弱ウィルス</v>
      </c>
      <c r="X2" s="6">
        <v>1</v>
      </c>
      <c r="Y2" s="6">
        <v>100</v>
      </c>
      <c r="Z2" s="6">
        <v>0</v>
      </c>
      <c r="AA2" s="57">
        <v>2</v>
      </c>
      <c r="AB2" s="20">
        <v>155</v>
      </c>
      <c r="AC2" s="4" t="str">
        <f ca="1">VLOOKUP(L2,[3]enemies!$A:$B,2,FALSE)</f>
        <v>隻眼の掃除屋 ハンナ</v>
      </c>
      <c r="AD2" s="4">
        <f ca="1">VLOOKUP(AB2,[3]enemies!$A:$E,3,FALSE)</f>
        <v>4</v>
      </c>
      <c r="AE2" s="4" t="str">
        <f>VLOOKUP(L2,[4]characters!$A:$J,10,FALSE)</f>
        <v>PremiumW</v>
      </c>
      <c r="AF2" s="7">
        <v>1</v>
      </c>
      <c r="AG2" s="24">
        <f t="shared" ref="AG2:AG9" ca="1" si="3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</row>
    <row r="3" spans="1:39" ht="21" customHeight="1">
      <c r="A3" s="15" t="str">
        <f t="shared" si="0"/>
        <v>40003_1-1/92&lt;lv60&gt;s3</v>
      </c>
      <c r="B3" s="54">
        <v>40003</v>
      </c>
      <c r="C3" s="55">
        <v>1</v>
      </c>
      <c r="D3" s="2" t="str">
        <f t="shared" ref="D3" si="4">B3&amp;"_"&amp;C3</f>
        <v>40003_1</v>
      </c>
      <c r="E3" s="4" t="str">
        <f ca="1">VLOOKUP($B3,OFFSET([2]quests!$A$1,0,0,COUNTA([2]quests!$A:$A),MATCH(E$1,[2]quests!$1:$1,0)-MATCH($B$1,[2]quests!$1:$1,0)+1),MATCH(E$1,[2]quests!$1:$1,0)-MATCH($B$1,[2]quests!$1:$1,0)+1,FALSE)</f>
        <v>ジャンヌ襲来！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3" s="40">
        <v>1</v>
      </c>
      <c r="H3" s="14" t="str">
        <f t="shared" ref="H3" si="5">B3&amp;"_"&amp;C3&amp;"-"&amp;G3</f>
        <v>40003_1-1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92</v>
      </c>
      <c r="M3" s="16" t="str">
        <f ca="1">VLOOKUP(L3,[3]enemies!$A:$B,2,FALSE)</f>
        <v>守護者 青龍</v>
      </c>
      <c r="N3" s="18" t="str">
        <f ca="1">VLOOKUP(L3,[3]enemies!$A:$D,4,FALSE)</f>
        <v>blue</v>
      </c>
      <c r="O3" s="18" t="str">
        <f>VLOOKUP(L3,[4]characters!$A:$J,10,FALSE)</f>
        <v>Drop2N</v>
      </c>
      <c r="P3" s="17" t="str">
        <f>VLOOKUP(L3,[4]characters!$A:$M,13,FALSE)</f>
        <v>dragon</v>
      </c>
      <c r="Q3" s="4">
        <f ca="1">VLOOKUP(L3,[3]enemies!$A:$X,24,FALSE)</f>
        <v>30</v>
      </c>
      <c r="R3" s="5">
        <v>60</v>
      </c>
      <c r="S3" s="44">
        <v>1.3</v>
      </c>
      <c r="T3" s="44">
        <v>0.8</v>
      </c>
      <c r="U3" s="5">
        <v>0</v>
      </c>
      <c r="V3" s="57">
        <v>9201</v>
      </c>
      <c r="W3" s="4" t="str">
        <f>IFERROR(VLOOKUP(V3,[5]enemy_skill_sets!$B:$E,4,FALSE),VLOOKUP(V3,enemy_skill_sets!B:E,4,FALSE))</f>
        <v>神海の咆哮</v>
      </c>
      <c r="X3" s="6">
        <v>1</v>
      </c>
      <c r="Y3" s="6">
        <v>100</v>
      </c>
      <c r="Z3" s="6">
        <v>0</v>
      </c>
      <c r="AA3" s="57">
        <v>3</v>
      </c>
      <c r="AB3" s="20">
        <v>92</v>
      </c>
      <c r="AC3" s="4" t="str">
        <f ca="1">VLOOKUP(L3,[3]enemies!$A:$B,2,FALSE)</f>
        <v>守護者 青龍</v>
      </c>
      <c r="AD3" s="4">
        <f ca="1">VLOOKUP(AB3,[3]enemies!$A:$E,3,FALSE)</f>
        <v>4</v>
      </c>
      <c r="AE3" s="4" t="str">
        <f>VLOOKUP(L3,[4]characters!$A:$J,10,FALSE)</f>
        <v>Drop2N</v>
      </c>
      <c r="AF3" s="7">
        <v>1</v>
      </c>
      <c r="AG3" s="24">
        <f t="shared" ref="AG3" ca="1" si="6">AD3</f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</row>
    <row r="4" spans="1:39" ht="21" customHeight="1">
      <c r="A4" s="15" t="str">
        <f t="shared" ca="1" si="0"/>
        <v>40003_1-2/53&lt;lv50&gt;s2</v>
      </c>
      <c r="B4" s="54">
        <v>40003</v>
      </c>
      <c r="C4" s="55">
        <v>1</v>
      </c>
      <c r="D4" s="2" t="str">
        <f t="shared" si="1"/>
        <v>40003_1</v>
      </c>
      <c r="E4" s="4" t="str">
        <f ca="1">VLOOKUP($B4,OFFSET([2]quests!$A$1,0,0,COUNTA([2]quests!$A:$A),MATCH(E$1,[2]quests!$1:$1,0)-MATCH($B$1,[2]quests!$1:$1,0)+1),MATCH(E$1,[2]quests!$1:$1,0)-MATCH($B$1,[2]quests!$1:$1,0)+1,FALSE)</f>
        <v>ジャンヌ襲来！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4" s="41">
        <v>2</v>
      </c>
      <c r="H4" s="14" t="str">
        <f t="shared" si="2"/>
        <v>40003_1-2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53</v>
      </c>
      <c r="M4" s="16" t="str">
        <f ca="1">VLOOKUP(L4,[3]enemies!$A:$B,2,FALSE)</f>
        <v>ケンジ</v>
      </c>
      <c r="N4" s="18" t="str">
        <f ca="1">VLOOKUP(L4,[3]enemies!$A:$D,4,FALSE)</f>
        <v>blue</v>
      </c>
      <c r="O4" s="18" t="str">
        <f>VLOOKUP(L4,[4]characters!$A:$J,10,FALSE)</f>
        <v>Drop1N</v>
      </c>
      <c r="P4" s="17" t="str">
        <f>VLOOKUP(L4,[4]characters!$A:$M,13,FALSE)</f>
        <v>human</v>
      </c>
      <c r="Q4" s="4">
        <f ca="1">VLOOKUP(L4,[3]enemies!$A:$X,24,FALSE)</f>
        <v>15</v>
      </c>
      <c r="R4" s="5">
        <v>50</v>
      </c>
      <c r="S4" s="44">
        <v>1</v>
      </c>
      <c r="T4" s="44">
        <v>1</v>
      </c>
      <c r="U4" s="5">
        <v>0</v>
      </c>
      <c r="V4" s="57">
        <v>0</v>
      </c>
      <c r="W4" s="4" t="str">
        <f>IFERROR(VLOOKUP(V4,[5]enemy_skill_sets!$B:$E,4,FALSE),VLOOKUP(V4,enemy_skill_sets!B:E,4,FALSE))</f>
        <v>なし</v>
      </c>
      <c r="X4" s="6">
        <v>1</v>
      </c>
      <c r="Y4" s="6">
        <v>100</v>
      </c>
      <c r="Z4" s="6">
        <v>0</v>
      </c>
      <c r="AA4" s="4">
        <f ca="1">VLOOKUP(L4,[3]enemies!$A:$V,22,FALSE)</f>
        <v>2</v>
      </c>
      <c r="AB4" s="20">
        <v>18</v>
      </c>
      <c r="AC4" s="4" t="str">
        <f ca="1">VLOOKUP(L4,[3]enemies!$A:$B,2,FALSE)</f>
        <v>ケンジ</v>
      </c>
      <c r="AD4" s="4">
        <f ca="1">VLOOKUP(AB4,[3]enemies!$A:$E,3,FALSE)</f>
        <v>2</v>
      </c>
      <c r="AE4" s="4" t="str">
        <f>VLOOKUP(L4,[4]characters!$A:$J,10,FALSE)</f>
        <v>Drop1N</v>
      </c>
      <c r="AF4" s="7">
        <v>1</v>
      </c>
      <c r="AG4" s="24">
        <f t="shared" ca="1" si="3"/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</row>
    <row r="5" spans="1:39" ht="21" customHeight="1">
      <c r="A5" s="15" t="str">
        <f t="shared" si="0"/>
        <v>40003_1-2/49&lt;lv50&gt;s3</v>
      </c>
      <c r="B5" s="54">
        <v>40003</v>
      </c>
      <c r="C5" s="55">
        <v>1</v>
      </c>
      <c r="D5" s="2" t="str">
        <f t="shared" si="1"/>
        <v>40003_1</v>
      </c>
      <c r="E5" s="4" t="str">
        <f ca="1">VLOOKUP($B5,OFFSET([2]quests!$A$1,0,0,COUNTA([2]quests!$A:$A),MATCH(E$1,[2]quests!$1:$1,0)-MATCH($B$1,[2]quests!$1:$1,0)+1),MATCH(E$1,[2]quests!$1:$1,0)-MATCH($B$1,[2]quests!$1:$1,0)+1,FALSE)</f>
        <v>ジャンヌ襲来！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5" s="41">
        <v>2</v>
      </c>
      <c r="H5" s="14" t="str">
        <f t="shared" si="2"/>
        <v>40003_1-2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49</v>
      </c>
      <c r="M5" s="16" t="str">
        <f ca="1">VLOOKUP(L5,[3]enemies!$A:$B,2,FALSE)</f>
        <v>ヨシタカ</v>
      </c>
      <c r="N5" s="18" t="str">
        <f ca="1">VLOOKUP(L5,[3]enemies!$A:$D,4,FALSE)</f>
        <v>red</v>
      </c>
      <c r="O5" s="18" t="str">
        <f>VLOOKUP(L5,[4]characters!$A:$J,10,FALSE)</f>
        <v>Drop1N</v>
      </c>
      <c r="P5" s="17" t="str">
        <f>VLOOKUP(L5,[4]characters!$A:$M,13,FALSE)</f>
        <v>human</v>
      </c>
      <c r="Q5" s="4">
        <f ca="1">VLOOKUP(L5,[3]enemies!$A:$X,24,FALSE)</f>
        <v>15</v>
      </c>
      <c r="R5" s="5">
        <v>50</v>
      </c>
      <c r="S5" s="44">
        <v>1.8</v>
      </c>
      <c r="T5" s="44">
        <v>1</v>
      </c>
      <c r="U5" s="5">
        <v>0</v>
      </c>
      <c r="V5" s="57">
        <v>4901</v>
      </c>
      <c r="W5" s="4" t="str">
        <f>IFERROR(VLOOKUP(V5,[5]enemy_skill_sets!$B:$E,4,FALSE),VLOOKUP(V5,enemy_skill_sets!B:E,4,FALSE))</f>
        <v>仏式真紅爆弾</v>
      </c>
      <c r="X5" s="6">
        <v>1</v>
      </c>
      <c r="Y5" s="6">
        <v>100</v>
      </c>
      <c r="Z5" s="6">
        <v>0</v>
      </c>
      <c r="AA5" s="57">
        <v>3</v>
      </c>
      <c r="AB5" s="20">
        <v>49</v>
      </c>
      <c r="AC5" s="4" t="str">
        <f ca="1">VLOOKUP(L5,[3]enemies!$A:$B,2,FALSE)</f>
        <v>ヨシタカ</v>
      </c>
      <c r="AD5" s="4">
        <f ca="1">VLOOKUP(AB5,[3]enemies!$A:$E,3,FALSE)</f>
        <v>2</v>
      </c>
      <c r="AE5" s="4" t="str">
        <f>VLOOKUP(L5,[4]characters!$A:$J,10,FALSE)</f>
        <v>Drop1N</v>
      </c>
      <c r="AF5" s="7">
        <v>1</v>
      </c>
      <c r="AG5" s="24">
        <f t="shared" ca="1" si="3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</row>
    <row r="6" spans="1:39" ht="21" customHeight="1">
      <c r="A6" s="15" t="str">
        <f t="shared" si="0"/>
        <v>40003_1-2/51&lt;lv50&gt;s2</v>
      </c>
      <c r="B6" s="54">
        <v>40003</v>
      </c>
      <c r="C6" s="55">
        <v>1</v>
      </c>
      <c r="D6" s="2" t="str">
        <f t="shared" si="1"/>
        <v>40003_1</v>
      </c>
      <c r="E6" s="4" t="str">
        <f ca="1">VLOOKUP($B6,OFFSET([2]quests!$A$1,0,0,COUNTA([2]quests!$A:$A),MATCH(E$1,[2]quests!$1:$1,0)-MATCH($B$1,[2]quests!$1:$1,0)+1),MATCH(E$1,[2]quests!$1:$1,0)-MATCH($B$1,[2]quests!$1:$1,0)+1,FALSE)</f>
        <v>ジャンヌ襲来！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6" s="41">
        <v>2</v>
      </c>
      <c r="H6" s="14" t="str">
        <f t="shared" si="2"/>
        <v>40003_1-2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51</v>
      </c>
      <c r="M6" s="16" t="str">
        <f ca="1">VLOOKUP(L6,[3]enemies!$A:$B,2,FALSE)</f>
        <v>マイ</v>
      </c>
      <c r="N6" s="18" t="str">
        <f ca="1">VLOOKUP(L6,[3]enemies!$A:$D,4,FALSE)</f>
        <v>green</v>
      </c>
      <c r="O6" s="18" t="str">
        <f>VLOOKUP(L6,[4]characters!$A:$J,10,FALSE)</f>
        <v>Drop1N</v>
      </c>
      <c r="P6" s="17" t="str">
        <f>VLOOKUP(L6,[4]characters!$A:$M,13,FALSE)</f>
        <v>human</v>
      </c>
      <c r="Q6" s="4">
        <f ca="1">VLOOKUP(L6,[3]enemies!$A:$X,24,FALSE)</f>
        <v>15</v>
      </c>
      <c r="R6" s="5">
        <v>50</v>
      </c>
      <c r="S6" s="44">
        <v>1.7</v>
      </c>
      <c r="T6" s="44">
        <v>0.7</v>
      </c>
      <c r="U6" s="5">
        <v>0</v>
      </c>
      <c r="V6" s="58">
        <v>5101</v>
      </c>
      <c r="W6" s="4" t="str">
        <f>IFERROR(VLOOKUP(V6,[5]enemy_skill_sets!$B:$E,4,FALSE),VLOOKUP(V6,enemy_skill_sets!B:E,4,FALSE))</f>
        <v>仏式翡翠爆弾</v>
      </c>
      <c r="X6" s="6">
        <v>1</v>
      </c>
      <c r="Y6" s="6">
        <v>100</v>
      </c>
      <c r="Z6" s="6">
        <v>0</v>
      </c>
      <c r="AA6" s="57">
        <v>2</v>
      </c>
      <c r="AB6" s="20">
        <v>51</v>
      </c>
      <c r="AC6" s="4" t="str">
        <f ca="1">VLOOKUP(L6,[3]enemies!$A:$B,2,FALSE)</f>
        <v>マイ</v>
      </c>
      <c r="AD6" s="4">
        <f ca="1">VLOOKUP(AB6,[3]enemies!$A:$E,3,FALSE)</f>
        <v>2</v>
      </c>
      <c r="AE6" s="4" t="str">
        <f>VLOOKUP(L6,[4]characters!$A:$J,10,FALSE)</f>
        <v>Drop1N</v>
      </c>
      <c r="AF6" s="7">
        <v>1</v>
      </c>
      <c r="AG6" s="24">
        <f t="shared" ca="1" si="3"/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</row>
    <row r="7" spans="1:39" ht="21" customHeight="1">
      <c r="A7" s="15" t="str">
        <f t="shared" si="0"/>
        <v>40003_1-2/55&lt;lv50&gt;s3</v>
      </c>
      <c r="B7" s="54">
        <v>40003</v>
      </c>
      <c r="C7" s="55">
        <v>1</v>
      </c>
      <c r="D7" s="2" t="str">
        <f t="shared" ref="D7" si="7">B7&amp;"_"&amp;C7</f>
        <v>40003_1</v>
      </c>
      <c r="E7" s="4" t="str">
        <f ca="1">VLOOKUP($B7,OFFSET([2]quests!$A$1,0,0,COUNTA([2]quests!$A:$A),MATCH(E$1,[2]quests!$1:$1,0)-MATCH($B$1,[2]quests!$1:$1,0)+1),MATCH(E$1,[2]quests!$1:$1,0)-MATCH($B$1,[2]quests!$1:$1,0)+1,FALSE)</f>
        <v>ジャンヌ襲来！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7" s="41">
        <v>2</v>
      </c>
      <c r="H7" s="14" t="str">
        <f t="shared" ref="H7" si="8">B7&amp;"_"&amp;C7&amp;"-"&amp;G7</f>
        <v>40003_1-2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55</v>
      </c>
      <c r="M7" s="16" t="str">
        <f ca="1">VLOOKUP(L7,[3]enemies!$A:$B,2,FALSE)</f>
        <v>マミコ</v>
      </c>
      <c r="N7" s="18" t="str">
        <f ca="1">VLOOKUP(L7,[3]enemies!$A:$D,4,FALSE)</f>
        <v>yellow</v>
      </c>
      <c r="O7" s="18" t="str">
        <f>VLOOKUP(L7,[4]characters!$A:$J,10,FALSE)</f>
        <v>Drop1N</v>
      </c>
      <c r="P7" s="17" t="str">
        <f>VLOOKUP(L7,[4]characters!$A:$M,13,FALSE)</f>
        <v>human</v>
      </c>
      <c r="Q7" s="4">
        <f ca="1">VLOOKUP(L7,[3]enemies!$A:$X,24,FALSE)</f>
        <v>15</v>
      </c>
      <c r="R7" s="5">
        <v>50</v>
      </c>
      <c r="S7" s="44">
        <v>2</v>
      </c>
      <c r="T7" s="44">
        <v>0.6</v>
      </c>
      <c r="U7" s="5">
        <v>0</v>
      </c>
      <c r="V7" s="57">
        <v>5501</v>
      </c>
      <c r="W7" s="4" t="str">
        <f>IFERROR(VLOOKUP(V7,[5]enemy_skill_sets!$B:$E,4,FALSE),VLOOKUP(V7,enemy_skill_sets!B:E,4,FALSE))</f>
        <v>仏式黄金爆弾</v>
      </c>
      <c r="X7" s="6">
        <v>1</v>
      </c>
      <c r="Y7" s="6">
        <v>100</v>
      </c>
      <c r="Z7" s="6">
        <v>0</v>
      </c>
      <c r="AA7" s="57">
        <v>3</v>
      </c>
      <c r="AB7" s="20">
        <v>55</v>
      </c>
      <c r="AC7" s="4" t="str">
        <f ca="1">VLOOKUP(L7,[3]enemies!$A:$B,2,FALSE)</f>
        <v>マミコ</v>
      </c>
      <c r="AD7" s="4">
        <f ca="1">VLOOKUP(AB7,[3]enemies!$A:$E,3,FALSE)</f>
        <v>2</v>
      </c>
      <c r="AE7" s="4" t="str">
        <f>VLOOKUP(L7,[4]characters!$A:$J,10,FALSE)</f>
        <v>Drop1N</v>
      </c>
      <c r="AF7" s="7">
        <v>1</v>
      </c>
      <c r="AG7" s="24">
        <f t="shared" ref="AG7" ca="1" si="9">AD7</f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</row>
    <row r="8" spans="1:39" ht="21" customHeight="1">
      <c r="A8" s="15" t="str">
        <f t="shared" si="0"/>
        <v>40003_1-3/258&lt;lv60&gt;s2</v>
      </c>
      <c r="B8" s="54">
        <v>40003</v>
      </c>
      <c r="C8" s="55">
        <v>1</v>
      </c>
      <c r="D8" s="2" t="str">
        <f t="shared" si="1"/>
        <v>40003_1</v>
      </c>
      <c r="E8" s="4" t="str">
        <f ca="1">VLOOKUP($B8,OFFSET([2]quests!$A$1,0,0,COUNTA([2]quests!$A:$A),MATCH(E$1,[2]quests!$1:$1,0)-MATCH($B$1,[2]quests!$1:$1,0)+1),MATCH(E$1,[2]quests!$1:$1,0)-MATCH($B$1,[2]quests!$1:$1,0)+1,FALSE)</f>
        <v>ジャンヌ襲来！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8" s="42">
        <v>3</v>
      </c>
      <c r="H8" s="14" t="str">
        <f t="shared" si="2"/>
        <v>40003_1-3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258</v>
      </c>
      <c r="M8" s="16" t="str">
        <f ca="1">VLOOKUP(L8,[3]enemies!$A:$B,2,FALSE)</f>
        <v>色欲の源流 アスモデウス</v>
      </c>
      <c r="N8" s="18" t="str">
        <f ca="1">VLOOKUP(L8,[3]enemies!$A:$D,4,FALSE)</f>
        <v>blue</v>
      </c>
      <c r="O8" s="18" t="str">
        <f>VLOOKUP(L8,[4]characters!$A:$J,10,FALSE)</f>
        <v>PremiumS</v>
      </c>
      <c r="P8" s="17" t="str">
        <f>VLOOKUP(L8,[4]characters!$A:$M,13,FALSE)</f>
        <v>god</v>
      </c>
      <c r="Q8" s="4">
        <f ca="1">VLOOKUP(L8,[3]enemies!$A:$X,24,FALSE)</f>
        <v>60</v>
      </c>
      <c r="R8" s="5">
        <v>60</v>
      </c>
      <c r="S8" s="44">
        <v>1.2</v>
      </c>
      <c r="T8" s="44">
        <v>0.8</v>
      </c>
      <c r="U8" s="5">
        <v>0</v>
      </c>
      <c r="V8" s="57">
        <v>25801</v>
      </c>
      <c r="W8" s="4" t="str">
        <f>IFERROR(VLOOKUP(V8,[5]enemy_skill_sets!$B:$E,4,FALSE),VLOOKUP(V8,enemy_skill_sets!B:E,4,FALSE))</f>
        <v>破壊する一撃</v>
      </c>
      <c r="X8" s="6">
        <v>0</v>
      </c>
      <c r="Y8" s="6">
        <v>100</v>
      </c>
      <c r="Z8" s="6">
        <v>1</v>
      </c>
      <c r="AA8" s="57">
        <v>2</v>
      </c>
      <c r="AB8" s="20">
        <v>258</v>
      </c>
      <c r="AC8" s="4" t="str">
        <f ca="1">VLOOKUP(L8,[3]enemies!$A:$B,2,FALSE)</f>
        <v>色欲の源流 アスモデウス</v>
      </c>
      <c r="AD8" s="4">
        <f ca="1">VLOOKUP(AB8,[3]enemies!$A:$E,3,FALSE)</f>
        <v>5</v>
      </c>
      <c r="AE8" s="4" t="str">
        <f>VLOOKUP(L8,[4]characters!$A:$J,10,FALSE)</f>
        <v>PremiumS</v>
      </c>
      <c r="AF8" s="7">
        <v>1</v>
      </c>
      <c r="AG8" s="24">
        <f t="shared" ca="1" si="3"/>
        <v>5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</row>
    <row r="9" spans="1:39" ht="21" customHeight="1">
      <c r="A9" s="15" t="str">
        <f t="shared" ca="1" si="0"/>
        <v>40003_1-4/315&lt;lv70&gt;s2</v>
      </c>
      <c r="B9" s="54">
        <v>40003</v>
      </c>
      <c r="C9" s="55">
        <v>1</v>
      </c>
      <c r="D9" s="2" t="str">
        <f t="shared" si="1"/>
        <v>40003_1</v>
      </c>
      <c r="E9" s="4" t="str">
        <f ca="1">VLOOKUP($B9,OFFSET([2]quests!$A$1,0,0,COUNTA([2]quests!$A:$A),MATCH(E$1,[2]quests!$1:$1,0)-MATCH($B$1,[2]quests!$1:$1,0)+1),MATCH(E$1,[2]quests!$1:$1,0)-MATCH($B$1,[2]quests!$1:$1,0)+1,FALSE)</f>
        <v>ジャンヌ襲来！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9" s="43">
        <v>4</v>
      </c>
      <c r="H9" s="14" t="str">
        <f t="shared" si="2"/>
        <v>40003_1-4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315</v>
      </c>
      <c r="M9" s="16" t="str">
        <f ca="1">VLOOKUP(L9,[3]enemies!$A:$B,2,FALSE)</f>
        <v>鉄馬駆る聖女 ジャンヌ</v>
      </c>
      <c r="N9" s="18" t="str">
        <f ca="1">VLOOKUP(L9,[3]enemies!$A:$D,4,FALSE)</f>
        <v>blue</v>
      </c>
      <c r="O9" s="18" t="str">
        <f>VLOOKUP(L9,[4]characters!$A:$J,10,FALSE)</f>
        <v>PremiumS</v>
      </c>
      <c r="P9" s="17" t="str">
        <f>VLOOKUP(L9,[4]characters!$A:$M,13,FALSE)</f>
        <v>human</v>
      </c>
      <c r="Q9" s="4">
        <f ca="1">VLOOKUP(L9,[3]enemies!$A:$X,24,FALSE)</f>
        <v>60</v>
      </c>
      <c r="R9" s="5">
        <v>70</v>
      </c>
      <c r="S9" s="44">
        <v>1.7</v>
      </c>
      <c r="T9" s="44">
        <v>2</v>
      </c>
      <c r="U9" s="5">
        <v>0</v>
      </c>
      <c r="V9" s="66">
        <v>400031</v>
      </c>
      <c r="W9" s="4" t="str">
        <f>IFERROR(VLOOKUP(V9,[5]enemy_skill_sets!$B:$E,4,FALSE),VLOOKUP(V9,enemy_skill_sets!B:E,4,FALSE))</f>
        <v>ディスハート</v>
      </c>
      <c r="X9" s="6">
        <v>0</v>
      </c>
      <c r="Y9" s="6">
        <v>100</v>
      </c>
      <c r="Z9" s="6">
        <v>1</v>
      </c>
      <c r="AA9" s="4">
        <f ca="1">VLOOKUP(L9,[3]enemies!$A:$V,22,FALSE)</f>
        <v>2</v>
      </c>
      <c r="AB9" s="20">
        <v>314</v>
      </c>
      <c r="AC9" s="4" t="str">
        <f ca="1">VLOOKUP(AB9,[3]enemies!$A:$B,2,FALSE)</f>
        <v>ジャンヌ</v>
      </c>
      <c r="AD9" s="4">
        <f ca="1">VLOOKUP(AB9,[3]enemies!$A:$E,3,FALSE)</f>
        <v>4</v>
      </c>
      <c r="AE9" s="4" t="str">
        <f>VLOOKUP(L9,[4]characters!$A:$J,10,FALSE)</f>
        <v>PremiumS</v>
      </c>
      <c r="AF9" s="7">
        <v>1</v>
      </c>
      <c r="AG9" s="24">
        <f t="shared" ca="1" si="3"/>
        <v>4</v>
      </c>
      <c r="AH9" s="8">
        <v>30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</row>
  </sheetData>
  <sheetProtection selectLockedCells="1" selectUnlockedCells="1"/>
  <autoFilter ref="B1:AH9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85" zoomScaleNormal="85" zoomScalePageLayoutView="85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R9" sqref="R9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3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7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2.1640625" style="3" bestFit="1" customWidth="1" outlineLevel="1"/>
    <col min="24" max="24" width="10" style="3" bestFit="1" customWidth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4</v>
      </c>
      <c r="X1" s="29" t="s">
        <v>31</v>
      </c>
      <c r="Y1" s="28" t="s">
        <v>8</v>
      </c>
    </row>
    <row r="2" spans="1:25" ht="21" customHeight="1">
      <c r="A2" s="15" t="str">
        <f t="shared" ref="A2" si="0">B2&amp;"_"&amp;C2&amp;"-"&amp;G2&amp;"/"&amp;M2&amp;"&lt;lv"&amp;S2&amp;"&gt;sq"&amp;K2&amp;"st"&amp;L2</f>
        <v>40003_1-3/258&lt;lv60&gt;sq1st2</v>
      </c>
      <c r="B2" s="22">
        <v>40003</v>
      </c>
      <c r="C2" s="55">
        <v>1</v>
      </c>
      <c r="D2" s="2" t="str">
        <f t="shared" ref="D2" si="1">B2&amp;"_"&amp;C2</f>
        <v>40003_1</v>
      </c>
      <c r="E2" s="4" t="str">
        <f ca="1">VLOOKUP($B2,OFFSET([2]quests!$A$1,0,0,COUNTA([2]quests!$A:$A),MATCH(E$1,[2]quests!$1:$1,0)-MATCH($B$1,[2]quests!$1:$1,0)+1),MATCH(E$1,[2]quests!$1:$1,0)-MATCH($B$1,[2]quests!$1:$1,0)+1,FALSE)</f>
        <v>ジャンヌ襲来！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2" s="21">
        <v>3</v>
      </c>
      <c r="H2" s="14" t="str">
        <f t="shared" ref="H2" si="2">B2&amp;"_"&amp;C2&amp;"-"&amp;G2</f>
        <v>40003_1-3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258</v>
      </c>
      <c r="N2" s="16" t="str">
        <f ca="1">VLOOKUP(M2,[3]enemies!$A:$B,2,FALSE)</f>
        <v>色欲の源流 アスモデウス</v>
      </c>
      <c r="O2" s="18" t="str">
        <f ca="1">VLOOKUP(M2,[3]enemies!$A:$D,4,FALSE)</f>
        <v>blue</v>
      </c>
      <c r="P2" s="18" t="str">
        <f>VLOOKUP(M2,[4]characters!$A:$J,10,FALSE)</f>
        <v>PremiumS</v>
      </c>
      <c r="Q2" s="17" t="str">
        <f>VLOOKUP(M2,[4]characters!$A:$M,13,FALSE)</f>
        <v>god</v>
      </c>
      <c r="R2" s="4">
        <f ca="1">VLOOKUP(M2,[3]enemies!$A:$X,24,FALSE)</f>
        <v>60</v>
      </c>
      <c r="S2" s="5">
        <v>60</v>
      </c>
      <c r="T2" s="25">
        <v>1.8</v>
      </c>
      <c r="U2" s="25">
        <v>0.8</v>
      </c>
      <c r="V2" s="5">
        <v>0</v>
      </c>
      <c r="W2" s="57">
        <v>25802</v>
      </c>
      <c r="X2" s="4" t="e">
        <f ca="1">VLOOKUP($W2,OFFSET([5]enemy_skill_sets!$B$1,0,0,COUNTA([5]enemy_skill_sets!$B:$B),MATCH(N$1,[5]enemy_skill_sets!$1:$1,0)-MATCH($W$1,[5]enemy_skill_sets!$1:$1,0)+2),MATCH(N$1,[5]enemy_skill_sets!$1:$1,0)-MATCH($W$1,[5]enemy_skill_sets!$1:$1,0)+2,FALSE)</f>
        <v>#VALUE!</v>
      </c>
      <c r="Y2" s="4">
        <v>2</v>
      </c>
    </row>
    <row r="3" spans="1:25" ht="21" customHeight="1">
      <c r="A3" s="15" t="str">
        <f t="shared" ref="A3:A4" si="3">B3&amp;"_"&amp;C3&amp;"-"&amp;G3&amp;"/"&amp;M3&amp;"&lt;lv"&amp;S3&amp;"&gt;sq"&amp;K3&amp;"st"&amp;L3</f>
        <v>40003_1-4/315&lt;lv70&gt;sq2st2</v>
      </c>
      <c r="B3" s="22">
        <v>40003</v>
      </c>
      <c r="C3" s="55">
        <v>1</v>
      </c>
      <c r="D3" s="2" t="str">
        <f t="shared" ref="D3:D4" si="4">B3&amp;"_"&amp;C3</f>
        <v>40003_1</v>
      </c>
      <c r="E3" s="4" t="str">
        <f ca="1">VLOOKUP($B3,OFFSET([2]quests!$A$1,0,0,COUNTA([2]quests!$A:$A),MATCH(E$1,[2]quests!$1:$1,0)-MATCH($B$1,[2]quests!$1:$1,0)+1),MATCH(E$1,[2]quests!$1:$1,0)-MATCH($B$1,[2]quests!$1:$1,0)+1,FALSE)</f>
        <v>ジャンヌ襲来！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3" s="21">
        <v>4</v>
      </c>
      <c r="H3" s="14" t="str">
        <f t="shared" ref="H3:H4" si="5">B3&amp;"_"&amp;C3&amp;"-"&amp;G3</f>
        <v>40003_1-4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315</v>
      </c>
      <c r="N3" s="16" t="str">
        <f ca="1">VLOOKUP(M3,[3]enemies!$A:$B,2,FALSE)</f>
        <v>鉄馬駆る聖女 ジャンヌ</v>
      </c>
      <c r="O3" s="18" t="str">
        <f ca="1">VLOOKUP(M3,[3]enemies!$A:$D,4,FALSE)</f>
        <v>blue</v>
      </c>
      <c r="P3" s="18" t="str">
        <f>VLOOKUP(M3,[4]characters!$A:$J,10,FALSE)</f>
        <v>PremiumS</v>
      </c>
      <c r="Q3" s="17" t="str">
        <f>VLOOKUP(M3,[4]characters!$A:$M,13,FALSE)</f>
        <v>human</v>
      </c>
      <c r="R3" s="4">
        <f ca="1">VLOOKUP(M3,[3]enemies!$A:$X,24,FALSE)</f>
        <v>60</v>
      </c>
      <c r="S3" s="5">
        <v>70</v>
      </c>
      <c r="T3" s="25">
        <v>2.4</v>
      </c>
      <c r="U3" s="25">
        <v>2</v>
      </c>
      <c r="V3" s="5">
        <v>0</v>
      </c>
      <c r="W3" s="66">
        <v>400032</v>
      </c>
      <c r="X3" s="4" t="e">
        <f ca="1">VLOOKUP($W3,OFFSET([5]enemy_skill_sets!$B$1,0,0,COUNTA([5]enemy_skill_sets!$B:$B),MATCH(N$1,[5]enemy_skill_sets!$1:$1,0)-MATCH($W$1,[5]enemy_skill_sets!$1:$1,0)+2),MATCH(N$1,[5]enemy_skill_sets!$1:$1,0)-MATCH($W$1,[5]enemy_skill_sets!$1:$1,0)+2,FALSE)</f>
        <v>#VALUE!</v>
      </c>
      <c r="Y3" s="4">
        <v>2</v>
      </c>
    </row>
    <row r="4" spans="1:25" s="53" customFormat="1" ht="21" customHeight="1" thickBot="1">
      <c r="A4" s="45" t="str">
        <f t="shared" si="3"/>
        <v>40003_1-4/315&lt;lv70&gt;sq2st3</v>
      </c>
      <c r="B4" s="46">
        <v>40003</v>
      </c>
      <c r="C4" s="56">
        <v>1</v>
      </c>
      <c r="D4" s="48" t="str">
        <f t="shared" si="4"/>
        <v>40003_1</v>
      </c>
      <c r="E4" s="49" t="str">
        <f ca="1">VLOOKUP($B4,OFFSET([2]quests!$A$1,0,0,COUNTA([2]quests!$A:$A),MATCH(E$1,[2]quests!$1:$1,0)-MATCH($B$1,[2]quests!$1:$1,0)+1),MATCH(E$1,[2]quests!$1:$1,0)-MATCH($B$1,[2]quests!$1:$1,0)+1,FALSE)</f>
        <v>ジャンヌ襲来！</v>
      </c>
      <c r="F4" s="49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【ウィザード級】ジャンヌ襲来 </v>
      </c>
      <c r="G4" s="47">
        <v>4</v>
      </c>
      <c r="H4" s="48" t="str">
        <f t="shared" si="5"/>
        <v>40003_1-4</v>
      </c>
      <c r="I4" s="49">
        <f ca="1">VLOOKUP($H4,OFFSET(floors!$A$1,0,0,COUNTA(floors!$A:$A),MATCH(I$1,floors!$1:$1,0)-MATCH($H$1,floors!$1:$1,0)+1),MATCH(I$1,floors!$1:$1,0)-MATCH($H$1,floors!$1:$1,0)+1,FALSE)</f>
        <v>60</v>
      </c>
      <c r="J4" s="49">
        <f ca="1">VLOOKUP($H4,OFFSET(floors!$A$1,0,0,COUNTA(floors!$A:$A),MATCH(J$1,floors!$1:$1,0)-MATCH($H$1,floors!$1:$1,0)+1),MATCH(J$1,floors!$1:$1,0)-MATCH($H$1,floors!$1:$1,0)+1,FALSE)</f>
        <v>60</v>
      </c>
      <c r="K4" s="50">
        <v>2</v>
      </c>
      <c r="L4" s="50">
        <v>3</v>
      </c>
      <c r="M4" s="51">
        <v>315</v>
      </c>
      <c r="N4" s="16" t="str">
        <f ca="1">VLOOKUP(M4,[3]enemies!$A:$B,2,FALSE)</f>
        <v>鉄馬駆る聖女 ジャンヌ</v>
      </c>
      <c r="O4" s="18" t="str">
        <f ca="1">VLOOKUP(M4,[3]enemies!$A:$D,4,FALSE)</f>
        <v>blue</v>
      </c>
      <c r="P4" s="18" t="str">
        <f>VLOOKUP(M4,[4]characters!$A:$J,10,FALSE)</f>
        <v>PremiumS</v>
      </c>
      <c r="Q4" s="17" t="str">
        <f>VLOOKUP(M4,[4]characters!$A:$M,13,FALSE)</f>
        <v>human</v>
      </c>
      <c r="R4" s="4">
        <f ca="1">VLOOKUP(M4,[3]enemies!$A:$X,24,FALSE)</f>
        <v>60</v>
      </c>
      <c r="S4" s="52">
        <v>70</v>
      </c>
      <c r="T4" s="25">
        <v>3.5</v>
      </c>
      <c r="U4" s="25">
        <v>2.2000000000000002</v>
      </c>
      <c r="V4" s="52">
        <v>0</v>
      </c>
      <c r="W4" s="66">
        <v>400033</v>
      </c>
      <c r="X4" s="49" t="e">
        <f ca="1">VLOOKUP($W4,OFFSET([5]enemy_skill_sets!$B$1,0,0,COUNTA([5]enemy_skill_sets!$B:$B),MATCH(N$1,[5]enemy_skill_sets!$1:$1,0)-MATCH($W$1,[5]enemy_skill_sets!$1:$1,0)+2),MATCH(N$1,[5]enemy_skill_sets!$1:$1,0)-MATCH($W$1,[5]enemy_skill_sets!$1:$1,0)+2,FALSE)</f>
        <v>#VALUE!</v>
      </c>
      <c r="Y4" s="49">
        <v>2</v>
      </c>
    </row>
  </sheetData>
  <sheetProtection selectLockedCells="1" selectUnlockedCells="1"/>
  <autoFilter ref="B1:Y3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24"/>
  <sheetViews>
    <sheetView showGridLines="0" tabSelected="1" workbookViewId="0">
      <pane ySplit="1" topLeftCell="A2" activePane="bottomLeft" state="frozenSplit"/>
      <selection activeCell="D17" sqref="D17"/>
      <selection pane="bottomLeft" activeCell="E25" sqref="E25"/>
    </sheetView>
  </sheetViews>
  <sheetFormatPr baseColWidth="12" defaultColWidth="12.83203125" defaultRowHeight="21" customHeight="1" x14ac:dyDescent="0"/>
  <cols>
    <col min="1" max="1" width="12.83203125" style="71"/>
    <col min="2" max="2" width="67.1640625" style="71" customWidth="1"/>
    <col min="3" max="4" width="12.83203125" style="71"/>
    <col min="5" max="5" width="23.6640625" style="71" bestFit="1" customWidth="1"/>
    <col min="6" max="6" width="44.1640625" style="71" bestFit="1" customWidth="1"/>
    <col min="7" max="8" width="12.83203125" style="71"/>
    <col min="9" max="9" width="44.5" style="71" customWidth="1"/>
    <col min="10" max="16384" width="12.83203125" style="71"/>
  </cols>
  <sheetData>
    <row r="1" spans="1:9" ht="21" customHeight="1">
      <c r="A1" s="60" t="s">
        <v>78</v>
      </c>
      <c r="B1" s="60" t="s">
        <v>79</v>
      </c>
      <c r="C1" s="60" t="s">
        <v>80</v>
      </c>
      <c r="D1" s="60" t="s">
        <v>186</v>
      </c>
      <c r="E1" s="60" t="s">
        <v>81</v>
      </c>
      <c r="F1" s="60" t="s">
        <v>82</v>
      </c>
      <c r="G1" s="61" t="s">
        <v>75</v>
      </c>
      <c r="H1" s="61" t="s">
        <v>76</v>
      </c>
      <c r="I1" s="61" t="s">
        <v>77</v>
      </c>
    </row>
    <row r="2" spans="1:9" ht="21" customHeight="1">
      <c r="A2" s="67">
        <v>350008</v>
      </c>
      <c r="B2" s="67" t="s">
        <v>200</v>
      </c>
      <c r="C2" s="72">
        <v>3</v>
      </c>
      <c r="D2" s="72" t="s">
        <v>187</v>
      </c>
      <c r="E2" s="73" t="s">
        <v>101</v>
      </c>
      <c r="F2" s="73" t="s">
        <v>102</v>
      </c>
      <c r="G2" s="72" t="s">
        <v>96</v>
      </c>
      <c r="H2" s="74">
        <v>42278</v>
      </c>
      <c r="I2" s="72" t="s">
        <v>97</v>
      </c>
    </row>
    <row r="3" spans="1:9" ht="21" customHeight="1">
      <c r="A3" s="67">
        <v>360003</v>
      </c>
      <c r="B3" s="67" t="s">
        <v>194</v>
      </c>
      <c r="C3" s="72">
        <v>3</v>
      </c>
      <c r="D3" s="72" t="s">
        <v>187</v>
      </c>
      <c r="E3" s="67" t="s">
        <v>103</v>
      </c>
      <c r="F3" s="67" t="s">
        <v>104</v>
      </c>
      <c r="G3" s="72" t="s">
        <v>96</v>
      </c>
      <c r="H3" s="74">
        <v>42278</v>
      </c>
      <c r="I3" s="72" t="s">
        <v>97</v>
      </c>
    </row>
    <row r="4" spans="1:9" ht="21" customHeight="1">
      <c r="A4" s="67">
        <v>340015</v>
      </c>
      <c r="B4" s="67" t="s">
        <v>197</v>
      </c>
      <c r="C4" s="72">
        <v>3</v>
      </c>
      <c r="D4" s="72" t="s">
        <v>187</v>
      </c>
      <c r="E4" s="67" t="s">
        <v>105</v>
      </c>
      <c r="F4" s="67" t="s">
        <v>106</v>
      </c>
      <c r="G4" s="72" t="s">
        <v>96</v>
      </c>
      <c r="H4" s="74">
        <v>42291</v>
      </c>
      <c r="I4" s="72" t="s">
        <v>97</v>
      </c>
    </row>
    <row r="5" spans="1:9" ht="21" customHeight="1">
      <c r="A5" s="67">
        <v>230028</v>
      </c>
      <c r="B5" s="67" t="s">
        <v>193</v>
      </c>
      <c r="C5" s="72">
        <v>3</v>
      </c>
      <c r="D5" s="72" t="s">
        <v>187</v>
      </c>
      <c r="E5" s="73" t="s">
        <v>107</v>
      </c>
      <c r="F5" s="73" t="s">
        <v>108</v>
      </c>
      <c r="G5" s="72" t="s">
        <v>96</v>
      </c>
      <c r="H5" s="74">
        <v>42278</v>
      </c>
      <c r="I5" s="72" t="s">
        <v>97</v>
      </c>
    </row>
    <row r="6" spans="1:9" ht="21" customHeight="1">
      <c r="A6" s="67">
        <v>500030</v>
      </c>
      <c r="B6" s="67" t="s">
        <v>109</v>
      </c>
      <c r="C6" s="72">
        <v>3</v>
      </c>
      <c r="D6" s="72" t="s">
        <v>187</v>
      </c>
      <c r="E6" s="73" t="s">
        <v>110</v>
      </c>
      <c r="F6" s="73" t="s">
        <v>111</v>
      </c>
      <c r="G6" s="72" t="s">
        <v>96</v>
      </c>
      <c r="H6" s="74">
        <v>42277</v>
      </c>
      <c r="I6" s="72" t="s">
        <v>97</v>
      </c>
    </row>
    <row r="7" spans="1:9" ht="21" customHeight="1">
      <c r="A7" s="67">
        <v>500031</v>
      </c>
      <c r="B7" s="67" t="s">
        <v>112</v>
      </c>
      <c r="C7" s="72">
        <v>3</v>
      </c>
      <c r="D7" s="72" t="s">
        <v>187</v>
      </c>
      <c r="E7" s="73" t="s">
        <v>113</v>
      </c>
      <c r="F7" s="73" t="s">
        <v>114</v>
      </c>
      <c r="G7" s="72" t="s">
        <v>96</v>
      </c>
      <c r="H7" s="74">
        <v>42277</v>
      </c>
      <c r="I7" s="72" t="s">
        <v>97</v>
      </c>
    </row>
    <row r="8" spans="1:9" ht="21" customHeight="1">
      <c r="A8" s="67">
        <v>500032</v>
      </c>
      <c r="B8" s="67" t="s">
        <v>115</v>
      </c>
      <c r="C8" s="72">
        <v>3</v>
      </c>
      <c r="D8" s="72" t="s">
        <v>187</v>
      </c>
      <c r="E8" s="73" t="s">
        <v>116</v>
      </c>
      <c r="F8" s="73" t="s">
        <v>117</v>
      </c>
      <c r="G8" s="72" t="s">
        <v>96</v>
      </c>
      <c r="H8" s="74">
        <v>42277</v>
      </c>
      <c r="I8" s="72" t="s">
        <v>97</v>
      </c>
    </row>
    <row r="9" spans="1:9" ht="21" customHeight="1">
      <c r="A9" s="67">
        <v>210031</v>
      </c>
      <c r="B9" s="67" t="s">
        <v>158</v>
      </c>
      <c r="C9" s="72">
        <v>3</v>
      </c>
      <c r="D9" s="72" t="s">
        <v>187</v>
      </c>
      <c r="E9" s="67" t="s">
        <v>124</v>
      </c>
      <c r="F9" s="73" t="s">
        <v>125</v>
      </c>
      <c r="G9" s="72" t="s">
        <v>96</v>
      </c>
      <c r="H9" s="74">
        <v>42291</v>
      </c>
      <c r="I9" s="72" t="s">
        <v>120</v>
      </c>
    </row>
    <row r="10" spans="1:9" ht="21" customHeight="1">
      <c r="A10" s="67">
        <v>210032</v>
      </c>
      <c r="B10" s="67" t="s">
        <v>126</v>
      </c>
      <c r="C10" s="72">
        <v>3</v>
      </c>
      <c r="D10" s="72" t="s">
        <v>187</v>
      </c>
      <c r="E10" s="67" t="s">
        <v>127</v>
      </c>
      <c r="F10" s="73" t="s">
        <v>128</v>
      </c>
      <c r="G10" s="72" t="s">
        <v>96</v>
      </c>
      <c r="H10" s="74">
        <v>42291</v>
      </c>
      <c r="I10" s="72" t="s">
        <v>120</v>
      </c>
    </row>
    <row r="11" spans="1:9" ht="21" customHeight="1">
      <c r="A11" s="67">
        <v>210033</v>
      </c>
      <c r="B11" s="67" t="s">
        <v>129</v>
      </c>
      <c r="C11" s="72">
        <v>3</v>
      </c>
      <c r="D11" s="72" t="s">
        <v>187</v>
      </c>
      <c r="E11" s="67" t="s">
        <v>130</v>
      </c>
      <c r="F11" s="73" t="s">
        <v>131</v>
      </c>
      <c r="G11" s="72" t="s">
        <v>96</v>
      </c>
      <c r="H11" s="74">
        <v>42291</v>
      </c>
      <c r="I11" s="72" t="s">
        <v>120</v>
      </c>
    </row>
    <row r="12" spans="1:9" ht="21" customHeight="1">
      <c r="A12" s="67">
        <v>210034</v>
      </c>
      <c r="B12" s="67" t="s">
        <v>118</v>
      </c>
      <c r="C12" s="72">
        <v>3</v>
      </c>
      <c r="D12" s="72" t="s">
        <v>187</v>
      </c>
      <c r="E12" s="67" t="s">
        <v>119</v>
      </c>
      <c r="F12" s="73" t="s">
        <v>150</v>
      </c>
      <c r="G12" s="72" t="s">
        <v>96</v>
      </c>
      <c r="H12" s="74">
        <v>42291</v>
      </c>
      <c r="I12" s="72" t="s">
        <v>120</v>
      </c>
    </row>
    <row r="13" spans="1:9" ht="21" customHeight="1">
      <c r="A13" s="67">
        <v>100033</v>
      </c>
      <c r="B13" s="67" t="s">
        <v>121</v>
      </c>
      <c r="C13" s="72">
        <v>3</v>
      </c>
      <c r="D13" s="72" t="s">
        <v>187</v>
      </c>
      <c r="E13" s="67" t="s">
        <v>122</v>
      </c>
      <c r="F13" s="73" t="s">
        <v>123</v>
      </c>
      <c r="G13" s="72" t="s">
        <v>96</v>
      </c>
      <c r="H13" s="74">
        <v>42291</v>
      </c>
      <c r="I13" s="72" t="s">
        <v>120</v>
      </c>
    </row>
    <row r="14" spans="1:9" ht="21" customHeight="1">
      <c r="A14" s="67">
        <v>40003001</v>
      </c>
      <c r="B14" s="78" t="s">
        <v>195</v>
      </c>
      <c r="C14" s="72">
        <v>3</v>
      </c>
      <c r="D14" s="72" t="s">
        <v>187</v>
      </c>
      <c r="E14" s="67" t="s">
        <v>134</v>
      </c>
      <c r="F14" s="67" t="s">
        <v>135</v>
      </c>
      <c r="G14" s="72"/>
      <c r="H14" s="72"/>
      <c r="I14" s="72"/>
    </row>
    <row r="15" spans="1:9" ht="21" customHeight="1">
      <c r="A15" s="67">
        <v>40003002</v>
      </c>
      <c r="B15" s="67" t="s">
        <v>144</v>
      </c>
      <c r="C15" s="72">
        <v>3</v>
      </c>
      <c r="D15" s="72" t="s">
        <v>187</v>
      </c>
      <c r="E15" s="67" t="s">
        <v>143</v>
      </c>
      <c r="F15" s="73" t="s">
        <v>155</v>
      </c>
      <c r="G15" s="72" t="s">
        <v>96</v>
      </c>
      <c r="H15" s="74">
        <v>42291</v>
      </c>
      <c r="I15" s="72"/>
    </row>
    <row r="16" spans="1:9" ht="21" customHeight="1">
      <c r="A16" s="67">
        <v>40003003</v>
      </c>
      <c r="B16" s="79" t="s">
        <v>190</v>
      </c>
      <c r="C16" s="72">
        <v>3</v>
      </c>
      <c r="D16" s="72" t="s">
        <v>187</v>
      </c>
      <c r="E16" s="81" t="s">
        <v>142</v>
      </c>
      <c r="F16" s="73" t="s">
        <v>196</v>
      </c>
      <c r="G16" s="80" t="s">
        <v>96</v>
      </c>
      <c r="H16" s="82">
        <v>42291</v>
      </c>
      <c r="I16" s="80" t="s">
        <v>97</v>
      </c>
    </row>
    <row r="17" spans="1:9" ht="23" customHeight="1">
      <c r="A17" s="67">
        <v>40003004</v>
      </c>
      <c r="B17" s="67" t="s">
        <v>189</v>
      </c>
      <c r="C17" s="72">
        <v>3</v>
      </c>
      <c r="D17" s="72" t="s">
        <v>187</v>
      </c>
      <c r="E17" s="73" t="s">
        <v>159</v>
      </c>
      <c r="F17" s="73" t="s">
        <v>160</v>
      </c>
      <c r="G17" s="72" t="s">
        <v>132</v>
      </c>
      <c r="H17" s="74">
        <v>42291</v>
      </c>
      <c r="I17" s="72" t="s">
        <v>133</v>
      </c>
    </row>
    <row r="18" spans="1:9" ht="21" customHeight="1">
      <c r="A18" s="67">
        <v>40003005</v>
      </c>
      <c r="B18" s="67" t="s">
        <v>151</v>
      </c>
      <c r="C18" s="72">
        <v>3</v>
      </c>
      <c r="D18" s="72" t="s">
        <v>187</v>
      </c>
      <c r="E18" s="73" t="s">
        <v>145</v>
      </c>
      <c r="F18" s="73" t="s">
        <v>136</v>
      </c>
      <c r="G18" s="72" t="s">
        <v>132</v>
      </c>
      <c r="H18" s="74">
        <v>42291</v>
      </c>
      <c r="I18" s="72" t="s">
        <v>133</v>
      </c>
    </row>
    <row r="19" spans="1:9" ht="21" customHeight="1">
      <c r="A19" s="67">
        <v>40003006</v>
      </c>
      <c r="B19" s="67" t="s">
        <v>152</v>
      </c>
      <c r="C19" s="72">
        <v>3</v>
      </c>
      <c r="D19" s="72" t="s">
        <v>187</v>
      </c>
      <c r="E19" s="73" t="s">
        <v>146</v>
      </c>
      <c r="F19" s="73" t="s">
        <v>137</v>
      </c>
      <c r="G19" s="72" t="s">
        <v>132</v>
      </c>
      <c r="H19" s="74">
        <v>42291</v>
      </c>
      <c r="I19" s="72" t="s">
        <v>133</v>
      </c>
    </row>
    <row r="20" spans="1:9" ht="21" customHeight="1">
      <c r="A20" s="67">
        <v>40003007</v>
      </c>
      <c r="B20" s="67" t="s">
        <v>153</v>
      </c>
      <c r="C20" s="72">
        <v>3</v>
      </c>
      <c r="D20" s="72" t="s">
        <v>187</v>
      </c>
      <c r="E20" s="73" t="s">
        <v>147</v>
      </c>
      <c r="F20" s="73" t="s">
        <v>138</v>
      </c>
      <c r="G20" s="72" t="s">
        <v>132</v>
      </c>
      <c r="H20" s="74">
        <v>42291</v>
      </c>
      <c r="I20" s="72" t="s">
        <v>133</v>
      </c>
    </row>
    <row r="21" spans="1:9" ht="21" customHeight="1">
      <c r="A21" s="67">
        <v>40003008</v>
      </c>
      <c r="B21" s="67" t="s">
        <v>154</v>
      </c>
      <c r="C21" s="72">
        <v>3</v>
      </c>
      <c r="D21" s="72" t="s">
        <v>187</v>
      </c>
      <c r="E21" s="73" t="s">
        <v>148</v>
      </c>
      <c r="F21" s="73" t="s">
        <v>139</v>
      </c>
      <c r="G21" s="72" t="s">
        <v>132</v>
      </c>
      <c r="H21" s="74">
        <v>42291</v>
      </c>
      <c r="I21" s="72" t="s">
        <v>133</v>
      </c>
    </row>
    <row r="22" spans="1:9" ht="21" customHeight="1">
      <c r="A22" s="67">
        <v>40003009</v>
      </c>
      <c r="B22" s="67" t="s">
        <v>141</v>
      </c>
      <c r="C22" s="72">
        <v>3</v>
      </c>
      <c r="D22" s="72" t="s">
        <v>187</v>
      </c>
      <c r="E22" s="73" t="s">
        <v>149</v>
      </c>
      <c r="F22" s="73" t="s">
        <v>140</v>
      </c>
      <c r="G22" s="72" t="s">
        <v>132</v>
      </c>
      <c r="H22" s="74">
        <v>42291</v>
      </c>
      <c r="I22" s="72" t="s">
        <v>133</v>
      </c>
    </row>
    <row r="23" spans="1:9" ht="21" customHeight="1">
      <c r="A23" s="67">
        <v>40003010</v>
      </c>
      <c r="B23" s="67" t="s">
        <v>121</v>
      </c>
      <c r="C23" s="72">
        <v>3</v>
      </c>
      <c r="D23" s="72" t="s">
        <v>187</v>
      </c>
      <c r="E23" s="67" t="s">
        <v>156</v>
      </c>
      <c r="F23" s="73" t="s">
        <v>157</v>
      </c>
      <c r="G23" s="72" t="s">
        <v>132</v>
      </c>
      <c r="H23" s="74">
        <v>42292</v>
      </c>
      <c r="I23" s="72" t="s">
        <v>133</v>
      </c>
    </row>
    <row r="24" spans="1:9" ht="21" customHeight="1">
      <c r="A24" s="67">
        <v>40003011</v>
      </c>
      <c r="B24" s="67" t="s">
        <v>201</v>
      </c>
      <c r="C24" s="72">
        <v>3</v>
      </c>
      <c r="D24" s="72" t="s">
        <v>187</v>
      </c>
      <c r="E24" s="72" t="s">
        <v>192</v>
      </c>
      <c r="F24" s="72" t="s">
        <v>191</v>
      </c>
      <c r="G24" s="72" t="s">
        <v>132</v>
      </c>
      <c r="H24" s="74">
        <v>42297</v>
      </c>
      <c r="I24" s="72" t="s">
        <v>133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5"/>
  <sheetViews>
    <sheetView showGridLines="0" workbookViewId="0">
      <pane ySplit="1" topLeftCell="A2" activePane="bottomLeft" state="frozenSplit"/>
      <selection activeCell="H205" sqref="H205"/>
      <selection pane="bottomLeft" activeCell="E16" sqref="E16"/>
    </sheetView>
  </sheetViews>
  <sheetFormatPr baseColWidth="12" defaultColWidth="12.83203125" defaultRowHeight="21" customHeight="1" x14ac:dyDescent="0"/>
  <cols>
    <col min="1" max="1" width="16.1640625" style="71" bestFit="1" customWidth="1"/>
    <col min="2" max="2" width="13.33203125" style="71" bestFit="1" customWidth="1"/>
    <col min="3" max="3" width="11.83203125" style="71" bestFit="1" customWidth="1"/>
    <col min="4" max="4" width="14.6640625" style="71" bestFit="1" customWidth="1"/>
    <col min="5" max="5" width="15.6640625" style="71" bestFit="1" customWidth="1"/>
    <col min="6" max="6" width="17" style="71" bestFit="1" customWidth="1"/>
    <col min="7" max="7" width="15.6640625" style="71" bestFit="1" customWidth="1"/>
    <col min="8" max="9" width="14.6640625" style="71" customWidth="1"/>
    <col min="10" max="10" width="14.6640625" style="71" bestFit="1" customWidth="1"/>
    <col min="11" max="11" width="22.83203125" style="59" bestFit="1" customWidth="1"/>
    <col min="12" max="16384" width="12.83203125" style="65"/>
  </cols>
  <sheetData>
    <row r="1" spans="1:11" ht="21" customHeight="1">
      <c r="A1" s="62" t="s">
        <v>62</v>
      </c>
      <c r="B1" s="62" t="s">
        <v>64</v>
      </c>
      <c r="C1" s="62" t="s">
        <v>66</v>
      </c>
      <c r="D1" s="62" t="s">
        <v>68</v>
      </c>
      <c r="E1" s="62" t="s">
        <v>83</v>
      </c>
      <c r="F1" s="75" t="s">
        <v>84</v>
      </c>
      <c r="G1" s="75" t="s">
        <v>71</v>
      </c>
      <c r="H1" s="62" t="s">
        <v>72</v>
      </c>
      <c r="I1" s="62" t="s">
        <v>73</v>
      </c>
      <c r="J1" s="62" t="s">
        <v>74</v>
      </c>
      <c r="K1" s="76" t="s">
        <v>85</v>
      </c>
    </row>
    <row r="2" spans="1:11" ht="21" customHeight="1">
      <c r="A2" s="67">
        <v>40003001</v>
      </c>
      <c r="B2" s="67">
        <v>0</v>
      </c>
      <c r="C2" s="67" t="s">
        <v>86</v>
      </c>
      <c r="D2" s="67">
        <v>40</v>
      </c>
      <c r="E2" s="67" t="s">
        <v>86</v>
      </c>
      <c r="F2" s="67" t="s">
        <v>86</v>
      </c>
      <c r="G2" s="67" t="s">
        <v>86</v>
      </c>
      <c r="H2" s="67" t="s">
        <v>86</v>
      </c>
      <c r="I2" s="67" t="s">
        <v>86</v>
      </c>
      <c r="J2" s="69">
        <v>40</v>
      </c>
    </row>
    <row r="3" spans="1:11" ht="21" customHeight="1">
      <c r="A3" s="67">
        <v>40003002</v>
      </c>
      <c r="B3" s="67">
        <v>0</v>
      </c>
      <c r="C3" s="67" t="s">
        <v>86</v>
      </c>
      <c r="D3" s="67">
        <v>50</v>
      </c>
      <c r="E3" s="67" t="s">
        <v>86</v>
      </c>
      <c r="F3" s="67" t="s">
        <v>86</v>
      </c>
      <c r="G3" s="67">
        <v>2</v>
      </c>
      <c r="H3" s="67" t="s">
        <v>86</v>
      </c>
      <c r="I3" s="67" t="s">
        <v>86</v>
      </c>
      <c r="J3" s="69">
        <v>50</v>
      </c>
    </row>
    <row r="4" spans="1:11" ht="21" customHeight="1">
      <c r="A4" s="67">
        <v>40003003</v>
      </c>
      <c r="B4" s="67">
        <v>0</v>
      </c>
      <c r="C4" s="67" t="s">
        <v>86</v>
      </c>
      <c r="D4" s="67">
        <v>100</v>
      </c>
      <c r="E4" s="67">
        <v>10</v>
      </c>
      <c r="F4" s="67" t="s">
        <v>86</v>
      </c>
      <c r="G4" s="67">
        <v>1</v>
      </c>
      <c r="H4" s="67" t="s">
        <v>86</v>
      </c>
      <c r="I4" s="67" t="s">
        <v>86</v>
      </c>
      <c r="J4" s="69">
        <v>100</v>
      </c>
    </row>
    <row r="5" spans="1:11" ht="21" customHeight="1">
      <c r="A5" s="67">
        <v>40003004</v>
      </c>
      <c r="B5" s="67">
        <v>0</v>
      </c>
      <c r="C5" s="67" t="s">
        <v>86</v>
      </c>
      <c r="D5" s="67">
        <v>50</v>
      </c>
      <c r="E5" s="67" t="s">
        <v>86</v>
      </c>
      <c r="F5" s="67" t="s">
        <v>86</v>
      </c>
      <c r="G5" s="67" t="s">
        <v>86</v>
      </c>
      <c r="H5" s="67" t="s">
        <v>86</v>
      </c>
      <c r="I5" s="67" t="s">
        <v>86</v>
      </c>
      <c r="J5" s="69">
        <v>50</v>
      </c>
    </row>
    <row r="6" spans="1:11" ht="21" customHeight="1">
      <c r="A6" s="67">
        <v>40003005</v>
      </c>
      <c r="B6" s="67">
        <v>1</v>
      </c>
      <c r="C6" s="67" t="s">
        <v>86</v>
      </c>
      <c r="D6" s="67">
        <v>100</v>
      </c>
      <c r="E6" s="67" t="s">
        <v>86</v>
      </c>
      <c r="F6" s="67" t="s">
        <v>86</v>
      </c>
      <c r="G6" s="67">
        <v>1</v>
      </c>
      <c r="H6" s="67" t="s">
        <v>86</v>
      </c>
      <c r="I6" s="67" t="s">
        <v>86</v>
      </c>
      <c r="J6" s="69">
        <v>100</v>
      </c>
    </row>
    <row r="7" spans="1:11" ht="21" customHeight="1">
      <c r="A7" s="67">
        <v>40003006</v>
      </c>
      <c r="B7" s="67">
        <v>0</v>
      </c>
      <c r="C7" s="67" t="s">
        <v>86</v>
      </c>
      <c r="D7" s="67">
        <v>100</v>
      </c>
      <c r="E7" s="67">
        <v>50</v>
      </c>
      <c r="F7" s="67" t="s">
        <v>86</v>
      </c>
      <c r="G7" s="67" t="s">
        <v>86</v>
      </c>
      <c r="H7" s="67" t="s">
        <v>86</v>
      </c>
      <c r="I7" s="67" t="s">
        <v>86</v>
      </c>
      <c r="J7" s="69">
        <v>100</v>
      </c>
    </row>
    <row r="8" spans="1:11" ht="21" customHeight="1">
      <c r="A8" s="67">
        <v>40003007</v>
      </c>
      <c r="B8" s="67">
        <v>0</v>
      </c>
      <c r="C8" s="67" t="s">
        <v>86</v>
      </c>
      <c r="D8" s="67">
        <v>100</v>
      </c>
      <c r="E8" s="67">
        <v>70</v>
      </c>
      <c r="F8" s="67" t="s">
        <v>86</v>
      </c>
      <c r="G8" s="67" t="s">
        <v>86</v>
      </c>
      <c r="H8" s="67" t="s">
        <v>86</v>
      </c>
      <c r="I8" s="67" t="s">
        <v>86</v>
      </c>
      <c r="J8" s="67">
        <v>100</v>
      </c>
    </row>
    <row r="9" spans="1:11" ht="21" customHeight="1">
      <c r="A9" s="67">
        <v>40003008</v>
      </c>
      <c r="B9" s="67">
        <v>0</v>
      </c>
      <c r="C9" s="67" t="s">
        <v>86</v>
      </c>
      <c r="D9" s="67">
        <v>100</v>
      </c>
      <c r="E9" s="67">
        <v>90</v>
      </c>
      <c r="F9" s="67" t="s">
        <v>86</v>
      </c>
      <c r="G9" s="67" t="s">
        <v>86</v>
      </c>
      <c r="H9" s="67" t="s">
        <v>86</v>
      </c>
      <c r="I9" s="67" t="s">
        <v>86</v>
      </c>
      <c r="J9" s="67">
        <v>100</v>
      </c>
    </row>
    <row r="10" spans="1:11" ht="21" customHeight="1">
      <c r="A10" s="67">
        <v>40003009</v>
      </c>
      <c r="B10" s="67">
        <v>0</v>
      </c>
      <c r="C10" s="67" t="s">
        <v>86</v>
      </c>
      <c r="D10" s="67">
        <v>100</v>
      </c>
      <c r="E10" s="67">
        <v>45</v>
      </c>
      <c r="F10" s="67" t="s">
        <v>86</v>
      </c>
      <c r="G10" s="67" t="s">
        <v>86</v>
      </c>
      <c r="H10" s="67" t="s">
        <v>86</v>
      </c>
      <c r="I10" s="67" t="s">
        <v>86</v>
      </c>
      <c r="J10" s="67">
        <v>100</v>
      </c>
    </row>
    <row r="11" spans="1:11" ht="21" customHeight="1">
      <c r="A11" s="67">
        <v>40003010</v>
      </c>
      <c r="B11" s="67">
        <v>0</v>
      </c>
      <c r="C11" s="67" t="s">
        <v>86</v>
      </c>
      <c r="D11" s="67">
        <v>100</v>
      </c>
      <c r="E11" s="67">
        <v>30</v>
      </c>
      <c r="F11" s="67" t="s">
        <v>86</v>
      </c>
      <c r="G11" s="67" t="s">
        <v>86</v>
      </c>
      <c r="H11" s="67" t="s">
        <v>86</v>
      </c>
      <c r="I11" s="67" t="s">
        <v>86</v>
      </c>
      <c r="J11" s="67">
        <v>100</v>
      </c>
    </row>
    <row r="12" spans="1:11" ht="21" customHeight="1">
      <c r="A12" s="67">
        <v>40003011</v>
      </c>
      <c r="B12" s="67">
        <v>0</v>
      </c>
      <c r="C12" s="67" t="s">
        <v>86</v>
      </c>
      <c r="D12" s="67">
        <v>40</v>
      </c>
      <c r="E12" s="67" t="s">
        <v>86</v>
      </c>
      <c r="F12" s="67" t="s">
        <v>86</v>
      </c>
      <c r="G12" s="67">
        <v>1</v>
      </c>
      <c r="H12" s="67" t="s">
        <v>86</v>
      </c>
      <c r="I12" s="67" t="s">
        <v>86</v>
      </c>
      <c r="J12" s="67">
        <v>100</v>
      </c>
    </row>
    <row r="13" spans="1:11" ht="21" customHeight="1">
      <c r="A13" s="67">
        <v>40003012</v>
      </c>
      <c r="B13" s="67">
        <v>0</v>
      </c>
      <c r="C13" s="67" t="s">
        <v>86</v>
      </c>
      <c r="D13" s="67">
        <v>100</v>
      </c>
      <c r="E13" s="67">
        <v>50</v>
      </c>
      <c r="F13" s="67" t="s">
        <v>86</v>
      </c>
      <c r="G13" s="67">
        <v>1</v>
      </c>
      <c r="H13" s="67" t="s">
        <v>86</v>
      </c>
      <c r="I13" s="67" t="s">
        <v>86</v>
      </c>
      <c r="J13" s="69">
        <v>100</v>
      </c>
    </row>
    <row r="14" spans="1:11" ht="21" customHeight="1">
      <c r="A14" s="67">
        <v>40003013</v>
      </c>
      <c r="B14" s="67">
        <v>0</v>
      </c>
      <c r="C14" s="67" t="s">
        <v>86</v>
      </c>
      <c r="D14" s="67">
        <v>100</v>
      </c>
      <c r="E14" s="67" t="s">
        <v>86</v>
      </c>
      <c r="F14" s="67" t="s">
        <v>86</v>
      </c>
      <c r="G14" s="67">
        <v>1</v>
      </c>
      <c r="H14" s="67" t="s">
        <v>86</v>
      </c>
      <c r="I14" s="67" t="s">
        <v>86</v>
      </c>
      <c r="J14" s="69">
        <v>100</v>
      </c>
    </row>
    <row r="15" spans="1:11" ht="21" customHeight="1">
      <c r="A15" s="67">
        <v>40003014</v>
      </c>
      <c r="B15" s="67">
        <v>0</v>
      </c>
      <c r="C15" s="67" t="s">
        <v>86</v>
      </c>
      <c r="D15" s="67">
        <v>100</v>
      </c>
      <c r="E15" s="67">
        <v>60</v>
      </c>
      <c r="F15" s="67" t="s">
        <v>86</v>
      </c>
      <c r="G15" s="67">
        <v>1</v>
      </c>
      <c r="H15" s="67" t="s">
        <v>86</v>
      </c>
      <c r="I15" s="67" t="s">
        <v>86</v>
      </c>
      <c r="J15" s="69">
        <v>100</v>
      </c>
    </row>
  </sheetData>
  <autoFilter ref="A1:G1"/>
  <phoneticPr fontId="3"/>
  <conditionalFormatting sqref="K16:K1048576 K1:K9">
    <cfRule type="duplicateValues" dxfId="6" priority="9"/>
  </conditionalFormatting>
  <conditionalFormatting sqref="K10">
    <cfRule type="duplicateValues" dxfId="5" priority="8"/>
  </conditionalFormatting>
  <conditionalFormatting sqref="K11">
    <cfRule type="duplicateValues" dxfId="4" priority="7"/>
  </conditionalFormatting>
  <conditionalFormatting sqref="K12">
    <cfRule type="duplicateValues" dxfId="3" priority="5"/>
  </conditionalFormatting>
  <conditionalFormatting sqref="K13">
    <cfRule type="duplicateValues" dxfId="2" priority="4"/>
  </conditionalFormatting>
  <conditionalFormatting sqref="K14">
    <cfRule type="duplicateValues" dxfId="1" priority="3"/>
  </conditionalFormatting>
  <conditionalFormatting sqref="K15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4" activePane="bottomRight" state="frozen"/>
      <selection pane="topRight" activeCell="F1" sqref="F1"/>
      <selection pane="bottomLeft" activeCell="A2" sqref="A2"/>
      <selection pane="bottomRight" activeCell="D11" sqref="D11"/>
    </sheetView>
  </sheetViews>
  <sheetFormatPr baseColWidth="12" defaultColWidth="12.83203125" defaultRowHeight="21" customHeight="1" outlineLevelCol="1" x14ac:dyDescent="0"/>
  <cols>
    <col min="1" max="1" width="11.33203125" style="59" bestFit="1" customWidth="1"/>
    <col min="2" max="2" width="11.5" style="71" bestFit="1" customWidth="1"/>
    <col min="3" max="3" width="13.1640625" style="71" customWidth="1"/>
    <col min="4" max="4" width="18.5" style="71" customWidth="1" outlineLevel="1"/>
    <col min="5" max="5" width="44.1640625" style="71" bestFit="1" customWidth="1" outlineLevel="1"/>
    <col min="6" max="6" width="10.83203125" style="71" bestFit="1" customWidth="1"/>
    <col min="7" max="7" width="8.33203125" style="71" bestFit="1" customWidth="1" outlineLevel="1"/>
    <col min="8" max="9" width="12.83203125" style="71" outlineLevel="1"/>
    <col min="10" max="10" width="17.6640625" style="71" bestFit="1" customWidth="1" outlineLevel="1"/>
    <col min="11" max="15" width="12.83203125" style="71" outlineLevel="1"/>
    <col min="16" max="16" width="8.33203125" style="65" bestFit="1" customWidth="1"/>
    <col min="17" max="17" width="9.6640625" style="65" customWidth="1"/>
    <col min="18" max="18" width="56.5" style="65" bestFit="1" customWidth="1"/>
    <col min="19" max="16384" width="12.83203125" style="65"/>
  </cols>
  <sheetData>
    <row r="1" spans="1:18" ht="21" customHeight="1">
      <c r="A1" s="59" t="s">
        <v>57</v>
      </c>
      <c r="B1" s="60" t="s">
        <v>58</v>
      </c>
      <c r="C1" s="60" t="s">
        <v>59</v>
      </c>
      <c r="D1" s="61" t="s">
        <v>60</v>
      </c>
      <c r="E1" s="61" t="s">
        <v>61</v>
      </c>
      <c r="F1" s="62" t="s">
        <v>63</v>
      </c>
      <c r="G1" s="63" t="s">
        <v>65</v>
      </c>
      <c r="H1" s="63" t="s">
        <v>67</v>
      </c>
      <c r="I1" s="63" t="s">
        <v>68</v>
      </c>
      <c r="J1" s="63" t="s">
        <v>69</v>
      </c>
      <c r="K1" s="64" t="s">
        <v>70</v>
      </c>
      <c r="L1" s="64" t="s">
        <v>71</v>
      </c>
      <c r="M1" s="63" t="s">
        <v>72</v>
      </c>
      <c r="N1" s="63" t="s">
        <v>73</v>
      </c>
      <c r="O1" s="63" t="s">
        <v>74</v>
      </c>
      <c r="P1" s="61" t="s">
        <v>75</v>
      </c>
      <c r="Q1" s="61" t="s">
        <v>76</v>
      </c>
      <c r="R1" s="61" t="s">
        <v>77</v>
      </c>
    </row>
    <row r="2" spans="1:18" ht="21" customHeight="1">
      <c r="A2" s="59" t="str">
        <f t="shared" ref="A2:A26" si="0">B2&amp;"_"&amp;C2</f>
        <v>15502_350008</v>
      </c>
      <c r="B2" s="67">
        <v>15502</v>
      </c>
      <c r="C2" s="67">
        <v>350008</v>
      </c>
      <c r="D2" s="68" t="str">
        <f>VLOOKUP($C2,enemy_skills!$A:$F,4,FALSE)</f>
        <v>ja</v>
      </c>
      <c r="E2" s="68" t="str">
        <f>VLOOKUP($C2,enemy_skills!$A:$F,5,FALSE)</f>
        <v>衰弱ウィルス</v>
      </c>
      <c r="F2" s="67">
        <v>40003001</v>
      </c>
      <c r="G2" s="69">
        <f>VLOOKUP($F2,enemy_skill_triggers!$A:$J,2,FALSE)</f>
        <v>0</v>
      </c>
      <c r="H2" s="69" t="str">
        <f>VLOOKUP($F2,enemy_skill_triggers!$A:$J,3,FALSE)</f>
        <v>null</v>
      </c>
      <c r="I2" s="69">
        <f>VLOOKUP($F2,enemy_skill_triggers!$A:$J,4,FALSE)</f>
        <v>40</v>
      </c>
      <c r="J2" s="69" t="str">
        <f>VLOOKUP($F2,enemy_skill_triggers!$A:$J,5,FALSE)</f>
        <v>null</v>
      </c>
      <c r="K2" s="69" t="str">
        <f>VLOOKUP($F2,enemy_skill_triggers!$A:$J,6,FALSE)</f>
        <v>null</v>
      </c>
      <c r="L2" s="69" t="str">
        <f>VLOOKUP($F2,enemy_skill_triggers!$A:$J,7,FALSE)</f>
        <v>null</v>
      </c>
      <c r="M2" s="69" t="str">
        <f>VLOOKUP($F2,enemy_skill_triggers!$A:$J,8,FALSE)</f>
        <v>null</v>
      </c>
      <c r="N2" s="69" t="str">
        <f>VLOOKUP($F2,enemy_skill_triggers!$A:$J,9,FALSE)</f>
        <v>null</v>
      </c>
      <c r="O2" s="69">
        <f>VLOOKUP($F2,enemy_skill_triggers!$A:$J,10,FALSE)</f>
        <v>40</v>
      </c>
      <c r="P2" s="67" t="s">
        <v>96</v>
      </c>
      <c r="Q2" s="70">
        <v>42278</v>
      </c>
      <c r="R2" s="72" t="s">
        <v>97</v>
      </c>
    </row>
    <row r="3" spans="1:18" ht="21" customHeight="1">
      <c r="A3" s="59" t="str">
        <f t="shared" si="0"/>
        <v>15502_360003</v>
      </c>
      <c r="B3" s="67">
        <v>15502</v>
      </c>
      <c r="C3" s="67">
        <v>360003</v>
      </c>
      <c r="D3" s="68" t="str">
        <f>VLOOKUP($C3,enemy_skills!$A:$F,4,FALSE)</f>
        <v>ja</v>
      </c>
      <c r="E3" s="68" t="str">
        <f>VLOOKUP($C3,enemy_skills!$A:$F,5,FALSE)</f>
        <v>脱力カプセル</v>
      </c>
      <c r="F3" s="67">
        <v>40003002</v>
      </c>
      <c r="G3" s="69">
        <f>VLOOKUP($F3,enemy_skill_triggers!$A:$J,2,FALSE)</f>
        <v>0</v>
      </c>
      <c r="H3" s="69" t="str">
        <f>VLOOKUP($F3,enemy_skill_triggers!$A:$J,3,FALSE)</f>
        <v>null</v>
      </c>
      <c r="I3" s="69">
        <f>VLOOKUP($F3,enemy_skill_triggers!$A:$J,4,FALSE)</f>
        <v>50</v>
      </c>
      <c r="J3" s="69" t="str">
        <f>VLOOKUP($F3,enemy_skill_triggers!$A:$J,5,FALSE)</f>
        <v>null</v>
      </c>
      <c r="K3" s="69" t="str">
        <f>VLOOKUP($F3,enemy_skill_triggers!$A:$J,6,FALSE)</f>
        <v>null</v>
      </c>
      <c r="L3" s="69">
        <f>VLOOKUP($F3,enemy_skill_triggers!$A:$J,7,FALSE)</f>
        <v>2</v>
      </c>
      <c r="M3" s="69" t="str">
        <f>VLOOKUP($F3,enemy_skill_triggers!$A:$J,8,FALSE)</f>
        <v>null</v>
      </c>
      <c r="N3" s="69" t="str">
        <f>VLOOKUP($F3,enemy_skill_triggers!$A:$J,9,FALSE)</f>
        <v>null</v>
      </c>
      <c r="O3" s="69">
        <f>VLOOKUP($F3,enemy_skill_triggers!$A:$J,10,FALSE)</f>
        <v>50</v>
      </c>
      <c r="P3" s="67" t="s">
        <v>96</v>
      </c>
      <c r="Q3" s="70">
        <v>42278</v>
      </c>
      <c r="R3" s="72" t="s">
        <v>97</v>
      </c>
    </row>
    <row r="4" spans="1:18" ht="21" customHeight="1">
      <c r="A4" s="59" t="str">
        <f t="shared" si="0"/>
        <v>15502_340015</v>
      </c>
      <c r="B4" s="67">
        <v>15502</v>
      </c>
      <c r="C4" s="67">
        <v>340015</v>
      </c>
      <c r="D4" s="68" t="str">
        <f>VLOOKUP($C4,enemy_skills!$A:$F,4,FALSE)</f>
        <v>ja</v>
      </c>
      <c r="E4" s="68" t="str">
        <f>VLOOKUP($C4,enemy_skills!$A:$F,5,FALSE)</f>
        <v>青龍摘出液ワクチン</v>
      </c>
      <c r="F4" s="67">
        <v>40003012</v>
      </c>
      <c r="G4" s="69">
        <f>VLOOKUP($F4,enemy_skill_triggers!$A:$J,2,FALSE)</f>
        <v>0</v>
      </c>
      <c r="H4" s="69" t="str">
        <f>VLOOKUP($F4,enemy_skill_triggers!$A:$J,3,FALSE)</f>
        <v>null</v>
      </c>
      <c r="I4" s="69">
        <f>VLOOKUP($F4,enemy_skill_triggers!$A:$J,4,FALSE)</f>
        <v>100</v>
      </c>
      <c r="J4" s="69">
        <f>VLOOKUP($F4,enemy_skill_triggers!$A:$J,5,FALSE)</f>
        <v>50</v>
      </c>
      <c r="K4" s="69" t="str">
        <f>VLOOKUP($F4,enemy_skill_triggers!$A:$J,6,FALSE)</f>
        <v>null</v>
      </c>
      <c r="L4" s="69">
        <f>VLOOKUP($F4,enemy_skill_triggers!$A:$J,7,FALSE)</f>
        <v>1</v>
      </c>
      <c r="M4" s="69" t="str">
        <f>VLOOKUP($F4,enemy_skill_triggers!$A:$J,8,FALSE)</f>
        <v>null</v>
      </c>
      <c r="N4" s="69" t="str">
        <f>VLOOKUP($F4,enemy_skill_triggers!$A:$J,9,FALSE)</f>
        <v>null</v>
      </c>
      <c r="O4" s="69">
        <f>VLOOKUP($F4,enemy_skill_triggers!$A:$J,10,FALSE)</f>
        <v>100</v>
      </c>
      <c r="P4" s="67" t="s">
        <v>96</v>
      </c>
      <c r="Q4" s="70">
        <v>42278</v>
      </c>
      <c r="R4" s="72" t="s">
        <v>97</v>
      </c>
    </row>
    <row r="5" spans="1:18" ht="21" customHeight="1">
      <c r="A5" s="59" t="str">
        <f t="shared" si="0"/>
        <v>9201_230028</v>
      </c>
      <c r="B5" s="67">
        <v>9201</v>
      </c>
      <c r="C5" s="67">
        <v>230028</v>
      </c>
      <c r="D5" s="68" t="str">
        <f>VLOOKUP($C5,enemy_skills!$A:$F,4,FALSE)</f>
        <v>ja</v>
      </c>
      <c r="E5" s="68" t="str">
        <f>VLOOKUP($C5,enemy_skills!$A:$F,5,FALSE)</f>
        <v>神海の咆哮</v>
      </c>
      <c r="F5" s="67">
        <v>40003004</v>
      </c>
      <c r="G5" s="69">
        <f>VLOOKUP($F5,enemy_skill_triggers!$A:$J,2,FALSE)</f>
        <v>0</v>
      </c>
      <c r="H5" s="69" t="str">
        <f>VLOOKUP($F5,enemy_skill_triggers!$A:$J,3,FALSE)</f>
        <v>null</v>
      </c>
      <c r="I5" s="69">
        <f>VLOOKUP($F5,enemy_skill_triggers!$A:$J,4,FALSE)</f>
        <v>50</v>
      </c>
      <c r="J5" s="69" t="str">
        <f>VLOOKUP($F5,enemy_skill_triggers!$A:$J,5,FALSE)</f>
        <v>null</v>
      </c>
      <c r="K5" s="69" t="str">
        <f>VLOOKUP($F5,enemy_skill_triggers!$A:$J,6,FALSE)</f>
        <v>null</v>
      </c>
      <c r="L5" s="69" t="str">
        <f>VLOOKUP($F5,enemy_skill_triggers!$A:$J,7,FALSE)</f>
        <v>null</v>
      </c>
      <c r="M5" s="69" t="str">
        <f>VLOOKUP($F5,enemy_skill_triggers!$A:$J,8,FALSE)</f>
        <v>null</v>
      </c>
      <c r="N5" s="69" t="str">
        <f>VLOOKUP($F5,enemy_skill_triggers!$A:$J,9,FALSE)</f>
        <v>null</v>
      </c>
      <c r="O5" s="69">
        <f>VLOOKUP($F5,enemy_skill_triggers!$A:$J,10,FALSE)</f>
        <v>50</v>
      </c>
      <c r="P5" s="67" t="s">
        <v>96</v>
      </c>
      <c r="Q5" s="67"/>
      <c r="R5" s="67" t="s">
        <v>98</v>
      </c>
    </row>
    <row r="6" spans="1:18" ht="21" customHeight="1">
      <c r="A6" s="59" t="str">
        <f t="shared" si="0"/>
        <v>4901_500030</v>
      </c>
      <c r="B6" s="67">
        <v>4901</v>
      </c>
      <c r="C6" s="67">
        <v>500030</v>
      </c>
      <c r="D6" s="68" t="str">
        <f>VLOOKUP($C6,enemy_skills!$A:$F,4,FALSE)</f>
        <v>ja</v>
      </c>
      <c r="E6" s="68" t="str">
        <f>VLOOKUP($C6,enemy_skills!$A:$F,5,FALSE)</f>
        <v>仏式真紅爆弾</v>
      </c>
      <c r="F6" s="67">
        <v>40003005</v>
      </c>
      <c r="G6" s="69">
        <f>VLOOKUP($F6,enemy_skill_triggers!$A:$J,2,FALSE)</f>
        <v>1</v>
      </c>
      <c r="H6" s="69" t="str">
        <f>VLOOKUP($F6,enemy_skill_triggers!$A:$J,3,FALSE)</f>
        <v>null</v>
      </c>
      <c r="I6" s="69">
        <f>VLOOKUP($F6,enemy_skill_triggers!$A:$J,4,FALSE)</f>
        <v>100</v>
      </c>
      <c r="J6" s="69" t="str">
        <f>VLOOKUP($F6,enemy_skill_triggers!$A:$J,5,FALSE)</f>
        <v>null</v>
      </c>
      <c r="K6" s="69" t="str">
        <f>VLOOKUP($F6,enemy_skill_triggers!$A:$J,6,FALSE)</f>
        <v>null</v>
      </c>
      <c r="L6" s="69">
        <f>VLOOKUP($F6,enemy_skill_triggers!$A:$J,7,FALSE)</f>
        <v>1</v>
      </c>
      <c r="M6" s="69" t="str">
        <f>VLOOKUP($F6,enemy_skill_triggers!$A:$J,8,FALSE)</f>
        <v>null</v>
      </c>
      <c r="N6" s="69" t="str">
        <f>VLOOKUP($F6,enemy_skill_triggers!$A:$J,9,FALSE)</f>
        <v>null</v>
      </c>
      <c r="O6" s="69">
        <f>VLOOKUP($F6,enemy_skill_triggers!$A:$J,10,FALSE)</f>
        <v>100</v>
      </c>
      <c r="P6" s="67" t="s">
        <v>96</v>
      </c>
      <c r="Q6" s="70">
        <v>42277</v>
      </c>
      <c r="R6" s="67" t="s">
        <v>99</v>
      </c>
    </row>
    <row r="7" spans="1:18" ht="21" customHeight="1">
      <c r="A7" s="59" t="str">
        <f t="shared" si="0"/>
        <v>5101_500031</v>
      </c>
      <c r="B7" s="67">
        <v>5101</v>
      </c>
      <c r="C7" s="67">
        <v>500031</v>
      </c>
      <c r="D7" s="68" t="str">
        <f>VLOOKUP($C7,enemy_skills!$A:$F,4,FALSE)</f>
        <v>ja</v>
      </c>
      <c r="E7" s="68" t="str">
        <f>VLOOKUP($C7,enemy_skills!$A:$F,5,FALSE)</f>
        <v>仏式翡翠爆弾</v>
      </c>
      <c r="F7" s="67">
        <v>40003005</v>
      </c>
      <c r="G7" s="69">
        <f>VLOOKUP($F7,enemy_skill_triggers!$A:$J,2,FALSE)</f>
        <v>1</v>
      </c>
      <c r="H7" s="69" t="str">
        <f>VLOOKUP($F7,enemy_skill_triggers!$A:$J,3,FALSE)</f>
        <v>null</v>
      </c>
      <c r="I7" s="69">
        <f>VLOOKUP($F7,enemy_skill_triggers!$A:$J,4,FALSE)</f>
        <v>100</v>
      </c>
      <c r="J7" s="69" t="str">
        <f>VLOOKUP($F7,enemy_skill_triggers!$A:$J,5,FALSE)</f>
        <v>null</v>
      </c>
      <c r="K7" s="69" t="str">
        <f>VLOOKUP($F7,enemy_skill_triggers!$A:$J,6,FALSE)</f>
        <v>null</v>
      </c>
      <c r="L7" s="69">
        <f>VLOOKUP($F7,enemy_skill_triggers!$A:$J,7,FALSE)</f>
        <v>1</v>
      </c>
      <c r="M7" s="69" t="str">
        <f>VLOOKUP($F7,enemy_skill_triggers!$A:$J,8,FALSE)</f>
        <v>null</v>
      </c>
      <c r="N7" s="69" t="str">
        <f>VLOOKUP($F7,enemy_skill_triggers!$A:$J,9,FALSE)</f>
        <v>null</v>
      </c>
      <c r="O7" s="69">
        <f>VLOOKUP($F7,enemy_skill_triggers!$A:$J,10,FALSE)</f>
        <v>100</v>
      </c>
      <c r="P7" s="67" t="s">
        <v>96</v>
      </c>
      <c r="Q7" s="70">
        <v>42277</v>
      </c>
      <c r="R7" s="67" t="s">
        <v>99</v>
      </c>
    </row>
    <row r="8" spans="1:18" ht="21" customHeight="1">
      <c r="A8" s="59" t="str">
        <f t="shared" si="0"/>
        <v>5501_500032</v>
      </c>
      <c r="B8" s="67">
        <v>5501</v>
      </c>
      <c r="C8" s="77">
        <v>500032</v>
      </c>
      <c r="D8" s="68" t="str">
        <f>VLOOKUP($C8,enemy_skills!$A:$F,4,FALSE)</f>
        <v>ja</v>
      </c>
      <c r="E8" s="68" t="str">
        <f>VLOOKUP($C8,enemy_skills!$A:$F,5,FALSE)</f>
        <v>仏式黄金爆弾</v>
      </c>
      <c r="F8" s="67">
        <v>40003005</v>
      </c>
      <c r="G8" s="69">
        <f>VLOOKUP($F8,enemy_skill_triggers!$A:$J,2,FALSE)</f>
        <v>1</v>
      </c>
      <c r="H8" s="69" t="str">
        <f>VLOOKUP($F8,enemy_skill_triggers!$A:$J,3,FALSE)</f>
        <v>null</v>
      </c>
      <c r="I8" s="69">
        <f>VLOOKUP($F8,enemy_skill_triggers!$A:$J,4,FALSE)</f>
        <v>100</v>
      </c>
      <c r="J8" s="69" t="str">
        <f>VLOOKUP($F8,enemy_skill_triggers!$A:$J,5,FALSE)</f>
        <v>null</v>
      </c>
      <c r="K8" s="69" t="str">
        <f>VLOOKUP($F8,enemy_skill_triggers!$A:$J,6,FALSE)</f>
        <v>null</v>
      </c>
      <c r="L8" s="69">
        <f>VLOOKUP($F8,enemy_skill_triggers!$A:$J,7,FALSE)</f>
        <v>1</v>
      </c>
      <c r="M8" s="69" t="str">
        <f>VLOOKUP($F8,enemy_skill_triggers!$A:$J,8,FALSE)</f>
        <v>null</v>
      </c>
      <c r="N8" s="69" t="str">
        <f>VLOOKUP($F8,enemy_skill_triggers!$A:$J,9,FALSE)</f>
        <v>null</v>
      </c>
      <c r="O8" s="69">
        <f>VLOOKUP($F8,enemy_skill_triggers!$A:$J,10,FALSE)</f>
        <v>100</v>
      </c>
      <c r="P8" s="67" t="s">
        <v>96</v>
      </c>
      <c r="Q8" s="70">
        <v>42277</v>
      </c>
      <c r="R8" s="67" t="s">
        <v>99</v>
      </c>
    </row>
    <row r="9" spans="1:18" ht="21" customHeight="1">
      <c r="A9" s="59" t="str">
        <f t="shared" si="0"/>
        <v>25801_210034</v>
      </c>
      <c r="B9" s="67">
        <v>25801</v>
      </c>
      <c r="C9" s="67">
        <v>210034</v>
      </c>
      <c r="D9" s="68" t="str">
        <f>VLOOKUP($C9,enemy_skills!$A:$F,4,FALSE)</f>
        <v>ja</v>
      </c>
      <c r="E9" s="68" t="str">
        <f>VLOOKUP($C9,enemy_skills!$A:$F,5,FALSE)</f>
        <v>破壊する一撃</v>
      </c>
      <c r="F9" s="67">
        <v>40003004</v>
      </c>
      <c r="G9" s="69">
        <f>VLOOKUP($F9,enemy_skill_triggers!$A:$J,2,FALSE)</f>
        <v>0</v>
      </c>
      <c r="H9" s="69" t="str">
        <f>VLOOKUP($F9,enemy_skill_triggers!$A:$J,3,FALSE)</f>
        <v>null</v>
      </c>
      <c r="I9" s="69">
        <f>VLOOKUP($F9,enemy_skill_triggers!$A:$J,4,FALSE)</f>
        <v>50</v>
      </c>
      <c r="J9" s="69" t="str">
        <f>VLOOKUP($F9,enemy_skill_triggers!$A:$J,5,FALSE)</f>
        <v>null</v>
      </c>
      <c r="K9" s="69" t="str">
        <f>VLOOKUP($F9,enemy_skill_triggers!$A:$J,6,FALSE)</f>
        <v>null</v>
      </c>
      <c r="L9" s="69" t="str">
        <f>VLOOKUP($F9,enemy_skill_triggers!$A:$J,7,FALSE)</f>
        <v>null</v>
      </c>
      <c r="M9" s="69" t="str">
        <f>VLOOKUP($F9,enemy_skill_triggers!$A:$J,8,FALSE)</f>
        <v>null</v>
      </c>
      <c r="N9" s="69" t="str">
        <f>VLOOKUP($F9,enemy_skill_triggers!$A:$J,9,FALSE)</f>
        <v>null</v>
      </c>
      <c r="O9" s="69">
        <f>VLOOKUP($F9,enemy_skill_triggers!$A:$J,10,FALSE)</f>
        <v>50</v>
      </c>
      <c r="P9" s="67" t="s">
        <v>96</v>
      </c>
      <c r="Q9" s="70">
        <v>42291</v>
      </c>
      <c r="R9" s="67" t="s">
        <v>100</v>
      </c>
    </row>
    <row r="10" spans="1:18" ht="21" customHeight="1">
      <c r="A10" s="59" t="str">
        <f t="shared" si="0"/>
        <v>25802_100033</v>
      </c>
      <c r="B10" s="67">
        <v>25802</v>
      </c>
      <c r="C10" s="67">
        <v>100033</v>
      </c>
      <c r="D10" s="68" t="str">
        <f>VLOOKUP($C10,enemy_skills!$A:$F,4,FALSE)</f>
        <v>ja</v>
      </c>
      <c r="E10" s="68" t="str">
        <f>VLOOKUP($C10,enemy_skills!$A:$F,5,FALSE)</f>
        <v>限界突破</v>
      </c>
      <c r="F10" s="67">
        <v>40003005</v>
      </c>
      <c r="G10" s="69">
        <f>VLOOKUP($F10,enemy_skill_triggers!$A:$J,2,FALSE)</f>
        <v>1</v>
      </c>
      <c r="H10" s="69" t="str">
        <f>VLOOKUP($F10,enemy_skill_triggers!$A:$J,3,FALSE)</f>
        <v>null</v>
      </c>
      <c r="I10" s="69">
        <f>VLOOKUP($F10,enemy_skill_triggers!$A:$J,4,FALSE)</f>
        <v>100</v>
      </c>
      <c r="J10" s="69" t="str">
        <f>VLOOKUP($F10,enemy_skill_triggers!$A:$J,5,FALSE)</f>
        <v>null</v>
      </c>
      <c r="K10" s="69" t="str">
        <f>VLOOKUP($F10,enemy_skill_triggers!$A:$J,6,FALSE)</f>
        <v>null</v>
      </c>
      <c r="L10" s="69">
        <f>VLOOKUP($F10,enemy_skill_triggers!$A:$J,7,FALSE)</f>
        <v>1</v>
      </c>
      <c r="M10" s="69" t="str">
        <f>VLOOKUP($F10,enemy_skill_triggers!$A:$J,8,FALSE)</f>
        <v>null</v>
      </c>
      <c r="N10" s="69" t="str">
        <f>VLOOKUP($F10,enemy_skill_triggers!$A:$J,9,FALSE)</f>
        <v>null</v>
      </c>
      <c r="O10" s="69">
        <f>VLOOKUP($F10,enemy_skill_triggers!$A:$J,10,FALSE)</f>
        <v>100</v>
      </c>
      <c r="P10" s="67" t="s">
        <v>96</v>
      </c>
      <c r="Q10" s="70">
        <v>42291</v>
      </c>
      <c r="R10" s="67" t="s">
        <v>100</v>
      </c>
    </row>
    <row r="11" spans="1:18" ht="21" customHeight="1">
      <c r="A11" s="59" t="str">
        <f t="shared" si="0"/>
        <v>25802_210031</v>
      </c>
      <c r="B11" s="67">
        <v>25802</v>
      </c>
      <c r="C11" s="67">
        <v>210031</v>
      </c>
      <c r="D11" s="68" t="str">
        <f>VLOOKUP($C11,enemy_skills!$A:$F,4,FALSE)</f>
        <v>ja</v>
      </c>
      <c r="E11" s="68" t="str">
        <f>VLOOKUP($C11,enemy_skills!$A:$F,5,FALSE)</f>
        <v>神をも滅する衝撃</v>
      </c>
      <c r="F11" s="67">
        <v>40003006</v>
      </c>
      <c r="G11" s="69">
        <f>VLOOKUP($F11,enemy_skill_triggers!$A:$J,2,FALSE)</f>
        <v>0</v>
      </c>
      <c r="H11" s="69" t="str">
        <f>VLOOKUP($F11,enemy_skill_triggers!$A:$J,3,FALSE)</f>
        <v>null</v>
      </c>
      <c r="I11" s="69">
        <f>VLOOKUP($F11,enemy_skill_triggers!$A:$J,4,FALSE)</f>
        <v>100</v>
      </c>
      <c r="J11" s="69">
        <f>VLOOKUP($F11,enemy_skill_triggers!$A:$J,5,FALSE)</f>
        <v>50</v>
      </c>
      <c r="K11" s="69" t="str">
        <f>VLOOKUP($F11,enemy_skill_triggers!$A:$J,6,FALSE)</f>
        <v>null</v>
      </c>
      <c r="L11" s="69" t="str">
        <f>VLOOKUP($F11,enemy_skill_triggers!$A:$J,7,FALSE)</f>
        <v>null</v>
      </c>
      <c r="M11" s="69" t="str">
        <f>VLOOKUP($F11,enemy_skill_triggers!$A:$J,8,FALSE)</f>
        <v>null</v>
      </c>
      <c r="N11" s="69" t="str">
        <f>VLOOKUP($F11,enemy_skill_triggers!$A:$J,9,FALSE)</f>
        <v>null</v>
      </c>
      <c r="O11" s="69">
        <f>VLOOKUP($F11,enemy_skill_triggers!$A:$J,10,FALSE)</f>
        <v>100</v>
      </c>
      <c r="P11" s="67" t="s">
        <v>96</v>
      </c>
      <c r="Q11" s="70">
        <v>42291</v>
      </c>
      <c r="R11" s="67" t="s">
        <v>100</v>
      </c>
    </row>
    <row r="12" spans="1:18" ht="21" customHeight="1">
      <c r="A12" s="59" t="str">
        <f t="shared" si="0"/>
        <v>25802_210032</v>
      </c>
      <c r="B12" s="67">
        <v>25802</v>
      </c>
      <c r="C12" s="67">
        <v>210032</v>
      </c>
      <c r="D12" s="68" t="str">
        <f>VLOOKUP($C12,enemy_skills!$A:$F,4,FALSE)</f>
        <v>ja</v>
      </c>
      <c r="E12" s="68" t="str">
        <f>VLOOKUP($C12,enemy_skills!$A:$F,5,FALSE)</f>
        <v>滅する一撃</v>
      </c>
      <c r="F12" s="67">
        <v>40003007</v>
      </c>
      <c r="G12" s="69">
        <f>VLOOKUP($F12,enemy_skill_triggers!$A:$J,2,FALSE)</f>
        <v>0</v>
      </c>
      <c r="H12" s="69" t="str">
        <f>VLOOKUP($F12,enemy_skill_triggers!$A:$J,3,FALSE)</f>
        <v>null</v>
      </c>
      <c r="I12" s="69">
        <f>VLOOKUP($F12,enemy_skill_triggers!$A:$J,4,FALSE)</f>
        <v>100</v>
      </c>
      <c r="J12" s="69">
        <f>VLOOKUP($F12,enemy_skill_triggers!$A:$J,5,FALSE)</f>
        <v>70</v>
      </c>
      <c r="K12" s="69" t="str">
        <f>VLOOKUP($F12,enemy_skill_triggers!$A:$J,6,FALSE)</f>
        <v>null</v>
      </c>
      <c r="L12" s="69" t="str">
        <f>VLOOKUP($F12,enemy_skill_triggers!$A:$J,7,FALSE)</f>
        <v>null</v>
      </c>
      <c r="M12" s="69" t="str">
        <f>VLOOKUP($F12,enemy_skill_triggers!$A:$J,8,FALSE)</f>
        <v>null</v>
      </c>
      <c r="N12" s="69" t="str">
        <f>VLOOKUP($F12,enemy_skill_triggers!$A:$J,9,FALSE)</f>
        <v>null</v>
      </c>
      <c r="O12" s="69">
        <f>VLOOKUP($F12,enemy_skill_triggers!$A:$J,10,FALSE)</f>
        <v>100</v>
      </c>
      <c r="P12" s="67" t="s">
        <v>96</v>
      </c>
      <c r="Q12" s="70">
        <v>42291</v>
      </c>
      <c r="R12" s="67" t="s">
        <v>100</v>
      </c>
    </row>
    <row r="13" spans="1:18" ht="21" customHeight="1">
      <c r="A13" s="59" t="str">
        <f t="shared" si="0"/>
        <v>25802_210033</v>
      </c>
      <c r="B13" s="67">
        <v>25802</v>
      </c>
      <c r="C13" s="67">
        <v>210033</v>
      </c>
      <c r="D13" s="68" t="str">
        <f>VLOOKUP($C13,enemy_skills!$A:$F,4,FALSE)</f>
        <v>ja</v>
      </c>
      <c r="E13" s="68" t="str">
        <f>VLOOKUP($C13,enemy_skills!$A:$F,5,FALSE)</f>
        <v>破壊する衝撃</v>
      </c>
      <c r="F13" s="67">
        <v>40003008</v>
      </c>
      <c r="G13" s="69">
        <f>VLOOKUP($F13,enemy_skill_triggers!$A:$J,2,FALSE)</f>
        <v>0</v>
      </c>
      <c r="H13" s="69" t="str">
        <f>VLOOKUP($F13,enemy_skill_triggers!$A:$J,3,FALSE)</f>
        <v>null</v>
      </c>
      <c r="I13" s="69">
        <f>VLOOKUP($F13,enemy_skill_triggers!$A:$J,4,FALSE)</f>
        <v>100</v>
      </c>
      <c r="J13" s="69">
        <f>VLOOKUP($F13,enemy_skill_triggers!$A:$J,5,FALSE)</f>
        <v>90</v>
      </c>
      <c r="K13" s="69" t="str">
        <f>VLOOKUP($F13,enemy_skill_triggers!$A:$J,6,FALSE)</f>
        <v>null</v>
      </c>
      <c r="L13" s="69" t="str">
        <f>VLOOKUP($F13,enemy_skill_triggers!$A:$J,7,FALSE)</f>
        <v>null</v>
      </c>
      <c r="M13" s="69" t="str">
        <f>VLOOKUP($F13,enemy_skill_triggers!$A:$J,8,FALSE)</f>
        <v>null</v>
      </c>
      <c r="N13" s="69" t="str">
        <f>VLOOKUP($F13,enemy_skill_triggers!$A:$J,9,FALSE)</f>
        <v>null</v>
      </c>
      <c r="O13" s="69">
        <f>VLOOKUP($F13,enemy_skill_triggers!$A:$J,10,FALSE)</f>
        <v>100</v>
      </c>
      <c r="P13" s="67" t="s">
        <v>96</v>
      </c>
      <c r="Q13" s="70">
        <v>42291</v>
      </c>
      <c r="R13" s="67" t="s">
        <v>100</v>
      </c>
    </row>
    <row r="14" spans="1:18" ht="21" customHeight="1">
      <c r="A14" s="59" t="str">
        <f t="shared" si="0"/>
        <v>25802_210034</v>
      </c>
      <c r="B14" s="67">
        <v>25802</v>
      </c>
      <c r="C14" s="67">
        <v>210034</v>
      </c>
      <c r="D14" s="68" t="str">
        <f>VLOOKUP($C14,enemy_skills!$A:$F,4,FALSE)</f>
        <v>ja</v>
      </c>
      <c r="E14" s="68" t="str">
        <f>VLOOKUP($C14,enemy_skills!$A:$F,5,FALSE)</f>
        <v>破壊する一撃</v>
      </c>
      <c r="F14" s="67">
        <v>40003004</v>
      </c>
      <c r="G14" s="69">
        <f>VLOOKUP($F14,enemy_skill_triggers!$A:$J,2,FALSE)</f>
        <v>0</v>
      </c>
      <c r="H14" s="69" t="str">
        <f>VLOOKUP($F14,enemy_skill_triggers!$A:$J,3,FALSE)</f>
        <v>null</v>
      </c>
      <c r="I14" s="69">
        <f>VLOOKUP($F14,enemy_skill_triggers!$A:$J,4,FALSE)</f>
        <v>50</v>
      </c>
      <c r="J14" s="69" t="str">
        <f>VLOOKUP($F14,enemy_skill_triggers!$A:$J,5,FALSE)</f>
        <v>null</v>
      </c>
      <c r="K14" s="69" t="str">
        <f>VLOOKUP($F14,enemy_skill_triggers!$A:$J,6,FALSE)</f>
        <v>null</v>
      </c>
      <c r="L14" s="69" t="str">
        <f>VLOOKUP($F14,enemy_skill_triggers!$A:$J,7,FALSE)</f>
        <v>null</v>
      </c>
      <c r="M14" s="69" t="str">
        <f>VLOOKUP($F14,enemy_skill_triggers!$A:$J,8,FALSE)</f>
        <v>null</v>
      </c>
      <c r="N14" s="69" t="str">
        <f>VLOOKUP($F14,enemy_skill_triggers!$A:$J,9,FALSE)</f>
        <v>null</v>
      </c>
      <c r="O14" s="69">
        <f>VLOOKUP($F14,enemy_skill_triggers!$A:$J,10,FALSE)</f>
        <v>50</v>
      </c>
      <c r="P14" s="67" t="s">
        <v>96</v>
      </c>
      <c r="Q14" s="70">
        <v>42291</v>
      </c>
      <c r="R14" s="67" t="s">
        <v>100</v>
      </c>
    </row>
    <row r="15" spans="1:18" ht="21" customHeight="1">
      <c r="A15" s="59" t="str">
        <f t="shared" si="0"/>
        <v>400031_40003001</v>
      </c>
      <c r="B15" s="66">
        <v>400031</v>
      </c>
      <c r="C15" s="67">
        <v>40003001</v>
      </c>
      <c r="D15" s="68" t="str">
        <f>VLOOKUP($C15,enemy_skills!$A:$F,4,FALSE)</f>
        <v>ja</v>
      </c>
      <c r="E15" s="68" t="str">
        <f>VLOOKUP($C15,enemy_skills!$A:$F,5,FALSE)</f>
        <v>ディスハート</v>
      </c>
      <c r="F15" s="67">
        <v>40003011</v>
      </c>
      <c r="G15" s="69">
        <f>VLOOKUP($F15,enemy_skill_triggers!$A:$J,2,FALSE)</f>
        <v>0</v>
      </c>
      <c r="H15" s="69" t="str">
        <f>VLOOKUP($F15,enemy_skill_triggers!$A:$J,3,FALSE)</f>
        <v>null</v>
      </c>
      <c r="I15" s="69">
        <f>VLOOKUP($F15,enemy_skill_triggers!$A:$J,4,FALSE)</f>
        <v>40</v>
      </c>
      <c r="J15" s="69" t="str">
        <f>VLOOKUP($F15,enemy_skill_triggers!$A:$J,5,FALSE)</f>
        <v>null</v>
      </c>
      <c r="K15" s="69" t="str">
        <f>VLOOKUP($F15,enemy_skill_triggers!$A:$J,6,FALSE)</f>
        <v>null</v>
      </c>
      <c r="L15" s="69">
        <f>VLOOKUP($F15,enemy_skill_triggers!$A:$J,7,FALSE)</f>
        <v>1</v>
      </c>
      <c r="M15" s="69" t="str">
        <f>VLOOKUP($F15,enemy_skill_triggers!$A:$J,8,FALSE)</f>
        <v>null</v>
      </c>
      <c r="N15" s="69" t="str">
        <f>VLOOKUP($F15,enemy_skill_triggers!$A:$J,9,FALSE)</f>
        <v>null</v>
      </c>
      <c r="O15" s="69">
        <f>VLOOKUP($F15,enemy_skill_triggers!$A:$J,10,FALSE)</f>
        <v>100</v>
      </c>
      <c r="P15" s="67"/>
    </row>
    <row r="16" spans="1:18" ht="21" customHeight="1">
      <c r="A16" s="59" t="str">
        <f t="shared" si="0"/>
        <v>400031_40003009</v>
      </c>
      <c r="B16" s="66">
        <v>400031</v>
      </c>
      <c r="C16" s="67">
        <v>40003009</v>
      </c>
      <c r="D16" s="68" t="str">
        <f>VLOOKUP($C16,enemy_skills!$A:$F,4,FALSE)</f>
        <v>ja</v>
      </c>
      <c r="E16" s="68" t="str">
        <f>VLOOKUP($C16,enemy_skills!$A:$F,5,FALSE)</f>
        <v>クレイジーダンス</v>
      </c>
      <c r="F16" s="67">
        <v>40003001</v>
      </c>
      <c r="G16" s="69">
        <f>VLOOKUP($F16,enemy_skill_triggers!$A:$J,2,FALSE)</f>
        <v>0</v>
      </c>
      <c r="H16" s="69" t="str">
        <f>VLOOKUP($F16,enemy_skill_triggers!$A:$J,3,FALSE)</f>
        <v>null</v>
      </c>
      <c r="I16" s="69">
        <f>VLOOKUP($F16,enemy_skill_triggers!$A:$J,4,FALSE)</f>
        <v>40</v>
      </c>
      <c r="J16" s="69" t="str">
        <f>VLOOKUP($F16,enemy_skill_triggers!$A:$J,5,FALSE)</f>
        <v>null</v>
      </c>
      <c r="K16" s="69" t="str">
        <f>VLOOKUP($F16,enemy_skill_triggers!$A:$J,6,FALSE)</f>
        <v>null</v>
      </c>
      <c r="L16" s="69" t="str">
        <f>VLOOKUP($F16,enemy_skill_triggers!$A:$J,7,FALSE)</f>
        <v>null</v>
      </c>
      <c r="M16" s="69" t="str">
        <f>VLOOKUP($F16,enemy_skill_triggers!$A:$J,8,FALSE)</f>
        <v>null</v>
      </c>
      <c r="N16" s="69" t="str">
        <f>VLOOKUP($F16,enemy_skill_triggers!$A:$J,9,FALSE)</f>
        <v>null</v>
      </c>
      <c r="O16" s="69">
        <f>VLOOKUP($F16,enemy_skill_triggers!$A:$J,10,FALSE)</f>
        <v>40</v>
      </c>
      <c r="P16" s="67"/>
    </row>
    <row r="17" spans="1:16" ht="21" customHeight="1">
      <c r="A17" s="59" t="str">
        <f t="shared" ref="A17" si="1">B17&amp;"_"&amp;C17</f>
        <v>400031_40003011</v>
      </c>
      <c r="B17" s="66">
        <v>400031</v>
      </c>
      <c r="C17" s="67">
        <v>40003011</v>
      </c>
      <c r="D17" s="68" t="str">
        <f>VLOOKUP($C17,enemy_skills!$A:$F,4,FALSE)</f>
        <v>ja</v>
      </c>
      <c r="E17" s="68" t="str">
        <f>VLOOKUP($C17,enemy_skills!$A:$F,5,FALSE)</f>
        <v>今こそ審判の刻だ…</v>
      </c>
      <c r="F17" s="67">
        <v>40003005</v>
      </c>
      <c r="G17" s="69">
        <f>VLOOKUP($F17,enemy_skill_triggers!$A:$J,2,FALSE)</f>
        <v>1</v>
      </c>
      <c r="H17" s="69" t="str">
        <f>VLOOKUP($F17,enemy_skill_triggers!$A:$J,3,FALSE)</f>
        <v>null</v>
      </c>
      <c r="I17" s="69">
        <f>VLOOKUP($F17,enemy_skill_triggers!$A:$J,4,FALSE)</f>
        <v>100</v>
      </c>
      <c r="J17" s="69" t="str">
        <f>VLOOKUP($F17,enemy_skill_triggers!$A:$J,5,FALSE)</f>
        <v>null</v>
      </c>
      <c r="K17" s="69" t="str">
        <f>VLOOKUP($F17,enemy_skill_triggers!$A:$J,6,FALSE)</f>
        <v>null</v>
      </c>
      <c r="L17" s="69">
        <f>VLOOKUP($F17,enemy_skill_triggers!$A:$J,7,FALSE)</f>
        <v>1</v>
      </c>
      <c r="M17" s="69" t="str">
        <f>VLOOKUP($F17,enemy_skill_triggers!$A:$J,8,FALSE)</f>
        <v>null</v>
      </c>
      <c r="N17" s="69" t="str">
        <f>VLOOKUP($F17,enemy_skill_triggers!$A:$J,9,FALSE)</f>
        <v>null</v>
      </c>
      <c r="O17" s="69">
        <f>VLOOKUP($F17,enemy_skill_triggers!$A:$J,10,FALSE)</f>
        <v>100</v>
      </c>
      <c r="P17" s="67"/>
    </row>
    <row r="18" spans="1:16" ht="21" customHeight="1">
      <c r="A18" s="59" t="str">
        <f t="shared" si="0"/>
        <v>400032_40003002</v>
      </c>
      <c r="B18" s="66">
        <v>400032</v>
      </c>
      <c r="C18" s="67">
        <v>40003002</v>
      </c>
      <c r="D18" s="68" t="str">
        <f>VLOOKUP($C18,enemy_skills!$A:$F,4,FALSE)</f>
        <v>ja</v>
      </c>
      <c r="E18" s="68" t="str">
        <f>VLOOKUP($C18,enemy_skills!$A:$F,5,FALSE)</f>
        <v>加速装置オーバーヒート</v>
      </c>
      <c r="F18" s="67">
        <v>40003012</v>
      </c>
      <c r="G18" s="69">
        <f>VLOOKUP($F18,enemy_skill_triggers!$A:$J,2,FALSE)</f>
        <v>0</v>
      </c>
      <c r="H18" s="69" t="str">
        <f>VLOOKUP($F18,enemy_skill_triggers!$A:$J,3,FALSE)</f>
        <v>null</v>
      </c>
      <c r="I18" s="69">
        <f>VLOOKUP($F18,enemy_skill_triggers!$A:$J,4,FALSE)</f>
        <v>100</v>
      </c>
      <c r="J18" s="69">
        <f>VLOOKUP($F18,enemy_skill_triggers!$A:$J,5,FALSE)</f>
        <v>50</v>
      </c>
      <c r="K18" s="69" t="str">
        <f>VLOOKUP($F18,enemy_skill_triggers!$A:$J,6,FALSE)</f>
        <v>null</v>
      </c>
      <c r="L18" s="69">
        <f>VLOOKUP($F18,enemy_skill_triggers!$A:$J,7,FALSE)</f>
        <v>1</v>
      </c>
      <c r="M18" s="69" t="str">
        <f>VLOOKUP($F18,enemy_skill_triggers!$A:$J,8,FALSE)</f>
        <v>null</v>
      </c>
      <c r="N18" s="69" t="str">
        <f>VLOOKUP($F18,enemy_skill_triggers!$A:$J,9,FALSE)</f>
        <v>null</v>
      </c>
      <c r="O18" s="69">
        <f>VLOOKUP($F18,enemy_skill_triggers!$A:$J,10,FALSE)</f>
        <v>100</v>
      </c>
      <c r="P18" s="67"/>
    </row>
    <row r="19" spans="1:16" ht="21" customHeight="1">
      <c r="A19" s="59" t="str">
        <f t="shared" si="0"/>
        <v>400032_40003009</v>
      </c>
      <c r="B19" s="66">
        <v>400032</v>
      </c>
      <c r="C19" s="67">
        <v>40003009</v>
      </c>
      <c r="D19" s="68" t="str">
        <f>VLOOKUP($C19,enemy_skills!$A:$F,4,FALSE)</f>
        <v>ja</v>
      </c>
      <c r="E19" s="68" t="str">
        <f>VLOOKUP($C19,enemy_skills!$A:$F,5,FALSE)</f>
        <v>クレイジーダンス</v>
      </c>
      <c r="F19" s="67">
        <v>40003001</v>
      </c>
      <c r="G19" s="69">
        <f>VLOOKUP($F19,enemy_skill_triggers!$A:$J,2,FALSE)</f>
        <v>0</v>
      </c>
      <c r="H19" s="69" t="str">
        <f>VLOOKUP($F19,enemy_skill_triggers!$A:$J,3,FALSE)</f>
        <v>null</v>
      </c>
      <c r="I19" s="69">
        <f>VLOOKUP($F19,enemy_skill_triggers!$A:$J,4,FALSE)</f>
        <v>40</v>
      </c>
      <c r="J19" s="69" t="str">
        <f>VLOOKUP($F19,enemy_skill_triggers!$A:$J,5,FALSE)</f>
        <v>null</v>
      </c>
      <c r="K19" s="69" t="str">
        <f>VLOOKUP($F19,enemy_skill_triggers!$A:$J,6,FALSE)</f>
        <v>null</v>
      </c>
      <c r="L19" s="69" t="str">
        <f>VLOOKUP($F19,enemy_skill_triggers!$A:$J,7,FALSE)</f>
        <v>null</v>
      </c>
      <c r="M19" s="69" t="str">
        <f>VLOOKUP($F19,enemy_skill_triggers!$A:$J,8,FALSE)</f>
        <v>null</v>
      </c>
      <c r="N19" s="69" t="str">
        <f>VLOOKUP($F19,enemy_skill_triggers!$A:$J,9,FALSE)</f>
        <v>null</v>
      </c>
      <c r="O19" s="69">
        <f>VLOOKUP($F19,enemy_skill_triggers!$A:$J,10,FALSE)</f>
        <v>40</v>
      </c>
      <c r="P19" s="67"/>
    </row>
    <row r="20" spans="1:16" ht="21" customHeight="1">
      <c r="A20" s="59" t="str">
        <f t="shared" si="0"/>
        <v>400032_40003003</v>
      </c>
      <c r="B20" s="66">
        <v>400032</v>
      </c>
      <c r="C20" s="67">
        <v>40003003</v>
      </c>
      <c r="D20" s="68" t="str">
        <f>VLOOKUP($C20,enemy_skills!$A:$F,4,FALSE)</f>
        <v>ja</v>
      </c>
      <c r="E20" s="68" t="str">
        <f>VLOOKUP($C20,enemy_skills!$A:$F,5,FALSE)</f>
        <v>捉えきれない残像</v>
      </c>
      <c r="F20" s="67">
        <v>40003005</v>
      </c>
      <c r="G20" s="69">
        <f>VLOOKUP($F20,enemy_skill_triggers!$A:$J,2,FALSE)</f>
        <v>1</v>
      </c>
      <c r="H20" s="69" t="str">
        <f>VLOOKUP($F20,enemy_skill_triggers!$A:$J,3,FALSE)</f>
        <v>null</v>
      </c>
      <c r="I20" s="69">
        <f>VLOOKUP($F20,enemy_skill_triggers!$A:$J,4,FALSE)</f>
        <v>100</v>
      </c>
      <c r="J20" s="69" t="str">
        <f>VLOOKUP($F20,enemy_skill_triggers!$A:$J,5,FALSE)</f>
        <v>null</v>
      </c>
      <c r="K20" s="69" t="str">
        <f>VLOOKUP($F20,enemy_skill_triggers!$A:$J,6,FALSE)</f>
        <v>null</v>
      </c>
      <c r="L20" s="69">
        <f>VLOOKUP($F20,enemy_skill_triggers!$A:$J,7,FALSE)</f>
        <v>1</v>
      </c>
      <c r="M20" s="69" t="str">
        <f>VLOOKUP($F20,enemy_skill_triggers!$A:$J,8,FALSE)</f>
        <v>null</v>
      </c>
      <c r="N20" s="69" t="str">
        <f>VLOOKUP($F20,enemy_skill_triggers!$A:$J,9,FALSE)</f>
        <v>null</v>
      </c>
      <c r="O20" s="69">
        <f>VLOOKUP($F20,enemy_skill_triggers!$A:$J,10,FALSE)</f>
        <v>100</v>
      </c>
      <c r="P20" s="67"/>
    </row>
    <row r="21" spans="1:16" ht="21" customHeight="1">
      <c r="A21" s="59" t="str">
        <f t="shared" si="0"/>
        <v>400033_40003004</v>
      </c>
      <c r="B21" s="66">
        <v>400033</v>
      </c>
      <c r="C21" s="67">
        <v>40003004</v>
      </c>
      <c r="D21" s="68" t="str">
        <f>VLOOKUP($C21,enemy_skills!$A:$F,4,FALSE)</f>
        <v>ja</v>
      </c>
      <c r="E21" s="68" t="str">
        <f>VLOOKUP($C21,enemy_skills!$A:$F,5,FALSE)</f>
        <v>ギルティブレイク</v>
      </c>
      <c r="F21" s="67">
        <v>40003013</v>
      </c>
      <c r="G21" s="69">
        <f>VLOOKUP($F21,enemy_skill_triggers!$A:$J,2,FALSE)</f>
        <v>0</v>
      </c>
      <c r="H21" s="69" t="str">
        <f>VLOOKUP($F21,enemy_skill_triggers!$A:$J,3,FALSE)</f>
        <v>null</v>
      </c>
      <c r="I21" s="69">
        <f>VLOOKUP($F21,enemy_skill_triggers!$A:$J,4,FALSE)</f>
        <v>100</v>
      </c>
      <c r="J21" s="69" t="str">
        <f>VLOOKUP($F21,enemy_skill_triggers!$A:$J,5,FALSE)</f>
        <v>null</v>
      </c>
      <c r="K21" s="69" t="str">
        <f>VLOOKUP($F21,enemy_skill_triggers!$A:$J,6,FALSE)</f>
        <v>null</v>
      </c>
      <c r="L21" s="69">
        <f>VLOOKUP($F21,enemy_skill_triggers!$A:$J,7,FALSE)</f>
        <v>1</v>
      </c>
      <c r="M21" s="69" t="str">
        <f>VLOOKUP($F21,enemy_skill_triggers!$A:$J,8,FALSE)</f>
        <v>null</v>
      </c>
      <c r="N21" s="69" t="str">
        <f>VLOOKUP($F21,enemy_skill_triggers!$A:$J,9,FALSE)</f>
        <v>null</v>
      </c>
      <c r="O21" s="69">
        <f>VLOOKUP($F21,enemy_skill_triggers!$A:$J,10,FALSE)</f>
        <v>100</v>
      </c>
      <c r="P21" s="67"/>
    </row>
    <row r="22" spans="1:16" ht="21" customHeight="1">
      <c r="A22" s="59" t="str">
        <f t="shared" si="0"/>
        <v>400033_40003005</v>
      </c>
      <c r="B22" s="66">
        <v>400033</v>
      </c>
      <c r="C22" s="67">
        <v>40003005</v>
      </c>
      <c r="D22" s="68" t="str">
        <f>VLOOKUP($C22,enemy_skills!$A:$F,4,FALSE)</f>
        <v>ja</v>
      </c>
      <c r="E22" s="68" t="str">
        <f>VLOOKUP($C22,enemy_skills!$A:$F,5,FALSE)</f>
        <v>断罪の紅</v>
      </c>
      <c r="F22" s="67">
        <v>40003013</v>
      </c>
      <c r="G22" s="69">
        <f>VLOOKUP($F22,enemy_skill_triggers!$A:$J,2,FALSE)</f>
        <v>0</v>
      </c>
      <c r="H22" s="69" t="str">
        <f>VLOOKUP($F22,enemy_skill_triggers!$A:$J,3,FALSE)</f>
        <v>null</v>
      </c>
      <c r="I22" s="69">
        <f>VLOOKUP($F22,enemy_skill_triggers!$A:$J,4,FALSE)</f>
        <v>100</v>
      </c>
      <c r="J22" s="69" t="str">
        <f>VLOOKUP($F22,enemy_skill_triggers!$A:$J,5,FALSE)</f>
        <v>null</v>
      </c>
      <c r="K22" s="69" t="str">
        <f>VLOOKUP($F22,enemy_skill_triggers!$A:$J,6,FALSE)</f>
        <v>null</v>
      </c>
      <c r="L22" s="69">
        <f>VLOOKUP($F22,enemy_skill_triggers!$A:$J,7,FALSE)</f>
        <v>1</v>
      </c>
      <c r="M22" s="69" t="str">
        <f>VLOOKUP($F22,enemy_skill_triggers!$A:$J,8,FALSE)</f>
        <v>null</v>
      </c>
      <c r="N22" s="69" t="str">
        <f>VLOOKUP($F22,enemy_skill_triggers!$A:$J,9,FALSE)</f>
        <v>null</v>
      </c>
      <c r="O22" s="69">
        <f>VLOOKUP($F22,enemy_skill_triggers!$A:$J,10,FALSE)</f>
        <v>100</v>
      </c>
      <c r="P22" s="67"/>
    </row>
    <row r="23" spans="1:16" ht="21" customHeight="1">
      <c r="A23" s="59" t="str">
        <f t="shared" si="0"/>
        <v>400033_40003006</v>
      </c>
      <c r="B23" s="66">
        <v>400033</v>
      </c>
      <c r="C23" s="67">
        <v>40003006</v>
      </c>
      <c r="D23" s="68" t="str">
        <f>VLOOKUP($C23,enemy_skills!$A:$F,4,FALSE)</f>
        <v>ja</v>
      </c>
      <c r="E23" s="68" t="str">
        <f>VLOOKUP($C23,enemy_skills!$A:$F,5,FALSE)</f>
        <v>断罪の金</v>
      </c>
      <c r="F23" s="67">
        <v>40003013</v>
      </c>
      <c r="G23" s="69">
        <f>VLOOKUP($F23,enemy_skill_triggers!$A:$J,2,FALSE)</f>
        <v>0</v>
      </c>
      <c r="H23" s="69" t="str">
        <f>VLOOKUP($F23,enemy_skill_triggers!$A:$J,3,FALSE)</f>
        <v>null</v>
      </c>
      <c r="I23" s="69">
        <f>VLOOKUP($F23,enemy_skill_triggers!$A:$J,4,FALSE)</f>
        <v>100</v>
      </c>
      <c r="J23" s="69" t="str">
        <f>VLOOKUP($F23,enemy_skill_triggers!$A:$J,5,FALSE)</f>
        <v>null</v>
      </c>
      <c r="K23" s="69" t="str">
        <f>VLOOKUP($F23,enemy_skill_triggers!$A:$J,6,FALSE)</f>
        <v>null</v>
      </c>
      <c r="L23" s="69">
        <f>VLOOKUP($F23,enemy_skill_triggers!$A:$J,7,FALSE)</f>
        <v>1</v>
      </c>
      <c r="M23" s="69" t="str">
        <f>VLOOKUP($F23,enemy_skill_triggers!$A:$J,8,FALSE)</f>
        <v>null</v>
      </c>
      <c r="N23" s="69" t="str">
        <f>VLOOKUP($F23,enemy_skill_triggers!$A:$J,9,FALSE)</f>
        <v>null</v>
      </c>
      <c r="O23" s="69">
        <f>VLOOKUP($F23,enemy_skill_triggers!$A:$J,10,FALSE)</f>
        <v>100</v>
      </c>
      <c r="P23" s="67"/>
    </row>
    <row r="24" spans="1:16" ht="21" customHeight="1">
      <c r="A24" s="59" t="str">
        <f t="shared" si="0"/>
        <v>400033_40003007</v>
      </c>
      <c r="B24" s="66">
        <v>400033</v>
      </c>
      <c r="C24" s="67">
        <v>40003007</v>
      </c>
      <c r="D24" s="68" t="str">
        <f>VLOOKUP($C24,enemy_skills!$A:$F,4,FALSE)</f>
        <v>ja</v>
      </c>
      <c r="E24" s="68" t="str">
        <f>VLOOKUP($C24,enemy_skills!$A:$F,5,FALSE)</f>
        <v>断罪の翠</v>
      </c>
      <c r="F24" s="67">
        <v>40003013</v>
      </c>
      <c r="G24" s="69">
        <f>VLOOKUP($F24,enemy_skill_triggers!$A:$J,2,FALSE)</f>
        <v>0</v>
      </c>
      <c r="H24" s="69" t="str">
        <f>VLOOKUP($F24,enemy_skill_triggers!$A:$J,3,FALSE)</f>
        <v>null</v>
      </c>
      <c r="I24" s="69">
        <f>VLOOKUP($F24,enemy_skill_triggers!$A:$J,4,FALSE)</f>
        <v>100</v>
      </c>
      <c r="J24" s="69" t="str">
        <f>VLOOKUP($F24,enemy_skill_triggers!$A:$J,5,FALSE)</f>
        <v>null</v>
      </c>
      <c r="K24" s="69" t="str">
        <f>VLOOKUP($F24,enemy_skill_triggers!$A:$J,6,FALSE)</f>
        <v>null</v>
      </c>
      <c r="L24" s="69">
        <f>VLOOKUP($F24,enemy_skill_triggers!$A:$J,7,FALSE)</f>
        <v>1</v>
      </c>
      <c r="M24" s="69" t="str">
        <f>VLOOKUP($F24,enemy_skill_triggers!$A:$J,8,FALSE)</f>
        <v>null</v>
      </c>
      <c r="N24" s="69" t="str">
        <f>VLOOKUP($F24,enemy_skill_triggers!$A:$J,9,FALSE)</f>
        <v>null</v>
      </c>
      <c r="O24" s="69">
        <f>VLOOKUP($F24,enemy_skill_triggers!$A:$J,10,FALSE)</f>
        <v>100</v>
      </c>
      <c r="P24" s="67"/>
    </row>
    <row r="25" spans="1:16" ht="21" customHeight="1">
      <c r="A25" s="59" t="str">
        <f t="shared" si="0"/>
        <v>400033_40003008</v>
      </c>
      <c r="B25" s="66">
        <v>400033</v>
      </c>
      <c r="C25" s="67">
        <v>40003008</v>
      </c>
      <c r="D25" s="68" t="str">
        <f>VLOOKUP($C25,enemy_skills!$A:$F,4,FALSE)</f>
        <v>ja</v>
      </c>
      <c r="E25" s="68" t="str">
        <f>VLOOKUP($C25,enemy_skills!$A:$F,5,FALSE)</f>
        <v>断罪の蒼</v>
      </c>
      <c r="F25" s="67">
        <v>40003013</v>
      </c>
      <c r="G25" s="69">
        <f>VLOOKUP($F25,enemy_skill_triggers!$A:$J,2,FALSE)</f>
        <v>0</v>
      </c>
      <c r="H25" s="69" t="str">
        <f>VLOOKUP($F25,enemy_skill_triggers!$A:$J,3,FALSE)</f>
        <v>null</v>
      </c>
      <c r="I25" s="69">
        <f>VLOOKUP($F25,enemy_skill_triggers!$A:$J,4,FALSE)</f>
        <v>100</v>
      </c>
      <c r="J25" s="69" t="str">
        <f>VLOOKUP($F25,enemy_skill_triggers!$A:$J,5,FALSE)</f>
        <v>null</v>
      </c>
      <c r="K25" s="69" t="str">
        <f>VLOOKUP($F25,enemy_skill_triggers!$A:$J,6,FALSE)</f>
        <v>null</v>
      </c>
      <c r="L25" s="69">
        <f>VLOOKUP($F25,enemy_skill_triggers!$A:$J,7,FALSE)</f>
        <v>1</v>
      </c>
      <c r="M25" s="69" t="str">
        <f>VLOOKUP($F25,enemy_skill_triggers!$A:$J,8,FALSE)</f>
        <v>null</v>
      </c>
      <c r="N25" s="69" t="str">
        <f>VLOOKUP($F25,enemy_skill_triggers!$A:$J,9,FALSE)</f>
        <v>null</v>
      </c>
      <c r="O25" s="69">
        <f>VLOOKUP($F25,enemy_skill_triggers!$A:$J,10,FALSE)</f>
        <v>100</v>
      </c>
      <c r="P25" s="67"/>
    </row>
    <row r="26" spans="1:16" ht="21" customHeight="1">
      <c r="A26" s="59" t="str">
        <f t="shared" si="0"/>
        <v>400033_40003009</v>
      </c>
      <c r="B26" s="66">
        <v>400033</v>
      </c>
      <c r="C26" s="67">
        <v>40003009</v>
      </c>
      <c r="D26" s="68" t="str">
        <f>VLOOKUP($C26,enemy_skills!$A:$F,4,FALSE)</f>
        <v>ja</v>
      </c>
      <c r="E26" s="68" t="str">
        <f>VLOOKUP($C26,enemy_skills!$A:$F,5,FALSE)</f>
        <v>クレイジーダンス</v>
      </c>
      <c r="F26" s="67">
        <v>40003001</v>
      </c>
      <c r="G26" s="69">
        <f>VLOOKUP($F26,enemy_skill_triggers!$A:$J,2,FALSE)</f>
        <v>0</v>
      </c>
      <c r="H26" s="69" t="str">
        <f>VLOOKUP($F26,enemy_skill_triggers!$A:$J,3,FALSE)</f>
        <v>null</v>
      </c>
      <c r="I26" s="69">
        <f>VLOOKUP($F26,enemy_skill_triggers!$A:$J,4,FALSE)</f>
        <v>40</v>
      </c>
      <c r="J26" s="69" t="str">
        <f>VLOOKUP($F26,enemy_skill_triggers!$A:$J,5,FALSE)</f>
        <v>null</v>
      </c>
      <c r="K26" s="69" t="str">
        <f>VLOOKUP($F26,enemy_skill_triggers!$A:$J,6,FALSE)</f>
        <v>null</v>
      </c>
      <c r="L26" s="69" t="str">
        <f>VLOOKUP($F26,enemy_skill_triggers!$A:$J,7,FALSE)</f>
        <v>null</v>
      </c>
      <c r="M26" s="69" t="str">
        <f>VLOOKUP($F26,enemy_skill_triggers!$A:$J,8,FALSE)</f>
        <v>null</v>
      </c>
      <c r="N26" s="69" t="str">
        <f>VLOOKUP($F26,enemy_skill_triggers!$A:$J,9,FALSE)</f>
        <v>null</v>
      </c>
      <c r="O26" s="69">
        <f>VLOOKUP($F26,enemy_skill_triggers!$A:$J,10,FALSE)</f>
        <v>40</v>
      </c>
      <c r="P26" s="67"/>
    </row>
    <row r="27" spans="1:16" ht="21" customHeight="1">
      <c r="A27" s="59" t="str">
        <f t="shared" ref="A27" si="2">B27&amp;"_"&amp;C27</f>
        <v>400033_40003010</v>
      </c>
      <c r="B27" s="66">
        <v>400033</v>
      </c>
      <c r="C27" s="67">
        <v>40003010</v>
      </c>
      <c r="D27" s="68" t="str">
        <f>VLOOKUP($C27,enemy_skills!$A:$F,4,FALSE)</f>
        <v>ja</v>
      </c>
      <c r="E27" s="68" t="str">
        <f>VLOOKUP($C27,enemy_skills!$A:$F,5,FALSE)</f>
        <v>弾丸装填</v>
      </c>
      <c r="F27" s="67">
        <v>40003005</v>
      </c>
      <c r="G27" s="69">
        <f>VLOOKUP($F27,enemy_skill_triggers!$A:$J,2,FALSE)</f>
        <v>1</v>
      </c>
      <c r="H27" s="69" t="str">
        <f>VLOOKUP($F27,enemy_skill_triggers!$A:$J,3,FALSE)</f>
        <v>null</v>
      </c>
      <c r="I27" s="69">
        <f>VLOOKUP($F27,enemy_skill_triggers!$A:$J,4,FALSE)</f>
        <v>100</v>
      </c>
      <c r="J27" s="69" t="str">
        <f>VLOOKUP($F27,enemy_skill_triggers!$A:$J,5,FALSE)</f>
        <v>null</v>
      </c>
      <c r="K27" s="69" t="str">
        <f>VLOOKUP($F27,enemy_skill_triggers!$A:$J,6,FALSE)</f>
        <v>null</v>
      </c>
      <c r="L27" s="69">
        <f>VLOOKUP($F27,enemy_skill_triggers!$A:$J,7,FALSE)</f>
        <v>1</v>
      </c>
      <c r="M27" s="69" t="str">
        <f>VLOOKUP($F27,enemy_skill_triggers!$A:$J,8,FALSE)</f>
        <v>null</v>
      </c>
      <c r="N27" s="69" t="str">
        <f>VLOOKUP($F27,enemy_skill_triggers!$A:$J,9,FALSE)</f>
        <v>null</v>
      </c>
      <c r="O27" s="69">
        <f>VLOOKUP($F27,enemy_skill_triggers!$A:$J,10,FALSE)</f>
        <v>100</v>
      </c>
      <c r="P27" s="67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福谷 優大</cp:lastModifiedBy>
  <dcterms:created xsi:type="dcterms:W3CDTF">2015-01-30T13:36:44Z</dcterms:created>
  <dcterms:modified xsi:type="dcterms:W3CDTF">2016-02-19T14:02:19Z</dcterms:modified>
</cp:coreProperties>
</file>