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21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1880" yWindow="1560" windowWidth="25100" windowHeight="14640" tabRatio="943" activeTab="2"/>
  </bookViews>
  <sheets>
    <sheet name="確率の考え方" sheetId="110" r:id="rId1"/>
    <sheet name="Sheet1" sheetId="107" r:id="rId2"/>
    <sheet name="output" sheetId="103" r:id="rId3"/>
    <sheet name="input_364010" sheetId="157" r:id="rId4"/>
    <sheet name="tables_364010" sheetId="158" r:id="rId5"/>
    <sheet name="input_364100" sheetId="153" r:id="rId6"/>
    <sheet name="tables_364100" sheetId="154" r:id="rId7"/>
    <sheet name="tables_settle_363100" sheetId="156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tables_364010!$A$1:$V$283</definedName>
    <definedName name="_xlnm._FilterDatabase" localSheetId="6" hidden="1">tables_364100!$A$1:$V$283</definedName>
    <definedName name="_xlnm._FilterDatabase" localSheetId="7" hidden="1">tables_settle_363100!$A$1:$V$6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90" i="158" l="1"/>
  <c r="D290" i="158"/>
  <c r="J290" i="158"/>
  <c r="E290" i="158"/>
  <c r="F290" i="158"/>
  <c r="C290" i="158"/>
  <c r="H290" i="158"/>
  <c r="K290" i="158"/>
  <c r="L290" i="158"/>
  <c r="M290" i="158"/>
  <c r="N290" i="158"/>
  <c r="A2" i="157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F5" i="157"/>
  <c r="F6" i="157"/>
  <c r="A36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B29" i="157"/>
  <c r="G29" i="157"/>
  <c r="H29" i="157"/>
  <c r="O290" i="158"/>
  <c r="E6" i="157"/>
  <c r="E19" i="157"/>
  <c r="B19" i="157"/>
  <c r="E24" i="157"/>
  <c r="B24" i="157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E21" i="157"/>
  <c r="B21" i="157"/>
  <c r="G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E28" i="157"/>
  <c r="B28" i="157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E22" i="157"/>
  <c r="B23" i="157"/>
  <c r="B22" i="157"/>
  <c r="G22" i="157"/>
  <c r="H22" i="157"/>
  <c r="O256" i="158"/>
  <c r="G23" i="157"/>
  <c r="E23" i="157"/>
  <c r="H23" i="157"/>
  <c r="O257" i="158"/>
  <c r="O258" i="158"/>
  <c r="O259" i="158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1" i="158"/>
  <c r="O292" i="158"/>
  <c r="O293" i="158"/>
  <c r="O294" i="158"/>
  <c r="P290" i="158"/>
  <c r="H291" i="158"/>
  <c r="K291" i="158"/>
  <c r="L291" i="158"/>
  <c r="M291" i="158"/>
  <c r="N291" i="158"/>
  <c r="P291" i="158"/>
  <c r="H292" i="158"/>
  <c r="K292" i="158"/>
  <c r="L292" i="158"/>
  <c r="M292" i="158"/>
  <c r="N292" i="158"/>
  <c r="P292" i="158"/>
  <c r="H293" i="158"/>
  <c r="K293" i="158"/>
  <c r="L293" i="158"/>
  <c r="M293" i="158"/>
  <c r="N293" i="158"/>
  <c r="P293" i="158"/>
  <c r="H294" i="158"/>
  <c r="K294" i="158"/>
  <c r="L294" i="158"/>
  <c r="M294" i="158"/>
  <c r="N294" i="158"/>
  <c r="P294" i="158"/>
  <c r="A290" i="158"/>
  <c r="A291" i="158"/>
  <c r="A292" i="158"/>
  <c r="A293" i="158"/>
  <c r="A294" i="158"/>
  <c r="A2" i="153"/>
  <c r="A290" i="154"/>
  <c r="I290" i="154"/>
  <c r="D290" i="154"/>
  <c r="J290" i="154"/>
  <c r="E290" i="154"/>
  <c r="F290" i="154"/>
  <c r="C290" i="154"/>
  <c r="H290" i="154"/>
  <c r="K290" i="154"/>
  <c r="L290" i="154"/>
  <c r="M290" i="154"/>
  <c r="N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6" i="153"/>
  <c r="B26" i="153"/>
  <c r="E28" i="153"/>
  <c r="B28" i="153"/>
  <c r="E29" i="153"/>
  <c r="B29" i="153"/>
  <c r="E6" i="153"/>
  <c r="E21" i="153"/>
  <c r="B21" i="153"/>
  <c r="B23" i="153"/>
  <c r="G23" i="153"/>
  <c r="E23" i="153"/>
  <c r="H23" i="153"/>
  <c r="R3" i="153"/>
  <c r="G29" i="153"/>
  <c r="H29" i="153"/>
  <c r="O290" i="154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G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E22" i="153"/>
  <c r="B22" i="153"/>
  <c r="G22" i="153"/>
  <c r="H22" i="153"/>
  <c r="O256" i="154"/>
  <c r="O257" i="154"/>
  <c r="O258" i="154"/>
  <c r="O259" i="154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R4" i="153"/>
  <c r="O291" i="154"/>
  <c r="R5" i="153"/>
  <c r="O292" i="154"/>
  <c r="R6" i="153"/>
  <c r="O293" i="154"/>
  <c r="R7" i="153"/>
  <c r="O294" i="154"/>
  <c r="P290" i="154"/>
  <c r="A291" i="154"/>
  <c r="H291" i="154"/>
  <c r="K291" i="154"/>
  <c r="L291" i="154"/>
  <c r="M291" i="154"/>
  <c r="N291" i="154"/>
  <c r="P291" i="154"/>
  <c r="A292" i="154"/>
  <c r="H292" i="154"/>
  <c r="K292" i="154"/>
  <c r="L292" i="154"/>
  <c r="M292" i="154"/>
  <c r="N292" i="154"/>
  <c r="P292" i="154"/>
  <c r="A293" i="154"/>
  <c r="H293" i="154"/>
  <c r="K293" i="154"/>
  <c r="L293" i="154"/>
  <c r="M293" i="154"/>
  <c r="N293" i="154"/>
  <c r="P293" i="154"/>
  <c r="A294" i="154"/>
  <c r="H294" i="154"/>
  <c r="K294" i="154"/>
  <c r="L294" i="154"/>
  <c r="M294" i="154"/>
  <c r="N294" i="154"/>
  <c r="P294" i="154"/>
  <c r="P2" i="156"/>
  <c r="P3" i="156"/>
  <c r="P4" i="156"/>
  <c r="P5" i="156"/>
  <c r="P6" i="156"/>
  <c r="I2" i="158"/>
  <c r="D2" i="158"/>
  <c r="J2" i="158"/>
  <c r="E2" i="158"/>
  <c r="C2" i="158"/>
  <c r="I3" i="158"/>
  <c r="D3" i="158"/>
  <c r="J3" i="158"/>
  <c r="E3" i="158"/>
  <c r="C3" i="158"/>
  <c r="I4" i="158"/>
  <c r="D4" i="158"/>
  <c r="J4" i="158"/>
  <c r="E4" i="158"/>
  <c r="C4" i="158"/>
  <c r="I5" i="158"/>
  <c r="D5" i="158"/>
  <c r="J5" i="158"/>
  <c r="E5" i="158"/>
  <c r="C5" i="158"/>
  <c r="I6" i="158"/>
  <c r="D6" i="158"/>
  <c r="J6" i="158"/>
  <c r="E6" i="158"/>
  <c r="C6" i="158"/>
  <c r="I7" i="158"/>
  <c r="D7" i="158"/>
  <c r="J7" i="158"/>
  <c r="E7" i="158"/>
  <c r="C7" i="158"/>
  <c r="I8" i="158"/>
  <c r="D8" i="158"/>
  <c r="J8" i="158"/>
  <c r="E8" i="158"/>
  <c r="C8" i="158"/>
  <c r="I9" i="158"/>
  <c r="D9" i="158"/>
  <c r="J9" i="158"/>
  <c r="E9" i="158"/>
  <c r="C9" i="158"/>
  <c r="I10" i="158"/>
  <c r="D10" i="158"/>
  <c r="J10" i="158"/>
  <c r="E10" i="158"/>
  <c r="C10" i="158"/>
  <c r="I11" i="158"/>
  <c r="D11" i="158"/>
  <c r="J11" i="158"/>
  <c r="E11" i="158"/>
  <c r="C11" i="158"/>
  <c r="I12" i="158"/>
  <c r="D12" i="158"/>
  <c r="J12" i="158"/>
  <c r="E12" i="158"/>
  <c r="C12" i="158"/>
  <c r="I13" i="158"/>
  <c r="D13" i="158"/>
  <c r="J13" i="158"/>
  <c r="E13" i="158"/>
  <c r="C13" i="158"/>
  <c r="I14" i="158"/>
  <c r="D14" i="158"/>
  <c r="J14" i="158"/>
  <c r="E14" i="158"/>
  <c r="C14" i="158"/>
  <c r="I15" i="158"/>
  <c r="D15" i="158"/>
  <c r="J15" i="158"/>
  <c r="E15" i="158"/>
  <c r="C15" i="158"/>
  <c r="I16" i="158"/>
  <c r="D16" i="158"/>
  <c r="J16" i="158"/>
  <c r="E16" i="158"/>
  <c r="C16" i="158"/>
  <c r="I17" i="158"/>
  <c r="D17" i="158"/>
  <c r="J17" i="158"/>
  <c r="E17" i="158"/>
  <c r="C17" i="158"/>
  <c r="I18" i="158"/>
  <c r="D18" i="158"/>
  <c r="J18" i="158"/>
  <c r="E18" i="158"/>
  <c r="C18" i="158"/>
  <c r="I19" i="158"/>
  <c r="D19" i="158"/>
  <c r="J19" i="158"/>
  <c r="E19" i="158"/>
  <c r="C19" i="158"/>
  <c r="I20" i="158"/>
  <c r="D20" i="158"/>
  <c r="J20" i="158"/>
  <c r="E20" i="158"/>
  <c r="C20" i="158"/>
  <c r="I21" i="158"/>
  <c r="D21" i="158"/>
  <c r="J21" i="158"/>
  <c r="E21" i="158"/>
  <c r="C21" i="158"/>
  <c r="I22" i="158"/>
  <c r="D22" i="158"/>
  <c r="J22" i="158"/>
  <c r="E22" i="158"/>
  <c r="C22" i="158"/>
  <c r="I23" i="158"/>
  <c r="D23" i="158"/>
  <c r="J23" i="158"/>
  <c r="E23" i="158"/>
  <c r="C23" i="158"/>
  <c r="I24" i="158"/>
  <c r="D24" i="158"/>
  <c r="J24" i="158"/>
  <c r="E24" i="158"/>
  <c r="C24" i="158"/>
  <c r="I25" i="158"/>
  <c r="D25" i="158"/>
  <c r="J25" i="158"/>
  <c r="E25" i="158"/>
  <c r="C25" i="158"/>
  <c r="I26" i="158"/>
  <c r="D26" i="158"/>
  <c r="J26" i="158"/>
  <c r="E26" i="158"/>
  <c r="C26" i="158"/>
  <c r="I27" i="158"/>
  <c r="D27" i="158"/>
  <c r="J27" i="158"/>
  <c r="E27" i="158"/>
  <c r="C27" i="158"/>
  <c r="I28" i="158"/>
  <c r="D28" i="158"/>
  <c r="J28" i="158"/>
  <c r="E28" i="158"/>
  <c r="C28" i="158"/>
  <c r="I29" i="158"/>
  <c r="D29" i="158"/>
  <c r="J29" i="158"/>
  <c r="E29" i="158"/>
  <c r="C29" i="158"/>
  <c r="I30" i="158"/>
  <c r="D30" i="158"/>
  <c r="J30" i="158"/>
  <c r="E30" i="158"/>
  <c r="C30" i="158"/>
  <c r="I31" i="158"/>
  <c r="D31" i="158"/>
  <c r="J31" i="158"/>
  <c r="E31" i="158"/>
  <c r="C31" i="158"/>
  <c r="I32" i="158"/>
  <c r="D32" i="158"/>
  <c r="J32" i="158"/>
  <c r="E32" i="158"/>
  <c r="C32" i="158"/>
  <c r="I33" i="158"/>
  <c r="D33" i="158"/>
  <c r="J33" i="158"/>
  <c r="E33" i="158"/>
  <c r="C33" i="158"/>
  <c r="I34" i="158"/>
  <c r="D34" i="158"/>
  <c r="J34" i="158"/>
  <c r="E34" i="158"/>
  <c r="C34" i="158"/>
  <c r="I35" i="158"/>
  <c r="D35" i="158"/>
  <c r="J35" i="158"/>
  <c r="E35" i="158"/>
  <c r="C35" i="158"/>
  <c r="I36" i="158"/>
  <c r="D36" i="158"/>
  <c r="J36" i="158"/>
  <c r="E36" i="158"/>
  <c r="C36" i="158"/>
  <c r="I37" i="158"/>
  <c r="D37" i="158"/>
  <c r="J37" i="158"/>
  <c r="E37" i="158"/>
  <c r="C37" i="158"/>
  <c r="I38" i="158"/>
  <c r="D38" i="158"/>
  <c r="J38" i="158"/>
  <c r="E38" i="158"/>
  <c r="C38" i="158"/>
  <c r="I39" i="158"/>
  <c r="D39" i="158"/>
  <c r="J39" i="158"/>
  <c r="E39" i="158"/>
  <c r="C39" i="158"/>
  <c r="I40" i="158"/>
  <c r="D40" i="158"/>
  <c r="J40" i="158"/>
  <c r="E40" i="158"/>
  <c r="C40" i="158"/>
  <c r="I41" i="158"/>
  <c r="D41" i="158"/>
  <c r="J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D215" i="158"/>
  <c r="J215" i="158"/>
  <c r="E215" i="158"/>
  <c r="C215" i="158"/>
  <c r="I216" i="158"/>
  <c r="D216" i="158"/>
  <c r="J216" i="158"/>
  <c r="E216" i="158"/>
  <c r="C216" i="158"/>
  <c r="I217" i="158"/>
  <c r="D217" i="158"/>
  <c r="J217" i="158"/>
  <c r="E217" i="158"/>
  <c r="C217" i="158"/>
  <c r="I218" i="158"/>
  <c r="D218" i="158"/>
  <c r="J218" i="158"/>
  <c r="E218" i="158"/>
  <c r="C218" i="158"/>
  <c r="I219" i="158"/>
  <c r="D219" i="158"/>
  <c r="J219" i="158"/>
  <c r="E219" i="158"/>
  <c r="C219" i="158"/>
  <c r="I220" i="158"/>
  <c r="D220" i="158"/>
  <c r="J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F287" i="154"/>
  <c r="H287" i="154"/>
  <c r="K287" i="154"/>
  <c r="L287" i="154"/>
  <c r="M287" i="154"/>
  <c r="N287" i="154"/>
  <c r="F288" i="154"/>
  <c r="F289" i="154"/>
  <c r="B10" i="153"/>
  <c r="R8" i="153"/>
  <c r="P287" i="154"/>
  <c r="H288" i="154"/>
  <c r="K288" i="154"/>
  <c r="L288" i="154"/>
  <c r="M288" i="154"/>
  <c r="N288" i="154"/>
  <c r="P288" i="154"/>
  <c r="H289" i="154"/>
  <c r="K289" i="154"/>
  <c r="L289" i="154"/>
  <c r="M289" i="154"/>
  <c r="N289" i="154"/>
  <c r="P289" i="154"/>
  <c r="A287" i="154"/>
  <c r="A288" i="154"/>
  <c r="A289" i="154"/>
  <c r="A285" i="158"/>
  <c r="F285" i="158"/>
  <c r="H285" i="158"/>
  <c r="K285" i="158"/>
  <c r="L285" i="158"/>
  <c r="M285" i="158"/>
  <c r="N285" i="158"/>
  <c r="F286" i="158"/>
  <c r="F287" i="158"/>
  <c r="F288" i="158"/>
  <c r="F289" i="158"/>
  <c r="R4" i="157"/>
  <c r="F284" i="158"/>
  <c r="R3" i="157"/>
  <c r="R5" i="157"/>
  <c r="R6" i="157"/>
  <c r="R7" i="157"/>
  <c r="R8" i="157"/>
  <c r="P285" i="158"/>
  <c r="A286" i="158"/>
  <c r="H286" i="158"/>
  <c r="K286" i="158"/>
  <c r="L286" i="158"/>
  <c r="M286" i="158"/>
  <c r="N286" i="158"/>
  <c r="P286" i="158"/>
  <c r="A287" i="158"/>
  <c r="H287" i="158"/>
  <c r="K287" i="158"/>
  <c r="L287" i="158"/>
  <c r="M287" i="158"/>
  <c r="N287" i="158"/>
  <c r="P287" i="158"/>
  <c r="A288" i="158"/>
  <c r="H288" i="158"/>
  <c r="K288" i="158"/>
  <c r="L288" i="158"/>
  <c r="M288" i="158"/>
  <c r="N288" i="158"/>
  <c r="P288" i="158"/>
  <c r="A289" i="158"/>
  <c r="H289" i="158"/>
  <c r="K289" i="158"/>
  <c r="L289" i="158"/>
  <c r="M289" i="158"/>
  <c r="N289" i="158"/>
  <c r="P289" i="158"/>
  <c r="F284" i="154"/>
  <c r="F285" i="154"/>
  <c r="F286" i="154"/>
  <c r="B6" i="157"/>
  <c r="B5" i="157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E31" i="157"/>
  <c r="G31" i="157"/>
  <c r="H31" i="157"/>
  <c r="B10" i="157"/>
  <c r="E30" i="157"/>
  <c r="G30" i="157"/>
  <c r="H30" i="157"/>
  <c r="P284" i="158"/>
  <c r="N284" i="158"/>
  <c r="M284" i="158"/>
  <c r="L284" i="158"/>
  <c r="K284" i="158"/>
  <c r="H284" i="158"/>
  <c r="A284" i="158"/>
  <c r="P283" i="158"/>
  <c r="N283" i="158"/>
  <c r="M283" i="158"/>
  <c r="L283" i="158"/>
  <c r="K283" i="158"/>
  <c r="H283" i="158"/>
  <c r="A283" i="158"/>
  <c r="P282" i="158"/>
  <c r="N282" i="158"/>
  <c r="M282" i="158"/>
  <c r="L282" i="158"/>
  <c r="K282" i="158"/>
  <c r="H282" i="158"/>
  <c r="A282" i="158"/>
  <c r="P281" i="158"/>
  <c r="N281" i="158"/>
  <c r="M281" i="158"/>
  <c r="L281" i="158"/>
  <c r="K281" i="158"/>
  <c r="H281" i="158"/>
  <c r="A281" i="158"/>
  <c r="P280" i="158"/>
  <c r="N280" i="158"/>
  <c r="M280" i="158"/>
  <c r="L280" i="158"/>
  <c r="K280" i="158"/>
  <c r="H280" i="158"/>
  <c r="A280" i="158"/>
  <c r="P279" i="158"/>
  <c r="N279" i="158"/>
  <c r="M279" i="158"/>
  <c r="L279" i="158"/>
  <c r="K279" i="158"/>
  <c r="H279" i="158"/>
  <c r="A279" i="158"/>
  <c r="P278" i="158"/>
  <c r="N278" i="158"/>
  <c r="M278" i="158"/>
  <c r="L278" i="158"/>
  <c r="K278" i="158"/>
  <c r="H278" i="158"/>
  <c r="A278" i="158"/>
  <c r="P277" i="158"/>
  <c r="N277" i="158"/>
  <c r="M277" i="158"/>
  <c r="L277" i="158"/>
  <c r="K277" i="158"/>
  <c r="H277" i="158"/>
  <c r="A277" i="158"/>
  <c r="P276" i="158"/>
  <c r="N276" i="158"/>
  <c r="M276" i="158"/>
  <c r="L276" i="158"/>
  <c r="K276" i="158"/>
  <c r="H276" i="158"/>
  <c r="A276" i="158"/>
  <c r="P275" i="158"/>
  <c r="N275" i="158"/>
  <c r="M275" i="158"/>
  <c r="L275" i="158"/>
  <c r="K275" i="158"/>
  <c r="H275" i="158"/>
  <c r="A275" i="158"/>
  <c r="P274" i="158"/>
  <c r="N274" i="158"/>
  <c r="M274" i="158"/>
  <c r="L274" i="158"/>
  <c r="K274" i="158"/>
  <c r="H274" i="158"/>
  <c r="A274" i="158"/>
  <c r="P273" i="158"/>
  <c r="N273" i="158"/>
  <c r="M273" i="158"/>
  <c r="L273" i="158"/>
  <c r="K273" i="158"/>
  <c r="H273" i="158"/>
  <c r="A273" i="158"/>
  <c r="P272" i="158"/>
  <c r="N272" i="158"/>
  <c r="M272" i="158"/>
  <c r="L272" i="158"/>
  <c r="K272" i="158"/>
  <c r="H272" i="158"/>
  <c r="A272" i="158"/>
  <c r="P271" i="158"/>
  <c r="N271" i="158"/>
  <c r="M271" i="158"/>
  <c r="L271" i="158"/>
  <c r="K271" i="158"/>
  <c r="H271" i="158"/>
  <c r="A271" i="158"/>
  <c r="P270" i="158"/>
  <c r="N270" i="158"/>
  <c r="M270" i="158"/>
  <c r="L270" i="158"/>
  <c r="K270" i="158"/>
  <c r="H270" i="158"/>
  <c r="A270" i="158"/>
  <c r="P269" i="158"/>
  <c r="N269" i="158"/>
  <c r="M269" i="158"/>
  <c r="L269" i="158"/>
  <c r="K269" i="158"/>
  <c r="H269" i="158"/>
  <c r="A269" i="158"/>
  <c r="P268" i="158"/>
  <c r="N268" i="158"/>
  <c r="M268" i="158"/>
  <c r="L268" i="158"/>
  <c r="K268" i="158"/>
  <c r="H268" i="158"/>
  <c r="A268" i="158"/>
  <c r="P267" i="158"/>
  <c r="N267" i="158"/>
  <c r="M267" i="158"/>
  <c r="L267" i="158"/>
  <c r="K267" i="158"/>
  <c r="H267" i="158"/>
  <c r="A267" i="158"/>
  <c r="P266" i="158"/>
  <c r="N266" i="158"/>
  <c r="M266" i="158"/>
  <c r="L266" i="158"/>
  <c r="K266" i="158"/>
  <c r="H266" i="158"/>
  <c r="A266" i="158"/>
  <c r="P265" i="158"/>
  <c r="N265" i="158"/>
  <c r="M265" i="158"/>
  <c r="L265" i="158"/>
  <c r="K265" i="158"/>
  <c r="H265" i="158"/>
  <c r="A265" i="158"/>
  <c r="P264" i="158"/>
  <c r="N264" i="158"/>
  <c r="M264" i="158"/>
  <c r="L264" i="158"/>
  <c r="K264" i="158"/>
  <c r="H264" i="158"/>
  <c r="A264" i="158"/>
  <c r="P263" i="158"/>
  <c r="N263" i="158"/>
  <c r="M263" i="158"/>
  <c r="L263" i="158"/>
  <c r="K263" i="158"/>
  <c r="H263" i="158"/>
  <c r="A263" i="158"/>
  <c r="P262" i="158"/>
  <c r="N262" i="158"/>
  <c r="M262" i="158"/>
  <c r="L262" i="158"/>
  <c r="K262" i="158"/>
  <c r="H262" i="158"/>
  <c r="A262" i="158"/>
  <c r="P261" i="158"/>
  <c r="N261" i="158"/>
  <c r="M261" i="158"/>
  <c r="L261" i="158"/>
  <c r="K261" i="158"/>
  <c r="H261" i="158"/>
  <c r="A261" i="158"/>
  <c r="P260" i="158"/>
  <c r="N260" i="158"/>
  <c r="M260" i="158"/>
  <c r="L260" i="158"/>
  <c r="K260" i="158"/>
  <c r="H260" i="158"/>
  <c r="A260" i="158"/>
  <c r="P259" i="158"/>
  <c r="N259" i="158"/>
  <c r="M259" i="158"/>
  <c r="L259" i="158"/>
  <c r="K259" i="158"/>
  <c r="H259" i="158"/>
  <c r="A259" i="158"/>
  <c r="P258" i="158"/>
  <c r="N258" i="158"/>
  <c r="M258" i="158"/>
  <c r="L258" i="158"/>
  <c r="K258" i="158"/>
  <c r="H258" i="158"/>
  <c r="A258" i="158"/>
  <c r="P257" i="158"/>
  <c r="N257" i="158"/>
  <c r="M257" i="158"/>
  <c r="L257" i="158"/>
  <c r="K257" i="158"/>
  <c r="H257" i="158"/>
  <c r="A257" i="158"/>
  <c r="P256" i="158"/>
  <c r="N256" i="158"/>
  <c r="M256" i="158"/>
  <c r="L256" i="158"/>
  <c r="K256" i="158"/>
  <c r="H256" i="158"/>
  <c r="A256" i="158"/>
  <c r="P255" i="158"/>
  <c r="N255" i="158"/>
  <c r="M255" i="158"/>
  <c r="L255" i="158"/>
  <c r="K255" i="158"/>
  <c r="H255" i="158"/>
  <c r="A255" i="158"/>
  <c r="P254" i="158"/>
  <c r="N254" i="158"/>
  <c r="M254" i="158"/>
  <c r="L254" i="158"/>
  <c r="K254" i="158"/>
  <c r="H254" i="158"/>
  <c r="A254" i="158"/>
  <c r="P253" i="158"/>
  <c r="N253" i="158"/>
  <c r="M253" i="158"/>
  <c r="L253" i="158"/>
  <c r="K253" i="158"/>
  <c r="H253" i="158"/>
  <c r="A253" i="158"/>
  <c r="P252" i="158"/>
  <c r="N252" i="158"/>
  <c r="M252" i="158"/>
  <c r="L252" i="158"/>
  <c r="K252" i="158"/>
  <c r="H252" i="158"/>
  <c r="A252" i="158"/>
  <c r="P251" i="158"/>
  <c r="N251" i="158"/>
  <c r="M251" i="158"/>
  <c r="L251" i="158"/>
  <c r="K251" i="158"/>
  <c r="H251" i="158"/>
  <c r="A251" i="158"/>
  <c r="P250" i="158"/>
  <c r="N250" i="158"/>
  <c r="M250" i="158"/>
  <c r="L250" i="158"/>
  <c r="K250" i="158"/>
  <c r="H250" i="158"/>
  <c r="A250" i="158"/>
  <c r="P249" i="158"/>
  <c r="N249" i="158"/>
  <c r="M249" i="158"/>
  <c r="L249" i="158"/>
  <c r="K249" i="158"/>
  <c r="H249" i="158"/>
  <c r="A249" i="158"/>
  <c r="P248" i="158"/>
  <c r="N248" i="158"/>
  <c r="M248" i="158"/>
  <c r="L248" i="158"/>
  <c r="K248" i="158"/>
  <c r="H248" i="158"/>
  <c r="A248" i="158"/>
  <c r="P247" i="158"/>
  <c r="N247" i="158"/>
  <c r="M247" i="158"/>
  <c r="L247" i="158"/>
  <c r="K247" i="158"/>
  <c r="H247" i="158"/>
  <c r="A247" i="158"/>
  <c r="P246" i="158"/>
  <c r="N246" i="158"/>
  <c r="M246" i="158"/>
  <c r="L246" i="158"/>
  <c r="K246" i="158"/>
  <c r="H246" i="158"/>
  <c r="A246" i="158"/>
  <c r="P245" i="158"/>
  <c r="N245" i="158"/>
  <c r="M245" i="158"/>
  <c r="L245" i="158"/>
  <c r="K245" i="158"/>
  <c r="H245" i="158"/>
  <c r="A245" i="158"/>
  <c r="P244" i="158"/>
  <c r="N244" i="158"/>
  <c r="M244" i="158"/>
  <c r="L244" i="158"/>
  <c r="K244" i="158"/>
  <c r="H244" i="158"/>
  <c r="A244" i="158"/>
  <c r="P243" i="158"/>
  <c r="N243" i="158"/>
  <c r="M243" i="158"/>
  <c r="L243" i="158"/>
  <c r="K243" i="158"/>
  <c r="H243" i="158"/>
  <c r="A243" i="158"/>
  <c r="P242" i="158"/>
  <c r="N242" i="158"/>
  <c r="M242" i="158"/>
  <c r="L242" i="158"/>
  <c r="K242" i="158"/>
  <c r="H242" i="158"/>
  <c r="A242" i="158"/>
  <c r="P241" i="158"/>
  <c r="N241" i="158"/>
  <c r="M241" i="158"/>
  <c r="L241" i="158"/>
  <c r="K241" i="158"/>
  <c r="H241" i="158"/>
  <c r="A241" i="158"/>
  <c r="P240" i="158"/>
  <c r="N240" i="158"/>
  <c r="M240" i="158"/>
  <c r="L240" i="158"/>
  <c r="K240" i="158"/>
  <c r="H240" i="158"/>
  <c r="A240" i="158"/>
  <c r="P239" i="158"/>
  <c r="N239" i="158"/>
  <c r="M239" i="158"/>
  <c r="L239" i="158"/>
  <c r="K239" i="158"/>
  <c r="H239" i="158"/>
  <c r="A239" i="158"/>
  <c r="P238" i="158"/>
  <c r="N238" i="158"/>
  <c r="M238" i="158"/>
  <c r="L238" i="158"/>
  <c r="K238" i="158"/>
  <c r="H238" i="158"/>
  <c r="A238" i="158"/>
  <c r="P237" i="158"/>
  <c r="N237" i="158"/>
  <c r="M237" i="158"/>
  <c r="L237" i="158"/>
  <c r="K237" i="158"/>
  <c r="H237" i="158"/>
  <c r="A237" i="158"/>
  <c r="P236" i="158"/>
  <c r="N236" i="158"/>
  <c r="M236" i="158"/>
  <c r="L236" i="158"/>
  <c r="K236" i="158"/>
  <c r="H236" i="158"/>
  <c r="A236" i="158"/>
  <c r="P235" i="158"/>
  <c r="N235" i="158"/>
  <c r="M235" i="158"/>
  <c r="L235" i="158"/>
  <c r="K235" i="158"/>
  <c r="H235" i="158"/>
  <c r="A235" i="158"/>
  <c r="P234" i="158"/>
  <c r="N234" i="158"/>
  <c r="M234" i="158"/>
  <c r="L234" i="158"/>
  <c r="K234" i="158"/>
  <c r="H234" i="158"/>
  <c r="A234" i="158"/>
  <c r="P233" i="158"/>
  <c r="N233" i="158"/>
  <c r="M233" i="158"/>
  <c r="L233" i="158"/>
  <c r="K233" i="158"/>
  <c r="H233" i="158"/>
  <c r="A233" i="158"/>
  <c r="P232" i="158"/>
  <c r="N232" i="158"/>
  <c r="M232" i="158"/>
  <c r="L232" i="158"/>
  <c r="K232" i="158"/>
  <c r="H232" i="158"/>
  <c r="A232" i="158"/>
  <c r="P231" i="158"/>
  <c r="N231" i="158"/>
  <c r="M231" i="158"/>
  <c r="L231" i="158"/>
  <c r="K231" i="158"/>
  <c r="H231" i="158"/>
  <c r="A231" i="158"/>
  <c r="P230" i="158"/>
  <c r="N230" i="158"/>
  <c r="M230" i="158"/>
  <c r="L230" i="158"/>
  <c r="K230" i="158"/>
  <c r="H230" i="158"/>
  <c r="A230" i="158"/>
  <c r="P229" i="158"/>
  <c r="N229" i="158"/>
  <c r="M229" i="158"/>
  <c r="L229" i="158"/>
  <c r="K229" i="158"/>
  <c r="H229" i="158"/>
  <c r="A229" i="158"/>
  <c r="P228" i="158"/>
  <c r="N228" i="158"/>
  <c r="M228" i="158"/>
  <c r="L228" i="158"/>
  <c r="K228" i="158"/>
  <c r="H228" i="158"/>
  <c r="A228" i="158"/>
  <c r="P227" i="158"/>
  <c r="N227" i="158"/>
  <c r="M227" i="158"/>
  <c r="L227" i="158"/>
  <c r="K227" i="158"/>
  <c r="H227" i="158"/>
  <c r="A227" i="158"/>
  <c r="P226" i="158"/>
  <c r="N226" i="158"/>
  <c r="M226" i="158"/>
  <c r="L226" i="158"/>
  <c r="K226" i="158"/>
  <c r="H226" i="158"/>
  <c r="A226" i="158"/>
  <c r="P225" i="158"/>
  <c r="N225" i="158"/>
  <c r="M225" i="158"/>
  <c r="L225" i="158"/>
  <c r="K225" i="158"/>
  <c r="H225" i="158"/>
  <c r="A225" i="158"/>
  <c r="P224" i="158"/>
  <c r="N224" i="158"/>
  <c r="M224" i="158"/>
  <c r="L224" i="158"/>
  <c r="K224" i="158"/>
  <c r="H224" i="158"/>
  <c r="A224" i="158"/>
  <c r="P223" i="158"/>
  <c r="N223" i="158"/>
  <c r="M223" i="158"/>
  <c r="L223" i="158"/>
  <c r="K223" i="158"/>
  <c r="H223" i="158"/>
  <c r="A223" i="158"/>
  <c r="P222" i="158"/>
  <c r="N222" i="158"/>
  <c r="M222" i="158"/>
  <c r="L222" i="158"/>
  <c r="K222" i="158"/>
  <c r="H222" i="158"/>
  <c r="A222" i="158"/>
  <c r="P221" i="158"/>
  <c r="N221" i="158"/>
  <c r="M221" i="158"/>
  <c r="L221" i="158"/>
  <c r="K221" i="158"/>
  <c r="H221" i="158"/>
  <c r="A221" i="158"/>
  <c r="P220" i="158"/>
  <c r="N220" i="158"/>
  <c r="M220" i="158"/>
  <c r="L220" i="158"/>
  <c r="K220" i="158"/>
  <c r="H220" i="158"/>
  <c r="A220" i="158"/>
  <c r="P219" i="158"/>
  <c r="N219" i="158"/>
  <c r="M219" i="158"/>
  <c r="L219" i="158"/>
  <c r="K219" i="158"/>
  <c r="H219" i="158"/>
  <c r="A219" i="158"/>
  <c r="P218" i="158"/>
  <c r="N218" i="158"/>
  <c r="M218" i="158"/>
  <c r="L218" i="158"/>
  <c r="K218" i="158"/>
  <c r="H218" i="158"/>
  <c r="A218" i="158"/>
  <c r="P217" i="158"/>
  <c r="N217" i="158"/>
  <c r="M217" i="158"/>
  <c r="L217" i="158"/>
  <c r="K217" i="158"/>
  <c r="H217" i="158"/>
  <c r="A217" i="158"/>
  <c r="P216" i="158"/>
  <c r="N216" i="158"/>
  <c r="M216" i="158"/>
  <c r="L216" i="158"/>
  <c r="K216" i="158"/>
  <c r="H216" i="158"/>
  <c r="A216" i="158"/>
  <c r="P215" i="158"/>
  <c r="N215" i="158"/>
  <c r="M215" i="158"/>
  <c r="L215" i="158"/>
  <c r="K215" i="158"/>
  <c r="H215" i="158"/>
  <c r="A215" i="158"/>
  <c r="P214" i="158"/>
  <c r="N214" i="158"/>
  <c r="M214" i="158"/>
  <c r="L214" i="158"/>
  <c r="K214" i="158"/>
  <c r="H214" i="158"/>
  <c r="A214" i="158"/>
  <c r="P213" i="158"/>
  <c r="N213" i="158"/>
  <c r="M213" i="158"/>
  <c r="L213" i="158"/>
  <c r="K213" i="158"/>
  <c r="H213" i="158"/>
  <c r="A213" i="158"/>
  <c r="P212" i="158"/>
  <c r="N212" i="158"/>
  <c r="M212" i="158"/>
  <c r="L212" i="158"/>
  <c r="K212" i="158"/>
  <c r="H212" i="158"/>
  <c r="A212" i="158"/>
  <c r="P211" i="158"/>
  <c r="N211" i="158"/>
  <c r="M211" i="158"/>
  <c r="L211" i="158"/>
  <c r="K211" i="158"/>
  <c r="H211" i="158"/>
  <c r="A211" i="158"/>
  <c r="P210" i="158"/>
  <c r="N210" i="158"/>
  <c r="M210" i="158"/>
  <c r="L210" i="158"/>
  <c r="K210" i="158"/>
  <c r="H210" i="158"/>
  <c r="A210" i="158"/>
  <c r="P209" i="158"/>
  <c r="N209" i="158"/>
  <c r="M209" i="158"/>
  <c r="L209" i="158"/>
  <c r="K209" i="158"/>
  <c r="H209" i="158"/>
  <c r="A209" i="158"/>
  <c r="P208" i="158"/>
  <c r="N208" i="158"/>
  <c r="M208" i="158"/>
  <c r="L208" i="158"/>
  <c r="K208" i="158"/>
  <c r="H208" i="158"/>
  <c r="A208" i="158"/>
  <c r="P207" i="158"/>
  <c r="N207" i="158"/>
  <c r="M207" i="158"/>
  <c r="L207" i="158"/>
  <c r="K207" i="158"/>
  <c r="H207" i="158"/>
  <c r="A207" i="158"/>
  <c r="P206" i="158"/>
  <c r="N206" i="158"/>
  <c r="M206" i="158"/>
  <c r="L206" i="158"/>
  <c r="K206" i="158"/>
  <c r="H206" i="158"/>
  <c r="A206" i="158"/>
  <c r="P205" i="158"/>
  <c r="N205" i="158"/>
  <c r="M205" i="158"/>
  <c r="L205" i="158"/>
  <c r="K205" i="158"/>
  <c r="H205" i="158"/>
  <c r="A205" i="158"/>
  <c r="P204" i="158"/>
  <c r="N204" i="158"/>
  <c r="M204" i="158"/>
  <c r="L204" i="158"/>
  <c r="K204" i="158"/>
  <c r="H204" i="158"/>
  <c r="A204" i="158"/>
  <c r="P203" i="158"/>
  <c r="N203" i="158"/>
  <c r="M203" i="158"/>
  <c r="L203" i="158"/>
  <c r="K203" i="158"/>
  <c r="H203" i="158"/>
  <c r="A203" i="158"/>
  <c r="P202" i="158"/>
  <c r="N202" i="158"/>
  <c r="M202" i="158"/>
  <c r="L202" i="158"/>
  <c r="K202" i="158"/>
  <c r="H202" i="158"/>
  <c r="A202" i="158"/>
  <c r="P201" i="158"/>
  <c r="N201" i="158"/>
  <c r="M201" i="158"/>
  <c r="L201" i="158"/>
  <c r="K201" i="158"/>
  <c r="H201" i="158"/>
  <c r="A201" i="158"/>
  <c r="P200" i="158"/>
  <c r="N200" i="158"/>
  <c r="M200" i="158"/>
  <c r="L200" i="158"/>
  <c r="K200" i="158"/>
  <c r="H200" i="158"/>
  <c r="A200" i="158"/>
  <c r="P199" i="158"/>
  <c r="N199" i="158"/>
  <c r="M199" i="158"/>
  <c r="L199" i="158"/>
  <c r="K199" i="158"/>
  <c r="H199" i="158"/>
  <c r="A199" i="158"/>
  <c r="P198" i="158"/>
  <c r="N198" i="158"/>
  <c r="M198" i="158"/>
  <c r="L198" i="158"/>
  <c r="K198" i="158"/>
  <c r="H198" i="158"/>
  <c r="A198" i="158"/>
  <c r="P197" i="158"/>
  <c r="N197" i="158"/>
  <c r="M197" i="158"/>
  <c r="L197" i="158"/>
  <c r="K197" i="158"/>
  <c r="H197" i="158"/>
  <c r="A197" i="158"/>
  <c r="P196" i="158"/>
  <c r="N196" i="158"/>
  <c r="M196" i="158"/>
  <c r="L196" i="158"/>
  <c r="K196" i="158"/>
  <c r="H196" i="158"/>
  <c r="A196" i="158"/>
  <c r="P195" i="158"/>
  <c r="N195" i="158"/>
  <c r="M195" i="158"/>
  <c r="L195" i="158"/>
  <c r="K195" i="158"/>
  <c r="H195" i="158"/>
  <c r="A195" i="158"/>
  <c r="P194" i="158"/>
  <c r="N194" i="158"/>
  <c r="M194" i="158"/>
  <c r="L194" i="158"/>
  <c r="K194" i="158"/>
  <c r="H194" i="158"/>
  <c r="A194" i="158"/>
  <c r="P193" i="158"/>
  <c r="N193" i="158"/>
  <c r="M193" i="158"/>
  <c r="L193" i="158"/>
  <c r="K193" i="158"/>
  <c r="H193" i="158"/>
  <c r="A193" i="158"/>
  <c r="P192" i="158"/>
  <c r="N192" i="158"/>
  <c r="M192" i="158"/>
  <c r="L192" i="158"/>
  <c r="K192" i="158"/>
  <c r="H192" i="158"/>
  <c r="A192" i="158"/>
  <c r="P191" i="158"/>
  <c r="N191" i="158"/>
  <c r="M191" i="158"/>
  <c r="L191" i="158"/>
  <c r="K191" i="158"/>
  <c r="H191" i="158"/>
  <c r="A191" i="158"/>
  <c r="P190" i="158"/>
  <c r="N190" i="158"/>
  <c r="M190" i="158"/>
  <c r="L190" i="158"/>
  <c r="K190" i="158"/>
  <c r="H190" i="158"/>
  <c r="A190" i="158"/>
  <c r="P189" i="158"/>
  <c r="N189" i="158"/>
  <c r="M189" i="158"/>
  <c r="L189" i="158"/>
  <c r="K189" i="158"/>
  <c r="H189" i="158"/>
  <c r="A189" i="158"/>
  <c r="P188" i="158"/>
  <c r="N188" i="158"/>
  <c r="M188" i="158"/>
  <c r="L188" i="158"/>
  <c r="K188" i="158"/>
  <c r="H188" i="158"/>
  <c r="A188" i="158"/>
  <c r="P187" i="158"/>
  <c r="N187" i="158"/>
  <c r="M187" i="158"/>
  <c r="L187" i="158"/>
  <c r="K187" i="158"/>
  <c r="H187" i="158"/>
  <c r="A187" i="158"/>
  <c r="P186" i="158"/>
  <c r="N186" i="158"/>
  <c r="M186" i="158"/>
  <c r="L186" i="158"/>
  <c r="K186" i="158"/>
  <c r="H186" i="158"/>
  <c r="A186" i="158"/>
  <c r="P185" i="158"/>
  <c r="N185" i="158"/>
  <c r="M185" i="158"/>
  <c r="L185" i="158"/>
  <c r="K185" i="158"/>
  <c r="H185" i="158"/>
  <c r="A185" i="158"/>
  <c r="P184" i="158"/>
  <c r="N184" i="158"/>
  <c r="M184" i="158"/>
  <c r="L184" i="158"/>
  <c r="K184" i="158"/>
  <c r="H184" i="158"/>
  <c r="A184" i="158"/>
  <c r="P183" i="158"/>
  <c r="N183" i="158"/>
  <c r="M183" i="158"/>
  <c r="L183" i="158"/>
  <c r="K183" i="158"/>
  <c r="H183" i="158"/>
  <c r="A183" i="158"/>
  <c r="P182" i="158"/>
  <c r="N182" i="158"/>
  <c r="M182" i="158"/>
  <c r="L182" i="158"/>
  <c r="K182" i="158"/>
  <c r="H182" i="158"/>
  <c r="A182" i="158"/>
  <c r="P181" i="158"/>
  <c r="N181" i="158"/>
  <c r="M181" i="158"/>
  <c r="L181" i="158"/>
  <c r="K181" i="158"/>
  <c r="H181" i="158"/>
  <c r="A181" i="158"/>
  <c r="P180" i="158"/>
  <c r="N180" i="158"/>
  <c r="M180" i="158"/>
  <c r="L180" i="158"/>
  <c r="K180" i="158"/>
  <c r="H180" i="158"/>
  <c r="A180" i="158"/>
  <c r="P179" i="158"/>
  <c r="N179" i="158"/>
  <c r="M179" i="158"/>
  <c r="L179" i="158"/>
  <c r="K179" i="158"/>
  <c r="H179" i="158"/>
  <c r="A179" i="158"/>
  <c r="P178" i="158"/>
  <c r="N178" i="158"/>
  <c r="M178" i="158"/>
  <c r="L178" i="158"/>
  <c r="K178" i="158"/>
  <c r="H178" i="158"/>
  <c r="A178" i="158"/>
  <c r="P177" i="158"/>
  <c r="N177" i="158"/>
  <c r="M177" i="158"/>
  <c r="L177" i="158"/>
  <c r="K177" i="158"/>
  <c r="H177" i="158"/>
  <c r="A177" i="158"/>
  <c r="P176" i="158"/>
  <c r="N176" i="158"/>
  <c r="M176" i="158"/>
  <c r="L176" i="158"/>
  <c r="K176" i="158"/>
  <c r="H176" i="158"/>
  <c r="A176" i="158"/>
  <c r="P175" i="158"/>
  <c r="N175" i="158"/>
  <c r="M175" i="158"/>
  <c r="L175" i="158"/>
  <c r="K175" i="158"/>
  <c r="H175" i="158"/>
  <c r="A175" i="158"/>
  <c r="P174" i="158"/>
  <c r="N174" i="158"/>
  <c r="M174" i="158"/>
  <c r="L174" i="158"/>
  <c r="K174" i="158"/>
  <c r="H174" i="158"/>
  <c r="A174" i="158"/>
  <c r="P173" i="158"/>
  <c r="N173" i="158"/>
  <c r="M173" i="158"/>
  <c r="L173" i="158"/>
  <c r="K173" i="158"/>
  <c r="H173" i="158"/>
  <c r="A173" i="158"/>
  <c r="P172" i="158"/>
  <c r="N172" i="158"/>
  <c r="M172" i="158"/>
  <c r="L172" i="158"/>
  <c r="K172" i="158"/>
  <c r="H172" i="158"/>
  <c r="A172" i="158"/>
  <c r="P171" i="158"/>
  <c r="N171" i="158"/>
  <c r="M171" i="158"/>
  <c r="L171" i="158"/>
  <c r="K171" i="158"/>
  <c r="H171" i="158"/>
  <c r="A171" i="158"/>
  <c r="P170" i="158"/>
  <c r="N170" i="158"/>
  <c r="M170" i="158"/>
  <c r="L170" i="158"/>
  <c r="K170" i="158"/>
  <c r="H170" i="158"/>
  <c r="A170" i="158"/>
  <c r="P169" i="158"/>
  <c r="N169" i="158"/>
  <c r="M169" i="158"/>
  <c r="L169" i="158"/>
  <c r="K169" i="158"/>
  <c r="H169" i="158"/>
  <c r="A169" i="158"/>
  <c r="P168" i="158"/>
  <c r="N168" i="158"/>
  <c r="M168" i="158"/>
  <c r="L168" i="158"/>
  <c r="K168" i="158"/>
  <c r="H168" i="158"/>
  <c r="A168" i="158"/>
  <c r="P167" i="158"/>
  <c r="N167" i="158"/>
  <c r="M167" i="158"/>
  <c r="L167" i="158"/>
  <c r="K167" i="158"/>
  <c r="H167" i="158"/>
  <c r="A167" i="158"/>
  <c r="P166" i="158"/>
  <c r="N166" i="158"/>
  <c r="M166" i="158"/>
  <c r="L166" i="158"/>
  <c r="K166" i="158"/>
  <c r="H166" i="158"/>
  <c r="A166" i="158"/>
  <c r="P165" i="158"/>
  <c r="N165" i="158"/>
  <c r="M165" i="158"/>
  <c r="L165" i="158"/>
  <c r="K165" i="158"/>
  <c r="H165" i="158"/>
  <c r="A165" i="158"/>
  <c r="P164" i="158"/>
  <c r="N164" i="158"/>
  <c r="M164" i="158"/>
  <c r="L164" i="158"/>
  <c r="K164" i="158"/>
  <c r="H164" i="158"/>
  <c r="A164" i="158"/>
  <c r="P163" i="158"/>
  <c r="N163" i="158"/>
  <c r="M163" i="158"/>
  <c r="L163" i="158"/>
  <c r="K163" i="158"/>
  <c r="H163" i="158"/>
  <c r="A163" i="158"/>
  <c r="P162" i="158"/>
  <c r="N162" i="158"/>
  <c r="M162" i="158"/>
  <c r="L162" i="158"/>
  <c r="K162" i="158"/>
  <c r="H162" i="158"/>
  <c r="A162" i="158"/>
  <c r="P161" i="158"/>
  <c r="N161" i="158"/>
  <c r="M161" i="158"/>
  <c r="L161" i="158"/>
  <c r="K161" i="158"/>
  <c r="H161" i="158"/>
  <c r="A161" i="158"/>
  <c r="P160" i="158"/>
  <c r="N160" i="158"/>
  <c r="M160" i="158"/>
  <c r="L160" i="158"/>
  <c r="K160" i="158"/>
  <c r="H160" i="158"/>
  <c r="A160" i="158"/>
  <c r="P159" i="158"/>
  <c r="N159" i="158"/>
  <c r="M159" i="158"/>
  <c r="L159" i="158"/>
  <c r="K159" i="158"/>
  <c r="H159" i="158"/>
  <c r="A159" i="158"/>
  <c r="P158" i="158"/>
  <c r="N158" i="158"/>
  <c r="M158" i="158"/>
  <c r="L158" i="158"/>
  <c r="K158" i="158"/>
  <c r="H158" i="158"/>
  <c r="A158" i="158"/>
  <c r="P157" i="158"/>
  <c r="N157" i="158"/>
  <c r="M157" i="158"/>
  <c r="L157" i="158"/>
  <c r="K157" i="158"/>
  <c r="H157" i="158"/>
  <c r="A157" i="158"/>
  <c r="P156" i="158"/>
  <c r="N156" i="158"/>
  <c r="M156" i="158"/>
  <c r="L156" i="158"/>
  <c r="K156" i="158"/>
  <c r="H156" i="158"/>
  <c r="A156" i="158"/>
  <c r="P155" i="158"/>
  <c r="N155" i="158"/>
  <c r="M155" i="158"/>
  <c r="L155" i="158"/>
  <c r="K155" i="158"/>
  <c r="H155" i="158"/>
  <c r="A155" i="158"/>
  <c r="P154" i="158"/>
  <c r="N154" i="158"/>
  <c r="M154" i="158"/>
  <c r="L154" i="158"/>
  <c r="K154" i="158"/>
  <c r="H154" i="158"/>
  <c r="A154" i="158"/>
  <c r="P153" i="158"/>
  <c r="N153" i="158"/>
  <c r="M153" i="158"/>
  <c r="L153" i="158"/>
  <c r="K153" i="158"/>
  <c r="H153" i="158"/>
  <c r="A153" i="158"/>
  <c r="P152" i="158"/>
  <c r="N152" i="158"/>
  <c r="M152" i="158"/>
  <c r="L152" i="158"/>
  <c r="K152" i="158"/>
  <c r="H152" i="158"/>
  <c r="A152" i="158"/>
  <c r="P151" i="158"/>
  <c r="N151" i="158"/>
  <c r="M151" i="158"/>
  <c r="L151" i="158"/>
  <c r="K151" i="158"/>
  <c r="H151" i="158"/>
  <c r="A151" i="158"/>
  <c r="P150" i="158"/>
  <c r="N150" i="158"/>
  <c r="M150" i="158"/>
  <c r="L150" i="158"/>
  <c r="K150" i="158"/>
  <c r="H150" i="158"/>
  <c r="A150" i="158"/>
  <c r="P149" i="158"/>
  <c r="N149" i="158"/>
  <c r="M149" i="158"/>
  <c r="L149" i="158"/>
  <c r="K149" i="158"/>
  <c r="H149" i="158"/>
  <c r="A149" i="158"/>
  <c r="P148" i="158"/>
  <c r="N148" i="158"/>
  <c r="M148" i="158"/>
  <c r="L148" i="158"/>
  <c r="K148" i="158"/>
  <c r="H148" i="158"/>
  <c r="A148" i="158"/>
  <c r="P147" i="158"/>
  <c r="N147" i="158"/>
  <c r="M147" i="158"/>
  <c r="L147" i="158"/>
  <c r="K147" i="158"/>
  <c r="H147" i="158"/>
  <c r="A147" i="158"/>
  <c r="P146" i="158"/>
  <c r="N146" i="158"/>
  <c r="M146" i="158"/>
  <c r="L146" i="158"/>
  <c r="K146" i="158"/>
  <c r="H146" i="158"/>
  <c r="A146" i="158"/>
  <c r="P145" i="158"/>
  <c r="N145" i="158"/>
  <c r="M145" i="158"/>
  <c r="L145" i="158"/>
  <c r="K145" i="158"/>
  <c r="H145" i="158"/>
  <c r="A145" i="158"/>
  <c r="P144" i="158"/>
  <c r="N144" i="158"/>
  <c r="M144" i="158"/>
  <c r="L144" i="158"/>
  <c r="K144" i="158"/>
  <c r="H144" i="158"/>
  <c r="A144" i="158"/>
  <c r="P143" i="158"/>
  <c r="N143" i="158"/>
  <c r="M143" i="158"/>
  <c r="L143" i="158"/>
  <c r="K143" i="158"/>
  <c r="H143" i="158"/>
  <c r="A143" i="158"/>
  <c r="P142" i="158"/>
  <c r="N142" i="158"/>
  <c r="M142" i="158"/>
  <c r="L142" i="158"/>
  <c r="K142" i="158"/>
  <c r="H142" i="158"/>
  <c r="A142" i="158"/>
  <c r="P141" i="158"/>
  <c r="N141" i="158"/>
  <c r="M141" i="158"/>
  <c r="L141" i="158"/>
  <c r="K141" i="158"/>
  <c r="H141" i="158"/>
  <c r="A141" i="158"/>
  <c r="P140" i="158"/>
  <c r="N140" i="158"/>
  <c r="M140" i="158"/>
  <c r="L140" i="158"/>
  <c r="K140" i="158"/>
  <c r="H140" i="158"/>
  <c r="A140" i="158"/>
  <c r="P139" i="158"/>
  <c r="N139" i="158"/>
  <c r="M139" i="158"/>
  <c r="L139" i="158"/>
  <c r="K139" i="158"/>
  <c r="H139" i="158"/>
  <c r="A139" i="158"/>
  <c r="P138" i="158"/>
  <c r="N138" i="158"/>
  <c r="M138" i="158"/>
  <c r="L138" i="158"/>
  <c r="K138" i="158"/>
  <c r="H138" i="158"/>
  <c r="A138" i="158"/>
  <c r="P137" i="158"/>
  <c r="N137" i="158"/>
  <c r="M137" i="158"/>
  <c r="L137" i="158"/>
  <c r="K137" i="158"/>
  <c r="H137" i="158"/>
  <c r="A137" i="158"/>
  <c r="P136" i="158"/>
  <c r="N136" i="158"/>
  <c r="M136" i="158"/>
  <c r="L136" i="158"/>
  <c r="K136" i="158"/>
  <c r="H136" i="158"/>
  <c r="A136" i="158"/>
  <c r="P135" i="158"/>
  <c r="N135" i="158"/>
  <c r="M135" i="158"/>
  <c r="L135" i="158"/>
  <c r="K135" i="158"/>
  <c r="H135" i="158"/>
  <c r="A135" i="158"/>
  <c r="P134" i="158"/>
  <c r="N134" i="158"/>
  <c r="M134" i="158"/>
  <c r="L134" i="158"/>
  <c r="K134" i="158"/>
  <c r="H134" i="158"/>
  <c r="A134" i="158"/>
  <c r="P133" i="158"/>
  <c r="N133" i="158"/>
  <c r="M133" i="158"/>
  <c r="L133" i="158"/>
  <c r="K133" i="158"/>
  <c r="H133" i="158"/>
  <c r="A133" i="158"/>
  <c r="P132" i="158"/>
  <c r="N132" i="158"/>
  <c r="M132" i="158"/>
  <c r="L132" i="158"/>
  <c r="K132" i="158"/>
  <c r="H132" i="158"/>
  <c r="A132" i="158"/>
  <c r="P131" i="158"/>
  <c r="N131" i="158"/>
  <c r="M131" i="158"/>
  <c r="L131" i="158"/>
  <c r="K131" i="158"/>
  <c r="H131" i="158"/>
  <c r="A131" i="158"/>
  <c r="P130" i="158"/>
  <c r="N130" i="158"/>
  <c r="M130" i="158"/>
  <c r="L130" i="158"/>
  <c r="K130" i="158"/>
  <c r="H130" i="158"/>
  <c r="A130" i="158"/>
  <c r="P129" i="158"/>
  <c r="N129" i="158"/>
  <c r="M129" i="158"/>
  <c r="L129" i="158"/>
  <c r="K129" i="158"/>
  <c r="H129" i="158"/>
  <c r="A129" i="158"/>
  <c r="P128" i="158"/>
  <c r="N128" i="158"/>
  <c r="M128" i="158"/>
  <c r="L128" i="158"/>
  <c r="K128" i="158"/>
  <c r="H128" i="158"/>
  <c r="A128" i="158"/>
  <c r="P127" i="158"/>
  <c r="N127" i="158"/>
  <c r="M127" i="158"/>
  <c r="L127" i="158"/>
  <c r="K127" i="158"/>
  <c r="H127" i="158"/>
  <c r="A127" i="158"/>
  <c r="P126" i="158"/>
  <c r="N126" i="158"/>
  <c r="M126" i="158"/>
  <c r="L126" i="158"/>
  <c r="K126" i="158"/>
  <c r="H126" i="158"/>
  <c r="A126" i="158"/>
  <c r="P125" i="158"/>
  <c r="N125" i="158"/>
  <c r="M125" i="158"/>
  <c r="L125" i="158"/>
  <c r="K125" i="158"/>
  <c r="H125" i="158"/>
  <c r="A125" i="158"/>
  <c r="P124" i="158"/>
  <c r="N124" i="158"/>
  <c r="M124" i="158"/>
  <c r="L124" i="158"/>
  <c r="K124" i="158"/>
  <c r="H124" i="158"/>
  <c r="A124" i="158"/>
  <c r="P123" i="158"/>
  <c r="N123" i="158"/>
  <c r="M123" i="158"/>
  <c r="L123" i="158"/>
  <c r="K123" i="158"/>
  <c r="H123" i="158"/>
  <c r="A123" i="158"/>
  <c r="P122" i="158"/>
  <c r="N122" i="158"/>
  <c r="M122" i="158"/>
  <c r="L122" i="158"/>
  <c r="K122" i="158"/>
  <c r="H122" i="158"/>
  <c r="A122" i="158"/>
  <c r="P121" i="158"/>
  <c r="N121" i="158"/>
  <c r="M121" i="158"/>
  <c r="L121" i="158"/>
  <c r="K121" i="158"/>
  <c r="H121" i="158"/>
  <c r="A121" i="158"/>
  <c r="P120" i="158"/>
  <c r="N120" i="158"/>
  <c r="M120" i="158"/>
  <c r="L120" i="158"/>
  <c r="K120" i="158"/>
  <c r="H120" i="158"/>
  <c r="A120" i="158"/>
  <c r="P119" i="158"/>
  <c r="N119" i="158"/>
  <c r="M119" i="158"/>
  <c r="L119" i="158"/>
  <c r="K119" i="158"/>
  <c r="H119" i="158"/>
  <c r="A119" i="158"/>
  <c r="P118" i="158"/>
  <c r="N118" i="158"/>
  <c r="M118" i="158"/>
  <c r="L118" i="158"/>
  <c r="K118" i="158"/>
  <c r="H118" i="158"/>
  <c r="A118" i="158"/>
  <c r="P117" i="158"/>
  <c r="N117" i="158"/>
  <c r="M117" i="158"/>
  <c r="L117" i="158"/>
  <c r="K117" i="158"/>
  <c r="H117" i="158"/>
  <c r="A117" i="158"/>
  <c r="P116" i="158"/>
  <c r="N116" i="158"/>
  <c r="M116" i="158"/>
  <c r="L116" i="158"/>
  <c r="K116" i="158"/>
  <c r="H116" i="158"/>
  <c r="A116" i="158"/>
  <c r="P115" i="158"/>
  <c r="N115" i="158"/>
  <c r="M115" i="158"/>
  <c r="L115" i="158"/>
  <c r="K115" i="158"/>
  <c r="H115" i="158"/>
  <c r="A115" i="158"/>
  <c r="P114" i="158"/>
  <c r="N114" i="158"/>
  <c r="M114" i="158"/>
  <c r="L114" i="158"/>
  <c r="K114" i="158"/>
  <c r="H114" i="158"/>
  <c r="A114" i="158"/>
  <c r="P113" i="158"/>
  <c r="N113" i="158"/>
  <c r="M113" i="158"/>
  <c r="L113" i="158"/>
  <c r="K113" i="158"/>
  <c r="H113" i="158"/>
  <c r="A113" i="158"/>
  <c r="P112" i="158"/>
  <c r="N112" i="158"/>
  <c r="M112" i="158"/>
  <c r="L112" i="158"/>
  <c r="K112" i="158"/>
  <c r="H112" i="158"/>
  <c r="A112" i="158"/>
  <c r="P111" i="158"/>
  <c r="N111" i="158"/>
  <c r="M111" i="158"/>
  <c r="L111" i="158"/>
  <c r="K111" i="158"/>
  <c r="H111" i="158"/>
  <c r="A111" i="158"/>
  <c r="P110" i="158"/>
  <c r="N110" i="158"/>
  <c r="M110" i="158"/>
  <c r="L110" i="158"/>
  <c r="K110" i="158"/>
  <c r="H110" i="158"/>
  <c r="A110" i="158"/>
  <c r="P109" i="158"/>
  <c r="N109" i="158"/>
  <c r="M109" i="158"/>
  <c r="L109" i="158"/>
  <c r="K109" i="158"/>
  <c r="H109" i="158"/>
  <c r="A109" i="158"/>
  <c r="P108" i="158"/>
  <c r="N108" i="158"/>
  <c r="M108" i="158"/>
  <c r="L108" i="158"/>
  <c r="K108" i="158"/>
  <c r="H108" i="158"/>
  <c r="A108" i="158"/>
  <c r="P107" i="158"/>
  <c r="N107" i="158"/>
  <c r="M107" i="158"/>
  <c r="L107" i="158"/>
  <c r="K107" i="158"/>
  <c r="H107" i="158"/>
  <c r="A107" i="158"/>
  <c r="P106" i="158"/>
  <c r="N106" i="158"/>
  <c r="M106" i="158"/>
  <c r="L106" i="158"/>
  <c r="K106" i="158"/>
  <c r="H106" i="158"/>
  <c r="A106" i="158"/>
  <c r="P105" i="158"/>
  <c r="N105" i="158"/>
  <c r="M105" i="158"/>
  <c r="L105" i="158"/>
  <c r="K105" i="158"/>
  <c r="H105" i="158"/>
  <c r="A105" i="158"/>
  <c r="P104" i="158"/>
  <c r="N104" i="158"/>
  <c r="M104" i="158"/>
  <c r="L104" i="158"/>
  <c r="K104" i="158"/>
  <c r="H104" i="158"/>
  <c r="A104" i="158"/>
  <c r="P103" i="158"/>
  <c r="N103" i="158"/>
  <c r="M103" i="158"/>
  <c r="L103" i="158"/>
  <c r="K103" i="158"/>
  <c r="H103" i="158"/>
  <c r="A103" i="158"/>
  <c r="P102" i="158"/>
  <c r="N102" i="158"/>
  <c r="M102" i="158"/>
  <c r="L102" i="158"/>
  <c r="K102" i="158"/>
  <c r="H102" i="158"/>
  <c r="A102" i="158"/>
  <c r="P101" i="158"/>
  <c r="N101" i="158"/>
  <c r="M101" i="158"/>
  <c r="L101" i="158"/>
  <c r="K101" i="158"/>
  <c r="H101" i="158"/>
  <c r="A101" i="158"/>
  <c r="P100" i="158"/>
  <c r="N100" i="158"/>
  <c r="M100" i="158"/>
  <c r="L100" i="158"/>
  <c r="K100" i="158"/>
  <c r="H100" i="158"/>
  <c r="A100" i="158"/>
  <c r="P99" i="158"/>
  <c r="N99" i="158"/>
  <c r="M99" i="158"/>
  <c r="L99" i="158"/>
  <c r="K99" i="158"/>
  <c r="H99" i="158"/>
  <c r="A99" i="158"/>
  <c r="P98" i="158"/>
  <c r="N98" i="158"/>
  <c r="M98" i="158"/>
  <c r="L98" i="158"/>
  <c r="K98" i="158"/>
  <c r="H98" i="158"/>
  <c r="A98" i="158"/>
  <c r="P97" i="158"/>
  <c r="N97" i="158"/>
  <c r="M97" i="158"/>
  <c r="L97" i="158"/>
  <c r="K97" i="158"/>
  <c r="H97" i="158"/>
  <c r="A97" i="158"/>
  <c r="P96" i="158"/>
  <c r="N96" i="158"/>
  <c r="M96" i="158"/>
  <c r="L96" i="158"/>
  <c r="K96" i="158"/>
  <c r="H96" i="158"/>
  <c r="A96" i="158"/>
  <c r="P95" i="158"/>
  <c r="N95" i="158"/>
  <c r="M95" i="158"/>
  <c r="L95" i="158"/>
  <c r="K95" i="158"/>
  <c r="H95" i="158"/>
  <c r="A95" i="158"/>
  <c r="P94" i="158"/>
  <c r="N94" i="158"/>
  <c r="M94" i="158"/>
  <c r="L94" i="158"/>
  <c r="K94" i="158"/>
  <c r="H94" i="158"/>
  <c r="A94" i="158"/>
  <c r="P93" i="158"/>
  <c r="N93" i="158"/>
  <c r="M93" i="158"/>
  <c r="L93" i="158"/>
  <c r="K93" i="158"/>
  <c r="H93" i="158"/>
  <c r="A93" i="158"/>
  <c r="P92" i="158"/>
  <c r="N92" i="158"/>
  <c r="M92" i="158"/>
  <c r="L92" i="158"/>
  <c r="K92" i="158"/>
  <c r="H92" i="158"/>
  <c r="A92" i="158"/>
  <c r="P91" i="158"/>
  <c r="N91" i="158"/>
  <c r="M91" i="158"/>
  <c r="L91" i="158"/>
  <c r="K91" i="158"/>
  <c r="H91" i="158"/>
  <c r="A91" i="158"/>
  <c r="P90" i="158"/>
  <c r="N90" i="158"/>
  <c r="M90" i="158"/>
  <c r="L90" i="158"/>
  <c r="K90" i="158"/>
  <c r="H90" i="158"/>
  <c r="A90" i="158"/>
  <c r="P89" i="158"/>
  <c r="N89" i="158"/>
  <c r="M89" i="158"/>
  <c r="L89" i="158"/>
  <c r="K89" i="158"/>
  <c r="H89" i="158"/>
  <c r="A89" i="158"/>
  <c r="P88" i="158"/>
  <c r="N88" i="158"/>
  <c r="M88" i="158"/>
  <c r="L88" i="158"/>
  <c r="K88" i="158"/>
  <c r="H88" i="158"/>
  <c r="A88" i="158"/>
  <c r="P87" i="158"/>
  <c r="N87" i="158"/>
  <c r="M87" i="158"/>
  <c r="L87" i="158"/>
  <c r="K87" i="158"/>
  <c r="H87" i="158"/>
  <c r="A87" i="158"/>
  <c r="P86" i="158"/>
  <c r="N86" i="158"/>
  <c r="M86" i="158"/>
  <c r="L86" i="158"/>
  <c r="K86" i="158"/>
  <c r="H86" i="158"/>
  <c r="A86" i="158"/>
  <c r="P85" i="158"/>
  <c r="N85" i="158"/>
  <c r="M85" i="158"/>
  <c r="L85" i="158"/>
  <c r="K85" i="158"/>
  <c r="H85" i="158"/>
  <c r="A85" i="158"/>
  <c r="P84" i="158"/>
  <c r="N84" i="158"/>
  <c r="M84" i="158"/>
  <c r="L84" i="158"/>
  <c r="K84" i="158"/>
  <c r="H84" i="158"/>
  <c r="A84" i="158"/>
  <c r="P83" i="158"/>
  <c r="N83" i="158"/>
  <c r="M83" i="158"/>
  <c r="L83" i="158"/>
  <c r="K83" i="158"/>
  <c r="H83" i="158"/>
  <c r="A83" i="158"/>
  <c r="P82" i="158"/>
  <c r="N82" i="158"/>
  <c r="M82" i="158"/>
  <c r="L82" i="158"/>
  <c r="K82" i="158"/>
  <c r="H82" i="158"/>
  <c r="A82" i="158"/>
  <c r="P81" i="158"/>
  <c r="N81" i="158"/>
  <c r="M81" i="158"/>
  <c r="L81" i="158"/>
  <c r="K81" i="158"/>
  <c r="H81" i="158"/>
  <c r="A81" i="158"/>
  <c r="P80" i="158"/>
  <c r="N80" i="158"/>
  <c r="M80" i="158"/>
  <c r="L80" i="158"/>
  <c r="K80" i="158"/>
  <c r="H80" i="158"/>
  <c r="A80" i="158"/>
  <c r="P79" i="158"/>
  <c r="N79" i="158"/>
  <c r="M79" i="158"/>
  <c r="L79" i="158"/>
  <c r="K79" i="158"/>
  <c r="H79" i="158"/>
  <c r="A79" i="158"/>
  <c r="P78" i="158"/>
  <c r="N78" i="158"/>
  <c r="M78" i="158"/>
  <c r="L78" i="158"/>
  <c r="K78" i="158"/>
  <c r="H78" i="158"/>
  <c r="A78" i="158"/>
  <c r="P77" i="158"/>
  <c r="N77" i="158"/>
  <c r="M77" i="158"/>
  <c r="L77" i="158"/>
  <c r="K77" i="158"/>
  <c r="H77" i="158"/>
  <c r="A77" i="158"/>
  <c r="P76" i="158"/>
  <c r="N76" i="158"/>
  <c r="M76" i="158"/>
  <c r="L76" i="158"/>
  <c r="K76" i="158"/>
  <c r="H76" i="158"/>
  <c r="A76" i="158"/>
  <c r="P75" i="158"/>
  <c r="N75" i="158"/>
  <c r="M75" i="158"/>
  <c r="L75" i="158"/>
  <c r="K75" i="158"/>
  <c r="H75" i="158"/>
  <c r="A75" i="158"/>
  <c r="P74" i="158"/>
  <c r="N74" i="158"/>
  <c r="M74" i="158"/>
  <c r="L74" i="158"/>
  <c r="K74" i="158"/>
  <c r="H74" i="158"/>
  <c r="A74" i="158"/>
  <c r="P73" i="158"/>
  <c r="N73" i="158"/>
  <c r="M73" i="158"/>
  <c r="L73" i="158"/>
  <c r="K73" i="158"/>
  <c r="H73" i="158"/>
  <c r="A73" i="158"/>
  <c r="P72" i="158"/>
  <c r="N72" i="158"/>
  <c r="M72" i="158"/>
  <c r="L72" i="158"/>
  <c r="K72" i="158"/>
  <c r="H72" i="158"/>
  <c r="A72" i="158"/>
  <c r="P71" i="158"/>
  <c r="N71" i="158"/>
  <c r="M71" i="158"/>
  <c r="L71" i="158"/>
  <c r="K71" i="158"/>
  <c r="H71" i="158"/>
  <c r="A71" i="158"/>
  <c r="P70" i="158"/>
  <c r="N70" i="158"/>
  <c r="M70" i="158"/>
  <c r="L70" i="158"/>
  <c r="K70" i="158"/>
  <c r="H70" i="158"/>
  <c r="A70" i="158"/>
  <c r="P69" i="158"/>
  <c r="N69" i="158"/>
  <c r="M69" i="158"/>
  <c r="L69" i="158"/>
  <c r="K69" i="158"/>
  <c r="H69" i="158"/>
  <c r="A69" i="158"/>
  <c r="P68" i="158"/>
  <c r="N68" i="158"/>
  <c r="M68" i="158"/>
  <c r="L68" i="158"/>
  <c r="K68" i="158"/>
  <c r="H68" i="158"/>
  <c r="A68" i="158"/>
  <c r="P67" i="158"/>
  <c r="N67" i="158"/>
  <c r="M67" i="158"/>
  <c r="L67" i="158"/>
  <c r="K67" i="158"/>
  <c r="H67" i="158"/>
  <c r="A67" i="158"/>
  <c r="P66" i="158"/>
  <c r="N66" i="158"/>
  <c r="M66" i="158"/>
  <c r="L66" i="158"/>
  <c r="K66" i="158"/>
  <c r="H66" i="158"/>
  <c r="A66" i="158"/>
  <c r="P65" i="158"/>
  <c r="N65" i="158"/>
  <c r="M65" i="158"/>
  <c r="L65" i="158"/>
  <c r="K65" i="158"/>
  <c r="H65" i="158"/>
  <c r="A65" i="158"/>
  <c r="P64" i="158"/>
  <c r="N64" i="158"/>
  <c r="M64" i="158"/>
  <c r="L64" i="158"/>
  <c r="K64" i="158"/>
  <c r="H64" i="158"/>
  <c r="A64" i="158"/>
  <c r="P63" i="158"/>
  <c r="N63" i="158"/>
  <c r="M63" i="158"/>
  <c r="L63" i="158"/>
  <c r="K63" i="158"/>
  <c r="H63" i="158"/>
  <c r="A63" i="158"/>
  <c r="P62" i="158"/>
  <c r="N62" i="158"/>
  <c r="M62" i="158"/>
  <c r="L62" i="158"/>
  <c r="K62" i="158"/>
  <c r="H62" i="158"/>
  <c r="A62" i="158"/>
  <c r="P61" i="158"/>
  <c r="N61" i="158"/>
  <c r="M61" i="158"/>
  <c r="L61" i="158"/>
  <c r="K61" i="158"/>
  <c r="H61" i="158"/>
  <c r="A61" i="158"/>
  <c r="P60" i="158"/>
  <c r="N60" i="158"/>
  <c r="M60" i="158"/>
  <c r="L60" i="158"/>
  <c r="K60" i="158"/>
  <c r="H60" i="158"/>
  <c r="A60" i="158"/>
  <c r="P59" i="158"/>
  <c r="N59" i="158"/>
  <c r="M59" i="158"/>
  <c r="L59" i="158"/>
  <c r="K59" i="158"/>
  <c r="H59" i="158"/>
  <c r="A59" i="158"/>
  <c r="P58" i="158"/>
  <c r="N58" i="158"/>
  <c r="M58" i="158"/>
  <c r="L58" i="158"/>
  <c r="K58" i="158"/>
  <c r="H58" i="158"/>
  <c r="A58" i="158"/>
  <c r="P57" i="158"/>
  <c r="N57" i="158"/>
  <c r="M57" i="158"/>
  <c r="L57" i="158"/>
  <c r="K57" i="158"/>
  <c r="H57" i="158"/>
  <c r="A57" i="158"/>
  <c r="P56" i="158"/>
  <c r="N56" i="158"/>
  <c r="M56" i="158"/>
  <c r="L56" i="158"/>
  <c r="K56" i="158"/>
  <c r="H56" i="158"/>
  <c r="A56" i="158"/>
  <c r="P55" i="158"/>
  <c r="N55" i="158"/>
  <c r="M55" i="158"/>
  <c r="L55" i="158"/>
  <c r="K55" i="158"/>
  <c r="H55" i="158"/>
  <c r="A55" i="158"/>
  <c r="P54" i="158"/>
  <c r="N54" i="158"/>
  <c r="M54" i="158"/>
  <c r="L54" i="158"/>
  <c r="K54" i="158"/>
  <c r="H54" i="158"/>
  <c r="A54" i="158"/>
  <c r="P53" i="158"/>
  <c r="N53" i="158"/>
  <c r="M53" i="158"/>
  <c r="L53" i="158"/>
  <c r="K53" i="158"/>
  <c r="H53" i="158"/>
  <c r="A53" i="158"/>
  <c r="P52" i="158"/>
  <c r="N52" i="158"/>
  <c r="M52" i="158"/>
  <c r="L52" i="158"/>
  <c r="K52" i="158"/>
  <c r="H52" i="158"/>
  <c r="A52" i="158"/>
  <c r="P51" i="158"/>
  <c r="N51" i="158"/>
  <c r="M51" i="158"/>
  <c r="L51" i="158"/>
  <c r="K51" i="158"/>
  <c r="H51" i="158"/>
  <c r="A51" i="158"/>
  <c r="P50" i="158"/>
  <c r="N50" i="158"/>
  <c r="M50" i="158"/>
  <c r="L50" i="158"/>
  <c r="K50" i="158"/>
  <c r="H50" i="158"/>
  <c r="A50" i="158"/>
  <c r="P49" i="158"/>
  <c r="N49" i="158"/>
  <c r="M49" i="158"/>
  <c r="L49" i="158"/>
  <c r="K49" i="158"/>
  <c r="H49" i="158"/>
  <c r="A49" i="158"/>
  <c r="P48" i="158"/>
  <c r="N48" i="158"/>
  <c r="M48" i="158"/>
  <c r="L48" i="158"/>
  <c r="K48" i="158"/>
  <c r="H48" i="158"/>
  <c r="A48" i="158"/>
  <c r="P47" i="158"/>
  <c r="N47" i="158"/>
  <c r="M47" i="158"/>
  <c r="L47" i="158"/>
  <c r="K47" i="158"/>
  <c r="H47" i="158"/>
  <c r="A47" i="158"/>
  <c r="P46" i="158"/>
  <c r="N46" i="158"/>
  <c r="M46" i="158"/>
  <c r="L46" i="158"/>
  <c r="K46" i="158"/>
  <c r="H46" i="158"/>
  <c r="A46" i="158"/>
  <c r="P45" i="158"/>
  <c r="N45" i="158"/>
  <c r="M45" i="158"/>
  <c r="L45" i="158"/>
  <c r="K45" i="158"/>
  <c r="H45" i="158"/>
  <c r="A45" i="158"/>
  <c r="P44" i="158"/>
  <c r="N44" i="158"/>
  <c r="M44" i="158"/>
  <c r="L44" i="158"/>
  <c r="K44" i="158"/>
  <c r="H44" i="158"/>
  <c r="A44" i="158"/>
  <c r="P43" i="158"/>
  <c r="N43" i="158"/>
  <c r="M43" i="158"/>
  <c r="L43" i="158"/>
  <c r="K43" i="158"/>
  <c r="H43" i="158"/>
  <c r="A43" i="158"/>
  <c r="P42" i="158"/>
  <c r="N42" i="158"/>
  <c r="M42" i="158"/>
  <c r="L42" i="158"/>
  <c r="K42" i="158"/>
  <c r="H42" i="158"/>
  <c r="A42" i="158"/>
  <c r="P41" i="158"/>
  <c r="N41" i="158"/>
  <c r="M41" i="158"/>
  <c r="L41" i="158"/>
  <c r="K41" i="158"/>
  <c r="H41" i="158"/>
  <c r="A41" i="158"/>
  <c r="P40" i="158"/>
  <c r="N40" i="158"/>
  <c r="M40" i="158"/>
  <c r="L40" i="158"/>
  <c r="K40" i="158"/>
  <c r="H40" i="158"/>
  <c r="A40" i="158"/>
  <c r="P39" i="158"/>
  <c r="N39" i="158"/>
  <c r="M39" i="158"/>
  <c r="L39" i="158"/>
  <c r="K39" i="158"/>
  <c r="H39" i="158"/>
  <c r="A39" i="158"/>
  <c r="P38" i="158"/>
  <c r="N38" i="158"/>
  <c r="M38" i="158"/>
  <c r="L38" i="158"/>
  <c r="K38" i="158"/>
  <c r="H38" i="158"/>
  <c r="A38" i="158"/>
  <c r="P37" i="158"/>
  <c r="N37" i="158"/>
  <c r="M37" i="158"/>
  <c r="L37" i="158"/>
  <c r="K37" i="158"/>
  <c r="H37" i="158"/>
  <c r="A37" i="158"/>
  <c r="P36" i="158"/>
  <c r="N36" i="158"/>
  <c r="M36" i="158"/>
  <c r="L36" i="158"/>
  <c r="K36" i="158"/>
  <c r="H36" i="158"/>
  <c r="A36" i="158"/>
  <c r="P35" i="158"/>
  <c r="N35" i="158"/>
  <c r="M35" i="158"/>
  <c r="L35" i="158"/>
  <c r="K35" i="158"/>
  <c r="H35" i="158"/>
  <c r="A35" i="158"/>
  <c r="P34" i="158"/>
  <c r="N34" i="158"/>
  <c r="M34" i="158"/>
  <c r="L34" i="158"/>
  <c r="K34" i="158"/>
  <c r="H34" i="158"/>
  <c r="A34" i="158"/>
  <c r="P33" i="158"/>
  <c r="N33" i="158"/>
  <c r="M33" i="158"/>
  <c r="L33" i="158"/>
  <c r="K33" i="158"/>
  <c r="H33" i="158"/>
  <c r="A33" i="158"/>
  <c r="P32" i="158"/>
  <c r="N32" i="158"/>
  <c r="M32" i="158"/>
  <c r="L32" i="158"/>
  <c r="K32" i="158"/>
  <c r="H32" i="158"/>
  <c r="A32" i="158"/>
  <c r="P31" i="158"/>
  <c r="N31" i="158"/>
  <c r="M31" i="158"/>
  <c r="L31" i="158"/>
  <c r="K31" i="158"/>
  <c r="H31" i="158"/>
  <c r="A31" i="158"/>
  <c r="P30" i="158"/>
  <c r="N30" i="158"/>
  <c r="M30" i="158"/>
  <c r="L30" i="158"/>
  <c r="K30" i="158"/>
  <c r="H30" i="158"/>
  <c r="A30" i="158"/>
  <c r="P29" i="158"/>
  <c r="N29" i="158"/>
  <c r="M29" i="158"/>
  <c r="L29" i="158"/>
  <c r="K29" i="158"/>
  <c r="H29" i="158"/>
  <c r="A29" i="158"/>
  <c r="P28" i="158"/>
  <c r="N28" i="158"/>
  <c r="M28" i="158"/>
  <c r="L28" i="158"/>
  <c r="K28" i="158"/>
  <c r="H28" i="158"/>
  <c r="A28" i="158"/>
  <c r="P27" i="158"/>
  <c r="N27" i="158"/>
  <c r="M27" i="158"/>
  <c r="L27" i="158"/>
  <c r="K27" i="158"/>
  <c r="H27" i="158"/>
  <c r="A27" i="158"/>
  <c r="P26" i="158"/>
  <c r="N26" i="158"/>
  <c r="M26" i="158"/>
  <c r="L26" i="158"/>
  <c r="K26" i="158"/>
  <c r="H26" i="158"/>
  <c r="A26" i="158"/>
  <c r="P25" i="158"/>
  <c r="N25" i="158"/>
  <c r="M25" i="158"/>
  <c r="L25" i="158"/>
  <c r="K25" i="158"/>
  <c r="H25" i="158"/>
  <c r="A25" i="158"/>
  <c r="P24" i="158"/>
  <c r="N24" i="158"/>
  <c r="M24" i="158"/>
  <c r="L24" i="158"/>
  <c r="K24" i="158"/>
  <c r="H24" i="158"/>
  <c r="A24" i="158"/>
  <c r="P23" i="158"/>
  <c r="N23" i="158"/>
  <c r="M23" i="158"/>
  <c r="L23" i="158"/>
  <c r="K23" i="158"/>
  <c r="H23" i="158"/>
  <c r="A23" i="158"/>
  <c r="P22" i="158"/>
  <c r="N22" i="158"/>
  <c r="M22" i="158"/>
  <c r="L22" i="158"/>
  <c r="K22" i="158"/>
  <c r="H22" i="158"/>
  <c r="A22" i="158"/>
  <c r="P21" i="158"/>
  <c r="N21" i="158"/>
  <c r="M21" i="158"/>
  <c r="L21" i="158"/>
  <c r="K21" i="158"/>
  <c r="H21" i="158"/>
  <c r="A21" i="158"/>
  <c r="P20" i="158"/>
  <c r="N20" i="158"/>
  <c r="M20" i="158"/>
  <c r="L20" i="158"/>
  <c r="K20" i="158"/>
  <c r="H20" i="158"/>
  <c r="A20" i="158"/>
  <c r="P19" i="158"/>
  <c r="N19" i="158"/>
  <c r="M19" i="158"/>
  <c r="L19" i="158"/>
  <c r="K19" i="158"/>
  <c r="H19" i="158"/>
  <c r="A19" i="158"/>
  <c r="P18" i="158"/>
  <c r="N18" i="158"/>
  <c r="M18" i="158"/>
  <c r="L18" i="158"/>
  <c r="K18" i="158"/>
  <c r="H18" i="158"/>
  <c r="A18" i="158"/>
  <c r="P17" i="158"/>
  <c r="N17" i="158"/>
  <c r="M17" i="158"/>
  <c r="L17" i="158"/>
  <c r="K17" i="158"/>
  <c r="H17" i="158"/>
  <c r="A17" i="158"/>
  <c r="P16" i="158"/>
  <c r="N16" i="158"/>
  <c r="M16" i="158"/>
  <c r="L16" i="158"/>
  <c r="K16" i="158"/>
  <c r="H16" i="158"/>
  <c r="A16" i="158"/>
  <c r="P15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2" i="157"/>
  <c r="G42" i="157"/>
  <c r="F41" i="157"/>
  <c r="G41" i="157"/>
  <c r="F40" i="157"/>
  <c r="G40" i="157"/>
  <c r="B30" i="157"/>
  <c r="B3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R10" i="157"/>
  <c r="P10" i="157"/>
  <c r="O10" i="157"/>
  <c r="M10" i="157"/>
  <c r="V9" i="157"/>
  <c r="R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F2" i="156"/>
  <c r="F3" i="156"/>
  <c r="F4" i="156"/>
  <c r="F5" i="156"/>
  <c r="F6" i="156"/>
  <c r="I2" i="156"/>
  <c r="D2" i="156"/>
  <c r="I3" i="156"/>
  <c r="D3" i="156"/>
  <c r="I4" i="156"/>
  <c r="D4" i="156"/>
  <c r="I5" i="156"/>
  <c r="D5" i="156"/>
  <c r="I6" i="156"/>
  <c r="D6" i="156"/>
  <c r="B30" i="153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P285" i="154"/>
  <c r="A286" i="154"/>
  <c r="H286" i="154"/>
  <c r="K286" i="154"/>
  <c r="L286" i="154"/>
  <c r="M286" i="154"/>
  <c r="N286" i="154"/>
  <c r="P286" i="154"/>
  <c r="A284" i="154"/>
  <c r="H284" i="154"/>
  <c r="K284" i="154"/>
  <c r="L284" i="154"/>
  <c r="M284" i="154"/>
  <c r="N284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P284" i="154"/>
  <c r="C5" i="103"/>
  <c r="E5" i="103"/>
  <c r="C6" i="103"/>
  <c r="E6" i="103"/>
  <c r="C2" i="103"/>
  <c r="E2" i="103"/>
  <c r="J2" i="156"/>
  <c r="E2" i="156"/>
  <c r="C2" i="156"/>
  <c r="J3" i="156"/>
  <c r="E3" i="156"/>
  <c r="C3" i="156"/>
  <c r="J4" i="156"/>
  <c r="E4" i="156"/>
  <c r="C4" i="156"/>
  <c r="J5" i="156"/>
  <c r="E5" i="156"/>
  <c r="C5" i="156"/>
  <c r="J6" i="156"/>
  <c r="E6" i="156"/>
  <c r="C6" i="156"/>
  <c r="N6" i="156"/>
  <c r="M6" i="156"/>
  <c r="L6" i="156"/>
  <c r="K6" i="156"/>
  <c r="H6" i="156"/>
  <c r="N5" i="156"/>
  <c r="M5" i="156"/>
  <c r="L5" i="156"/>
  <c r="K5" i="156"/>
  <c r="H5" i="156"/>
  <c r="N4" i="156"/>
  <c r="M4" i="156"/>
  <c r="L4" i="156"/>
  <c r="K4" i="156"/>
  <c r="H4" i="156"/>
  <c r="N3" i="156"/>
  <c r="M3" i="156"/>
  <c r="L3" i="156"/>
  <c r="K3" i="156"/>
  <c r="H3" i="156"/>
  <c r="N2" i="156"/>
  <c r="M2" i="156"/>
  <c r="L2" i="156"/>
  <c r="K2" i="156"/>
  <c r="H2" i="156"/>
  <c r="P283" i="154"/>
  <c r="N283" i="154"/>
  <c r="M283" i="154"/>
  <c r="L283" i="154"/>
  <c r="K283" i="154"/>
  <c r="H283" i="154"/>
  <c r="A283" i="154"/>
  <c r="P282" i="154"/>
  <c r="N282" i="154"/>
  <c r="M282" i="154"/>
  <c r="L282" i="154"/>
  <c r="K282" i="154"/>
  <c r="H282" i="154"/>
  <c r="A282" i="154"/>
  <c r="P281" i="154"/>
  <c r="N281" i="154"/>
  <c r="M281" i="154"/>
  <c r="L281" i="154"/>
  <c r="K281" i="154"/>
  <c r="H281" i="154"/>
  <c r="A281" i="154"/>
  <c r="P280" i="154"/>
  <c r="N280" i="154"/>
  <c r="M280" i="154"/>
  <c r="L280" i="154"/>
  <c r="K280" i="154"/>
  <c r="H280" i="154"/>
  <c r="A280" i="154"/>
  <c r="P279" i="154"/>
  <c r="N279" i="154"/>
  <c r="M279" i="154"/>
  <c r="L279" i="154"/>
  <c r="K279" i="154"/>
  <c r="H279" i="154"/>
  <c r="A279" i="154"/>
  <c r="P278" i="154"/>
  <c r="N278" i="154"/>
  <c r="M278" i="154"/>
  <c r="L278" i="154"/>
  <c r="K278" i="154"/>
  <c r="H278" i="154"/>
  <c r="A278" i="154"/>
  <c r="P277" i="154"/>
  <c r="N277" i="154"/>
  <c r="M277" i="154"/>
  <c r="L277" i="154"/>
  <c r="K277" i="154"/>
  <c r="H277" i="154"/>
  <c r="A277" i="154"/>
  <c r="P276" i="154"/>
  <c r="N276" i="154"/>
  <c r="M276" i="154"/>
  <c r="L276" i="154"/>
  <c r="K276" i="154"/>
  <c r="H276" i="154"/>
  <c r="A276" i="154"/>
  <c r="P275" i="154"/>
  <c r="N275" i="154"/>
  <c r="M275" i="154"/>
  <c r="L275" i="154"/>
  <c r="K275" i="154"/>
  <c r="H275" i="154"/>
  <c r="A275" i="154"/>
  <c r="P274" i="154"/>
  <c r="N274" i="154"/>
  <c r="M274" i="154"/>
  <c r="L274" i="154"/>
  <c r="K274" i="154"/>
  <c r="H274" i="154"/>
  <c r="A274" i="154"/>
  <c r="P273" i="154"/>
  <c r="N273" i="154"/>
  <c r="M273" i="154"/>
  <c r="L273" i="154"/>
  <c r="K273" i="154"/>
  <c r="H273" i="154"/>
  <c r="A273" i="154"/>
  <c r="P272" i="154"/>
  <c r="N272" i="154"/>
  <c r="M272" i="154"/>
  <c r="L272" i="154"/>
  <c r="K272" i="154"/>
  <c r="H272" i="154"/>
  <c r="A272" i="154"/>
  <c r="P271" i="154"/>
  <c r="N271" i="154"/>
  <c r="M271" i="154"/>
  <c r="L271" i="154"/>
  <c r="K271" i="154"/>
  <c r="H271" i="154"/>
  <c r="A271" i="154"/>
  <c r="P270" i="154"/>
  <c r="N270" i="154"/>
  <c r="M270" i="154"/>
  <c r="L270" i="154"/>
  <c r="K270" i="154"/>
  <c r="H270" i="154"/>
  <c r="A270" i="154"/>
  <c r="P269" i="154"/>
  <c r="N269" i="154"/>
  <c r="M269" i="154"/>
  <c r="L269" i="154"/>
  <c r="K269" i="154"/>
  <c r="H269" i="154"/>
  <c r="A269" i="154"/>
  <c r="P268" i="154"/>
  <c r="N268" i="154"/>
  <c r="M268" i="154"/>
  <c r="L268" i="154"/>
  <c r="K268" i="154"/>
  <c r="H268" i="154"/>
  <c r="A268" i="154"/>
  <c r="P267" i="154"/>
  <c r="N267" i="154"/>
  <c r="M267" i="154"/>
  <c r="L267" i="154"/>
  <c r="K267" i="154"/>
  <c r="H267" i="154"/>
  <c r="A267" i="154"/>
  <c r="P266" i="154"/>
  <c r="N266" i="154"/>
  <c r="M266" i="154"/>
  <c r="L266" i="154"/>
  <c r="K266" i="154"/>
  <c r="H266" i="154"/>
  <c r="A266" i="154"/>
  <c r="P265" i="154"/>
  <c r="N265" i="154"/>
  <c r="M265" i="154"/>
  <c r="L265" i="154"/>
  <c r="K265" i="154"/>
  <c r="H265" i="154"/>
  <c r="A265" i="154"/>
  <c r="P264" i="154"/>
  <c r="N264" i="154"/>
  <c r="M264" i="154"/>
  <c r="L264" i="154"/>
  <c r="K264" i="154"/>
  <c r="H264" i="154"/>
  <c r="A264" i="154"/>
  <c r="P263" i="154"/>
  <c r="N263" i="154"/>
  <c r="M263" i="154"/>
  <c r="L263" i="154"/>
  <c r="K263" i="154"/>
  <c r="H263" i="154"/>
  <c r="A263" i="154"/>
  <c r="P262" i="154"/>
  <c r="N262" i="154"/>
  <c r="M262" i="154"/>
  <c r="L262" i="154"/>
  <c r="K262" i="154"/>
  <c r="H262" i="154"/>
  <c r="A262" i="154"/>
  <c r="P261" i="154"/>
  <c r="N261" i="154"/>
  <c r="M261" i="154"/>
  <c r="L261" i="154"/>
  <c r="K261" i="154"/>
  <c r="H261" i="154"/>
  <c r="A261" i="154"/>
  <c r="P260" i="154"/>
  <c r="N260" i="154"/>
  <c r="M260" i="154"/>
  <c r="L260" i="154"/>
  <c r="K260" i="154"/>
  <c r="H260" i="154"/>
  <c r="A260" i="154"/>
  <c r="P259" i="154"/>
  <c r="N259" i="154"/>
  <c r="M259" i="154"/>
  <c r="L259" i="154"/>
  <c r="K259" i="154"/>
  <c r="H259" i="154"/>
  <c r="A259" i="154"/>
  <c r="P258" i="154"/>
  <c r="N258" i="154"/>
  <c r="M258" i="154"/>
  <c r="L258" i="154"/>
  <c r="K258" i="154"/>
  <c r="H258" i="154"/>
  <c r="A258" i="154"/>
  <c r="P257" i="154"/>
  <c r="N257" i="154"/>
  <c r="M257" i="154"/>
  <c r="L257" i="154"/>
  <c r="K257" i="154"/>
  <c r="H257" i="154"/>
  <c r="A257" i="154"/>
  <c r="P256" i="154"/>
  <c r="N256" i="154"/>
  <c r="M256" i="154"/>
  <c r="L256" i="154"/>
  <c r="K256" i="154"/>
  <c r="H256" i="154"/>
  <c r="A256" i="154"/>
  <c r="P255" i="154"/>
  <c r="N255" i="154"/>
  <c r="M255" i="154"/>
  <c r="L255" i="154"/>
  <c r="K255" i="154"/>
  <c r="H255" i="154"/>
  <c r="A255" i="154"/>
  <c r="P254" i="154"/>
  <c r="N254" i="154"/>
  <c r="M254" i="154"/>
  <c r="L254" i="154"/>
  <c r="K254" i="154"/>
  <c r="H254" i="154"/>
  <c r="A254" i="154"/>
  <c r="P253" i="154"/>
  <c r="N253" i="154"/>
  <c r="M253" i="154"/>
  <c r="L253" i="154"/>
  <c r="K253" i="154"/>
  <c r="H253" i="154"/>
  <c r="A253" i="154"/>
  <c r="P252" i="154"/>
  <c r="N252" i="154"/>
  <c r="M252" i="154"/>
  <c r="L252" i="154"/>
  <c r="K252" i="154"/>
  <c r="H252" i="154"/>
  <c r="A252" i="154"/>
  <c r="P251" i="154"/>
  <c r="N251" i="154"/>
  <c r="M251" i="154"/>
  <c r="L251" i="154"/>
  <c r="K251" i="154"/>
  <c r="H251" i="154"/>
  <c r="A251" i="154"/>
  <c r="P250" i="154"/>
  <c r="N250" i="154"/>
  <c r="M250" i="154"/>
  <c r="L250" i="154"/>
  <c r="K250" i="154"/>
  <c r="H250" i="154"/>
  <c r="A250" i="154"/>
  <c r="P249" i="154"/>
  <c r="N249" i="154"/>
  <c r="M249" i="154"/>
  <c r="L249" i="154"/>
  <c r="K249" i="154"/>
  <c r="H249" i="154"/>
  <c r="A249" i="154"/>
  <c r="P248" i="154"/>
  <c r="N248" i="154"/>
  <c r="M248" i="154"/>
  <c r="L248" i="154"/>
  <c r="K248" i="154"/>
  <c r="H248" i="154"/>
  <c r="A248" i="154"/>
  <c r="P247" i="154"/>
  <c r="N247" i="154"/>
  <c r="M247" i="154"/>
  <c r="L247" i="154"/>
  <c r="K247" i="154"/>
  <c r="H247" i="154"/>
  <c r="A247" i="154"/>
  <c r="P246" i="154"/>
  <c r="N246" i="154"/>
  <c r="M246" i="154"/>
  <c r="L246" i="154"/>
  <c r="K246" i="154"/>
  <c r="H246" i="154"/>
  <c r="A246" i="154"/>
  <c r="P245" i="154"/>
  <c r="N245" i="154"/>
  <c r="M245" i="154"/>
  <c r="L245" i="154"/>
  <c r="K245" i="154"/>
  <c r="H245" i="154"/>
  <c r="A245" i="154"/>
  <c r="P244" i="154"/>
  <c r="N244" i="154"/>
  <c r="M244" i="154"/>
  <c r="L244" i="154"/>
  <c r="K244" i="154"/>
  <c r="H244" i="154"/>
  <c r="A244" i="154"/>
  <c r="P243" i="154"/>
  <c r="N243" i="154"/>
  <c r="M243" i="154"/>
  <c r="L243" i="154"/>
  <c r="K243" i="154"/>
  <c r="H243" i="154"/>
  <c r="A243" i="154"/>
  <c r="P242" i="154"/>
  <c r="N242" i="154"/>
  <c r="M242" i="154"/>
  <c r="L242" i="154"/>
  <c r="K242" i="154"/>
  <c r="H242" i="154"/>
  <c r="A242" i="154"/>
  <c r="P241" i="154"/>
  <c r="N241" i="154"/>
  <c r="M241" i="154"/>
  <c r="L241" i="154"/>
  <c r="K241" i="154"/>
  <c r="H241" i="154"/>
  <c r="A241" i="154"/>
  <c r="P240" i="154"/>
  <c r="N240" i="154"/>
  <c r="M240" i="154"/>
  <c r="L240" i="154"/>
  <c r="K240" i="154"/>
  <c r="H240" i="154"/>
  <c r="A240" i="154"/>
  <c r="P239" i="154"/>
  <c r="N239" i="154"/>
  <c r="M239" i="154"/>
  <c r="L239" i="154"/>
  <c r="K239" i="154"/>
  <c r="H239" i="154"/>
  <c r="A239" i="154"/>
  <c r="P238" i="154"/>
  <c r="N238" i="154"/>
  <c r="M238" i="154"/>
  <c r="L238" i="154"/>
  <c r="K238" i="154"/>
  <c r="H238" i="154"/>
  <c r="A238" i="154"/>
  <c r="P237" i="154"/>
  <c r="N237" i="154"/>
  <c r="M237" i="154"/>
  <c r="L237" i="154"/>
  <c r="K237" i="154"/>
  <c r="H237" i="154"/>
  <c r="A237" i="154"/>
  <c r="P236" i="154"/>
  <c r="N236" i="154"/>
  <c r="M236" i="154"/>
  <c r="L236" i="154"/>
  <c r="K236" i="154"/>
  <c r="H236" i="154"/>
  <c r="A236" i="154"/>
  <c r="P235" i="154"/>
  <c r="N235" i="154"/>
  <c r="M235" i="154"/>
  <c r="L235" i="154"/>
  <c r="K235" i="154"/>
  <c r="H235" i="154"/>
  <c r="A235" i="154"/>
  <c r="P234" i="154"/>
  <c r="N234" i="154"/>
  <c r="M234" i="154"/>
  <c r="L234" i="154"/>
  <c r="K234" i="154"/>
  <c r="H234" i="154"/>
  <c r="A234" i="154"/>
  <c r="P233" i="154"/>
  <c r="N233" i="154"/>
  <c r="M233" i="154"/>
  <c r="L233" i="154"/>
  <c r="K233" i="154"/>
  <c r="H233" i="154"/>
  <c r="A233" i="154"/>
  <c r="P232" i="154"/>
  <c r="N232" i="154"/>
  <c r="M232" i="154"/>
  <c r="L232" i="154"/>
  <c r="K232" i="154"/>
  <c r="H232" i="154"/>
  <c r="A232" i="154"/>
  <c r="P231" i="154"/>
  <c r="N231" i="154"/>
  <c r="M231" i="154"/>
  <c r="L231" i="154"/>
  <c r="K231" i="154"/>
  <c r="H231" i="154"/>
  <c r="A231" i="154"/>
  <c r="P230" i="154"/>
  <c r="N230" i="154"/>
  <c r="M230" i="154"/>
  <c r="L230" i="154"/>
  <c r="K230" i="154"/>
  <c r="H230" i="154"/>
  <c r="A230" i="154"/>
  <c r="P229" i="154"/>
  <c r="N229" i="154"/>
  <c r="M229" i="154"/>
  <c r="L229" i="154"/>
  <c r="K229" i="154"/>
  <c r="H229" i="154"/>
  <c r="A229" i="154"/>
  <c r="P228" i="154"/>
  <c r="N228" i="154"/>
  <c r="M228" i="154"/>
  <c r="L228" i="154"/>
  <c r="K228" i="154"/>
  <c r="H228" i="154"/>
  <c r="A228" i="154"/>
  <c r="P227" i="154"/>
  <c r="N227" i="154"/>
  <c r="M227" i="154"/>
  <c r="L227" i="154"/>
  <c r="K227" i="154"/>
  <c r="H227" i="154"/>
  <c r="A227" i="154"/>
  <c r="P226" i="154"/>
  <c r="N226" i="154"/>
  <c r="M226" i="154"/>
  <c r="L226" i="154"/>
  <c r="K226" i="154"/>
  <c r="H226" i="154"/>
  <c r="A226" i="154"/>
  <c r="P225" i="154"/>
  <c r="N225" i="154"/>
  <c r="M225" i="154"/>
  <c r="L225" i="154"/>
  <c r="K225" i="154"/>
  <c r="H225" i="154"/>
  <c r="A225" i="154"/>
  <c r="P224" i="154"/>
  <c r="N224" i="154"/>
  <c r="M224" i="154"/>
  <c r="L224" i="154"/>
  <c r="K224" i="154"/>
  <c r="H224" i="154"/>
  <c r="A224" i="154"/>
  <c r="P223" i="154"/>
  <c r="N223" i="154"/>
  <c r="M223" i="154"/>
  <c r="L223" i="154"/>
  <c r="K223" i="154"/>
  <c r="H223" i="154"/>
  <c r="A223" i="154"/>
  <c r="P222" i="154"/>
  <c r="N222" i="154"/>
  <c r="M222" i="154"/>
  <c r="L222" i="154"/>
  <c r="K222" i="154"/>
  <c r="H222" i="154"/>
  <c r="A222" i="154"/>
  <c r="P221" i="154"/>
  <c r="N221" i="154"/>
  <c r="M221" i="154"/>
  <c r="L221" i="154"/>
  <c r="K221" i="154"/>
  <c r="H221" i="154"/>
  <c r="A221" i="154"/>
  <c r="P220" i="154"/>
  <c r="N220" i="154"/>
  <c r="M220" i="154"/>
  <c r="L220" i="154"/>
  <c r="K220" i="154"/>
  <c r="H220" i="154"/>
  <c r="A220" i="154"/>
  <c r="P219" i="154"/>
  <c r="N219" i="154"/>
  <c r="M219" i="154"/>
  <c r="L219" i="154"/>
  <c r="K219" i="154"/>
  <c r="H219" i="154"/>
  <c r="A219" i="154"/>
  <c r="P218" i="154"/>
  <c r="N218" i="154"/>
  <c r="M218" i="154"/>
  <c r="L218" i="154"/>
  <c r="K218" i="154"/>
  <c r="H218" i="154"/>
  <c r="A218" i="154"/>
  <c r="P217" i="154"/>
  <c r="N217" i="154"/>
  <c r="M217" i="154"/>
  <c r="L217" i="154"/>
  <c r="K217" i="154"/>
  <c r="H217" i="154"/>
  <c r="A217" i="154"/>
  <c r="P216" i="154"/>
  <c r="N216" i="154"/>
  <c r="M216" i="154"/>
  <c r="L216" i="154"/>
  <c r="K216" i="154"/>
  <c r="H216" i="154"/>
  <c r="A216" i="154"/>
  <c r="P215" i="154"/>
  <c r="N215" i="154"/>
  <c r="M215" i="154"/>
  <c r="L215" i="154"/>
  <c r="K215" i="154"/>
  <c r="H215" i="154"/>
  <c r="A215" i="154"/>
  <c r="P214" i="154"/>
  <c r="N214" i="154"/>
  <c r="M214" i="154"/>
  <c r="L214" i="154"/>
  <c r="K214" i="154"/>
  <c r="H214" i="154"/>
  <c r="A214" i="154"/>
  <c r="P213" i="154"/>
  <c r="N213" i="154"/>
  <c r="M213" i="154"/>
  <c r="L213" i="154"/>
  <c r="K213" i="154"/>
  <c r="H213" i="154"/>
  <c r="A213" i="154"/>
  <c r="P212" i="154"/>
  <c r="N212" i="154"/>
  <c r="M212" i="154"/>
  <c r="L212" i="154"/>
  <c r="K212" i="154"/>
  <c r="H212" i="154"/>
  <c r="A212" i="154"/>
  <c r="P211" i="154"/>
  <c r="N211" i="154"/>
  <c r="M211" i="154"/>
  <c r="L211" i="154"/>
  <c r="K211" i="154"/>
  <c r="H211" i="154"/>
  <c r="A211" i="154"/>
  <c r="P210" i="154"/>
  <c r="N210" i="154"/>
  <c r="M210" i="154"/>
  <c r="L210" i="154"/>
  <c r="K210" i="154"/>
  <c r="H210" i="154"/>
  <c r="A210" i="154"/>
  <c r="P209" i="154"/>
  <c r="N209" i="154"/>
  <c r="M209" i="154"/>
  <c r="L209" i="154"/>
  <c r="K209" i="154"/>
  <c r="H209" i="154"/>
  <c r="A209" i="154"/>
  <c r="P208" i="154"/>
  <c r="N208" i="154"/>
  <c r="M208" i="154"/>
  <c r="L208" i="154"/>
  <c r="K208" i="154"/>
  <c r="H208" i="154"/>
  <c r="A208" i="154"/>
  <c r="P207" i="154"/>
  <c r="N207" i="154"/>
  <c r="M207" i="154"/>
  <c r="L207" i="154"/>
  <c r="K207" i="154"/>
  <c r="H207" i="154"/>
  <c r="A207" i="154"/>
  <c r="P206" i="154"/>
  <c r="N206" i="154"/>
  <c r="M206" i="154"/>
  <c r="L206" i="154"/>
  <c r="K206" i="154"/>
  <c r="H206" i="154"/>
  <c r="A206" i="154"/>
  <c r="P205" i="154"/>
  <c r="N205" i="154"/>
  <c r="M205" i="154"/>
  <c r="L205" i="154"/>
  <c r="K205" i="154"/>
  <c r="H205" i="154"/>
  <c r="A205" i="154"/>
  <c r="P204" i="154"/>
  <c r="N204" i="154"/>
  <c r="M204" i="154"/>
  <c r="L204" i="154"/>
  <c r="K204" i="154"/>
  <c r="H204" i="154"/>
  <c r="A204" i="154"/>
  <c r="P203" i="154"/>
  <c r="N203" i="154"/>
  <c r="M203" i="154"/>
  <c r="L203" i="154"/>
  <c r="K203" i="154"/>
  <c r="H203" i="154"/>
  <c r="A203" i="154"/>
  <c r="P202" i="154"/>
  <c r="N202" i="154"/>
  <c r="M202" i="154"/>
  <c r="L202" i="154"/>
  <c r="K202" i="154"/>
  <c r="H202" i="154"/>
  <c r="A202" i="154"/>
  <c r="P201" i="154"/>
  <c r="N201" i="154"/>
  <c r="M201" i="154"/>
  <c r="L201" i="154"/>
  <c r="K201" i="154"/>
  <c r="H201" i="154"/>
  <c r="A201" i="154"/>
  <c r="P200" i="154"/>
  <c r="N200" i="154"/>
  <c r="M200" i="154"/>
  <c r="L200" i="154"/>
  <c r="K200" i="154"/>
  <c r="H200" i="154"/>
  <c r="A200" i="154"/>
  <c r="P199" i="154"/>
  <c r="N199" i="154"/>
  <c r="M199" i="154"/>
  <c r="L199" i="154"/>
  <c r="K199" i="154"/>
  <c r="H199" i="154"/>
  <c r="A199" i="154"/>
  <c r="P198" i="154"/>
  <c r="N198" i="154"/>
  <c r="M198" i="154"/>
  <c r="L198" i="154"/>
  <c r="K198" i="154"/>
  <c r="H198" i="154"/>
  <c r="A198" i="154"/>
  <c r="P197" i="154"/>
  <c r="N197" i="154"/>
  <c r="M197" i="154"/>
  <c r="L197" i="154"/>
  <c r="K197" i="154"/>
  <c r="H197" i="154"/>
  <c r="A197" i="154"/>
  <c r="P196" i="154"/>
  <c r="N196" i="154"/>
  <c r="M196" i="154"/>
  <c r="L196" i="154"/>
  <c r="K196" i="154"/>
  <c r="H196" i="154"/>
  <c r="A196" i="154"/>
  <c r="P195" i="154"/>
  <c r="N195" i="154"/>
  <c r="M195" i="154"/>
  <c r="L195" i="154"/>
  <c r="K195" i="154"/>
  <c r="H195" i="154"/>
  <c r="A195" i="154"/>
  <c r="P194" i="154"/>
  <c r="N194" i="154"/>
  <c r="M194" i="154"/>
  <c r="L194" i="154"/>
  <c r="K194" i="154"/>
  <c r="H194" i="154"/>
  <c r="A194" i="154"/>
  <c r="P193" i="154"/>
  <c r="N193" i="154"/>
  <c r="M193" i="154"/>
  <c r="L193" i="154"/>
  <c r="K193" i="154"/>
  <c r="H193" i="154"/>
  <c r="A193" i="154"/>
  <c r="P192" i="154"/>
  <c r="N192" i="154"/>
  <c r="M192" i="154"/>
  <c r="L192" i="154"/>
  <c r="K192" i="154"/>
  <c r="H192" i="154"/>
  <c r="A192" i="154"/>
  <c r="P191" i="154"/>
  <c r="N191" i="154"/>
  <c r="M191" i="154"/>
  <c r="L191" i="154"/>
  <c r="K191" i="154"/>
  <c r="H191" i="154"/>
  <c r="A191" i="154"/>
  <c r="P190" i="154"/>
  <c r="N190" i="154"/>
  <c r="M190" i="154"/>
  <c r="L190" i="154"/>
  <c r="K190" i="154"/>
  <c r="H190" i="154"/>
  <c r="A190" i="154"/>
  <c r="P189" i="154"/>
  <c r="N189" i="154"/>
  <c r="M189" i="154"/>
  <c r="L189" i="154"/>
  <c r="K189" i="154"/>
  <c r="H189" i="154"/>
  <c r="A189" i="154"/>
  <c r="P188" i="154"/>
  <c r="N188" i="154"/>
  <c r="M188" i="154"/>
  <c r="L188" i="154"/>
  <c r="K188" i="154"/>
  <c r="H188" i="154"/>
  <c r="A188" i="154"/>
  <c r="P187" i="154"/>
  <c r="N187" i="154"/>
  <c r="M187" i="154"/>
  <c r="L187" i="154"/>
  <c r="K187" i="154"/>
  <c r="H187" i="154"/>
  <c r="A187" i="154"/>
  <c r="P186" i="154"/>
  <c r="N186" i="154"/>
  <c r="M186" i="154"/>
  <c r="L186" i="154"/>
  <c r="K186" i="154"/>
  <c r="H186" i="154"/>
  <c r="A186" i="154"/>
  <c r="P185" i="154"/>
  <c r="N185" i="154"/>
  <c r="M185" i="154"/>
  <c r="L185" i="154"/>
  <c r="K185" i="154"/>
  <c r="H185" i="154"/>
  <c r="A185" i="154"/>
  <c r="P184" i="154"/>
  <c r="N184" i="154"/>
  <c r="M184" i="154"/>
  <c r="L184" i="154"/>
  <c r="K184" i="154"/>
  <c r="H184" i="154"/>
  <c r="A184" i="154"/>
  <c r="P183" i="154"/>
  <c r="N183" i="154"/>
  <c r="M183" i="154"/>
  <c r="L183" i="154"/>
  <c r="K183" i="154"/>
  <c r="H183" i="154"/>
  <c r="A183" i="154"/>
  <c r="P182" i="154"/>
  <c r="N182" i="154"/>
  <c r="M182" i="154"/>
  <c r="L182" i="154"/>
  <c r="K182" i="154"/>
  <c r="H182" i="154"/>
  <c r="A182" i="154"/>
  <c r="P181" i="154"/>
  <c r="N181" i="154"/>
  <c r="M181" i="154"/>
  <c r="L181" i="154"/>
  <c r="K181" i="154"/>
  <c r="H181" i="154"/>
  <c r="A181" i="154"/>
  <c r="P180" i="154"/>
  <c r="N180" i="154"/>
  <c r="M180" i="154"/>
  <c r="L180" i="154"/>
  <c r="K180" i="154"/>
  <c r="H180" i="154"/>
  <c r="A180" i="154"/>
  <c r="P179" i="154"/>
  <c r="N179" i="154"/>
  <c r="M179" i="154"/>
  <c r="L179" i="154"/>
  <c r="K179" i="154"/>
  <c r="H179" i="154"/>
  <c r="A179" i="154"/>
  <c r="P178" i="154"/>
  <c r="N178" i="154"/>
  <c r="M178" i="154"/>
  <c r="L178" i="154"/>
  <c r="K178" i="154"/>
  <c r="H178" i="154"/>
  <c r="A178" i="154"/>
  <c r="P177" i="154"/>
  <c r="N177" i="154"/>
  <c r="M177" i="154"/>
  <c r="L177" i="154"/>
  <c r="K177" i="154"/>
  <c r="H177" i="154"/>
  <c r="A177" i="154"/>
  <c r="P176" i="154"/>
  <c r="N176" i="154"/>
  <c r="M176" i="154"/>
  <c r="L176" i="154"/>
  <c r="K176" i="154"/>
  <c r="H176" i="154"/>
  <c r="A176" i="154"/>
  <c r="P175" i="154"/>
  <c r="N175" i="154"/>
  <c r="M175" i="154"/>
  <c r="L175" i="154"/>
  <c r="K175" i="154"/>
  <c r="H175" i="154"/>
  <c r="A175" i="154"/>
  <c r="P174" i="154"/>
  <c r="N174" i="154"/>
  <c r="M174" i="154"/>
  <c r="L174" i="154"/>
  <c r="K174" i="154"/>
  <c r="H174" i="154"/>
  <c r="A174" i="154"/>
  <c r="P173" i="154"/>
  <c r="N173" i="154"/>
  <c r="M173" i="154"/>
  <c r="L173" i="154"/>
  <c r="K173" i="154"/>
  <c r="H173" i="154"/>
  <c r="A173" i="154"/>
  <c r="P172" i="154"/>
  <c r="N172" i="154"/>
  <c r="M172" i="154"/>
  <c r="L172" i="154"/>
  <c r="K172" i="154"/>
  <c r="H172" i="154"/>
  <c r="A172" i="154"/>
  <c r="P171" i="154"/>
  <c r="N171" i="154"/>
  <c r="M171" i="154"/>
  <c r="L171" i="154"/>
  <c r="K171" i="154"/>
  <c r="H171" i="154"/>
  <c r="A171" i="154"/>
  <c r="P170" i="154"/>
  <c r="N170" i="154"/>
  <c r="M170" i="154"/>
  <c r="L170" i="154"/>
  <c r="K170" i="154"/>
  <c r="H170" i="154"/>
  <c r="A170" i="154"/>
  <c r="P169" i="154"/>
  <c r="N169" i="154"/>
  <c r="M169" i="154"/>
  <c r="L169" i="154"/>
  <c r="K169" i="154"/>
  <c r="H169" i="154"/>
  <c r="A169" i="154"/>
  <c r="P168" i="154"/>
  <c r="N168" i="154"/>
  <c r="M168" i="154"/>
  <c r="L168" i="154"/>
  <c r="K168" i="154"/>
  <c r="H168" i="154"/>
  <c r="A168" i="154"/>
  <c r="P167" i="154"/>
  <c r="N167" i="154"/>
  <c r="M167" i="154"/>
  <c r="L167" i="154"/>
  <c r="K167" i="154"/>
  <c r="H167" i="154"/>
  <c r="A167" i="154"/>
  <c r="P166" i="154"/>
  <c r="N166" i="154"/>
  <c r="M166" i="154"/>
  <c r="L166" i="154"/>
  <c r="K166" i="154"/>
  <c r="H166" i="154"/>
  <c r="A166" i="154"/>
  <c r="P165" i="154"/>
  <c r="N165" i="154"/>
  <c r="M165" i="154"/>
  <c r="L165" i="154"/>
  <c r="K165" i="154"/>
  <c r="H165" i="154"/>
  <c r="A165" i="154"/>
  <c r="P164" i="154"/>
  <c r="N164" i="154"/>
  <c r="M164" i="154"/>
  <c r="L164" i="154"/>
  <c r="K164" i="154"/>
  <c r="H164" i="154"/>
  <c r="A164" i="154"/>
  <c r="P163" i="154"/>
  <c r="N163" i="154"/>
  <c r="M163" i="154"/>
  <c r="L163" i="154"/>
  <c r="K163" i="154"/>
  <c r="H163" i="154"/>
  <c r="A163" i="154"/>
  <c r="P162" i="154"/>
  <c r="N162" i="154"/>
  <c r="M162" i="154"/>
  <c r="L162" i="154"/>
  <c r="K162" i="154"/>
  <c r="H162" i="154"/>
  <c r="A162" i="154"/>
  <c r="P161" i="154"/>
  <c r="N161" i="154"/>
  <c r="M161" i="154"/>
  <c r="L161" i="154"/>
  <c r="K161" i="154"/>
  <c r="H161" i="154"/>
  <c r="A161" i="154"/>
  <c r="P160" i="154"/>
  <c r="N160" i="154"/>
  <c r="M160" i="154"/>
  <c r="L160" i="154"/>
  <c r="K160" i="154"/>
  <c r="H160" i="154"/>
  <c r="A160" i="154"/>
  <c r="P159" i="154"/>
  <c r="N159" i="154"/>
  <c r="M159" i="154"/>
  <c r="L159" i="154"/>
  <c r="K159" i="154"/>
  <c r="H159" i="154"/>
  <c r="A159" i="154"/>
  <c r="P158" i="154"/>
  <c r="N158" i="154"/>
  <c r="M158" i="154"/>
  <c r="L158" i="154"/>
  <c r="K158" i="154"/>
  <c r="H158" i="154"/>
  <c r="A158" i="154"/>
  <c r="P157" i="154"/>
  <c r="N157" i="154"/>
  <c r="M157" i="154"/>
  <c r="L157" i="154"/>
  <c r="K157" i="154"/>
  <c r="H157" i="154"/>
  <c r="A157" i="154"/>
  <c r="P156" i="154"/>
  <c r="N156" i="154"/>
  <c r="M156" i="154"/>
  <c r="L156" i="154"/>
  <c r="K156" i="154"/>
  <c r="H156" i="154"/>
  <c r="A156" i="154"/>
  <c r="P155" i="154"/>
  <c r="N155" i="154"/>
  <c r="M155" i="154"/>
  <c r="L155" i="154"/>
  <c r="K155" i="154"/>
  <c r="H155" i="154"/>
  <c r="A155" i="154"/>
  <c r="P154" i="154"/>
  <c r="N154" i="154"/>
  <c r="M154" i="154"/>
  <c r="L154" i="154"/>
  <c r="K154" i="154"/>
  <c r="H154" i="154"/>
  <c r="A154" i="154"/>
  <c r="P153" i="154"/>
  <c r="N153" i="154"/>
  <c r="M153" i="154"/>
  <c r="L153" i="154"/>
  <c r="K153" i="154"/>
  <c r="H153" i="154"/>
  <c r="A153" i="154"/>
  <c r="P152" i="154"/>
  <c r="N152" i="154"/>
  <c r="M152" i="154"/>
  <c r="L152" i="154"/>
  <c r="K152" i="154"/>
  <c r="H152" i="154"/>
  <c r="A152" i="154"/>
  <c r="P151" i="154"/>
  <c r="N151" i="154"/>
  <c r="M151" i="154"/>
  <c r="L151" i="154"/>
  <c r="K151" i="154"/>
  <c r="H151" i="154"/>
  <c r="A151" i="154"/>
  <c r="P150" i="154"/>
  <c r="N150" i="154"/>
  <c r="M150" i="154"/>
  <c r="L150" i="154"/>
  <c r="K150" i="154"/>
  <c r="H150" i="154"/>
  <c r="A150" i="154"/>
  <c r="P149" i="154"/>
  <c r="N149" i="154"/>
  <c r="M149" i="154"/>
  <c r="L149" i="154"/>
  <c r="K149" i="154"/>
  <c r="H149" i="154"/>
  <c r="A149" i="154"/>
  <c r="P148" i="154"/>
  <c r="N148" i="154"/>
  <c r="M148" i="154"/>
  <c r="L148" i="154"/>
  <c r="K148" i="154"/>
  <c r="H148" i="154"/>
  <c r="A148" i="154"/>
  <c r="P147" i="154"/>
  <c r="N147" i="154"/>
  <c r="M147" i="154"/>
  <c r="L147" i="154"/>
  <c r="K147" i="154"/>
  <c r="H147" i="154"/>
  <c r="A147" i="154"/>
  <c r="P146" i="154"/>
  <c r="N146" i="154"/>
  <c r="M146" i="154"/>
  <c r="L146" i="154"/>
  <c r="K146" i="154"/>
  <c r="H146" i="154"/>
  <c r="A146" i="154"/>
  <c r="P145" i="154"/>
  <c r="N145" i="154"/>
  <c r="M145" i="154"/>
  <c r="L145" i="154"/>
  <c r="K145" i="154"/>
  <c r="H145" i="154"/>
  <c r="A145" i="154"/>
  <c r="P144" i="154"/>
  <c r="N144" i="154"/>
  <c r="M144" i="154"/>
  <c r="L144" i="154"/>
  <c r="K144" i="154"/>
  <c r="H144" i="154"/>
  <c r="A144" i="154"/>
  <c r="P143" i="154"/>
  <c r="N143" i="154"/>
  <c r="M143" i="154"/>
  <c r="L143" i="154"/>
  <c r="K143" i="154"/>
  <c r="H143" i="154"/>
  <c r="A143" i="154"/>
  <c r="P142" i="154"/>
  <c r="N142" i="154"/>
  <c r="M142" i="154"/>
  <c r="L142" i="154"/>
  <c r="K142" i="154"/>
  <c r="H142" i="154"/>
  <c r="A142" i="154"/>
  <c r="P141" i="154"/>
  <c r="N141" i="154"/>
  <c r="M141" i="154"/>
  <c r="L141" i="154"/>
  <c r="K141" i="154"/>
  <c r="H141" i="154"/>
  <c r="A141" i="154"/>
  <c r="P140" i="154"/>
  <c r="N140" i="154"/>
  <c r="M140" i="154"/>
  <c r="L140" i="154"/>
  <c r="K140" i="154"/>
  <c r="H140" i="154"/>
  <c r="A140" i="154"/>
  <c r="P139" i="154"/>
  <c r="N139" i="154"/>
  <c r="M139" i="154"/>
  <c r="L139" i="154"/>
  <c r="K139" i="154"/>
  <c r="H139" i="154"/>
  <c r="A139" i="154"/>
  <c r="P138" i="154"/>
  <c r="N138" i="154"/>
  <c r="M138" i="154"/>
  <c r="L138" i="154"/>
  <c r="K138" i="154"/>
  <c r="H138" i="154"/>
  <c r="A138" i="154"/>
  <c r="P137" i="154"/>
  <c r="N137" i="154"/>
  <c r="M137" i="154"/>
  <c r="L137" i="154"/>
  <c r="K137" i="154"/>
  <c r="H137" i="154"/>
  <c r="A137" i="154"/>
  <c r="P136" i="154"/>
  <c r="N136" i="154"/>
  <c r="M136" i="154"/>
  <c r="L136" i="154"/>
  <c r="K136" i="154"/>
  <c r="H136" i="154"/>
  <c r="A136" i="154"/>
  <c r="P135" i="154"/>
  <c r="N135" i="154"/>
  <c r="M135" i="154"/>
  <c r="L135" i="154"/>
  <c r="K135" i="154"/>
  <c r="H135" i="154"/>
  <c r="A135" i="154"/>
  <c r="P134" i="154"/>
  <c r="N134" i="154"/>
  <c r="M134" i="154"/>
  <c r="L134" i="154"/>
  <c r="K134" i="154"/>
  <c r="H134" i="154"/>
  <c r="A134" i="154"/>
  <c r="P133" i="154"/>
  <c r="N133" i="154"/>
  <c r="M133" i="154"/>
  <c r="L133" i="154"/>
  <c r="K133" i="154"/>
  <c r="H133" i="154"/>
  <c r="A133" i="154"/>
  <c r="P132" i="154"/>
  <c r="N132" i="154"/>
  <c r="M132" i="154"/>
  <c r="L132" i="154"/>
  <c r="K132" i="154"/>
  <c r="H132" i="154"/>
  <c r="A132" i="154"/>
  <c r="P131" i="154"/>
  <c r="N131" i="154"/>
  <c r="M131" i="154"/>
  <c r="L131" i="154"/>
  <c r="K131" i="154"/>
  <c r="H131" i="154"/>
  <c r="A131" i="154"/>
  <c r="P130" i="154"/>
  <c r="N130" i="154"/>
  <c r="M130" i="154"/>
  <c r="L130" i="154"/>
  <c r="K130" i="154"/>
  <c r="H130" i="154"/>
  <c r="A130" i="154"/>
  <c r="P129" i="154"/>
  <c r="N129" i="154"/>
  <c r="M129" i="154"/>
  <c r="L129" i="154"/>
  <c r="K129" i="154"/>
  <c r="H129" i="154"/>
  <c r="A129" i="154"/>
  <c r="P128" i="154"/>
  <c r="N128" i="154"/>
  <c r="M128" i="154"/>
  <c r="L128" i="154"/>
  <c r="K128" i="154"/>
  <c r="H128" i="154"/>
  <c r="A128" i="154"/>
  <c r="P127" i="154"/>
  <c r="N127" i="154"/>
  <c r="M127" i="154"/>
  <c r="L127" i="154"/>
  <c r="K127" i="154"/>
  <c r="H127" i="154"/>
  <c r="A127" i="154"/>
  <c r="P126" i="154"/>
  <c r="N126" i="154"/>
  <c r="M126" i="154"/>
  <c r="L126" i="154"/>
  <c r="K126" i="154"/>
  <c r="H126" i="154"/>
  <c r="A126" i="154"/>
  <c r="P125" i="154"/>
  <c r="N125" i="154"/>
  <c r="M125" i="154"/>
  <c r="L125" i="154"/>
  <c r="K125" i="154"/>
  <c r="H125" i="154"/>
  <c r="A125" i="154"/>
  <c r="P124" i="154"/>
  <c r="N124" i="154"/>
  <c r="M124" i="154"/>
  <c r="L124" i="154"/>
  <c r="K124" i="154"/>
  <c r="H124" i="154"/>
  <c r="A124" i="154"/>
  <c r="P123" i="154"/>
  <c r="N123" i="154"/>
  <c r="M123" i="154"/>
  <c r="L123" i="154"/>
  <c r="K123" i="154"/>
  <c r="H123" i="154"/>
  <c r="A123" i="154"/>
  <c r="P122" i="154"/>
  <c r="N122" i="154"/>
  <c r="M122" i="154"/>
  <c r="L122" i="154"/>
  <c r="K122" i="154"/>
  <c r="H122" i="154"/>
  <c r="A122" i="154"/>
  <c r="P121" i="154"/>
  <c r="N121" i="154"/>
  <c r="M121" i="154"/>
  <c r="L121" i="154"/>
  <c r="K121" i="154"/>
  <c r="H121" i="154"/>
  <c r="A121" i="154"/>
  <c r="P120" i="154"/>
  <c r="N120" i="154"/>
  <c r="M120" i="154"/>
  <c r="L120" i="154"/>
  <c r="K120" i="154"/>
  <c r="H120" i="154"/>
  <c r="A120" i="154"/>
  <c r="P119" i="154"/>
  <c r="N119" i="154"/>
  <c r="M119" i="154"/>
  <c r="L119" i="154"/>
  <c r="K119" i="154"/>
  <c r="H119" i="154"/>
  <c r="A119" i="154"/>
  <c r="P118" i="154"/>
  <c r="N118" i="154"/>
  <c r="M118" i="154"/>
  <c r="L118" i="154"/>
  <c r="K118" i="154"/>
  <c r="H118" i="154"/>
  <c r="A118" i="154"/>
  <c r="P117" i="154"/>
  <c r="N117" i="154"/>
  <c r="M117" i="154"/>
  <c r="L117" i="154"/>
  <c r="K117" i="154"/>
  <c r="H117" i="154"/>
  <c r="A117" i="154"/>
  <c r="P116" i="154"/>
  <c r="N116" i="154"/>
  <c r="M116" i="154"/>
  <c r="L116" i="154"/>
  <c r="K116" i="154"/>
  <c r="H116" i="154"/>
  <c r="A116" i="154"/>
  <c r="P115" i="154"/>
  <c r="N115" i="154"/>
  <c r="M115" i="154"/>
  <c r="L115" i="154"/>
  <c r="K115" i="154"/>
  <c r="H115" i="154"/>
  <c r="A115" i="154"/>
  <c r="P114" i="154"/>
  <c r="N114" i="154"/>
  <c r="M114" i="154"/>
  <c r="L114" i="154"/>
  <c r="K114" i="154"/>
  <c r="H114" i="154"/>
  <c r="A114" i="154"/>
  <c r="P113" i="154"/>
  <c r="N113" i="154"/>
  <c r="M113" i="154"/>
  <c r="L113" i="154"/>
  <c r="K113" i="154"/>
  <c r="H113" i="154"/>
  <c r="A113" i="154"/>
  <c r="P112" i="154"/>
  <c r="N112" i="154"/>
  <c r="M112" i="154"/>
  <c r="L112" i="154"/>
  <c r="K112" i="154"/>
  <c r="H112" i="154"/>
  <c r="A112" i="154"/>
  <c r="P111" i="154"/>
  <c r="N111" i="154"/>
  <c r="M111" i="154"/>
  <c r="L111" i="154"/>
  <c r="K111" i="154"/>
  <c r="H111" i="154"/>
  <c r="A111" i="154"/>
  <c r="P110" i="154"/>
  <c r="N110" i="154"/>
  <c r="M110" i="154"/>
  <c r="L110" i="154"/>
  <c r="K110" i="154"/>
  <c r="H110" i="154"/>
  <c r="A110" i="154"/>
  <c r="P109" i="154"/>
  <c r="N109" i="154"/>
  <c r="M109" i="154"/>
  <c r="L109" i="154"/>
  <c r="K109" i="154"/>
  <c r="H109" i="154"/>
  <c r="A109" i="154"/>
  <c r="P108" i="154"/>
  <c r="N108" i="154"/>
  <c r="M108" i="154"/>
  <c r="L108" i="154"/>
  <c r="K108" i="154"/>
  <c r="H108" i="154"/>
  <c r="A108" i="154"/>
  <c r="P107" i="154"/>
  <c r="N107" i="154"/>
  <c r="M107" i="154"/>
  <c r="L107" i="154"/>
  <c r="K107" i="154"/>
  <c r="H107" i="154"/>
  <c r="A107" i="154"/>
  <c r="P106" i="154"/>
  <c r="N106" i="154"/>
  <c r="M106" i="154"/>
  <c r="L106" i="154"/>
  <c r="K106" i="154"/>
  <c r="H106" i="154"/>
  <c r="A106" i="154"/>
  <c r="P105" i="154"/>
  <c r="N105" i="154"/>
  <c r="M105" i="154"/>
  <c r="L105" i="154"/>
  <c r="K105" i="154"/>
  <c r="H105" i="154"/>
  <c r="A105" i="154"/>
  <c r="P104" i="154"/>
  <c r="N104" i="154"/>
  <c r="M104" i="154"/>
  <c r="L104" i="154"/>
  <c r="K104" i="154"/>
  <c r="H104" i="154"/>
  <c r="A104" i="154"/>
  <c r="P103" i="154"/>
  <c r="N103" i="154"/>
  <c r="M103" i="154"/>
  <c r="L103" i="154"/>
  <c r="K103" i="154"/>
  <c r="H103" i="154"/>
  <c r="A103" i="154"/>
  <c r="P102" i="154"/>
  <c r="N102" i="154"/>
  <c r="M102" i="154"/>
  <c r="L102" i="154"/>
  <c r="K102" i="154"/>
  <c r="H102" i="154"/>
  <c r="A102" i="154"/>
  <c r="P101" i="154"/>
  <c r="N101" i="154"/>
  <c r="M101" i="154"/>
  <c r="L101" i="154"/>
  <c r="K101" i="154"/>
  <c r="H101" i="154"/>
  <c r="A101" i="154"/>
  <c r="P100" i="154"/>
  <c r="N100" i="154"/>
  <c r="M100" i="154"/>
  <c r="L100" i="154"/>
  <c r="K100" i="154"/>
  <c r="H100" i="154"/>
  <c r="A100" i="154"/>
  <c r="P99" i="154"/>
  <c r="N99" i="154"/>
  <c r="M99" i="154"/>
  <c r="L99" i="154"/>
  <c r="K99" i="154"/>
  <c r="H99" i="154"/>
  <c r="A99" i="154"/>
  <c r="P98" i="154"/>
  <c r="N98" i="154"/>
  <c r="M98" i="154"/>
  <c r="L98" i="154"/>
  <c r="K98" i="154"/>
  <c r="H98" i="154"/>
  <c r="A98" i="154"/>
  <c r="P97" i="154"/>
  <c r="N97" i="154"/>
  <c r="M97" i="154"/>
  <c r="L97" i="154"/>
  <c r="K97" i="154"/>
  <c r="H97" i="154"/>
  <c r="A97" i="154"/>
  <c r="P96" i="154"/>
  <c r="N96" i="154"/>
  <c r="M96" i="154"/>
  <c r="L96" i="154"/>
  <c r="K96" i="154"/>
  <c r="H96" i="154"/>
  <c r="A96" i="154"/>
  <c r="P95" i="154"/>
  <c r="N95" i="154"/>
  <c r="M95" i="154"/>
  <c r="L95" i="154"/>
  <c r="K95" i="154"/>
  <c r="H95" i="154"/>
  <c r="A95" i="154"/>
  <c r="P94" i="154"/>
  <c r="N94" i="154"/>
  <c r="M94" i="154"/>
  <c r="L94" i="154"/>
  <c r="K94" i="154"/>
  <c r="H94" i="154"/>
  <c r="A94" i="154"/>
  <c r="P93" i="154"/>
  <c r="N93" i="154"/>
  <c r="M93" i="154"/>
  <c r="L93" i="154"/>
  <c r="K93" i="154"/>
  <c r="H93" i="154"/>
  <c r="A93" i="154"/>
  <c r="P92" i="154"/>
  <c r="N92" i="154"/>
  <c r="M92" i="154"/>
  <c r="L92" i="154"/>
  <c r="K92" i="154"/>
  <c r="H92" i="154"/>
  <c r="A92" i="154"/>
  <c r="P91" i="154"/>
  <c r="N91" i="154"/>
  <c r="M91" i="154"/>
  <c r="L91" i="154"/>
  <c r="K91" i="154"/>
  <c r="H91" i="154"/>
  <c r="A91" i="154"/>
  <c r="P90" i="154"/>
  <c r="N90" i="154"/>
  <c r="M90" i="154"/>
  <c r="L90" i="154"/>
  <c r="K90" i="154"/>
  <c r="H90" i="154"/>
  <c r="A90" i="154"/>
  <c r="P89" i="154"/>
  <c r="N89" i="154"/>
  <c r="M89" i="154"/>
  <c r="L89" i="154"/>
  <c r="K89" i="154"/>
  <c r="H89" i="154"/>
  <c r="A89" i="154"/>
  <c r="P88" i="154"/>
  <c r="N88" i="154"/>
  <c r="M88" i="154"/>
  <c r="L88" i="154"/>
  <c r="K88" i="154"/>
  <c r="H88" i="154"/>
  <c r="A88" i="154"/>
  <c r="P87" i="154"/>
  <c r="N87" i="154"/>
  <c r="M87" i="154"/>
  <c r="L87" i="154"/>
  <c r="K87" i="154"/>
  <c r="H87" i="154"/>
  <c r="A87" i="154"/>
  <c r="P86" i="154"/>
  <c r="N86" i="154"/>
  <c r="M86" i="154"/>
  <c r="L86" i="154"/>
  <c r="K86" i="154"/>
  <c r="H86" i="154"/>
  <c r="A86" i="154"/>
  <c r="P85" i="154"/>
  <c r="N85" i="154"/>
  <c r="M85" i="154"/>
  <c r="L85" i="154"/>
  <c r="K85" i="154"/>
  <c r="H85" i="154"/>
  <c r="A85" i="154"/>
  <c r="P84" i="154"/>
  <c r="N84" i="154"/>
  <c r="M84" i="154"/>
  <c r="L84" i="154"/>
  <c r="K84" i="154"/>
  <c r="H84" i="154"/>
  <c r="A84" i="154"/>
  <c r="P83" i="154"/>
  <c r="N83" i="154"/>
  <c r="M83" i="154"/>
  <c r="L83" i="154"/>
  <c r="K83" i="154"/>
  <c r="H83" i="154"/>
  <c r="A83" i="154"/>
  <c r="P82" i="154"/>
  <c r="N82" i="154"/>
  <c r="M82" i="154"/>
  <c r="L82" i="154"/>
  <c r="K82" i="154"/>
  <c r="H82" i="154"/>
  <c r="A82" i="154"/>
  <c r="P81" i="154"/>
  <c r="N81" i="154"/>
  <c r="M81" i="154"/>
  <c r="L81" i="154"/>
  <c r="K81" i="154"/>
  <c r="H81" i="154"/>
  <c r="A81" i="154"/>
  <c r="P80" i="154"/>
  <c r="N80" i="154"/>
  <c r="M80" i="154"/>
  <c r="L80" i="154"/>
  <c r="K80" i="154"/>
  <c r="H80" i="154"/>
  <c r="A80" i="154"/>
  <c r="P79" i="154"/>
  <c r="N79" i="154"/>
  <c r="M79" i="154"/>
  <c r="L79" i="154"/>
  <c r="K79" i="154"/>
  <c r="H79" i="154"/>
  <c r="A79" i="154"/>
  <c r="P78" i="154"/>
  <c r="N78" i="154"/>
  <c r="M78" i="154"/>
  <c r="L78" i="154"/>
  <c r="K78" i="154"/>
  <c r="H78" i="154"/>
  <c r="A78" i="154"/>
  <c r="P77" i="154"/>
  <c r="N77" i="154"/>
  <c r="M77" i="154"/>
  <c r="L77" i="154"/>
  <c r="K77" i="154"/>
  <c r="H77" i="154"/>
  <c r="A77" i="154"/>
  <c r="P76" i="154"/>
  <c r="N76" i="154"/>
  <c r="M76" i="154"/>
  <c r="L76" i="154"/>
  <c r="K76" i="154"/>
  <c r="H76" i="154"/>
  <c r="A76" i="154"/>
  <c r="P75" i="154"/>
  <c r="N75" i="154"/>
  <c r="M75" i="154"/>
  <c r="L75" i="154"/>
  <c r="K75" i="154"/>
  <c r="H75" i="154"/>
  <c r="A75" i="154"/>
  <c r="P74" i="154"/>
  <c r="N74" i="154"/>
  <c r="M74" i="154"/>
  <c r="L74" i="154"/>
  <c r="K74" i="154"/>
  <c r="H74" i="154"/>
  <c r="A74" i="154"/>
  <c r="P73" i="154"/>
  <c r="N73" i="154"/>
  <c r="M73" i="154"/>
  <c r="L73" i="154"/>
  <c r="K73" i="154"/>
  <c r="H73" i="154"/>
  <c r="A73" i="154"/>
  <c r="P72" i="154"/>
  <c r="N72" i="154"/>
  <c r="M72" i="154"/>
  <c r="L72" i="154"/>
  <c r="K72" i="154"/>
  <c r="H72" i="154"/>
  <c r="A72" i="154"/>
  <c r="P71" i="154"/>
  <c r="N71" i="154"/>
  <c r="M71" i="154"/>
  <c r="L71" i="154"/>
  <c r="K71" i="154"/>
  <c r="H71" i="154"/>
  <c r="A71" i="154"/>
  <c r="P70" i="154"/>
  <c r="N70" i="154"/>
  <c r="M70" i="154"/>
  <c r="L70" i="154"/>
  <c r="K70" i="154"/>
  <c r="H70" i="154"/>
  <c r="A70" i="154"/>
  <c r="P69" i="154"/>
  <c r="N69" i="154"/>
  <c r="M69" i="154"/>
  <c r="L69" i="154"/>
  <c r="K69" i="154"/>
  <c r="H69" i="154"/>
  <c r="A69" i="154"/>
  <c r="P68" i="154"/>
  <c r="N68" i="154"/>
  <c r="M68" i="154"/>
  <c r="L68" i="154"/>
  <c r="K68" i="154"/>
  <c r="H68" i="154"/>
  <c r="A68" i="154"/>
  <c r="P67" i="154"/>
  <c r="N67" i="154"/>
  <c r="M67" i="154"/>
  <c r="L67" i="154"/>
  <c r="K67" i="154"/>
  <c r="H67" i="154"/>
  <c r="A67" i="154"/>
  <c r="P66" i="154"/>
  <c r="N66" i="154"/>
  <c r="M66" i="154"/>
  <c r="L66" i="154"/>
  <c r="K66" i="154"/>
  <c r="H66" i="154"/>
  <c r="A66" i="154"/>
  <c r="P65" i="154"/>
  <c r="N65" i="154"/>
  <c r="M65" i="154"/>
  <c r="L65" i="154"/>
  <c r="K65" i="154"/>
  <c r="H65" i="154"/>
  <c r="A65" i="154"/>
  <c r="P64" i="154"/>
  <c r="N64" i="154"/>
  <c r="M64" i="154"/>
  <c r="L64" i="154"/>
  <c r="K64" i="154"/>
  <c r="H64" i="154"/>
  <c r="A64" i="154"/>
  <c r="P63" i="154"/>
  <c r="N63" i="154"/>
  <c r="M63" i="154"/>
  <c r="L63" i="154"/>
  <c r="K63" i="154"/>
  <c r="H63" i="154"/>
  <c r="A63" i="154"/>
  <c r="P62" i="154"/>
  <c r="N62" i="154"/>
  <c r="M62" i="154"/>
  <c r="L62" i="154"/>
  <c r="K62" i="154"/>
  <c r="H62" i="154"/>
  <c r="A62" i="154"/>
  <c r="P61" i="154"/>
  <c r="N61" i="154"/>
  <c r="M61" i="154"/>
  <c r="L61" i="154"/>
  <c r="K61" i="154"/>
  <c r="H61" i="154"/>
  <c r="A61" i="154"/>
  <c r="P60" i="154"/>
  <c r="N60" i="154"/>
  <c r="M60" i="154"/>
  <c r="L60" i="154"/>
  <c r="K60" i="154"/>
  <c r="H60" i="154"/>
  <c r="A60" i="154"/>
  <c r="P59" i="154"/>
  <c r="N59" i="154"/>
  <c r="M59" i="154"/>
  <c r="L59" i="154"/>
  <c r="K59" i="154"/>
  <c r="H59" i="154"/>
  <c r="A59" i="154"/>
  <c r="P58" i="154"/>
  <c r="N58" i="154"/>
  <c r="M58" i="154"/>
  <c r="L58" i="154"/>
  <c r="K58" i="154"/>
  <c r="H58" i="154"/>
  <c r="A58" i="154"/>
  <c r="P57" i="154"/>
  <c r="N57" i="154"/>
  <c r="M57" i="154"/>
  <c r="L57" i="154"/>
  <c r="K57" i="154"/>
  <c r="H57" i="154"/>
  <c r="A57" i="154"/>
  <c r="P56" i="154"/>
  <c r="N56" i="154"/>
  <c r="M56" i="154"/>
  <c r="L56" i="154"/>
  <c r="K56" i="154"/>
  <c r="H56" i="154"/>
  <c r="A56" i="154"/>
  <c r="P55" i="154"/>
  <c r="N55" i="154"/>
  <c r="M55" i="154"/>
  <c r="L55" i="154"/>
  <c r="K55" i="154"/>
  <c r="H55" i="154"/>
  <c r="A55" i="154"/>
  <c r="P54" i="154"/>
  <c r="N54" i="154"/>
  <c r="M54" i="154"/>
  <c r="L54" i="154"/>
  <c r="K54" i="154"/>
  <c r="H54" i="154"/>
  <c r="A54" i="154"/>
  <c r="P53" i="154"/>
  <c r="N53" i="154"/>
  <c r="M53" i="154"/>
  <c r="L53" i="154"/>
  <c r="K53" i="154"/>
  <c r="H53" i="154"/>
  <c r="A53" i="154"/>
  <c r="P52" i="154"/>
  <c r="N52" i="154"/>
  <c r="M52" i="154"/>
  <c r="L52" i="154"/>
  <c r="K52" i="154"/>
  <c r="H52" i="154"/>
  <c r="A52" i="154"/>
  <c r="P51" i="154"/>
  <c r="N51" i="154"/>
  <c r="M51" i="154"/>
  <c r="L51" i="154"/>
  <c r="K51" i="154"/>
  <c r="H51" i="154"/>
  <c r="A51" i="154"/>
  <c r="P50" i="154"/>
  <c r="N50" i="154"/>
  <c r="M50" i="154"/>
  <c r="L50" i="154"/>
  <c r="K50" i="154"/>
  <c r="H50" i="154"/>
  <c r="A50" i="154"/>
  <c r="P49" i="154"/>
  <c r="N49" i="154"/>
  <c r="M49" i="154"/>
  <c r="L49" i="154"/>
  <c r="K49" i="154"/>
  <c r="H49" i="154"/>
  <c r="A49" i="154"/>
  <c r="P48" i="154"/>
  <c r="N48" i="154"/>
  <c r="M48" i="154"/>
  <c r="L48" i="154"/>
  <c r="K48" i="154"/>
  <c r="H48" i="154"/>
  <c r="A48" i="154"/>
  <c r="P47" i="154"/>
  <c r="N47" i="154"/>
  <c r="M47" i="154"/>
  <c r="L47" i="154"/>
  <c r="K47" i="154"/>
  <c r="H47" i="154"/>
  <c r="A47" i="154"/>
  <c r="P46" i="154"/>
  <c r="N46" i="154"/>
  <c r="M46" i="154"/>
  <c r="L46" i="154"/>
  <c r="K46" i="154"/>
  <c r="H46" i="154"/>
  <c r="A46" i="154"/>
  <c r="P45" i="154"/>
  <c r="N45" i="154"/>
  <c r="M45" i="154"/>
  <c r="L45" i="154"/>
  <c r="K45" i="154"/>
  <c r="H45" i="154"/>
  <c r="A45" i="154"/>
  <c r="P44" i="154"/>
  <c r="N44" i="154"/>
  <c r="M44" i="154"/>
  <c r="L44" i="154"/>
  <c r="K44" i="154"/>
  <c r="H44" i="154"/>
  <c r="A44" i="154"/>
  <c r="P43" i="154"/>
  <c r="N43" i="154"/>
  <c r="M43" i="154"/>
  <c r="L43" i="154"/>
  <c r="K43" i="154"/>
  <c r="H43" i="154"/>
  <c r="A43" i="154"/>
  <c r="P42" i="154"/>
  <c r="N42" i="154"/>
  <c r="M42" i="154"/>
  <c r="L42" i="154"/>
  <c r="K42" i="154"/>
  <c r="H42" i="154"/>
  <c r="A42" i="154"/>
  <c r="P41" i="154"/>
  <c r="N41" i="154"/>
  <c r="M41" i="154"/>
  <c r="L41" i="154"/>
  <c r="K41" i="154"/>
  <c r="H41" i="154"/>
  <c r="A41" i="154"/>
  <c r="P40" i="154"/>
  <c r="N40" i="154"/>
  <c r="M40" i="154"/>
  <c r="L40" i="154"/>
  <c r="K40" i="154"/>
  <c r="H40" i="154"/>
  <c r="A40" i="154"/>
  <c r="P39" i="154"/>
  <c r="N39" i="154"/>
  <c r="M39" i="154"/>
  <c r="L39" i="154"/>
  <c r="K39" i="154"/>
  <c r="H39" i="154"/>
  <c r="A39" i="154"/>
  <c r="P38" i="154"/>
  <c r="N38" i="154"/>
  <c r="M38" i="154"/>
  <c r="L38" i="154"/>
  <c r="K38" i="154"/>
  <c r="H38" i="154"/>
  <c r="A38" i="154"/>
  <c r="P37" i="154"/>
  <c r="N37" i="154"/>
  <c r="M37" i="154"/>
  <c r="L37" i="154"/>
  <c r="K37" i="154"/>
  <c r="H37" i="154"/>
  <c r="A37" i="154"/>
  <c r="P36" i="154"/>
  <c r="N36" i="154"/>
  <c r="M36" i="154"/>
  <c r="L36" i="154"/>
  <c r="K36" i="154"/>
  <c r="H36" i="154"/>
  <c r="A36" i="154"/>
  <c r="P35" i="154"/>
  <c r="N35" i="154"/>
  <c r="M35" i="154"/>
  <c r="L35" i="154"/>
  <c r="K35" i="154"/>
  <c r="H35" i="154"/>
  <c r="A35" i="154"/>
  <c r="P34" i="154"/>
  <c r="N34" i="154"/>
  <c r="M34" i="154"/>
  <c r="L34" i="154"/>
  <c r="K34" i="154"/>
  <c r="H34" i="154"/>
  <c r="A34" i="154"/>
  <c r="P33" i="154"/>
  <c r="N33" i="154"/>
  <c r="M33" i="154"/>
  <c r="L33" i="154"/>
  <c r="K33" i="154"/>
  <c r="H33" i="154"/>
  <c r="A33" i="154"/>
  <c r="P32" i="154"/>
  <c r="N32" i="154"/>
  <c r="M32" i="154"/>
  <c r="L32" i="154"/>
  <c r="K32" i="154"/>
  <c r="H32" i="154"/>
  <c r="A32" i="154"/>
  <c r="P31" i="154"/>
  <c r="N31" i="154"/>
  <c r="M31" i="154"/>
  <c r="L31" i="154"/>
  <c r="K31" i="154"/>
  <c r="H31" i="154"/>
  <c r="A31" i="154"/>
  <c r="P30" i="154"/>
  <c r="N30" i="154"/>
  <c r="M30" i="154"/>
  <c r="L30" i="154"/>
  <c r="K30" i="154"/>
  <c r="H30" i="154"/>
  <c r="A30" i="154"/>
  <c r="P29" i="154"/>
  <c r="N29" i="154"/>
  <c r="M29" i="154"/>
  <c r="L29" i="154"/>
  <c r="K29" i="154"/>
  <c r="H29" i="154"/>
  <c r="A29" i="154"/>
  <c r="P28" i="154"/>
  <c r="N28" i="154"/>
  <c r="M28" i="154"/>
  <c r="L28" i="154"/>
  <c r="K28" i="154"/>
  <c r="H28" i="154"/>
  <c r="A28" i="154"/>
  <c r="P27" i="154"/>
  <c r="N27" i="154"/>
  <c r="M27" i="154"/>
  <c r="L27" i="154"/>
  <c r="K27" i="154"/>
  <c r="H27" i="154"/>
  <c r="A27" i="154"/>
  <c r="P26" i="154"/>
  <c r="N26" i="154"/>
  <c r="M26" i="154"/>
  <c r="L26" i="154"/>
  <c r="K26" i="154"/>
  <c r="H26" i="154"/>
  <c r="A26" i="154"/>
  <c r="P25" i="154"/>
  <c r="N25" i="154"/>
  <c r="M25" i="154"/>
  <c r="L25" i="154"/>
  <c r="K25" i="154"/>
  <c r="H25" i="154"/>
  <c r="A25" i="154"/>
  <c r="P24" i="154"/>
  <c r="N24" i="154"/>
  <c r="M24" i="154"/>
  <c r="L24" i="154"/>
  <c r="K24" i="154"/>
  <c r="H24" i="154"/>
  <c r="A24" i="154"/>
  <c r="P23" i="154"/>
  <c r="N23" i="154"/>
  <c r="M23" i="154"/>
  <c r="L23" i="154"/>
  <c r="K23" i="154"/>
  <c r="H23" i="154"/>
  <c r="A23" i="154"/>
  <c r="P22" i="154"/>
  <c r="N22" i="154"/>
  <c r="M22" i="154"/>
  <c r="L22" i="154"/>
  <c r="K22" i="154"/>
  <c r="H22" i="154"/>
  <c r="A22" i="154"/>
  <c r="P21" i="154"/>
  <c r="N21" i="154"/>
  <c r="M21" i="154"/>
  <c r="L21" i="154"/>
  <c r="K21" i="154"/>
  <c r="H21" i="154"/>
  <c r="A21" i="154"/>
  <c r="P20" i="154"/>
  <c r="N20" i="154"/>
  <c r="M20" i="154"/>
  <c r="L20" i="154"/>
  <c r="K20" i="154"/>
  <c r="H20" i="154"/>
  <c r="A20" i="154"/>
  <c r="P19" i="154"/>
  <c r="N19" i="154"/>
  <c r="M19" i="154"/>
  <c r="L19" i="154"/>
  <c r="K19" i="154"/>
  <c r="H19" i="154"/>
  <c r="A19" i="154"/>
  <c r="P18" i="154"/>
  <c r="N18" i="154"/>
  <c r="M18" i="154"/>
  <c r="L18" i="154"/>
  <c r="K18" i="154"/>
  <c r="H18" i="154"/>
  <c r="A18" i="154"/>
  <c r="P17" i="154"/>
  <c r="N17" i="154"/>
  <c r="M17" i="154"/>
  <c r="L17" i="154"/>
  <c r="K17" i="154"/>
  <c r="H17" i="154"/>
  <c r="A17" i="154"/>
  <c r="P16" i="154"/>
  <c r="N16" i="154"/>
  <c r="M16" i="154"/>
  <c r="L16" i="154"/>
  <c r="K16" i="154"/>
  <c r="H16" i="154"/>
  <c r="A16" i="154"/>
  <c r="P15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F48" i="153"/>
  <c r="F47" i="153"/>
  <c r="B40" i="153"/>
  <c r="B41" i="153"/>
  <c r="B42" i="153"/>
  <c r="B43" i="153"/>
  <c r="B44" i="153"/>
  <c r="B45" i="153"/>
  <c r="B46" i="153"/>
  <c r="B47" i="153"/>
  <c r="C40" i="153"/>
  <c r="C41" i="153"/>
  <c r="C42" i="153"/>
  <c r="C43" i="153"/>
  <c r="C44" i="153"/>
  <c r="C45" i="153"/>
  <c r="C46" i="153"/>
  <c r="C47" i="153"/>
  <c r="F46" i="153"/>
  <c r="F45" i="153"/>
  <c r="F42" i="153"/>
  <c r="G42" i="153"/>
  <c r="F41" i="153"/>
  <c r="G41" i="153"/>
  <c r="F40" i="153"/>
  <c r="G40" i="153"/>
  <c r="B32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D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R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C4" i="103"/>
  <c r="E4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<sst xmlns="http://schemas.openxmlformats.org/spreadsheetml/2006/main" count="552" uniqueCount="266">
  <si>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</si>
  <si>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</si>
  <si>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</si>
  <si>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</si>
  <si>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</si>
  <si>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</si>
  <si>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</si>
  <si>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</si>
  <si>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</si>
  <si>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</si>
  <si>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</si>
  <si>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</si>
  <si>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</si>
  <si>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</si>
  <si>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</si>
  <si>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gift_type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</si>
  <si>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</si>
  <si>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</si>
  <si>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</si>
  <si>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</si>
  <si>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</si>
  <si>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</si>
  <si>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</si>
  <si>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</si>
  <si>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</si>
  <si>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</si>
  <si>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</si>
  <si>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</si>
  <si>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</si>
  <si>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</si>
  <si>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</si>
  <si>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</si>
  <si>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</si>
  <si>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</si>
  <si>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drop_label</t>
    <phoneticPr fontId="19"/>
  </si>
  <si>
    <t>rare</t>
    <phoneticPr fontId="19"/>
  </si>
  <si>
    <t>character_type_id</t>
    <phoneticPr fontId="19"/>
  </si>
  <si>
    <t>character_tribe_id</t>
    <phoneticPr fontId="19"/>
  </si>
  <si>
    <t>unit_level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</si>
  <si>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</si>
  <si>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</si>
  <si>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</si>
  <si>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</si>
  <si>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</si>
  <si>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</si>
  <si>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</si>
  <si>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</si>
  <si>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</si>
  <si>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</si>
  <si>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</si>
  <si>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</si>
  <si>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</si>
  <si>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color</t>
    <phoneticPr fontId="19"/>
  </si>
  <si>
    <t>レアリティ別確率</t>
    <rPh sb="5" eb="6">
      <t>ベツ</t>
    </rPh>
    <rPh sb="6" eb="8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</si>
  <si>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</si>
  <si>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SSS</t>
    <phoneticPr fontId="19"/>
  </si>
  <si>
    <t>SS</t>
    <phoneticPr fontId="19"/>
  </si>
  <si>
    <t>ラベル*レアリティ標準確率</t>
    <rPh sb="9" eb="11">
      <t>ヒョウジュン</t>
    </rPh>
    <rPh sb="11" eb="13">
      <t>カクリツ</t>
    </rPh>
    <phoneticPr fontId="19"/>
  </si>
  <si>
    <t>性別</t>
    <rPh sb="0" eb="2">
      <t>セイベツ</t>
    </rPh>
    <phoneticPr fontId="19"/>
  </si>
  <si>
    <t>合計</t>
    <rPh sb="0" eb="2">
      <t>ゴウケイ</t>
    </rPh>
    <phoneticPr fontId="19"/>
  </si>
  <si>
    <t>グループ</t>
    <phoneticPr fontId="19"/>
  </si>
  <si>
    <t>ピックアップ確率</t>
    <rPh sb="6" eb="8">
      <t>カクリツ</t>
    </rPh>
    <phoneticPr fontId="19"/>
  </si>
  <si>
    <t>残り確率</t>
    <rPh sb="0" eb="1">
      <t>ノコ</t>
    </rPh>
    <rPh sb="2" eb="4">
      <t>カクリツ</t>
    </rPh>
    <phoneticPr fontId="19"/>
  </si>
  <si>
    <t>確率</t>
    <rPh sb="0" eb="2">
      <t>カクリツ</t>
    </rPh>
    <phoneticPr fontId="19"/>
  </si>
  <si>
    <t>所属グループ</t>
    <rPh sb="0" eb="2">
      <t>ショゾク</t>
    </rPh>
    <phoneticPr fontId="19"/>
  </si>
  <si>
    <t>名前</t>
    <rPh sb="0" eb="2">
      <t>ナマエ</t>
    </rPh>
    <phoneticPr fontId="19"/>
  </si>
  <si>
    <t>レアリティ</t>
    <phoneticPr fontId="19"/>
  </si>
  <si>
    <t>ラベル</t>
    <phoneticPr fontId="19"/>
  </si>
  <si>
    <t>R3</t>
    <phoneticPr fontId="19"/>
  </si>
  <si>
    <t>R4</t>
    <phoneticPr fontId="19"/>
  </si>
  <si>
    <t>R5</t>
    <phoneticPr fontId="19"/>
  </si>
  <si>
    <t>個別確率</t>
    <rPh sb="0" eb="4">
      <t>コベツカクリツ</t>
    </rPh>
    <phoneticPr fontId="19"/>
  </si>
  <si>
    <t>該当数(ピックアップ除く)</t>
    <rPh sb="0" eb="2">
      <t>ガイトウ</t>
    </rPh>
    <rPh sb="2" eb="3">
      <t>スウ</t>
    </rPh>
    <rPh sb="10" eb="11">
      <t>ノゾ</t>
    </rPh>
    <phoneticPr fontId="19"/>
  </si>
  <si>
    <t>個別weight</t>
    <rPh sb="0" eb="2">
      <t>コベツ</t>
    </rPh>
    <phoneticPr fontId="19"/>
  </si>
  <si>
    <t>グループweight</t>
    <phoneticPr fontId="19"/>
  </si>
  <si>
    <t>端数</t>
    <rPh sb="0" eb="2">
      <t>ハスウ</t>
    </rPh>
    <phoneticPr fontId="19"/>
  </si>
  <si>
    <t>--検算用--</t>
    <rPh sb="3" eb="6">
      <t>ケンザンヨウ</t>
    </rPh>
    <phoneticPr fontId="19"/>
  </si>
  <si>
    <t>端数逆数</t>
    <rPh sb="0" eb="2">
      <t>ハスウ</t>
    </rPh>
    <rPh sb="2" eb="4">
      <t>ギャクスウ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</si>
  <si>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</si>
  <si>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</si>
  <si>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</si>
  <si>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</si>
  <si>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テーブルid</t>
    <phoneticPr fontId="19"/>
  </si>
  <si>
    <t>→ピックアップの確率は右のほうにいます</t>
    <rPh sb="8" eb="10">
      <t>カクリツ</t>
    </rPh>
    <rPh sb="11" eb="12">
      <t>ミギ</t>
    </rPh>
    <phoneticPr fontId="19"/>
  </si>
  <si>
    <t>table_no</t>
    <phoneticPr fontId="19"/>
  </si>
  <si>
    <t>table_no</t>
    <phoneticPr fontId="19"/>
  </si>
  <si>
    <t>skill_level</t>
  </si>
  <si>
    <t>level</t>
  </si>
  <si>
    <t>hp_plus</t>
    <phoneticPr fontId="52"/>
  </si>
  <si>
    <t>attack_plus</t>
    <phoneticPr fontId="52"/>
  </si>
  <si>
    <t>heal_plus</t>
    <phoneticPr fontId="52"/>
  </si>
  <si>
    <t>defense_plus</t>
    <phoneticPr fontId="52"/>
  </si>
  <si>
    <t>level</t>
    <phoneticPr fontId="52"/>
  </si>
  <si>
    <t>skill_level</t>
    <phoneticPr fontId="52"/>
  </si>
  <si>
    <t>bug</t>
    <phoneticPr fontId="52"/>
  </si>
  <si>
    <t>drop_label2</t>
    <phoneticPr fontId="19"/>
  </si>
  <si>
    <t>Premium</t>
    <phoneticPr fontId="19"/>
  </si>
  <si>
    <t>Premium3</t>
    <phoneticPr fontId="19"/>
  </si>
  <si>
    <t>Premium4</t>
    <phoneticPr fontId="19"/>
  </si>
  <si>
    <t>Premium5</t>
    <phoneticPr fontId="19"/>
  </si>
  <si>
    <t>グループ確率</t>
    <rPh sb="4" eb="6">
      <t>カクリツ</t>
    </rPh>
    <phoneticPr fontId="19"/>
  </si>
  <si>
    <t>レア度別確率</t>
    <rPh sb="2" eb="4">
      <t>ドベツ</t>
    </rPh>
    <rPh sb="4" eb="6">
      <t>カクリツ</t>
    </rPh>
    <phoneticPr fontId="19"/>
  </si>
  <si>
    <t>color2</t>
    <phoneticPr fontId="19"/>
  </si>
  <si>
    <t>Premium3</t>
  </si>
  <si>
    <t>Premium4</t>
  </si>
  <si>
    <t>Premium5</t>
  </si>
  <si>
    <t>PremiumSS4</t>
    <phoneticPr fontId="19"/>
  </si>
  <si>
    <t>PremiumSS5</t>
    <phoneticPr fontId="19"/>
  </si>
  <si>
    <t>PremiumSSS5</t>
    <phoneticPr fontId="19"/>
  </si>
  <si>
    <t>PremiumSSS4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</si>
  <si>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</si>
  <si>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</si>
  <si>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</si>
  <si>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</si>
  <si>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</si>
  <si>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</si>
  <si>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</si>
  <si>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</si>
  <si>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</si>
  <si>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</si>
  <si>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</si>
  <si>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</si>
  <si>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</si>
  <si>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</si>
  <si>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</si>
  <si>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</si>
  <si>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</si>
  <si>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</si>
  <si>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</si>
  <si>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</si>
  <si>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</si>
  <si>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</si>
  <si>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</si>
  <si>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</si>
  <si>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</si>
  <si>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</si>
  <si>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</si>
  <si>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</si>
  <si>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</si>
  <si>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</si>
  <si>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</si>
  <si>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</si>
  <si>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</si>
  <si>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</si>
  <si>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</si>
  <si>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</si>
  <si>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</si>
  <si>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</si>
  <si>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</si>
  <si>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</si>
  <si>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</si>
  <si>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</si>
  <si>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</si>
  <si>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</si>
  <si>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</si>
  <si>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</si>
  <si>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</si>
  <si>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</si>
  <si>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</si>
  <si>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</si>
  <si>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</si>
  <si>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</si>
  <si>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</si>
  <si>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</si>
  <si>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</si>
  <si>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</si>
  <si>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</si>
  <si>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</si>
  <si>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</si>
  <si>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</si>
  <si>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</si>
  <si>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</si>
  <si>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</si>
  <si>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</si>
  <si>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</si>
  <si>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</si>
  <si>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</si>
  <si>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</si>
  <si>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</si>
  <si>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</si>
  <si>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</si>
  <si>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</si>
  <si>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</si>
  <si>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</si>
  <si>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</si>
  <si>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</si>
  <si>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</si>
  <si>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</si>
  <si>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</si>
  <si>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</si>
  <si>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PremiumW3</t>
    <phoneticPr fontId="19"/>
  </si>
  <si>
    <t>PremiumW4</t>
    <phoneticPr fontId="19"/>
  </si>
  <si>
    <t>ラベル確率</t>
    <rPh sb="3" eb="5">
      <t>カクリツ</t>
    </rPh>
    <phoneticPr fontId="19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</si>
  <si>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</si>
  <si>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</si>
  <si>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</si>
  <si>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</si>
  <si>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</si>
  <si>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9"/>
  </si>
  <si>
    <t>PremiumSS5R5only</t>
  </si>
  <si>
    <t>計算用中間データ</t>
    <rPh sb="0" eb="3">
      <t>ケイサンヨウ</t>
    </rPh>
    <rPh sb="3" eb="5">
      <t>チュウカン</t>
    </rPh>
    <phoneticPr fontId="19"/>
  </si>
  <si>
    <t>X</t>
    <phoneticPr fontId="19"/>
  </si>
  <si>
    <t>Y</t>
    <phoneticPr fontId="19"/>
  </si>
  <si>
    <t>対象数</t>
    <rPh sb="0" eb="3">
      <t>タイショウスウ</t>
    </rPh>
    <phoneticPr fontId="19"/>
  </si>
  <si>
    <t>PremiumW</t>
    <phoneticPr fontId="19"/>
  </si>
  <si>
    <t>PremiumN</t>
    <phoneticPr fontId="19"/>
  </si>
  <si>
    <t>PremiumS</t>
    <phoneticPr fontId="19"/>
  </si>
  <si>
    <t>PremiumSS</t>
    <phoneticPr fontId="19"/>
  </si>
  <si>
    <t>←R6分はここから差し引く</t>
    <rPh sb="3" eb="4">
      <t>ブン</t>
    </rPh>
    <rPh sb="9" eb="10">
      <t>サシヒク</t>
    </rPh>
    <phoneticPr fontId="19"/>
  </si>
  <si>
    <t>除外確率</t>
    <rPh sb="0" eb="2">
      <t>ジョガイ</t>
    </rPh>
    <rPh sb="2" eb="4">
      <t>カクリツ</t>
    </rPh>
    <phoneticPr fontId="19"/>
  </si>
  <si>
    <t>除外数</t>
    <rPh sb="0" eb="3">
      <t>ジョガイスウ</t>
    </rPh>
    <phoneticPr fontId="19"/>
  </si>
  <si>
    <t>もうここは手で入れよう…</t>
    <rPh sb="5" eb="6">
      <t>テ</t>
    </rPh>
    <rPh sb="7" eb="8">
      <t>イレヨウ</t>
    </rPh>
    <phoneticPr fontId="19"/>
  </si>
  <si>
    <t>通常weight</t>
    <rPh sb="0" eb="2">
      <t>ツウジョウ</t>
    </rPh>
    <phoneticPr fontId="19"/>
  </si>
  <si>
    <t>gacha_settle_tables_</t>
    <phoneticPr fontId="19"/>
  </si>
  <si>
    <t>ja</t>
  </si>
  <si>
    <t>A</t>
    <phoneticPr fontId="19"/>
  </si>
  <si>
    <t>B</t>
    <phoneticPr fontId="19"/>
  </si>
  <si>
    <t>PremiumW4</t>
    <phoneticPr fontId="19"/>
  </si>
  <si>
    <t>C</t>
    <phoneticPr fontId="19"/>
  </si>
  <si>
    <t>Premium3</t>
    <phoneticPr fontId="19"/>
  </si>
  <si>
    <t>D</t>
    <phoneticPr fontId="19"/>
  </si>
  <si>
    <t>Premium4</t>
    <phoneticPr fontId="19"/>
  </si>
  <si>
    <t>E</t>
    <phoneticPr fontId="19"/>
  </si>
  <si>
    <t>Premium5</t>
    <phoneticPr fontId="19"/>
  </si>
  <si>
    <t>F</t>
    <phoneticPr fontId="19"/>
  </si>
  <si>
    <t>Premium4R3less</t>
    <phoneticPr fontId="19"/>
  </si>
  <si>
    <t>G</t>
    <phoneticPr fontId="19"/>
  </si>
  <si>
    <t>Premium5R3less</t>
    <phoneticPr fontId="19"/>
  </si>
  <si>
    <t>H</t>
    <phoneticPr fontId="19"/>
  </si>
  <si>
    <t>I</t>
    <phoneticPr fontId="19"/>
  </si>
  <si>
    <t>J</t>
    <phoneticPr fontId="19"/>
  </si>
  <si>
    <t>K</t>
    <phoneticPr fontId="19"/>
  </si>
  <si>
    <t>Premium3R6release</t>
    <phoneticPr fontId="19"/>
  </si>
  <si>
    <t>Premium4R6release</t>
    <phoneticPr fontId="19"/>
  </si>
  <si>
    <t>Premium5R6release</t>
    <phoneticPr fontId="19"/>
  </si>
  <si>
    <t>PremiumSS4</t>
    <phoneticPr fontId="19"/>
  </si>
  <si>
    <t>PremiumSS5</t>
    <phoneticPr fontId="19"/>
  </si>
  <si>
    <t>L</t>
    <phoneticPr fontId="19"/>
  </si>
  <si>
    <t>M</t>
    <phoneticPr fontId="19"/>
  </si>
  <si>
    <t>PremiumSS5R5only</t>
    <phoneticPr fontId="19"/>
  </si>
  <si>
    <t>50% - H - C</t>
    <phoneticPr fontId="19"/>
  </si>
  <si>
    <t>unit</t>
    <phoneticPr fontId="19"/>
  </si>
  <si>
    <t>PremiumSSS4R3less</t>
    <phoneticPr fontId="19"/>
  </si>
  <si>
    <t>PremiumSSS5R3less</t>
    <phoneticPr fontId="19"/>
  </si>
  <si>
    <t>unit</t>
    <phoneticPr fontId="19"/>
  </si>
  <si>
    <t>秘術の果実x3</t>
    <phoneticPr fontId="19"/>
  </si>
  <si>
    <t>秘術の果実</t>
    <phoneticPr fontId="19"/>
  </si>
  <si>
    <t>400万DL突破記念ガチャ特典</t>
    <rPh sb="13" eb="15">
      <t>トクテン</t>
    </rPh>
    <phoneticPr fontId="19"/>
  </si>
  <si>
    <t>358104</t>
    <phoneticPr fontId="19"/>
  </si>
  <si>
    <t>3581041</t>
    <phoneticPr fontId="19"/>
  </si>
  <si>
    <t>3581051</t>
    <phoneticPr fontId="19"/>
  </si>
  <si>
    <t>STEP4特典として
秘術の果実1体をプレゼント！</t>
    <phoneticPr fontId="19"/>
  </si>
  <si>
    <t>STEP5特典として
秘術の果実3体をプレゼント！</t>
    <phoneticPr fontId="19"/>
  </si>
  <si>
    <t>358105</t>
    <phoneticPr fontId="19"/>
  </si>
  <si>
    <t>skip</t>
    <phoneticPr fontId="19"/>
  </si>
  <si>
    <t>通常確率</t>
    <phoneticPr fontId="19"/>
  </si>
  <si>
    <t>通常確率</t>
    <phoneticPr fontId="19"/>
  </si>
  <si>
    <t>tables_363104</t>
    <phoneticPr fontId="19"/>
  </si>
  <si>
    <t>tables_363105</t>
    <phoneticPr fontId="19"/>
  </si>
  <si>
    <t>tables_363100</t>
    <phoneticPr fontId="19"/>
  </si>
  <si>
    <t>old</t>
    <phoneticPr fontId="19"/>
  </si>
  <si>
    <t>363100</t>
    <phoneticPr fontId="19"/>
  </si>
  <si>
    <t>tables_364100</t>
    <phoneticPr fontId="19"/>
  </si>
  <si>
    <t>tables_364010</t>
    <phoneticPr fontId="19"/>
  </si>
  <si>
    <t>tables_settle_364100</t>
    <phoneticPr fontId="19"/>
  </si>
  <si>
    <t>skip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</si>
</sst>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6" fillId="0" borderId="0"/>
    <xf numFmtId="38" fontId="54" fillId="0" borderId="0" applyFont="0" applyFill="0" applyBorder="0" applyAlignment="0" applyProtection="0"/>
  </cellStyleXfs>
  <cellXfs count="97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4" fillId="0" borderId="13" xfId="2" applyFont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4" xfId="0" applyFont="1" applyFill="1" applyBorder="1" applyAlignment="1">
      <alignment horizontal="right" vertical="center"/>
    </xf>
    <xf numFmtId="0" fontId="24" fillId="0" borderId="15" xfId="2" applyFont="1" applyBorder="1" applyAlignment="1">
      <alignment vertical="center"/>
    </xf>
    <xf numFmtId="0" fontId="24" fillId="2" borderId="1" xfId="2" applyFont="1" applyFill="1" applyBorder="1" applyAlignment="1">
      <alignment horizontal="left" vertical="center"/>
    </xf>
    <xf numFmtId="0" fontId="51" fillId="21" borderId="1" xfId="0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2" borderId="1" xfId="2978" applyFont="1" applyFill="1" applyBorder="1"/>
    <xf numFmtId="0" fontId="12" fillId="22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2" borderId="1" xfId="0" applyFont="1" applyFill="1" applyBorder="1"/>
    <xf numFmtId="0" fontId="51" fillId="23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0" fillId="4" borderId="0" xfId="0" applyFill="1"/>
    <xf numFmtId="0" fontId="9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0" fontId="51" fillId="30" borderId="1" xfId="0" applyFont="1" applyFill="1" applyBorder="1" applyAlignment="1">
      <alignment horizontal="left" vertical="center"/>
    </xf>
    <xf numFmtId="0" fontId="24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3" fillId="25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5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5" fillId="0" borderId="1" xfId="2978" applyFont="1" applyBorder="1"/>
    <xf numFmtId="178" fontId="56" fillId="32" borderId="1" xfId="0" applyNumberFormat="1" applyFont="1" applyFill="1" applyBorder="1"/>
    <xf numFmtId="38" fontId="24" fillId="4" borderId="1" xfId="3663" quotePrefix="1" applyFont="1" applyFill="1" applyBorder="1" applyAlignment="1">
      <alignment vertical="center"/>
    </xf>
    <xf numFmtId="0" fontId="51" fillId="0" borderId="1" xfId="0" applyFont="1" applyBorder="1" applyAlignment="1">
      <alignment vertical="center"/>
    </xf>
    <xf numFmtId="0" fontId="51" fillId="0" borderId="1" xfId="0" applyFont="1" applyBorder="1" applyAlignment="1">
      <alignment vertical="center" wrapText="1"/>
    </xf>
    <xf numFmtId="0" fontId="24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4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4" fillId="0" borderId="0" xfId="2" applyFont="1" applyFill="1" applyBorder="1" applyAlignment="1">
      <alignment vertical="center"/>
    </xf>
    <xf numFmtId="0" fontId="24" fillId="0" borderId="1" xfId="2" quotePrefix="1" applyFont="1" applyBorder="1" applyAlignment="1">
      <alignment vertical="center"/>
    </xf>
    <xf numFmtId="0" fontId="3" fillId="0" borderId="1" xfId="3036" applyFont="1" applyBorder="1"/>
    <xf numFmtId="0" fontId="23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2" fillId="4" borderId="1" xfId="2978" applyFont="1" applyFill="1" applyBorder="1"/>
    <xf numFmtId="0" fontId="24" fillId="33" borderId="1" xfId="2" applyFont="1" applyFill="1" applyBorder="1" applyAlignment="1">
      <alignment vertical="center"/>
    </xf>
    <xf numFmtId="0" fontId="2" fillId="0" borderId="1" xfId="3036" applyFont="1" applyBorder="1"/>
    <xf numFmtId="0" fontId="1" fillId="4" borderId="1" xfId="2978" applyFont="1" applyFill="1" applyBorder="1"/>
    <xf numFmtId="0" fontId="1" fillId="0" borderId="1" xfId="3036" applyFont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3ターン種族アニマルの攻撃力・防御力・回復力を大UP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未定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red</v>
          </cell>
          <cell r="I561">
            <v>6</v>
          </cell>
          <cell r="J561" t="str">
            <v>Material</v>
          </cell>
          <cell r="K561" t="str">
            <v>exp</v>
          </cell>
          <cell r="L561" t="str">
            <v>強化素材タイプ</v>
          </cell>
          <cell r="M561" t="str">
            <v>unknown</v>
          </cell>
        </row>
        <row r="562">
          <cell r="A562">
            <v>561</v>
          </cell>
          <cell r="B562" t="str">
            <v>ja</v>
          </cell>
          <cell r="C562" t="str">
            <v>未定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green</v>
          </cell>
          <cell r="I562">
            <v>6</v>
          </cell>
          <cell r="J562" t="str">
            <v>Material</v>
          </cell>
          <cell r="K562" t="str">
            <v>exp</v>
          </cell>
          <cell r="L562" t="str">
            <v>強化素材タイプ</v>
          </cell>
          <cell r="M562" t="str">
            <v>unknown</v>
          </cell>
        </row>
        <row r="563">
          <cell r="A563">
            <v>562</v>
          </cell>
          <cell r="B563" t="str">
            <v>ja</v>
          </cell>
          <cell r="C563" t="str">
            <v>未定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6</v>
          </cell>
          <cell r="J563" t="str">
            <v>Material</v>
          </cell>
          <cell r="K563" t="str">
            <v>exp</v>
          </cell>
          <cell r="L563" t="str">
            <v>強化素材タイプ</v>
          </cell>
          <cell r="M563" t="str">
            <v>unknown</v>
          </cell>
        </row>
        <row r="564">
          <cell r="A564">
            <v>563</v>
          </cell>
          <cell r="B564" t="str">
            <v>ja</v>
          </cell>
          <cell r="C564" t="str">
            <v>未定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6</v>
          </cell>
          <cell r="J564" t="str">
            <v>Material</v>
          </cell>
          <cell r="K564" t="str">
            <v>exp</v>
          </cell>
          <cell r="L564" t="str">
            <v>強化素材タイプ</v>
          </cell>
          <cell r="M564" t="str">
            <v>unknown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unknown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heal</v>
          </cell>
          <cell r="L837" t="str">
            <v>回復タイプ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CO05_Wiz01_R5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ti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hero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hero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DropWizS</v>
          </cell>
          <cell r="K961" t="str">
            <v>technical</v>
          </cell>
          <cell r="L961" t="str">
            <v>テクニカルタイプ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devil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god</v>
          </cell>
        </row>
        <row r="1057">
          <cell r="A1057">
            <v>1056</v>
          </cell>
          <cell r="B1057" t="str">
            <v>ja</v>
          </cell>
          <cell r="C1057" t="str">
            <v>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god</v>
          </cell>
        </row>
        <row r="1058">
          <cell r="A1058">
            <v>1057</v>
          </cell>
          <cell r="B1058" t="str">
            <v>ja</v>
          </cell>
          <cell r="C1058" t="str">
            <v>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god</v>
          </cell>
        </row>
        <row r="1059">
          <cell r="A1059">
            <v>1058</v>
          </cell>
          <cell r="B1059" t="str">
            <v>ja</v>
          </cell>
          <cell r="C1059" t="str">
            <v>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6001</v>
          </cell>
          <cell r="B1060" t="str">
            <v>ja</v>
          </cell>
          <cell r="C1060" t="str">
            <v>ジェリー</v>
          </cell>
          <cell r="D1060" t="str">
            <v>ノーマルクエスト</v>
          </cell>
          <cell r="E1060" t="str">
            <v>QoH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1</v>
          </cell>
          <cell r="J1060" t="str">
            <v>Drop1T</v>
          </cell>
          <cell r="K1060" t="str">
            <v>ra</v>
          </cell>
          <cell r="L1060" t="str">
            <v>ラグランジュチャレンジ</v>
          </cell>
          <cell r="M1060" t="str">
            <v>unknown</v>
          </cell>
        </row>
        <row r="1061">
          <cell r="A1061">
            <v>6002</v>
          </cell>
          <cell r="B1061" t="str">
            <v>ja</v>
          </cell>
          <cell r="C1061" t="str">
            <v>ヨシタカ</v>
          </cell>
          <cell r="D1061" t="str">
            <v>ノーマルクエスト</v>
          </cell>
          <cell r="E1061" t="str">
            <v>アバター</v>
          </cell>
          <cell r="F1061" t="str">
            <v>世界観</v>
          </cell>
          <cell r="G1061" t="str">
            <v>男性</v>
          </cell>
          <cell r="H1061" t="str">
            <v>red</v>
          </cell>
          <cell r="I1061">
            <v>2</v>
          </cell>
          <cell r="J1061" t="str">
            <v>Drop1N</v>
          </cell>
          <cell r="K1061" t="str">
            <v>ra</v>
          </cell>
          <cell r="L1061" t="str">
            <v>ラグランジュチャレンジ</v>
          </cell>
          <cell r="M1061" t="str">
            <v>human</v>
          </cell>
        </row>
        <row r="1062">
          <cell r="A1062">
            <v>6003</v>
          </cell>
          <cell r="B1062" t="str">
            <v>ja</v>
          </cell>
          <cell r="C1062" t="str">
            <v>朱雀</v>
          </cell>
          <cell r="D1062" t="str">
            <v>リンクガチャ:4神</v>
          </cell>
          <cell r="E1062" t="str">
            <v>守護神</v>
          </cell>
          <cell r="F1062" t="str">
            <v>格好いい</v>
          </cell>
          <cell r="G1062" t="str">
            <v>不明</v>
          </cell>
          <cell r="H1062" t="str">
            <v>red</v>
          </cell>
          <cell r="I1062">
            <v>3</v>
          </cell>
          <cell r="J1062" t="str">
            <v>Drop2N</v>
          </cell>
          <cell r="K1062" t="str">
            <v>ra</v>
          </cell>
          <cell r="L1062" t="str">
            <v>ラグランジュチャレンジ</v>
          </cell>
          <cell r="M1062" t="str">
            <v>animal</v>
          </cell>
        </row>
        <row r="1063">
          <cell r="A1063">
            <v>6004</v>
          </cell>
          <cell r="B1063" t="str">
            <v>ja</v>
          </cell>
          <cell r="C1063" t="str">
            <v>ブレット</v>
          </cell>
          <cell r="D1063" t="str">
            <v>ノーマルクエスト</v>
          </cell>
          <cell r="E1063" t="str">
            <v>アバター</v>
          </cell>
          <cell r="F1063" t="str">
            <v>世界観</v>
          </cell>
          <cell r="G1063" t="str">
            <v>不明</v>
          </cell>
          <cell r="H1063" t="str">
            <v>red</v>
          </cell>
          <cell r="I1063">
            <v>1</v>
          </cell>
          <cell r="J1063" t="str">
            <v>Drop1W</v>
          </cell>
          <cell r="K1063" t="str">
            <v>ra</v>
          </cell>
          <cell r="L1063" t="str">
            <v>ラグランジュチャレンジ</v>
          </cell>
          <cell r="M1063" t="str">
            <v>animal</v>
          </cell>
        </row>
        <row r="1064">
          <cell r="A1064">
            <v>6005</v>
          </cell>
          <cell r="B1064" t="str">
            <v>ja</v>
          </cell>
          <cell r="C1064" t="str">
            <v>孤神 テティス</v>
          </cell>
          <cell r="D1064" t="str">
            <v>初期ガチャ</v>
          </cell>
          <cell r="E1064" t="str">
            <v>管理者</v>
          </cell>
          <cell r="F1064" t="str">
            <v>美しい</v>
          </cell>
          <cell r="G1064" t="str">
            <v>女性</v>
          </cell>
          <cell r="H1064" t="str">
            <v>blue</v>
          </cell>
          <cell r="I1064">
            <v>4</v>
          </cell>
          <cell r="J1064" t="str">
            <v>PremiumN</v>
          </cell>
          <cell r="K1064" t="str">
            <v>ra</v>
          </cell>
          <cell r="L1064" t="str">
            <v>ラグランジュチャレンジ</v>
          </cell>
          <cell r="M1064" t="str">
            <v>god</v>
          </cell>
        </row>
        <row r="1065">
          <cell r="A1065">
            <v>6006</v>
          </cell>
          <cell r="B1065" t="str">
            <v>ja</v>
          </cell>
          <cell r="C1065" t="str">
            <v>海底の孤高神 テティス</v>
          </cell>
          <cell r="D1065" t="str">
            <v>初期ガチャ</v>
          </cell>
          <cell r="E1065" t="str">
            <v>管理者</v>
          </cell>
          <cell r="F1065" t="str">
            <v>美しい</v>
          </cell>
          <cell r="G1065" t="str">
            <v>女性</v>
          </cell>
          <cell r="H1065" t="str">
            <v>blue</v>
          </cell>
          <cell r="I1065">
            <v>5</v>
          </cell>
          <cell r="J1065" t="str">
            <v>PremiumN</v>
          </cell>
          <cell r="K1065" t="str">
            <v>ra</v>
          </cell>
          <cell r="L1065" t="str">
            <v>ラグランジュチャレンジ</v>
          </cell>
          <cell r="M1065" t="str">
            <v>god</v>
          </cell>
        </row>
        <row r="1066">
          <cell r="A1066">
            <v>6007</v>
          </cell>
          <cell r="B1066" t="str">
            <v>ja</v>
          </cell>
          <cell r="C1066" t="str">
            <v>番犬 ケルベロス</v>
          </cell>
          <cell r="D1066" t="str">
            <v>初期ガチャ</v>
          </cell>
          <cell r="E1066" t="str">
            <v>破界者</v>
          </cell>
          <cell r="F1066" t="str">
            <v>可愛い</v>
          </cell>
          <cell r="G1066" t="str">
            <v>女性</v>
          </cell>
          <cell r="H1066" t="str">
            <v>red</v>
          </cell>
          <cell r="I1066">
            <v>4</v>
          </cell>
          <cell r="J1066" t="str">
            <v>PremiumN</v>
          </cell>
          <cell r="K1066" t="str">
            <v>ra</v>
          </cell>
          <cell r="L1066" t="str">
            <v>ラグランジュチャレンジ</v>
          </cell>
          <cell r="M1066" t="str">
            <v>animal</v>
          </cell>
        </row>
        <row r="1067">
          <cell r="A1067">
            <v>6008</v>
          </cell>
          <cell r="B1067" t="str">
            <v>ja</v>
          </cell>
          <cell r="C1067" t="str">
            <v>焔神 プロメテウス</v>
          </cell>
          <cell r="D1067" t="str">
            <v>初期ガチャ</v>
          </cell>
          <cell r="E1067" t="str">
            <v>管理者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4</v>
          </cell>
          <cell r="J1067" t="str">
            <v>PremiumN</v>
          </cell>
          <cell r="K1067" t="str">
            <v>ra</v>
          </cell>
          <cell r="L1067" t="str">
            <v>ラグランジュチャレンジ</v>
          </cell>
          <cell r="M1067" t="str">
            <v>god</v>
          </cell>
        </row>
        <row r="1068">
          <cell r="A1068">
            <v>6009</v>
          </cell>
          <cell r="B1068" t="str">
            <v>ja</v>
          </cell>
          <cell r="C1068" t="str">
            <v>超越自我 ラグランジュ</v>
          </cell>
          <cell r="D1068" t="str">
            <v>ガチャ:フィーバーフェス02</v>
          </cell>
          <cell r="E1068" t="str">
            <v>執行者</v>
          </cell>
          <cell r="F1068" t="str">
            <v>格好いい</v>
          </cell>
          <cell r="G1068" t="str">
            <v>女性</v>
          </cell>
          <cell r="H1068" t="str">
            <v>red</v>
          </cell>
          <cell r="I1068">
            <v>5</v>
          </cell>
          <cell r="J1068" t="str">
            <v>PremiumSSS</v>
          </cell>
          <cell r="K1068" t="str">
            <v>ra</v>
          </cell>
          <cell r="L1068" t="str">
            <v>ラグランジュチャレンジ</v>
          </cell>
          <cell r="M1068" t="str">
            <v>human</v>
          </cell>
        </row>
        <row r="1069">
          <cell r="A1069">
            <v>6010</v>
          </cell>
          <cell r="B1069" t="str">
            <v>ja</v>
          </cell>
          <cell r="C1069" t="str">
            <v>超越凌駕 ラグランジュ</v>
          </cell>
          <cell r="D1069" t="str">
            <v>ガチャ:フィーバーフェス02</v>
          </cell>
          <cell r="E1069" t="str">
            <v>執行者</v>
          </cell>
          <cell r="F1069" t="str">
            <v>格好いい</v>
          </cell>
          <cell r="G1069" t="str">
            <v>女性</v>
          </cell>
          <cell r="H1069" t="str">
            <v>red</v>
          </cell>
          <cell r="I1069">
            <v>6</v>
          </cell>
          <cell r="J1069" t="str">
            <v>PremiumSSS</v>
          </cell>
          <cell r="K1069" t="str">
            <v>ra</v>
          </cell>
          <cell r="L1069" t="str">
            <v>ラグランジュチャレンジ</v>
          </cell>
          <cell r="M1069" t="str">
            <v>human</v>
          </cell>
        </row>
        <row r="1070">
          <cell r="A1070">
            <v>6011</v>
          </cell>
          <cell r="B1070" t="str">
            <v>ja</v>
          </cell>
          <cell r="C1070" t="str">
            <v>パトドッグリーダー ポチ</v>
          </cell>
          <cell r="D1070" t="str">
            <v>ガチャ:フィーバーフェス02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blue</v>
          </cell>
          <cell r="I1070">
            <v>2</v>
          </cell>
          <cell r="J1070" t="str">
            <v>Drop1T</v>
          </cell>
          <cell r="K1070" t="str">
            <v>ra002</v>
          </cell>
          <cell r="L1070" t="str">
            <v>Uチャレンジ</v>
          </cell>
          <cell r="M1070" t="str">
            <v>unknown</v>
          </cell>
        </row>
        <row r="1071">
          <cell r="A1071">
            <v>6012</v>
          </cell>
          <cell r="B1071" t="str">
            <v>ja</v>
          </cell>
          <cell r="C1071" t="str">
            <v>ミミ</v>
          </cell>
          <cell r="D1071" t="str">
            <v>ガチャ:フィーバーフェス02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yellow</v>
          </cell>
          <cell r="I1071">
            <v>1</v>
          </cell>
          <cell r="J1071" t="str">
            <v>Drop1W</v>
          </cell>
          <cell r="K1071" t="str">
            <v>ra002</v>
          </cell>
          <cell r="L1071" t="str">
            <v>Uチャレンジ</v>
          </cell>
          <cell r="M1071" t="str">
            <v>animal</v>
          </cell>
        </row>
        <row r="1072">
          <cell r="A1072">
            <v>6013</v>
          </cell>
          <cell r="B1072" t="str">
            <v>ja</v>
          </cell>
          <cell r="C1072" t="str">
            <v>護衛機人 スケアクロウ</v>
          </cell>
          <cell r="D1072" t="str">
            <v>ガチャ:フィーバーフェス02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blue</v>
          </cell>
          <cell r="I1072">
            <v>2</v>
          </cell>
          <cell r="J1072" t="str">
            <v>Drop1N</v>
          </cell>
          <cell r="K1072" t="str">
            <v>ra002</v>
          </cell>
          <cell r="L1072" t="str">
            <v>Uチャレンジ</v>
          </cell>
          <cell r="M1072" t="str">
            <v>machine</v>
          </cell>
        </row>
        <row r="1073">
          <cell r="A1073">
            <v>6014</v>
          </cell>
          <cell r="B1073" t="str">
            <v>ja</v>
          </cell>
          <cell r="C1073" t="str">
            <v>月下の人狼 ローレンス</v>
          </cell>
          <cell r="D1073" t="str">
            <v>ガチャ:フィーバーフェス02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4</v>
          </cell>
          <cell r="J1073" t="str">
            <v>PremiumW</v>
          </cell>
          <cell r="K1073" t="str">
            <v>ra002</v>
          </cell>
          <cell r="L1073" t="str">
            <v>Uチャレンジ</v>
          </cell>
          <cell r="M1073" t="str">
            <v>animal</v>
          </cell>
        </row>
        <row r="1074">
          <cell r="A1074">
            <v>6015</v>
          </cell>
          <cell r="B1074" t="str">
            <v>ja</v>
          </cell>
          <cell r="C1074" t="str">
            <v>フレイヤ</v>
          </cell>
          <cell r="D1074" t="str">
            <v>ガチャ:フィーバーフェス02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4</v>
          </cell>
          <cell r="J1074" t="str">
            <v>PremiumSS</v>
          </cell>
          <cell r="K1074" t="str">
            <v>ra002</v>
          </cell>
          <cell r="L1074" t="str">
            <v>Uチャレンジ</v>
          </cell>
          <cell r="M1074" t="str">
            <v>animal</v>
          </cell>
        </row>
        <row r="1075">
          <cell r="A1075">
            <v>6016</v>
          </cell>
          <cell r="B1075" t="str">
            <v>ja</v>
          </cell>
          <cell r="C1075" t="str">
            <v>根原論理 ユークリッド</v>
          </cell>
          <cell r="D1075" t="str">
            <v>ガチャ:フィーバーフェス02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blue</v>
          </cell>
          <cell r="I1075">
            <v>5</v>
          </cell>
          <cell r="J1075" t="str">
            <v>PremiumSSS</v>
          </cell>
          <cell r="K1075" t="str">
            <v>ra002</v>
          </cell>
          <cell r="L1075" t="str">
            <v>Uチャレンジ</v>
          </cell>
          <cell r="M1075" t="str">
            <v>human</v>
          </cell>
        </row>
        <row r="1076">
          <cell r="A1076">
            <v>6017</v>
          </cell>
          <cell r="B1076" t="str">
            <v>ja</v>
          </cell>
          <cell r="C1076" t="str">
            <v>不朽の極論 ユークリッド</v>
          </cell>
          <cell r="D1076" t="str">
            <v>ガチャ:フィーバーフェス02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blue</v>
          </cell>
          <cell r="I1076">
            <v>6</v>
          </cell>
          <cell r="J1076" t="str">
            <v>PremiumSSS</v>
          </cell>
          <cell r="K1076" t="str">
            <v>ra002</v>
          </cell>
          <cell r="L1076" t="str">
            <v>Uチャレンジ</v>
          </cell>
          <cell r="M1076" t="str">
            <v>human</v>
          </cell>
        </row>
        <row r="1077">
          <cell r="A1077">
            <v>6018</v>
          </cell>
          <cell r="B1077" t="str">
            <v>ja</v>
          </cell>
          <cell r="C1077" t="str">
            <v>ハヅル</v>
          </cell>
          <cell r="D1077" t="str">
            <v>ガチャ:フィーバーフェス02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red</v>
          </cell>
          <cell r="I1077">
            <v>4</v>
          </cell>
          <cell r="J1077" t="str">
            <v>PremiumSS</v>
          </cell>
          <cell r="K1077" t="str">
            <v>ra002</v>
          </cell>
          <cell r="L1077" t="str">
            <v>Uチャレンジ</v>
          </cell>
          <cell r="M1077" t="str">
            <v>animal</v>
          </cell>
        </row>
        <row r="1078">
          <cell r="A1078">
            <v>6019</v>
          </cell>
          <cell r="B1078" t="str">
            <v>ja</v>
          </cell>
          <cell r="C1078" t="str">
            <v>天織羽鶴 ハヅル</v>
          </cell>
          <cell r="D1078" t="str">
            <v>ガチャ:フィーバーフェス02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red</v>
          </cell>
          <cell r="I1078">
            <v>5</v>
          </cell>
          <cell r="J1078" t="str">
            <v>PremiumSS</v>
          </cell>
          <cell r="K1078" t="str">
            <v>ra002</v>
          </cell>
          <cell r="L1078" t="str">
            <v>Uチャレンジ</v>
          </cell>
          <cell r="M1078" t="str">
            <v>animal</v>
          </cell>
        </row>
        <row r="1079">
          <cell r="A1079">
            <v>6020</v>
          </cell>
          <cell r="B1079" t="str">
            <v>ja</v>
          </cell>
          <cell r="C1079" t="str">
            <v>ミズチ</v>
          </cell>
          <cell r="D1079" t="str">
            <v>ガチャ:フィーバーフェス02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blue</v>
          </cell>
          <cell r="I1079">
            <v>4</v>
          </cell>
          <cell r="J1079" t="str">
            <v>PremiumS</v>
          </cell>
          <cell r="K1079" t="str">
            <v>ra002</v>
          </cell>
          <cell r="L1079" t="str">
            <v>Uチャレンジ</v>
          </cell>
          <cell r="M1079" t="str">
            <v>dragon</v>
          </cell>
        </row>
        <row r="1080">
          <cell r="A1080">
            <v>8001</v>
          </cell>
          <cell r="B1080" t="str">
            <v>ja</v>
          </cell>
          <cell r="C1080" t="str">
            <v>媽祖</v>
          </cell>
          <cell r="D1080" t="str">
            <v>イベント:ミクコラボ01</v>
          </cell>
          <cell r="E1080" t="str">
            <v>執行者</v>
          </cell>
          <cell r="F1080" t="str">
            <v>格好いい</v>
          </cell>
          <cell r="G1080" t="str">
            <v>女性</v>
          </cell>
          <cell r="H1080" t="str">
            <v>yellow</v>
          </cell>
          <cell r="I1080">
            <v>5</v>
          </cell>
          <cell r="J1080" t="str">
            <v>PremiumSS</v>
          </cell>
          <cell r="K1080" t="str">
            <v>attack</v>
          </cell>
          <cell r="L1080" t="str">
            <v>攻撃タイプ</v>
          </cell>
          <cell r="M1080" t="str">
            <v>god</v>
          </cell>
        </row>
        <row r="1081">
          <cell r="A1081">
            <v>8002</v>
          </cell>
          <cell r="B1081" t="str">
            <v>ja</v>
          </cell>
          <cell r="C1081" t="str">
            <v>天后 媽祖</v>
          </cell>
          <cell r="D1081" t="str">
            <v>イベント:ミクコラボ01</v>
          </cell>
          <cell r="E1081" t="str">
            <v>執行者</v>
          </cell>
          <cell r="F1081" t="str">
            <v>格好いい</v>
          </cell>
          <cell r="G1081" t="str">
            <v>女性</v>
          </cell>
          <cell r="H1081" t="str">
            <v>yellow</v>
          </cell>
          <cell r="I1081">
            <v>6</v>
          </cell>
          <cell r="J1081" t="str">
            <v>PremiumSS</v>
          </cell>
          <cell r="K1081" t="str">
            <v>attack</v>
          </cell>
          <cell r="L1081" t="str">
            <v>攻撃タイプ</v>
          </cell>
          <cell r="M1081" t="str">
            <v>god</v>
          </cell>
        </row>
        <row r="1082">
          <cell r="A1082">
            <v>8003</v>
          </cell>
          <cell r="B1082" t="str">
            <v>ja</v>
          </cell>
          <cell r="C1082" t="str">
            <v>蛟龍</v>
          </cell>
          <cell r="D1082" t="str">
            <v>イベント:ミクコラボ01</v>
          </cell>
          <cell r="E1082" t="str">
            <v>執行者</v>
          </cell>
          <cell r="F1082" t="str">
            <v>格好いい</v>
          </cell>
          <cell r="G1082" t="str">
            <v>不明</v>
          </cell>
          <cell r="H1082" t="str">
            <v>blue</v>
          </cell>
          <cell r="I1082">
            <v>5</v>
          </cell>
          <cell r="J1082" t="str">
            <v>DropWizS</v>
          </cell>
          <cell r="K1082" t="str">
            <v>hp</v>
          </cell>
          <cell r="L1082" t="str">
            <v>体力タイプ</v>
          </cell>
          <cell r="M1082" t="str">
            <v>dragon</v>
          </cell>
        </row>
        <row r="1083">
          <cell r="A1083">
            <v>8004</v>
          </cell>
          <cell r="B1083" t="str">
            <v>ja</v>
          </cell>
          <cell r="C1083" t="str">
            <v>深海蛟龍怪‧晏公</v>
          </cell>
          <cell r="D1083" t="str">
            <v>イベント:ミクコラボ01</v>
          </cell>
          <cell r="E1083" t="str">
            <v>執行者</v>
          </cell>
          <cell r="F1083" t="str">
            <v>格好いい</v>
          </cell>
          <cell r="G1083" t="str">
            <v>不明</v>
          </cell>
          <cell r="H1083" t="str">
            <v>blue</v>
          </cell>
          <cell r="I1083">
            <v>6</v>
          </cell>
          <cell r="J1083" t="str">
            <v>DropWizS</v>
          </cell>
          <cell r="K1083" t="str">
            <v>hp</v>
          </cell>
          <cell r="L1083" t="str">
            <v>体力タイプ</v>
          </cell>
          <cell r="M1083" t="str">
            <v>dragon</v>
          </cell>
        </row>
        <row r="1084">
          <cell r="A1084">
            <v>8005</v>
          </cell>
          <cell r="B1084" t="str">
            <v>ja</v>
          </cell>
          <cell r="C1084" t="str">
            <v>三蔵法師</v>
          </cell>
          <cell r="D1084" t="str">
            <v>イベント:ミクコラボ01</v>
          </cell>
          <cell r="E1084" t="str">
            <v>執行者</v>
          </cell>
          <cell r="F1084" t="str">
            <v>格好いい</v>
          </cell>
          <cell r="G1084" t="str">
            <v>不明</v>
          </cell>
          <cell r="H1084" t="str">
            <v>blue</v>
          </cell>
          <cell r="I1084">
            <v>5</v>
          </cell>
          <cell r="J1084" t="str">
            <v>PremiumSS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8006</v>
          </cell>
          <cell r="B1085" t="str">
            <v>ja</v>
          </cell>
          <cell r="C1085" t="str">
            <v>三蔵法師</v>
          </cell>
          <cell r="D1085" t="str">
            <v>イベント:ミクコラボ01</v>
          </cell>
          <cell r="E1085" t="str">
            <v>執行者</v>
          </cell>
          <cell r="F1085" t="str">
            <v>格好いい</v>
          </cell>
          <cell r="G1085" t="str">
            <v>不明</v>
          </cell>
          <cell r="H1085" t="str">
            <v>blue</v>
          </cell>
          <cell r="I1085">
            <v>6</v>
          </cell>
          <cell r="J1085" t="str">
            <v>PremiumSS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8007</v>
          </cell>
          <cell r="B1086" t="str">
            <v>ja</v>
          </cell>
          <cell r="C1086" t="str">
            <v>孫悟空</v>
          </cell>
          <cell r="D1086" t="str">
            <v>イベント:ミクコラボ01</v>
          </cell>
          <cell r="E1086" t="str">
            <v>執行者</v>
          </cell>
          <cell r="F1086" t="str">
            <v>格好いい</v>
          </cell>
          <cell r="G1086" t="str">
            <v>不明</v>
          </cell>
          <cell r="H1086" t="str">
            <v>red</v>
          </cell>
          <cell r="I1086">
            <v>5</v>
          </cell>
          <cell r="J1086" t="str">
            <v>DropWizS</v>
          </cell>
          <cell r="K1086" t="str">
            <v>attack</v>
          </cell>
          <cell r="L1086" t="str">
            <v>攻撃タイプ</v>
          </cell>
          <cell r="M1086" t="str">
            <v>animal</v>
          </cell>
        </row>
        <row r="1087">
          <cell r="A1087">
            <v>8008</v>
          </cell>
          <cell r="B1087" t="str">
            <v>ja</v>
          </cell>
          <cell r="C1087" t="str">
            <v>孫悟空</v>
          </cell>
          <cell r="D1087" t="str">
            <v>イベント:ミクコラボ01</v>
          </cell>
          <cell r="E1087" t="str">
            <v>執行者</v>
          </cell>
          <cell r="F1087" t="str">
            <v>格好いい</v>
          </cell>
          <cell r="G1087" t="str">
            <v>不明</v>
          </cell>
          <cell r="H1087" t="str">
            <v>red</v>
          </cell>
          <cell r="I1087">
            <v>6</v>
          </cell>
          <cell r="J1087" t="str">
            <v>DropWizS</v>
          </cell>
          <cell r="K1087" t="str">
            <v>attack</v>
          </cell>
          <cell r="L1087" t="str">
            <v>攻撃タイプ</v>
          </cell>
          <cell r="M1087" t="str">
            <v>animal</v>
          </cell>
        </row>
        <row r="1088">
          <cell r="A1088">
            <v>8009</v>
          </cell>
          <cell r="B1088" t="str">
            <v>ja</v>
          </cell>
          <cell r="C1088" t="str">
            <v>七星娘娘</v>
          </cell>
          <cell r="D1088" t="str">
            <v>イベント:ミクコラボ01</v>
          </cell>
          <cell r="E1088" t="str">
            <v>執行者</v>
          </cell>
          <cell r="F1088" t="str">
            <v>格好いい</v>
          </cell>
          <cell r="G1088" t="str">
            <v>不明</v>
          </cell>
          <cell r="H1088" t="str">
            <v>blue</v>
          </cell>
          <cell r="I1088">
            <v>5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god</v>
          </cell>
        </row>
        <row r="1089">
          <cell r="A1089">
            <v>8010</v>
          </cell>
          <cell r="B1089" t="str">
            <v>ja</v>
          </cell>
          <cell r="C1089" t="str">
            <v>七星娘娘</v>
          </cell>
          <cell r="D1089" t="str">
            <v>イベント:ミクコラボ01</v>
          </cell>
          <cell r="E1089" t="str">
            <v>執行者</v>
          </cell>
          <cell r="F1089" t="str">
            <v>格好いい</v>
          </cell>
          <cell r="G1089" t="str">
            <v>不明</v>
          </cell>
          <cell r="H1089" t="str">
            <v>yellow</v>
          </cell>
          <cell r="I1089">
            <v>6</v>
          </cell>
          <cell r="J1089" t="str">
            <v>PremiumSS</v>
          </cell>
          <cell r="K1089" t="str">
            <v>attack</v>
          </cell>
          <cell r="L1089" t="str">
            <v>攻撃タイプ</v>
          </cell>
          <cell r="M1089" t="str">
            <v>god</v>
          </cell>
        </row>
        <row r="1090">
          <cell r="A1090">
            <v>8011</v>
          </cell>
          <cell r="B1090" t="str">
            <v>ja</v>
          </cell>
          <cell r="C1090" t="str">
            <v>月下老人</v>
          </cell>
          <cell r="D1090" t="str">
            <v>イベント:ミクコラボ01</v>
          </cell>
          <cell r="E1090" t="str">
            <v>執行者</v>
          </cell>
          <cell r="F1090" t="str">
            <v>格好いい</v>
          </cell>
          <cell r="G1090" t="str">
            <v>女性</v>
          </cell>
          <cell r="H1090" t="str">
            <v>green</v>
          </cell>
          <cell r="I1090">
            <v>5</v>
          </cell>
          <cell r="J1090" t="str">
            <v>DropWizS</v>
          </cell>
          <cell r="K1090" t="str">
            <v>heal</v>
          </cell>
          <cell r="L1090" t="str">
            <v>回復タイプ</v>
          </cell>
          <cell r="M1090" t="str">
            <v>god</v>
          </cell>
        </row>
        <row r="1091">
          <cell r="A1091">
            <v>8012</v>
          </cell>
          <cell r="B1091" t="str">
            <v>ja</v>
          </cell>
          <cell r="C1091" t="str">
            <v>良緣祈福 月下老人</v>
          </cell>
          <cell r="D1091" t="str">
            <v>イベント:ミクコラボ01</v>
          </cell>
          <cell r="E1091" t="str">
            <v>執行者</v>
          </cell>
          <cell r="F1091" t="str">
            <v>格好いい</v>
          </cell>
          <cell r="G1091" t="str">
            <v>女性</v>
          </cell>
          <cell r="H1091" t="str">
            <v>yellow</v>
          </cell>
          <cell r="I1091">
            <v>6</v>
          </cell>
          <cell r="J1091" t="str">
            <v>DropWizS</v>
          </cell>
          <cell r="K1091" t="str">
            <v>heal</v>
          </cell>
          <cell r="L1091" t="str">
            <v>回復タイプ</v>
          </cell>
          <cell r="M1091" t="str">
            <v>god</v>
          </cell>
        </row>
        <row r="1092">
          <cell r="A1092">
            <v>8013</v>
          </cell>
          <cell r="B1092" t="str">
            <v>ja</v>
          </cell>
          <cell r="C1092" t="str">
            <v>初音ミクV3</v>
          </cell>
          <cell r="D1092" t="str">
            <v>初音ミクV3</v>
          </cell>
          <cell r="E1092" t="str">
            <v>執行者</v>
          </cell>
          <cell r="F1092" t="str">
            <v>格好いい</v>
          </cell>
          <cell r="G1092" t="str">
            <v>女性</v>
          </cell>
          <cell r="H1092" t="str">
            <v>yellow</v>
          </cell>
          <cell r="I1092">
            <v>4</v>
          </cell>
          <cell r="J1092" t="str">
            <v>DropWizS</v>
          </cell>
          <cell r="K1092" t="str">
            <v>balance</v>
          </cell>
          <cell r="L1092" t="str">
            <v>バランスタイプ</v>
          </cell>
          <cell r="M1092" t="str">
            <v>unknown</v>
          </cell>
        </row>
        <row r="1093">
          <cell r="A1093">
            <v>8014</v>
          </cell>
          <cell r="B1093" t="str">
            <v>ja</v>
          </cell>
          <cell r="C1093" t="str">
            <v>初音ミクV3</v>
          </cell>
          <cell r="D1093" t="str">
            <v>初音ミクV3</v>
          </cell>
          <cell r="E1093" t="str">
            <v>執行者</v>
          </cell>
          <cell r="F1093" t="str">
            <v>格好いい</v>
          </cell>
          <cell r="G1093" t="str">
            <v>女性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balance</v>
          </cell>
          <cell r="L1093" t="str">
            <v>バランスタイプ</v>
          </cell>
          <cell r="M1093" t="str">
            <v>unknown</v>
          </cell>
        </row>
        <row r="1094">
          <cell r="A1094">
            <v>8015</v>
          </cell>
          <cell r="B1094" t="str">
            <v>ja</v>
          </cell>
          <cell r="C1094" t="str">
            <v>初音ミク・アペンド</v>
          </cell>
          <cell r="D1094" t="str">
            <v>初音ミク・アペンド</v>
          </cell>
          <cell r="E1094" t="str">
            <v>執行者</v>
          </cell>
          <cell r="F1094" t="str">
            <v>格好いい</v>
          </cell>
          <cell r="G1094" t="str">
            <v>女性</v>
          </cell>
          <cell r="H1094" t="str">
            <v>green</v>
          </cell>
          <cell r="I1094">
            <v>4</v>
          </cell>
          <cell r="J1094" t="str">
            <v>PremiumSSS</v>
          </cell>
          <cell r="K1094" t="str">
            <v>technical</v>
          </cell>
          <cell r="L1094" t="str">
            <v>テクニカルタイプ</v>
          </cell>
          <cell r="M1094" t="str">
            <v>unknown</v>
          </cell>
        </row>
        <row r="1095">
          <cell r="A1095">
            <v>8016</v>
          </cell>
          <cell r="B1095" t="str">
            <v>ja</v>
          </cell>
          <cell r="C1095" t="str">
            <v>初音ミク・アペンド</v>
          </cell>
          <cell r="D1095" t="str">
            <v>初音ミク・アペンド</v>
          </cell>
          <cell r="E1095" t="str">
            <v>執行者</v>
          </cell>
          <cell r="F1095" t="str">
            <v>格好いい</v>
          </cell>
          <cell r="G1095" t="str">
            <v>女性</v>
          </cell>
          <cell r="H1095" t="str">
            <v>green</v>
          </cell>
          <cell r="I1095">
            <v>5</v>
          </cell>
          <cell r="J1095" t="str">
            <v>PremiumSSS</v>
          </cell>
          <cell r="K1095" t="str">
            <v>technical</v>
          </cell>
          <cell r="L1095" t="str">
            <v>テクニカルタイプ</v>
          </cell>
          <cell r="M1095" t="str">
            <v>unknown</v>
          </cell>
        </row>
        <row r="1096">
          <cell r="A1096">
            <v>8017</v>
          </cell>
          <cell r="B1096" t="str">
            <v>ja</v>
          </cell>
          <cell r="C1096" t="str">
            <v>初音ミク</v>
          </cell>
          <cell r="D1096" t="str">
            <v>初音ミク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green</v>
          </cell>
          <cell r="I1096">
            <v>4</v>
          </cell>
          <cell r="J1096" t="str">
            <v>PremiumSSS</v>
          </cell>
          <cell r="K1096" t="str">
            <v>balance</v>
          </cell>
          <cell r="L1096" t="str">
            <v>バランスタイプ</v>
          </cell>
          <cell r="M1096" t="str">
            <v>unknown</v>
          </cell>
        </row>
        <row r="1097">
          <cell r="A1097">
            <v>8018</v>
          </cell>
          <cell r="B1097" t="str">
            <v>ja</v>
          </cell>
          <cell r="C1097" t="str">
            <v>初音ミク</v>
          </cell>
          <cell r="D1097" t="str">
            <v>初音ミク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green</v>
          </cell>
          <cell r="I1097">
            <v>5</v>
          </cell>
          <cell r="J1097" t="str">
            <v>PremiumSSS</v>
          </cell>
          <cell r="K1097" t="str">
            <v>balance</v>
          </cell>
          <cell r="L1097" t="str">
            <v>バランスタイプ</v>
          </cell>
          <cell r="M1097" t="str">
            <v>unknown</v>
          </cell>
        </row>
        <row r="1098">
          <cell r="A1098">
            <v>8019</v>
          </cell>
          <cell r="B1098" t="str">
            <v>ja</v>
          </cell>
          <cell r="C1098" t="str">
            <v>鏡音リン</v>
          </cell>
          <cell r="D1098" t="str">
            <v>鏡音リン</v>
          </cell>
          <cell r="E1098" t="str">
            <v>執行者</v>
          </cell>
          <cell r="F1098" t="str">
            <v>格好いい</v>
          </cell>
          <cell r="G1098" t="str">
            <v>男性</v>
          </cell>
          <cell r="H1098" t="str">
            <v>yellow</v>
          </cell>
          <cell r="I1098">
            <v>4</v>
          </cell>
          <cell r="J1098" t="str">
            <v>PremiumSS</v>
          </cell>
          <cell r="K1098" t="str">
            <v>balance</v>
          </cell>
          <cell r="L1098" t="str">
            <v>バランスタイプ</v>
          </cell>
          <cell r="M1098" t="str">
            <v>unknown</v>
          </cell>
        </row>
        <row r="1099">
          <cell r="A1099">
            <v>8020</v>
          </cell>
          <cell r="B1099" t="str">
            <v>ja</v>
          </cell>
          <cell r="C1099" t="str">
            <v>鏡音リン</v>
          </cell>
          <cell r="D1099" t="str">
            <v>鏡音リン</v>
          </cell>
          <cell r="E1099" t="str">
            <v>執行者</v>
          </cell>
          <cell r="F1099" t="str">
            <v>格好いい</v>
          </cell>
          <cell r="G1099" t="str">
            <v>男性</v>
          </cell>
          <cell r="H1099" t="str">
            <v>yellow</v>
          </cell>
          <cell r="I1099">
            <v>5</v>
          </cell>
          <cell r="J1099" t="str">
            <v>PremiumSS</v>
          </cell>
          <cell r="K1099" t="str">
            <v>balance</v>
          </cell>
          <cell r="L1099" t="str">
            <v>バランスタイプ</v>
          </cell>
          <cell r="M1099" t="str">
            <v>unknown</v>
          </cell>
        </row>
        <row r="1100">
          <cell r="A1100">
            <v>8021</v>
          </cell>
          <cell r="B1100" t="str">
            <v>ja</v>
          </cell>
          <cell r="C1100" t="str">
            <v>鏡音レン</v>
          </cell>
          <cell r="D1100" t="str">
            <v>鏡音レン</v>
          </cell>
          <cell r="E1100" t="str">
            <v>執行者</v>
          </cell>
          <cell r="F1100" t="str">
            <v>格好いい</v>
          </cell>
          <cell r="G1100" t="str">
            <v>女性</v>
          </cell>
          <cell r="H1100" t="str">
            <v>yellow</v>
          </cell>
          <cell r="I1100">
            <v>4</v>
          </cell>
          <cell r="J1100" t="str">
            <v>PremiumSS</v>
          </cell>
          <cell r="K1100" t="str">
            <v>heal</v>
          </cell>
          <cell r="L1100" t="str">
            <v>回復タイプ</v>
          </cell>
          <cell r="M1100" t="str">
            <v>unknown</v>
          </cell>
        </row>
        <row r="1101">
          <cell r="A1101">
            <v>8022</v>
          </cell>
          <cell r="B1101" t="str">
            <v>ja</v>
          </cell>
          <cell r="C1101" t="str">
            <v>鏡音レン</v>
          </cell>
          <cell r="D1101" t="str">
            <v>鏡音レン</v>
          </cell>
          <cell r="E1101" t="str">
            <v>執行者</v>
          </cell>
          <cell r="F1101" t="str">
            <v>格好いい</v>
          </cell>
          <cell r="G1101" t="str">
            <v>女性</v>
          </cell>
          <cell r="H1101" t="str">
            <v>yellow</v>
          </cell>
          <cell r="I1101">
            <v>5</v>
          </cell>
          <cell r="J1101" t="str">
            <v>PremiumSS</v>
          </cell>
          <cell r="K1101" t="str">
            <v>heal</v>
          </cell>
          <cell r="L1101" t="str">
            <v>回復タイプ</v>
          </cell>
          <cell r="M1101" t="str">
            <v>unknown</v>
          </cell>
        </row>
        <row r="1102">
          <cell r="A1102">
            <v>8023</v>
          </cell>
          <cell r="B1102" t="str">
            <v>ja</v>
          </cell>
          <cell r="C1102" t="str">
            <v>巡音ルカ</v>
          </cell>
          <cell r="D1102" t="str">
            <v>巡音ルカ</v>
          </cell>
          <cell r="E1102" t="str">
            <v>執行者</v>
          </cell>
          <cell r="F1102" t="str">
            <v>格好いい</v>
          </cell>
          <cell r="G1102" t="str">
            <v>女性</v>
          </cell>
          <cell r="H1102" t="str">
            <v>red</v>
          </cell>
          <cell r="I1102">
            <v>3</v>
          </cell>
          <cell r="J1102" t="str">
            <v>PremiumS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8024</v>
          </cell>
          <cell r="B1103" t="str">
            <v>ja</v>
          </cell>
          <cell r="C1103" t="str">
            <v>巡音ルカ</v>
          </cell>
          <cell r="D1103" t="str">
            <v>巡音ルカ</v>
          </cell>
          <cell r="E1103" t="str">
            <v>執行者</v>
          </cell>
          <cell r="F1103" t="str">
            <v>格好いい</v>
          </cell>
          <cell r="G1103" t="str">
            <v>女性</v>
          </cell>
          <cell r="H1103" t="str">
            <v>red</v>
          </cell>
          <cell r="I1103">
            <v>4</v>
          </cell>
          <cell r="J1103" t="str">
            <v>PremiumS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8025</v>
          </cell>
          <cell r="B1104" t="str">
            <v>ja</v>
          </cell>
          <cell r="C1104" t="str">
            <v>MEIKO</v>
          </cell>
          <cell r="D1104" t="str">
            <v>MEIKO</v>
          </cell>
          <cell r="E1104" t="str">
            <v>執行者</v>
          </cell>
          <cell r="F1104" t="str">
            <v>格好いい</v>
          </cell>
          <cell r="G1104" t="str">
            <v>男性</v>
          </cell>
          <cell r="H1104" t="str">
            <v>red</v>
          </cell>
          <cell r="I1104">
            <v>3</v>
          </cell>
          <cell r="J1104" t="str">
            <v>PremiumS</v>
          </cell>
          <cell r="K1104" t="str">
            <v>hp</v>
          </cell>
          <cell r="L1104" t="str">
            <v>体力タイプ</v>
          </cell>
          <cell r="M1104" t="str">
            <v>unknown</v>
          </cell>
        </row>
        <row r="1105">
          <cell r="A1105">
            <v>8026</v>
          </cell>
          <cell r="B1105" t="str">
            <v>ja</v>
          </cell>
          <cell r="C1105" t="str">
            <v>MEIKO</v>
          </cell>
          <cell r="D1105" t="str">
            <v>MEIKO</v>
          </cell>
          <cell r="E1105" t="str">
            <v>執行者</v>
          </cell>
          <cell r="F1105" t="str">
            <v>格好いい</v>
          </cell>
          <cell r="G1105" t="str">
            <v>男性</v>
          </cell>
          <cell r="H1105" t="str">
            <v>red</v>
          </cell>
          <cell r="I1105">
            <v>4</v>
          </cell>
          <cell r="J1105" t="str">
            <v>PremiumS</v>
          </cell>
          <cell r="K1105" t="str">
            <v>hp</v>
          </cell>
          <cell r="L1105" t="str">
            <v>体力タイプ</v>
          </cell>
          <cell r="M1105" t="str">
            <v>unknown</v>
          </cell>
        </row>
        <row r="1106">
          <cell r="A1106">
            <v>8027</v>
          </cell>
          <cell r="B1106" t="str">
            <v>ja</v>
          </cell>
          <cell r="C1106" t="str">
            <v>KAITO</v>
          </cell>
          <cell r="D1106" t="str">
            <v>KAITO</v>
          </cell>
          <cell r="E1106" t="str">
            <v>執行者</v>
          </cell>
          <cell r="F1106" t="str">
            <v>格好いい</v>
          </cell>
          <cell r="G1106" t="str">
            <v>女性</v>
          </cell>
          <cell r="H1106" t="str">
            <v>blue</v>
          </cell>
          <cell r="I1106">
            <v>3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unknown</v>
          </cell>
        </row>
        <row r="1107">
          <cell r="A1107">
            <v>8028</v>
          </cell>
          <cell r="B1107" t="str">
            <v>ja</v>
          </cell>
          <cell r="C1107" t="str">
            <v>KAITO</v>
          </cell>
          <cell r="D1107" t="str">
            <v>KAITO</v>
          </cell>
          <cell r="E1107" t="str">
            <v>執行者</v>
          </cell>
          <cell r="F1107" t="str">
            <v>格好いい</v>
          </cell>
          <cell r="G1107" t="str">
            <v>女性</v>
          </cell>
          <cell r="H1107" t="str">
            <v>blue</v>
          </cell>
          <cell r="I1107">
            <v>4</v>
          </cell>
          <cell r="J1107" t="str">
            <v>PremiumS</v>
          </cell>
          <cell r="K1107" t="str">
            <v>technical</v>
          </cell>
          <cell r="L1107" t="str">
            <v>テクニカルタイプ</v>
          </cell>
          <cell r="M1107" t="str">
            <v>unknown</v>
          </cell>
        </row>
        <row r="1108">
          <cell r="A1108">
            <v>8029</v>
          </cell>
          <cell r="B1108" t="str">
            <v>ja</v>
          </cell>
          <cell r="C1108" t="str">
            <v>Expoミク</v>
          </cell>
          <cell r="D1108" t="str">
            <v>Expoミク</v>
          </cell>
          <cell r="E1108" t="str">
            <v>執行者</v>
          </cell>
          <cell r="F1108" t="str">
            <v>格好いい</v>
          </cell>
          <cell r="G1108" t="str">
            <v>女性</v>
          </cell>
          <cell r="H1108" t="str">
            <v>blue</v>
          </cell>
          <cell r="I1108">
            <v>4</v>
          </cell>
          <cell r="J1108" t="str">
            <v>Drop2N</v>
          </cell>
          <cell r="K1108" t="str">
            <v>heal</v>
          </cell>
          <cell r="L1108" t="str">
            <v>回復タイプ</v>
          </cell>
          <cell r="M1108" t="str">
            <v>unknown</v>
          </cell>
        </row>
        <row r="1109">
          <cell r="A1109">
            <v>8030</v>
          </cell>
          <cell r="B1109" t="str">
            <v>ja</v>
          </cell>
          <cell r="C1109" t="str">
            <v>Expoミク</v>
          </cell>
          <cell r="D1109" t="str">
            <v>Expoミク</v>
          </cell>
          <cell r="E1109" t="str">
            <v>執行者</v>
          </cell>
          <cell r="F1109" t="str">
            <v>格好いい</v>
          </cell>
          <cell r="G1109" t="str">
            <v>女性</v>
          </cell>
          <cell r="H1109" t="str">
            <v>blue</v>
          </cell>
          <cell r="I1109">
            <v>5</v>
          </cell>
          <cell r="J1109" t="str">
            <v>Drop2N</v>
          </cell>
          <cell r="K1109" t="str">
            <v>heal</v>
          </cell>
          <cell r="L1109" t="str">
            <v>回復タイプ</v>
          </cell>
          <cell r="M110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C12" sqref="C12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4" t="s">
        <v>215</v>
      </c>
      <c r="K40" s="84" t="s">
        <v>190</v>
      </c>
      <c r="M40" s="84" t="s">
        <v>240</v>
      </c>
    </row>
    <row r="41" spans="1:13" x14ac:dyDescent="0.15">
      <c r="J41" s="84" t="s">
        <v>216</v>
      </c>
      <c r="K41" s="84" t="s">
        <v>217</v>
      </c>
      <c r="M41" s="66" t="s">
        <v>185</v>
      </c>
    </row>
    <row r="42" spans="1:13" x14ac:dyDescent="0.15">
      <c r="J42" s="84" t="s">
        <v>218</v>
      </c>
      <c r="K42" s="84" t="s">
        <v>219</v>
      </c>
    </row>
    <row r="43" spans="1:13" x14ac:dyDescent="0.15">
      <c r="J43" s="84" t="s">
        <v>220</v>
      </c>
      <c r="K43" s="84" t="s">
        <v>221</v>
      </c>
    </row>
    <row r="44" spans="1:13" x14ac:dyDescent="0.15">
      <c r="J44" s="84" t="s">
        <v>222</v>
      </c>
      <c r="K44" s="84" t="s">
        <v>223</v>
      </c>
    </row>
    <row r="45" spans="1:13" x14ac:dyDescent="0.15">
      <c r="J45" s="84" t="s">
        <v>224</v>
      </c>
      <c r="K45" s="84" t="s">
        <v>225</v>
      </c>
    </row>
    <row r="46" spans="1:13" x14ac:dyDescent="0.15">
      <c r="J46" s="84" t="s">
        <v>226</v>
      </c>
      <c r="K46" s="84" t="s">
        <v>227</v>
      </c>
    </row>
    <row r="47" spans="1:13" x14ac:dyDescent="0.15">
      <c r="J47" s="84" t="s">
        <v>228</v>
      </c>
      <c r="K47" s="84" t="s">
        <v>232</v>
      </c>
    </row>
    <row r="48" spans="1:13" x14ac:dyDescent="0.15">
      <c r="J48" s="84" t="s">
        <v>229</v>
      </c>
      <c r="K48" s="84" t="s">
        <v>233</v>
      </c>
    </row>
    <row r="49" spans="10:11" x14ac:dyDescent="0.15">
      <c r="J49" s="84" t="s">
        <v>230</v>
      </c>
      <c r="K49" s="84" t="s">
        <v>234</v>
      </c>
    </row>
    <row r="50" spans="10:11" x14ac:dyDescent="0.15">
      <c r="J50" s="84" t="s">
        <v>231</v>
      </c>
      <c r="K50" s="84" t="s">
        <v>235</v>
      </c>
    </row>
    <row r="51" spans="10:11" x14ac:dyDescent="0.15">
      <c r="J51" s="84" t="s">
        <v>237</v>
      </c>
      <c r="K51" s="84" t="s">
        <v>236</v>
      </c>
    </row>
    <row r="52" spans="10:11" x14ac:dyDescent="0.15">
      <c r="J52" s="84" t="s">
        <v>238</v>
      </c>
      <c r="K52" s="84" t="s">
        <v>239</v>
      </c>
    </row>
    <row r="53" spans="10:11" x14ac:dyDescent="0.15">
      <c r="J53" s="84"/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G18" sqref="G18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4" t="s">
        <v>260</v>
      </c>
      <c r="B2" s="61" t="s">
        <v>110</v>
      </c>
      <c r="C2" s="50" t="str">
        <f t="shared" ref="C2" si="0">RIGHT(F2,6)</f>
        <v>364100</v>
      </c>
      <c r="D2" s="19" t="s">
        <v>45</v>
      </c>
      <c r="E2" s="17" t="str">
        <f t="shared" ref="E2" si="1">B2&amp;C2&amp;D2</f>
        <v>gacha_select_tables_364100.tmp</v>
      </c>
      <c r="F2" s="95" t="s">
        <v>262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6" t="s">
        <v>260</v>
      </c>
      <c r="B3" s="61" t="s">
        <v>110</v>
      </c>
      <c r="C3" s="50" t="str">
        <f t="shared" ref="C3:C7" si="2">RIGHT(F3,6)</f>
        <v>364010</v>
      </c>
      <c r="D3" s="19" t="s">
        <v>45</v>
      </c>
      <c r="E3" s="17" t="str">
        <f t="shared" ref="E3:E10" si="3">B3&amp;C3&amp;D3</f>
        <v>gacha_select_tables_364010.tmp</v>
      </c>
      <c r="F3" s="95" t="s">
        <v>263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265</v>
      </c>
      <c r="B4" s="77" t="s">
        <v>213</v>
      </c>
      <c r="C4" s="50" t="str">
        <f t="shared" si="2"/>
        <v>364100</v>
      </c>
      <c r="D4" s="19" t="s">
        <v>45</v>
      </c>
      <c r="E4" s="17" t="str">
        <f t="shared" ref="E4:E7" si="4">B4&amp;C4&amp;D4</f>
        <v>gacha_settle_tables_364100.tmp</v>
      </c>
      <c r="F4" s="95" t="s">
        <v>264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9" t="s">
        <v>254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si="4"/>
        <v>gacha_select_tables_363104.tmp</v>
      </c>
      <c r="F5" s="92" t="s">
        <v>257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9" t="s">
        <v>254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2" t="s">
        <v>258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9" t="s">
        <v>254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2" t="s">
        <v>259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9" t="s">
        <v>254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9" t="s">
        <v>254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9" t="s">
        <v>254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topLeftCell="A3" workbookViewId="0">
      <selection activeCell="E37" sqref="E3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364010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VLOOKUP(L3,tables_364010!B:C,2,FALSE)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VLOOKUP(L4,tables_364010!B:C,2,FALSE)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6.9767441860465117E-4</v>
      </c>
      <c r="F5">
        <f>(COUNTIF(tables_364010!C:C,input_364010!A26)+COUNTIF(tables_364010!C:C,input_364010!A28)+COUNTIF(tables_364010!C:C,input_364010!A29))</f>
        <v>43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VLOOKUP(L5,tables_364010!B:C,2,FALSE)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1.1975308641975308E-2</v>
      </c>
      <c r="F6">
        <f>(COUNTIF(tables_364010!C:C,input_364010!A18)+COUNTIF(tables_364010!C:C,input_364010!A20)+COUNTIF(tables_364010!C:C,input_364010!A22))</f>
        <v>81</v>
      </c>
      <c r="H6" s="91">
        <v>0</v>
      </c>
      <c r="I6" s="31">
        <v>0</v>
      </c>
      <c r="L6" s="60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VLOOKUP(L6,tables_364010!B:C,2,FALSE)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VLOOKUP(L7,tables_364010!B:C,2,FALSE)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VLOOKUP(L8,tables_364010!B:C,2,FALSE)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90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VLOOKUP(L9,tables_364010!B:C,2,FALSE)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0.97</v>
      </c>
      <c r="C10" t="s">
        <v>208</v>
      </c>
      <c r="L10" s="90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VLOOKUP(L10,tables_364010!B:C,2,FALSE)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8">
        <v>0.03</v>
      </c>
      <c r="C11" t="s">
        <v>256</v>
      </c>
      <c r="L11" s="90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VLOOKUP(L11,tables_364010!B:C,2,FALSE)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VLOOKUP(L12,tables_364010!B:C,2,FALSE)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VLOOKUP(L13,tables_364010!B:C,2,FALSE)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VLOOKUP(L14,tables_364010!B:C,2,FALSE)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VLOOKUP(L15,tables_364010!B:C,2,FALSE)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VLOOKUP(L16,tables_364010!B:C,2,FALSE)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3">
        <f>B$5-B19-B24</f>
        <v>0.18724662647143267</v>
      </c>
      <c r="C17" s="86">
        <f t="shared" ref="C17:C31" si="2">SUMIF(Q:Q,A17,N:N)</f>
        <v>0</v>
      </c>
      <c r="D17" s="74">
        <f t="shared" ref="D17:D32" si="3">B17-C17</f>
        <v>0.18724662647143267</v>
      </c>
      <c r="E17">
        <f>COUNTIF(tables_364010!C:C,input_364010!A17)-COUNTIF(Q:Q,A17)</f>
        <v>20</v>
      </c>
      <c r="F17" s="43">
        <f>IFERROR(B17/E17,0)</f>
        <v>9.3623313235716328E-3</v>
      </c>
      <c r="G17">
        <f t="shared" ref="G17:G31" si="4">A$36*B17</f>
        <v>2608720</v>
      </c>
      <c r="H17">
        <f t="shared" ref="H17:H31" si="5">IFERROR(ROUND(G17/E17,5),0)</f>
        <v>130436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VLOOKUP(L17,tables_364010!B:C,2,FALSE)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5.2259546368073506E-2</v>
      </c>
      <c r="C18" s="86">
        <f t="shared" si="2"/>
        <v>0</v>
      </c>
      <c r="D18" s="74">
        <f t="shared" si="3"/>
        <v>5.2259546368073506E-2</v>
      </c>
      <c r="E18">
        <f>COUNTIF(tables_364010!C:C,input_364010!A18)-COUNTIF(Q:Q,A18)</f>
        <v>20</v>
      </c>
      <c r="F18" s="43">
        <f>IFERROR(B18/E18,0)</f>
        <v>2.6129773184036752E-3</v>
      </c>
      <c r="G18">
        <f t="shared" si="4"/>
        <v>728080.00000000012</v>
      </c>
      <c r="H18">
        <f t="shared" si="5"/>
        <v>36404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VLOOKUP(L18,tables_364010!B:C,2,FALSE)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0.31135802469135804</v>
      </c>
      <c r="C19" s="86">
        <f t="shared" si="2"/>
        <v>0</v>
      </c>
      <c r="D19" s="74">
        <f t="shared" si="3"/>
        <v>0.31135802469135804</v>
      </c>
      <c r="E19">
        <f>COUNTIF(tables_364010!C:C,input_364010!A19)-COUNTIF(Q:Q,A19)</f>
        <v>52</v>
      </c>
      <c r="F19" s="43">
        <f t="shared" ref="F19:F31" si="8">IFERROR(B19/E19,0)</f>
        <v>5.9876543209876542E-3</v>
      </c>
      <c r="G19">
        <f t="shared" si="4"/>
        <v>4337840</v>
      </c>
      <c r="H19">
        <f t="shared" si="5"/>
        <v>83420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VLOOKUP(L19,tables_364010!B:C,2,FALSE)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0.28022222222222226</v>
      </c>
      <c r="C20" s="86">
        <f t="shared" si="2"/>
        <v>0</v>
      </c>
      <c r="D20" s="74">
        <f t="shared" si="3"/>
        <v>0.28022222222222226</v>
      </c>
      <c r="E20">
        <f>COUNTIF(tables_364010!C:C,input_364010!A20)-COUNTIF(Q:Q,A20)</f>
        <v>52</v>
      </c>
      <c r="F20" s="43">
        <f t="shared" si="8"/>
        <v>5.3888888888888892E-3</v>
      </c>
      <c r="G20">
        <f t="shared" si="4"/>
        <v>3904056.0000000005</v>
      </c>
      <c r="H20">
        <f t="shared" si="5"/>
        <v>75078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VLOOKUP(L20,tables_364010!B:C,2,FALSE)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3.1135802469135804E-2</v>
      </c>
      <c r="C21" s="86">
        <f t="shared" si="2"/>
        <v>0</v>
      </c>
      <c r="D21" s="74">
        <f t="shared" si="3"/>
        <v>3.1135802469135804E-2</v>
      </c>
      <c r="E21">
        <f>COUNTIF(tables_364010!C:C,input_364010!A21)-COUNTIF(Q:Q,A21)</f>
        <v>52</v>
      </c>
      <c r="F21" s="43">
        <f t="shared" si="8"/>
        <v>5.9876543209876542E-4</v>
      </c>
      <c r="G21">
        <f t="shared" si="4"/>
        <v>433784</v>
      </c>
      <c r="H21">
        <f t="shared" si="5"/>
        <v>8342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9.7704277921332183E-2</v>
      </c>
      <c r="C22" s="86">
        <f t="shared" si="2"/>
        <v>0</v>
      </c>
      <c r="D22" s="74">
        <f t="shared" si="3"/>
        <v>9.7704277921332183E-2</v>
      </c>
      <c r="E22">
        <f>COUNTIF(tables_364010!C:C,input_364010!A22)-COUNTIF(Q:Q,A22)</f>
        <v>9</v>
      </c>
      <c r="F22" s="43">
        <f t="shared" si="8"/>
        <v>1.085603088014802E-2</v>
      </c>
      <c r="G22">
        <f t="shared" si="4"/>
        <v>1361216</v>
      </c>
      <c r="H22">
        <f t="shared" si="5"/>
        <v>151246.22222</v>
      </c>
      <c r="I22">
        <f t="shared" si="6"/>
        <v>0.22221999999601394</v>
      </c>
      <c r="J22">
        <f t="shared" si="7"/>
        <v>4.500045000530724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1.0073499856445588E-2</v>
      </c>
      <c r="C23" s="86">
        <f t="shared" si="2"/>
        <v>0</v>
      </c>
      <c r="D23" s="74">
        <f t="shared" si="3"/>
        <v>1.0073499856445588E-2</v>
      </c>
      <c r="E23">
        <f>COUNTIF(tables_364010!C:C,input_364010!A23)-COUNTIF(Q:Q,A23)</f>
        <v>9</v>
      </c>
      <c r="F23" s="43">
        <f t="shared" si="8"/>
        <v>1.1192777618272876E-3</v>
      </c>
      <c r="G23">
        <f t="shared" si="4"/>
        <v>140343.99999999994</v>
      </c>
      <c r="H23">
        <f t="shared" si="5"/>
        <v>15593.77778</v>
      </c>
      <c r="I23">
        <f t="shared" si="6"/>
        <v>0.77778000000034808</v>
      </c>
      <c r="J23">
        <f t="shared" si="7"/>
        <v>1.2857106122548181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E$5*E24*B$5</f>
        <v>1.3953488372093023E-3</v>
      </c>
      <c r="C24" s="86">
        <f t="shared" si="2"/>
        <v>0</v>
      </c>
      <c r="D24" s="74">
        <f t="shared" si="3"/>
        <v>1.3953488372093023E-3</v>
      </c>
      <c r="E24">
        <f>COUNTIF(tables_364010!C:C,input_364010!A24)-COUNTIF(Q:Q,A24)</f>
        <v>4</v>
      </c>
      <c r="F24" s="43">
        <f t="shared" si="8"/>
        <v>3.4883720930232559E-4</v>
      </c>
      <c r="G24">
        <f t="shared" si="4"/>
        <v>19440</v>
      </c>
      <c r="H24">
        <f t="shared" si="5"/>
        <v>4860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E$5*B$6*E25</f>
        <v>1.2558139534883722E-3</v>
      </c>
      <c r="C25" s="86">
        <f t="shared" si="2"/>
        <v>0</v>
      </c>
      <c r="D25" s="74">
        <f t="shared" si="3"/>
        <v>1.2558139534883722E-3</v>
      </c>
      <c r="E25">
        <f>COUNTIF(tables_364010!C:C,input_364010!A25)-COUNTIF(Q:Q,A25)</f>
        <v>4</v>
      </c>
      <c r="F25" s="43">
        <f t="shared" si="8"/>
        <v>3.1395348837209304E-4</v>
      </c>
      <c r="G25">
        <f t="shared" si="4"/>
        <v>17496</v>
      </c>
      <c r="H25">
        <f t="shared" si="5"/>
        <v>4374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E$5*B$7*E26</f>
        <v>1.3953488372093025E-4</v>
      </c>
      <c r="C26" s="86">
        <f t="shared" si="2"/>
        <v>0</v>
      </c>
      <c r="D26" s="74">
        <f t="shared" si="3"/>
        <v>1.3953488372093025E-4</v>
      </c>
      <c r="E26">
        <f>COUNTIF(tables_364010!C:C,input_364010!A26)-COUNTIF(Q:Q,A26)</f>
        <v>4</v>
      </c>
      <c r="F26" s="43">
        <f t="shared" si="8"/>
        <v>3.4883720930232563E-5</v>
      </c>
      <c r="G26">
        <f t="shared" si="4"/>
        <v>1944.0000000000002</v>
      </c>
      <c r="H26">
        <f t="shared" si="5"/>
        <v>486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1.8558139534883718E-2</v>
      </c>
      <c r="C27" s="86">
        <f t="shared" si="2"/>
        <v>0</v>
      </c>
      <c r="D27" s="74">
        <f t="shared" si="3"/>
        <v>1.8558139534883718E-2</v>
      </c>
      <c r="E27">
        <f>COUNTIF(tables_364010!C:C,input_364010!A27)-COUNTIF(Q:Q,A27)</f>
        <v>28</v>
      </c>
      <c r="F27" s="43">
        <f>IFERROR(B27/E27,0)</f>
        <v>6.6279069767441847E-4</v>
      </c>
      <c r="G27">
        <f t="shared" si="4"/>
        <v>258551.99999999997</v>
      </c>
      <c r="H27">
        <f t="shared" si="5"/>
        <v>9234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9.7674418604651162E-4</v>
      </c>
      <c r="C28" s="86">
        <f t="shared" si="2"/>
        <v>0</v>
      </c>
      <c r="D28" s="74">
        <f t="shared" si="3"/>
        <v>9.7674418604651162E-4</v>
      </c>
      <c r="E28">
        <f>COUNTIF(tables_364010!C:C,input_364010!A28)-COUNTIF(Q:Q,A28)</f>
        <v>28</v>
      </c>
      <c r="F28" s="43">
        <f t="shared" si="8"/>
        <v>3.4883720930232556E-5</v>
      </c>
      <c r="G28">
        <f t="shared" si="4"/>
        <v>13608</v>
      </c>
      <c r="H28">
        <f t="shared" si="5"/>
        <v>486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7.674418604651163E-3</v>
      </c>
      <c r="C29" s="86">
        <f t="shared" si="2"/>
        <v>0</v>
      </c>
      <c r="D29" s="74">
        <f t="shared" si="3"/>
        <v>7.674418604651163E-3</v>
      </c>
      <c r="E29">
        <f>COUNTIF(tables_364010!C:C,input_364010!A29)-COUNTIF(Q:Q,A29)</f>
        <v>11</v>
      </c>
      <c r="F29" s="43">
        <f t="shared" si="8"/>
        <v>6.9767441860465117E-4</v>
      </c>
      <c r="G29">
        <f t="shared" si="4"/>
        <v>106920</v>
      </c>
      <c r="H29">
        <f t="shared" si="5"/>
        <v>9720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242</v>
      </c>
      <c r="B30" s="56">
        <f>0</f>
        <v>0</v>
      </c>
      <c r="C30" s="86">
        <f t="shared" si="2"/>
        <v>0</v>
      </c>
      <c r="D30" s="74">
        <f t="shared" si="3"/>
        <v>0</v>
      </c>
      <c r="E30">
        <f>COUNTIF(tables_364010!C:C,input_364010!A30)-COUNTIF(Q:Q,A30)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243</v>
      </c>
      <c r="B31" s="56">
        <v>0</v>
      </c>
      <c r="C31" s="86">
        <f t="shared" si="2"/>
        <v>0</v>
      </c>
      <c r="D31" s="74">
        <f t="shared" si="3"/>
        <v>0</v>
      </c>
      <c r="E31">
        <f>COUNTIF(tables_364010!C:C,input_364010!A31)-COUNTIF(Q:Q,A31)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1.0000000000000002</v>
      </c>
      <c r="C32" s="41">
        <f>SUM(C19:C31)</f>
        <v>0</v>
      </c>
      <c r="D32" s="42">
        <f t="shared" si="3"/>
        <v>1.0000000000000002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13932000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SUMIF(tables_364010!C:C,input_364010!A40,tables_364010!O:O)</f>
        <v>4337840</v>
      </c>
      <c r="C40" s="54">
        <f t="shared" ref="C40:C46" ca="1" si="9">B40/B$47</f>
        <v>0.48479186038194694</v>
      </c>
      <c r="E40">
        <v>3</v>
      </c>
      <c r="F40">
        <f ca="1">SUMIF(tables_364010!J:J,input_364010!E40,tables_364010!O:O)</f>
        <v>6966000</v>
      </c>
      <c r="G40">
        <f ca="1">F40/A36</f>
        <v>0.5</v>
      </c>
    </row>
    <row r="41" spans="1:7" x14ac:dyDescent="0.15">
      <c r="A41" s="33" t="s">
        <v>104</v>
      </c>
      <c r="B41">
        <f ca="1">SUMIF(tables_364010!C:C,input_364010!A41,tables_364010!O:O)</f>
        <v>3904056</v>
      </c>
      <c r="C41" s="54">
        <f t="shared" ca="1" si="9"/>
        <v>0.43631267434375226</v>
      </c>
      <c r="E41">
        <v>4</v>
      </c>
      <c r="F41">
        <f ca="1">SUMIF(tables_364010!J:J,input_364010!E41,tables_364010!O:O)</f>
        <v>6269399.9999799989</v>
      </c>
      <c r="G41">
        <f ca="1">F41/A36</f>
        <v>0.44999999999856438</v>
      </c>
    </row>
    <row r="42" spans="1:7" x14ac:dyDescent="0.15">
      <c r="A42" s="33" t="s">
        <v>106</v>
      </c>
      <c r="B42">
        <f ca="1">SUMIF(tables_364010!C:C,input_364010!A42,tables_364010!O:O)</f>
        <v>258552</v>
      </c>
      <c r="C42" s="54">
        <f t="shared" ca="1" si="9"/>
        <v>2.8895465274300838E-2</v>
      </c>
      <c r="E42">
        <v>5</v>
      </c>
      <c r="F42">
        <f ca="1">SUMIF(tables_364010!J:J,input_364010!E42,tables_364010!O:O)</f>
        <v>696600.00002000004</v>
      </c>
      <c r="G42">
        <f ca="1">F42/A36</f>
        <v>5.0000000001435549E-2</v>
      </c>
    </row>
    <row r="43" spans="1:7" x14ac:dyDescent="0.15">
      <c r="A43" s="33" t="s">
        <v>109</v>
      </c>
      <c r="B43">
        <f>SUMIF(tables_364010!C:C,input_364010!A43,tables_364010!O:O)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SUMIF(tables_364010!C:C,input_364010!A44,tables_364010!O:O)</f>
        <v>433784</v>
      </c>
      <c r="C44" s="54">
        <f t="shared" ca="1" si="9"/>
        <v>4.8479186038194691E-2</v>
      </c>
      <c r="E44" t="s">
        <v>54</v>
      </c>
      <c r="F44" s="55"/>
    </row>
    <row r="45" spans="1:7" x14ac:dyDescent="0.15">
      <c r="A45" s="33" t="s">
        <v>107</v>
      </c>
      <c r="B45">
        <f ca="1">SUMIF(tables_364010!C:C,input_364010!A45,tables_364010!O:O)</f>
        <v>13608</v>
      </c>
      <c r="C45" s="54">
        <f t="shared" ca="1" si="9"/>
        <v>1.5208139618053073E-3</v>
      </c>
      <c r="E45" t="s">
        <v>204</v>
      </c>
      <c r="F45" s="55">
        <f ca="1">SUMIF(tables_364010!I:I,input_364010!E45,tables_364010!P:P)</f>
        <v>0.23929198966408285</v>
      </c>
    </row>
    <row r="46" spans="1:7" x14ac:dyDescent="0.15">
      <c r="A46" s="33" t="s">
        <v>108</v>
      </c>
      <c r="B46">
        <f>SUMIF(tables_364010!C:C,input_364010!A46,tables_364010!O:O)</f>
        <v>0</v>
      </c>
      <c r="C46" s="54">
        <f t="shared" ca="1" si="9"/>
        <v>0</v>
      </c>
      <c r="E46" t="s">
        <v>205</v>
      </c>
      <c r="F46" s="55">
        <f ca="1">SUMIF(tables_364010!I:I,input_364010!E46,tables_364010!P:P)</f>
        <v>0.20567327016939424</v>
      </c>
    </row>
    <row r="47" spans="1:7" x14ac:dyDescent="0.15">
      <c r="A47" s="39" t="s">
        <v>59</v>
      </c>
      <c r="B47">
        <f ca="1">SUM(B40:B46)</f>
        <v>8947840</v>
      </c>
      <c r="C47" s="55">
        <f ca="1">SUM(C40:C46)</f>
        <v>1</v>
      </c>
      <c r="E47" t="s">
        <v>206</v>
      </c>
      <c r="F47" s="55">
        <f ca="1">SUMIF(tables_364010!I:I,input_364010!E47,tables_364010!P:P)</f>
        <v>0.52761125466551773</v>
      </c>
    </row>
    <row r="48" spans="1:7" x14ac:dyDescent="0.15">
      <c r="E48" t="s">
        <v>207</v>
      </c>
      <c r="F48" s="55">
        <f ca="1">SUMIF(tables_364010!I:I,input_364010!E48,tables_364010!P:P)</f>
        <v>2.7209302325581379E-2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294"/>
  <sheetViews>
    <sheetView showGridLines="0" zoomScale="75" zoomScaleNormal="75" zoomScalePageLayoutView="75" workbookViewId="0">
      <pane ySplit="1" topLeftCell="A202" activePane="bottomLeft" state="frozen"/>
      <selection activeCell="H276" sqref="H276"/>
      <selection pane="bottomLeft" activeCell="J158" sqref="J15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input_364010!A$2</f>
        <v>364010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IFERROR(VLOOKUP(B2,input_364010!L:R,7,FALSE),VLOOKUP(tables_364010!C2,input_364010!A:H,8,FALSE))</f>
        <v>130436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input_364010!A$2</f>
        <v>364010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IFERROR(VLOOKUP(B3,input_364010!L:R,7,FALSE),VLOOKUP(tables_364010!C3,input_364010!A:H,8,FALSE))</f>
        <v>36404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input_364010!A$2</f>
        <v>364010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IFERROR(VLOOKUP(B4,input_364010!L:R,7,FALSE),VLOOKUP(tables_364010!C4,input_364010!A:H,8,FALSE))</f>
        <v>130436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input_364010!A$2</f>
        <v>364010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IFERROR(VLOOKUP(B5,input_364010!L:R,7,FALSE),VLOOKUP(tables_364010!C5,input_364010!A:H,8,FALSE))</f>
        <v>36404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input_364010!A$2</f>
        <v>364010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IFERROR(VLOOKUP(B6,input_364010!L:R,7,FALSE),VLOOKUP(tables_364010!C6,input_364010!A:H,8,FALSE))</f>
        <v>130436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input_364010!A$2</f>
        <v>364010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IFERROR(VLOOKUP(B7,input_364010!L:R,7,FALSE),VLOOKUP(tables_364010!C7,input_364010!A:H,8,FALSE))</f>
        <v>36404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input_364010!A$2</f>
        <v>364010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IFERROR(VLOOKUP(B8,input_364010!L:R,7,FALSE),VLOOKUP(tables_364010!C8,input_364010!A:H,8,FALSE))</f>
        <v>130436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input_364010!A$2</f>
        <v>364010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IFERROR(VLOOKUP(B9,input_364010!L:R,7,FALSE),VLOOKUP(tables_364010!C9,input_364010!A:H,8,FALSE))</f>
        <v>36404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input_364010!A$2</f>
        <v>364010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IFERROR(VLOOKUP(B10,input_364010!L:R,7,FALSE),VLOOKUP(tables_364010!C10,input_364010!A:H,8,FALSE))</f>
        <v>130436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input_364010!A$2</f>
        <v>364010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IFERROR(VLOOKUP(B11,input_364010!L:R,7,FALSE),VLOOKUP(tables_364010!C11,input_364010!A:H,8,FALSE))</f>
        <v>36404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input_364010!A$2</f>
        <v>364010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IFERROR(VLOOKUP(B12,input_364010!L:R,7,FALSE),VLOOKUP(tables_364010!C12,input_364010!A:H,8,FALSE))</f>
        <v>130436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input_364010!A$2</f>
        <v>364010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IFERROR(VLOOKUP(B13,input_364010!L:R,7,FALSE),VLOOKUP(tables_364010!C13,input_364010!A:H,8,FALSE))</f>
        <v>36404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input_364010!A$2</f>
        <v>364010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IFERROR(VLOOKUP(B14,input_364010!L:R,7,FALSE),VLOOKUP(tables_364010!C14,input_364010!A:H,8,FALSE))</f>
        <v>130436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input_364010!A$2</f>
        <v>364010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IFERROR(VLOOKUP(B15,input_364010!L:R,7,FALSE),VLOOKUP(tables_364010!C15,input_364010!A:H,8,FALSE))</f>
        <v>36404</v>
      </c>
      <c r="P15" s="46">
        <f t="shared" ref="P15:P78" ca="1" si="2">O15/SUM(O:O)</f>
        <v>2.6129773184036748E-3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input_364010!A$2</f>
        <v>364010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IFERROR(VLOOKUP(B16,input_364010!L:R,7,FALSE),VLOOKUP(tables_364010!C16,input_364010!A:H,8,FALSE))</f>
        <v>130436</v>
      </c>
      <c r="P16" s="46">
        <f t="shared" ca="1" si="2"/>
        <v>9.3623313235716328E-3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input_364010!A$2</f>
        <v>364010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IFERROR(VLOOKUP(B17,input_364010!L:R,7,FALSE),VLOOKUP(tables_364010!C17,input_364010!A:H,8,FALSE))</f>
        <v>36404</v>
      </c>
      <c r="P17" s="46">
        <f t="shared" ca="1" si="2"/>
        <v>2.6129773184036748E-3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input_364010!A$2</f>
        <v>364010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IFERROR(VLOOKUP(B18,input_364010!L:R,7,FALSE),VLOOKUP(tables_364010!C18,input_364010!A:H,8,FALSE))</f>
        <v>130436</v>
      </c>
      <c r="P18" s="46">
        <f t="shared" ca="1" si="2"/>
        <v>9.3623313235716328E-3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input_364010!A$2</f>
        <v>364010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IFERROR(VLOOKUP(B19,input_364010!L:R,7,FALSE),VLOOKUP(tables_364010!C19,input_364010!A:H,8,FALSE))</f>
        <v>36404</v>
      </c>
      <c r="P19" s="46">
        <f t="shared" ca="1" si="2"/>
        <v>2.6129773184036748E-3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input_364010!A$2</f>
        <v>364010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IFERROR(VLOOKUP(B20,input_364010!L:R,7,FALSE),VLOOKUP(tables_364010!C20,input_364010!A:H,8,FALSE))</f>
        <v>130436</v>
      </c>
      <c r="P20" s="46">
        <f t="shared" ca="1" si="2"/>
        <v>9.3623313235716328E-3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input_364010!A$2</f>
        <v>364010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IFERROR(VLOOKUP(B21,input_364010!L:R,7,FALSE),VLOOKUP(tables_364010!C21,input_364010!A:H,8,FALSE))</f>
        <v>36404</v>
      </c>
      <c r="P21" s="46">
        <f t="shared" ca="1" si="2"/>
        <v>2.6129773184036748E-3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input_364010!A$2</f>
        <v>364010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IFERROR(VLOOKUP(B22,input_364010!L:R,7,FALSE),VLOOKUP(tables_364010!C22,input_364010!A:H,8,FALSE))</f>
        <v>130436</v>
      </c>
      <c r="P22" s="46">
        <f t="shared" ca="1" si="2"/>
        <v>9.3623313235716328E-3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input_364010!A$2</f>
        <v>364010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IFERROR(VLOOKUP(B23,input_364010!L:R,7,FALSE),VLOOKUP(tables_364010!C23,input_364010!A:H,8,FALSE))</f>
        <v>36404</v>
      </c>
      <c r="P23" s="46">
        <f t="shared" ca="1" si="2"/>
        <v>2.6129773184036748E-3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input_364010!A$2</f>
        <v>364010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IFERROR(VLOOKUP(B24,input_364010!L:R,7,FALSE),VLOOKUP(tables_364010!C24,input_364010!A:H,8,FALSE))</f>
        <v>130436</v>
      </c>
      <c r="P24" s="46">
        <f t="shared" ca="1" si="2"/>
        <v>9.3623313235716328E-3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input_364010!A$2</f>
        <v>364010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IFERROR(VLOOKUP(B25,input_364010!L:R,7,FALSE),VLOOKUP(tables_364010!C25,input_364010!A:H,8,FALSE))</f>
        <v>36404</v>
      </c>
      <c r="P25" s="46">
        <f t="shared" ca="1" si="2"/>
        <v>2.6129773184036748E-3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input_364010!A$2</f>
        <v>364010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IFERROR(VLOOKUP(B26,input_364010!L:R,7,FALSE),VLOOKUP(tables_364010!C26,input_364010!A:H,8,FALSE))</f>
        <v>130436</v>
      </c>
      <c r="P26" s="46">
        <f t="shared" ca="1" si="2"/>
        <v>9.3623313235716328E-3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input_364010!A$2</f>
        <v>364010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IFERROR(VLOOKUP(B27,input_364010!L:R,7,FALSE),VLOOKUP(tables_364010!C27,input_364010!A:H,8,FALSE))</f>
        <v>36404</v>
      </c>
      <c r="P27" s="46">
        <f t="shared" ca="1" si="2"/>
        <v>2.6129773184036748E-3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input_364010!A$2</f>
        <v>364010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IFERROR(VLOOKUP(B28,input_364010!L:R,7,FALSE),VLOOKUP(tables_364010!C28,input_364010!A:H,8,FALSE))</f>
        <v>130436</v>
      </c>
      <c r="P28" s="46">
        <f t="shared" ca="1" si="2"/>
        <v>9.3623313235716328E-3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input_364010!A$2</f>
        <v>364010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IFERROR(VLOOKUP(B29,input_364010!L:R,7,FALSE),VLOOKUP(tables_364010!C29,input_364010!A:H,8,FALSE))</f>
        <v>36404</v>
      </c>
      <c r="P29" s="46">
        <f t="shared" ca="1" si="2"/>
        <v>2.6129773184036748E-3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input_364010!A$2</f>
        <v>364010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IFERROR(VLOOKUP(B30,input_364010!L:R,7,FALSE),VLOOKUP(tables_364010!C30,input_364010!A:H,8,FALSE))</f>
        <v>130436</v>
      </c>
      <c r="P30" s="46">
        <f t="shared" ca="1" si="2"/>
        <v>9.3623313235716328E-3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input_364010!A$2</f>
        <v>364010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IFERROR(VLOOKUP(B31,input_364010!L:R,7,FALSE),VLOOKUP(tables_364010!C31,input_364010!A:H,8,FALSE))</f>
        <v>36404</v>
      </c>
      <c r="P31" s="46">
        <f t="shared" ca="1" si="2"/>
        <v>2.6129773184036748E-3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input_364010!A$2</f>
        <v>364010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IFERROR(VLOOKUP(B32,input_364010!L:R,7,FALSE),VLOOKUP(tables_364010!C32,input_364010!A:H,8,FALSE))</f>
        <v>130436</v>
      </c>
      <c r="P32" s="46">
        <f t="shared" ca="1" si="2"/>
        <v>9.3623313235716328E-3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input_364010!A$2</f>
        <v>364010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IFERROR(VLOOKUP(B33,input_364010!L:R,7,FALSE),VLOOKUP(tables_364010!C33,input_364010!A:H,8,FALSE))</f>
        <v>36404</v>
      </c>
      <c r="P33" s="46">
        <f t="shared" ca="1" si="2"/>
        <v>2.6129773184036748E-3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input_364010!A$2</f>
        <v>364010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IFERROR(VLOOKUP(B34,input_364010!L:R,7,FALSE),VLOOKUP(tables_364010!C34,input_364010!A:H,8,FALSE))</f>
        <v>130436</v>
      </c>
      <c r="P34" s="46">
        <f t="shared" ca="1" si="2"/>
        <v>9.3623313235716328E-3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input_364010!A$2</f>
        <v>364010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IFERROR(VLOOKUP(B35,input_364010!L:R,7,FALSE),VLOOKUP(tables_364010!C35,input_364010!A:H,8,FALSE))</f>
        <v>36404</v>
      </c>
      <c r="P35" s="46">
        <f t="shared" ca="1" si="2"/>
        <v>2.6129773184036748E-3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input_364010!A$2</f>
        <v>364010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IFERROR(VLOOKUP(B36,input_364010!L:R,7,FALSE),VLOOKUP(tables_364010!C36,input_364010!A:H,8,FALSE))</f>
        <v>130436</v>
      </c>
      <c r="P36" s="46">
        <f t="shared" ca="1" si="2"/>
        <v>9.3623313235716328E-3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input_364010!A$2</f>
        <v>364010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IFERROR(VLOOKUP(B37,input_364010!L:R,7,FALSE),VLOOKUP(tables_364010!C37,input_364010!A:H,8,FALSE))</f>
        <v>36404</v>
      </c>
      <c r="P37" s="46">
        <f t="shared" ca="1" si="2"/>
        <v>2.6129773184036748E-3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input_364010!A$2</f>
        <v>364010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IFERROR(VLOOKUP(B38,input_364010!L:R,7,FALSE),VLOOKUP(tables_364010!C38,input_364010!A:H,8,FALSE))</f>
        <v>130436</v>
      </c>
      <c r="P38" s="46">
        <f t="shared" ca="1" si="2"/>
        <v>9.3623313235716328E-3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input_364010!A$2</f>
        <v>364010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IFERROR(VLOOKUP(B39,input_364010!L:R,7,FALSE),VLOOKUP(tables_364010!C39,input_364010!A:H,8,FALSE))</f>
        <v>36404</v>
      </c>
      <c r="P39" s="46">
        <f t="shared" ca="1" si="2"/>
        <v>2.6129773184036748E-3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input_364010!A$2</f>
        <v>364010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IFERROR(VLOOKUP(B40,input_364010!L:R,7,FALSE),VLOOKUP(tables_364010!C40,input_364010!A:H,8,FALSE))</f>
        <v>130436</v>
      </c>
      <c r="P40" s="46">
        <f t="shared" ca="1" si="2"/>
        <v>9.3623313235716328E-3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input_364010!A$2</f>
        <v>364010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IFERROR(VLOOKUP(B41,input_364010!L:R,7,FALSE),VLOOKUP(tables_364010!C41,input_364010!A:H,8,FALSE))</f>
        <v>36404</v>
      </c>
      <c r="P41" s="46">
        <f t="shared" ca="1" si="2"/>
        <v>2.6129773184036748E-3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input_364010!A$2</f>
        <v>364010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IFERROR(VLOOKUP(B42,input_364010!L:R,7,FALSE),VLOOKUP(tables_364010!C42,input_364010!A:H,8,FALSE))</f>
        <v>4860</v>
      </c>
      <c r="P42" s="46">
        <f t="shared" ca="1" si="2"/>
        <v>3.4883720930232559E-4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input_364010!A$2</f>
        <v>364010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IFERROR(VLOOKUP(B43,input_364010!L:R,7,FALSE),VLOOKUP(tables_364010!C43,input_364010!A:H,8,FALSE))</f>
        <v>4374</v>
      </c>
      <c r="P43" s="46">
        <f t="shared" ca="1" si="2"/>
        <v>3.1395348837209304E-4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input_364010!A$2</f>
        <v>364010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IFERROR(VLOOKUP(B44,input_364010!L:R,7,FALSE),VLOOKUP(tables_364010!C44,input_364010!A:H,8,FALSE))</f>
        <v>486</v>
      </c>
      <c r="P44" s="46">
        <f t="shared" ca="1" si="2"/>
        <v>3.4883720930232556E-5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input_364010!A$2</f>
        <v>364010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IFERROR(VLOOKUP(B45,input_364010!L:R,7,FALSE),VLOOKUP(tables_364010!C45,input_364010!A:H,8,FALSE))</f>
        <v>4860</v>
      </c>
      <c r="P45" s="46">
        <f t="shared" ca="1" si="2"/>
        <v>3.4883720930232559E-4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input_364010!A$2</f>
        <v>364010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IFERROR(VLOOKUP(B46,input_364010!L:R,7,FALSE),VLOOKUP(tables_364010!C46,input_364010!A:H,8,FALSE))</f>
        <v>4374</v>
      </c>
      <c r="P46" s="46">
        <f t="shared" ca="1" si="2"/>
        <v>3.1395348837209304E-4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input_364010!A$2</f>
        <v>364010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IFERROR(VLOOKUP(B47,input_364010!L:R,7,FALSE),VLOOKUP(tables_364010!C47,input_364010!A:H,8,FALSE))</f>
        <v>486</v>
      </c>
      <c r="P47" s="46">
        <f t="shared" ca="1" si="2"/>
        <v>3.4883720930232556E-5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input_364010!A$2</f>
        <v>364010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IFERROR(VLOOKUP(B48,input_364010!L:R,7,FALSE),VLOOKUP(tables_364010!C48,input_364010!A:H,8,FALSE))</f>
        <v>4860</v>
      </c>
      <c r="P48" s="46">
        <f t="shared" ca="1" si="2"/>
        <v>3.4883720930232559E-4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input_364010!A$2</f>
        <v>364010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IFERROR(VLOOKUP(B49,input_364010!L:R,7,FALSE),VLOOKUP(tables_364010!C49,input_364010!A:H,8,FALSE))</f>
        <v>4374</v>
      </c>
      <c r="P49" s="46">
        <f t="shared" ca="1" si="2"/>
        <v>3.1395348837209304E-4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input_364010!A$2</f>
        <v>364010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IFERROR(VLOOKUP(B50,input_364010!L:R,7,FALSE),VLOOKUP(tables_364010!C50,input_364010!A:H,8,FALSE))</f>
        <v>486</v>
      </c>
      <c r="P50" s="46">
        <f t="shared" ca="1" si="2"/>
        <v>3.4883720930232556E-5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input_364010!A$2</f>
        <v>364010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IFERROR(VLOOKUP(B51,input_364010!L:R,7,FALSE),VLOOKUP(tables_364010!C51,input_364010!A:H,8,FALSE))</f>
        <v>83420</v>
      </c>
      <c r="P51" s="46">
        <f t="shared" ca="1" si="2"/>
        <v>5.9876543209876542E-3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input_364010!A$2</f>
        <v>364010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IFERROR(VLOOKUP(B52,input_364010!L:R,7,FALSE),VLOOKUP(tables_364010!C52,input_364010!A:H,8,FALSE))</f>
        <v>75078</v>
      </c>
      <c r="P52" s="46">
        <f t="shared" ca="1" si="2"/>
        <v>5.3888888888888892E-3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input_364010!A$2</f>
        <v>364010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IFERROR(VLOOKUP(B53,input_364010!L:R,7,FALSE),VLOOKUP(tables_364010!C53,input_364010!A:H,8,FALSE))</f>
        <v>8342</v>
      </c>
      <c r="P53" s="46">
        <f t="shared" ca="1" si="2"/>
        <v>5.9876543209876542E-4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input_364010!A$2</f>
        <v>364010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IFERROR(VLOOKUP(B54,input_364010!L:R,7,FALSE),VLOOKUP(tables_364010!C54,input_364010!A:H,8,FALSE))</f>
        <v>83420</v>
      </c>
      <c r="P54" s="46">
        <f t="shared" ca="1" si="2"/>
        <v>5.9876543209876542E-3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input_364010!A$2</f>
        <v>364010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IFERROR(VLOOKUP(B55,input_364010!L:R,7,FALSE),VLOOKUP(tables_364010!C55,input_364010!A:H,8,FALSE))</f>
        <v>75078</v>
      </c>
      <c r="P55" s="46">
        <f t="shared" ca="1" si="2"/>
        <v>5.3888888888888892E-3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input_364010!A$2</f>
        <v>364010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IFERROR(VLOOKUP(B56,input_364010!L:R,7,FALSE),VLOOKUP(tables_364010!C56,input_364010!A:H,8,FALSE))</f>
        <v>8342</v>
      </c>
      <c r="P56" s="46">
        <f t="shared" ca="1" si="2"/>
        <v>5.9876543209876542E-4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input_364010!A$2</f>
        <v>364010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IFERROR(VLOOKUP(B57,input_364010!L:R,7,FALSE),VLOOKUP(tables_364010!C57,input_364010!A:H,8,FALSE))</f>
        <v>83420</v>
      </c>
      <c r="P57" s="46">
        <f t="shared" ca="1" si="2"/>
        <v>5.9876543209876542E-3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input_364010!A$2</f>
        <v>364010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IFERROR(VLOOKUP(B58,input_364010!L:R,7,FALSE),VLOOKUP(tables_364010!C58,input_364010!A:H,8,FALSE))</f>
        <v>75078</v>
      </c>
      <c r="P58" s="46">
        <f t="shared" ca="1" si="2"/>
        <v>5.3888888888888892E-3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input_364010!A$2</f>
        <v>364010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IFERROR(VLOOKUP(B59,input_364010!L:R,7,FALSE),VLOOKUP(tables_364010!C59,input_364010!A:H,8,FALSE))</f>
        <v>8342</v>
      </c>
      <c r="P59" s="46">
        <f t="shared" ca="1" si="2"/>
        <v>5.9876543209876542E-4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input_364010!A$2</f>
        <v>364010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IFERROR(VLOOKUP(B60,input_364010!L:R,7,FALSE),VLOOKUP(tables_364010!C60,input_364010!A:H,8,FALSE))</f>
        <v>83420</v>
      </c>
      <c r="P60" s="46">
        <f t="shared" ca="1" si="2"/>
        <v>5.9876543209876542E-3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input_364010!A$2</f>
        <v>364010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IFERROR(VLOOKUP(B61,input_364010!L:R,7,FALSE),VLOOKUP(tables_364010!C61,input_364010!A:H,8,FALSE))</f>
        <v>75078</v>
      </c>
      <c r="P61" s="46">
        <f t="shared" ca="1" si="2"/>
        <v>5.3888888888888892E-3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input_364010!A$2</f>
        <v>364010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IFERROR(VLOOKUP(B62,input_364010!L:R,7,FALSE),VLOOKUP(tables_364010!C62,input_364010!A:H,8,FALSE))</f>
        <v>8342</v>
      </c>
      <c r="P62" s="46">
        <f t="shared" ca="1" si="2"/>
        <v>5.9876543209876542E-4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input_364010!A$2</f>
        <v>364010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IFERROR(VLOOKUP(B63,input_364010!L:R,7,FALSE),VLOOKUP(tables_364010!C63,input_364010!A:H,8,FALSE))</f>
        <v>83420</v>
      </c>
      <c r="P63" s="46">
        <f t="shared" ca="1" si="2"/>
        <v>5.9876543209876542E-3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input_364010!A$2</f>
        <v>364010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IFERROR(VLOOKUP(B64,input_364010!L:R,7,FALSE),VLOOKUP(tables_364010!C64,input_364010!A:H,8,FALSE))</f>
        <v>75078</v>
      </c>
      <c r="P64" s="46">
        <f t="shared" ca="1" si="2"/>
        <v>5.3888888888888892E-3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input_364010!A$2</f>
        <v>364010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IFERROR(VLOOKUP(B65,input_364010!L:R,7,FALSE),VLOOKUP(tables_364010!C65,input_364010!A:H,8,FALSE))</f>
        <v>8342</v>
      </c>
      <c r="P65" s="46">
        <f t="shared" ca="1" si="2"/>
        <v>5.9876543209876542E-4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input_364010!A$2</f>
        <v>364010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IFERROR(VLOOKUP(B66,input_364010!L:R,7,FALSE),VLOOKUP(tables_364010!C66,input_364010!A:H,8,FALSE))</f>
        <v>83420</v>
      </c>
      <c r="P66" s="46">
        <f t="shared" ca="1" si="2"/>
        <v>5.9876543209876542E-3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input_364010!A$2</f>
        <v>364010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IFERROR(VLOOKUP(B67,input_364010!L:R,7,FALSE),VLOOKUP(tables_364010!C67,input_364010!A:H,8,FALSE))</f>
        <v>75078</v>
      </c>
      <c r="P67" s="46">
        <f t="shared" ca="1" si="2"/>
        <v>5.3888888888888892E-3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input_364010!A$2</f>
        <v>364010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IFERROR(VLOOKUP(B68,input_364010!L:R,7,FALSE),VLOOKUP(tables_364010!C68,input_364010!A:H,8,FALSE))</f>
        <v>8342</v>
      </c>
      <c r="P68" s="46">
        <f t="shared" ca="1" si="2"/>
        <v>5.9876543209876542E-4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input_364010!A$2</f>
        <v>364010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IFERROR(VLOOKUP(B69,input_364010!L:R,7,FALSE),VLOOKUP(tables_364010!C69,input_364010!A:H,8,FALSE))</f>
        <v>83420</v>
      </c>
      <c r="P69" s="46">
        <f t="shared" ca="1" si="2"/>
        <v>5.9876543209876542E-3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input_364010!A$2</f>
        <v>364010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IFERROR(VLOOKUP(B70,input_364010!L:R,7,FALSE),VLOOKUP(tables_364010!C70,input_364010!A:H,8,FALSE))</f>
        <v>75078</v>
      </c>
      <c r="P70" s="46">
        <f t="shared" ca="1" si="2"/>
        <v>5.3888888888888892E-3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input_364010!A$2</f>
        <v>364010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IFERROR(VLOOKUP(B71,input_364010!L:R,7,FALSE),VLOOKUP(tables_364010!C71,input_364010!A:H,8,FALSE))</f>
        <v>8342</v>
      </c>
      <c r="P71" s="46">
        <f t="shared" ca="1" si="2"/>
        <v>5.9876543209876542E-4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input_364010!A$2</f>
        <v>364010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IFERROR(VLOOKUP(B72,input_364010!L:R,7,FALSE),VLOOKUP(tables_364010!C72,input_364010!A:H,8,FALSE))</f>
        <v>83420</v>
      </c>
      <c r="P72" s="46">
        <f t="shared" ca="1" si="2"/>
        <v>5.9876543209876542E-3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input_364010!A$2</f>
        <v>364010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IFERROR(VLOOKUP(B73,input_364010!L:R,7,FALSE),VLOOKUP(tables_364010!C73,input_364010!A:H,8,FALSE))</f>
        <v>75078</v>
      </c>
      <c r="P73" s="46">
        <f t="shared" ca="1" si="2"/>
        <v>5.3888888888888892E-3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input_364010!A$2</f>
        <v>364010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IFERROR(VLOOKUP(B74,input_364010!L:R,7,FALSE),VLOOKUP(tables_364010!C74,input_364010!A:H,8,FALSE))</f>
        <v>8342</v>
      </c>
      <c r="P74" s="46">
        <f t="shared" ca="1" si="2"/>
        <v>5.9876543209876542E-4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input_364010!A$2</f>
        <v>364010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IFERROR(VLOOKUP(B75,input_364010!L:R,7,FALSE),VLOOKUP(tables_364010!C75,input_364010!A:H,8,FALSE))</f>
        <v>83420</v>
      </c>
      <c r="P75" s="46">
        <f t="shared" ca="1" si="2"/>
        <v>5.9876543209876542E-3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input_364010!A$2</f>
        <v>364010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IFERROR(VLOOKUP(B76,input_364010!L:R,7,FALSE),VLOOKUP(tables_364010!C76,input_364010!A:H,8,FALSE))</f>
        <v>75078</v>
      </c>
      <c r="P76" s="46">
        <f t="shared" ca="1" si="2"/>
        <v>5.3888888888888892E-3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input_364010!A$2</f>
        <v>364010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IFERROR(VLOOKUP(B77,input_364010!L:R,7,FALSE),VLOOKUP(tables_364010!C77,input_364010!A:H,8,FALSE))</f>
        <v>8342</v>
      </c>
      <c r="P77" s="46">
        <f t="shared" ca="1" si="2"/>
        <v>5.9876543209876542E-4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input_364010!A$2</f>
        <v>364010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IFERROR(VLOOKUP(B78,input_364010!L:R,7,FALSE),VLOOKUP(tables_364010!C78,input_364010!A:H,8,FALSE))</f>
        <v>83420</v>
      </c>
      <c r="P78" s="46">
        <f t="shared" ca="1" si="2"/>
        <v>5.9876543209876542E-3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input_364010!A$2</f>
        <v>364010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IFERROR(VLOOKUP(B79,input_364010!L:R,7,FALSE),VLOOKUP(tables_364010!C79,input_364010!A:H,8,FALSE))</f>
        <v>75078</v>
      </c>
      <c r="P79" s="46">
        <f t="shared" ref="P79:P142" ca="1" si="5">O79/SUM(O:O)</f>
        <v>5.3888888888888892E-3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input_364010!A$2</f>
        <v>364010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IFERROR(VLOOKUP(B80,input_364010!L:R,7,FALSE),VLOOKUP(tables_364010!C80,input_364010!A:H,8,FALSE))</f>
        <v>8342</v>
      </c>
      <c r="P80" s="46">
        <f t="shared" ca="1" si="5"/>
        <v>5.9876543209876542E-4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input_364010!A$2</f>
        <v>364010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IFERROR(VLOOKUP(B81,input_364010!L:R,7,FALSE),VLOOKUP(tables_364010!C81,input_364010!A:H,8,FALSE))</f>
        <v>83420</v>
      </c>
      <c r="P81" s="46">
        <f t="shared" ca="1" si="5"/>
        <v>5.9876543209876542E-3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input_364010!A$2</f>
        <v>364010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IFERROR(VLOOKUP(B82,input_364010!L:R,7,FALSE),VLOOKUP(tables_364010!C82,input_364010!A:H,8,FALSE))</f>
        <v>75078</v>
      </c>
      <c r="P82" s="46">
        <f t="shared" ca="1" si="5"/>
        <v>5.3888888888888892E-3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input_364010!A$2</f>
        <v>364010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IFERROR(VLOOKUP(B83,input_364010!L:R,7,FALSE),VLOOKUP(tables_364010!C83,input_364010!A:H,8,FALSE))</f>
        <v>8342</v>
      </c>
      <c r="P83" s="46">
        <f t="shared" ca="1" si="5"/>
        <v>5.9876543209876542E-4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input_364010!A$2</f>
        <v>364010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IFERROR(VLOOKUP(B84,input_364010!L:R,7,FALSE),VLOOKUP(tables_364010!C84,input_364010!A:H,8,FALSE))</f>
        <v>83420</v>
      </c>
      <c r="P84" s="46">
        <f t="shared" ca="1" si="5"/>
        <v>5.9876543209876542E-3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input_364010!A$2</f>
        <v>364010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IFERROR(VLOOKUP(B85,input_364010!L:R,7,FALSE),VLOOKUP(tables_364010!C85,input_364010!A:H,8,FALSE))</f>
        <v>75078</v>
      </c>
      <c r="P85" s="46">
        <f t="shared" ca="1" si="5"/>
        <v>5.3888888888888892E-3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input_364010!A$2</f>
        <v>364010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IFERROR(VLOOKUP(B86,input_364010!L:R,7,FALSE),VLOOKUP(tables_364010!C86,input_364010!A:H,8,FALSE))</f>
        <v>8342</v>
      </c>
      <c r="P86" s="46">
        <f t="shared" ca="1" si="5"/>
        <v>5.9876543209876542E-4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input_364010!A$2</f>
        <v>364010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IFERROR(VLOOKUP(B87,input_364010!L:R,7,FALSE),VLOOKUP(tables_364010!C87,input_364010!A:H,8,FALSE))</f>
        <v>83420</v>
      </c>
      <c r="P87" s="46">
        <f t="shared" ca="1" si="5"/>
        <v>5.9876543209876542E-3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input_364010!A$2</f>
        <v>364010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IFERROR(VLOOKUP(B88,input_364010!L:R,7,FALSE),VLOOKUP(tables_364010!C88,input_364010!A:H,8,FALSE))</f>
        <v>75078</v>
      </c>
      <c r="P88" s="46">
        <f t="shared" ca="1" si="5"/>
        <v>5.3888888888888892E-3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input_364010!A$2</f>
        <v>364010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IFERROR(VLOOKUP(B89,input_364010!L:R,7,FALSE),VLOOKUP(tables_364010!C89,input_364010!A:H,8,FALSE))</f>
        <v>8342</v>
      </c>
      <c r="P89" s="46">
        <f t="shared" ca="1" si="5"/>
        <v>5.9876543209876542E-4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input_364010!A$2</f>
        <v>364010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IFERROR(VLOOKUP(B90,input_364010!L:R,7,FALSE),VLOOKUP(tables_364010!C90,input_364010!A:H,8,FALSE))</f>
        <v>83420</v>
      </c>
      <c r="P90" s="46">
        <f t="shared" ca="1" si="5"/>
        <v>5.9876543209876542E-3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input_364010!A$2</f>
        <v>364010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IFERROR(VLOOKUP(B91,input_364010!L:R,7,FALSE),VLOOKUP(tables_364010!C91,input_364010!A:H,8,FALSE))</f>
        <v>75078</v>
      </c>
      <c r="P91" s="46">
        <f t="shared" ca="1" si="5"/>
        <v>5.3888888888888892E-3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input_364010!A$2</f>
        <v>364010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IFERROR(VLOOKUP(B92,input_364010!L:R,7,FALSE),VLOOKUP(tables_364010!C92,input_364010!A:H,8,FALSE))</f>
        <v>8342</v>
      </c>
      <c r="P92" s="46">
        <f t="shared" ca="1" si="5"/>
        <v>5.9876543209876542E-4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input_364010!A$2</f>
        <v>364010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IFERROR(VLOOKUP(B93,input_364010!L:R,7,FALSE),VLOOKUP(tables_364010!C93,input_364010!A:H,8,FALSE))</f>
        <v>83420</v>
      </c>
      <c r="P93" s="46">
        <f t="shared" ca="1" si="5"/>
        <v>5.9876543209876542E-3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input_364010!A$2</f>
        <v>364010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IFERROR(VLOOKUP(B94,input_364010!L:R,7,FALSE),VLOOKUP(tables_364010!C94,input_364010!A:H,8,FALSE))</f>
        <v>75078</v>
      </c>
      <c r="P94" s="46">
        <f t="shared" ca="1" si="5"/>
        <v>5.3888888888888892E-3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input_364010!A$2</f>
        <v>364010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IFERROR(VLOOKUP(B95,input_364010!L:R,7,FALSE),VLOOKUP(tables_364010!C95,input_364010!A:H,8,FALSE))</f>
        <v>8342</v>
      </c>
      <c r="P95" s="46">
        <f t="shared" ca="1" si="5"/>
        <v>5.9876543209876542E-4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input_364010!A$2</f>
        <v>364010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IFERROR(VLOOKUP(B96,input_364010!L:R,7,FALSE),VLOOKUP(tables_364010!C96,input_364010!A:H,8,FALSE))</f>
        <v>83420</v>
      </c>
      <c r="P96" s="46">
        <f t="shared" ca="1" si="5"/>
        <v>5.9876543209876542E-3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input_364010!A$2</f>
        <v>364010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IFERROR(VLOOKUP(B97,input_364010!L:R,7,FALSE),VLOOKUP(tables_364010!C97,input_364010!A:H,8,FALSE))</f>
        <v>75078</v>
      </c>
      <c r="P97" s="46">
        <f t="shared" ca="1" si="5"/>
        <v>5.3888888888888892E-3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input_364010!A$2</f>
        <v>364010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IFERROR(VLOOKUP(B98,input_364010!L:R,7,FALSE),VLOOKUP(tables_364010!C98,input_364010!A:H,8,FALSE))</f>
        <v>8342</v>
      </c>
      <c r="P98" s="46">
        <f t="shared" ca="1" si="5"/>
        <v>5.9876543209876542E-4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input_364010!A$2</f>
        <v>364010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IFERROR(VLOOKUP(B99,input_364010!L:R,7,FALSE),VLOOKUP(tables_364010!C99,input_364010!A:H,8,FALSE))</f>
        <v>83420</v>
      </c>
      <c r="P99" s="46">
        <f t="shared" ca="1" si="5"/>
        <v>5.9876543209876542E-3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input_364010!A$2</f>
        <v>364010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IFERROR(VLOOKUP(B100,input_364010!L:R,7,FALSE),VLOOKUP(tables_364010!C100,input_364010!A:H,8,FALSE))</f>
        <v>75078</v>
      </c>
      <c r="P100" s="46">
        <f t="shared" ca="1" si="5"/>
        <v>5.3888888888888892E-3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input_364010!A$2</f>
        <v>364010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IFERROR(VLOOKUP(B101,input_364010!L:R,7,FALSE),VLOOKUP(tables_364010!C101,input_364010!A:H,8,FALSE))</f>
        <v>8342</v>
      </c>
      <c r="P101" s="46">
        <f t="shared" ca="1" si="5"/>
        <v>5.9876543209876542E-4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input_364010!A$2</f>
        <v>364010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IFERROR(VLOOKUP(B102,input_364010!L:R,7,FALSE),VLOOKUP(tables_364010!C102,input_364010!A:H,8,FALSE))</f>
        <v>83420</v>
      </c>
      <c r="P102" s="46">
        <f t="shared" ca="1" si="5"/>
        <v>5.9876543209876542E-3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input_364010!A$2</f>
        <v>364010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IFERROR(VLOOKUP(B103,input_364010!L:R,7,FALSE),VLOOKUP(tables_364010!C103,input_364010!A:H,8,FALSE))</f>
        <v>75078</v>
      </c>
      <c r="P103" s="46">
        <f t="shared" ca="1" si="5"/>
        <v>5.3888888888888892E-3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input_364010!A$2</f>
        <v>364010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IFERROR(VLOOKUP(B104,input_364010!L:R,7,FALSE),VLOOKUP(tables_364010!C104,input_364010!A:H,8,FALSE))</f>
        <v>8342</v>
      </c>
      <c r="P104" s="46">
        <f t="shared" ca="1" si="5"/>
        <v>5.9876543209876542E-4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input_364010!A$2</f>
        <v>364010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IFERROR(VLOOKUP(B105,input_364010!L:R,7,FALSE),VLOOKUP(tables_364010!C105,input_364010!A:H,8,FALSE))</f>
        <v>83420</v>
      </c>
      <c r="P105" s="46">
        <f t="shared" ca="1" si="5"/>
        <v>5.9876543209876542E-3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input_364010!A$2</f>
        <v>364010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IFERROR(VLOOKUP(B106,input_364010!L:R,7,FALSE),VLOOKUP(tables_364010!C106,input_364010!A:H,8,FALSE))</f>
        <v>75078</v>
      </c>
      <c r="P106" s="46">
        <f t="shared" ca="1" si="5"/>
        <v>5.3888888888888892E-3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input_364010!A$2</f>
        <v>364010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IFERROR(VLOOKUP(B107,input_364010!L:R,7,FALSE),VLOOKUP(tables_364010!C107,input_364010!A:H,8,FALSE))</f>
        <v>8342</v>
      </c>
      <c r="P107" s="46">
        <f t="shared" ca="1" si="5"/>
        <v>5.9876543209876542E-4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input_364010!A$2</f>
        <v>364010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IFERROR(VLOOKUP(B108,input_364010!L:R,7,FALSE),VLOOKUP(tables_364010!C108,input_364010!A:H,8,FALSE))</f>
        <v>83420</v>
      </c>
      <c r="P108" s="46">
        <f t="shared" ca="1" si="5"/>
        <v>5.9876543209876542E-3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input_364010!A$2</f>
        <v>364010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IFERROR(VLOOKUP(B109,input_364010!L:R,7,FALSE),VLOOKUP(tables_364010!C109,input_364010!A:H,8,FALSE))</f>
        <v>75078</v>
      </c>
      <c r="P109" s="46">
        <f t="shared" ca="1" si="5"/>
        <v>5.3888888888888892E-3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input_364010!A$2</f>
        <v>364010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IFERROR(VLOOKUP(B110,input_364010!L:R,7,FALSE),VLOOKUP(tables_364010!C110,input_364010!A:H,8,FALSE))</f>
        <v>8342</v>
      </c>
      <c r="P110" s="46">
        <f t="shared" ca="1" si="5"/>
        <v>5.9876543209876542E-4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input_364010!A$2</f>
        <v>364010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IFERROR(VLOOKUP(B111,input_364010!L:R,7,FALSE),VLOOKUP(tables_364010!C111,input_364010!A:H,8,FALSE))</f>
        <v>4860</v>
      </c>
      <c r="P111" s="46">
        <f t="shared" ca="1" si="5"/>
        <v>3.4883720930232559E-4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input_364010!A$2</f>
        <v>364010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IFERROR(VLOOKUP(B112,input_364010!L:R,7,FALSE),VLOOKUP(tables_364010!C112,input_364010!A:H,8,FALSE))</f>
        <v>4374</v>
      </c>
      <c r="P112" s="46">
        <f t="shared" ca="1" si="5"/>
        <v>3.1395348837209304E-4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input_364010!A$2</f>
        <v>364010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IFERROR(VLOOKUP(B113,input_364010!L:R,7,FALSE),VLOOKUP(tables_364010!C113,input_364010!A:H,8,FALSE))</f>
        <v>486</v>
      </c>
      <c r="P113" s="46">
        <f t="shared" ca="1" si="5"/>
        <v>3.4883720930232556E-5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input_364010!A$2</f>
        <v>364010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IFERROR(VLOOKUP(B114,input_364010!L:R,7,FALSE),VLOOKUP(tables_364010!C114,input_364010!A:H,8,FALSE))</f>
        <v>83420</v>
      </c>
      <c r="P114" s="46">
        <f t="shared" ca="1" si="5"/>
        <v>5.9876543209876542E-3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input_364010!A$2</f>
        <v>364010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IFERROR(VLOOKUP(B115,input_364010!L:R,7,FALSE),VLOOKUP(tables_364010!C115,input_364010!A:H,8,FALSE))</f>
        <v>75078</v>
      </c>
      <c r="P115" s="46">
        <f t="shared" ca="1" si="5"/>
        <v>5.3888888888888892E-3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input_364010!A$2</f>
        <v>364010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IFERROR(VLOOKUP(B116,input_364010!L:R,7,FALSE),VLOOKUP(tables_364010!C116,input_364010!A:H,8,FALSE))</f>
        <v>8342</v>
      </c>
      <c r="P116" s="46">
        <f t="shared" ca="1" si="5"/>
        <v>5.9876543209876542E-4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input_364010!A$2</f>
        <v>364010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IFERROR(VLOOKUP(B117,input_364010!L:R,7,FALSE),VLOOKUP(tables_364010!C117,input_364010!A:H,8,FALSE))</f>
        <v>83420</v>
      </c>
      <c r="P117" s="46">
        <f t="shared" ca="1" si="5"/>
        <v>5.9876543209876542E-3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input_364010!A$2</f>
        <v>364010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IFERROR(VLOOKUP(B118,input_364010!L:R,7,FALSE),VLOOKUP(tables_364010!C118,input_364010!A:H,8,FALSE))</f>
        <v>75078</v>
      </c>
      <c r="P118" s="46">
        <f t="shared" ca="1" si="5"/>
        <v>5.3888888888888892E-3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input_364010!A$2</f>
        <v>364010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IFERROR(VLOOKUP(B119,input_364010!L:R,7,FALSE),VLOOKUP(tables_364010!C119,input_364010!A:H,8,FALSE))</f>
        <v>8342</v>
      </c>
      <c r="P119" s="46">
        <f t="shared" ca="1" si="5"/>
        <v>5.9876543209876542E-4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input_364010!A$2</f>
        <v>364010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IFERROR(VLOOKUP(B120,input_364010!L:R,7,FALSE),VLOOKUP(tables_364010!C120,input_364010!A:H,8,FALSE))</f>
        <v>83420</v>
      </c>
      <c r="P120" s="46">
        <f t="shared" ca="1" si="5"/>
        <v>5.9876543209876542E-3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input_364010!A$2</f>
        <v>364010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IFERROR(VLOOKUP(B121,input_364010!L:R,7,FALSE),VLOOKUP(tables_364010!C121,input_364010!A:H,8,FALSE))</f>
        <v>75078</v>
      </c>
      <c r="P121" s="46">
        <f t="shared" ca="1" si="5"/>
        <v>5.3888888888888892E-3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input_364010!A$2</f>
        <v>364010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IFERROR(VLOOKUP(B122,input_364010!L:R,7,FALSE),VLOOKUP(tables_364010!C122,input_364010!A:H,8,FALSE))</f>
        <v>8342</v>
      </c>
      <c r="P122" s="46">
        <f t="shared" ca="1" si="5"/>
        <v>5.9876543209876542E-4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input_364010!A$2</f>
        <v>364010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IFERROR(VLOOKUP(B123,input_364010!L:R,7,FALSE),VLOOKUP(tables_364010!C123,input_364010!A:H,8,FALSE))</f>
        <v>83420</v>
      </c>
      <c r="P123" s="46">
        <f t="shared" ca="1" si="5"/>
        <v>5.9876543209876542E-3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input_364010!A$2</f>
        <v>364010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IFERROR(VLOOKUP(B124,input_364010!L:R,7,FALSE),VLOOKUP(tables_364010!C124,input_364010!A:H,8,FALSE))</f>
        <v>75078</v>
      </c>
      <c r="P124" s="46">
        <f t="shared" ca="1" si="5"/>
        <v>5.3888888888888892E-3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input_364010!A$2</f>
        <v>364010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IFERROR(VLOOKUP(B125,input_364010!L:R,7,FALSE),VLOOKUP(tables_364010!C125,input_364010!A:H,8,FALSE))</f>
        <v>8342</v>
      </c>
      <c r="P125" s="46">
        <f t="shared" ca="1" si="5"/>
        <v>5.9876543209876542E-4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input_364010!A$2</f>
        <v>364010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IFERROR(VLOOKUP(B126,input_364010!L:R,7,FALSE),VLOOKUP(tables_364010!C126,input_364010!A:H,8,FALSE))</f>
        <v>83420</v>
      </c>
      <c r="P126" s="46">
        <f t="shared" ca="1" si="5"/>
        <v>5.9876543209876542E-3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input_364010!A$2</f>
        <v>364010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IFERROR(VLOOKUP(B127,input_364010!L:R,7,FALSE),VLOOKUP(tables_364010!C127,input_364010!A:H,8,FALSE))</f>
        <v>75078</v>
      </c>
      <c r="P127" s="46">
        <f t="shared" ca="1" si="5"/>
        <v>5.3888888888888892E-3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input_364010!A$2</f>
        <v>364010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IFERROR(VLOOKUP(B128,input_364010!L:R,7,FALSE),VLOOKUP(tables_364010!C128,input_364010!A:H,8,FALSE))</f>
        <v>8342</v>
      </c>
      <c r="P128" s="46">
        <f t="shared" ca="1" si="5"/>
        <v>5.9876543209876542E-4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input_364010!A$2</f>
        <v>364010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IFERROR(VLOOKUP(B129,input_364010!L:R,7,FALSE),VLOOKUP(tables_364010!C129,input_364010!A:H,8,FALSE))</f>
        <v>83420</v>
      </c>
      <c r="P129" s="46">
        <f t="shared" ca="1" si="5"/>
        <v>5.9876543209876542E-3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input_364010!A$2</f>
        <v>364010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IFERROR(VLOOKUP(B130,input_364010!L:R,7,FALSE),VLOOKUP(tables_364010!C130,input_364010!A:H,8,FALSE))</f>
        <v>75078</v>
      </c>
      <c r="P130" s="46">
        <f t="shared" ca="1" si="5"/>
        <v>5.3888888888888892E-3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input_364010!A$2</f>
        <v>364010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IFERROR(VLOOKUP(B131,input_364010!L:R,7,FALSE),VLOOKUP(tables_364010!C131,input_364010!A:H,8,FALSE))</f>
        <v>8342</v>
      </c>
      <c r="P131" s="46">
        <f t="shared" ca="1" si="5"/>
        <v>5.9876543209876542E-4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input_364010!A$2</f>
        <v>364010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IFERROR(VLOOKUP(B132,input_364010!L:R,7,FALSE),VLOOKUP(tables_364010!C132,input_364010!A:H,8,FALSE))</f>
        <v>83420</v>
      </c>
      <c r="P132" s="46">
        <f t="shared" ca="1" si="5"/>
        <v>5.9876543209876542E-3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input_364010!A$2</f>
        <v>364010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IFERROR(VLOOKUP(B133,input_364010!L:R,7,FALSE),VLOOKUP(tables_364010!C133,input_364010!A:H,8,FALSE))</f>
        <v>75078</v>
      </c>
      <c r="P133" s="46">
        <f t="shared" ca="1" si="5"/>
        <v>5.3888888888888892E-3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input_364010!A$2</f>
        <v>364010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IFERROR(VLOOKUP(B134,input_364010!L:R,7,FALSE),VLOOKUP(tables_364010!C134,input_364010!A:H,8,FALSE))</f>
        <v>8342</v>
      </c>
      <c r="P134" s="46">
        <f t="shared" ca="1" si="5"/>
        <v>5.9876543209876542E-4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input_364010!A$2</f>
        <v>364010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IFERROR(VLOOKUP(B135,input_364010!L:R,7,FALSE),VLOOKUP(tables_364010!C135,input_364010!A:H,8,FALSE))</f>
        <v>83420</v>
      </c>
      <c r="P135" s="46">
        <f t="shared" ca="1" si="5"/>
        <v>5.9876543209876542E-3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input_364010!A$2</f>
        <v>364010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IFERROR(VLOOKUP(B136,input_364010!L:R,7,FALSE),VLOOKUP(tables_364010!C136,input_364010!A:H,8,FALSE))</f>
        <v>75078</v>
      </c>
      <c r="P136" s="46">
        <f t="shared" ca="1" si="5"/>
        <v>5.3888888888888892E-3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input_364010!A$2</f>
        <v>364010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IFERROR(VLOOKUP(B137,input_364010!L:R,7,FALSE),VLOOKUP(tables_364010!C137,input_364010!A:H,8,FALSE))</f>
        <v>8342</v>
      </c>
      <c r="P137" s="46">
        <f t="shared" ca="1" si="5"/>
        <v>5.9876543209876542E-4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input_364010!A$2</f>
        <v>364010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IFERROR(VLOOKUP(B138,input_364010!L:R,7,FALSE),VLOOKUP(tables_364010!C138,input_364010!A:H,8,FALSE))</f>
        <v>9234</v>
      </c>
      <c r="P138" s="46">
        <f t="shared" ca="1" si="5"/>
        <v>6.6279069767441858E-4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input_364010!A$2</f>
        <v>364010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IFERROR(VLOOKUP(B139,input_364010!L:R,7,FALSE),VLOOKUP(tables_364010!C139,input_364010!A:H,8,FALSE))</f>
        <v>486</v>
      </c>
      <c r="P139" s="46">
        <f t="shared" ca="1" si="5"/>
        <v>3.4883720930232556E-5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input_364010!A$2</f>
        <v>364010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IFERROR(VLOOKUP(B140,input_364010!L:R,7,FALSE),VLOOKUP(tables_364010!C140,input_364010!A:H,8,FALSE))</f>
        <v>9234</v>
      </c>
      <c r="P140" s="46">
        <f t="shared" ca="1" si="5"/>
        <v>6.6279069767441858E-4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input_364010!A$2</f>
        <v>364010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IFERROR(VLOOKUP(B141,input_364010!L:R,7,FALSE),VLOOKUP(tables_364010!C141,input_364010!A:H,8,FALSE))</f>
        <v>486</v>
      </c>
      <c r="P141" s="46">
        <f t="shared" ca="1" si="5"/>
        <v>3.4883720930232556E-5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input_364010!A$2</f>
        <v>364010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IFERROR(VLOOKUP(B142,input_364010!L:R,7,FALSE),VLOOKUP(tables_364010!C142,input_364010!A:H,8,FALSE))</f>
        <v>9234</v>
      </c>
      <c r="P142" s="46">
        <f t="shared" ca="1" si="5"/>
        <v>6.6279069767441858E-4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input_364010!A$2</f>
        <v>364010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IFERROR(VLOOKUP(B143,input_364010!L:R,7,FALSE),VLOOKUP(tables_364010!C143,input_364010!A:H,8,FALSE))</f>
        <v>486</v>
      </c>
      <c r="P143" s="46">
        <f t="shared" ref="P143:P206" ca="1" si="8">O143/SUM(O:O)</f>
        <v>3.4883720930232556E-5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input_364010!A$2</f>
        <v>364010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IFERROR(VLOOKUP(B144,input_364010!L:R,7,FALSE),VLOOKUP(tables_364010!C144,input_364010!A:H,8,FALSE))</f>
        <v>9234</v>
      </c>
      <c r="P144" s="46">
        <f t="shared" ca="1" si="8"/>
        <v>6.6279069767441858E-4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input_364010!A$2</f>
        <v>364010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IFERROR(VLOOKUP(B145,input_364010!L:R,7,FALSE),VLOOKUP(tables_364010!C145,input_364010!A:H,8,FALSE))</f>
        <v>486</v>
      </c>
      <c r="P145" s="46">
        <f t="shared" ca="1" si="8"/>
        <v>3.4883720930232556E-5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input_364010!A$2</f>
        <v>364010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IFERROR(VLOOKUP(B146,input_364010!L:R,7,FALSE),VLOOKUP(tables_364010!C146,input_364010!A:H,8,FALSE))</f>
        <v>83420</v>
      </c>
      <c r="P146" s="46">
        <f t="shared" ca="1" si="8"/>
        <v>5.9876543209876542E-3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input_364010!A$2</f>
        <v>364010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IFERROR(VLOOKUP(B147,input_364010!L:R,7,FALSE),VLOOKUP(tables_364010!C147,input_364010!A:H,8,FALSE))</f>
        <v>75078</v>
      </c>
      <c r="P147" s="46">
        <f t="shared" ca="1" si="8"/>
        <v>5.3888888888888892E-3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input_364010!A$2</f>
        <v>364010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IFERROR(VLOOKUP(B148,input_364010!L:R,7,FALSE),VLOOKUP(tables_364010!C148,input_364010!A:H,8,FALSE))</f>
        <v>8342</v>
      </c>
      <c r="P148" s="46">
        <f t="shared" ca="1" si="8"/>
        <v>5.9876543209876542E-4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input_364010!A$2</f>
        <v>364010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IFERROR(VLOOKUP(B149,input_364010!L:R,7,FALSE),VLOOKUP(tables_364010!C149,input_364010!A:H,8,FALSE))</f>
        <v>9234</v>
      </c>
      <c r="P149" s="46">
        <f t="shared" ca="1" si="8"/>
        <v>6.6279069767441858E-4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input_364010!A$2</f>
        <v>364010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IFERROR(VLOOKUP(B150,input_364010!L:R,7,FALSE),VLOOKUP(tables_364010!C150,input_364010!A:H,8,FALSE))</f>
        <v>486</v>
      </c>
      <c r="P150" s="46">
        <f t="shared" ca="1" si="8"/>
        <v>3.4883720930232556E-5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input_364010!A$2</f>
        <v>364010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IFERROR(VLOOKUP(B151,input_364010!L:R,7,FALSE),VLOOKUP(tables_364010!C151,input_364010!A:H,8,FALSE))</f>
        <v>9234</v>
      </c>
      <c r="P151" s="46">
        <f t="shared" ca="1" si="8"/>
        <v>6.6279069767441858E-4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input_364010!A$2</f>
        <v>364010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IFERROR(VLOOKUP(B152,input_364010!L:R,7,FALSE),VLOOKUP(tables_364010!C152,input_364010!A:H,8,FALSE))</f>
        <v>486</v>
      </c>
      <c r="P152" s="46">
        <f t="shared" ca="1" si="8"/>
        <v>3.4883720930232556E-5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input_364010!A$2</f>
        <v>364010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IFERROR(VLOOKUP(B153,input_364010!L:R,7,FALSE),VLOOKUP(tables_364010!C153,input_364010!A:H,8,FALSE))</f>
        <v>83420</v>
      </c>
      <c r="P153" s="46">
        <f t="shared" ca="1" si="8"/>
        <v>5.9876543209876542E-3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input_364010!A$2</f>
        <v>364010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IFERROR(VLOOKUP(B154,input_364010!L:R,7,FALSE),VLOOKUP(tables_364010!C154,input_364010!A:H,8,FALSE))</f>
        <v>75078</v>
      </c>
      <c r="P154" s="46">
        <f t="shared" ca="1" si="8"/>
        <v>5.3888888888888892E-3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input_364010!A$2</f>
        <v>364010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IFERROR(VLOOKUP(B155,input_364010!L:R,7,FALSE),VLOOKUP(tables_364010!C155,input_364010!A:H,8,FALSE))</f>
        <v>8342</v>
      </c>
      <c r="P155" s="46">
        <f t="shared" ca="1" si="8"/>
        <v>5.9876543209876542E-4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input_364010!A$2</f>
        <v>364010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IFERROR(VLOOKUP(B156,input_364010!L:R,7,FALSE),VLOOKUP(tables_364010!C156,input_364010!A:H,8,FALSE))</f>
        <v>9234</v>
      </c>
      <c r="P156" s="46">
        <f t="shared" ca="1" si="8"/>
        <v>6.6279069767441858E-4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input_364010!A$2</f>
        <v>364010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IFERROR(VLOOKUP(B157,input_364010!L:R,7,FALSE),VLOOKUP(tables_364010!C157,input_364010!A:H,8,FALSE))</f>
        <v>486</v>
      </c>
      <c r="P157" s="46">
        <f t="shared" ca="1" si="8"/>
        <v>3.4883720930232556E-5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input_364010!A$2</f>
        <v>364010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IFERROR(VLOOKUP(B158,input_364010!L:R,7,FALSE),VLOOKUP(tables_364010!C158,input_364010!A:H,8,FALSE))</f>
        <v>83420</v>
      </c>
      <c r="P158" s="46">
        <f t="shared" ca="1" si="8"/>
        <v>5.9876543209876542E-3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input_364010!A$2</f>
        <v>364010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IFERROR(VLOOKUP(B159,input_364010!L:R,7,FALSE),VLOOKUP(tables_364010!C159,input_364010!A:H,8,FALSE))</f>
        <v>75078</v>
      </c>
      <c r="P159" s="46">
        <f t="shared" ca="1" si="8"/>
        <v>5.3888888888888892E-3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input_364010!A$2</f>
        <v>364010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IFERROR(VLOOKUP(B160,input_364010!L:R,7,FALSE),VLOOKUP(tables_364010!C160,input_364010!A:H,8,FALSE))</f>
        <v>8342</v>
      </c>
      <c r="P160" s="46">
        <f t="shared" ca="1" si="8"/>
        <v>5.9876543209876542E-4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input_364010!A$2</f>
        <v>364010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IFERROR(VLOOKUP(B161,input_364010!L:R,7,FALSE),VLOOKUP(tables_364010!C161,input_364010!A:H,8,FALSE))</f>
        <v>83420</v>
      </c>
      <c r="P161" s="46">
        <f t="shared" ca="1" si="8"/>
        <v>5.9876543209876542E-3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input_364010!A$2</f>
        <v>364010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IFERROR(VLOOKUP(B162,input_364010!L:R,7,FALSE),VLOOKUP(tables_364010!C162,input_364010!A:H,8,FALSE))</f>
        <v>75078</v>
      </c>
      <c r="P162" s="46">
        <f t="shared" ca="1" si="8"/>
        <v>5.3888888888888892E-3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input_364010!A$2</f>
        <v>364010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IFERROR(VLOOKUP(B163,input_364010!L:R,7,FALSE),VLOOKUP(tables_364010!C163,input_364010!A:H,8,FALSE))</f>
        <v>8342</v>
      </c>
      <c r="P163" s="46">
        <f t="shared" ca="1" si="8"/>
        <v>5.9876543209876542E-4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input_364010!A$2</f>
        <v>364010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IFERROR(VLOOKUP(B164,input_364010!L:R,7,FALSE),VLOOKUP(tables_364010!C164,input_364010!A:H,8,FALSE))</f>
        <v>9234</v>
      </c>
      <c r="P164" s="46">
        <f t="shared" ca="1" si="8"/>
        <v>6.6279069767441858E-4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input_364010!A$2</f>
        <v>364010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IFERROR(VLOOKUP(B165,input_364010!L:R,7,FALSE),VLOOKUP(tables_364010!C165,input_364010!A:H,8,FALSE))</f>
        <v>486</v>
      </c>
      <c r="P165" s="46">
        <f t="shared" ca="1" si="8"/>
        <v>3.4883720930232556E-5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input_364010!A$2</f>
        <v>364010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IFERROR(VLOOKUP(B166,input_364010!L:R,7,FALSE),VLOOKUP(tables_364010!C166,input_364010!A:H,8,FALSE))</f>
        <v>83420</v>
      </c>
      <c r="P166" s="46">
        <f t="shared" ca="1" si="8"/>
        <v>5.9876543209876542E-3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input_364010!A$2</f>
        <v>364010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IFERROR(VLOOKUP(B167,input_364010!L:R,7,FALSE),VLOOKUP(tables_364010!C167,input_364010!A:H,8,FALSE))</f>
        <v>75078</v>
      </c>
      <c r="P167" s="46">
        <f t="shared" ca="1" si="8"/>
        <v>5.3888888888888892E-3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input_364010!A$2</f>
        <v>364010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IFERROR(VLOOKUP(B168,input_364010!L:R,7,FALSE),VLOOKUP(tables_364010!C168,input_364010!A:H,8,FALSE))</f>
        <v>8342</v>
      </c>
      <c r="P168" s="46">
        <f t="shared" ca="1" si="8"/>
        <v>5.9876543209876542E-4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input_364010!A$2</f>
        <v>364010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IFERROR(VLOOKUP(B169,input_364010!L:R,7,FALSE),VLOOKUP(tables_364010!C169,input_364010!A:H,8,FALSE))</f>
        <v>9234</v>
      </c>
      <c r="P169" s="46">
        <f t="shared" ca="1" si="8"/>
        <v>6.6279069767441858E-4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input_364010!A$2</f>
        <v>364010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IFERROR(VLOOKUP(B170,input_364010!L:R,7,FALSE),VLOOKUP(tables_364010!C170,input_364010!A:H,8,FALSE))</f>
        <v>486</v>
      </c>
      <c r="P170" s="46">
        <f t="shared" ca="1" si="8"/>
        <v>3.4883720930232556E-5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input_364010!A$2</f>
        <v>364010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IFERROR(VLOOKUP(B171,input_364010!L:R,7,FALSE),VLOOKUP(tables_364010!C171,input_364010!A:H,8,FALSE))</f>
        <v>83420</v>
      </c>
      <c r="P171" s="46">
        <f t="shared" ca="1" si="8"/>
        <v>5.9876543209876542E-3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input_364010!A$2</f>
        <v>364010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IFERROR(VLOOKUP(B172,input_364010!L:R,7,FALSE),VLOOKUP(tables_364010!C172,input_364010!A:H,8,FALSE))</f>
        <v>75078</v>
      </c>
      <c r="P172" s="46">
        <f t="shared" ca="1" si="8"/>
        <v>5.3888888888888892E-3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input_364010!A$2</f>
        <v>364010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IFERROR(VLOOKUP(B173,input_364010!L:R,7,FALSE),VLOOKUP(tables_364010!C173,input_364010!A:H,8,FALSE))</f>
        <v>8342</v>
      </c>
      <c r="P173" s="46">
        <f t="shared" ca="1" si="8"/>
        <v>5.9876543209876542E-4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input_364010!A$2</f>
        <v>364010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IFERROR(VLOOKUP(B174,input_364010!L:R,7,FALSE),VLOOKUP(tables_364010!C174,input_364010!A:H,8,FALSE))</f>
        <v>9234</v>
      </c>
      <c r="P174" s="46">
        <f t="shared" ca="1" si="8"/>
        <v>6.6279069767441858E-4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input_364010!A$2</f>
        <v>364010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IFERROR(VLOOKUP(B175,input_364010!L:R,7,FALSE),VLOOKUP(tables_364010!C175,input_364010!A:H,8,FALSE))</f>
        <v>486</v>
      </c>
      <c r="P175" s="46">
        <f t="shared" ca="1" si="8"/>
        <v>3.4883720930232556E-5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input_364010!A$2</f>
        <v>364010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IFERROR(VLOOKUP(B176,input_364010!L:R,7,FALSE),VLOOKUP(tables_364010!C176,input_364010!A:H,8,FALSE))</f>
        <v>9234</v>
      </c>
      <c r="P176" s="46">
        <f t="shared" ca="1" si="8"/>
        <v>6.6279069767441858E-4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input_364010!A$2</f>
        <v>364010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IFERROR(VLOOKUP(B177,input_364010!L:R,7,FALSE),VLOOKUP(tables_364010!C177,input_364010!A:H,8,FALSE))</f>
        <v>486</v>
      </c>
      <c r="P177" s="46">
        <f t="shared" ca="1" si="8"/>
        <v>3.4883720930232556E-5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input_364010!A$2</f>
        <v>364010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IFERROR(VLOOKUP(B178,input_364010!L:R,7,FALSE),VLOOKUP(tables_364010!C178,input_364010!A:H,8,FALSE))</f>
        <v>83420</v>
      </c>
      <c r="P178" s="46">
        <f t="shared" ca="1" si="8"/>
        <v>5.9876543209876542E-3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input_364010!A$2</f>
        <v>364010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IFERROR(VLOOKUP(B179,input_364010!L:R,7,FALSE),VLOOKUP(tables_364010!C179,input_364010!A:H,8,FALSE))</f>
        <v>75078</v>
      </c>
      <c r="P179" s="46">
        <f t="shared" ca="1" si="8"/>
        <v>5.3888888888888892E-3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input_364010!A$2</f>
        <v>364010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IFERROR(VLOOKUP(B180,input_364010!L:R,7,FALSE),VLOOKUP(tables_364010!C180,input_364010!A:H,8,FALSE))</f>
        <v>8342</v>
      </c>
      <c r="P180" s="46">
        <f t="shared" ca="1" si="8"/>
        <v>5.9876543209876542E-4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input_364010!A$2</f>
        <v>364010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IFERROR(VLOOKUP(B181,input_364010!L:R,7,FALSE),VLOOKUP(tables_364010!C181,input_364010!A:H,8,FALSE))</f>
        <v>83420</v>
      </c>
      <c r="P181" s="46">
        <f t="shared" ca="1" si="8"/>
        <v>5.9876543209876542E-3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input_364010!A$2</f>
        <v>364010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IFERROR(VLOOKUP(B182,input_364010!L:R,7,FALSE),VLOOKUP(tables_364010!C182,input_364010!A:H,8,FALSE))</f>
        <v>75078</v>
      </c>
      <c r="P182" s="46">
        <f t="shared" ca="1" si="8"/>
        <v>5.3888888888888892E-3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input_364010!A$2</f>
        <v>364010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IFERROR(VLOOKUP(B183,input_364010!L:R,7,FALSE),VLOOKUP(tables_364010!C183,input_364010!A:H,8,FALSE))</f>
        <v>8342</v>
      </c>
      <c r="P183" s="46">
        <f t="shared" ca="1" si="8"/>
        <v>5.9876543209876542E-4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input_364010!A$2</f>
        <v>364010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IFERROR(VLOOKUP(B184,input_364010!L:R,7,FALSE),VLOOKUP(tables_364010!C184,input_364010!A:H,8,FALSE))</f>
        <v>9234</v>
      </c>
      <c r="P184" s="46">
        <f t="shared" ca="1" si="8"/>
        <v>6.6279069767441858E-4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input_364010!A$2</f>
        <v>364010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IFERROR(VLOOKUP(B185,input_364010!L:R,7,FALSE),VLOOKUP(tables_364010!C185,input_364010!A:H,8,FALSE))</f>
        <v>486</v>
      </c>
      <c r="P185" s="46">
        <f t="shared" ca="1" si="8"/>
        <v>3.4883720930232556E-5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input_364010!A$2</f>
        <v>364010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IFERROR(VLOOKUP(B186,input_364010!L:R,7,FALSE),VLOOKUP(tables_364010!C186,input_364010!A:H,8,FALSE))</f>
        <v>83420</v>
      </c>
      <c r="P186" s="46">
        <f t="shared" ca="1" si="8"/>
        <v>5.9876543209876542E-3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input_364010!A$2</f>
        <v>364010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IFERROR(VLOOKUP(B187,input_364010!L:R,7,FALSE),VLOOKUP(tables_364010!C187,input_364010!A:H,8,FALSE))</f>
        <v>75078</v>
      </c>
      <c r="P187" s="46">
        <f t="shared" ca="1" si="8"/>
        <v>5.3888888888888892E-3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input_364010!A$2</f>
        <v>364010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IFERROR(VLOOKUP(B188,input_364010!L:R,7,FALSE),VLOOKUP(tables_364010!C188,input_364010!A:H,8,FALSE))</f>
        <v>8342</v>
      </c>
      <c r="P188" s="46">
        <f t="shared" ca="1" si="8"/>
        <v>5.9876543209876542E-4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input_364010!A$2</f>
        <v>364010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IFERROR(VLOOKUP(B189,input_364010!L:R,7,FALSE),VLOOKUP(tables_364010!C189,input_364010!A:H,8,FALSE))</f>
        <v>9234</v>
      </c>
      <c r="P189" s="46">
        <f t="shared" ca="1" si="8"/>
        <v>6.6279069767441858E-4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input_364010!A$2</f>
        <v>364010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IFERROR(VLOOKUP(B190,input_364010!L:R,7,FALSE),VLOOKUP(tables_364010!C190,input_364010!A:H,8,FALSE))</f>
        <v>486</v>
      </c>
      <c r="P190" s="46">
        <f t="shared" ca="1" si="8"/>
        <v>3.4883720930232556E-5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input_364010!A$2</f>
        <v>364010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IFERROR(VLOOKUP(B191,input_364010!L:R,7,FALSE),VLOOKUP(tables_364010!C191,input_364010!A:H,8,FALSE))</f>
        <v>9234</v>
      </c>
      <c r="P191" s="46">
        <f t="shared" ca="1" si="8"/>
        <v>6.6279069767441858E-4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input_364010!A$2</f>
        <v>364010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IFERROR(VLOOKUP(B192,input_364010!L:R,7,FALSE),VLOOKUP(tables_364010!C192,input_364010!A:H,8,FALSE))</f>
        <v>486</v>
      </c>
      <c r="P192" s="46">
        <f t="shared" ca="1" si="8"/>
        <v>3.4883720930232556E-5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input_364010!A$2</f>
        <v>364010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IFERROR(VLOOKUP(B193,input_364010!L:R,7,FALSE),VLOOKUP(tables_364010!C193,input_364010!A:H,8,FALSE))</f>
        <v>83420</v>
      </c>
      <c r="P193" s="46">
        <f t="shared" ca="1" si="8"/>
        <v>5.9876543209876542E-3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input_364010!A$2</f>
        <v>364010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IFERROR(VLOOKUP(B194,input_364010!L:R,7,FALSE),VLOOKUP(tables_364010!C194,input_364010!A:H,8,FALSE))</f>
        <v>75078</v>
      </c>
      <c r="P194" s="46">
        <f t="shared" ca="1" si="8"/>
        <v>5.3888888888888892E-3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input_364010!A$2</f>
        <v>364010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IFERROR(VLOOKUP(B195,input_364010!L:R,7,FALSE),VLOOKUP(tables_364010!C195,input_364010!A:H,8,FALSE))</f>
        <v>8342</v>
      </c>
      <c r="P195" s="46">
        <f t="shared" ca="1" si="8"/>
        <v>5.9876543209876542E-4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input_364010!A$2</f>
        <v>364010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IFERROR(VLOOKUP(B196,input_364010!L:R,7,FALSE),VLOOKUP(tables_364010!C196,input_364010!A:H,8,FALSE))</f>
        <v>9234</v>
      </c>
      <c r="P196" s="46">
        <f t="shared" ca="1" si="8"/>
        <v>6.6279069767441858E-4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input_364010!A$2</f>
        <v>364010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IFERROR(VLOOKUP(B197,input_364010!L:R,7,FALSE),VLOOKUP(tables_364010!C197,input_364010!A:H,8,FALSE))</f>
        <v>486</v>
      </c>
      <c r="P197" s="46">
        <f t="shared" ca="1" si="8"/>
        <v>3.4883720930232556E-5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input_364010!A$2</f>
        <v>364010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IFERROR(VLOOKUP(B198,input_364010!L:R,7,FALSE),VLOOKUP(tables_364010!C198,input_364010!A:H,8,FALSE))</f>
        <v>83420</v>
      </c>
      <c r="P198" s="46">
        <f t="shared" ca="1" si="8"/>
        <v>5.9876543209876542E-3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input_364010!A$2</f>
        <v>364010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IFERROR(VLOOKUP(B199,input_364010!L:R,7,FALSE),VLOOKUP(tables_364010!C199,input_364010!A:H,8,FALSE))</f>
        <v>75078</v>
      </c>
      <c r="P199" s="46">
        <f t="shared" ca="1" si="8"/>
        <v>5.3888888888888892E-3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input_364010!A$2</f>
        <v>364010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IFERROR(VLOOKUP(B200,input_364010!L:R,7,FALSE),VLOOKUP(tables_364010!C200,input_364010!A:H,8,FALSE))</f>
        <v>8342</v>
      </c>
      <c r="P200" s="46">
        <f t="shared" ca="1" si="8"/>
        <v>5.9876543209876542E-4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input_364010!A$2</f>
        <v>364010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IFERROR(VLOOKUP(B201,input_364010!L:R,7,FALSE),VLOOKUP(tables_364010!C201,input_364010!A:H,8,FALSE))</f>
        <v>9234</v>
      </c>
      <c r="P201" s="46">
        <f t="shared" ca="1" si="8"/>
        <v>6.6279069767441858E-4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input_364010!A$2</f>
        <v>364010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IFERROR(VLOOKUP(B202,input_364010!L:R,7,FALSE),VLOOKUP(tables_364010!C202,input_364010!A:H,8,FALSE))</f>
        <v>486</v>
      </c>
      <c r="P202" s="46">
        <f t="shared" ca="1" si="8"/>
        <v>3.4883720930232556E-5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input_364010!A$2</f>
        <v>364010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IFERROR(VLOOKUP(B203,input_364010!L:R,7,FALSE),VLOOKUP(tables_364010!C203,input_364010!A:H,8,FALSE))</f>
        <v>83420</v>
      </c>
      <c r="P203" s="46">
        <f t="shared" ca="1" si="8"/>
        <v>5.9876543209876542E-3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input_364010!A$2</f>
        <v>364010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IFERROR(VLOOKUP(B204,input_364010!L:R,7,FALSE),VLOOKUP(tables_364010!C204,input_364010!A:H,8,FALSE))</f>
        <v>75078</v>
      </c>
      <c r="P204" s="46">
        <f t="shared" ca="1" si="8"/>
        <v>5.3888888888888892E-3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input_364010!A$2</f>
        <v>364010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IFERROR(VLOOKUP(B205,input_364010!L:R,7,FALSE),VLOOKUP(tables_364010!C205,input_364010!A:H,8,FALSE))</f>
        <v>8342</v>
      </c>
      <c r="P205" s="46">
        <f t="shared" ca="1" si="8"/>
        <v>5.9876543209876542E-4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input_364010!A$2</f>
        <v>364010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IFERROR(VLOOKUP(B206,input_364010!L:R,7,FALSE),VLOOKUP(tables_364010!C206,input_364010!A:H,8,FALSE))</f>
        <v>9234</v>
      </c>
      <c r="P206" s="46">
        <f t="shared" ca="1" si="8"/>
        <v>6.6279069767441858E-4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input_364010!A$2</f>
        <v>364010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IFERROR(VLOOKUP(B207,input_364010!L:R,7,FALSE),VLOOKUP(tables_364010!C207,input_364010!A:H,8,FALSE))</f>
        <v>486</v>
      </c>
      <c r="P207" s="46">
        <f t="shared" ref="P207:P270" ca="1" si="11">O207/SUM(O:O)</f>
        <v>3.4883720930232556E-5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input_364010!A$2</f>
        <v>364010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IFERROR(VLOOKUP(B208,input_364010!L:R,7,FALSE),VLOOKUP(tables_364010!C208,input_364010!A:H,8,FALSE))</f>
        <v>9234</v>
      </c>
      <c r="P208" s="46">
        <f t="shared" ca="1" si="11"/>
        <v>6.6279069767441858E-4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input_364010!A$2</f>
        <v>364010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IFERROR(VLOOKUP(B209,input_364010!L:R,7,FALSE),VLOOKUP(tables_364010!C209,input_364010!A:H,8,FALSE))</f>
        <v>486</v>
      </c>
      <c r="P209" s="46">
        <f t="shared" ca="1" si="11"/>
        <v>3.4883720930232556E-5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input_364010!A$2</f>
        <v>364010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IFERROR(VLOOKUP(B210,input_364010!L:R,7,FALSE),VLOOKUP(tables_364010!C210,input_364010!A:H,8,FALSE))</f>
        <v>83420</v>
      </c>
      <c r="P210" s="46">
        <f t="shared" ca="1" si="11"/>
        <v>5.9876543209876542E-3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input_364010!A$2</f>
        <v>364010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IFERROR(VLOOKUP(B211,input_364010!L:R,7,FALSE),VLOOKUP(tables_364010!C211,input_364010!A:H,8,FALSE))</f>
        <v>75078</v>
      </c>
      <c r="P211" s="46">
        <f t="shared" ca="1" si="11"/>
        <v>5.3888888888888892E-3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input_364010!A$2</f>
        <v>364010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IFERROR(VLOOKUP(B212,input_364010!L:R,7,FALSE),VLOOKUP(tables_364010!C212,input_364010!A:H,8,FALSE))</f>
        <v>8342</v>
      </c>
      <c r="P212" s="46">
        <f t="shared" ca="1" si="11"/>
        <v>5.9876543209876542E-4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input_364010!A$2</f>
        <v>364010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IFERROR(VLOOKUP(B213,input_364010!L:R,7,FALSE),VLOOKUP(tables_364010!C213,input_364010!A:H,8,FALSE))</f>
        <v>9234</v>
      </c>
      <c r="P213" s="46">
        <f t="shared" ca="1" si="11"/>
        <v>6.6279069767441858E-4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input_364010!A$2</f>
        <v>364010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IFERROR(VLOOKUP(B214,input_364010!L:R,7,FALSE),VLOOKUP(tables_364010!C214,input_364010!A:H,8,FALSE))</f>
        <v>486</v>
      </c>
      <c r="P214" s="46">
        <f t="shared" ca="1" si="11"/>
        <v>3.4883720930232556E-5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input_364010!A$2</f>
        <v>364010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IFERROR(VLOOKUP(B215,input_364010!L:R,7,FALSE),VLOOKUP(tables_364010!C215,input_364010!A:H,8,FALSE))</f>
        <v>9234</v>
      </c>
      <c r="P215" s="46">
        <f t="shared" ca="1" si="11"/>
        <v>6.6279069767441858E-4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input_364010!A$2</f>
        <v>364010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IFERROR(VLOOKUP(B216,input_364010!L:R,7,FALSE),VLOOKUP(tables_364010!C216,input_364010!A:H,8,FALSE))</f>
        <v>486</v>
      </c>
      <c r="P216" s="46">
        <f t="shared" ca="1" si="11"/>
        <v>3.4883720930232556E-5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input_364010!A$2</f>
        <v>364010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IFERROR(VLOOKUP(B217,input_364010!L:R,7,FALSE),VLOOKUP(tables_364010!C217,input_364010!A:H,8,FALSE))</f>
        <v>83420</v>
      </c>
      <c r="P217" s="46">
        <f t="shared" ca="1" si="11"/>
        <v>5.9876543209876542E-3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input_364010!A$2</f>
        <v>364010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IFERROR(VLOOKUP(B218,input_364010!L:R,7,FALSE),VLOOKUP(tables_364010!C218,input_364010!A:H,8,FALSE))</f>
        <v>75078</v>
      </c>
      <c r="P218" s="46">
        <f t="shared" ca="1" si="11"/>
        <v>5.3888888888888892E-3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input_364010!A$2</f>
        <v>364010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IFERROR(VLOOKUP(B219,input_364010!L:R,7,FALSE),VLOOKUP(tables_364010!C219,input_364010!A:H,8,FALSE))</f>
        <v>8342</v>
      </c>
      <c r="P219" s="46">
        <f t="shared" ca="1" si="11"/>
        <v>5.9876543209876542E-4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input_364010!A$2</f>
        <v>364010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IFERROR(VLOOKUP(B220,input_364010!L:R,7,FALSE),VLOOKUP(tables_364010!C220,input_364010!A:H,8,FALSE))</f>
        <v>83420</v>
      </c>
      <c r="P220" s="46">
        <f t="shared" ca="1" si="11"/>
        <v>5.9876543209876542E-3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input_364010!A$2</f>
        <v>364010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IFERROR(VLOOKUP(B221,input_364010!L:R,7,FALSE),VLOOKUP(tables_364010!C221,input_364010!A:H,8,FALSE))</f>
        <v>75078</v>
      </c>
      <c r="P221" s="46">
        <f t="shared" ca="1" si="11"/>
        <v>5.3888888888888892E-3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input_364010!A$2</f>
        <v>364010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IFERROR(VLOOKUP(B222,input_364010!L:R,7,FALSE),VLOOKUP(tables_364010!C222,input_364010!A:H,8,FALSE))</f>
        <v>8342</v>
      </c>
      <c r="P222" s="46">
        <f t="shared" ca="1" si="11"/>
        <v>5.9876543209876542E-4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input_364010!A$2</f>
        <v>364010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IFERROR(VLOOKUP(B223,input_364010!L:R,7,FALSE),VLOOKUP(tables_364010!C223,input_364010!A:H,8,FALSE))</f>
        <v>9234</v>
      </c>
      <c r="P223" s="46">
        <f t="shared" ca="1" si="11"/>
        <v>6.6279069767441858E-4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input_364010!A$2</f>
        <v>364010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IFERROR(VLOOKUP(B224,input_364010!L:R,7,FALSE),VLOOKUP(tables_364010!C224,input_364010!A:H,8,FALSE))</f>
        <v>486</v>
      </c>
      <c r="P224" s="46">
        <f t="shared" ca="1" si="11"/>
        <v>3.4883720930232556E-5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input_364010!A$2</f>
        <v>364010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IFERROR(VLOOKUP(B225,input_364010!L:R,7,FALSE),VLOOKUP(tables_364010!C225,input_364010!A:H,8,FALSE))</f>
        <v>83420</v>
      </c>
      <c r="P225" s="46">
        <f t="shared" ca="1" si="11"/>
        <v>5.9876543209876542E-3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input_364010!A$2</f>
        <v>364010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IFERROR(VLOOKUP(B226,input_364010!L:R,7,FALSE),VLOOKUP(tables_364010!C226,input_364010!A:H,8,FALSE))</f>
        <v>75078</v>
      </c>
      <c r="P226" s="46">
        <f t="shared" ca="1" si="11"/>
        <v>5.3888888888888892E-3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input_364010!A$2</f>
        <v>364010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IFERROR(VLOOKUP(B227,input_364010!L:R,7,FALSE),VLOOKUP(tables_364010!C227,input_364010!A:H,8,FALSE))</f>
        <v>8342</v>
      </c>
      <c r="P227" s="46">
        <f t="shared" ca="1" si="11"/>
        <v>5.9876543209876542E-4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input_364010!A$2</f>
        <v>364010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IFERROR(VLOOKUP(B228,input_364010!L:R,7,FALSE),VLOOKUP(tables_364010!C228,input_364010!A:H,8,FALSE))</f>
        <v>83420</v>
      </c>
      <c r="P228" s="46">
        <f t="shared" ca="1" si="11"/>
        <v>5.9876543209876542E-3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input_364010!A$2</f>
        <v>364010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IFERROR(VLOOKUP(B229,input_364010!L:R,7,FALSE),VLOOKUP(tables_364010!C229,input_364010!A:H,8,FALSE))</f>
        <v>75078</v>
      </c>
      <c r="P229" s="46">
        <f t="shared" ca="1" si="11"/>
        <v>5.3888888888888892E-3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input_364010!A$2</f>
        <v>364010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IFERROR(VLOOKUP(B230,input_364010!L:R,7,FALSE),VLOOKUP(tables_364010!C230,input_364010!A:H,8,FALSE))</f>
        <v>8342</v>
      </c>
      <c r="P230" s="46">
        <f t="shared" ca="1" si="11"/>
        <v>5.9876543209876542E-4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input_364010!A$2</f>
        <v>364010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IFERROR(VLOOKUP(B231,input_364010!L:R,7,FALSE),VLOOKUP(tables_364010!C231,input_364010!A:H,8,FALSE))</f>
        <v>9234</v>
      </c>
      <c r="P231" s="46">
        <f t="shared" ca="1" si="11"/>
        <v>6.6279069767441858E-4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input_364010!A$2</f>
        <v>364010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IFERROR(VLOOKUP(B232,input_364010!L:R,7,FALSE),VLOOKUP(tables_364010!C232,input_364010!A:H,8,FALSE))</f>
        <v>486</v>
      </c>
      <c r="P232" s="46">
        <f t="shared" ca="1" si="11"/>
        <v>3.4883720930232556E-5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input_364010!A$2</f>
        <v>364010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IFERROR(VLOOKUP(B233,input_364010!L:R,7,FALSE),VLOOKUP(tables_364010!C233,input_364010!A:H,8,FALSE))</f>
        <v>83420</v>
      </c>
      <c r="P233" s="46">
        <f t="shared" ca="1" si="11"/>
        <v>5.9876543209876542E-3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input_364010!A$2</f>
        <v>364010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IFERROR(VLOOKUP(B234,input_364010!L:R,7,FALSE),VLOOKUP(tables_364010!C234,input_364010!A:H,8,FALSE))</f>
        <v>75078</v>
      </c>
      <c r="P234" s="46">
        <f t="shared" ca="1" si="11"/>
        <v>5.3888888888888892E-3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input_364010!A$2</f>
        <v>364010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IFERROR(VLOOKUP(B235,input_364010!L:R,7,FALSE),VLOOKUP(tables_364010!C235,input_364010!A:H,8,FALSE))</f>
        <v>8342</v>
      </c>
      <c r="P235" s="46">
        <f t="shared" ca="1" si="11"/>
        <v>5.9876543209876542E-4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input_364010!A$2</f>
        <v>364010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IFERROR(VLOOKUP(B236,input_364010!L:R,7,FALSE),VLOOKUP(tables_364010!C236,input_364010!A:H,8,FALSE))</f>
        <v>9234</v>
      </c>
      <c r="P236" s="46">
        <f t="shared" ca="1" si="11"/>
        <v>6.6279069767441858E-4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input_364010!A$2</f>
        <v>364010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IFERROR(VLOOKUP(B237,input_364010!L:R,7,FALSE),VLOOKUP(tables_364010!C237,input_364010!A:H,8,FALSE))</f>
        <v>486</v>
      </c>
      <c r="P237" s="46">
        <f t="shared" ca="1" si="11"/>
        <v>3.4883720930232556E-5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input_364010!A$2</f>
        <v>364010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IFERROR(VLOOKUP(B238,input_364010!L:R,7,FALSE),VLOOKUP(tables_364010!C238,input_364010!A:H,8,FALSE))</f>
        <v>9234</v>
      </c>
      <c r="P238" s="46">
        <f t="shared" ca="1" si="11"/>
        <v>6.6279069767441858E-4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input_364010!A$2</f>
        <v>364010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IFERROR(VLOOKUP(B239,input_364010!L:R,7,FALSE),VLOOKUP(tables_364010!C239,input_364010!A:H,8,FALSE))</f>
        <v>486</v>
      </c>
      <c r="P239" s="46">
        <f t="shared" ca="1" si="11"/>
        <v>3.4883720930232556E-5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input_364010!A$2</f>
        <v>364010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IFERROR(VLOOKUP(B240,input_364010!L:R,7,FALSE),VLOOKUP(tables_364010!C240,input_364010!A:H,8,FALSE))</f>
        <v>83420</v>
      </c>
      <c r="P240" s="46">
        <f t="shared" ca="1" si="11"/>
        <v>5.9876543209876542E-3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input_364010!A$2</f>
        <v>364010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IFERROR(VLOOKUP(B241,input_364010!L:R,7,FALSE),VLOOKUP(tables_364010!C241,input_364010!A:H,8,FALSE))</f>
        <v>75078</v>
      </c>
      <c r="P241" s="46">
        <f t="shared" ca="1" si="11"/>
        <v>5.3888888888888892E-3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input_364010!A$2</f>
        <v>364010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IFERROR(VLOOKUP(B242,input_364010!L:R,7,FALSE),VLOOKUP(tables_364010!C242,input_364010!A:H,8,FALSE))</f>
        <v>8342</v>
      </c>
      <c r="P242" s="46">
        <f t="shared" ca="1" si="11"/>
        <v>5.9876543209876542E-4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input_364010!A$2</f>
        <v>364010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IFERROR(VLOOKUP(B243,input_364010!L:R,7,FALSE),VLOOKUP(tables_364010!C243,input_364010!A:H,8,FALSE))</f>
        <v>83420</v>
      </c>
      <c r="P243" s="46">
        <f t="shared" ca="1" si="11"/>
        <v>5.9876543209876542E-3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input_364010!A$2</f>
        <v>364010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IFERROR(VLOOKUP(B244,input_364010!L:R,7,FALSE),VLOOKUP(tables_364010!C244,input_364010!A:H,8,FALSE))</f>
        <v>75078</v>
      </c>
      <c r="P244" s="46">
        <f t="shared" ca="1" si="11"/>
        <v>5.3888888888888892E-3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input_364010!A$2</f>
        <v>364010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IFERROR(VLOOKUP(B245,input_364010!L:R,7,FALSE),VLOOKUP(tables_364010!C245,input_364010!A:H,8,FALSE))</f>
        <v>8342</v>
      </c>
      <c r="P245" s="46">
        <f t="shared" ca="1" si="11"/>
        <v>5.9876543209876542E-4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input_364010!A$2</f>
        <v>364010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IFERROR(VLOOKUP(B246,input_364010!L:R,7,FALSE),VLOOKUP(tables_364010!C246,input_364010!A:H,8,FALSE))</f>
        <v>83420</v>
      </c>
      <c r="P246" s="46">
        <f t="shared" ca="1" si="11"/>
        <v>5.9876543209876542E-3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input_364010!A$2</f>
        <v>364010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IFERROR(VLOOKUP(B247,input_364010!L:R,7,FALSE),VLOOKUP(tables_364010!C247,input_364010!A:H,8,FALSE))</f>
        <v>75078</v>
      </c>
      <c r="P247" s="46">
        <f t="shared" ca="1" si="11"/>
        <v>5.3888888888888892E-3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input_364010!A$2</f>
        <v>364010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IFERROR(VLOOKUP(B248,input_364010!L:R,7,FALSE),VLOOKUP(tables_364010!C248,input_364010!A:H,8,FALSE))</f>
        <v>8342</v>
      </c>
      <c r="P248" s="46">
        <f t="shared" ca="1" si="11"/>
        <v>5.9876543209876542E-4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input_364010!A$2</f>
        <v>364010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IFERROR(VLOOKUP(B249,input_364010!L:R,7,FALSE),VLOOKUP(tables_364010!C249,input_364010!A:H,8,FALSE))</f>
        <v>83420</v>
      </c>
      <c r="P249" s="46">
        <f t="shared" ca="1" si="11"/>
        <v>5.9876543209876542E-3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input_364010!A$2</f>
        <v>364010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IFERROR(VLOOKUP(B250,input_364010!L:R,7,FALSE),VLOOKUP(tables_364010!C250,input_364010!A:H,8,FALSE))</f>
        <v>75078</v>
      </c>
      <c r="P250" s="46">
        <f t="shared" ca="1" si="11"/>
        <v>5.3888888888888892E-3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input_364010!A$2</f>
        <v>364010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IFERROR(VLOOKUP(B251,input_364010!L:R,7,FALSE),VLOOKUP(tables_364010!C251,input_364010!A:H,8,FALSE))</f>
        <v>8342</v>
      </c>
      <c r="P251" s="46">
        <f t="shared" ca="1" si="11"/>
        <v>5.9876543209876542E-4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input_364010!A$2</f>
        <v>364010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IFERROR(VLOOKUP(B252,input_364010!L:R,7,FALSE),VLOOKUP(tables_364010!C252,input_364010!A:H,8,FALSE))</f>
        <v>9234</v>
      </c>
      <c r="P252" s="46">
        <f t="shared" ca="1" si="11"/>
        <v>6.6279069767441858E-4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input_364010!A$2</f>
        <v>364010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IFERROR(VLOOKUP(B253,input_364010!L:R,7,FALSE),VLOOKUP(tables_364010!C253,input_364010!A:H,8,FALSE))</f>
        <v>486</v>
      </c>
      <c r="P253" s="46">
        <f t="shared" ca="1" si="11"/>
        <v>3.4883720930232556E-5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input_364010!A$2</f>
        <v>364010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IFERROR(VLOOKUP(B254,input_364010!L:R,7,FALSE),VLOOKUP(tables_364010!C254,input_364010!A:H,8,FALSE))</f>
        <v>9234</v>
      </c>
      <c r="P254" s="46">
        <f t="shared" ca="1" si="11"/>
        <v>6.6279069767441858E-4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input_364010!A$2</f>
        <v>364010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IFERROR(VLOOKUP(B255,input_364010!L:R,7,FALSE),VLOOKUP(tables_364010!C255,input_364010!A:H,8,FALSE))</f>
        <v>486</v>
      </c>
      <c r="P255" s="46">
        <f t="shared" ca="1" si="11"/>
        <v>3.4883720930232556E-5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input_364010!A$2</f>
        <v>364010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IFERROR(VLOOKUP(B256,input_364010!L:R,7,FALSE),VLOOKUP(tables_364010!C256,input_364010!A:H,8,FALSE))</f>
        <v>151246.22222</v>
      </c>
      <c r="P256" s="46">
        <f t="shared" ca="1" si="11"/>
        <v>1.0856030879988515E-2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input_364010!A$2</f>
        <v>364010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IFERROR(VLOOKUP(B257,input_364010!L:R,7,FALSE),VLOOKUP(tables_364010!C257,input_364010!A:H,8,FALSE))</f>
        <v>15593.77778</v>
      </c>
      <c r="P257" s="46">
        <f t="shared" ca="1" si="11"/>
        <v>1.119277761986793E-3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input_364010!A$2</f>
        <v>364010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IFERROR(VLOOKUP(B258,input_364010!L:R,7,FALSE),VLOOKUP(tables_364010!C258,input_364010!A:H,8,FALSE))</f>
        <v>151246.22222</v>
      </c>
      <c r="P258" s="46">
        <f t="shared" ca="1" si="11"/>
        <v>1.0856030879988515E-2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input_364010!A$2</f>
        <v>364010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IFERROR(VLOOKUP(B259,input_364010!L:R,7,FALSE),VLOOKUP(tables_364010!C259,input_364010!A:H,8,FALSE))</f>
        <v>15593.77778</v>
      </c>
      <c r="P259" s="46">
        <f t="shared" ca="1" si="11"/>
        <v>1.119277761986793E-3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input_364010!A$2</f>
        <v>364010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IFERROR(VLOOKUP(B260,input_364010!L:R,7,FALSE),VLOOKUP(tables_364010!C260,input_364010!A:H,8,FALSE))</f>
        <v>9720</v>
      </c>
      <c r="P260" s="46">
        <f t="shared" ca="1" si="11"/>
        <v>6.9767441860465117E-4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input_364010!A$2</f>
        <v>364010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IFERROR(VLOOKUP(B261,input_364010!L:R,7,FALSE),VLOOKUP(tables_364010!C261,input_364010!A:H,8,FALSE))</f>
        <v>9720</v>
      </c>
      <c r="P261" s="46">
        <f t="shared" ca="1" si="11"/>
        <v>6.9767441860465117E-4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input_364010!A$2</f>
        <v>364010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IFERROR(VLOOKUP(B262,input_364010!L:R,7,FALSE),VLOOKUP(tables_364010!C262,input_364010!A:H,8,FALSE))</f>
        <v>9234</v>
      </c>
      <c r="P262" s="46">
        <f t="shared" ca="1" si="11"/>
        <v>6.6279069767441858E-4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input_364010!A$2</f>
        <v>364010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IFERROR(VLOOKUP(B263,input_364010!L:R,7,FALSE),VLOOKUP(tables_364010!C263,input_364010!A:H,8,FALSE))</f>
        <v>486</v>
      </c>
      <c r="P263" s="46">
        <f t="shared" ca="1" si="11"/>
        <v>3.4883720930232556E-5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input_364010!A$2</f>
        <v>364010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IFERROR(VLOOKUP(B264,input_364010!L:R,7,FALSE),VLOOKUP(tables_364010!C264,input_364010!A:H,8,FALSE))</f>
        <v>9234</v>
      </c>
      <c r="P264" s="46">
        <f t="shared" ca="1" si="11"/>
        <v>6.6279069767441858E-4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input_364010!A$2</f>
        <v>364010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IFERROR(VLOOKUP(B265,input_364010!L:R,7,FALSE),VLOOKUP(tables_364010!C265,input_364010!A:H,8,FALSE))</f>
        <v>486</v>
      </c>
      <c r="P265" s="46">
        <f t="shared" ca="1" si="11"/>
        <v>3.4883720930232556E-5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input_364010!A$2</f>
        <v>364010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IFERROR(VLOOKUP(B266,input_364010!L:R,7,FALSE),VLOOKUP(tables_364010!C266,input_364010!A:H,8,FALSE))</f>
        <v>83420</v>
      </c>
      <c r="P266" s="46">
        <f t="shared" ca="1" si="11"/>
        <v>5.9876543209876542E-3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input_364010!A$2</f>
        <v>364010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IFERROR(VLOOKUP(B267,input_364010!L:R,7,FALSE),VLOOKUP(tables_364010!C267,input_364010!A:H,8,FALSE))</f>
        <v>75078</v>
      </c>
      <c r="P267" s="46">
        <f t="shared" ca="1" si="11"/>
        <v>5.3888888888888892E-3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input_364010!A$2</f>
        <v>364010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IFERROR(VLOOKUP(B268,input_364010!L:R,7,FALSE),VLOOKUP(tables_364010!C268,input_364010!A:H,8,FALSE))</f>
        <v>8342</v>
      </c>
      <c r="P268" s="46">
        <f t="shared" ca="1" si="11"/>
        <v>5.9876543209876542E-4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input_364010!A$2</f>
        <v>364010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IFERROR(VLOOKUP(B269,input_364010!L:R,7,FALSE),VLOOKUP(tables_364010!C269,input_364010!A:H,8,FALSE))</f>
        <v>83420</v>
      </c>
      <c r="P269" s="46">
        <f t="shared" ca="1" si="11"/>
        <v>5.9876543209876542E-3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input_364010!A$2</f>
        <v>364010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IFERROR(VLOOKUP(B270,input_364010!L:R,7,FALSE),VLOOKUP(tables_364010!C270,input_364010!A:H,8,FALSE))</f>
        <v>75078</v>
      </c>
      <c r="P270" s="46">
        <f t="shared" ca="1" si="11"/>
        <v>5.3888888888888892E-3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input_364010!A$2</f>
        <v>364010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IFERROR(VLOOKUP(B271,input_364010!L:R,7,FALSE),VLOOKUP(tables_364010!C271,input_364010!A:H,8,FALSE))</f>
        <v>8342</v>
      </c>
      <c r="P271" s="46">
        <f t="shared" ref="P271:P284" ca="1" si="14">O271/SUM(O:O)</f>
        <v>5.9876543209876542E-4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input_364010!A$2</f>
        <v>364010</v>
      </c>
      <c r="B272" s="82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IFERROR(VLOOKUP(B272,input_364010!L:R,7,FALSE),VLOOKUP(tables_364010!C272,input_364010!A:H,8,FALSE))</f>
        <v>9720</v>
      </c>
      <c r="P272" s="46">
        <f t="shared" ca="1" si="14"/>
        <v>6.9767441860465117E-4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input_364010!A$2</f>
        <v>364010</v>
      </c>
      <c r="B273" s="82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IFERROR(VLOOKUP(B273,input_364010!L:R,7,FALSE),VLOOKUP(tables_364010!C273,input_364010!A:H,8,FALSE))</f>
        <v>9720</v>
      </c>
      <c r="P273" s="46">
        <f t="shared" ca="1" si="14"/>
        <v>6.9767441860465117E-4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input_364010!A$2</f>
        <v>364010</v>
      </c>
      <c r="B274" s="82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IFERROR(VLOOKUP(B274,input_364010!L:R,7,FALSE),VLOOKUP(tables_364010!C274,input_364010!A:H,8,FALSE))</f>
        <v>151246.22222</v>
      </c>
      <c r="P274" s="46">
        <f t="shared" ca="1" si="14"/>
        <v>1.0856030879988515E-2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input_364010!A$2</f>
        <v>364010</v>
      </c>
      <c r="B275" s="82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IFERROR(VLOOKUP(B275,input_364010!L:R,7,FALSE),VLOOKUP(tables_364010!C275,input_364010!A:H,8,FALSE))</f>
        <v>15593.77778</v>
      </c>
      <c r="P275" s="46">
        <f t="shared" ca="1" si="14"/>
        <v>1.119277761986793E-3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input_364010!A$2</f>
        <v>364010</v>
      </c>
      <c r="B276" s="82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IFERROR(VLOOKUP(B276,input_364010!L:R,7,FALSE),VLOOKUP(tables_364010!C276,input_364010!A:H,8,FALSE))</f>
        <v>151246.22222</v>
      </c>
      <c r="P276" s="46">
        <f t="shared" ca="1" si="14"/>
        <v>1.0856030879988515E-2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input_364010!A$2</f>
        <v>364010</v>
      </c>
      <c r="B277" s="82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IFERROR(VLOOKUP(B277,input_364010!L:R,7,FALSE),VLOOKUP(tables_364010!C277,input_364010!A:H,8,FALSE))</f>
        <v>15593.77778</v>
      </c>
      <c r="P277" s="46">
        <f t="shared" ca="1" si="14"/>
        <v>1.119277761986793E-3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input_364010!A$2</f>
        <v>364010</v>
      </c>
      <c r="B278" s="82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IFERROR(VLOOKUP(B278,input_364010!L:R,7,FALSE),VLOOKUP(tables_364010!C278,input_364010!A:H,8,FALSE))</f>
        <v>151246.22222</v>
      </c>
      <c r="P278" s="46">
        <f t="shared" ca="1" si="14"/>
        <v>1.0856030879988515E-2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input_364010!A$2</f>
        <v>364010</v>
      </c>
      <c r="B279" s="82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IFERROR(VLOOKUP(B279,input_364010!L:R,7,FALSE),VLOOKUP(tables_364010!C279,input_364010!A:H,8,FALSE))</f>
        <v>15593.77778</v>
      </c>
      <c r="P279" s="46">
        <f t="shared" ca="1" si="14"/>
        <v>1.119277761986793E-3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input_364010!A$2</f>
        <v>364010</v>
      </c>
      <c r="B280" s="82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IFERROR(VLOOKUP(B280,input_364010!L:R,7,FALSE),VLOOKUP(tables_364010!C280,input_364010!A:H,8,FALSE))</f>
        <v>151246.22222</v>
      </c>
      <c r="P280" s="46">
        <f t="shared" ca="1" si="14"/>
        <v>1.0856030879988515E-2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input_364010!A$2</f>
        <v>364010</v>
      </c>
      <c r="B281" s="82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IFERROR(VLOOKUP(B281,input_364010!L:R,7,FALSE),VLOOKUP(tables_364010!C281,input_364010!A:H,8,FALSE))</f>
        <v>15593.77778</v>
      </c>
      <c r="P281" s="46">
        <f t="shared" ca="1" si="14"/>
        <v>1.119277761986793E-3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input_364010!A$2</f>
        <v>364010</v>
      </c>
      <c r="B282" s="82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IFERROR(VLOOKUP(B282,input_364010!L:R,7,FALSE),VLOOKUP(tables_364010!C282,input_364010!A:H,8,FALSE))</f>
        <v>9720</v>
      </c>
      <c r="P282" s="46">
        <f t="shared" ca="1" si="14"/>
        <v>6.9767441860465117E-4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input_364010!A$2</f>
        <v>364010</v>
      </c>
      <c r="B283" s="82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IFERROR(VLOOKUP(B283,input_364010!L:R,7,FALSE),VLOOKUP(tables_364010!C283,input_364010!A:H,8,FALSE))</f>
        <v>9720</v>
      </c>
      <c r="P283" s="46">
        <f t="shared" ca="1" si="14"/>
        <v>6.9767441860465117E-4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input_364010!A$2</f>
        <v>364010</v>
      </c>
      <c r="B284" s="5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IFERROR(VLOOKUP(B284,input_364010!L:R,7,FALSE),VLOOKUP(tables_364010!C284,input_364010!A:H,8,FALSE))</f>
        <v>9720</v>
      </c>
      <c r="P284" s="46">
        <f t="shared" ca="1" si="14"/>
        <v>6.9767441860465117E-4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input_364010!A$2</f>
        <v>364010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ref="D285:D289" si="16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IFERROR(VLOOKUP(B285,input_364010!L:R,7,FALSE),VLOOKUP(tables_364010!C285,input_364010!A:H,8,FALSE))</f>
        <v>9720</v>
      </c>
      <c r="P285" s="46">
        <f t="shared" ref="P285:P289" ca="1" si="17">O285/SUM(O:O)</f>
        <v>6.9767441860465117E-4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input_364010!A$2</f>
        <v>364010</v>
      </c>
      <c r="B286" s="5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IFERROR(VLOOKUP(B286,input_364010!L:R,7,FALSE),VLOOKUP(tables_364010!C286,input_364010!A:H,8,FALSE))</f>
        <v>151246.22222</v>
      </c>
      <c r="P286" s="46">
        <f t="shared" ca="1" si="17"/>
        <v>1.0856030879988515E-2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input_364010!A$2</f>
        <v>364010</v>
      </c>
      <c r="B287" s="5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IFERROR(VLOOKUP(B287,input_364010!L:R,7,FALSE),VLOOKUP(tables_364010!C287,input_364010!A:H,8,FALSE))</f>
        <v>15593.77778</v>
      </c>
      <c r="P287" s="46">
        <f t="shared" ca="1" si="17"/>
        <v>1.119277761986793E-3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input_364010!A$2</f>
        <v>364010</v>
      </c>
      <c r="B288" s="5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IFERROR(VLOOKUP(B288,input_364010!L:R,7,FALSE),VLOOKUP(tables_364010!C288,input_364010!A:H,8,FALSE))</f>
        <v>151246.22222</v>
      </c>
      <c r="P288" s="46">
        <f t="shared" ca="1" si="17"/>
        <v>1.0856030879988515E-2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input_364010!A$2</f>
        <v>364010</v>
      </c>
      <c r="B289" s="5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IFERROR(VLOOKUP(B289,input_364010!L:R,7,FALSE),VLOOKUP(tables_364010!C289,input_364010!A:H,8,FALSE))</f>
        <v>15593.77778</v>
      </c>
      <c r="P289" s="46">
        <f t="shared" ca="1" si="17"/>
        <v>1.119277761986793E-3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input_364010!A$2</f>
        <v>364010</v>
      </c>
      <c r="B290" s="5">
        <v>937</v>
      </c>
      <c r="C290" s="7" t="str">
        <f t="shared" ref="C290:C294" si="18">D290&amp;J290&amp;E290&amp;F290&amp;G290</f>
        <v>PremiumSS5R5only</v>
      </c>
      <c r="D290" s="7" t="str">
        <f t="shared" ref="D290:D294" si="19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hero</v>
      </c>
      <c r="N290" s="7" t="str">
        <f>VLOOKUP(B290,[1]characters!$A:$G,7,FALSE)</f>
        <v>男性</v>
      </c>
      <c r="O290" s="45">
        <f ca="1">IFERROR(VLOOKUP(B290,input_364010!L:R,7,FALSE),VLOOKUP(tables_364010!C290,input_364010!A:H,8,FALSE))</f>
        <v>9720</v>
      </c>
      <c r="P290" s="46">
        <f t="shared" ref="P290:P294" ca="1" si="20">O290/SUM(O:O)</f>
        <v>6.9767441860465117E-4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input_364010!A$2</f>
        <v>364010</v>
      </c>
      <c r="B291" s="5">
        <v>939</v>
      </c>
      <c r="C291" s="7" t="str">
        <f t="shared" si="18"/>
        <v>Premium4R3less</v>
      </c>
      <c r="D291" s="7" t="str">
        <f t="shared" si="19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IFERROR(VLOOKUP(B291,input_364010!L:R,7,FALSE),VLOOKUP(tables_364010!C291,input_364010!A:H,8,FALSE))</f>
        <v>151246.22222</v>
      </c>
      <c r="P291" s="46">
        <f t="shared" ca="1" si="20"/>
        <v>1.0856030879988515E-2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input_364010!A$2</f>
        <v>364010</v>
      </c>
      <c r="B292" s="5">
        <v>940</v>
      </c>
      <c r="C292" s="7" t="str">
        <f t="shared" si="18"/>
        <v>Premium5R3less</v>
      </c>
      <c r="D292" s="7" t="str">
        <f t="shared" si="19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IFERROR(VLOOKUP(B292,input_364010!L:R,7,FALSE),VLOOKUP(tables_364010!C292,input_364010!A:H,8,FALSE))</f>
        <v>15593.77778</v>
      </c>
      <c r="P292" s="46">
        <f t="shared" ca="1" si="20"/>
        <v>1.119277761986793E-3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input_364010!A$2</f>
        <v>364010</v>
      </c>
      <c r="B293" s="5">
        <v>941</v>
      </c>
      <c r="C293" s="7" t="str">
        <f t="shared" si="18"/>
        <v>PremiumSS5R5only</v>
      </c>
      <c r="D293" s="7" t="str">
        <f t="shared" si="19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IFERROR(VLOOKUP(B293,input_364010!L:R,7,FALSE),VLOOKUP(tables_364010!C293,input_364010!A:H,8,FALSE))</f>
        <v>9720</v>
      </c>
      <c r="P293" s="46">
        <f t="shared" ca="1" si="20"/>
        <v>6.9767441860465117E-4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input_364010!A$2</f>
        <v>364010</v>
      </c>
      <c r="B294" s="5">
        <v>943</v>
      </c>
      <c r="C294" s="7" t="str">
        <f t="shared" si="18"/>
        <v>PremiumSS5R5only</v>
      </c>
      <c r="D294" s="7" t="str">
        <f t="shared" si="19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IFERROR(VLOOKUP(B294,input_364010!L:R,7,FALSE),VLOOKUP(tables_364010!C294,input_364010!A:H,8,FALSE))</f>
        <v>9720</v>
      </c>
      <c r="P294" s="46">
        <f t="shared" ca="1" si="20"/>
        <v>6.9767441860465117E-4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</sheetData>
  <autoFilter ref="A1:V283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H7" sqref="H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364100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VLOOKUP(L3,tables_364100!B:C,2,FALSE)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VLOOKUP(L4,tables_364100!B:C,2,FALSE)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6.9767441860465117E-4</v>
      </c>
      <c r="F5">
        <f>(COUNTIF(tables_364100!C:C,input_364100!A26)+COUNTIF(tables_364100!C:C,input_364100!A28)+COUNTIF(tables_364100!C:C,input_364100!A29))</f>
        <v>43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VLOOKUP(L5,tables_364100!B:C,2,FALSE)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1.1975308641975308E-2</v>
      </c>
      <c r="F6">
        <f>(COUNTIF(tables_364100!C:C,input_364100!A18)+COUNTIF(tables_364100!C:C,input_364100!A20)+COUNTIF(tables_364100!C:C,input_364100!A22))</f>
        <v>81</v>
      </c>
      <c r="H6" s="91">
        <v>0</v>
      </c>
      <c r="I6" s="31">
        <v>0</v>
      </c>
      <c r="L6" s="60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VLOOKUP(L6,tables_364100!B:C,2,FALSE)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VLOOKUP(L7,tables_364100!B:C,2,FALSE)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VLOOKUP(L8,tables_364100!B:C,2,FALSE)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VLOOKUP(L9,tables_364100!B:C,2,FALSE)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0.97</v>
      </c>
      <c r="C10" t="s">
        <v>208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VLOOKUP(L10,tables_364100!B:C,2,FALSE)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8">
        <v>0.03</v>
      </c>
      <c r="C11" t="s">
        <v>255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VLOOKUP(L11,tables_364100!B:C,2,FALSE)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VLOOKUP(L12,tables_364100!B:C,2,FALSE)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VLOOKUP(L13,tables_364100!B:C,2,FALSE)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VLOOKUP(L14,tables_364100!B:C,2,FALSE)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VLOOKUP(L15,tables_364100!B:C,2,FALSE)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VLOOKUP(L16,tables_364100!B:C,2,FALSE)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3">
        <f>B$5-B19-B24</f>
        <v>0</v>
      </c>
      <c r="C17" s="86">
        <f t="shared" ref="C17:C31" si="2">SUMIF(Q:Q,A17,N:N)</f>
        <v>0</v>
      </c>
      <c r="D17" s="74">
        <f t="shared" ref="D17:D32" si="3">B17-C17</f>
        <v>0</v>
      </c>
      <c r="E17">
        <f>COUNTIF(tables_364100!C:C,input_364100!A17)-COUNTIF(Q:Q,A17)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VLOOKUP(L17,tables_364100!B:C,2,FALSE)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0.23950617283950618</v>
      </c>
      <c r="C18" s="86">
        <f t="shared" si="2"/>
        <v>0</v>
      </c>
      <c r="D18" s="74">
        <f t="shared" si="3"/>
        <v>0.23950617283950618</v>
      </c>
      <c r="E18">
        <f>COUNTIF(tables_364100!C:C,input_364100!A18)-COUNTIF(Q:Q,A18)</f>
        <v>20</v>
      </c>
      <c r="F18" s="43">
        <f>IFERROR(B18/E18,0)</f>
        <v>1.1975308641975308E-2</v>
      </c>
      <c r="G18">
        <f t="shared" si="4"/>
        <v>3336800</v>
      </c>
      <c r="H18">
        <f t="shared" si="5"/>
        <v>166840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VLOOKUP(L18,tables_364100!B:C,2,FALSE)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6">
        <f t="shared" si="2"/>
        <v>0</v>
      </c>
      <c r="D19" s="74">
        <f t="shared" si="3"/>
        <v>0</v>
      </c>
      <c r="E19">
        <f>COUNTIF(tables_364100!C:C,input_364100!A19)-COUNTIF(Q:Q,A19)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VLOOKUP(L19,tables_364100!B:C,2,FALSE)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0.59158024691358024</v>
      </c>
      <c r="C20" s="86">
        <f t="shared" si="2"/>
        <v>0</v>
      </c>
      <c r="D20" s="74">
        <f t="shared" si="3"/>
        <v>0.59158024691358024</v>
      </c>
      <c r="E20">
        <f>COUNTIF(tables_364100!C:C,input_364100!A20)-COUNTIF(Q:Q,A20)</f>
        <v>52</v>
      </c>
      <c r="F20" s="43">
        <f t="shared" si="8"/>
        <v>1.1376543209876543E-2</v>
      </c>
      <c r="G20">
        <f t="shared" si="4"/>
        <v>8241896</v>
      </c>
      <c r="H20">
        <f t="shared" si="5"/>
        <v>158498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VLOOKUP(L20,tables_364100!B:C,2,FALSE)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3.1135802469135804E-2</v>
      </c>
      <c r="C21" s="86">
        <f t="shared" si="2"/>
        <v>0</v>
      </c>
      <c r="D21" s="74">
        <f t="shared" si="3"/>
        <v>3.1135802469135804E-2</v>
      </c>
      <c r="E21">
        <f>COUNTIF(tables_364100!C:C,input_364100!A21)-COUNTIF(Q:Q,A21)</f>
        <v>52</v>
      </c>
      <c r="F21" s="43">
        <f t="shared" si="8"/>
        <v>5.9876543209876542E-4</v>
      </c>
      <c r="G21">
        <f t="shared" si="4"/>
        <v>433784</v>
      </c>
      <c r="H21">
        <f t="shared" si="5"/>
        <v>8342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9.7704277921332183E-2</v>
      </c>
      <c r="C22" s="86">
        <f t="shared" si="2"/>
        <v>0</v>
      </c>
      <c r="D22" s="74">
        <f t="shared" si="3"/>
        <v>9.7704277921332183E-2</v>
      </c>
      <c r="E22">
        <f>COUNTIF(tables_364100!C:C,input_364100!A22)-COUNTIF(Q:Q,A22)</f>
        <v>9</v>
      </c>
      <c r="F22" s="43">
        <f t="shared" si="8"/>
        <v>1.085603088014802E-2</v>
      </c>
      <c r="G22">
        <f t="shared" si="4"/>
        <v>1361216</v>
      </c>
      <c r="H22">
        <f t="shared" si="5"/>
        <v>151246.22222</v>
      </c>
      <c r="I22">
        <f t="shared" si="6"/>
        <v>0.22221999999601394</v>
      </c>
      <c r="J22">
        <f t="shared" si="7"/>
        <v>4.500045000530724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1.0073499856445588E-2</v>
      </c>
      <c r="C23" s="86">
        <f t="shared" si="2"/>
        <v>0</v>
      </c>
      <c r="D23" s="74">
        <f t="shared" si="3"/>
        <v>1.0073499856445588E-2</v>
      </c>
      <c r="E23">
        <f>COUNTIF(tables_364100!C:C,input_364100!A23)-COUNTIF(Q:Q,A23)</f>
        <v>9</v>
      </c>
      <c r="F23" s="43">
        <f t="shared" si="8"/>
        <v>1.1192777618272876E-3</v>
      </c>
      <c r="G23">
        <f t="shared" si="4"/>
        <v>140343.99999999994</v>
      </c>
      <c r="H23">
        <f t="shared" si="5"/>
        <v>15593.77778</v>
      </c>
      <c r="I23">
        <f t="shared" si="6"/>
        <v>0.77778000000034808</v>
      </c>
      <c r="J23">
        <f t="shared" si="7"/>
        <v>1.2857106122548181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E$5*E24*B$5</f>
        <v>0</v>
      </c>
      <c r="C24" s="86">
        <f t="shared" si="2"/>
        <v>0</v>
      </c>
      <c r="D24" s="74">
        <f t="shared" si="3"/>
        <v>0</v>
      </c>
      <c r="E24">
        <f>COUNTIF(tables_364100!C:C,input_364100!A24)-COUNTIF(Q:Q,A24)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E$5*B$6*E25</f>
        <v>2.6511627906976743E-3</v>
      </c>
      <c r="C25" s="86">
        <f t="shared" si="2"/>
        <v>0</v>
      </c>
      <c r="D25" s="74">
        <f t="shared" si="3"/>
        <v>2.6511627906976743E-3</v>
      </c>
      <c r="E25">
        <f>COUNTIF(tables_364100!C:C,input_364100!A25)-COUNTIF(Q:Q,A25)</f>
        <v>4</v>
      </c>
      <c r="F25" s="43">
        <f t="shared" si="8"/>
        <v>6.6279069767441858E-4</v>
      </c>
      <c r="G25">
        <f t="shared" si="4"/>
        <v>36936</v>
      </c>
      <c r="H25">
        <f t="shared" si="5"/>
        <v>9234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E$5*B$7*E26</f>
        <v>1.3953488372093025E-4</v>
      </c>
      <c r="C26" s="86">
        <f t="shared" si="2"/>
        <v>0</v>
      </c>
      <c r="D26" s="74">
        <f t="shared" si="3"/>
        <v>1.3953488372093025E-4</v>
      </c>
      <c r="E26">
        <f>COUNTIF(tables_364100!C:C,input_364100!A26)-COUNTIF(Q:Q,A26)</f>
        <v>4</v>
      </c>
      <c r="F26" s="43">
        <f t="shared" si="8"/>
        <v>3.4883720930232563E-5</v>
      </c>
      <c r="G26">
        <f t="shared" si="4"/>
        <v>1944.0000000000002</v>
      </c>
      <c r="H26">
        <f t="shared" si="5"/>
        <v>486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1.8558139534883718E-2</v>
      </c>
      <c r="C27" s="86">
        <f t="shared" si="2"/>
        <v>0</v>
      </c>
      <c r="D27" s="74">
        <f t="shared" si="3"/>
        <v>1.8558139534883718E-2</v>
      </c>
      <c r="E27">
        <f>COUNTIF(tables_364100!C:C,input_364100!A27)-COUNTIF(Q:Q,A27)</f>
        <v>28</v>
      </c>
      <c r="F27" s="43">
        <f>IFERROR(B27/E27,0)</f>
        <v>6.6279069767441847E-4</v>
      </c>
      <c r="G27">
        <f t="shared" si="4"/>
        <v>258551.99999999997</v>
      </c>
      <c r="H27">
        <f t="shared" si="5"/>
        <v>9234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9.7674418604651162E-4</v>
      </c>
      <c r="C28" s="86">
        <f t="shared" si="2"/>
        <v>0</v>
      </c>
      <c r="D28" s="74">
        <f t="shared" si="3"/>
        <v>9.7674418604651162E-4</v>
      </c>
      <c r="E28">
        <f>COUNTIF(tables_364100!C:C,input_364100!A28)-COUNTIF(Q:Q,A28)</f>
        <v>28</v>
      </c>
      <c r="F28" s="43">
        <f t="shared" si="8"/>
        <v>3.4883720930232556E-5</v>
      </c>
      <c r="G28">
        <f t="shared" si="4"/>
        <v>13608</v>
      </c>
      <c r="H28">
        <f t="shared" si="5"/>
        <v>486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7.674418604651163E-3</v>
      </c>
      <c r="C29" s="86">
        <f t="shared" si="2"/>
        <v>0</v>
      </c>
      <c r="D29" s="74">
        <f t="shared" si="3"/>
        <v>7.674418604651163E-3</v>
      </c>
      <c r="E29">
        <f>COUNTIF(tables_364100!C:C,input_364100!A29)-COUNTIF(Q:Q,A29)</f>
        <v>11</v>
      </c>
      <c r="F29" s="43">
        <f t="shared" si="8"/>
        <v>6.9767441860465117E-4</v>
      </c>
      <c r="G29">
        <f t="shared" si="4"/>
        <v>106920</v>
      </c>
      <c r="H29">
        <f t="shared" si="5"/>
        <v>9720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242</v>
      </c>
      <c r="B30" s="56">
        <f>0</f>
        <v>0</v>
      </c>
      <c r="C30" s="86">
        <f t="shared" si="2"/>
        <v>0</v>
      </c>
      <c r="D30" s="74">
        <f t="shared" si="3"/>
        <v>0</v>
      </c>
      <c r="E30">
        <f>COUNTIF(tables_364100!C:C,input_364100!A30)-COUNTIF(Q:Q,A30)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243</v>
      </c>
      <c r="B31" s="56">
        <v>0</v>
      </c>
      <c r="C31" s="86">
        <f t="shared" si="2"/>
        <v>0</v>
      </c>
      <c r="D31" s="74">
        <f t="shared" si="3"/>
        <v>0</v>
      </c>
      <c r="E31">
        <f>COUNTIF(tables_364100!C:C,input_364100!A31)-COUNTIF(Q:Q,A31)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13932000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SUMIF(tables_364100!C:C,input_364100!A40,tables_364100!O:O)</f>
        <v>0</v>
      </c>
      <c r="C40" s="54">
        <f t="shared" ref="C40:C46" ca="1" si="9">B40/B$47</f>
        <v>0</v>
      </c>
      <c r="E40">
        <v>3</v>
      </c>
      <c r="F40">
        <f ca="1">SUMIF(tables_364100!J:J,input_364100!E40,tables_364100!O:O)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SUMIF(tables_364100!C:C,input_364100!A41,tables_364100!O:O)</f>
        <v>8241896</v>
      </c>
      <c r="C41" s="54">
        <f t="shared" ca="1" si="9"/>
        <v>0.9211045347256992</v>
      </c>
      <c r="E41">
        <v>4</v>
      </c>
      <c r="F41">
        <f ca="1">SUMIF(tables_364100!J:J,input_364100!E41,tables_364100!O:O)</f>
        <v>13235399.999979999</v>
      </c>
      <c r="G41">
        <f ca="1">F41/A36</f>
        <v>0.94999999999856433</v>
      </c>
    </row>
    <row r="42" spans="1:7" x14ac:dyDescent="0.15">
      <c r="A42" s="33" t="s">
        <v>106</v>
      </c>
      <c r="B42">
        <f ca="1">SUMIF(tables_364100!C:C,input_364100!A42,tables_364100!O:O)</f>
        <v>258552</v>
      </c>
      <c r="C42" s="54">
        <f t="shared" ca="1" si="9"/>
        <v>2.8895465274300838E-2</v>
      </c>
      <c r="E42">
        <v>5</v>
      </c>
      <c r="F42">
        <f ca="1">SUMIF(tables_364100!J:J,input_364100!E42,tables_364100!O:O)</f>
        <v>696600.00002000004</v>
      </c>
      <c r="G42">
        <f ca="1">F42/A36</f>
        <v>5.0000000001435549E-2</v>
      </c>
    </row>
    <row r="43" spans="1:7" x14ac:dyDescent="0.15">
      <c r="A43" s="33" t="s">
        <v>109</v>
      </c>
      <c r="B43">
        <f>SUMIF(tables_364100!C:C,input_364100!A43,tables_364100!O:O)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SUMIF(tables_364100!C:C,input_364100!A44,tables_364100!O:O)</f>
        <v>433784</v>
      </c>
      <c r="C44" s="54">
        <f t="shared" ca="1" si="9"/>
        <v>4.8479186038194691E-2</v>
      </c>
      <c r="E44" t="s">
        <v>54</v>
      </c>
      <c r="F44" s="55"/>
    </row>
    <row r="45" spans="1:7" x14ac:dyDescent="0.15">
      <c r="A45" s="33" t="s">
        <v>107</v>
      </c>
      <c r="B45">
        <f ca="1">SUMIF(tables_364100!C:C,input_364100!A45,tables_364100!O:O)</f>
        <v>13608</v>
      </c>
      <c r="C45" s="54">
        <f t="shared" ca="1" si="9"/>
        <v>1.5208139618053073E-3</v>
      </c>
      <c r="E45" t="s">
        <v>204</v>
      </c>
      <c r="F45" s="55">
        <f ca="1">SUMIF(tables_364100!I:I,input_364100!E45,tables_364100!P:P)</f>
        <v>0.24865432098765419</v>
      </c>
    </row>
    <row r="46" spans="1:7" x14ac:dyDescent="0.15">
      <c r="A46" s="33" t="s">
        <v>108</v>
      </c>
      <c r="B46">
        <f>SUMIF(tables_364100!C:C,input_364100!A46,tables_364100!O:O)</f>
        <v>0</v>
      </c>
      <c r="C46" s="54">
        <f t="shared" ca="1" si="9"/>
        <v>0</v>
      </c>
      <c r="E46" t="s">
        <v>205</v>
      </c>
      <c r="F46" s="55">
        <f ca="1">SUMIF(tables_364100!I:I,input_364100!E46,tables_364100!P:P)</f>
        <v>0.20567327016939424</v>
      </c>
    </row>
    <row r="47" spans="1:7" x14ac:dyDescent="0.15">
      <c r="A47" s="39" t="s">
        <v>59</v>
      </c>
      <c r="B47">
        <f ca="1">SUM(B40:B46)</f>
        <v>8947840</v>
      </c>
      <c r="C47" s="55">
        <f ca="1">SUM(C40:C46)</f>
        <v>1</v>
      </c>
      <c r="E47" t="s">
        <v>206</v>
      </c>
      <c r="F47" s="55">
        <f ca="1">SUMIF(tables_364100!I:I,input_364100!E47,tables_364100!P:P)</f>
        <v>0.52761125466551773</v>
      </c>
    </row>
    <row r="48" spans="1:7" x14ac:dyDescent="0.15">
      <c r="E48" t="s">
        <v>207</v>
      </c>
      <c r="F48" s="55">
        <f ca="1">SUMIF(tables_364100!I:I,input_364100!E48,tables_364100!P:P)</f>
        <v>2.7209302325581379E-2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294"/>
  <sheetViews>
    <sheetView showGridLines="0" zoomScale="75" zoomScaleNormal="75" zoomScalePageLayoutView="75" workbookViewId="0">
      <pane ySplit="1" topLeftCell="A272" activePane="bottomLeft" state="frozen"/>
      <selection activeCell="D34" sqref="D34"/>
      <selection pane="bottomLeft" activeCell="B290" sqref="B290:B29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input_364100!A$2</f>
        <v>364100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IFERROR(VLOOKUP(B2,input_364100!L:R,7,FALSE),VLOOKUP(tables_364100!C2,input_364100!A:H,8,FALSE))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input_364100!A$2</f>
        <v>364100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IFERROR(VLOOKUP(B3,input_364100!L:R,7,FALSE),VLOOKUP(tables_364100!C3,input_364100!A:H,8,FALSE))</f>
        <v>166840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input_364100!A$2</f>
        <v>364100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IFERROR(VLOOKUP(B4,input_364100!L:R,7,FALSE),VLOOKUP(tables_364100!C4,input_364100!A:H,8,FALSE))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input_364100!A$2</f>
        <v>364100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IFERROR(VLOOKUP(B5,input_364100!L:R,7,FALSE),VLOOKUP(tables_364100!C5,input_364100!A:H,8,FALSE))</f>
        <v>166840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input_364100!A$2</f>
        <v>364100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IFERROR(VLOOKUP(B6,input_364100!L:R,7,FALSE),VLOOKUP(tables_364100!C6,input_364100!A:H,8,FALSE))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input_364100!A$2</f>
        <v>364100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IFERROR(VLOOKUP(B7,input_364100!L:R,7,FALSE),VLOOKUP(tables_364100!C7,input_364100!A:H,8,FALSE))</f>
        <v>166840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input_364100!A$2</f>
        <v>364100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IFERROR(VLOOKUP(B8,input_364100!L:R,7,FALSE),VLOOKUP(tables_364100!C8,input_364100!A:H,8,FALSE))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input_364100!A$2</f>
        <v>364100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IFERROR(VLOOKUP(B9,input_364100!L:R,7,FALSE),VLOOKUP(tables_364100!C9,input_364100!A:H,8,FALSE))</f>
        <v>166840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input_364100!A$2</f>
        <v>364100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IFERROR(VLOOKUP(B10,input_364100!L:R,7,FALSE),VLOOKUP(tables_364100!C10,input_364100!A:H,8,FALSE))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input_364100!A$2</f>
        <v>364100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IFERROR(VLOOKUP(B11,input_364100!L:R,7,FALSE),VLOOKUP(tables_364100!C11,input_364100!A:H,8,FALSE))</f>
        <v>166840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input_364100!A$2</f>
        <v>364100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IFERROR(VLOOKUP(B12,input_364100!L:R,7,FALSE),VLOOKUP(tables_364100!C12,input_364100!A:H,8,FALSE))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input_364100!A$2</f>
        <v>364100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IFERROR(VLOOKUP(B13,input_364100!L:R,7,FALSE),VLOOKUP(tables_364100!C13,input_364100!A:H,8,FALSE))</f>
        <v>166840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input_364100!A$2</f>
        <v>364100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IFERROR(VLOOKUP(B14,input_364100!L:R,7,FALSE),VLOOKUP(tables_364100!C14,input_364100!A:H,8,FALSE))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input_364100!A$2</f>
        <v>364100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IFERROR(VLOOKUP(B15,input_364100!L:R,7,FALSE),VLOOKUP(tables_364100!C15,input_364100!A:H,8,FALSE))</f>
        <v>166840</v>
      </c>
      <c r="P15" s="46">
        <f t="shared" ref="P15:P78" ca="1" si="2">O15/SUM(O:O)</f>
        <v>1.1975308641975308E-2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input_364100!A$2</f>
        <v>364100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IFERROR(VLOOKUP(B16,input_364100!L:R,7,FALSE),VLOOKUP(tables_364100!C16,input_364100!A:H,8,FALSE))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input_364100!A$2</f>
        <v>364100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IFERROR(VLOOKUP(B17,input_364100!L:R,7,FALSE),VLOOKUP(tables_364100!C17,input_364100!A:H,8,FALSE))</f>
        <v>166840</v>
      </c>
      <c r="P17" s="46">
        <f t="shared" ca="1" si="2"/>
        <v>1.1975308641975308E-2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input_364100!A$2</f>
        <v>364100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IFERROR(VLOOKUP(B18,input_364100!L:R,7,FALSE),VLOOKUP(tables_364100!C18,input_364100!A:H,8,FALSE))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input_364100!A$2</f>
        <v>364100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IFERROR(VLOOKUP(B19,input_364100!L:R,7,FALSE),VLOOKUP(tables_364100!C19,input_364100!A:H,8,FALSE))</f>
        <v>166840</v>
      </c>
      <c r="P19" s="46">
        <f t="shared" ca="1" si="2"/>
        <v>1.1975308641975308E-2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input_364100!A$2</f>
        <v>364100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IFERROR(VLOOKUP(B20,input_364100!L:R,7,FALSE),VLOOKUP(tables_364100!C20,input_364100!A:H,8,FALSE))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input_364100!A$2</f>
        <v>364100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IFERROR(VLOOKUP(B21,input_364100!L:R,7,FALSE),VLOOKUP(tables_364100!C21,input_364100!A:H,8,FALSE))</f>
        <v>166840</v>
      </c>
      <c r="P21" s="46">
        <f t="shared" ca="1" si="2"/>
        <v>1.1975308641975308E-2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input_364100!A$2</f>
        <v>364100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IFERROR(VLOOKUP(B22,input_364100!L:R,7,FALSE),VLOOKUP(tables_364100!C22,input_364100!A:H,8,FALSE))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input_364100!A$2</f>
        <v>364100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IFERROR(VLOOKUP(B23,input_364100!L:R,7,FALSE),VLOOKUP(tables_364100!C23,input_364100!A:H,8,FALSE))</f>
        <v>166840</v>
      </c>
      <c r="P23" s="46">
        <f t="shared" ca="1" si="2"/>
        <v>1.1975308641975308E-2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input_364100!A$2</f>
        <v>364100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IFERROR(VLOOKUP(B24,input_364100!L:R,7,FALSE),VLOOKUP(tables_364100!C24,input_364100!A:H,8,FALSE))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input_364100!A$2</f>
        <v>364100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IFERROR(VLOOKUP(B25,input_364100!L:R,7,FALSE),VLOOKUP(tables_364100!C25,input_364100!A:H,8,FALSE))</f>
        <v>166840</v>
      </c>
      <c r="P25" s="46">
        <f t="shared" ca="1" si="2"/>
        <v>1.1975308641975308E-2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input_364100!A$2</f>
        <v>364100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IFERROR(VLOOKUP(B26,input_364100!L:R,7,FALSE),VLOOKUP(tables_364100!C26,input_364100!A:H,8,FALSE))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input_364100!A$2</f>
        <v>364100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IFERROR(VLOOKUP(B27,input_364100!L:R,7,FALSE),VLOOKUP(tables_364100!C27,input_364100!A:H,8,FALSE))</f>
        <v>166840</v>
      </c>
      <c r="P27" s="46">
        <f t="shared" ca="1" si="2"/>
        <v>1.1975308641975308E-2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input_364100!A$2</f>
        <v>364100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IFERROR(VLOOKUP(B28,input_364100!L:R,7,FALSE),VLOOKUP(tables_364100!C28,input_364100!A:H,8,FALSE))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input_364100!A$2</f>
        <v>364100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IFERROR(VLOOKUP(B29,input_364100!L:R,7,FALSE),VLOOKUP(tables_364100!C29,input_364100!A:H,8,FALSE))</f>
        <v>166840</v>
      </c>
      <c r="P29" s="46">
        <f t="shared" ca="1" si="2"/>
        <v>1.1975308641975308E-2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input_364100!A$2</f>
        <v>364100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IFERROR(VLOOKUP(B30,input_364100!L:R,7,FALSE),VLOOKUP(tables_364100!C30,input_364100!A:H,8,FALSE))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input_364100!A$2</f>
        <v>364100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IFERROR(VLOOKUP(B31,input_364100!L:R,7,FALSE),VLOOKUP(tables_364100!C31,input_364100!A:H,8,FALSE))</f>
        <v>166840</v>
      </c>
      <c r="P31" s="46">
        <f t="shared" ca="1" si="2"/>
        <v>1.1975308641975308E-2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input_364100!A$2</f>
        <v>364100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IFERROR(VLOOKUP(B32,input_364100!L:R,7,FALSE),VLOOKUP(tables_364100!C32,input_364100!A:H,8,FALSE))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input_364100!A$2</f>
        <v>364100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IFERROR(VLOOKUP(B33,input_364100!L:R,7,FALSE),VLOOKUP(tables_364100!C33,input_364100!A:H,8,FALSE))</f>
        <v>166840</v>
      </c>
      <c r="P33" s="46">
        <f t="shared" ca="1" si="2"/>
        <v>1.1975308641975308E-2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input_364100!A$2</f>
        <v>364100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IFERROR(VLOOKUP(B34,input_364100!L:R,7,FALSE),VLOOKUP(tables_364100!C34,input_364100!A:H,8,FALSE))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input_364100!A$2</f>
        <v>364100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IFERROR(VLOOKUP(B35,input_364100!L:R,7,FALSE),VLOOKUP(tables_364100!C35,input_364100!A:H,8,FALSE))</f>
        <v>166840</v>
      </c>
      <c r="P35" s="46">
        <f t="shared" ca="1" si="2"/>
        <v>1.1975308641975308E-2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input_364100!A$2</f>
        <v>364100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IFERROR(VLOOKUP(B36,input_364100!L:R,7,FALSE),VLOOKUP(tables_364100!C36,input_364100!A:H,8,FALSE))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input_364100!A$2</f>
        <v>364100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IFERROR(VLOOKUP(B37,input_364100!L:R,7,FALSE),VLOOKUP(tables_364100!C37,input_364100!A:H,8,FALSE))</f>
        <v>166840</v>
      </c>
      <c r="P37" s="46">
        <f t="shared" ca="1" si="2"/>
        <v>1.1975308641975308E-2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input_364100!A$2</f>
        <v>364100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IFERROR(VLOOKUP(B38,input_364100!L:R,7,FALSE),VLOOKUP(tables_364100!C38,input_364100!A:H,8,FALSE))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input_364100!A$2</f>
        <v>364100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IFERROR(VLOOKUP(B39,input_364100!L:R,7,FALSE),VLOOKUP(tables_364100!C39,input_364100!A:H,8,FALSE))</f>
        <v>166840</v>
      </c>
      <c r="P39" s="46">
        <f t="shared" ca="1" si="2"/>
        <v>1.1975308641975308E-2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input_364100!A$2</f>
        <v>364100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IFERROR(VLOOKUP(B40,input_364100!L:R,7,FALSE),VLOOKUP(tables_364100!C40,input_364100!A:H,8,FALSE))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input_364100!A$2</f>
        <v>364100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IFERROR(VLOOKUP(B41,input_364100!L:R,7,FALSE),VLOOKUP(tables_364100!C41,input_364100!A:H,8,FALSE))</f>
        <v>166840</v>
      </c>
      <c r="P41" s="46">
        <f t="shared" ca="1" si="2"/>
        <v>1.1975308641975308E-2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input_364100!A$2</f>
        <v>364100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IFERROR(VLOOKUP(B42,input_364100!L:R,7,FALSE),VLOOKUP(tables_364100!C42,input_364100!A:H,8,FALSE))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input_364100!A$2</f>
        <v>364100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IFERROR(VLOOKUP(B43,input_364100!L:R,7,FALSE),VLOOKUP(tables_364100!C43,input_364100!A:H,8,FALSE))</f>
        <v>9234</v>
      </c>
      <c r="P43" s="46">
        <f t="shared" ca="1" si="2"/>
        <v>6.6279069767441858E-4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input_364100!A$2</f>
        <v>364100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IFERROR(VLOOKUP(B44,input_364100!L:R,7,FALSE),VLOOKUP(tables_364100!C44,input_364100!A:H,8,FALSE))</f>
        <v>486</v>
      </c>
      <c r="P44" s="46">
        <f t="shared" ca="1" si="2"/>
        <v>3.4883720930232556E-5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input_364100!A$2</f>
        <v>364100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IFERROR(VLOOKUP(B45,input_364100!L:R,7,FALSE),VLOOKUP(tables_364100!C45,input_364100!A:H,8,FALSE))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input_364100!A$2</f>
        <v>364100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IFERROR(VLOOKUP(B46,input_364100!L:R,7,FALSE),VLOOKUP(tables_364100!C46,input_364100!A:H,8,FALSE))</f>
        <v>9234</v>
      </c>
      <c r="P46" s="46">
        <f t="shared" ca="1" si="2"/>
        <v>6.6279069767441858E-4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input_364100!A$2</f>
        <v>364100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IFERROR(VLOOKUP(B47,input_364100!L:R,7,FALSE),VLOOKUP(tables_364100!C47,input_364100!A:H,8,FALSE))</f>
        <v>486</v>
      </c>
      <c r="P47" s="46">
        <f t="shared" ca="1" si="2"/>
        <v>3.4883720930232556E-5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input_364100!A$2</f>
        <v>364100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IFERROR(VLOOKUP(B48,input_364100!L:R,7,FALSE),VLOOKUP(tables_364100!C48,input_364100!A:H,8,FALSE))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input_364100!A$2</f>
        <v>364100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IFERROR(VLOOKUP(B49,input_364100!L:R,7,FALSE),VLOOKUP(tables_364100!C49,input_364100!A:H,8,FALSE))</f>
        <v>9234</v>
      </c>
      <c r="P49" s="46">
        <f t="shared" ca="1" si="2"/>
        <v>6.6279069767441858E-4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input_364100!A$2</f>
        <v>364100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IFERROR(VLOOKUP(B50,input_364100!L:R,7,FALSE),VLOOKUP(tables_364100!C50,input_364100!A:H,8,FALSE))</f>
        <v>486</v>
      </c>
      <c r="P50" s="46">
        <f t="shared" ca="1" si="2"/>
        <v>3.4883720930232556E-5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input_364100!A$2</f>
        <v>364100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IFERROR(VLOOKUP(B51,input_364100!L:R,7,FALSE),VLOOKUP(tables_364100!C51,input_364100!A:H,8,FALSE))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input_364100!A$2</f>
        <v>364100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IFERROR(VLOOKUP(B52,input_364100!L:R,7,FALSE),VLOOKUP(tables_364100!C52,input_364100!A:H,8,FALSE))</f>
        <v>158498</v>
      </c>
      <c r="P52" s="46">
        <f t="shared" ca="1" si="2"/>
        <v>1.1376543209876543E-2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input_364100!A$2</f>
        <v>364100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IFERROR(VLOOKUP(B53,input_364100!L:R,7,FALSE),VLOOKUP(tables_364100!C53,input_364100!A:H,8,FALSE))</f>
        <v>8342</v>
      </c>
      <c r="P53" s="46">
        <f t="shared" ca="1" si="2"/>
        <v>5.9876543209876542E-4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input_364100!A$2</f>
        <v>364100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IFERROR(VLOOKUP(B54,input_364100!L:R,7,FALSE),VLOOKUP(tables_364100!C54,input_364100!A:H,8,FALSE))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input_364100!A$2</f>
        <v>364100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IFERROR(VLOOKUP(B55,input_364100!L:R,7,FALSE),VLOOKUP(tables_364100!C55,input_364100!A:H,8,FALSE))</f>
        <v>158498</v>
      </c>
      <c r="P55" s="46">
        <f t="shared" ca="1" si="2"/>
        <v>1.1376543209876543E-2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input_364100!A$2</f>
        <v>364100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IFERROR(VLOOKUP(B56,input_364100!L:R,7,FALSE),VLOOKUP(tables_364100!C56,input_364100!A:H,8,FALSE))</f>
        <v>8342</v>
      </c>
      <c r="P56" s="46">
        <f t="shared" ca="1" si="2"/>
        <v>5.9876543209876542E-4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input_364100!A$2</f>
        <v>364100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IFERROR(VLOOKUP(B57,input_364100!L:R,7,FALSE),VLOOKUP(tables_364100!C57,input_364100!A:H,8,FALSE))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input_364100!A$2</f>
        <v>364100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IFERROR(VLOOKUP(B58,input_364100!L:R,7,FALSE),VLOOKUP(tables_364100!C58,input_364100!A:H,8,FALSE))</f>
        <v>158498</v>
      </c>
      <c r="P58" s="46">
        <f t="shared" ca="1" si="2"/>
        <v>1.1376543209876543E-2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input_364100!A$2</f>
        <v>364100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IFERROR(VLOOKUP(B59,input_364100!L:R,7,FALSE),VLOOKUP(tables_364100!C59,input_364100!A:H,8,FALSE))</f>
        <v>8342</v>
      </c>
      <c r="P59" s="46">
        <f t="shared" ca="1" si="2"/>
        <v>5.9876543209876542E-4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input_364100!A$2</f>
        <v>364100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IFERROR(VLOOKUP(B60,input_364100!L:R,7,FALSE),VLOOKUP(tables_364100!C60,input_364100!A:H,8,FALSE))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input_364100!A$2</f>
        <v>364100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IFERROR(VLOOKUP(B61,input_364100!L:R,7,FALSE),VLOOKUP(tables_364100!C61,input_364100!A:H,8,FALSE))</f>
        <v>158498</v>
      </c>
      <c r="P61" s="46">
        <f t="shared" ca="1" si="2"/>
        <v>1.1376543209876543E-2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input_364100!A$2</f>
        <v>364100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IFERROR(VLOOKUP(B62,input_364100!L:R,7,FALSE),VLOOKUP(tables_364100!C62,input_364100!A:H,8,FALSE))</f>
        <v>8342</v>
      </c>
      <c r="P62" s="46">
        <f t="shared" ca="1" si="2"/>
        <v>5.9876543209876542E-4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input_364100!A$2</f>
        <v>364100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IFERROR(VLOOKUP(B63,input_364100!L:R,7,FALSE),VLOOKUP(tables_364100!C63,input_364100!A:H,8,FALSE))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input_364100!A$2</f>
        <v>364100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IFERROR(VLOOKUP(B64,input_364100!L:R,7,FALSE),VLOOKUP(tables_364100!C64,input_364100!A:H,8,FALSE))</f>
        <v>158498</v>
      </c>
      <c r="P64" s="46">
        <f t="shared" ca="1" si="2"/>
        <v>1.1376543209876543E-2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input_364100!A$2</f>
        <v>364100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IFERROR(VLOOKUP(B65,input_364100!L:R,7,FALSE),VLOOKUP(tables_364100!C65,input_364100!A:H,8,FALSE))</f>
        <v>8342</v>
      </c>
      <c r="P65" s="46">
        <f t="shared" ca="1" si="2"/>
        <v>5.9876543209876542E-4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input_364100!A$2</f>
        <v>364100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IFERROR(VLOOKUP(B66,input_364100!L:R,7,FALSE),VLOOKUP(tables_364100!C66,input_364100!A:H,8,FALSE))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input_364100!A$2</f>
        <v>364100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IFERROR(VLOOKUP(B67,input_364100!L:R,7,FALSE),VLOOKUP(tables_364100!C67,input_364100!A:H,8,FALSE))</f>
        <v>158498</v>
      </c>
      <c r="P67" s="46">
        <f t="shared" ca="1" si="2"/>
        <v>1.1376543209876543E-2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input_364100!A$2</f>
        <v>364100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IFERROR(VLOOKUP(B68,input_364100!L:R,7,FALSE),VLOOKUP(tables_364100!C68,input_364100!A:H,8,FALSE))</f>
        <v>8342</v>
      </c>
      <c r="P68" s="46">
        <f t="shared" ca="1" si="2"/>
        <v>5.9876543209876542E-4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input_364100!A$2</f>
        <v>364100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IFERROR(VLOOKUP(B69,input_364100!L:R,7,FALSE),VLOOKUP(tables_364100!C69,input_364100!A:H,8,FALSE))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input_364100!A$2</f>
        <v>364100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IFERROR(VLOOKUP(B70,input_364100!L:R,7,FALSE),VLOOKUP(tables_364100!C70,input_364100!A:H,8,FALSE))</f>
        <v>158498</v>
      </c>
      <c r="P70" s="46">
        <f t="shared" ca="1" si="2"/>
        <v>1.1376543209876543E-2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input_364100!A$2</f>
        <v>364100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IFERROR(VLOOKUP(B71,input_364100!L:R,7,FALSE),VLOOKUP(tables_364100!C71,input_364100!A:H,8,FALSE))</f>
        <v>8342</v>
      </c>
      <c r="P71" s="46">
        <f t="shared" ca="1" si="2"/>
        <v>5.9876543209876542E-4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input_364100!A$2</f>
        <v>364100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IFERROR(VLOOKUP(B72,input_364100!L:R,7,FALSE),VLOOKUP(tables_364100!C72,input_364100!A:H,8,FALSE))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input_364100!A$2</f>
        <v>364100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IFERROR(VLOOKUP(B73,input_364100!L:R,7,FALSE),VLOOKUP(tables_364100!C73,input_364100!A:H,8,FALSE))</f>
        <v>158498</v>
      </c>
      <c r="P73" s="46">
        <f t="shared" ca="1" si="2"/>
        <v>1.1376543209876543E-2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input_364100!A$2</f>
        <v>364100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IFERROR(VLOOKUP(B74,input_364100!L:R,7,FALSE),VLOOKUP(tables_364100!C74,input_364100!A:H,8,FALSE))</f>
        <v>8342</v>
      </c>
      <c r="P74" s="46">
        <f t="shared" ca="1" si="2"/>
        <v>5.9876543209876542E-4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input_364100!A$2</f>
        <v>364100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IFERROR(VLOOKUP(B75,input_364100!L:R,7,FALSE),VLOOKUP(tables_364100!C75,input_364100!A:H,8,FALSE))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input_364100!A$2</f>
        <v>364100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IFERROR(VLOOKUP(B76,input_364100!L:R,7,FALSE),VLOOKUP(tables_364100!C76,input_364100!A:H,8,FALSE))</f>
        <v>158498</v>
      </c>
      <c r="P76" s="46">
        <f t="shared" ca="1" si="2"/>
        <v>1.1376543209876543E-2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input_364100!A$2</f>
        <v>364100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IFERROR(VLOOKUP(B77,input_364100!L:R,7,FALSE),VLOOKUP(tables_364100!C77,input_364100!A:H,8,FALSE))</f>
        <v>8342</v>
      </c>
      <c r="P77" s="46">
        <f t="shared" ca="1" si="2"/>
        <v>5.9876543209876542E-4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input_364100!A$2</f>
        <v>364100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IFERROR(VLOOKUP(B78,input_364100!L:R,7,FALSE),VLOOKUP(tables_364100!C78,input_364100!A:H,8,FALSE))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input_364100!A$2</f>
        <v>364100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IFERROR(VLOOKUP(B79,input_364100!L:R,7,FALSE),VLOOKUP(tables_364100!C79,input_364100!A:H,8,FALSE))</f>
        <v>158498</v>
      </c>
      <c r="P79" s="46">
        <f t="shared" ref="P79:P142" ca="1" si="5">O79/SUM(O:O)</f>
        <v>1.1376543209876543E-2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input_364100!A$2</f>
        <v>364100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IFERROR(VLOOKUP(B80,input_364100!L:R,7,FALSE),VLOOKUP(tables_364100!C80,input_364100!A:H,8,FALSE))</f>
        <v>8342</v>
      </c>
      <c r="P80" s="46">
        <f t="shared" ca="1" si="5"/>
        <v>5.9876543209876542E-4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input_364100!A$2</f>
        <v>364100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IFERROR(VLOOKUP(B81,input_364100!L:R,7,FALSE),VLOOKUP(tables_364100!C81,input_364100!A:H,8,FALSE))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input_364100!A$2</f>
        <v>364100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IFERROR(VLOOKUP(B82,input_364100!L:R,7,FALSE),VLOOKUP(tables_364100!C82,input_364100!A:H,8,FALSE))</f>
        <v>158498</v>
      </c>
      <c r="P82" s="46">
        <f t="shared" ca="1" si="5"/>
        <v>1.1376543209876543E-2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input_364100!A$2</f>
        <v>364100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IFERROR(VLOOKUP(B83,input_364100!L:R,7,FALSE),VLOOKUP(tables_364100!C83,input_364100!A:H,8,FALSE))</f>
        <v>8342</v>
      </c>
      <c r="P83" s="46">
        <f t="shared" ca="1" si="5"/>
        <v>5.9876543209876542E-4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input_364100!A$2</f>
        <v>364100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IFERROR(VLOOKUP(B84,input_364100!L:R,7,FALSE),VLOOKUP(tables_364100!C84,input_364100!A:H,8,FALSE))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input_364100!A$2</f>
        <v>364100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IFERROR(VLOOKUP(B85,input_364100!L:R,7,FALSE),VLOOKUP(tables_364100!C85,input_364100!A:H,8,FALSE))</f>
        <v>158498</v>
      </c>
      <c r="P85" s="46">
        <f t="shared" ca="1" si="5"/>
        <v>1.1376543209876543E-2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input_364100!A$2</f>
        <v>364100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IFERROR(VLOOKUP(B86,input_364100!L:R,7,FALSE),VLOOKUP(tables_364100!C86,input_364100!A:H,8,FALSE))</f>
        <v>8342</v>
      </c>
      <c r="P86" s="46">
        <f t="shared" ca="1" si="5"/>
        <v>5.9876543209876542E-4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input_364100!A$2</f>
        <v>364100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IFERROR(VLOOKUP(B87,input_364100!L:R,7,FALSE),VLOOKUP(tables_364100!C87,input_364100!A:H,8,FALSE))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input_364100!A$2</f>
        <v>364100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IFERROR(VLOOKUP(B88,input_364100!L:R,7,FALSE),VLOOKUP(tables_364100!C88,input_364100!A:H,8,FALSE))</f>
        <v>158498</v>
      </c>
      <c r="P88" s="46">
        <f t="shared" ca="1" si="5"/>
        <v>1.1376543209876543E-2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input_364100!A$2</f>
        <v>364100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IFERROR(VLOOKUP(B89,input_364100!L:R,7,FALSE),VLOOKUP(tables_364100!C89,input_364100!A:H,8,FALSE))</f>
        <v>8342</v>
      </c>
      <c r="P89" s="46">
        <f t="shared" ca="1" si="5"/>
        <v>5.9876543209876542E-4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input_364100!A$2</f>
        <v>364100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IFERROR(VLOOKUP(B90,input_364100!L:R,7,FALSE),VLOOKUP(tables_364100!C90,input_364100!A:H,8,FALSE))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input_364100!A$2</f>
        <v>364100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IFERROR(VLOOKUP(B91,input_364100!L:R,7,FALSE),VLOOKUP(tables_364100!C91,input_364100!A:H,8,FALSE))</f>
        <v>158498</v>
      </c>
      <c r="P91" s="46">
        <f t="shared" ca="1" si="5"/>
        <v>1.1376543209876543E-2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input_364100!A$2</f>
        <v>364100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IFERROR(VLOOKUP(B92,input_364100!L:R,7,FALSE),VLOOKUP(tables_364100!C92,input_364100!A:H,8,FALSE))</f>
        <v>8342</v>
      </c>
      <c r="P92" s="46">
        <f t="shared" ca="1" si="5"/>
        <v>5.9876543209876542E-4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input_364100!A$2</f>
        <v>364100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IFERROR(VLOOKUP(B93,input_364100!L:R,7,FALSE),VLOOKUP(tables_364100!C93,input_364100!A:H,8,FALSE))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input_364100!A$2</f>
        <v>364100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IFERROR(VLOOKUP(B94,input_364100!L:R,7,FALSE),VLOOKUP(tables_364100!C94,input_364100!A:H,8,FALSE))</f>
        <v>158498</v>
      </c>
      <c r="P94" s="46">
        <f t="shared" ca="1" si="5"/>
        <v>1.1376543209876543E-2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input_364100!A$2</f>
        <v>364100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IFERROR(VLOOKUP(B95,input_364100!L:R,7,FALSE),VLOOKUP(tables_364100!C95,input_364100!A:H,8,FALSE))</f>
        <v>8342</v>
      </c>
      <c r="P95" s="46">
        <f t="shared" ca="1" si="5"/>
        <v>5.9876543209876542E-4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input_364100!A$2</f>
        <v>364100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IFERROR(VLOOKUP(B96,input_364100!L:R,7,FALSE),VLOOKUP(tables_364100!C96,input_364100!A:H,8,FALSE))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input_364100!A$2</f>
        <v>364100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IFERROR(VLOOKUP(B97,input_364100!L:R,7,FALSE),VLOOKUP(tables_364100!C97,input_364100!A:H,8,FALSE))</f>
        <v>158498</v>
      </c>
      <c r="P97" s="46">
        <f t="shared" ca="1" si="5"/>
        <v>1.1376543209876543E-2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input_364100!A$2</f>
        <v>364100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IFERROR(VLOOKUP(B98,input_364100!L:R,7,FALSE),VLOOKUP(tables_364100!C98,input_364100!A:H,8,FALSE))</f>
        <v>8342</v>
      </c>
      <c r="P98" s="46">
        <f t="shared" ca="1" si="5"/>
        <v>5.9876543209876542E-4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input_364100!A$2</f>
        <v>364100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IFERROR(VLOOKUP(B99,input_364100!L:R,7,FALSE),VLOOKUP(tables_364100!C99,input_364100!A:H,8,FALSE))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input_364100!A$2</f>
        <v>364100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IFERROR(VLOOKUP(B100,input_364100!L:R,7,FALSE),VLOOKUP(tables_364100!C100,input_364100!A:H,8,FALSE))</f>
        <v>158498</v>
      </c>
      <c r="P100" s="46">
        <f t="shared" ca="1" si="5"/>
        <v>1.1376543209876543E-2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input_364100!A$2</f>
        <v>364100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IFERROR(VLOOKUP(B101,input_364100!L:R,7,FALSE),VLOOKUP(tables_364100!C101,input_364100!A:H,8,FALSE))</f>
        <v>8342</v>
      </c>
      <c r="P101" s="46">
        <f t="shared" ca="1" si="5"/>
        <v>5.9876543209876542E-4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input_364100!A$2</f>
        <v>364100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IFERROR(VLOOKUP(B102,input_364100!L:R,7,FALSE),VLOOKUP(tables_364100!C102,input_364100!A:H,8,FALSE))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input_364100!A$2</f>
        <v>364100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IFERROR(VLOOKUP(B103,input_364100!L:R,7,FALSE),VLOOKUP(tables_364100!C103,input_364100!A:H,8,FALSE))</f>
        <v>158498</v>
      </c>
      <c r="P103" s="46">
        <f t="shared" ca="1" si="5"/>
        <v>1.1376543209876543E-2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input_364100!A$2</f>
        <v>364100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IFERROR(VLOOKUP(B104,input_364100!L:R,7,FALSE),VLOOKUP(tables_364100!C104,input_364100!A:H,8,FALSE))</f>
        <v>8342</v>
      </c>
      <c r="P104" s="46">
        <f t="shared" ca="1" si="5"/>
        <v>5.9876543209876542E-4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input_364100!A$2</f>
        <v>364100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IFERROR(VLOOKUP(B105,input_364100!L:R,7,FALSE),VLOOKUP(tables_364100!C105,input_364100!A:H,8,FALSE))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input_364100!A$2</f>
        <v>364100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IFERROR(VLOOKUP(B106,input_364100!L:R,7,FALSE),VLOOKUP(tables_364100!C106,input_364100!A:H,8,FALSE))</f>
        <v>158498</v>
      </c>
      <c r="P106" s="46">
        <f t="shared" ca="1" si="5"/>
        <v>1.1376543209876543E-2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input_364100!A$2</f>
        <v>364100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IFERROR(VLOOKUP(B107,input_364100!L:R,7,FALSE),VLOOKUP(tables_364100!C107,input_364100!A:H,8,FALSE))</f>
        <v>8342</v>
      </c>
      <c r="P107" s="46">
        <f t="shared" ca="1" si="5"/>
        <v>5.9876543209876542E-4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input_364100!A$2</f>
        <v>364100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IFERROR(VLOOKUP(B108,input_364100!L:R,7,FALSE),VLOOKUP(tables_364100!C108,input_364100!A:H,8,FALSE))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input_364100!A$2</f>
        <v>364100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IFERROR(VLOOKUP(B109,input_364100!L:R,7,FALSE),VLOOKUP(tables_364100!C109,input_364100!A:H,8,FALSE))</f>
        <v>158498</v>
      </c>
      <c r="P109" s="46">
        <f t="shared" ca="1" si="5"/>
        <v>1.1376543209876543E-2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input_364100!A$2</f>
        <v>364100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IFERROR(VLOOKUP(B110,input_364100!L:R,7,FALSE),VLOOKUP(tables_364100!C110,input_364100!A:H,8,FALSE))</f>
        <v>8342</v>
      </c>
      <c r="P110" s="46">
        <f t="shared" ca="1" si="5"/>
        <v>5.9876543209876542E-4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input_364100!A$2</f>
        <v>364100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IFERROR(VLOOKUP(B111,input_364100!L:R,7,FALSE),VLOOKUP(tables_364100!C111,input_364100!A:H,8,FALSE))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input_364100!A$2</f>
        <v>364100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IFERROR(VLOOKUP(B112,input_364100!L:R,7,FALSE),VLOOKUP(tables_364100!C112,input_364100!A:H,8,FALSE))</f>
        <v>9234</v>
      </c>
      <c r="P112" s="46">
        <f t="shared" ca="1" si="5"/>
        <v>6.6279069767441858E-4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input_364100!A$2</f>
        <v>364100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IFERROR(VLOOKUP(B113,input_364100!L:R,7,FALSE),VLOOKUP(tables_364100!C113,input_364100!A:H,8,FALSE))</f>
        <v>486</v>
      </c>
      <c r="P113" s="46">
        <f t="shared" ca="1" si="5"/>
        <v>3.4883720930232556E-5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input_364100!A$2</f>
        <v>364100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IFERROR(VLOOKUP(B114,input_364100!L:R,7,FALSE),VLOOKUP(tables_364100!C114,input_364100!A:H,8,FALSE))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input_364100!A$2</f>
        <v>364100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IFERROR(VLOOKUP(B115,input_364100!L:R,7,FALSE),VLOOKUP(tables_364100!C115,input_364100!A:H,8,FALSE))</f>
        <v>158498</v>
      </c>
      <c r="P115" s="46">
        <f t="shared" ca="1" si="5"/>
        <v>1.1376543209876543E-2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input_364100!A$2</f>
        <v>364100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IFERROR(VLOOKUP(B116,input_364100!L:R,7,FALSE),VLOOKUP(tables_364100!C116,input_364100!A:H,8,FALSE))</f>
        <v>8342</v>
      </c>
      <c r="P116" s="46">
        <f t="shared" ca="1" si="5"/>
        <v>5.9876543209876542E-4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input_364100!A$2</f>
        <v>364100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IFERROR(VLOOKUP(B117,input_364100!L:R,7,FALSE),VLOOKUP(tables_364100!C117,input_364100!A:H,8,FALSE))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input_364100!A$2</f>
        <v>364100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IFERROR(VLOOKUP(B118,input_364100!L:R,7,FALSE),VLOOKUP(tables_364100!C118,input_364100!A:H,8,FALSE))</f>
        <v>158498</v>
      </c>
      <c r="P118" s="46">
        <f t="shared" ca="1" si="5"/>
        <v>1.1376543209876543E-2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input_364100!A$2</f>
        <v>364100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IFERROR(VLOOKUP(B119,input_364100!L:R,7,FALSE),VLOOKUP(tables_364100!C119,input_364100!A:H,8,FALSE))</f>
        <v>8342</v>
      </c>
      <c r="P119" s="46">
        <f t="shared" ca="1" si="5"/>
        <v>5.9876543209876542E-4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input_364100!A$2</f>
        <v>364100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IFERROR(VLOOKUP(B120,input_364100!L:R,7,FALSE),VLOOKUP(tables_364100!C120,input_364100!A:H,8,FALSE))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input_364100!A$2</f>
        <v>364100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IFERROR(VLOOKUP(B121,input_364100!L:R,7,FALSE),VLOOKUP(tables_364100!C121,input_364100!A:H,8,FALSE))</f>
        <v>158498</v>
      </c>
      <c r="P121" s="46">
        <f t="shared" ca="1" si="5"/>
        <v>1.1376543209876543E-2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input_364100!A$2</f>
        <v>364100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IFERROR(VLOOKUP(B122,input_364100!L:R,7,FALSE),VLOOKUP(tables_364100!C122,input_364100!A:H,8,FALSE))</f>
        <v>8342</v>
      </c>
      <c r="P122" s="46">
        <f t="shared" ca="1" si="5"/>
        <v>5.9876543209876542E-4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input_364100!A$2</f>
        <v>364100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IFERROR(VLOOKUP(B123,input_364100!L:R,7,FALSE),VLOOKUP(tables_364100!C123,input_364100!A:H,8,FALSE))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input_364100!A$2</f>
        <v>364100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IFERROR(VLOOKUP(B124,input_364100!L:R,7,FALSE),VLOOKUP(tables_364100!C124,input_364100!A:H,8,FALSE))</f>
        <v>158498</v>
      </c>
      <c r="P124" s="46">
        <f t="shared" ca="1" si="5"/>
        <v>1.1376543209876543E-2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input_364100!A$2</f>
        <v>364100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IFERROR(VLOOKUP(B125,input_364100!L:R,7,FALSE),VLOOKUP(tables_364100!C125,input_364100!A:H,8,FALSE))</f>
        <v>8342</v>
      </c>
      <c r="P125" s="46">
        <f t="shared" ca="1" si="5"/>
        <v>5.9876543209876542E-4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input_364100!A$2</f>
        <v>364100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IFERROR(VLOOKUP(B126,input_364100!L:R,7,FALSE),VLOOKUP(tables_364100!C126,input_364100!A:H,8,FALSE))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input_364100!A$2</f>
        <v>364100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IFERROR(VLOOKUP(B127,input_364100!L:R,7,FALSE),VLOOKUP(tables_364100!C127,input_364100!A:H,8,FALSE))</f>
        <v>158498</v>
      </c>
      <c r="P127" s="46">
        <f t="shared" ca="1" si="5"/>
        <v>1.1376543209876543E-2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input_364100!A$2</f>
        <v>364100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IFERROR(VLOOKUP(B128,input_364100!L:R,7,FALSE),VLOOKUP(tables_364100!C128,input_364100!A:H,8,FALSE))</f>
        <v>8342</v>
      </c>
      <c r="P128" s="46">
        <f t="shared" ca="1" si="5"/>
        <v>5.9876543209876542E-4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input_364100!A$2</f>
        <v>364100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IFERROR(VLOOKUP(B129,input_364100!L:R,7,FALSE),VLOOKUP(tables_364100!C129,input_364100!A:H,8,FALSE))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input_364100!A$2</f>
        <v>364100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IFERROR(VLOOKUP(B130,input_364100!L:R,7,FALSE),VLOOKUP(tables_364100!C130,input_364100!A:H,8,FALSE))</f>
        <v>158498</v>
      </c>
      <c r="P130" s="46">
        <f t="shared" ca="1" si="5"/>
        <v>1.1376543209876543E-2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input_364100!A$2</f>
        <v>364100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IFERROR(VLOOKUP(B131,input_364100!L:R,7,FALSE),VLOOKUP(tables_364100!C131,input_364100!A:H,8,FALSE))</f>
        <v>8342</v>
      </c>
      <c r="P131" s="46">
        <f t="shared" ca="1" si="5"/>
        <v>5.9876543209876542E-4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input_364100!A$2</f>
        <v>364100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IFERROR(VLOOKUP(B132,input_364100!L:R,7,FALSE),VLOOKUP(tables_364100!C132,input_364100!A:H,8,FALSE))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input_364100!A$2</f>
        <v>364100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IFERROR(VLOOKUP(B133,input_364100!L:R,7,FALSE),VLOOKUP(tables_364100!C133,input_364100!A:H,8,FALSE))</f>
        <v>158498</v>
      </c>
      <c r="P133" s="46">
        <f t="shared" ca="1" si="5"/>
        <v>1.1376543209876543E-2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input_364100!A$2</f>
        <v>364100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IFERROR(VLOOKUP(B134,input_364100!L:R,7,FALSE),VLOOKUP(tables_364100!C134,input_364100!A:H,8,FALSE))</f>
        <v>8342</v>
      </c>
      <c r="P134" s="46">
        <f t="shared" ca="1" si="5"/>
        <v>5.9876543209876542E-4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input_364100!A$2</f>
        <v>364100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IFERROR(VLOOKUP(B135,input_364100!L:R,7,FALSE),VLOOKUP(tables_364100!C135,input_364100!A:H,8,FALSE))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input_364100!A$2</f>
        <v>364100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IFERROR(VLOOKUP(B136,input_364100!L:R,7,FALSE),VLOOKUP(tables_364100!C136,input_364100!A:H,8,FALSE))</f>
        <v>158498</v>
      </c>
      <c r="P136" s="46">
        <f t="shared" ca="1" si="5"/>
        <v>1.1376543209876543E-2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input_364100!A$2</f>
        <v>364100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IFERROR(VLOOKUP(B137,input_364100!L:R,7,FALSE),VLOOKUP(tables_364100!C137,input_364100!A:H,8,FALSE))</f>
        <v>8342</v>
      </c>
      <c r="P137" s="46">
        <f t="shared" ca="1" si="5"/>
        <v>5.9876543209876542E-4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input_364100!A$2</f>
        <v>364100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IFERROR(VLOOKUP(B138,input_364100!L:R,7,FALSE),VLOOKUP(tables_364100!C138,input_364100!A:H,8,FALSE))</f>
        <v>9234</v>
      </c>
      <c r="P138" s="46">
        <f t="shared" ca="1" si="5"/>
        <v>6.6279069767441858E-4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input_364100!A$2</f>
        <v>364100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IFERROR(VLOOKUP(B139,input_364100!L:R,7,FALSE),VLOOKUP(tables_364100!C139,input_364100!A:H,8,FALSE))</f>
        <v>486</v>
      </c>
      <c r="P139" s="46">
        <f t="shared" ca="1" si="5"/>
        <v>3.4883720930232556E-5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input_364100!A$2</f>
        <v>364100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IFERROR(VLOOKUP(B140,input_364100!L:R,7,FALSE),VLOOKUP(tables_364100!C140,input_364100!A:H,8,FALSE))</f>
        <v>9234</v>
      </c>
      <c r="P140" s="46">
        <f t="shared" ca="1" si="5"/>
        <v>6.6279069767441858E-4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input_364100!A$2</f>
        <v>364100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IFERROR(VLOOKUP(B141,input_364100!L:R,7,FALSE),VLOOKUP(tables_364100!C141,input_364100!A:H,8,FALSE))</f>
        <v>486</v>
      </c>
      <c r="P141" s="46">
        <f t="shared" ca="1" si="5"/>
        <v>3.4883720930232556E-5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input_364100!A$2</f>
        <v>364100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IFERROR(VLOOKUP(B142,input_364100!L:R,7,FALSE),VLOOKUP(tables_364100!C142,input_364100!A:H,8,FALSE))</f>
        <v>9234</v>
      </c>
      <c r="P142" s="46">
        <f t="shared" ca="1" si="5"/>
        <v>6.6279069767441858E-4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input_364100!A$2</f>
        <v>364100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IFERROR(VLOOKUP(B143,input_364100!L:R,7,FALSE),VLOOKUP(tables_364100!C143,input_364100!A:H,8,FALSE))</f>
        <v>486</v>
      </c>
      <c r="P143" s="46">
        <f t="shared" ref="P143:P206" ca="1" si="8">O143/SUM(O:O)</f>
        <v>3.4883720930232556E-5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input_364100!A$2</f>
        <v>364100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IFERROR(VLOOKUP(B144,input_364100!L:R,7,FALSE),VLOOKUP(tables_364100!C144,input_364100!A:H,8,FALSE))</f>
        <v>9234</v>
      </c>
      <c r="P144" s="46">
        <f t="shared" ca="1" si="8"/>
        <v>6.6279069767441858E-4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input_364100!A$2</f>
        <v>364100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IFERROR(VLOOKUP(B145,input_364100!L:R,7,FALSE),VLOOKUP(tables_364100!C145,input_364100!A:H,8,FALSE))</f>
        <v>486</v>
      </c>
      <c r="P145" s="46">
        <f t="shared" ca="1" si="8"/>
        <v>3.4883720930232556E-5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input_364100!A$2</f>
        <v>364100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IFERROR(VLOOKUP(B146,input_364100!L:R,7,FALSE),VLOOKUP(tables_364100!C146,input_364100!A:H,8,FALSE))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input_364100!A$2</f>
        <v>364100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IFERROR(VLOOKUP(B147,input_364100!L:R,7,FALSE),VLOOKUP(tables_364100!C147,input_364100!A:H,8,FALSE))</f>
        <v>158498</v>
      </c>
      <c r="P147" s="46">
        <f t="shared" ca="1" si="8"/>
        <v>1.1376543209876543E-2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input_364100!A$2</f>
        <v>364100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IFERROR(VLOOKUP(B148,input_364100!L:R,7,FALSE),VLOOKUP(tables_364100!C148,input_364100!A:H,8,FALSE))</f>
        <v>8342</v>
      </c>
      <c r="P148" s="46">
        <f t="shared" ca="1" si="8"/>
        <v>5.9876543209876542E-4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input_364100!A$2</f>
        <v>364100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IFERROR(VLOOKUP(B149,input_364100!L:R,7,FALSE),VLOOKUP(tables_364100!C149,input_364100!A:H,8,FALSE))</f>
        <v>9234</v>
      </c>
      <c r="P149" s="46">
        <f t="shared" ca="1" si="8"/>
        <v>6.6279069767441858E-4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input_364100!A$2</f>
        <v>364100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IFERROR(VLOOKUP(B150,input_364100!L:R,7,FALSE),VLOOKUP(tables_364100!C150,input_364100!A:H,8,FALSE))</f>
        <v>486</v>
      </c>
      <c r="P150" s="46">
        <f t="shared" ca="1" si="8"/>
        <v>3.4883720930232556E-5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input_364100!A$2</f>
        <v>364100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IFERROR(VLOOKUP(B151,input_364100!L:R,7,FALSE),VLOOKUP(tables_364100!C151,input_364100!A:H,8,FALSE))</f>
        <v>9234</v>
      </c>
      <c r="P151" s="46">
        <f t="shared" ca="1" si="8"/>
        <v>6.6279069767441858E-4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input_364100!A$2</f>
        <v>364100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IFERROR(VLOOKUP(B152,input_364100!L:R,7,FALSE),VLOOKUP(tables_364100!C152,input_364100!A:H,8,FALSE))</f>
        <v>486</v>
      </c>
      <c r="P152" s="46">
        <f t="shared" ca="1" si="8"/>
        <v>3.4883720930232556E-5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input_364100!A$2</f>
        <v>364100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IFERROR(VLOOKUP(B153,input_364100!L:R,7,FALSE),VLOOKUP(tables_364100!C153,input_364100!A:H,8,FALSE))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input_364100!A$2</f>
        <v>364100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IFERROR(VLOOKUP(B154,input_364100!L:R,7,FALSE),VLOOKUP(tables_364100!C154,input_364100!A:H,8,FALSE))</f>
        <v>158498</v>
      </c>
      <c r="P154" s="46">
        <f t="shared" ca="1" si="8"/>
        <v>1.1376543209876543E-2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input_364100!A$2</f>
        <v>364100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IFERROR(VLOOKUP(B155,input_364100!L:R,7,FALSE),VLOOKUP(tables_364100!C155,input_364100!A:H,8,FALSE))</f>
        <v>8342</v>
      </c>
      <c r="P155" s="46">
        <f t="shared" ca="1" si="8"/>
        <v>5.9876543209876542E-4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input_364100!A$2</f>
        <v>364100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IFERROR(VLOOKUP(B156,input_364100!L:R,7,FALSE),VLOOKUP(tables_364100!C156,input_364100!A:H,8,FALSE))</f>
        <v>9234</v>
      </c>
      <c r="P156" s="46">
        <f t="shared" ca="1" si="8"/>
        <v>6.6279069767441858E-4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input_364100!A$2</f>
        <v>364100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IFERROR(VLOOKUP(B157,input_364100!L:R,7,FALSE),VLOOKUP(tables_364100!C157,input_364100!A:H,8,FALSE))</f>
        <v>486</v>
      </c>
      <c r="P157" s="46">
        <f t="shared" ca="1" si="8"/>
        <v>3.4883720930232556E-5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input_364100!A$2</f>
        <v>364100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IFERROR(VLOOKUP(B158,input_364100!L:R,7,FALSE),VLOOKUP(tables_364100!C158,input_364100!A:H,8,FALSE))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input_364100!A$2</f>
        <v>364100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IFERROR(VLOOKUP(B159,input_364100!L:R,7,FALSE),VLOOKUP(tables_364100!C159,input_364100!A:H,8,FALSE))</f>
        <v>158498</v>
      </c>
      <c r="P159" s="46">
        <f t="shared" ca="1" si="8"/>
        <v>1.1376543209876543E-2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input_364100!A$2</f>
        <v>364100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IFERROR(VLOOKUP(B160,input_364100!L:R,7,FALSE),VLOOKUP(tables_364100!C160,input_364100!A:H,8,FALSE))</f>
        <v>8342</v>
      </c>
      <c r="P160" s="46">
        <f t="shared" ca="1" si="8"/>
        <v>5.9876543209876542E-4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input_364100!A$2</f>
        <v>364100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IFERROR(VLOOKUP(B161,input_364100!L:R,7,FALSE),VLOOKUP(tables_364100!C161,input_364100!A:H,8,FALSE))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input_364100!A$2</f>
        <v>364100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IFERROR(VLOOKUP(B162,input_364100!L:R,7,FALSE),VLOOKUP(tables_364100!C162,input_364100!A:H,8,FALSE))</f>
        <v>158498</v>
      </c>
      <c r="P162" s="46">
        <f t="shared" ca="1" si="8"/>
        <v>1.1376543209876543E-2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input_364100!A$2</f>
        <v>364100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IFERROR(VLOOKUP(B163,input_364100!L:R,7,FALSE),VLOOKUP(tables_364100!C163,input_364100!A:H,8,FALSE))</f>
        <v>8342</v>
      </c>
      <c r="P163" s="46">
        <f t="shared" ca="1" si="8"/>
        <v>5.9876543209876542E-4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input_364100!A$2</f>
        <v>364100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IFERROR(VLOOKUP(B164,input_364100!L:R,7,FALSE),VLOOKUP(tables_364100!C164,input_364100!A:H,8,FALSE))</f>
        <v>9234</v>
      </c>
      <c r="P164" s="46">
        <f t="shared" ca="1" si="8"/>
        <v>6.6279069767441858E-4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input_364100!A$2</f>
        <v>364100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IFERROR(VLOOKUP(B165,input_364100!L:R,7,FALSE),VLOOKUP(tables_364100!C165,input_364100!A:H,8,FALSE))</f>
        <v>486</v>
      </c>
      <c r="P165" s="46">
        <f t="shared" ca="1" si="8"/>
        <v>3.4883720930232556E-5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input_364100!A$2</f>
        <v>364100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IFERROR(VLOOKUP(B166,input_364100!L:R,7,FALSE),VLOOKUP(tables_364100!C166,input_364100!A:H,8,FALSE))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input_364100!A$2</f>
        <v>364100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IFERROR(VLOOKUP(B167,input_364100!L:R,7,FALSE),VLOOKUP(tables_364100!C167,input_364100!A:H,8,FALSE))</f>
        <v>158498</v>
      </c>
      <c r="P167" s="46">
        <f t="shared" ca="1" si="8"/>
        <v>1.1376543209876543E-2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input_364100!A$2</f>
        <v>364100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IFERROR(VLOOKUP(B168,input_364100!L:R,7,FALSE),VLOOKUP(tables_364100!C168,input_364100!A:H,8,FALSE))</f>
        <v>8342</v>
      </c>
      <c r="P168" s="46">
        <f t="shared" ca="1" si="8"/>
        <v>5.9876543209876542E-4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input_364100!A$2</f>
        <v>364100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IFERROR(VLOOKUP(B169,input_364100!L:R,7,FALSE),VLOOKUP(tables_364100!C169,input_364100!A:H,8,FALSE))</f>
        <v>9234</v>
      </c>
      <c r="P169" s="46">
        <f t="shared" ca="1" si="8"/>
        <v>6.6279069767441858E-4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input_364100!A$2</f>
        <v>364100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IFERROR(VLOOKUP(B170,input_364100!L:R,7,FALSE),VLOOKUP(tables_364100!C170,input_364100!A:H,8,FALSE))</f>
        <v>486</v>
      </c>
      <c r="P170" s="46">
        <f t="shared" ca="1" si="8"/>
        <v>3.4883720930232556E-5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input_364100!A$2</f>
        <v>364100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IFERROR(VLOOKUP(B171,input_364100!L:R,7,FALSE),VLOOKUP(tables_364100!C171,input_364100!A:H,8,FALSE))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input_364100!A$2</f>
        <v>364100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IFERROR(VLOOKUP(B172,input_364100!L:R,7,FALSE),VLOOKUP(tables_364100!C172,input_364100!A:H,8,FALSE))</f>
        <v>158498</v>
      </c>
      <c r="P172" s="46">
        <f t="shared" ca="1" si="8"/>
        <v>1.1376543209876543E-2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input_364100!A$2</f>
        <v>364100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IFERROR(VLOOKUP(B173,input_364100!L:R,7,FALSE),VLOOKUP(tables_364100!C173,input_364100!A:H,8,FALSE))</f>
        <v>8342</v>
      </c>
      <c r="P173" s="46">
        <f t="shared" ca="1" si="8"/>
        <v>5.9876543209876542E-4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input_364100!A$2</f>
        <v>364100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IFERROR(VLOOKUP(B174,input_364100!L:R,7,FALSE),VLOOKUP(tables_364100!C174,input_364100!A:H,8,FALSE))</f>
        <v>9234</v>
      </c>
      <c r="P174" s="46">
        <f t="shared" ca="1" si="8"/>
        <v>6.6279069767441858E-4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input_364100!A$2</f>
        <v>364100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IFERROR(VLOOKUP(B175,input_364100!L:R,7,FALSE),VLOOKUP(tables_364100!C175,input_364100!A:H,8,FALSE))</f>
        <v>486</v>
      </c>
      <c r="P175" s="46">
        <f t="shared" ca="1" si="8"/>
        <v>3.4883720930232556E-5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input_364100!A$2</f>
        <v>364100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IFERROR(VLOOKUP(B176,input_364100!L:R,7,FALSE),VLOOKUP(tables_364100!C176,input_364100!A:H,8,FALSE))</f>
        <v>9234</v>
      </c>
      <c r="P176" s="46">
        <f t="shared" ca="1" si="8"/>
        <v>6.6279069767441858E-4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input_364100!A$2</f>
        <v>364100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IFERROR(VLOOKUP(B177,input_364100!L:R,7,FALSE),VLOOKUP(tables_364100!C177,input_364100!A:H,8,FALSE))</f>
        <v>486</v>
      </c>
      <c r="P177" s="46">
        <f t="shared" ca="1" si="8"/>
        <v>3.4883720930232556E-5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input_364100!A$2</f>
        <v>364100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IFERROR(VLOOKUP(B178,input_364100!L:R,7,FALSE),VLOOKUP(tables_364100!C178,input_364100!A:H,8,FALSE))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input_364100!A$2</f>
        <v>364100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IFERROR(VLOOKUP(B179,input_364100!L:R,7,FALSE),VLOOKUP(tables_364100!C179,input_364100!A:H,8,FALSE))</f>
        <v>158498</v>
      </c>
      <c r="P179" s="46">
        <f t="shared" ca="1" si="8"/>
        <v>1.1376543209876543E-2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input_364100!A$2</f>
        <v>364100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IFERROR(VLOOKUP(B180,input_364100!L:R,7,FALSE),VLOOKUP(tables_364100!C180,input_364100!A:H,8,FALSE))</f>
        <v>8342</v>
      </c>
      <c r="P180" s="46">
        <f t="shared" ca="1" si="8"/>
        <v>5.9876543209876542E-4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input_364100!A$2</f>
        <v>364100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IFERROR(VLOOKUP(B181,input_364100!L:R,7,FALSE),VLOOKUP(tables_364100!C181,input_364100!A:H,8,FALSE))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input_364100!A$2</f>
        <v>364100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IFERROR(VLOOKUP(B182,input_364100!L:R,7,FALSE),VLOOKUP(tables_364100!C182,input_364100!A:H,8,FALSE))</f>
        <v>158498</v>
      </c>
      <c r="P182" s="46">
        <f t="shared" ca="1" si="8"/>
        <v>1.1376543209876543E-2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input_364100!A$2</f>
        <v>364100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IFERROR(VLOOKUP(B183,input_364100!L:R,7,FALSE),VLOOKUP(tables_364100!C183,input_364100!A:H,8,FALSE))</f>
        <v>8342</v>
      </c>
      <c r="P183" s="46">
        <f t="shared" ca="1" si="8"/>
        <v>5.9876543209876542E-4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input_364100!A$2</f>
        <v>364100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IFERROR(VLOOKUP(B184,input_364100!L:R,7,FALSE),VLOOKUP(tables_364100!C184,input_364100!A:H,8,FALSE))</f>
        <v>9234</v>
      </c>
      <c r="P184" s="46">
        <f t="shared" ca="1" si="8"/>
        <v>6.6279069767441858E-4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input_364100!A$2</f>
        <v>364100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IFERROR(VLOOKUP(B185,input_364100!L:R,7,FALSE),VLOOKUP(tables_364100!C185,input_364100!A:H,8,FALSE))</f>
        <v>486</v>
      </c>
      <c r="P185" s="46">
        <f t="shared" ca="1" si="8"/>
        <v>3.4883720930232556E-5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input_364100!A$2</f>
        <v>364100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IFERROR(VLOOKUP(B186,input_364100!L:R,7,FALSE),VLOOKUP(tables_364100!C186,input_364100!A:H,8,FALSE))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input_364100!A$2</f>
        <v>364100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IFERROR(VLOOKUP(B187,input_364100!L:R,7,FALSE),VLOOKUP(tables_364100!C187,input_364100!A:H,8,FALSE))</f>
        <v>158498</v>
      </c>
      <c r="P187" s="46">
        <f t="shared" ca="1" si="8"/>
        <v>1.1376543209876543E-2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input_364100!A$2</f>
        <v>364100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IFERROR(VLOOKUP(B188,input_364100!L:R,7,FALSE),VLOOKUP(tables_364100!C188,input_364100!A:H,8,FALSE))</f>
        <v>8342</v>
      </c>
      <c r="P188" s="46">
        <f t="shared" ca="1" si="8"/>
        <v>5.9876543209876542E-4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input_364100!A$2</f>
        <v>364100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IFERROR(VLOOKUP(B189,input_364100!L:R,7,FALSE),VLOOKUP(tables_364100!C189,input_364100!A:H,8,FALSE))</f>
        <v>9234</v>
      </c>
      <c r="P189" s="46">
        <f t="shared" ca="1" si="8"/>
        <v>6.6279069767441858E-4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input_364100!A$2</f>
        <v>364100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IFERROR(VLOOKUP(B190,input_364100!L:R,7,FALSE),VLOOKUP(tables_364100!C190,input_364100!A:H,8,FALSE))</f>
        <v>486</v>
      </c>
      <c r="P190" s="46">
        <f t="shared" ca="1" si="8"/>
        <v>3.4883720930232556E-5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input_364100!A$2</f>
        <v>364100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IFERROR(VLOOKUP(B191,input_364100!L:R,7,FALSE),VLOOKUP(tables_364100!C191,input_364100!A:H,8,FALSE))</f>
        <v>9234</v>
      </c>
      <c r="P191" s="46">
        <f t="shared" ca="1" si="8"/>
        <v>6.6279069767441858E-4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input_364100!A$2</f>
        <v>364100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IFERROR(VLOOKUP(B192,input_364100!L:R,7,FALSE),VLOOKUP(tables_364100!C192,input_364100!A:H,8,FALSE))</f>
        <v>486</v>
      </c>
      <c r="P192" s="46">
        <f t="shared" ca="1" si="8"/>
        <v>3.4883720930232556E-5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input_364100!A$2</f>
        <v>364100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IFERROR(VLOOKUP(B193,input_364100!L:R,7,FALSE),VLOOKUP(tables_364100!C193,input_364100!A:H,8,FALSE))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input_364100!A$2</f>
        <v>364100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IFERROR(VLOOKUP(B194,input_364100!L:R,7,FALSE),VLOOKUP(tables_364100!C194,input_364100!A:H,8,FALSE))</f>
        <v>158498</v>
      </c>
      <c r="P194" s="46">
        <f t="shared" ca="1" si="8"/>
        <v>1.1376543209876543E-2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input_364100!A$2</f>
        <v>364100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IFERROR(VLOOKUP(B195,input_364100!L:R,7,FALSE),VLOOKUP(tables_364100!C195,input_364100!A:H,8,FALSE))</f>
        <v>8342</v>
      </c>
      <c r="P195" s="46">
        <f t="shared" ca="1" si="8"/>
        <v>5.9876543209876542E-4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input_364100!A$2</f>
        <v>364100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IFERROR(VLOOKUP(B196,input_364100!L:R,7,FALSE),VLOOKUP(tables_364100!C196,input_364100!A:H,8,FALSE))</f>
        <v>9234</v>
      </c>
      <c r="P196" s="46">
        <f t="shared" ca="1" si="8"/>
        <v>6.6279069767441858E-4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input_364100!A$2</f>
        <v>364100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IFERROR(VLOOKUP(B197,input_364100!L:R,7,FALSE),VLOOKUP(tables_364100!C197,input_364100!A:H,8,FALSE))</f>
        <v>486</v>
      </c>
      <c r="P197" s="46">
        <f t="shared" ca="1" si="8"/>
        <v>3.4883720930232556E-5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input_364100!A$2</f>
        <v>364100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IFERROR(VLOOKUP(B198,input_364100!L:R,7,FALSE),VLOOKUP(tables_364100!C198,input_364100!A:H,8,FALSE))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input_364100!A$2</f>
        <v>364100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IFERROR(VLOOKUP(B199,input_364100!L:R,7,FALSE),VLOOKUP(tables_364100!C199,input_364100!A:H,8,FALSE))</f>
        <v>158498</v>
      </c>
      <c r="P199" s="46">
        <f t="shared" ca="1" si="8"/>
        <v>1.1376543209876543E-2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input_364100!A$2</f>
        <v>364100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IFERROR(VLOOKUP(B200,input_364100!L:R,7,FALSE),VLOOKUP(tables_364100!C200,input_364100!A:H,8,FALSE))</f>
        <v>8342</v>
      </c>
      <c r="P200" s="46">
        <f t="shared" ca="1" si="8"/>
        <v>5.9876543209876542E-4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input_364100!A$2</f>
        <v>364100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IFERROR(VLOOKUP(B201,input_364100!L:R,7,FALSE),VLOOKUP(tables_364100!C201,input_364100!A:H,8,FALSE))</f>
        <v>9234</v>
      </c>
      <c r="P201" s="46">
        <f t="shared" ca="1" si="8"/>
        <v>6.6279069767441858E-4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input_364100!A$2</f>
        <v>364100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IFERROR(VLOOKUP(B202,input_364100!L:R,7,FALSE),VLOOKUP(tables_364100!C202,input_364100!A:H,8,FALSE))</f>
        <v>486</v>
      </c>
      <c r="P202" s="46">
        <f t="shared" ca="1" si="8"/>
        <v>3.4883720930232556E-5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input_364100!A$2</f>
        <v>364100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IFERROR(VLOOKUP(B203,input_364100!L:R,7,FALSE),VLOOKUP(tables_364100!C203,input_364100!A:H,8,FALSE))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input_364100!A$2</f>
        <v>364100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IFERROR(VLOOKUP(B204,input_364100!L:R,7,FALSE),VLOOKUP(tables_364100!C204,input_364100!A:H,8,FALSE))</f>
        <v>158498</v>
      </c>
      <c r="P204" s="46">
        <f t="shared" ca="1" si="8"/>
        <v>1.1376543209876543E-2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input_364100!A$2</f>
        <v>364100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IFERROR(VLOOKUP(B205,input_364100!L:R,7,FALSE),VLOOKUP(tables_364100!C205,input_364100!A:H,8,FALSE))</f>
        <v>8342</v>
      </c>
      <c r="P205" s="46">
        <f t="shared" ca="1" si="8"/>
        <v>5.9876543209876542E-4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input_364100!A$2</f>
        <v>364100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IFERROR(VLOOKUP(B206,input_364100!L:R,7,FALSE),VLOOKUP(tables_364100!C206,input_364100!A:H,8,FALSE))</f>
        <v>9234</v>
      </c>
      <c r="P206" s="46">
        <f t="shared" ca="1" si="8"/>
        <v>6.6279069767441858E-4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input_364100!A$2</f>
        <v>364100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IFERROR(VLOOKUP(B207,input_364100!L:R,7,FALSE),VLOOKUP(tables_364100!C207,input_364100!A:H,8,FALSE))</f>
        <v>486</v>
      </c>
      <c r="P207" s="46">
        <f t="shared" ref="P207:P270" ca="1" si="11">O207/SUM(O:O)</f>
        <v>3.4883720930232556E-5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input_364100!A$2</f>
        <v>364100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IFERROR(VLOOKUP(B208,input_364100!L:R,7,FALSE),VLOOKUP(tables_364100!C208,input_364100!A:H,8,FALSE))</f>
        <v>9234</v>
      </c>
      <c r="P208" s="46">
        <f t="shared" ca="1" si="11"/>
        <v>6.6279069767441858E-4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input_364100!A$2</f>
        <v>364100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IFERROR(VLOOKUP(B209,input_364100!L:R,7,FALSE),VLOOKUP(tables_364100!C209,input_364100!A:H,8,FALSE))</f>
        <v>486</v>
      </c>
      <c r="P209" s="46">
        <f t="shared" ca="1" si="11"/>
        <v>3.4883720930232556E-5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input_364100!A$2</f>
        <v>364100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IFERROR(VLOOKUP(B210,input_364100!L:R,7,FALSE),VLOOKUP(tables_364100!C210,input_364100!A:H,8,FALSE))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input_364100!A$2</f>
        <v>364100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IFERROR(VLOOKUP(B211,input_364100!L:R,7,FALSE),VLOOKUP(tables_364100!C211,input_364100!A:H,8,FALSE))</f>
        <v>158498</v>
      </c>
      <c r="P211" s="46">
        <f t="shared" ca="1" si="11"/>
        <v>1.1376543209876543E-2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input_364100!A$2</f>
        <v>364100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IFERROR(VLOOKUP(B212,input_364100!L:R,7,FALSE),VLOOKUP(tables_364100!C212,input_364100!A:H,8,FALSE))</f>
        <v>8342</v>
      </c>
      <c r="P212" s="46">
        <f t="shared" ca="1" si="11"/>
        <v>5.9876543209876542E-4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input_364100!A$2</f>
        <v>364100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IFERROR(VLOOKUP(B213,input_364100!L:R,7,FALSE),VLOOKUP(tables_364100!C213,input_364100!A:H,8,FALSE))</f>
        <v>9234</v>
      </c>
      <c r="P213" s="46">
        <f t="shared" ca="1" si="11"/>
        <v>6.6279069767441858E-4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input_364100!A$2</f>
        <v>364100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IFERROR(VLOOKUP(B214,input_364100!L:R,7,FALSE),VLOOKUP(tables_364100!C214,input_364100!A:H,8,FALSE))</f>
        <v>486</v>
      </c>
      <c r="P214" s="46">
        <f t="shared" ca="1" si="11"/>
        <v>3.4883720930232556E-5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input_364100!A$2</f>
        <v>364100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IFERROR(VLOOKUP(B215,input_364100!L:R,7,FALSE),VLOOKUP(tables_364100!C215,input_364100!A:H,8,FALSE))</f>
        <v>9234</v>
      </c>
      <c r="P215" s="46">
        <f t="shared" ca="1" si="11"/>
        <v>6.6279069767441858E-4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input_364100!A$2</f>
        <v>364100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IFERROR(VLOOKUP(B216,input_364100!L:R,7,FALSE),VLOOKUP(tables_364100!C216,input_364100!A:H,8,FALSE))</f>
        <v>486</v>
      </c>
      <c r="P216" s="46">
        <f t="shared" ca="1" si="11"/>
        <v>3.4883720930232556E-5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input_364100!A$2</f>
        <v>364100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IFERROR(VLOOKUP(B217,input_364100!L:R,7,FALSE),VLOOKUP(tables_364100!C217,input_364100!A:H,8,FALSE))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input_364100!A$2</f>
        <v>364100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IFERROR(VLOOKUP(B218,input_364100!L:R,7,FALSE),VLOOKUP(tables_364100!C218,input_364100!A:H,8,FALSE))</f>
        <v>158498</v>
      </c>
      <c r="P218" s="46">
        <f t="shared" ca="1" si="11"/>
        <v>1.1376543209876543E-2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input_364100!A$2</f>
        <v>364100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IFERROR(VLOOKUP(B219,input_364100!L:R,7,FALSE),VLOOKUP(tables_364100!C219,input_364100!A:H,8,FALSE))</f>
        <v>8342</v>
      </c>
      <c r="P219" s="46">
        <f t="shared" ca="1" si="11"/>
        <v>5.9876543209876542E-4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input_364100!A$2</f>
        <v>364100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IFERROR(VLOOKUP(B220,input_364100!L:R,7,FALSE),VLOOKUP(tables_364100!C220,input_364100!A:H,8,FALSE))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input_364100!A$2</f>
        <v>364100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IFERROR(VLOOKUP(B221,input_364100!L:R,7,FALSE),VLOOKUP(tables_364100!C221,input_364100!A:H,8,FALSE))</f>
        <v>158498</v>
      </c>
      <c r="P221" s="46">
        <f t="shared" ca="1" si="11"/>
        <v>1.1376543209876543E-2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input_364100!A$2</f>
        <v>364100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IFERROR(VLOOKUP(B222,input_364100!L:R,7,FALSE),VLOOKUP(tables_364100!C222,input_364100!A:H,8,FALSE))</f>
        <v>8342</v>
      </c>
      <c r="P222" s="46">
        <f t="shared" ca="1" si="11"/>
        <v>5.9876543209876542E-4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input_364100!A$2</f>
        <v>364100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IFERROR(VLOOKUP(B223,input_364100!L:R,7,FALSE),VLOOKUP(tables_364100!C223,input_364100!A:H,8,FALSE))</f>
        <v>9234</v>
      </c>
      <c r="P223" s="46">
        <f t="shared" ca="1" si="11"/>
        <v>6.6279069767441858E-4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input_364100!A$2</f>
        <v>364100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IFERROR(VLOOKUP(B224,input_364100!L:R,7,FALSE),VLOOKUP(tables_364100!C224,input_364100!A:H,8,FALSE))</f>
        <v>486</v>
      </c>
      <c r="P224" s="46">
        <f t="shared" ca="1" si="11"/>
        <v>3.4883720930232556E-5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input_364100!A$2</f>
        <v>364100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IFERROR(VLOOKUP(B225,input_364100!L:R,7,FALSE),VLOOKUP(tables_364100!C225,input_364100!A:H,8,FALSE))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input_364100!A$2</f>
        <v>364100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IFERROR(VLOOKUP(B226,input_364100!L:R,7,FALSE),VLOOKUP(tables_364100!C226,input_364100!A:H,8,FALSE))</f>
        <v>158498</v>
      </c>
      <c r="P226" s="46">
        <f t="shared" ca="1" si="11"/>
        <v>1.1376543209876543E-2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input_364100!A$2</f>
        <v>364100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IFERROR(VLOOKUP(B227,input_364100!L:R,7,FALSE),VLOOKUP(tables_364100!C227,input_364100!A:H,8,FALSE))</f>
        <v>8342</v>
      </c>
      <c r="P227" s="46">
        <f t="shared" ca="1" si="11"/>
        <v>5.9876543209876542E-4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input_364100!A$2</f>
        <v>364100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IFERROR(VLOOKUP(B228,input_364100!L:R,7,FALSE),VLOOKUP(tables_364100!C228,input_364100!A:H,8,FALSE))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input_364100!A$2</f>
        <v>364100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IFERROR(VLOOKUP(B229,input_364100!L:R,7,FALSE),VLOOKUP(tables_364100!C229,input_364100!A:H,8,FALSE))</f>
        <v>158498</v>
      </c>
      <c r="P229" s="46">
        <f t="shared" ca="1" si="11"/>
        <v>1.1376543209876543E-2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input_364100!A$2</f>
        <v>364100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IFERROR(VLOOKUP(B230,input_364100!L:R,7,FALSE),VLOOKUP(tables_364100!C230,input_364100!A:H,8,FALSE))</f>
        <v>8342</v>
      </c>
      <c r="P230" s="46">
        <f t="shared" ca="1" si="11"/>
        <v>5.9876543209876542E-4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input_364100!A$2</f>
        <v>364100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IFERROR(VLOOKUP(B231,input_364100!L:R,7,FALSE),VLOOKUP(tables_364100!C231,input_364100!A:H,8,FALSE))</f>
        <v>9234</v>
      </c>
      <c r="P231" s="46">
        <f t="shared" ca="1" si="11"/>
        <v>6.6279069767441858E-4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input_364100!A$2</f>
        <v>364100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IFERROR(VLOOKUP(B232,input_364100!L:R,7,FALSE),VLOOKUP(tables_364100!C232,input_364100!A:H,8,FALSE))</f>
        <v>486</v>
      </c>
      <c r="P232" s="46">
        <f t="shared" ca="1" si="11"/>
        <v>3.4883720930232556E-5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input_364100!A$2</f>
        <v>364100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IFERROR(VLOOKUP(B233,input_364100!L:R,7,FALSE),VLOOKUP(tables_364100!C233,input_364100!A:H,8,FALSE))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input_364100!A$2</f>
        <v>364100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IFERROR(VLOOKUP(B234,input_364100!L:R,7,FALSE),VLOOKUP(tables_364100!C234,input_364100!A:H,8,FALSE))</f>
        <v>158498</v>
      </c>
      <c r="P234" s="46">
        <f t="shared" ca="1" si="11"/>
        <v>1.1376543209876543E-2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input_364100!A$2</f>
        <v>364100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IFERROR(VLOOKUP(B235,input_364100!L:R,7,FALSE),VLOOKUP(tables_364100!C235,input_364100!A:H,8,FALSE))</f>
        <v>8342</v>
      </c>
      <c r="P235" s="46">
        <f t="shared" ca="1" si="11"/>
        <v>5.9876543209876542E-4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input_364100!A$2</f>
        <v>364100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IFERROR(VLOOKUP(B236,input_364100!L:R,7,FALSE),VLOOKUP(tables_364100!C236,input_364100!A:H,8,FALSE))</f>
        <v>9234</v>
      </c>
      <c r="P236" s="46">
        <f t="shared" ca="1" si="11"/>
        <v>6.6279069767441858E-4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input_364100!A$2</f>
        <v>364100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IFERROR(VLOOKUP(B237,input_364100!L:R,7,FALSE),VLOOKUP(tables_364100!C237,input_364100!A:H,8,FALSE))</f>
        <v>486</v>
      </c>
      <c r="P237" s="46">
        <f t="shared" ca="1" si="11"/>
        <v>3.4883720930232556E-5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input_364100!A$2</f>
        <v>364100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IFERROR(VLOOKUP(B238,input_364100!L:R,7,FALSE),VLOOKUP(tables_364100!C238,input_364100!A:H,8,FALSE))</f>
        <v>9234</v>
      </c>
      <c r="P238" s="46">
        <f t="shared" ca="1" si="11"/>
        <v>6.6279069767441858E-4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input_364100!A$2</f>
        <v>364100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IFERROR(VLOOKUP(B239,input_364100!L:R,7,FALSE),VLOOKUP(tables_364100!C239,input_364100!A:H,8,FALSE))</f>
        <v>486</v>
      </c>
      <c r="P239" s="46">
        <f t="shared" ca="1" si="11"/>
        <v>3.4883720930232556E-5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input_364100!A$2</f>
        <v>364100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IFERROR(VLOOKUP(B240,input_364100!L:R,7,FALSE),VLOOKUP(tables_364100!C240,input_364100!A:H,8,FALSE))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input_364100!A$2</f>
        <v>364100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IFERROR(VLOOKUP(B241,input_364100!L:R,7,FALSE),VLOOKUP(tables_364100!C241,input_364100!A:H,8,FALSE))</f>
        <v>158498</v>
      </c>
      <c r="P241" s="46">
        <f t="shared" ca="1" si="11"/>
        <v>1.1376543209876543E-2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input_364100!A$2</f>
        <v>364100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IFERROR(VLOOKUP(B242,input_364100!L:R,7,FALSE),VLOOKUP(tables_364100!C242,input_364100!A:H,8,FALSE))</f>
        <v>8342</v>
      </c>
      <c r="P242" s="46">
        <f t="shared" ca="1" si="11"/>
        <v>5.9876543209876542E-4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input_364100!A$2</f>
        <v>364100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IFERROR(VLOOKUP(B243,input_364100!L:R,7,FALSE),VLOOKUP(tables_364100!C243,input_364100!A:H,8,FALSE))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input_364100!A$2</f>
        <v>364100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IFERROR(VLOOKUP(B244,input_364100!L:R,7,FALSE),VLOOKUP(tables_364100!C244,input_364100!A:H,8,FALSE))</f>
        <v>158498</v>
      </c>
      <c r="P244" s="46">
        <f t="shared" ca="1" si="11"/>
        <v>1.1376543209876543E-2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input_364100!A$2</f>
        <v>364100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IFERROR(VLOOKUP(B245,input_364100!L:R,7,FALSE),VLOOKUP(tables_364100!C245,input_364100!A:H,8,FALSE))</f>
        <v>8342</v>
      </c>
      <c r="P245" s="46">
        <f t="shared" ca="1" si="11"/>
        <v>5.9876543209876542E-4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input_364100!A$2</f>
        <v>364100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IFERROR(VLOOKUP(B246,input_364100!L:R,7,FALSE),VLOOKUP(tables_364100!C246,input_364100!A:H,8,FALSE))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input_364100!A$2</f>
        <v>364100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IFERROR(VLOOKUP(B247,input_364100!L:R,7,FALSE),VLOOKUP(tables_364100!C247,input_364100!A:H,8,FALSE))</f>
        <v>158498</v>
      </c>
      <c r="P247" s="46">
        <f t="shared" ca="1" si="11"/>
        <v>1.1376543209876543E-2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input_364100!A$2</f>
        <v>364100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IFERROR(VLOOKUP(B248,input_364100!L:R,7,FALSE),VLOOKUP(tables_364100!C248,input_364100!A:H,8,FALSE))</f>
        <v>8342</v>
      </c>
      <c r="P248" s="46">
        <f t="shared" ca="1" si="11"/>
        <v>5.9876543209876542E-4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input_364100!A$2</f>
        <v>364100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IFERROR(VLOOKUP(B249,input_364100!L:R,7,FALSE),VLOOKUP(tables_364100!C249,input_364100!A:H,8,FALSE))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input_364100!A$2</f>
        <v>364100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IFERROR(VLOOKUP(B250,input_364100!L:R,7,FALSE),VLOOKUP(tables_364100!C250,input_364100!A:H,8,FALSE))</f>
        <v>158498</v>
      </c>
      <c r="P250" s="46">
        <f t="shared" ca="1" si="11"/>
        <v>1.1376543209876543E-2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input_364100!A$2</f>
        <v>364100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IFERROR(VLOOKUP(B251,input_364100!L:R,7,FALSE),VLOOKUP(tables_364100!C251,input_364100!A:H,8,FALSE))</f>
        <v>8342</v>
      </c>
      <c r="P251" s="46">
        <f t="shared" ca="1" si="11"/>
        <v>5.9876543209876542E-4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input_364100!A$2</f>
        <v>364100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IFERROR(VLOOKUP(B252,input_364100!L:R,7,FALSE),VLOOKUP(tables_364100!C252,input_364100!A:H,8,FALSE))</f>
        <v>9234</v>
      </c>
      <c r="P252" s="46">
        <f t="shared" ca="1" si="11"/>
        <v>6.6279069767441858E-4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input_364100!A$2</f>
        <v>364100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IFERROR(VLOOKUP(B253,input_364100!L:R,7,FALSE),VLOOKUP(tables_364100!C253,input_364100!A:H,8,FALSE))</f>
        <v>486</v>
      </c>
      <c r="P253" s="46">
        <f t="shared" ca="1" si="11"/>
        <v>3.4883720930232556E-5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input_364100!A$2</f>
        <v>364100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IFERROR(VLOOKUP(B254,input_364100!L:R,7,FALSE),VLOOKUP(tables_364100!C254,input_364100!A:H,8,FALSE))</f>
        <v>9234</v>
      </c>
      <c r="P254" s="46">
        <f t="shared" ca="1" si="11"/>
        <v>6.6279069767441858E-4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input_364100!A$2</f>
        <v>364100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IFERROR(VLOOKUP(B255,input_364100!L:R,7,FALSE),VLOOKUP(tables_364100!C255,input_364100!A:H,8,FALSE))</f>
        <v>486</v>
      </c>
      <c r="P255" s="46">
        <f t="shared" ca="1" si="11"/>
        <v>3.4883720930232556E-5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input_364100!A$2</f>
        <v>364100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IFERROR(VLOOKUP(B256,input_364100!L:R,7,FALSE),VLOOKUP(tables_364100!C256,input_364100!A:H,8,FALSE))</f>
        <v>151246.22222</v>
      </c>
      <c r="P256" s="46">
        <f t="shared" ca="1" si="11"/>
        <v>1.0856030879988515E-2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input_364100!A$2</f>
        <v>364100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IFERROR(VLOOKUP(B257,input_364100!L:R,7,FALSE),VLOOKUP(tables_364100!C257,input_364100!A:H,8,FALSE))</f>
        <v>15593.77778</v>
      </c>
      <c r="P257" s="46">
        <f t="shared" ca="1" si="11"/>
        <v>1.119277761986793E-3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input_364100!A$2</f>
        <v>364100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IFERROR(VLOOKUP(B258,input_364100!L:R,7,FALSE),VLOOKUP(tables_364100!C258,input_364100!A:H,8,FALSE))</f>
        <v>151246.22222</v>
      </c>
      <c r="P258" s="46">
        <f t="shared" ca="1" si="11"/>
        <v>1.0856030879988515E-2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input_364100!A$2</f>
        <v>364100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IFERROR(VLOOKUP(B259,input_364100!L:R,7,FALSE),VLOOKUP(tables_364100!C259,input_364100!A:H,8,FALSE))</f>
        <v>15593.77778</v>
      </c>
      <c r="P259" s="46">
        <f t="shared" ca="1" si="11"/>
        <v>1.119277761986793E-3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input_364100!A$2</f>
        <v>364100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IFERROR(VLOOKUP(B260,input_364100!L:R,7,FALSE),VLOOKUP(tables_364100!C260,input_364100!A:H,8,FALSE))</f>
        <v>9720</v>
      </c>
      <c r="P260" s="46">
        <f t="shared" ca="1" si="11"/>
        <v>6.9767441860465117E-4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input_364100!A$2</f>
        <v>364100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IFERROR(VLOOKUP(B261,input_364100!L:R,7,FALSE),VLOOKUP(tables_364100!C261,input_364100!A:H,8,FALSE))</f>
        <v>9720</v>
      </c>
      <c r="P261" s="46">
        <f t="shared" ca="1" si="11"/>
        <v>6.9767441860465117E-4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input_364100!A$2</f>
        <v>364100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IFERROR(VLOOKUP(B262,input_364100!L:R,7,FALSE),VLOOKUP(tables_364100!C262,input_364100!A:H,8,FALSE))</f>
        <v>9234</v>
      </c>
      <c r="P262" s="46">
        <f t="shared" ca="1" si="11"/>
        <v>6.6279069767441858E-4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input_364100!A$2</f>
        <v>364100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IFERROR(VLOOKUP(B263,input_364100!L:R,7,FALSE),VLOOKUP(tables_364100!C263,input_364100!A:H,8,FALSE))</f>
        <v>486</v>
      </c>
      <c r="P263" s="46">
        <f t="shared" ca="1" si="11"/>
        <v>3.4883720930232556E-5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input_364100!A$2</f>
        <v>364100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IFERROR(VLOOKUP(B264,input_364100!L:R,7,FALSE),VLOOKUP(tables_364100!C264,input_364100!A:H,8,FALSE))</f>
        <v>9234</v>
      </c>
      <c r="P264" s="46">
        <f t="shared" ca="1" si="11"/>
        <v>6.6279069767441858E-4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input_364100!A$2</f>
        <v>364100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IFERROR(VLOOKUP(B265,input_364100!L:R,7,FALSE),VLOOKUP(tables_364100!C265,input_364100!A:H,8,FALSE))</f>
        <v>486</v>
      </c>
      <c r="P265" s="46">
        <f t="shared" ca="1" si="11"/>
        <v>3.4883720930232556E-5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input_364100!A$2</f>
        <v>364100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IFERROR(VLOOKUP(B266,input_364100!L:R,7,FALSE),VLOOKUP(tables_364100!C266,input_364100!A:H,8,FALSE))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input_364100!A$2</f>
        <v>364100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IFERROR(VLOOKUP(B267,input_364100!L:R,7,FALSE),VLOOKUP(tables_364100!C267,input_364100!A:H,8,FALSE))</f>
        <v>158498</v>
      </c>
      <c r="P267" s="46">
        <f t="shared" ca="1" si="11"/>
        <v>1.1376543209876543E-2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input_364100!A$2</f>
        <v>364100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IFERROR(VLOOKUP(B268,input_364100!L:R,7,FALSE),VLOOKUP(tables_364100!C268,input_364100!A:H,8,FALSE))</f>
        <v>8342</v>
      </c>
      <c r="P268" s="46">
        <f t="shared" ca="1" si="11"/>
        <v>5.9876543209876542E-4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input_364100!A$2</f>
        <v>364100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IFERROR(VLOOKUP(B269,input_364100!L:R,7,FALSE),VLOOKUP(tables_364100!C269,input_364100!A:H,8,FALSE))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input_364100!A$2</f>
        <v>364100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IFERROR(VLOOKUP(B270,input_364100!L:R,7,FALSE),VLOOKUP(tables_364100!C270,input_364100!A:H,8,FALSE))</f>
        <v>158498</v>
      </c>
      <c r="P270" s="46">
        <f t="shared" ca="1" si="11"/>
        <v>1.1376543209876543E-2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input_364100!A$2</f>
        <v>364100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IFERROR(VLOOKUP(B271,input_364100!L:R,7,FALSE),VLOOKUP(tables_364100!C271,input_364100!A:H,8,FALSE))</f>
        <v>8342</v>
      </c>
      <c r="P271" s="46">
        <f t="shared" ref="P271:P286" ca="1" si="14">O271/SUM(O:O)</f>
        <v>5.9876543209876542E-4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input_364100!A$2</f>
        <v>364100</v>
      </c>
      <c r="B272" s="82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IFERROR(VLOOKUP(B272,input_364100!L:R,7,FALSE),VLOOKUP(tables_364100!C272,input_364100!A:H,8,FALSE))</f>
        <v>9720</v>
      </c>
      <c r="P272" s="46">
        <f t="shared" ca="1" si="14"/>
        <v>6.9767441860465117E-4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input_364100!A$2</f>
        <v>364100</v>
      </c>
      <c r="B273" s="82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IFERROR(VLOOKUP(B273,input_364100!L:R,7,FALSE),VLOOKUP(tables_364100!C273,input_364100!A:H,8,FALSE))</f>
        <v>9720</v>
      </c>
      <c r="P273" s="46">
        <f t="shared" ca="1" si="14"/>
        <v>6.9767441860465117E-4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input_364100!A$2</f>
        <v>364100</v>
      </c>
      <c r="B274" s="82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IFERROR(VLOOKUP(B274,input_364100!L:R,7,FALSE),VLOOKUP(tables_364100!C274,input_364100!A:H,8,FALSE))</f>
        <v>151246.22222</v>
      </c>
      <c r="P274" s="46">
        <f t="shared" ca="1" si="14"/>
        <v>1.0856030879988515E-2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input_364100!A$2</f>
        <v>364100</v>
      </c>
      <c r="B275" s="82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IFERROR(VLOOKUP(B275,input_364100!L:R,7,FALSE),VLOOKUP(tables_364100!C275,input_364100!A:H,8,FALSE))</f>
        <v>15593.77778</v>
      </c>
      <c r="P275" s="46">
        <f t="shared" ca="1" si="14"/>
        <v>1.119277761986793E-3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input_364100!A$2</f>
        <v>364100</v>
      </c>
      <c r="B276" s="82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IFERROR(VLOOKUP(B276,input_364100!L:R,7,FALSE),VLOOKUP(tables_364100!C276,input_364100!A:H,8,FALSE))</f>
        <v>151246.22222</v>
      </c>
      <c r="P276" s="46">
        <f t="shared" ca="1" si="14"/>
        <v>1.0856030879988515E-2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input_364100!A$2</f>
        <v>364100</v>
      </c>
      <c r="B277" s="82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IFERROR(VLOOKUP(B277,input_364100!L:R,7,FALSE),VLOOKUP(tables_364100!C277,input_364100!A:H,8,FALSE))</f>
        <v>15593.77778</v>
      </c>
      <c r="P277" s="46">
        <f t="shared" ca="1" si="14"/>
        <v>1.119277761986793E-3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input_364100!A$2</f>
        <v>364100</v>
      </c>
      <c r="B278" s="82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IFERROR(VLOOKUP(B278,input_364100!L:R,7,FALSE),VLOOKUP(tables_364100!C278,input_364100!A:H,8,FALSE))</f>
        <v>151246.22222</v>
      </c>
      <c r="P278" s="46">
        <f t="shared" ca="1" si="14"/>
        <v>1.0856030879988515E-2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input_364100!A$2</f>
        <v>364100</v>
      </c>
      <c r="B279" s="82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IFERROR(VLOOKUP(B279,input_364100!L:R,7,FALSE),VLOOKUP(tables_364100!C279,input_364100!A:H,8,FALSE))</f>
        <v>15593.77778</v>
      </c>
      <c r="P279" s="46">
        <f t="shared" ca="1" si="14"/>
        <v>1.119277761986793E-3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input_364100!A$2</f>
        <v>364100</v>
      </c>
      <c r="B280" s="82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IFERROR(VLOOKUP(B280,input_364100!L:R,7,FALSE),VLOOKUP(tables_364100!C280,input_364100!A:H,8,FALSE))</f>
        <v>151246.22222</v>
      </c>
      <c r="P280" s="46">
        <f t="shared" ca="1" si="14"/>
        <v>1.0856030879988515E-2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input_364100!A$2</f>
        <v>364100</v>
      </c>
      <c r="B281" s="82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IFERROR(VLOOKUP(B281,input_364100!L:R,7,FALSE),VLOOKUP(tables_364100!C281,input_364100!A:H,8,FALSE))</f>
        <v>15593.77778</v>
      </c>
      <c r="P281" s="46">
        <f t="shared" ca="1" si="14"/>
        <v>1.119277761986793E-3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input_364100!A$2</f>
        <v>364100</v>
      </c>
      <c r="B282" s="82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IFERROR(VLOOKUP(B282,input_364100!L:R,7,FALSE),VLOOKUP(tables_364100!C282,input_364100!A:H,8,FALSE))</f>
        <v>9720</v>
      </c>
      <c r="P282" s="46">
        <f t="shared" ca="1" si="14"/>
        <v>6.9767441860465117E-4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input_364100!A$2</f>
        <v>364100</v>
      </c>
      <c r="B283" s="82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IFERROR(VLOOKUP(B283,input_364100!L:R,7,FALSE),VLOOKUP(tables_364100!C283,input_364100!A:H,8,FALSE))</f>
        <v>9720</v>
      </c>
      <c r="P283" s="46">
        <f t="shared" ca="1" si="14"/>
        <v>6.9767441860465117E-4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input_364100!A$2</f>
        <v>364100</v>
      </c>
      <c r="B284" s="93">
        <v>742</v>
      </c>
      <c r="C284" s="7" t="str">
        <f t="shared" ref="C284" si="15">D284&amp;J284&amp;E284&amp;F284&amp;G284</f>
        <v>PremiumSS5R5only</v>
      </c>
      <c r="D284" s="7" t="str">
        <f t="shared" ref="D284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IFERROR(VLOOKUP(B284,input_364100!L:R,7,FALSE),VLOOKUP(tables_364100!C284,input_364100!A:H,8,FALSE))</f>
        <v>9720</v>
      </c>
      <c r="P284" s="46">
        <f t="shared" ca="1" si="14"/>
        <v>6.9767441860465117E-4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input_364100!A$2</f>
        <v>364100</v>
      </c>
      <c r="B285" s="93">
        <v>744</v>
      </c>
      <c r="C285" s="7" t="str">
        <f t="shared" ref="C285:C286" si="17">D285&amp;J285&amp;E285&amp;F285&amp;G285</f>
        <v>PremiumSS5R5only</v>
      </c>
      <c r="D285" s="7" t="str">
        <f t="shared" ref="D285:D286" si="18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IFERROR(VLOOKUP(B285,input_364100!L:R,7,FALSE),VLOOKUP(tables_364100!C285,input_364100!A:H,8,FALSE))</f>
        <v>9720</v>
      </c>
      <c r="P285" s="46">
        <f t="shared" ca="1" si="14"/>
        <v>6.9767441860465117E-4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input_364100!A$2</f>
        <v>364100</v>
      </c>
      <c r="B286" s="93">
        <v>746</v>
      </c>
      <c r="C286" s="7" t="str">
        <f t="shared" si="17"/>
        <v>Premium4R3less</v>
      </c>
      <c r="D286" s="7" t="str">
        <f t="shared" si="18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IFERROR(VLOOKUP(B286,input_364100!L:R,7,FALSE),VLOOKUP(tables_364100!C286,input_364100!A:H,8,FALSE))</f>
        <v>151246.22222</v>
      </c>
      <c r="P286" s="46">
        <f t="shared" ca="1" si="14"/>
        <v>1.0856030879988515E-2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input_364100!A$2</f>
        <v>364100</v>
      </c>
      <c r="B287" s="93">
        <v>747</v>
      </c>
      <c r="C287" s="7" t="str">
        <f t="shared" ref="C287:C289" si="19">D287&amp;J287&amp;E287&amp;F287&amp;G287</f>
        <v>Premium5R3less</v>
      </c>
      <c r="D287" s="7" t="str">
        <f t="shared" ref="D287:D289" si="20">IF(I287="PremiumSS",I287,IF(I287="PremiumSSS",I287,IF(I287="PremiumW",I287,"Premium")))</f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IFERROR(VLOOKUP(B287,input_364100!L:R,7,FALSE),VLOOKUP(tables_364100!C287,input_364100!A:H,8,FALSE))</f>
        <v>15593.77778</v>
      </c>
      <c r="P287" s="46">
        <f t="shared" ref="P287:P289" ca="1" si="21">O287/SUM(O:O)</f>
        <v>1.119277761986793E-3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input_364100!A$2</f>
        <v>364100</v>
      </c>
      <c r="B288" s="93">
        <v>748</v>
      </c>
      <c r="C288" s="7" t="str">
        <f t="shared" si="19"/>
        <v>Premium4R3less</v>
      </c>
      <c r="D288" s="7" t="str">
        <f t="shared" si="20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IFERROR(VLOOKUP(B288,input_364100!L:R,7,FALSE),VLOOKUP(tables_364100!C288,input_364100!A:H,8,FALSE))</f>
        <v>151246.22222</v>
      </c>
      <c r="P288" s="46">
        <f t="shared" ca="1" si="21"/>
        <v>1.0856030879988515E-2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input_364100!A$2</f>
        <v>364100</v>
      </c>
      <c r="B289" s="93">
        <v>749</v>
      </c>
      <c r="C289" s="7" t="str">
        <f t="shared" si="19"/>
        <v>Premium5R3less</v>
      </c>
      <c r="D289" s="7" t="str">
        <f t="shared" si="20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IFERROR(VLOOKUP(B289,input_364100!L:R,7,FALSE),VLOOKUP(tables_364100!C289,input_364100!A:H,8,FALSE))</f>
        <v>15593.77778</v>
      </c>
      <c r="P289" s="46">
        <f t="shared" ca="1" si="21"/>
        <v>1.119277761986793E-3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input_364100!A$2</f>
        <v>364100</v>
      </c>
      <c r="B290" s="5">
        <v>937</v>
      </c>
      <c r="C290" s="7" t="str">
        <f t="shared" ref="C290:C294" si="22">D290&amp;J290&amp;E290&amp;F290&amp;G290</f>
        <v>PremiumSS5R5only</v>
      </c>
      <c r="D290" s="7" t="str">
        <f t="shared" ref="D290:D294" si="23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hero</v>
      </c>
      <c r="N290" s="7" t="str">
        <f>VLOOKUP(B290,[1]characters!$A:$G,7,FALSE)</f>
        <v>男性</v>
      </c>
      <c r="O290" s="45">
        <f ca="1">IFERROR(VLOOKUP(B290,input_364100!L:R,7,FALSE),VLOOKUP(tables_364100!C290,input_364100!A:H,8,FALSE))</f>
        <v>9720</v>
      </c>
      <c r="P290" s="46">
        <f t="shared" ref="P290:P294" ca="1" si="24">O290/SUM(O:O)</f>
        <v>6.9767441860465117E-4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input_364100!A$2</f>
        <v>364100</v>
      </c>
      <c r="B291" s="5">
        <v>939</v>
      </c>
      <c r="C291" s="7" t="str">
        <f t="shared" si="22"/>
        <v>Premium4R3less</v>
      </c>
      <c r="D291" s="7" t="str">
        <f t="shared" si="23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IFERROR(VLOOKUP(B291,input_364100!L:R,7,FALSE),VLOOKUP(tables_364100!C291,input_364100!A:H,8,FALSE))</f>
        <v>151246.22222</v>
      </c>
      <c r="P291" s="46">
        <f t="shared" ca="1" si="24"/>
        <v>1.0856030879988515E-2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input_364100!A$2</f>
        <v>364100</v>
      </c>
      <c r="B292" s="5">
        <v>940</v>
      </c>
      <c r="C292" s="7" t="str">
        <f t="shared" si="22"/>
        <v>Premium5R3less</v>
      </c>
      <c r="D292" s="7" t="str">
        <f t="shared" si="23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IFERROR(VLOOKUP(B292,input_364100!L:R,7,FALSE),VLOOKUP(tables_364100!C292,input_364100!A:H,8,FALSE))</f>
        <v>15593.77778</v>
      </c>
      <c r="P292" s="46">
        <f t="shared" ca="1" si="24"/>
        <v>1.119277761986793E-3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input_364100!A$2</f>
        <v>364100</v>
      </c>
      <c r="B293" s="5">
        <v>941</v>
      </c>
      <c r="C293" s="7" t="str">
        <f t="shared" si="22"/>
        <v>PremiumSS5R5only</v>
      </c>
      <c r="D293" s="7" t="str">
        <f t="shared" si="23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IFERROR(VLOOKUP(B293,input_364100!L:R,7,FALSE),VLOOKUP(tables_364100!C293,input_364100!A:H,8,FALSE))</f>
        <v>9720</v>
      </c>
      <c r="P293" s="46">
        <f t="shared" ca="1" si="24"/>
        <v>6.9767441860465117E-4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input_364100!A$2</f>
        <v>364100</v>
      </c>
      <c r="B294" s="5">
        <v>943</v>
      </c>
      <c r="C294" s="7" t="str">
        <f t="shared" si="22"/>
        <v>PremiumSS5R5only</v>
      </c>
      <c r="D294" s="7" t="str">
        <f t="shared" si="23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IFERROR(VLOOKUP(B294,input_364100!L:R,7,FALSE),VLOOKUP(tables_364100!C294,input_364100!A:H,8,FALSE))</f>
        <v>9720</v>
      </c>
      <c r="P294" s="46">
        <f t="shared" ca="1" si="24"/>
        <v>6.9767441860465117E-4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</sheetData>
  <autoFilter ref="A1:V283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6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F5" sqref="F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3.5976562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88" t="s">
        <v>261</v>
      </c>
      <c r="B2" s="60">
        <v>937</v>
      </c>
      <c r="C2" s="7" t="str">
        <f t="shared" ref="C2:C3" si="0">D2&amp;J2&amp;E2&amp;F2&amp;G2</f>
        <v>PremiumSS5R5only</v>
      </c>
      <c r="D2" s="7" t="str">
        <f t="shared" ref="D2:D3" si="1">IF(I2="PremiumSS",I2,IF(I2="PremiumSSS",I2,IF(I2="PremiumW",I2,"Premium")))</f>
        <v>PremiumSS</v>
      </c>
      <c r="E2" s="7" t="str">
        <f>IF(COUNTIF('R6追加前'!A:A,B2)=0,IF(I2="PremiumSS","R5only","R3less"),"")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ナポレオン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balance</v>
      </c>
      <c r="M2" s="7" t="str">
        <f>VLOOKUP(B2,[1]characters!$A:$M,13,FALSE)</f>
        <v>hero</v>
      </c>
      <c r="N2" s="7" t="str">
        <f>VLOOKUP(B2,[1]characters!$A:$G,7,FALSE)</f>
        <v>男性</v>
      </c>
      <c r="O2" s="45">
        <v>150</v>
      </c>
      <c r="P2" s="46">
        <f>O2/SUM(O:O)</f>
        <v>0.15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88" t="s">
        <v>261</v>
      </c>
      <c r="B3" s="60">
        <v>939</v>
      </c>
      <c r="C3" s="7" t="str">
        <f t="shared" si="0"/>
        <v>Premium4R3less</v>
      </c>
      <c r="D3" s="7" t="str">
        <f t="shared" si="1"/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バスティーユ</v>
      </c>
      <c r="I3" s="7" t="str">
        <f>VLOOKUP(B3,[1]characters!$A:$J,10,FALSE)</f>
        <v>PremiumS</v>
      </c>
      <c r="J3" s="7">
        <f>VLOOKUP(B3,[1]characters!$A:$I,9,FALSE)</f>
        <v>4</v>
      </c>
      <c r="K3" s="7" t="str">
        <f>VLOOKUP(B3,[1]characters!$A:$H,8,FALSE)</f>
        <v>green</v>
      </c>
      <c r="L3" s="7" t="str">
        <f>VLOOKUP(B3,[1]characters!$A:$K,11,FALSE)</f>
        <v>hp</v>
      </c>
      <c r="M3" s="7" t="str">
        <f>VLOOKUP(B3,[1]characters!$A:$M,13,FALSE)</f>
        <v>unknown</v>
      </c>
      <c r="N3" s="7" t="str">
        <f>VLOOKUP(B3,[1]characters!$A:$G,7,FALSE)</f>
        <v>男性</v>
      </c>
      <c r="O3" s="45">
        <v>200</v>
      </c>
      <c r="P3" s="46">
        <f>O3/SUM(O:O)</f>
        <v>0.2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88" t="s">
        <v>261</v>
      </c>
      <c r="B4" s="60">
        <v>940</v>
      </c>
      <c r="C4" s="7" t="str">
        <f t="shared" ref="C4:C6" si="2">D4&amp;J4&amp;E4&amp;F4&amp;G4</f>
        <v>Premium5R3less</v>
      </c>
      <c r="D4" s="7" t="str">
        <f t="shared" ref="D4:D6" si="3">IF(I4="PremiumSS",I4,IF(I4="PremiumSSS",I4,IF(I4="PremiumW",I4,"Premium")))</f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バスティーユ</v>
      </c>
      <c r="I4" s="7" t="str">
        <f>VLOOKUP(B4,[1]characters!$A:$J,10,FALSE)</f>
        <v>PremiumS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hp</v>
      </c>
      <c r="M4" s="7" t="str">
        <f>VLOOKUP(B4,[1]characters!$A:$M,13,FALSE)</f>
        <v>unknown</v>
      </c>
      <c r="N4" s="7" t="str">
        <f>VLOOKUP(B4,[1]characters!$A:$G,7,FALSE)</f>
        <v>男性</v>
      </c>
      <c r="O4" s="45">
        <v>250</v>
      </c>
      <c r="P4" s="46">
        <f>O4/SUM(O:O)</f>
        <v>0.25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88" t="s">
        <v>261</v>
      </c>
      <c r="B5" s="90">
        <v>941</v>
      </c>
      <c r="C5" s="7" t="str">
        <f t="shared" si="2"/>
        <v>PremiumSS5R5only</v>
      </c>
      <c r="D5" s="7" t="str">
        <f t="shared" si="3"/>
        <v>PremiumSS</v>
      </c>
      <c r="E5" s="7" t="str">
        <f>IF(COUNTIF('R6追加前'!A:A,B5)=0,IF(I5="PremiumSS","R5only","R3less"),"")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アントワネット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technical</v>
      </c>
      <c r="M5" s="7" t="str">
        <f>VLOOKUP(B5,[1]characters!$A:$M,13,FALSE)</f>
        <v>human</v>
      </c>
      <c r="N5" s="7" t="str">
        <f>VLOOKUP(B5,[1]characters!$A:$G,7,FALSE)</f>
        <v>男性</v>
      </c>
      <c r="O5" s="45">
        <v>200</v>
      </c>
      <c r="P5" s="46">
        <f>O5/SUM(O:O)</f>
        <v>0.2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88" t="s">
        <v>261</v>
      </c>
      <c r="B6" s="90">
        <v>943</v>
      </c>
      <c r="C6" s="7" t="str">
        <f t="shared" si="2"/>
        <v>PremiumSS5R5only</v>
      </c>
      <c r="D6" s="7" t="str">
        <f t="shared" si="3"/>
        <v>PremiumSS</v>
      </c>
      <c r="E6" s="7" t="str">
        <f>IF(COUNTIF('R6追加前'!A:A,B6)=0,IF(I6="PremiumSS","R5only","R3less"),"")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サンソン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yellow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男性</v>
      </c>
      <c r="O6" s="45">
        <v>200</v>
      </c>
      <c r="P6" s="46">
        <f>O6/SUM(O:O)</f>
        <v>0.2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</sheetData>
  <autoFilter ref="A1:V6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I20" sqref="I2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 t="s">
        <v>248</v>
      </c>
      <c r="B2" s="79" t="s">
        <v>249</v>
      </c>
      <c r="C2" s="80" t="s">
        <v>244</v>
      </c>
      <c r="D2" s="80">
        <v>125</v>
      </c>
      <c r="E2" s="80">
        <v>1</v>
      </c>
      <c r="F2" s="80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0" t="s">
        <v>214</v>
      </c>
      <c r="O2" s="80" t="s">
        <v>246</v>
      </c>
      <c r="P2" s="80" t="s">
        <v>247</v>
      </c>
      <c r="Q2" s="81" t="s">
        <v>251</v>
      </c>
    </row>
    <row r="3" spans="1:17" ht="21" customHeight="1" x14ac:dyDescent="0.15">
      <c r="A3" s="79" t="s">
        <v>253</v>
      </c>
      <c r="B3" s="79" t="s">
        <v>250</v>
      </c>
      <c r="C3" s="1" t="s">
        <v>241</v>
      </c>
      <c r="D3" s="1">
        <v>125</v>
      </c>
      <c r="E3" s="1">
        <v>3</v>
      </c>
      <c r="F3" s="1">
        <v>1</v>
      </c>
      <c r="G3" s="87">
        <v>0</v>
      </c>
      <c r="H3" s="87">
        <v>0</v>
      </c>
      <c r="I3" s="87">
        <v>0</v>
      </c>
      <c r="J3" s="87">
        <v>0</v>
      </c>
      <c r="K3" s="87">
        <v>1</v>
      </c>
      <c r="L3" s="87">
        <v>1</v>
      </c>
      <c r="M3" s="87">
        <v>1</v>
      </c>
      <c r="N3" s="80" t="s">
        <v>214</v>
      </c>
      <c r="O3" s="80" t="s">
        <v>245</v>
      </c>
      <c r="P3" s="80" t="s">
        <v>247</v>
      </c>
      <c r="Q3" s="81" t="s">
        <v>252</v>
      </c>
    </row>
    <row r="4" spans="1:17" ht="21" customHeight="1" x14ac:dyDescent="0.15">
      <c r="A4" s="79"/>
      <c r="B4" s="79"/>
      <c r="G4" s="87"/>
      <c r="H4" s="87"/>
      <c r="I4" s="87"/>
      <c r="J4" s="87"/>
      <c r="K4" s="87"/>
      <c r="L4" s="87"/>
      <c r="M4" s="87"/>
      <c r="N4" s="80"/>
      <c r="O4" s="80"/>
      <c r="P4" s="80"/>
      <c r="Q4" s="81"/>
    </row>
    <row r="5" spans="1:17" ht="21" customHeight="1" x14ac:dyDescent="0.15">
      <c r="A5" s="79"/>
      <c r="B5" s="79"/>
      <c r="G5" s="87"/>
      <c r="H5" s="87"/>
      <c r="I5" s="87"/>
      <c r="J5" s="87"/>
      <c r="K5" s="87"/>
      <c r="L5" s="87"/>
      <c r="M5" s="87"/>
      <c r="N5" s="80"/>
      <c r="O5" s="80"/>
      <c r="P5" s="80"/>
      <c r="Q5" s="81"/>
    </row>
  </sheetData>
  <autoFilter ref="A1:F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input_364010</vt:lpstr>
      <vt:lpstr>tables_364010</vt:lpstr>
      <vt:lpstr>input_364100</vt:lpstr>
      <vt:lpstr>tables_364100</vt:lpstr>
      <vt:lpstr>tables_settle_363100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2016-06-29T02:28:46Z</dcterms:modified>
</cp:coreProperties>
</file>