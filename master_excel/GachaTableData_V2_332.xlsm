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915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-katou/Documents/github/BULL_data/master_excel/"/>
    </mc:Choice>
  </mc:AlternateContent>
  <bookViews>
    <workbookView xWindow="28460" yWindow="-1400" windowWidth="33600" windowHeight="14640" tabRatio="943" activeTab="2"/>
  </bookViews>
  <sheets>
    <sheet name="確率の考え方" sheetId="110" r:id="rId1"/>
    <sheet name="Sheet1" sheetId="107" r:id="rId2"/>
    <sheet name="output" sheetId="103" r:id="rId3"/>
    <sheet name="input_332010" sheetId="106" r:id="rId4"/>
    <sheet name="tables_332010" sheetId="82" r:id="rId5"/>
    <sheet name="input_332100" sheetId="118" r:id="rId6"/>
    <sheet name="tables_332100" sheetId="119" r:id="rId7"/>
    <sheet name="input_settle_332100" sheetId="120" r:id="rId8"/>
    <sheet name="tables_settle_332100" sheetId="121" r:id="rId9"/>
    <sheet name="gacha_bonus_tables" sheetId="98" r:id="rId10"/>
    <sheet name="R6追加前" sheetId="111" r:id="rId11"/>
    <sheet name="R6開放" sheetId="112" r:id="rId12"/>
  </sheets>
  <externalReferences>
    <externalReference r:id="rId13"/>
  </externalReferences>
  <definedNames>
    <definedName name="_xlnm._FilterDatabase" localSheetId="9" hidden="1">gacha_bonus_tables!$A$1:$F$1</definedName>
    <definedName name="_xlnm._FilterDatabase" localSheetId="4" hidden="1">tables_332010!$A$1:$V$271</definedName>
    <definedName name="_xlnm._FilterDatabase" localSheetId="6" hidden="1">tables_332100!$A$1:$V$271</definedName>
    <definedName name="_xlnm._FilterDatabase" localSheetId="8" hidden="1">tables_settle_332100!$A$1:$V$271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103" l="1"/>
  <c r="E4" i="103"/>
  <c r="B23" i="120"/>
  <c r="B21" i="120"/>
  <c r="F23" i="120"/>
  <c r="F6" i="120"/>
  <c r="E6" i="120"/>
  <c r="F21" i="120"/>
  <c r="B29" i="120"/>
  <c r="I2" i="121"/>
  <c r="D2" i="121"/>
  <c r="J2" i="121"/>
  <c r="E2" i="121"/>
  <c r="F2" i="121"/>
  <c r="C2" i="121"/>
  <c r="I3" i="121"/>
  <c r="D3" i="121"/>
  <c r="J3" i="121"/>
  <c r="E3" i="121"/>
  <c r="F3" i="121"/>
  <c r="C3" i="121"/>
  <c r="I4" i="121"/>
  <c r="D4" i="121"/>
  <c r="J4" i="121"/>
  <c r="E4" i="121"/>
  <c r="F4" i="121"/>
  <c r="C4" i="121"/>
  <c r="I5" i="121"/>
  <c r="D5" i="121"/>
  <c r="J5" i="121"/>
  <c r="E5" i="121"/>
  <c r="F5" i="121"/>
  <c r="C5" i="121"/>
  <c r="I6" i="121"/>
  <c r="D6" i="121"/>
  <c r="J6" i="121"/>
  <c r="E6" i="121"/>
  <c r="F6" i="121"/>
  <c r="C6" i="121"/>
  <c r="I7" i="121"/>
  <c r="D7" i="121"/>
  <c r="J7" i="121"/>
  <c r="E7" i="121"/>
  <c r="F7" i="121"/>
  <c r="C7" i="121"/>
  <c r="I8" i="121"/>
  <c r="D8" i="121"/>
  <c r="J8" i="121"/>
  <c r="E8" i="121"/>
  <c r="F8" i="121"/>
  <c r="C8" i="121"/>
  <c r="I9" i="121"/>
  <c r="D9" i="121"/>
  <c r="J9" i="121"/>
  <c r="E9" i="121"/>
  <c r="F9" i="121"/>
  <c r="C9" i="121"/>
  <c r="I10" i="121"/>
  <c r="D10" i="121"/>
  <c r="J10" i="121"/>
  <c r="E10" i="121"/>
  <c r="F10" i="121"/>
  <c r="C10" i="121"/>
  <c r="I11" i="121"/>
  <c r="D11" i="121"/>
  <c r="J11" i="121"/>
  <c r="E11" i="121"/>
  <c r="F11" i="121"/>
  <c r="C11" i="121"/>
  <c r="I12" i="121"/>
  <c r="D12" i="121"/>
  <c r="J12" i="121"/>
  <c r="E12" i="121"/>
  <c r="F12" i="121"/>
  <c r="C12" i="121"/>
  <c r="I13" i="121"/>
  <c r="D13" i="121"/>
  <c r="J13" i="121"/>
  <c r="E13" i="121"/>
  <c r="F13" i="121"/>
  <c r="C13" i="121"/>
  <c r="I14" i="121"/>
  <c r="D14" i="121"/>
  <c r="J14" i="121"/>
  <c r="E14" i="121"/>
  <c r="F14" i="121"/>
  <c r="C14" i="121"/>
  <c r="I15" i="121"/>
  <c r="D15" i="121"/>
  <c r="J15" i="121"/>
  <c r="E15" i="121"/>
  <c r="F15" i="121"/>
  <c r="C15" i="121"/>
  <c r="I16" i="121"/>
  <c r="D16" i="121"/>
  <c r="J16" i="121"/>
  <c r="E16" i="121"/>
  <c r="F16" i="121"/>
  <c r="C16" i="121"/>
  <c r="I17" i="121"/>
  <c r="D17" i="121"/>
  <c r="J17" i="121"/>
  <c r="E17" i="121"/>
  <c r="F17" i="121"/>
  <c r="C17" i="121"/>
  <c r="I18" i="121"/>
  <c r="D18" i="121"/>
  <c r="J18" i="121"/>
  <c r="E18" i="121"/>
  <c r="F18" i="121"/>
  <c r="C18" i="121"/>
  <c r="I19" i="121"/>
  <c r="D19" i="121"/>
  <c r="J19" i="121"/>
  <c r="E19" i="121"/>
  <c r="F19" i="121"/>
  <c r="C19" i="121"/>
  <c r="I20" i="121"/>
  <c r="D20" i="121"/>
  <c r="J20" i="121"/>
  <c r="E20" i="121"/>
  <c r="F20" i="121"/>
  <c r="C20" i="121"/>
  <c r="I21" i="121"/>
  <c r="D21" i="121"/>
  <c r="J21" i="121"/>
  <c r="E21" i="121"/>
  <c r="F21" i="121"/>
  <c r="C21" i="121"/>
  <c r="I22" i="121"/>
  <c r="D22" i="121"/>
  <c r="J22" i="121"/>
  <c r="E22" i="121"/>
  <c r="F22" i="121"/>
  <c r="C22" i="121"/>
  <c r="I23" i="121"/>
  <c r="D23" i="121"/>
  <c r="J23" i="121"/>
  <c r="E23" i="121"/>
  <c r="F23" i="121"/>
  <c r="C23" i="121"/>
  <c r="I24" i="121"/>
  <c r="D24" i="121"/>
  <c r="J24" i="121"/>
  <c r="E24" i="121"/>
  <c r="F24" i="121"/>
  <c r="C24" i="121"/>
  <c r="I25" i="121"/>
  <c r="D25" i="121"/>
  <c r="J25" i="121"/>
  <c r="E25" i="121"/>
  <c r="F25" i="121"/>
  <c r="C25" i="121"/>
  <c r="I26" i="121"/>
  <c r="D26" i="121"/>
  <c r="J26" i="121"/>
  <c r="E26" i="121"/>
  <c r="F26" i="121"/>
  <c r="C26" i="121"/>
  <c r="I27" i="121"/>
  <c r="D27" i="121"/>
  <c r="J27" i="121"/>
  <c r="E27" i="121"/>
  <c r="F27" i="121"/>
  <c r="C27" i="121"/>
  <c r="I28" i="121"/>
  <c r="D28" i="121"/>
  <c r="J28" i="121"/>
  <c r="E28" i="121"/>
  <c r="F28" i="121"/>
  <c r="C28" i="121"/>
  <c r="I29" i="121"/>
  <c r="D29" i="121"/>
  <c r="J29" i="121"/>
  <c r="E29" i="121"/>
  <c r="F29" i="121"/>
  <c r="C29" i="121"/>
  <c r="I30" i="121"/>
  <c r="D30" i="121"/>
  <c r="J30" i="121"/>
  <c r="E30" i="121"/>
  <c r="F30" i="121"/>
  <c r="C30" i="121"/>
  <c r="I31" i="121"/>
  <c r="D31" i="121"/>
  <c r="J31" i="121"/>
  <c r="E31" i="121"/>
  <c r="F31" i="121"/>
  <c r="C31" i="121"/>
  <c r="I32" i="121"/>
  <c r="D32" i="121"/>
  <c r="J32" i="121"/>
  <c r="E32" i="121"/>
  <c r="F32" i="121"/>
  <c r="C32" i="121"/>
  <c r="I33" i="121"/>
  <c r="D33" i="121"/>
  <c r="J33" i="121"/>
  <c r="E33" i="121"/>
  <c r="F33" i="121"/>
  <c r="C33" i="121"/>
  <c r="I34" i="121"/>
  <c r="D34" i="121"/>
  <c r="J34" i="121"/>
  <c r="E34" i="121"/>
  <c r="F34" i="121"/>
  <c r="C34" i="121"/>
  <c r="I35" i="121"/>
  <c r="D35" i="121"/>
  <c r="J35" i="121"/>
  <c r="E35" i="121"/>
  <c r="F35" i="121"/>
  <c r="C35" i="121"/>
  <c r="I36" i="121"/>
  <c r="D36" i="121"/>
  <c r="J36" i="121"/>
  <c r="E36" i="121"/>
  <c r="F36" i="121"/>
  <c r="C36" i="121"/>
  <c r="I37" i="121"/>
  <c r="D37" i="121"/>
  <c r="J37" i="121"/>
  <c r="E37" i="121"/>
  <c r="F37" i="121"/>
  <c r="C37" i="121"/>
  <c r="I38" i="121"/>
  <c r="D38" i="121"/>
  <c r="J38" i="121"/>
  <c r="E38" i="121"/>
  <c r="F38" i="121"/>
  <c r="C38" i="121"/>
  <c r="I39" i="121"/>
  <c r="D39" i="121"/>
  <c r="J39" i="121"/>
  <c r="E39" i="121"/>
  <c r="F39" i="121"/>
  <c r="C39" i="121"/>
  <c r="I40" i="121"/>
  <c r="D40" i="121"/>
  <c r="J40" i="121"/>
  <c r="E40" i="121"/>
  <c r="F40" i="121"/>
  <c r="C40" i="121"/>
  <c r="I41" i="121"/>
  <c r="D41" i="121"/>
  <c r="J41" i="121"/>
  <c r="E41" i="121"/>
  <c r="F41" i="121"/>
  <c r="C41" i="121"/>
  <c r="I42" i="121"/>
  <c r="D42" i="121"/>
  <c r="J42" i="121"/>
  <c r="E42" i="121"/>
  <c r="F42" i="121"/>
  <c r="C42" i="121"/>
  <c r="I43" i="121"/>
  <c r="D43" i="121"/>
  <c r="J43" i="121"/>
  <c r="E43" i="121"/>
  <c r="F43" i="121"/>
  <c r="C43" i="121"/>
  <c r="I44" i="121"/>
  <c r="D44" i="121"/>
  <c r="J44" i="121"/>
  <c r="E44" i="121"/>
  <c r="F44" i="121"/>
  <c r="C44" i="121"/>
  <c r="I45" i="121"/>
  <c r="D45" i="121"/>
  <c r="J45" i="121"/>
  <c r="E45" i="121"/>
  <c r="F45" i="121"/>
  <c r="C45" i="121"/>
  <c r="I46" i="121"/>
  <c r="D46" i="121"/>
  <c r="J46" i="121"/>
  <c r="E46" i="121"/>
  <c r="F46" i="121"/>
  <c r="C46" i="121"/>
  <c r="I47" i="121"/>
  <c r="D47" i="121"/>
  <c r="J47" i="121"/>
  <c r="E47" i="121"/>
  <c r="F47" i="121"/>
  <c r="C47" i="121"/>
  <c r="I48" i="121"/>
  <c r="D48" i="121"/>
  <c r="J48" i="121"/>
  <c r="E48" i="121"/>
  <c r="F48" i="121"/>
  <c r="C48" i="121"/>
  <c r="I49" i="121"/>
  <c r="D49" i="121"/>
  <c r="J49" i="121"/>
  <c r="E49" i="121"/>
  <c r="F49" i="121"/>
  <c r="C49" i="121"/>
  <c r="I50" i="121"/>
  <c r="D50" i="121"/>
  <c r="J50" i="121"/>
  <c r="E50" i="121"/>
  <c r="F50" i="121"/>
  <c r="C50" i="121"/>
  <c r="I51" i="121"/>
  <c r="D51" i="121"/>
  <c r="J51" i="121"/>
  <c r="E51" i="121"/>
  <c r="F51" i="121"/>
  <c r="C51" i="121"/>
  <c r="I52" i="121"/>
  <c r="D52" i="121"/>
  <c r="J52" i="121"/>
  <c r="E52" i="121"/>
  <c r="F52" i="121"/>
  <c r="C52" i="121"/>
  <c r="I53" i="121"/>
  <c r="D53" i="121"/>
  <c r="J53" i="121"/>
  <c r="E53" i="121"/>
  <c r="F53" i="121"/>
  <c r="C53" i="121"/>
  <c r="I54" i="121"/>
  <c r="D54" i="121"/>
  <c r="J54" i="121"/>
  <c r="E54" i="121"/>
  <c r="F54" i="121"/>
  <c r="C54" i="121"/>
  <c r="I55" i="121"/>
  <c r="D55" i="121"/>
  <c r="J55" i="121"/>
  <c r="E55" i="121"/>
  <c r="F55" i="121"/>
  <c r="C55" i="121"/>
  <c r="I56" i="121"/>
  <c r="D56" i="121"/>
  <c r="J56" i="121"/>
  <c r="E56" i="121"/>
  <c r="F56" i="121"/>
  <c r="C56" i="121"/>
  <c r="I57" i="121"/>
  <c r="D57" i="121"/>
  <c r="J57" i="121"/>
  <c r="E57" i="121"/>
  <c r="F57" i="121"/>
  <c r="C57" i="121"/>
  <c r="I58" i="121"/>
  <c r="D58" i="121"/>
  <c r="J58" i="121"/>
  <c r="E58" i="121"/>
  <c r="F58" i="121"/>
  <c r="C58" i="121"/>
  <c r="I59" i="121"/>
  <c r="D59" i="121"/>
  <c r="J59" i="121"/>
  <c r="E59" i="121"/>
  <c r="F59" i="121"/>
  <c r="C59" i="121"/>
  <c r="I60" i="121"/>
  <c r="D60" i="121"/>
  <c r="J60" i="121"/>
  <c r="E60" i="121"/>
  <c r="F60" i="121"/>
  <c r="C60" i="121"/>
  <c r="I61" i="121"/>
  <c r="D61" i="121"/>
  <c r="J61" i="121"/>
  <c r="E61" i="121"/>
  <c r="F61" i="121"/>
  <c r="C61" i="121"/>
  <c r="I62" i="121"/>
  <c r="D62" i="121"/>
  <c r="J62" i="121"/>
  <c r="E62" i="121"/>
  <c r="F62" i="121"/>
  <c r="C62" i="121"/>
  <c r="I63" i="121"/>
  <c r="D63" i="121"/>
  <c r="J63" i="121"/>
  <c r="E63" i="121"/>
  <c r="F63" i="121"/>
  <c r="C63" i="121"/>
  <c r="I64" i="121"/>
  <c r="D64" i="121"/>
  <c r="J64" i="121"/>
  <c r="E64" i="121"/>
  <c r="F64" i="121"/>
  <c r="C64" i="121"/>
  <c r="I65" i="121"/>
  <c r="D65" i="121"/>
  <c r="J65" i="121"/>
  <c r="E65" i="121"/>
  <c r="F65" i="121"/>
  <c r="C65" i="121"/>
  <c r="I66" i="121"/>
  <c r="D66" i="121"/>
  <c r="J66" i="121"/>
  <c r="E66" i="121"/>
  <c r="F66" i="121"/>
  <c r="C66" i="121"/>
  <c r="I67" i="121"/>
  <c r="D67" i="121"/>
  <c r="J67" i="121"/>
  <c r="E67" i="121"/>
  <c r="F67" i="121"/>
  <c r="C67" i="121"/>
  <c r="I68" i="121"/>
  <c r="D68" i="121"/>
  <c r="J68" i="121"/>
  <c r="E68" i="121"/>
  <c r="F68" i="121"/>
  <c r="C68" i="121"/>
  <c r="I69" i="121"/>
  <c r="D69" i="121"/>
  <c r="J69" i="121"/>
  <c r="E69" i="121"/>
  <c r="F69" i="121"/>
  <c r="C69" i="121"/>
  <c r="I70" i="121"/>
  <c r="D70" i="121"/>
  <c r="J70" i="121"/>
  <c r="E70" i="121"/>
  <c r="F70" i="121"/>
  <c r="C70" i="121"/>
  <c r="I71" i="121"/>
  <c r="D71" i="121"/>
  <c r="J71" i="121"/>
  <c r="E71" i="121"/>
  <c r="F71" i="121"/>
  <c r="C71" i="121"/>
  <c r="I72" i="121"/>
  <c r="D72" i="121"/>
  <c r="J72" i="121"/>
  <c r="E72" i="121"/>
  <c r="F72" i="121"/>
  <c r="C72" i="121"/>
  <c r="I73" i="121"/>
  <c r="D73" i="121"/>
  <c r="J73" i="121"/>
  <c r="E73" i="121"/>
  <c r="F73" i="121"/>
  <c r="C73" i="121"/>
  <c r="I74" i="121"/>
  <c r="D74" i="121"/>
  <c r="J74" i="121"/>
  <c r="E74" i="121"/>
  <c r="F74" i="121"/>
  <c r="C74" i="121"/>
  <c r="I75" i="121"/>
  <c r="D75" i="121"/>
  <c r="J75" i="121"/>
  <c r="E75" i="121"/>
  <c r="F75" i="121"/>
  <c r="C75" i="121"/>
  <c r="I76" i="121"/>
  <c r="D76" i="121"/>
  <c r="J76" i="121"/>
  <c r="E76" i="121"/>
  <c r="F76" i="121"/>
  <c r="C76" i="121"/>
  <c r="I77" i="121"/>
  <c r="D77" i="121"/>
  <c r="J77" i="121"/>
  <c r="E77" i="121"/>
  <c r="F77" i="121"/>
  <c r="C77" i="121"/>
  <c r="I78" i="121"/>
  <c r="D78" i="121"/>
  <c r="J78" i="121"/>
  <c r="E78" i="121"/>
  <c r="F78" i="121"/>
  <c r="C78" i="121"/>
  <c r="I79" i="121"/>
  <c r="D79" i="121"/>
  <c r="J79" i="121"/>
  <c r="E79" i="121"/>
  <c r="F79" i="121"/>
  <c r="C79" i="121"/>
  <c r="I80" i="121"/>
  <c r="D80" i="121"/>
  <c r="J80" i="121"/>
  <c r="E80" i="121"/>
  <c r="F80" i="121"/>
  <c r="C80" i="121"/>
  <c r="I81" i="121"/>
  <c r="D81" i="121"/>
  <c r="J81" i="121"/>
  <c r="E81" i="121"/>
  <c r="F81" i="121"/>
  <c r="C81" i="121"/>
  <c r="I82" i="121"/>
  <c r="D82" i="121"/>
  <c r="J82" i="121"/>
  <c r="E82" i="121"/>
  <c r="F82" i="121"/>
  <c r="C82" i="121"/>
  <c r="I83" i="121"/>
  <c r="D83" i="121"/>
  <c r="J83" i="121"/>
  <c r="E83" i="121"/>
  <c r="F83" i="121"/>
  <c r="C83" i="121"/>
  <c r="I84" i="121"/>
  <c r="D84" i="121"/>
  <c r="J84" i="121"/>
  <c r="E84" i="121"/>
  <c r="F84" i="121"/>
  <c r="C84" i="121"/>
  <c r="I85" i="121"/>
  <c r="D85" i="121"/>
  <c r="J85" i="121"/>
  <c r="E85" i="121"/>
  <c r="F85" i="121"/>
  <c r="C85" i="121"/>
  <c r="I86" i="121"/>
  <c r="D86" i="121"/>
  <c r="J86" i="121"/>
  <c r="E86" i="121"/>
  <c r="F86" i="121"/>
  <c r="C86" i="121"/>
  <c r="I87" i="121"/>
  <c r="D87" i="121"/>
  <c r="J87" i="121"/>
  <c r="E87" i="121"/>
  <c r="F87" i="121"/>
  <c r="C87" i="121"/>
  <c r="I88" i="121"/>
  <c r="D88" i="121"/>
  <c r="J88" i="121"/>
  <c r="E88" i="121"/>
  <c r="F88" i="121"/>
  <c r="C88" i="121"/>
  <c r="I89" i="121"/>
  <c r="D89" i="121"/>
  <c r="J89" i="121"/>
  <c r="E89" i="121"/>
  <c r="F89" i="121"/>
  <c r="C89" i="121"/>
  <c r="I90" i="121"/>
  <c r="D90" i="121"/>
  <c r="J90" i="121"/>
  <c r="E90" i="121"/>
  <c r="F90" i="121"/>
  <c r="C90" i="121"/>
  <c r="I91" i="121"/>
  <c r="D91" i="121"/>
  <c r="J91" i="121"/>
  <c r="E91" i="121"/>
  <c r="F91" i="121"/>
  <c r="C91" i="121"/>
  <c r="I92" i="121"/>
  <c r="D92" i="121"/>
  <c r="J92" i="121"/>
  <c r="E92" i="121"/>
  <c r="F92" i="121"/>
  <c r="C92" i="121"/>
  <c r="I93" i="121"/>
  <c r="D93" i="121"/>
  <c r="J93" i="121"/>
  <c r="E93" i="121"/>
  <c r="F93" i="121"/>
  <c r="C93" i="121"/>
  <c r="I94" i="121"/>
  <c r="D94" i="121"/>
  <c r="J94" i="121"/>
  <c r="E94" i="121"/>
  <c r="F94" i="121"/>
  <c r="C94" i="121"/>
  <c r="I95" i="121"/>
  <c r="D95" i="121"/>
  <c r="J95" i="121"/>
  <c r="E95" i="121"/>
  <c r="F95" i="121"/>
  <c r="C95" i="121"/>
  <c r="I96" i="121"/>
  <c r="D96" i="121"/>
  <c r="J96" i="121"/>
  <c r="E96" i="121"/>
  <c r="F96" i="121"/>
  <c r="C96" i="121"/>
  <c r="I97" i="121"/>
  <c r="D97" i="121"/>
  <c r="J97" i="121"/>
  <c r="E97" i="121"/>
  <c r="F97" i="121"/>
  <c r="C97" i="121"/>
  <c r="I98" i="121"/>
  <c r="D98" i="121"/>
  <c r="J98" i="121"/>
  <c r="E98" i="121"/>
  <c r="F98" i="121"/>
  <c r="C98" i="121"/>
  <c r="I99" i="121"/>
  <c r="D99" i="121"/>
  <c r="J99" i="121"/>
  <c r="E99" i="121"/>
  <c r="F99" i="121"/>
  <c r="C99" i="121"/>
  <c r="I100" i="121"/>
  <c r="D100" i="121"/>
  <c r="J100" i="121"/>
  <c r="E100" i="121"/>
  <c r="F100" i="121"/>
  <c r="C100" i="121"/>
  <c r="I101" i="121"/>
  <c r="D101" i="121"/>
  <c r="J101" i="121"/>
  <c r="E101" i="121"/>
  <c r="F101" i="121"/>
  <c r="C101" i="121"/>
  <c r="I102" i="121"/>
  <c r="D102" i="121"/>
  <c r="J102" i="121"/>
  <c r="E102" i="121"/>
  <c r="F102" i="121"/>
  <c r="C102" i="121"/>
  <c r="I103" i="121"/>
  <c r="D103" i="121"/>
  <c r="J103" i="121"/>
  <c r="E103" i="121"/>
  <c r="F103" i="121"/>
  <c r="C103" i="121"/>
  <c r="I104" i="121"/>
  <c r="D104" i="121"/>
  <c r="J104" i="121"/>
  <c r="E104" i="121"/>
  <c r="F104" i="121"/>
  <c r="C104" i="121"/>
  <c r="I105" i="121"/>
  <c r="D105" i="121"/>
  <c r="J105" i="121"/>
  <c r="E105" i="121"/>
  <c r="F105" i="121"/>
  <c r="C105" i="121"/>
  <c r="I106" i="121"/>
  <c r="D106" i="121"/>
  <c r="J106" i="121"/>
  <c r="E106" i="121"/>
  <c r="F106" i="121"/>
  <c r="C106" i="121"/>
  <c r="I107" i="121"/>
  <c r="D107" i="121"/>
  <c r="J107" i="121"/>
  <c r="E107" i="121"/>
  <c r="F107" i="121"/>
  <c r="C107" i="121"/>
  <c r="I108" i="121"/>
  <c r="D108" i="121"/>
  <c r="J108" i="121"/>
  <c r="E108" i="121"/>
  <c r="F108" i="121"/>
  <c r="C108" i="121"/>
  <c r="I109" i="121"/>
  <c r="D109" i="121"/>
  <c r="J109" i="121"/>
  <c r="E109" i="121"/>
  <c r="F109" i="121"/>
  <c r="C109" i="121"/>
  <c r="I110" i="121"/>
  <c r="D110" i="121"/>
  <c r="J110" i="121"/>
  <c r="E110" i="121"/>
  <c r="F110" i="121"/>
  <c r="C110" i="121"/>
  <c r="I111" i="121"/>
  <c r="D111" i="121"/>
  <c r="J111" i="121"/>
  <c r="E111" i="121"/>
  <c r="F111" i="121"/>
  <c r="C111" i="121"/>
  <c r="I112" i="121"/>
  <c r="D112" i="121"/>
  <c r="J112" i="121"/>
  <c r="E112" i="121"/>
  <c r="F112" i="121"/>
  <c r="C112" i="121"/>
  <c r="I113" i="121"/>
  <c r="D113" i="121"/>
  <c r="J113" i="121"/>
  <c r="E113" i="121"/>
  <c r="F113" i="121"/>
  <c r="C113" i="121"/>
  <c r="I114" i="121"/>
  <c r="D114" i="121"/>
  <c r="J114" i="121"/>
  <c r="E114" i="121"/>
  <c r="F114" i="121"/>
  <c r="C114" i="121"/>
  <c r="I115" i="121"/>
  <c r="D115" i="121"/>
  <c r="J115" i="121"/>
  <c r="E115" i="121"/>
  <c r="F115" i="121"/>
  <c r="C115" i="121"/>
  <c r="I116" i="121"/>
  <c r="D116" i="121"/>
  <c r="J116" i="121"/>
  <c r="E116" i="121"/>
  <c r="F116" i="121"/>
  <c r="C116" i="121"/>
  <c r="I117" i="121"/>
  <c r="D117" i="121"/>
  <c r="J117" i="121"/>
  <c r="E117" i="121"/>
  <c r="F117" i="121"/>
  <c r="C117" i="121"/>
  <c r="I118" i="121"/>
  <c r="D118" i="121"/>
  <c r="J118" i="121"/>
  <c r="E118" i="121"/>
  <c r="F118" i="121"/>
  <c r="C118" i="121"/>
  <c r="I119" i="121"/>
  <c r="D119" i="121"/>
  <c r="J119" i="121"/>
  <c r="E119" i="121"/>
  <c r="F119" i="121"/>
  <c r="C119" i="121"/>
  <c r="I120" i="121"/>
  <c r="D120" i="121"/>
  <c r="J120" i="121"/>
  <c r="E120" i="121"/>
  <c r="F120" i="121"/>
  <c r="C120" i="121"/>
  <c r="I121" i="121"/>
  <c r="D121" i="121"/>
  <c r="J121" i="121"/>
  <c r="E121" i="121"/>
  <c r="F121" i="121"/>
  <c r="C121" i="121"/>
  <c r="I122" i="121"/>
  <c r="D122" i="121"/>
  <c r="J122" i="121"/>
  <c r="E122" i="121"/>
  <c r="F122" i="121"/>
  <c r="C122" i="121"/>
  <c r="I123" i="121"/>
  <c r="D123" i="121"/>
  <c r="J123" i="121"/>
  <c r="E123" i="121"/>
  <c r="F123" i="121"/>
  <c r="C123" i="121"/>
  <c r="I124" i="121"/>
  <c r="D124" i="121"/>
  <c r="J124" i="121"/>
  <c r="E124" i="121"/>
  <c r="F124" i="121"/>
  <c r="C124" i="121"/>
  <c r="I125" i="121"/>
  <c r="D125" i="121"/>
  <c r="J125" i="121"/>
  <c r="E125" i="121"/>
  <c r="F125" i="121"/>
  <c r="C125" i="121"/>
  <c r="I126" i="121"/>
  <c r="D126" i="121"/>
  <c r="J126" i="121"/>
  <c r="E126" i="121"/>
  <c r="F126" i="121"/>
  <c r="C126" i="121"/>
  <c r="I127" i="121"/>
  <c r="D127" i="121"/>
  <c r="J127" i="121"/>
  <c r="E127" i="121"/>
  <c r="F127" i="121"/>
  <c r="C127" i="121"/>
  <c r="I128" i="121"/>
  <c r="D128" i="121"/>
  <c r="J128" i="121"/>
  <c r="E128" i="121"/>
  <c r="F128" i="121"/>
  <c r="C128" i="121"/>
  <c r="I129" i="121"/>
  <c r="D129" i="121"/>
  <c r="J129" i="121"/>
  <c r="E129" i="121"/>
  <c r="F129" i="121"/>
  <c r="C129" i="121"/>
  <c r="I130" i="121"/>
  <c r="D130" i="121"/>
  <c r="J130" i="121"/>
  <c r="E130" i="121"/>
  <c r="F130" i="121"/>
  <c r="C130" i="121"/>
  <c r="I131" i="121"/>
  <c r="D131" i="121"/>
  <c r="J131" i="121"/>
  <c r="E131" i="121"/>
  <c r="F131" i="121"/>
  <c r="C131" i="121"/>
  <c r="I132" i="121"/>
  <c r="D132" i="121"/>
  <c r="J132" i="121"/>
  <c r="E132" i="121"/>
  <c r="F132" i="121"/>
  <c r="C132" i="121"/>
  <c r="I133" i="121"/>
  <c r="D133" i="121"/>
  <c r="J133" i="121"/>
  <c r="E133" i="121"/>
  <c r="F133" i="121"/>
  <c r="C133" i="121"/>
  <c r="I134" i="121"/>
  <c r="D134" i="121"/>
  <c r="J134" i="121"/>
  <c r="E134" i="121"/>
  <c r="F134" i="121"/>
  <c r="C134" i="121"/>
  <c r="I135" i="121"/>
  <c r="D135" i="121"/>
  <c r="J135" i="121"/>
  <c r="E135" i="121"/>
  <c r="F135" i="121"/>
  <c r="C135" i="121"/>
  <c r="I136" i="121"/>
  <c r="D136" i="121"/>
  <c r="J136" i="121"/>
  <c r="E136" i="121"/>
  <c r="F136" i="121"/>
  <c r="C136" i="121"/>
  <c r="I137" i="121"/>
  <c r="D137" i="121"/>
  <c r="J137" i="121"/>
  <c r="E137" i="121"/>
  <c r="F137" i="121"/>
  <c r="C137" i="121"/>
  <c r="I138" i="121"/>
  <c r="D138" i="121"/>
  <c r="J138" i="121"/>
  <c r="E138" i="121"/>
  <c r="F138" i="121"/>
  <c r="C138" i="121"/>
  <c r="I139" i="121"/>
  <c r="D139" i="121"/>
  <c r="J139" i="121"/>
  <c r="E139" i="121"/>
  <c r="F139" i="121"/>
  <c r="C139" i="121"/>
  <c r="I140" i="121"/>
  <c r="D140" i="121"/>
  <c r="J140" i="121"/>
  <c r="E140" i="121"/>
  <c r="F140" i="121"/>
  <c r="C140" i="121"/>
  <c r="I141" i="121"/>
  <c r="D141" i="121"/>
  <c r="J141" i="121"/>
  <c r="E141" i="121"/>
  <c r="F141" i="121"/>
  <c r="C141" i="121"/>
  <c r="I142" i="121"/>
  <c r="D142" i="121"/>
  <c r="J142" i="121"/>
  <c r="E142" i="121"/>
  <c r="F142" i="121"/>
  <c r="C142" i="121"/>
  <c r="I143" i="121"/>
  <c r="D143" i="121"/>
  <c r="J143" i="121"/>
  <c r="E143" i="121"/>
  <c r="F143" i="121"/>
  <c r="C143" i="121"/>
  <c r="I144" i="121"/>
  <c r="D144" i="121"/>
  <c r="J144" i="121"/>
  <c r="E144" i="121"/>
  <c r="F144" i="121"/>
  <c r="C144" i="121"/>
  <c r="I145" i="121"/>
  <c r="D145" i="121"/>
  <c r="J145" i="121"/>
  <c r="E145" i="121"/>
  <c r="F145" i="121"/>
  <c r="C145" i="121"/>
  <c r="I146" i="121"/>
  <c r="D146" i="121"/>
  <c r="J146" i="121"/>
  <c r="E146" i="121"/>
  <c r="F146" i="121"/>
  <c r="C146" i="121"/>
  <c r="I147" i="121"/>
  <c r="D147" i="121"/>
  <c r="J147" i="121"/>
  <c r="E147" i="121"/>
  <c r="F147" i="121"/>
  <c r="C147" i="121"/>
  <c r="I148" i="121"/>
  <c r="D148" i="121"/>
  <c r="J148" i="121"/>
  <c r="E148" i="121"/>
  <c r="F148" i="121"/>
  <c r="C148" i="121"/>
  <c r="I149" i="121"/>
  <c r="D149" i="121"/>
  <c r="J149" i="121"/>
  <c r="E149" i="121"/>
  <c r="F149" i="121"/>
  <c r="C149" i="121"/>
  <c r="I150" i="121"/>
  <c r="D150" i="121"/>
  <c r="J150" i="121"/>
  <c r="E150" i="121"/>
  <c r="F150" i="121"/>
  <c r="C150" i="121"/>
  <c r="I151" i="121"/>
  <c r="D151" i="121"/>
  <c r="J151" i="121"/>
  <c r="E151" i="121"/>
  <c r="F151" i="121"/>
  <c r="C151" i="121"/>
  <c r="I152" i="121"/>
  <c r="D152" i="121"/>
  <c r="J152" i="121"/>
  <c r="E152" i="121"/>
  <c r="F152" i="121"/>
  <c r="C152" i="121"/>
  <c r="I153" i="121"/>
  <c r="D153" i="121"/>
  <c r="J153" i="121"/>
  <c r="E153" i="121"/>
  <c r="F153" i="121"/>
  <c r="C153" i="121"/>
  <c r="I154" i="121"/>
  <c r="D154" i="121"/>
  <c r="J154" i="121"/>
  <c r="E154" i="121"/>
  <c r="F154" i="121"/>
  <c r="C154" i="121"/>
  <c r="I155" i="121"/>
  <c r="D155" i="121"/>
  <c r="J155" i="121"/>
  <c r="E155" i="121"/>
  <c r="F155" i="121"/>
  <c r="C155" i="121"/>
  <c r="I156" i="121"/>
  <c r="D156" i="121"/>
  <c r="J156" i="121"/>
  <c r="E156" i="121"/>
  <c r="F156" i="121"/>
  <c r="C156" i="121"/>
  <c r="I157" i="121"/>
  <c r="D157" i="121"/>
  <c r="J157" i="121"/>
  <c r="E157" i="121"/>
  <c r="F157" i="121"/>
  <c r="C157" i="121"/>
  <c r="I158" i="121"/>
  <c r="D158" i="121"/>
  <c r="J158" i="121"/>
  <c r="E158" i="121"/>
  <c r="F158" i="121"/>
  <c r="C158" i="121"/>
  <c r="I159" i="121"/>
  <c r="D159" i="121"/>
  <c r="J159" i="121"/>
  <c r="E159" i="121"/>
  <c r="F159" i="121"/>
  <c r="C159" i="121"/>
  <c r="I160" i="121"/>
  <c r="D160" i="121"/>
  <c r="J160" i="121"/>
  <c r="E160" i="121"/>
  <c r="F160" i="121"/>
  <c r="C160" i="121"/>
  <c r="I161" i="121"/>
  <c r="D161" i="121"/>
  <c r="J161" i="121"/>
  <c r="E161" i="121"/>
  <c r="F161" i="121"/>
  <c r="C161" i="121"/>
  <c r="I162" i="121"/>
  <c r="D162" i="121"/>
  <c r="J162" i="121"/>
  <c r="E162" i="121"/>
  <c r="F162" i="121"/>
  <c r="C162" i="121"/>
  <c r="I163" i="121"/>
  <c r="D163" i="121"/>
  <c r="J163" i="121"/>
  <c r="E163" i="121"/>
  <c r="F163" i="121"/>
  <c r="C163" i="121"/>
  <c r="I164" i="121"/>
  <c r="D164" i="121"/>
  <c r="J164" i="121"/>
  <c r="E164" i="121"/>
  <c r="F164" i="121"/>
  <c r="C164" i="121"/>
  <c r="I165" i="121"/>
  <c r="D165" i="121"/>
  <c r="J165" i="121"/>
  <c r="E165" i="121"/>
  <c r="F165" i="121"/>
  <c r="C165" i="121"/>
  <c r="I166" i="121"/>
  <c r="D166" i="121"/>
  <c r="J166" i="121"/>
  <c r="E166" i="121"/>
  <c r="F166" i="121"/>
  <c r="C166" i="121"/>
  <c r="I167" i="121"/>
  <c r="D167" i="121"/>
  <c r="J167" i="121"/>
  <c r="E167" i="121"/>
  <c r="F167" i="121"/>
  <c r="C167" i="121"/>
  <c r="I168" i="121"/>
  <c r="D168" i="121"/>
  <c r="J168" i="121"/>
  <c r="E168" i="121"/>
  <c r="F168" i="121"/>
  <c r="C168" i="121"/>
  <c r="I169" i="121"/>
  <c r="D169" i="121"/>
  <c r="J169" i="121"/>
  <c r="E169" i="121"/>
  <c r="F169" i="121"/>
  <c r="C169" i="121"/>
  <c r="I170" i="121"/>
  <c r="D170" i="121"/>
  <c r="J170" i="121"/>
  <c r="E170" i="121"/>
  <c r="F170" i="121"/>
  <c r="C170" i="121"/>
  <c r="I171" i="121"/>
  <c r="D171" i="121"/>
  <c r="J171" i="121"/>
  <c r="E171" i="121"/>
  <c r="F171" i="121"/>
  <c r="C171" i="121"/>
  <c r="I172" i="121"/>
  <c r="D172" i="121"/>
  <c r="J172" i="121"/>
  <c r="E172" i="121"/>
  <c r="F172" i="121"/>
  <c r="C172" i="121"/>
  <c r="I173" i="121"/>
  <c r="D173" i="121"/>
  <c r="J173" i="121"/>
  <c r="E173" i="121"/>
  <c r="F173" i="121"/>
  <c r="C173" i="121"/>
  <c r="I174" i="121"/>
  <c r="D174" i="121"/>
  <c r="J174" i="121"/>
  <c r="E174" i="121"/>
  <c r="F174" i="121"/>
  <c r="C174" i="121"/>
  <c r="I175" i="121"/>
  <c r="D175" i="121"/>
  <c r="J175" i="121"/>
  <c r="E175" i="121"/>
  <c r="F175" i="121"/>
  <c r="C175" i="121"/>
  <c r="I176" i="121"/>
  <c r="D176" i="121"/>
  <c r="J176" i="121"/>
  <c r="E176" i="121"/>
  <c r="F176" i="121"/>
  <c r="C176" i="121"/>
  <c r="I177" i="121"/>
  <c r="D177" i="121"/>
  <c r="J177" i="121"/>
  <c r="E177" i="121"/>
  <c r="F177" i="121"/>
  <c r="C177" i="121"/>
  <c r="I178" i="121"/>
  <c r="D178" i="121"/>
  <c r="J178" i="121"/>
  <c r="E178" i="121"/>
  <c r="F178" i="121"/>
  <c r="C178" i="121"/>
  <c r="I179" i="121"/>
  <c r="D179" i="121"/>
  <c r="J179" i="121"/>
  <c r="E179" i="121"/>
  <c r="F179" i="121"/>
  <c r="C179" i="121"/>
  <c r="I180" i="121"/>
  <c r="D180" i="121"/>
  <c r="J180" i="121"/>
  <c r="E180" i="121"/>
  <c r="F180" i="121"/>
  <c r="C180" i="121"/>
  <c r="I181" i="121"/>
  <c r="D181" i="121"/>
  <c r="J181" i="121"/>
  <c r="E181" i="121"/>
  <c r="F181" i="121"/>
  <c r="C181" i="121"/>
  <c r="I182" i="121"/>
  <c r="D182" i="121"/>
  <c r="J182" i="121"/>
  <c r="E182" i="121"/>
  <c r="F182" i="121"/>
  <c r="C182" i="121"/>
  <c r="I183" i="121"/>
  <c r="D183" i="121"/>
  <c r="J183" i="121"/>
  <c r="E183" i="121"/>
  <c r="F183" i="121"/>
  <c r="C183" i="121"/>
  <c r="I184" i="121"/>
  <c r="D184" i="121"/>
  <c r="J184" i="121"/>
  <c r="E184" i="121"/>
  <c r="F184" i="121"/>
  <c r="C184" i="121"/>
  <c r="I185" i="121"/>
  <c r="D185" i="121"/>
  <c r="J185" i="121"/>
  <c r="E185" i="121"/>
  <c r="F185" i="121"/>
  <c r="C185" i="121"/>
  <c r="I186" i="121"/>
  <c r="D186" i="121"/>
  <c r="J186" i="121"/>
  <c r="E186" i="121"/>
  <c r="F186" i="121"/>
  <c r="C186" i="121"/>
  <c r="I187" i="121"/>
  <c r="D187" i="121"/>
  <c r="J187" i="121"/>
  <c r="E187" i="121"/>
  <c r="F187" i="121"/>
  <c r="C187" i="121"/>
  <c r="I188" i="121"/>
  <c r="D188" i="121"/>
  <c r="J188" i="121"/>
  <c r="E188" i="121"/>
  <c r="F188" i="121"/>
  <c r="C188" i="121"/>
  <c r="I189" i="121"/>
  <c r="D189" i="121"/>
  <c r="J189" i="121"/>
  <c r="E189" i="121"/>
  <c r="F189" i="121"/>
  <c r="C189" i="121"/>
  <c r="I190" i="121"/>
  <c r="D190" i="121"/>
  <c r="J190" i="121"/>
  <c r="E190" i="121"/>
  <c r="F190" i="121"/>
  <c r="C190" i="121"/>
  <c r="I191" i="121"/>
  <c r="D191" i="121"/>
  <c r="J191" i="121"/>
  <c r="E191" i="121"/>
  <c r="F191" i="121"/>
  <c r="C191" i="121"/>
  <c r="I192" i="121"/>
  <c r="D192" i="121"/>
  <c r="J192" i="121"/>
  <c r="E192" i="121"/>
  <c r="F192" i="121"/>
  <c r="C192" i="121"/>
  <c r="I193" i="121"/>
  <c r="D193" i="121"/>
  <c r="J193" i="121"/>
  <c r="E193" i="121"/>
  <c r="F193" i="121"/>
  <c r="C193" i="121"/>
  <c r="I194" i="121"/>
  <c r="D194" i="121"/>
  <c r="J194" i="121"/>
  <c r="E194" i="121"/>
  <c r="F194" i="121"/>
  <c r="C194" i="121"/>
  <c r="I195" i="121"/>
  <c r="D195" i="121"/>
  <c r="J195" i="121"/>
  <c r="E195" i="121"/>
  <c r="F195" i="121"/>
  <c r="C195" i="121"/>
  <c r="I196" i="121"/>
  <c r="D196" i="121"/>
  <c r="J196" i="121"/>
  <c r="E196" i="121"/>
  <c r="F196" i="121"/>
  <c r="C196" i="121"/>
  <c r="I197" i="121"/>
  <c r="D197" i="121"/>
  <c r="J197" i="121"/>
  <c r="E197" i="121"/>
  <c r="F197" i="121"/>
  <c r="C197" i="121"/>
  <c r="I198" i="121"/>
  <c r="D198" i="121"/>
  <c r="J198" i="121"/>
  <c r="E198" i="121"/>
  <c r="F198" i="121"/>
  <c r="C198" i="121"/>
  <c r="I199" i="121"/>
  <c r="D199" i="121"/>
  <c r="J199" i="121"/>
  <c r="E199" i="121"/>
  <c r="F199" i="121"/>
  <c r="C199" i="121"/>
  <c r="I200" i="121"/>
  <c r="D200" i="121"/>
  <c r="J200" i="121"/>
  <c r="E200" i="121"/>
  <c r="F200" i="121"/>
  <c r="C200" i="121"/>
  <c r="I201" i="121"/>
  <c r="D201" i="121"/>
  <c r="J201" i="121"/>
  <c r="E201" i="121"/>
  <c r="F201" i="121"/>
  <c r="C201" i="121"/>
  <c r="I202" i="121"/>
  <c r="D202" i="121"/>
  <c r="J202" i="121"/>
  <c r="E202" i="121"/>
  <c r="F202" i="121"/>
  <c r="C202" i="121"/>
  <c r="I203" i="121"/>
  <c r="D203" i="121"/>
  <c r="J203" i="121"/>
  <c r="E203" i="121"/>
  <c r="F203" i="121"/>
  <c r="C203" i="121"/>
  <c r="I204" i="121"/>
  <c r="D204" i="121"/>
  <c r="J204" i="121"/>
  <c r="E204" i="121"/>
  <c r="F204" i="121"/>
  <c r="C204" i="121"/>
  <c r="I205" i="121"/>
  <c r="D205" i="121"/>
  <c r="J205" i="121"/>
  <c r="E205" i="121"/>
  <c r="F205" i="121"/>
  <c r="C205" i="121"/>
  <c r="I206" i="121"/>
  <c r="D206" i="121"/>
  <c r="J206" i="121"/>
  <c r="E206" i="121"/>
  <c r="F206" i="121"/>
  <c r="C206" i="121"/>
  <c r="I207" i="121"/>
  <c r="D207" i="121"/>
  <c r="J207" i="121"/>
  <c r="E207" i="121"/>
  <c r="F207" i="121"/>
  <c r="C207" i="121"/>
  <c r="I208" i="121"/>
  <c r="D208" i="121"/>
  <c r="J208" i="121"/>
  <c r="E208" i="121"/>
  <c r="F208" i="121"/>
  <c r="C208" i="121"/>
  <c r="I209" i="121"/>
  <c r="D209" i="121"/>
  <c r="J209" i="121"/>
  <c r="E209" i="121"/>
  <c r="F209" i="121"/>
  <c r="C209" i="121"/>
  <c r="I210" i="121"/>
  <c r="D210" i="121"/>
  <c r="J210" i="121"/>
  <c r="E210" i="121"/>
  <c r="F210" i="121"/>
  <c r="C210" i="121"/>
  <c r="I211" i="121"/>
  <c r="D211" i="121"/>
  <c r="J211" i="121"/>
  <c r="E211" i="121"/>
  <c r="F211" i="121"/>
  <c r="C211" i="121"/>
  <c r="I212" i="121"/>
  <c r="D212" i="121"/>
  <c r="J212" i="121"/>
  <c r="E212" i="121"/>
  <c r="F212" i="121"/>
  <c r="C212" i="121"/>
  <c r="I213" i="121"/>
  <c r="D213" i="121"/>
  <c r="J213" i="121"/>
  <c r="E213" i="121"/>
  <c r="F213" i="121"/>
  <c r="C213" i="121"/>
  <c r="I214" i="121"/>
  <c r="D214" i="121"/>
  <c r="J214" i="121"/>
  <c r="E214" i="121"/>
  <c r="F214" i="121"/>
  <c r="C214" i="121"/>
  <c r="I215" i="121"/>
  <c r="D215" i="121"/>
  <c r="J215" i="121"/>
  <c r="E215" i="121"/>
  <c r="F215" i="121"/>
  <c r="C215" i="121"/>
  <c r="I216" i="121"/>
  <c r="D216" i="121"/>
  <c r="J216" i="121"/>
  <c r="E216" i="121"/>
  <c r="F216" i="121"/>
  <c r="C216" i="121"/>
  <c r="I217" i="121"/>
  <c r="D217" i="121"/>
  <c r="J217" i="121"/>
  <c r="E217" i="121"/>
  <c r="F217" i="121"/>
  <c r="C217" i="121"/>
  <c r="I218" i="121"/>
  <c r="D218" i="121"/>
  <c r="J218" i="121"/>
  <c r="E218" i="121"/>
  <c r="F218" i="121"/>
  <c r="C218" i="121"/>
  <c r="I219" i="121"/>
  <c r="D219" i="121"/>
  <c r="J219" i="121"/>
  <c r="E219" i="121"/>
  <c r="F219" i="121"/>
  <c r="C219" i="121"/>
  <c r="I220" i="121"/>
  <c r="D220" i="121"/>
  <c r="J220" i="121"/>
  <c r="E220" i="121"/>
  <c r="F220" i="121"/>
  <c r="C220" i="121"/>
  <c r="I221" i="121"/>
  <c r="D221" i="121"/>
  <c r="J221" i="121"/>
  <c r="E221" i="121"/>
  <c r="F221" i="121"/>
  <c r="C221" i="121"/>
  <c r="I222" i="121"/>
  <c r="D222" i="121"/>
  <c r="J222" i="121"/>
  <c r="E222" i="121"/>
  <c r="F222" i="121"/>
  <c r="C222" i="121"/>
  <c r="I223" i="121"/>
  <c r="D223" i="121"/>
  <c r="J223" i="121"/>
  <c r="E223" i="121"/>
  <c r="F223" i="121"/>
  <c r="C223" i="121"/>
  <c r="I224" i="121"/>
  <c r="D224" i="121"/>
  <c r="J224" i="121"/>
  <c r="E224" i="121"/>
  <c r="F224" i="121"/>
  <c r="C224" i="121"/>
  <c r="I225" i="121"/>
  <c r="D225" i="121"/>
  <c r="J225" i="121"/>
  <c r="E225" i="121"/>
  <c r="F225" i="121"/>
  <c r="C225" i="121"/>
  <c r="I226" i="121"/>
  <c r="D226" i="121"/>
  <c r="J226" i="121"/>
  <c r="E226" i="121"/>
  <c r="F226" i="121"/>
  <c r="C226" i="121"/>
  <c r="I227" i="121"/>
  <c r="D227" i="121"/>
  <c r="J227" i="121"/>
  <c r="E227" i="121"/>
  <c r="F227" i="121"/>
  <c r="C227" i="121"/>
  <c r="I228" i="121"/>
  <c r="D228" i="121"/>
  <c r="J228" i="121"/>
  <c r="E228" i="121"/>
  <c r="F228" i="121"/>
  <c r="C228" i="121"/>
  <c r="I229" i="121"/>
  <c r="D229" i="121"/>
  <c r="J229" i="121"/>
  <c r="E229" i="121"/>
  <c r="F229" i="121"/>
  <c r="C229" i="121"/>
  <c r="I230" i="121"/>
  <c r="D230" i="121"/>
  <c r="J230" i="121"/>
  <c r="E230" i="121"/>
  <c r="F230" i="121"/>
  <c r="C230" i="121"/>
  <c r="I231" i="121"/>
  <c r="D231" i="121"/>
  <c r="J231" i="121"/>
  <c r="E231" i="121"/>
  <c r="F231" i="121"/>
  <c r="C231" i="121"/>
  <c r="I232" i="121"/>
  <c r="D232" i="121"/>
  <c r="J232" i="121"/>
  <c r="E232" i="121"/>
  <c r="F232" i="121"/>
  <c r="C232" i="121"/>
  <c r="I233" i="121"/>
  <c r="D233" i="121"/>
  <c r="J233" i="121"/>
  <c r="E233" i="121"/>
  <c r="F233" i="121"/>
  <c r="C233" i="121"/>
  <c r="I234" i="121"/>
  <c r="D234" i="121"/>
  <c r="J234" i="121"/>
  <c r="E234" i="121"/>
  <c r="F234" i="121"/>
  <c r="C234" i="121"/>
  <c r="I235" i="121"/>
  <c r="D235" i="121"/>
  <c r="J235" i="121"/>
  <c r="E235" i="121"/>
  <c r="F235" i="121"/>
  <c r="C235" i="121"/>
  <c r="I236" i="121"/>
  <c r="D236" i="121"/>
  <c r="J236" i="121"/>
  <c r="E236" i="121"/>
  <c r="F236" i="121"/>
  <c r="C236" i="121"/>
  <c r="I237" i="121"/>
  <c r="D237" i="121"/>
  <c r="J237" i="121"/>
  <c r="E237" i="121"/>
  <c r="F237" i="121"/>
  <c r="C237" i="121"/>
  <c r="I238" i="121"/>
  <c r="D238" i="121"/>
  <c r="J238" i="121"/>
  <c r="E238" i="121"/>
  <c r="F238" i="121"/>
  <c r="C238" i="121"/>
  <c r="I239" i="121"/>
  <c r="D239" i="121"/>
  <c r="J239" i="121"/>
  <c r="E239" i="121"/>
  <c r="F239" i="121"/>
  <c r="C239" i="121"/>
  <c r="I240" i="121"/>
  <c r="D240" i="121"/>
  <c r="J240" i="121"/>
  <c r="E240" i="121"/>
  <c r="F240" i="121"/>
  <c r="C240" i="121"/>
  <c r="I241" i="121"/>
  <c r="D241" i="121"/>
  <c r="J241" i="121"/>
  <c r="E241" i="121"/>
  <c r="F241" i="121"/>
  <c r="C241" i="121"/>
  <c r="I242" i="121"/>
  <c r="D242" i="121"/>
  <c r="J242" i="121"/>
  <c r="E242" i="121"/>
  <c r="F242" i="121"/>
  <c r="C242" i="121"/>
  <c r="I243" i="121"/>
  <c r="D243" i="121"/>
  <c r="J243" i="121"/>
  <c r="E243" i="121"/>
  <c r="F243" i="121"/>
  <c r="C243" i="121"/>
  <c r="I244" i="121"/>
  <c r="D244" i="121"/>
  <c r="J244" i="121"/>
  <c r="E244" i="121"/>
  <c r="F244" i="121"/>
  <c r="C244" i="121"/>
  <c r="I245" i="121"/>
  <c r="D245" i="121"/>
  <c r="J245" i="121"/>
  <c r="E245" i="121"/>
  <c r="F245" i="121"/>
  <c r="C245" i="121"/>
  <c r="I246" i="121"/>
  <c r="D246" i="121"/>
  <c r="J246" i="121"/>
  <c r="E246" i="121"/>
  <c r="F246" i="121"/>
  <c r="C246" i="121"/>
  <c r="I247" i="121"/>
  <c r="D247" i="121"/>
  <c r="J247" i="121"/>
  <c r="E247" i="121"/>
  <c r="F247" i="121"/>
  <c r="C247" i="121"/>
  <c r="I248" i="121"/>
  <c r="D248" i="121"/>
  <c r="J248" i="121"/>
  <c r="E248" i="121"/>
  <c r="F248" i="121"/>
  <c r="C248" i="121"/>
  <c r="I249" i="121"/>
  <c r="D249" i="121"/>
  <c r="J249" i="121"/>
  <c r="E249" i="121"/>
  <c r="F249" i="121"/>
  <c r="C249" i="121"/>
  <c r="I250" i="121"/>
  <c r="D250" i="121"/>
  <c r="J250" i="121"/>
  <c r="E250" i="121"/>
  <c r="F250" i="121"/>
  <c r="C250" i="121"/>
  <c r="I251" i="121"/>
  <c r="D251" i="121"/>
  <c r="J251" i="121"/>
  <c r="E251" i="121"/>
  <c r="F251" i="121"/>
  <c r="C251" i="121"/>
  <c r="I252" i="121"/>
  <c r="D252" i="121"/>
  <c r="J252" i="121"/>
  <c r="E252" i="121"/>
  <c r="F252" i="121"/>
  <c r="C252" i="121"/>
  <c r="I253" i="121"/>
  <c r="D253" i="121"/>
  <c r="J253" i="121"/>
  <c r="E253" i="121"/>
  <c r="F253" i="121"/>
  <c r="C253" i="121"/>
  <c r="I254" i="121"/>
  <c r="D254" i="121"/>
  <c r="J254" i="121"/>
  <c r="E254" i="121"/>
  <c r="F254" i="121"/>
  <c r="C254" i="121"/>
  <c r="I255" i="121"/>
  <c r="D255" i="121"/>
  <c r="J255" i="121"/>
  <c r="E255" i="121"/>
  <c r="F255" i="121"/>
  <c r="C255" i="121"/>
  <c r="I256" i="121"/>
  <c r="D256" i="121"/>
  <c r="J256" i="121"/>
  <c r="E256" i="121"/>
  <c r="F256" i="121"/>
  <c r="C256" i="121"/>
  <c r="I257" i="121"/>
  <c r="D257" i="121"/>
  <c r="J257" i="121"/>
  <c r="E257" i="121"/>
  <c r="F257" i="121"/>
  <c r="C257" i="121"/>
  <c r="I258" i="121"/>
  <c r="D258" i="121"/>
  <c r="J258" i="121"/>
  <c r="E258" i="121"/>
  <c r="F258" i="121"/>
  <c r="C258" i="121"/>
  <c r="I259" i="121"/>
  <c r="D259" i="121"/>
  <c r="J259" i="121"/>
  <c r="E259" i="121"/>
  <c r="F259" i="121"/>
  <c r="C259" i="121"/>
  <c r="I260" i="121"/>
  <c r="D260" i="121"/>
  <c r="J260" i="121"/>
  <c r="E260" i="121"/>
  <c r="F260" i="121"/>
  <c r="C260" i="121"/>
  <c r="I261" i="121"/>
  <c r="D261" i="121"/>
  <c r="J261" i="121"/>
  <c r="E261" i="121"/>
  <c r="F261" i="121"/>
  <c r="C261" i="121"/>
  <c r="I262" i="121"/>
  <c r="D262" i="121"/>
  <c r="J262" i="121"/>
  <c r="E262" i="121"/>
  <c r="F262" i="121"/>
  <c r="C262" i="121"/>
  <c r="I263" i="121"/>
  <c r="D263" i="121"/>
  <c r="J263" i="121"/>
  <c r="E263" i="121"/>
  <c r="F263" i="121"/>
  <c r="C263" i="121"/>
  <c r="I264" i="121"/>
  <c r="D264" i="121"/>
  <c r="J264" i="121"/>
  <c r="E264" i="121"/>
  <c r="F264" i="121"/>
  <c r="C264" i="121"/>
  <c r="I265" i="121"/>
  <c r="D265" i="121"/>
  <c r="J265" i="121"/>
  <c r="E265" i="121"/>
  <c r="F265" i="121"/>
  <c r="C265" i="121"/>
  <c r="I266" i="121"/>
  <c r="D266" i="121"/>
  <c r="J266" i="121"/>
  <c r="E266" i="121"/>
  <c r="F266" i="121"/>
  <c r="C266" i="121"/>
  <c r="I267" i="121"/>
  <c r="D267" i="121"/>
  <c r="J267" i="121"/>
  <c r="E267" i="121"/>
  <c r="F267" i="121"/>
  <c r="C267" i="121"/>
  <c r="I268" i="121"/>
  <c r="D268" i="121"/>
  <c r="J268" i="121"/>
  <c r="E268" i="121"/>
  <c r="F268" i="121"/>
  <c r="C268" i="121"/>
  <c r="I269" i="121"/>
  <c r="D269" i="121"/>
  <c r="J269" i="121"/>
  <c r="E269" i="121"/>
  <c r="F269" i="121"/>
  <c r="C269" i="121"/>
  <c r="I270" i="121"/>
  <c r="D270" i="121"/>
  <c r="J270" i="121"/>
  <c r="E270" i="121"/>
  <c r="F270" i="121"/>
  <c r="C270" i="121"/>
  <c r="I271" i="121"/>
  <c r="D271" i="121"/>
  <c r="J271" i="121"/>
  <c r="E271" i="121"/>
  <c r="F271" i="121"/>
  <c r="C271" i="121"/>
  <c r="I272" i="121"/>
  <c r="D272" i="121"/>
  <c r="J272" i="121"/>
  <c r="E272" i="121"/>
  <c r="F272" i="121"/>
  <c r="C272" i="121"/>
  <c r="I273" i="121"/>
  <c r="D273" i="121"/>
  <c r="J273" i="121"/>
  <c r="E273" i="121"/>
  <c r="F273" i="121"/>
  <c r="C273" i="121"/>
  <c r="I274" i="121"/>
  <c r="D274" i="121"/>
  <c r="J274" i="121"/>
  <c r="E274" i="121"/>
  <c r="F274" i="121"/>
  <c r="C274" i="121"/>
  <c r="F5" i="120"/>
  <c r="A36" i="120"/>
  <c r="R5" i="120"/>
  <c r="O274" i="121"/>
  <c r="A2" i="120"/>
  <c r="G17" i="120"/>
  <c r="Q3" i="120"/>
  <c r="Q4" i="120"/>
  <c r="Q5" i="120"/>
  <c r="Q6" i="120"/>
  <c r="Q7" i="120"/>
  <c r="Q8" i="120"/>
  <c r="Q9" i="120"/>
  <c r="Q10" i="120"/>
  <c r="Q11" i="120"/>
  <c r="Q12" i="120"/>
  <c r="Q13" i="120"/>
  <c r="Q14" i="120"/>
  <c r="Q15" i="120"/>
  <c r="Q16" i="120"/>
  <c r="Q17" i="120"/>
  <c r="Q18" i="120"/>
  <c r="Q19" i="120"/>
  <c r="Q20" i="120"/>
  <c r="E17" i="120"/>
  <c r="H17" i="120"/>
  <c r="O2" i="121"/>
  <c r="B10" i="120"/>
  <c r="E18" i="120"/>
  <c r="G18" i="120"/>
  <c r="H18" i="120"/>
  <c r="O3" i="121"/>
  <c r="O4" i="121"/>
  <c r="O5" i="121"/>
  <c r="O6" i="121"/>
  <c r="O7" i="121"/>
  <c r="O8" i="121"/>
  <c r="O9" i="121"/>
  <c r="O10" i="121"/>
  <c r="O11" i="121"/>
  <c r="O12" i="121"/>
  <c r="O13" i="121"/>
  <c r="O14" i="121"/>
  <c r="O15" i="121"/>
  <c r="O16" i="121"/>
  <c r="O17" i="121"/>
  <c r="O18" i="121"/>
  <c r="O19" i="121"/>
  <c r="O20" i="121"/>
  <c r="O21" i="121"/>
  <c r="O22" i="121"/>
  <c r="O23" i="121"/>
  <c r="O24" i="121"/>
  <c r="O25" i="121"/>
  <c r="O26" i="121"/>
  <c r="O27" i="121"/>
  <c r="O28" i="121"/>
  <c r="O29" i="121"/>
  <c r="O30" i="121"/>
  <c r="O31" i="121"/>
  <c r="O32" i="121"/>
  <c r="O33" i="121"/>
  <c r="O34" i="121"/>
  <c r="O35" i="121"/>
  <c r="O36" i="121"/>
  <c r="O37" i="121"/>
  <c r="O38" i="121"/>
  <c r="O39" i="121"/>
  <c r="O40" i="121"/>
  <c r="O41" i="121"/>
  <c r="G24" i="120"/>
  <c r="E24" i="120"/>
  <c r="H24" i="120"/>
  <c r="O42" i="121"/>
  <c r="E5" i="120"/>
  <c r="E25" i="120"/>
  <c r="G25" i="120"/>
  <c r="H25" i="120"/>
  <c r="O43" i="121"/>
  <c r="E26" i="120"/>
  <c r="B26" i="120"/>
  <c r="G26" i="120"/>
  <c r="H26" i="120"/>
  <c r="O44" i="121"/>
  <c r="O45" i="121"/>
  <c r="O46" i="121"/>
  <c r="O47" i="121"/>
  <c r="O48" i="121"/>
  <c r="O49" i="121"/>
  <c r="O50" i="121"/>
  <c r="G19" i="120"/>
  <c r="E19" i="120"/>
  <c r="H19" i="120"/>
  <c r="O51" i="121"/>
  <c r="E20" i="120"/>
  <c r="G20" i="120"/>
  <c r="H20" i="120"/>
  <c r="O52" i="121"/>
  <c r="E21" i="120"/>
  <c r="G21" i="120"/>
  <c r="H21" i="120"/>
  <c r="O53" i="121"/>
  <c r="O54" i="121"/>
  <c r="O55" i="121"/>
  <c r="O56" i="121"/>
  <c r="O57" i="121"/>
  <c r="O58" i="121"/>
  <c r="O59" i="121"/>
  <c r="O60" i="121"/>
  <c r="O61" i="121"/>
  <c r="O62" i="121"/>
  <c r="O63" i="121"/>
  <c r="O64" i="121"/>
  <c r="O65" i="121"/>
  <c r="O66" i="121"/>
  <c r="O67" i="121"/>
  <c r="O68" i="121"/>
  <c r="O69" i="121"/>
  <c r="O70" i="121"/>
  <c r="O71" i="121"/>
  <c r="O72" i="121"/>
  <c r="O73" i="121"/>
  <c r="O74" i="121"/>
  <c r="O75" i="121"/>
  <c r="O76" i="121"/>
  <c r="O77" i="121"/>
  <c r="O78" i="121"/>
  <c r="O79" i="121"/>
  <c r="O80" i="121"/>
  <c r="O81" i="121"/>
  <c r="O82" i="121"/>
  <c r="O83" i="121"/>
  <c r="O84" i="121"/>
  <c r="O85" i="121"/>
  <c r="O86" i="121"/>
  <c r="O87" i="121"/>
  <c r="O88" i="121"/>
  <c r="O89" i="121"/>
  <c r="O90" i="121"/>
  <c r="O91" i="121"/>
  <c r="O92" i="121"/>
  <c r="O93" i="121"/>
  <c r="O94" i="121"/>
  <c r="O95" i="121"/>
  <c r="O96" i="121"/>
  <c r="O97" i="121"/>
  <c r="O98" i="121"/>
  <c r="O99" i="121"/>
  <c r="O100" i="121"/>
  <c r="O101" i="121"/>
  <c r="O102" i="121"/>
  <c r="O103" i="121"/>
  <c r="O104" i="121"/>
  <c r="O105" i="121"/>
  <c r="O106" i="121"/>
  <c r="O107" i="121"/>
  <c r="O108" i="121"/>
  <c r="O109" i="121"/>
  <c r="O110" i="121"/>
  <c r="O111" i="121"/>
  <c r="O112" i="121"/>
  <c r="O113" i="121"/>
  <c r="O114" i="121"/>
  <c r="O115" i="121"/>
  <c r="O116" i="121"/>
  <c r="O117" i="121"/>
  <c r="O118" i="121"/>
  <c r="O119" i="121"/>
  <c r="O120" i="121"/>
  <c r="O121" i="121"/>
  <c r="O122" i="121"/>
  <c r="O123" i="121"/>
  <c r="O124" i="121"/>
  <c r="O125" i="121"/>
  <c r="O126" i="121"/>
  <c r="O127" i="121"/>
  <c r="O128" i="121"/>
  <c r="O129" i="121"/>
  <c r="O130" i="121"/>
  <c r="O131" i="121"/>
  <c r="O132" i="121"/>
  <c r="O133" i="121"/>
  <c r="O134" i="121"/>
  <c r="O135" i="121"/>
  <c r="O136" i="121"/>
  <c r="O137" i="121"/>
  <c r="E27" i="120"/>
  <c r="B5" i="120"/>
  <c r="G27" i="120"/>
  <c r="H27" i="120"/>
  <c r="O138" i="121"/>
  <c r="E28" i="120"/>
  <c r="B28" i="120"/>
  <c r="G28" i="120"/>
  <c r="H28" i="120"/>
  <c r="O139" i="121"/>
  <c r="O140" i="121"/>
  <c r="O141" i="121"/>
  <c r="O142" i="121"/>
  <c r="O143" i="121"/>
  <c r="O144" i="121"/>
  <c r="O145" i="121"/>
  <c r="O146" i="121"/>
  <c r="O147" i="121"/>
  <c r="O148" i="121"/>
  <c r="O149" i="121"/>
  <c r="O150" i="121"/>
  <c r="O151" i="121"/>
  <c r="O152" i="121"/>
  <c r="O153" i="121"/>
  <c r="O154" i="121"/>
  <c r="O155" i="121"/>
  <c r="O156" i="121"/>
  <c r="O157" i="121"/>
  <c r="O158" i="121"/>
  <c r="O159" i="121"/>
  <c r="O160" i="121"/>
  <c r="O161" i="121"/>
  <c r="O162" i="121"/>
  <c r="O163" i="121"/>
  <c r="O164" i="121"/>
  <c r="O165" i="121"/>
  <c r="O166" i="121"/>
  <c r="O167" i="121"/>
  <c r="O168" i="121"/>
  <c r="O169" i="121"/>
  <c r="O170" i="121"/>
  <c r="O171" i="121"/>
  <c r="O172" i="121"/>
  <c r="O173" i="121"/>
  <c r="O174" i="121"/>
  <c r="O175" i="121"/>
  <c r="O176" i="121"/>
  <c r="O177" i="121"/>
  <c r="O178" i="121"/>
  <c r="O179" i="121"/>
  <c r="O180" i="121"/>
  <c r="O181" i="121"/>
  <c r="O182" i="121"/>
  <c r="O183" i="121"/>
  <c r="O184" i="121"/>
  <c r="O185" i="121"/>
  <c r="O186" i="121"/>
  <c r="O187" i="121"/>
  <c r="O188" i="121"/>
  <c r="O189" i="121"/>
  <c r="O190" i="121"/>
  <c r="O191" i="121"/>
  <c r="O192" i="121"/>
  <c r="O193" i="121"/>
  <c r="O194" i="121"/>
  <c r="O195" i="121"/>
  <c r="O196" i="121"/>
  <c r="O197" i="121"/>
  <c r="O198" i="121"/>
  <c r="O199" i="121"/>
  <c r="O200" i="121"/>
  <c r="O201" i="121"/>
  <c r="O202" i="121"/>
  <c r="O203" i="121"/>
  <c r="O204" i="121"/>
  <c r="O205" i="121"/>
  <c r="O206" i="121"/>
  <c r="O207" i="121"/>
  <c r="O208" i="121"/>
  <c r="O209" i="121"/>
  <c r="O210" i="121"/>
  <c r="O211" i="121"/>
  <c r="O212" i="121"/>
  <c r="O213" i="121"/>
  <c r="O214" i="121"/>
  <c r="O215" i="121"/>
  <c r="O216" i="121"/>
  <c r="O217" i="121"/>
  <c r="O218" i="121"/>
  <c r="O219" i="121"/>
  <c r="O220" i="121"/>
  <c r="O221" i="121"/>
  <c r="O222" i="121"/>
  <c r="O223" i="121"/>
  <c r="O224" i="121"/>
  <c r="O225" i="121"/>
  <c r="O226" i="121"/>
  <c r="O227" i="121"/>
  <c r="O228" i="121"/>
  <c r="O229" i="121"/>
  <c r="O230" i="121"/>
  <c r="O231" i="121"/>
  <c r="O232" i="121"/>
  <c r="O233" i="121"/>
  <c r="O234" i="121"/>
  <c r="O235" i="121"/>
  <c r="O236" i="121"/>
  <c r="O237" i="121"/>
  <c r="O238" i="121"/>
  <c r="O239" i="121"/>
  <c r="O240" i="121"/>
  <c r="O241" i="121"/>
  <c r="O242" i="121"/>
  <c r="O243" i="121"/>
  <c r="O244" i="121"/>
  <c r="O245" i="121"/>
  <c r="O246" i="121"/>
  <c r="O247" i="121"/>
  <c r="O248" i="121"/>
  <c r="O249" i="121"/>
  <c r="O250" i="121"/>
  <c r="O251" i="121"/>
  <c r="O252" i="121"/>
  <c r="O253" i="121"/>
  <c r="O254" i="121"/>
  <c r="O255" i="121"/>
  <c r="V6" i="120"/>
  <c r="G22" i="120"/>
  <c r="E22" i="120"/>
  <c r="H22" i="120"/>
  <c r="O256" i="121"/>
  <c r="G23" i="120"/>
  <c r="E23" i="120"/>
  <c r="H23" i="120"/>
  <c r="O257" i="121"/>
  <c r="O258" i="121"/>
  <c r="O259" i="121"/>
  <c r="G29" i="120"/>
  <c r="E29" i="120"/>
  <c r="H29" i="120"/>
  <c r="O260" i="121"/>
  <c r="O261" i="121"/>
  <c r="O262" i="121"/>
  <c r="O263" i="121"/>
  <c r="O264" i="121"/>
  <c r="O265" i="121"/>
  <c r="O266" i="121"/>
  <c r="O267" i="121"/>
  <c r="O268" i="121"/>
  <c r="O269" i="121"/>
  <c r="O270" i="121"/>
  <c r="O271" i="121"/>
  <c r="R3" i="120"/>
  <c r="O272" i="121"/>
  <c r="R4" i="120"/>
  <c r="O273" i="121"/>
  <c r="P274" i="121"/>
  <c r="N274" i="121"/>
  <c r="M274" i="121"/>
  <c r="L274" i="121"/>
  <c r="K274" i="121"/>
  <c r="H274" i="121"/>
  <c r="A274" i="121"/>
  <c r="P273" i="121"/>
  <c r="N273" i="121"/>
  <c r="M273" i="121"/>
  <c r="L273" i="121"/>
  <c r="K273" i="121"/>
  <c r="H273" i="121"/>
  <c r="A273" i="121"/>
  <c r="P272" i="121"/>
  <c r="N272" i="121"/>
  <c r="M272" i="121"/>
  <c r="L272" i="121"/>
  <c r="K272" i="121"/>
  <c r="H272" i="121"/>
  <c r="A272" i="121"/>
  <c r="P271" i="121"/>
  <c r="N271" i="121"/>
  <c r="M271" i="121"/>
  <c r="L271" i="121"/>
  <c r="K271" i="121"/>
  <c r="H271" i="121"/>
  <c r="A271" i="121"/>
  <c r="P270" i="121"/>
  <c r="N270" i="121"/>
  <c r="M270" i="121"/>
  <c r="L270" i="121"/>
  <c r="K270" i="121"/>
  <c r="H270" i="121"/>
  <c r="A270" i="121"/>
  <c r="P269" i="121"/>
  <c r="N269" i="121"/>
  <c r="M269" i="121"/>
  <c r="L269" i="121"/>
  <c r="K269" i="121"/>
  <c r="H269" i="121"/>
  <c r="A269" i="121"/>
  <c r="P268" i="121"/>
  <c r="N268" i="121"/>
  <c r="M268" i="121"/>
  <c r="L268" i="121"/>
  <c r="K268" i="121"/>
  <c r="H268" i="121"/>
  <c r="A268" i="121"/>
  <c r="P267" i="121"/>
  <c r="N267" i="121"/>
  <c r="M267" i="121"/>
  <c r="L267" i="121"/>
  <c r="K267" i="121"/>
  <c r="H267" i="121"/>
  <c r="A267" i="121"/>
  <c r="P266" i="121"/>
  <c r="N266" i="121"/>
  <c r="M266" i="121"/>
  <c r="L266" i="121"/>
  <c r="K266" i="121"/>
  <c r="H266" i="121"/>
  <c r="A266" i="121"/>
  <c r="P265" i="121"/>
  <c r="N265" i="121"/>
  <c r="M265" i="121"/>
  <c r="L265" i="121"/>
  <c r="K265" i="121"/>
  <c r="H265" i="121"/>
  <c r="A265" i="121"/>
  <c r="P264" i="121"/>
  <c r="N264" i="121"/>
  <c r="M264" i="121"/>
  <c r="L264" i="121"/>
  <c r="K264" i="121"/>
  <c r="H264" i="121"/>
  <c r="A264" i="121"/>
  <c r="P263" i="121"/>
  <c r="N263" i="121"/>
  <c r="M263" i="121"/>
  <c r="L263" i="121"/>
  <c r="K263" i="121"/>
  <c r="H263" i="121"/>
  <c r="A263" i="121"/>
  <c r="P262" i="121"/>
  <c r="N262" i="121"/>
  <c r="M262" i="121"/>
  <c r="L262" i="121"/>
  <c r="K262" i="121"/>
  <c r="H262" i="121"/>
  <c r="A262" i="121"/>
  <c r="P261" i="121"/>
  <c r="N261" i="121"/>
  <c r="M261" i="121"/>
  <c r="L261" i="121"/>
  <c r="K261" i="121"/>
  <c r="H261" i="121"/>
  <c r="A261" i="121"/>
  <c r="P260" i="121"/>
  <c r="N260" i="121"/>
  <c r="M260" i="121"/>
  <c r="L260" i="121"/>
  <c r="K260" i="121"/>
  <c r="H260" i="121"/>
  <c r="A260" i="121"/>
  <c r="P259" i="121"/>
  <c r="N259" i="121"/>
  <c r="M259" i="121"/>
  <c r="L259" i="121"/>
  <c r="K259" i="121"/>
  <c r="H259" i="121"/>
  <c r="A259" i="121"/>
  <c r="P258" i="121"/>
  <c r="N258" i="121"/>
  <c r="M258" i="121"/>
  <c r="L258" i="121"/>
  <c r="K258" i="121"/>
  <c r="H258" i="121"/>
  <c r="A258" i="121"/>
  <c r="P257" i="121"/>
  <c r="N257" i="121"/>
  <c r="M257" i="121"/>
  <c r="L257" i="121"/>
  <c r="K257" i="121"/>
  <c r="H257" i="121"/>
  <c r="A257" i="121"/>
  <c r="P256" i="121"/>
  <c r="N256" i="121"/>
  <c r="M256" i="121"/>
  <c r="L256" i="121"/>
  <c r="K256" i="121"/>
  <c r="H256" i="121"/>
  <c r="A256" i="121"/>
  <c r="P255" i="121"/>
  <c r="N255" i="121"/>
  <c r="M255" i="121"/>
  <c r="L255" i="121"/>
  <c r="K255" i="121"/>
  <c r="H255" i="121"/>
  <c r="A255" i="121"/>
  <c r="P254" i="121"/>
  <c r="N254" i="121"/>
  <c r="M254" i="121"/>
  <c r="L254" i="121"/>
  <c r="K254" i="121"/>
  <c r="H254" i="121"/>
  <c r="A254" i="121"/>
  <c r="P253" i="121"/>
  <c r="N253" i="121"/>
  <c r="M253" i="121"/>
  <c r="L253" i="121"/>
  <c r="K253" i="121"/>
  <c r="H253" i="121"/>
  <c r="A253" i="121"/>
  <c r="P252" i="121"/>
  <c r="N252" i="121"/>
  <c r="M252" i="121"/>
  <c r="L252" i="121"/>
  <c r="K252" i="121"/>
  <c r="H252" i="121"/>
  <c r="A252" i="121"/>
  <c r="P251" i="121"/>
  <c r="N251" i="121"/>
  <c r="M251" i="121"/>
  <c r="L251" i="121"/>
  <c r="K251" i="121"/>
  <c r="H251" i="121"/>
  <c r="A251" i="121"/>
  <c r="P250" i="121"/>
  <c r="N250" i="121"/>
  <c r="M250" i="121"/>
  <c r="L250" i="121"/>
  <c r="K250" i="121"/>
  <c r="H250" i="121"/>
  <c r="A250" i="121"/>
  <c r="P249" i="121"/>
  <c r="N249" i="121"/>
  <c r="M249" i="121"/>
  <c r="L249" i="121"/>
  <c r="K249" i="121"/>
  <c r="H249" i="121"/>
  <c r="A249" i="121"/>
  <c r="P248" i="121"/>
  <c r="N248" i="121"/>
  <c r="M248" i="121"/>
  <c r="L248" i="121"/>
  <c r="K248" i="121"/>
  <c r="H248" i="121"/>
  <c r="A248" i="121"/>
  <c r="P247" i="121"/>
  <c r="N247" i="121"/>
  <c r="M247" i="121"/>
  <c r="L247" i="121"/>
  <c r="K247" i="121"/>
  <c r="H247" i="121"/>
  <c r="A247" i="121"/>
  <c r="P246" i="121"/>
  <c r="N246" i="121"/>
  <c r="M246" i="121"/>
  <c r="L246" i="121"/>
  <c r="K246" i="121"/>
  <c r="H246" i="121"/>
  <c r="A246" i="121"/>
  <c r="P245" i="121"/>
  <c r="N245" i="121"/>
  <c r="M245" i="121"/>
  <c r="L245" i="121"/>
  <c r="K245" i="121"/>
  <c r="H245" i="121"/>
  <c r="A245" i="121"/>
  <c r="P244" i="121"/>
  <c r="N244" i="121"/>
  <c r="M244" i="121"/>
  <c r="L244" i="121"/>
  <c r="K244" i="121"/>
  <c r="H244" i="121"/>
  <c r="A244" i="121"/>
  <c r="P243" i="121"/>
  <c r="N243" i="121"/>
  <c r="M243" i="121"/>
  <c r="L243" i="121"/>
  <c r="K243" i="121"/>
  <c r="H243" i="121"/>
  <c r="A243" i="121"/>
  <c r="P242" i="121"/>
  <c r="N242" i="121"/>
  <c r="M242" i="121"/>
  <c r="L242" i="121"/>
  <c r="K242" i="121"/>
  <c r="H242" i="121"/>
  <c r="A242" i="121"/>
  <c r="P241" i="121"/>
  <c r="N241" i="121"/>
  <c r="M241" i="121"/>
  <c r="L241" i="121"/>
  <c r="K241" i="121"/>
  <c r="H241" i="121"/>
  <c r="A241" i="121"/>
  <c r="P240" i="121"/>
  <c r="N240" i="121"/>
  <c r="M240" i="121"/>
  <c r="L240" i="121"/>
  <c r="K240" i="121"/>
  <c r="H240" i="121"/>
  <c r="A240" i="121"/>
  <c r="P239" i="121"/>
  <c r="N239" i="121"/>
  <c r="M239" i="121"/>
  <c r="L239" i="121"/>
  <c r="K239" i="121"/>
  <c r="H239" i="121"/>
  <c r="A239" i="121"/>
  <c r="P238" i="121"/>
  <c r="N238" i="121"/>
  <c r="M238" i="121"/>
  <c r="L238" i="121"/>
  <c r="K238" i="121"/>
  <c r="H238" i="121"/>
  <c r="A238" i="121"/>
  <c r="P237" i="121"/>
  <c r="N237" i="121"/>
  <c r="M237" i="121"/>
  <c r="L237" i="121"/>
  <c r="K237" i="121"/>
  <c r="H237" i="121"/>
  <c r="A237" i="121"/>
  <c r="P236" i="121"/>
  <c r="N236" i="121"/>
  <c r="M236" i="121"/>
  <c r="L236" i="121"/>
  <c r="K236" i="121"/>
  <c r="H236" i="121"/>
  <c r="A236" i="121"/>
  <c r="P235" i="121"/>
  <c r="N235" i="121"/>
  <c r="M235" i="121"/>
  <c r="L235" i="121"/>
  <c r="K235" i="121"/>
  <c r="H235" i="121"/>
  <c r="A235" i="121"/>
  <c r="P234" i="121"/>
  <c r="N234" i="121"/>
  <c r="M234" i="121"/>
  <c r="L234" i="121"/>
  <c r="K234" i="121"/>
  <c r="H234" i="121"/>
  <c r="A234" i="121"/>
  <c r="P233" i="121"/>
  <c r="N233" i="121"/>
  <c r="M233" i="121"/>
  <c r="L233" i="121"/>
  <c r="K233" i="121"/>
  <c r="H233" i="121"/>
  <c r="A233" i="121"/>
  <c r="P232" i="121"/>
  <c r="N232" i="121"/>
  <c r="M232" i="121"/>
  <c r="L232" i="121"/>
  <c r="K232" i="121"/>
  <c r="H232" i="121"/>
  <c r="A232" i="121"/>
  <c r="P231" i="121"/>
  <c r="N231" i="121"/>
  <c r="M231" i="121"/>
  <c r="L231" i="121"/>
  <c r="K231" i="121"/>
  <c r="H231" i="121"/>
  <c r="A231" i="121"/>
  <c r="P230" i="121"/>
  <c r="N230" i="121"/>
  <c r="M230" i="121"/>
  <c r="L230" i="121"/>
  <c r="K230" i="121"/>
  <c r="H230" i="121"/>
  <c r="A230" i="121"/>
  <c r="P229" i="121"/>
  <c r="N229" i="121"/>
  <c r="M229" i="121"/>
  <c r="L229" i="121"/>
  <c r="K229" i="121"/>
  <c r="H229" i="121"/>
  <c r="A229" i="121"/>
  <c r="P228" i="121"/>
  <c r="N228" i="121"/>
  <c r="M228" i="121"/>
  <c r="L228" i="121"/>
  <c r="K228" i="121"/>
  <c r="H228" i="121"/>
  <c r="A228" i="121"/>
  <c r="P227" i="121"/>
  <c r="N227" i="121"/>
  <c r="M227" i="121"/>
  <c r="L227" i="121"/>
  <c r="K227" i="121"/>
  <c r="H227" i="121"/>
  <c r="A227" i="121"/>
  <c r="P226" i="121"/>
  <c r="N226" i="121"/>
  <c r="M226" i="121"/>
  <c r="L226" i="121"/>
  <c r="K226" i="121"/>
  <c r="H226" i="121"/>
  <c r="A226" i="121"/>
  <c r="P225" i="121"/>
  <c r="N225" i="121"/>
  <c r="M225" i="121"/>
  <c r="L225" i="121"/>
  <c r="K225" i="121"/>
  <c r="H225" i="121"/>
  <c r="A225" i="121"/>
  <c r="P224" i="121"/>
  <c r="N224" i="121"/>
  <c r="M224" i="121"/>
  <c r="L224" i="121"/>
  <c r="K224" i="121"/>
  <c r="H224" i="121"/>
  <c r="A224" i="121"/>
  <c r="P223" i="121"/>
  <c r="N223" i="121"/>
  <c r="M223" i="121"/>
  <c r="L223" i="121"/>
  <c r="K223" i="121"/>
  <c r="H223" i="121"/>
  <c r="A223" i="121"/>
  <c r="P222" i="121"/>
  <c r="N222" i="121"/>
  <c r="M222" i="121"/>
  <c r="L222" i="121"/>
  <c r="K222" i="121"/>
  <c r="H222" i="121"/>
  <c r="A222" i="121"/>
  <c r="P221" i="121"/>
  <c r="N221" i="121"/>
  <c r="M221" i="121"/>
  <c r="L221" i="121"/>
  <c r="K221" i="121"/>
  <c r="H221" i="121"/>
  <c r="A221" i="121"/>
  <c r="P220" i="121"/>
  <c r="N220" i="121"/>
  <c r="M220" i="121"/>
  <c r="L220" i="121"/>
  <c r="K220" i="121"/>
  <c r="H220" i="121"/>
  <c r="A220" i="121"/>
  <c r="P219" i="121"/>
  <c r="N219" i="121"/>
  <c r="M219" i="121"/>
  <c r="L219" i="121"/>
  <c r="K219" i="121"/>
  <c r="H219" i="121"/>
  <c r="A219" i="121"/>
  <c r="P218" i="121"/>
  <c r="N218" i="121"/>
  <c r="M218" i="121"/>
  <c r="L218" i="121"/>
  <c r="K218" i="121"/>
  <c r="H218" i="121"/>
  <c r="A218" i="121"/>
  <c r="P217" i="121"/>
  <c r="N217" i="121"/>
  <c r="M217" i="121"/>
  <c r="L217" i="121"/>
  <c r="K217" i="121"/>
  <c r="H217" i="121"/>
  <c r="A217" i="121"/>
  <c r="P216" i="121"/>
  <c r="N216" i="121"/>
  <c r="M216" i="121"/>
  <c r="L216" i="121"/>
  <c r="K216" i="121"/>
  <c r="H216" i="121"/>
  <c r="A216" i="121"/>
  <c r="P215" i="121"/>
  <c r="N215" i="121"/>
  <c r="M215" i="121"/>
  <c r="L215" i="121"/>
  <c r="K215" i="121"/>
  <c r="H215" i="121"/>
  <c r="A215" i="121"/>
  <c r="P214" i="121"/>
  <c r="N214" i="121"/>
  <c r="M214" i="121"/>
  <c r="L214" i="121"/>
  <c r="K214" i="121"/>
  <c r="H214" i="121"/>
  <c r="A214" i="121"/>
  <c r="P213" i="121"/>
  <c r="N213" i="121"/>
  <c r="M213" i="121"/>
  <c r="L213" i="121"/>
  <c r="K213" i="121"/>
  <c r="H213" i="121"/>
  <c r="A213" i="121"/>
  <c r="P212" i="121"/>
  <c r="N212" i="121"/>
  <c r="M212" i="121"/>
  <c r="L212" i="121"/>
  <c r="K212" i="121"/>
  <c r="H212" i="121"/>
  <c r="A212" i="121"/>
  <c r="P211" i="121"/>
  <c r="N211" i="121"/>
  <c r="M211" i="121"/>
  <c r="L211" i="121"/>
  <c r="K211" i="121"/>
  <c r="H211" i="121"/>
  <c r="A211" i="121"/>
  <c r="P210" i="121"/>
  <c r="N210" i="121"/>
  <c r="M210" i="121"/>
  <c r="L210" i="121"/>
  <c r="K210" i="121"/>
  <c r="H210" i="121"/>
  <c r="A210" i="121"/>
  <c r="P209" i="121"/>
  <c r="N209" i="121"/>
  <c r="M209" i="121"/>
  <c r="L209" i="121"/>
  <c r="K209" i="121"/>
  <c r="H209" i="121"/>
  <c r="A209" i="121"/>
  <c r="P208" i="121"/>
  <c r="N208" i="121"/>
  <c r="M208" i="121"/>
  <c r="L208" i="121"/>
  <c r="K208" i="121"/>
  <c r="H208" i="121"/>
  <c r="A208" i="121"/>
  <c r="P207" i="121"/>
  <c r="N207" i="121"/>
  <c r="M207" i="121"/>
  <c r="L207" i="121"/>
  <c r="K207" i="121"/>
  <c r="H207" i="121"/>
  <c r="A207" i="121"/>
  <c r="P206" i="121"/>
  <c r="N206" i="121"/>
  <c r="M206" i="121"/>
  <c r="L206" i="121"/>
  <c r="K206" i="121"/>
  <c r="H206" i="121"/>
  <c r="A206" i="121"/>
  <c r="P205" i="121"/>
  <c r="N205" i="121"/>
  <c r="M205" i="121"/>
  <c r="L205" i="121"/>
  <c r="K205" i="121"/>
  <c r="H205" i="121"/>
  <c r="A205" i="121"/>
  <c r="P204" i="121"/>
  <c r="N204" i="121"/>
  <c r="M204" i="121"/>
  <c r="L204" i="121"/>
  <c r="K204" i="121"/>
  <c r="H204" i="121"/>
  <c r="A204" i="121"/>
  <c r="P203" i="121"/>
  <c r="N203" i="121"/>
  <c r="M203" i="121"/>
  <c r="L203" i="121"/>
  <c r="K203" i="121"/>
  <c r="H203" i="121"/>
  <c r="A203" i="121"/>
  <c r="P202" i="121"/>
  <c r="N202" i="121"/>
  <c r="M202" i="121"/>
  <c r="L202" i="121"/>
  <c r="K202" i="121"/>
  <c r="H202" i="121"/>
  <c r="A202" i="121"/>
  <c r="P201" i="121"/>
  <c r="N201" i="121"/>
  <c r="M201" i="121"/>
  <c r="L201" i="121"/>
  <c r="K201" i="121"/>
  <c r="H201" i="121"/>
  <c r="A201" i="121"/>
  <c r="P200" i="121"/>
  <c r="N200" i="121"/>
  <c r="M200" i="121"/>
  <c r="L200" i="121"/>
  <c r="K200" i="121"/>
  <c r="H200" i="121"/>
  <c r="A200" i="121"/>
  <c r="P199" i="121"/>
  <c r="N199" i="121"/>
  <c r="M199" i="121"/>
  <c r="L199" i="121"/>
  <c r="K199" i="121"/>
  <c r="H199" i="121"/>
  <c r="A199" i="121"/>
  <c r="P198" i="121"/>
  <c r="N198" i="121"/>
  <c r="M198" i="121"/>
  <c r="L198" i="121"/>
  <c r="K198" i="121"/>
  <c r="H198" i="121"/>
  <c r="A198" i="121"/>
  <c r="P197" i="121"/>
  <c r="N197" i="121"/>
  <c r="M197" i="121"/>
  <c r="L197" i="121"/>
  <c r="K197" i="121"/>
  <c r="H197" i="121"/>
  <c r="A197" i="121"/>
  <c r="P196" i="121"/>
  <c r="N196" i="121"/>
  <c r="M196" i="121"/>
  <c r="L196" i="121"/>
  <c r="K196" i="121"/>
  <c r="H196" i="121"/>
  <c r="A196" i="121"/>
  <c r="P195" i="121"/>
  <c r="N195" i="121"/>
  <c r="M195" i="121"/>
  <c r="L195" i="121"/>
  <c r="K195" i="121"/>
  <c r="H195" i="121"/>
  <c r="A195" i="121"/>
  <c r="P194" i="121"/>
  <c r="N194" i="121"/>
  <c r="M194" i="121"/>
  <c r="L194" i="121"/>
  <c r="K194" i="121"/>
  <c r="H194" i="121"/>
  <c r="A194" i="121"/>
  <c r="P193" i="121"/>
  <c r="N193" i="121"/>
  <c r="M193" i="121"/>
  <c r="L193" i="121"/>
  <c r="K193" i="121"/>
  <c r="H193" i="121"/>
  <c r="A193" i="121"/>
  <c r="P192" i="121"/>
  <c r="N192" i="121"/>
  <c r="M192" i="121"/>
  <c r="L192" i="121"/>
  <c r="K192" i="121"/>
  <c r="H192" i="121"/>
  <c r="A192" i="121"/>
  <c r="P191" i="121"/>
  <c r="N191" i="121"/>
  <c r="M191" i="121"/>
  <c r="L191" i="121"/>
  <c r="K191" i="121"/>
  <c r="H191" i="121"/>
  <c r="A191" i="121"/>
  <c r="P190" i="121"/>
  <c r="N190" i="121"/>
  <c r="M190" i="121"/>
  <c r="L190" i="121"/>
  <c r="K190" i="121"/>
  <c r="H190" i="121"/>
  <c r="A190" i="121"/>
  <c r="P189" i="121"/>
  <c r="N189" i="121"/>
  <c r="M189" i="121"/>
  <c r="L189" i="121"/>
  <c r="K189" i="121"/>
  <c r="H189" i="121"/>
  <c r="A189" i="121"/>
  <c r="P188" i="121"/>
  <c r="N188" i="121"/>
  <c r="M188" i="121"/>
  <c r="L188" i="121"/>
  <c r="K188" i="121"/>
  <c r="H188" i="121"/>
  <c r="A188" i="121"/>
  <c r="P187" i="121"/>
  <c r="N187" i="121"/>
  <c r="M187" i="121"/>
  <c r="L187" i="121"/>
  <c r="K187" i="121"/>
  <c r="H187" i="121"/>
  <c r="A187" i="121"/>
  <c r="P186" i="121"/>
  <c r="N186" i="121"/>
  <c r="M186" i="121"/>
  <c r="L186" i="121"/>
  <c r="K186" i="121"/>
  <c r="H186" i="121"/>
  <c r="A186" i="121"/>
  <c r="P185" i="121"/>
  <c r="N185" i="121"/>
  <c r="M185" i="121"/>
  <c r="L185" i="121"/>
  <c r="K185" i="121"/>
  <c r="H185" i="121"/>
  <c r="A185" i="121"/>
  <c r="P184" i="121"/>
  <c r="N184" i="121"/>
  <c r="M184" i="121"/>
  <c r="L184" i="121"/>
  <c r="K184" i="121"/>
  <c r="H184" i="121"/>
  <c r="A184" i="121"/>
  <c r="P183" i="121"/>
  <c r="N183" i="121"/>
  <c r="M183" i="121"/>
  <c r="L183" i="121"/>
  <c r="K183" i="121"/>
  <c r="H183" i="121"/>
  <c r="A183" i="121"/>
  <c r="P182" i="121"/>
  <c r="N182" i="121"/>
  <c r="M182" i="121"/>
  <c r="L182" i="121"/>
  <c r="K182" i="121"/>
  <c r="H182" i="121"/>
  <c r="A182" i="121"/>
  <c r="P181" i="121"/>
  <c r="N181" i="121"/>
  <c r="M181" i="121"/>
  <c r="L181" i="121"/>
  <c r="K181" i="121"/>
  <c r="H181" i="121"/>
  <c r="A181" i="121"/>
  <c r="P180" i="121"/>
  <c r="N180" i="121"/>
  <c r="M180" i="121"/>
  <c r="L180" i="121"/>
  <c r="K180" i="121"/>
  <c r="H180" i="121"/>
  <c r="A180" i="121"/>
  <c r="P179" i="121"/>
  <c r="N179" i="121"/>
  <c r="M179" i="121"/>
  <c r="L179" i="121"/>
  <c r="K179" i="121"/>
  <c r="H179" i="121"/>
  <c r="A179" i="121"/>
  <c r="P178" i="121"/>
  <c r="N178" i="121"/>
  <c r="M178" i="121"/>
  <c r="L178" i="121"/>
  <c r="K178" i="121"/>
  <c r="H178" i="121"/>
  <c r="A178" i="121"/>
  <c r="P177" i="121"/>
  <c r="N177" i="121"/>
  <c r="M177" i="121"/>
  <c r="L177" i="121"/>
  <c r="K177" i="121"/>
  <c r="H177" i="121"/>
  <c r="A177" i="121"/>
  <c r="P176" i="121"/>
  <c r="N176" i="121"/>
  <c r="M176" i="121"/>
  <c r="L176" i="121"/>
  <c r="K176" i="121"/>
  <c r="H176" i="121"/>
  <c r="A176" i="121"/>
  <c r="P175" i="121"/>
  <c r="N175" i="121"/>
  <c r="M175" i="121"/>
  <c r="L175" i="121"/>
  <c r="K175" i="121"/>
  <c r="H175" i="121"/>
  <c r="A175" i="121"/>
  <c r="P174" i="121"/>
  <c r="N174" i="121"/>
  <c r="M174" i="121"/>
  <c r="L174" i="121"/>
  <c r="K174" i="121"/>
  <c r="H174" i="121"/>
  <c r="A174" i="121"/>
  <c r="P173" i="121"/>
  <c r="N173" i="121"/>
  <c r="M173" i="121"/>
  <c r="L173" i="121"/>
  <c r="K173" i="121"/>
  <c r="H173" i="121"/>
  <c r="A173" i="121"/>
  <c r="P172" i="121"/>
  <c r="N172" i="121"/>
  <c r="M172" i="121"/>
  <c r="L172" i="121"/>
  <c r="K172" i="121"/>
  <c r="H172" i="121"/>
  <c r="A172" i="121"/>
  <c r="P171" i="121"/>
  <c r="N171" i="121"/>
  <c r="M171" i="121"/>
  <c r="L171" i="121"/>
  <c r="K171" i="121"/>
  <c r="H171" i="121"/>
  <c r="A171" i="121"/>
  <c r="P170" i="121"/>
  <c r="N170" i="121"/>
  <c r="M170" i="121"/>
  <c r="L170" i="121"/>
  <c r="K170" i="121"/>
  <c r="H170" i="121"/>
  <c r="A170" i="121"/>
  <c r="P169" i="121"/>
  <c r="N169" i="121"/>
  <c r="M169" i="121"/>
  <c r="L169" i="121"/>
  <c r="K169" i="121"/>
  <c r="H169" i="121"/>
  <c r="A169" i="121"/>
  <c r="P168" i="121"/>
  <c r="N168" i="121"/>
  <c r="M168" i="121"/>
  <c r="L168" i="121"/>
  <c r="K168" i="121"/>
  <c r="H168" i="121"/>
  <c r="A168" i="121"/>
  <c r="P167" i="121"/>
  <c r="N167" i="121"/>
  <c r="M167" i="121"/>
  <c r="L167" i="121"/>
  <c r="K167" i="121"/>
  <c r="H167" i="121"/>
  <c r="A167" i="121"/>
  <c r="P166" i="121"/>
  <c r="N166" i="121"/>
  <c r="M166" i="121"/>
  <c r="L166" i="121"/>
  <c r="K166" i="121"/>
  <c r="H166" i="121"/>
  <c r="A166" i="121"/>
  <c r="P165" i="121"/>
  <c r="N165" i="121"/>
  <c r="M165" i="121"/>
  <c r="L165" i="121"/>
  <c r="K165" i="121"/>
  <c r="H165" i="121"/>
  <c r="A165" i="121"/>
  <c r="P164" i="121"/>
  <c r="N164" i="121"/>
  <c r="M164" i="121"/>
  <c r="L164" i="121"/>
  <c r="K164" i="121"/>
  <c r="H164" i="121"/>
  <c r="A164" i="121"/>
  <c r="P163" i="121"/>
  <c r="N163" i="121"/>
  <c r="M163" i="121"/>
  <c r="L163" i="121"/>
  <c r="K163" i="121"/>
  <c r="H163" i="121"/>
  <c r="A163" i="121"/>
  <c r="P162" i="121"/>
  <c r="N162" i="121"/>
  <c r="M162" i="121"/>
  <c r="L162" i="121"/>
  <c r="K162" i="121"/>
  <c r="H162" i="121"/>
  <c r="A162" i="121"/>
  <c r="P161" i="121"/>
  <c r="N161" i="121"/>
  <c r="M161" i="121"/>
  <c r="L161" i="121"/>
  <c r="K161" i="121"/>
  <c r="H161" i="121"/>
  <c r="A161" i="121"/>
  <c r="P160" i="121"/>
  <c r="N160" i="121"/>
  <c r="M160" i="121"/>
  <c r="L160" i="121"/>
  <c r="K160" i="121"/>
  <c r="H160" i="121"/>
  <c r="A160" i="121"/>
  <c r="P159" i="121"/>
  <c r="N159" i="121"/>
  <c r="M159" i="121"/>
  <c r="L159" i="121"/>
  <c r="K159" i="121"/>
  <c r="H159" i="121"/>
  <c r="A159" i="121"/>
  <c r="P158" i="121"/>
  <c r="N158" i="121"/>
  <c r="M158" i="121"/>
  <c r="L158" i="121"/>
  <c r="K158" i="121"/>
  <c r="H158" i="121"/>
  <c r="A158" i="121"/>
  <c r="P157" i="121"/>
  <c r="N157" i="121"/>
  <c r="M157" i="121"/>
  <c r="L157" i="121"/>
  <c r="K157" i="121"/>
  <c r="H157" i="121"/>
  <c r="A157" i="121"/>
  <c r="P156" i="121"/>
  <c r="N156" i="121"/>
  <c r="M156" i="121"/>
  <c r="L156" i="121"/>
  <c r="K156" i="121"/>
  <c r="H156" i="121"/>
  <c r="A156" i="121"/>
  <c r="P155" i="121"/>
  <c r="N155" i="121"/>
  <c r="M155" i="121"/>
  <c r="L155" i="121"/>
  <c r="K155" i="121"/>
  <c r="H155" i="121"/>
  <c r="A155" i="121"/>
  <c r="P154" i="121"/>
  <c r="N154" i="121"/>
  <c r="M154" i="121"/>
  <c r="L154" i="121"/>
  <c r="K154" i="121"/>
  <c r="H154" i="121"/>
  <c r="A154" i="121"/>
  <c r="P153" i="121"/>
  <c r="N153" i="121"/>
  <c r="M153" i="121"/>
  <c r="L153" i="121"/>
  <c r="K153" i="121"/>
  <c r="H153" i="121"/>
  <c r="A153" i="121"/>
  <c r="P152" i="121"/>
  <c r="N152" i="121"/>
  <c r="M152" i="121"/>
  <c r="L152" i="121"/>
  <c r="K152" i="121"/>
  <c r="H152" i="121"/>
  <c r="A152" i="121"/>
  <c r="P151" i="121"/>
  <c r="N151" i="121"/>
  <c r="M151" i="121"/>
  <c r="L151" i="121"/>
  <c r="K151" i="121"/>
  <c r="H151" i="121"/>
  <c r="A151" i="121"/>
  <c r="P150" i="121"/>
  <c r="N150" i="121"/>
  <c r="M150" i="121"/>
  <c r="L150" i="121"/>
  <c r="K150" i="121"/>
  <c r="H150" i="121"/>
  <c r="A150" i="121"/>
  <c r="P149" i="121"/>
  <c r="N149" i="121"/>
  <c r="M149" i="121"/>
  <c r="L149" i="121"/>
  <c r="K149" i="121"/>
  <c r="H149" i="121"/>
  <c r="A149" i="121"/>
  <c r="P148" i="121"/>
  <c r="N148" i="121"/>
  <c r="M148" i="121"/>
  <c r="L148" i="121"/>
  <c r="K148" i="121"/>
  <c r="H148" i="121"/>
  <c r="A148" i="121"/>
  <c r="P147" i="121"/>
  <c r="N147" i="121"/>
  <c r="M147" i="121"/>
  <c r="L147" i="121"/>
  <c r="K147" i="121"/>
  <c r="H147" i="121"/>
  <c r="A147" i="121"/>
  <c r="P146" i="121"/>
  <c r="N146" i="121"/>
  <c r="M146" i="121"/>
  <c r="L146" i="121"/>
  <c r="K146" i="121"/>
  <c r="H146" i="121"/>
  <c r="A146" i="121"/>
  <c r="P145" i="121"/>
  <c r="N145" i="121"/>
  <c r="M145" i="121"/>
  <c r="L145" i="121"/>
  <c r="K145" i="121"/>
  <c r="H145" i="121"/>
  <c r="A145" i="121"/>
  <c r="P144" i="121"/>
  <c r="N144" i="121"/>
  <c r="M144" i="121"/>
  <c r="L144" i="121"/>
  <c r="K144" i="121"/>
  <c r="H144" i="121"/>
  <c r="A144" i="121"/>
  <c r="P143" i="121"/>
  <c r="N143" i="121"/>
  <c r="M143" i="121"/>
  <c r="L143" i="121"/>
  <c r="K143" i="121"/>
  <c r="H143" i="121"/>
  <c r="A143" i="121"/>
  <c r="P142" i="121"/>
  <c r="N142" i="121"/>
  <c r="M142" i="121"/>
  <c r="L142" i="121"/>
  <c r="K142" i="121"/>
  <c r="H142" i="121"/>
  <c r="A142" i="121"/>
  <c r="P141" i="121"/>
  <c r="N141" i="121"/>
  <c r="M141" i="121"/>
  <c r="L141" i="121"/>
  <c r="K141" i="121"/>
  <c r="H141" i="121"/>
  <c r="A141" i="121"/>
  <c r="P140" i="121"/>
  <c r="N140" i="121"/>
  <c r="M140" i="121"/>
  <c r="L140" i="121"/>
  <c r="K140" i="121"/>
  <c r="H140" i="121"/>
  <c r="A140" i="121"/>
  <c r="P139" i="121"/>
  <c r="N139" i="121"/>
  <c r="M139" i="121"/>
  <c r="L139" i="121"/>
  <c r="K139" i="121"/>
  <c r="H139" i="121"/>
  <c r="A139" i="121"/>
  <c r="P138" i="121"/>
  <c r="N138" i="121"/>
  <c r="M138" i="121"/>
  <c r="L138" i="121"/>
  <c r="K138" i="121"/>
  <c r="H138" i="121"/>
  <c r="A138" i="121"/>
  <c r="P137" i="121"/>
  <c r="N137" i="121"/>
  <c r="M137" i="121"/>
  <c r="L137" i="121"/>
  <c r="K137" i="121"/>
  <c r="H137" i="121"/>
  <c r="A137" i="121"/>
  <c r="P136" i="121"/>
  <c r="N136" i="121"/>
  <c r="M136" i="121"/>
  <c r="L136" i="121"/>
  <c r="K136" i="121"/>
  <c r="H136" i="121"/>
  <c r="A136" i="121"/>
  <c r="P135" i="121"/>
  <c r="N135" i="121"/>
  <c r="M135" i="121"/>
  <c r="L135" i="121"/>
  <c r="K135" i="121"/>
  <c r="H135" i="121"/>
  <c r="A135" i="121"/>
  <c r="P134" i="121"/>
  <c r="N134" i="121"/>
  <c r="M134" i="121"/>
  <c r="L134" i="121"/>
  <c r="K134" i="121"/>
  <c r="H134" i="121"/>
  <c r="A134" i="121"/>
  <c r="P133" i="121"/>
  <c r="N133" i="121"/>
  <c r="M133" i="121"/>
  <c r="L133" i="121"/>
  <c r="K133" i="121"/>
  <c r="H133" i="121"/>
  <c r="A133" i="121"/>
  <c r="P132" i="121"/>
  <c r="N132" i="121"/>
  <c r="M132" i="121"/>
  <c r="L132" i="121"/>
  <c r="K132" i="121"/>
  <c r="H132" i="121"/>
  <c r="A132" i="121"/>
  <c r="P131" i="121"/>
  <c r="N131" i="121"/>
  <c r="M131" i="121"/>
  <c r="L131" i="121"/>
  <c r="K131" i="121"/>
  <c r="H131" i="121"/>
  <c r="A131" i="121"/>
  <c r="P130" i="121"/>
  <c r="N130" i="121"/>
  <c r="M130" i="121"/>
  <c r="L130" i="121"/>
  <c r="K130" i="121"/>
  <c r="H130" i="121"/>
  <c r="A130" i="121"/>
  <c r="P129" i="121"/>
  <c r="N129" i="121"/>
  <c r="M129" i="121"/>
  <c r="L129" i="121"/>
  <c r="K129" i="121"/>
  <c r="H129" i="121"/>
  <c r="A129" i="121"/>
  <c r="P128" i="121"/>
  <c r="N128" i="121"/>
  <c r="M128" i="121"/>
  <c r="L128" i="121"/>
  <c r="K128" i="121"/>
  <c r="H128" i="121"/>
  <c r="A128" i="121"/>
  <c r="P127" i="121"/>
  <c r="N127" i="121"/>
  <c r="M127" i="121"/>
  <c r="L127" i="121"/>
  <c r="K127" i="121"/>
  <c r="H127" i="121"/>
  <c r="A127" i="121"/>
  <c r="P126" i="121"/>
  <c r="N126" i="121"/>
  <c r="M126" i="121"/>
  <c r="L126" i="121"/>
  <c r="K126" i="121"/>
  <c r="H126" i="121"/>
  <c r="A126" i="121"/>
  <c r="P125" i="121"/>
  <c r="N125" i="121"/>
  <c r="M125" i="121"/>
  <c r="L125" i="121"/>
  <c r="K125" i="121"/>
  <c r="H125" i="121"/>
  <c r="A125" i="121"/>
  <c r="P124" i="121"/>
  <c r="N124" i="121"/>
  <c r="M124" i="121"/>
  <c r="L124" i="121"/>
  <c r="K124" i="121"/>
  <c r="H124" i="121"/>
  <c r="A124" i="121"/>
  <c r="P123" i="121"/>
  <c r="N123" i="121"/>
  <c r="M123" i="121"/>
  <c r="L123" i="121"/>
  <c r="K123" i="121"/>
  <c r="H123" i="121"/>
  <c r="A123" i="121"/>
  <c r="P122" i="121"/>
  <c r="N122" i="121"/>
  <c r="M122" i="121"/>
  <c r="L122" i="121"/>
  <c r="K122" i="121"/>
  <c r="H122" i="121"/>
  <c r="A122" i="121"/>
  <c r="P121" i="121"/>
  <c r="N121" i="121"/>
  <c r="M121" i="121"/>
  <c r="L121" i="121"/>
  <c r="K121" i="121"/>
  <c r="H121" i="121"/>
  <c r="A121" i="121"/>
  <c r="P120" i="121"/>
  <c r="N120" i="121"/>
  <c r="M120" i="121"/>
  <c r="L120" i="121"/>
  <c r="K120" i="121"/>
  <c r="H120" i="121"/>
  <c r="A120" i="121"/>
  <c r="P119" i="121"/>
  <c r="N119" i="121"/>
  <c r="M119" i="121"/>
  <c r="L119" i="121"/>
  <c r="K119" i="121"/>
  <c r="H119" i="121"/>
  <c r="A119" i="121"/>
  <c r="P118" i="121"/>
  <c r="N118" i="121"/>
  <c r="M118" i="121"/>
  <c r="L118" i="121"/>
  <c r="K118" i="121"/>
  <c r="H118" i="121"/>
  <c r="A118" i="121"/>
  <c r="P117" i="121"/>
  <c r="N117" i="121"/>
  <c r="M117" i="121"/>
  <c r="L117" i="121"/>
  <c r="K117" i="121"/>
  <c r="H117" i="121"/>
  <c r="A117" i="121"/>
  <c r="P116" i="121"/>
  <c r="N116" i="121"/>
  <c r="M116" i="121"/>
  <c r="L116" i="121"/>
  <c r="K116" i="121"/>
  <c r="H116" i="121"/>
  <c r="A116" i="121"/>
  <c r="P115" i="121"/>
  <c r="N115" i="121"/>
  <c r="M115" i="121"/>
  <c r="L115" i="121"/>
  <c r="K115" i="121"/>
  <c r="H115" i="121"/>
  <c r="A115" i="121"/>
  <c r="P114" i="121"/>
  <c r="N114" i="121"/>
  <c r="M114" i="121"/>
  <c r="L114" i="121"/>
  <c r="K114" i="121"/>
  <c r="H114" i="121"/>
  <c r="A114" i="121"/>
  <c r="P113" i="121"/>
  <c r="N113" i="121"/>
  <c r="M113" i="121"/>
  <c r="L113" i="121"/>
  <c r="K113" i="121"/>
  <c r="H113" i="121"/>
  <c r="A113" i="121"/>
  <c r="P112" i="121"/>
  <c r="N112" i="121"/>
  <c r="M112" i="121"/>
  <c r="L112" i="121"/>
  <c r="K112" i="121"/>
  <c r="H112" i="121"/>
  <c r="A112" i="121"/>
  <c r="P111" i="121"/>
  <c r="N111" i="121"/>
  <c r="M111" i="121"/>
  <c r="L111" i="121"/>
  <c r="K111" i="121"/>
  <c r="H111" i="121"/>
  <c r="A111" i="121"/>
  <c r="P110" i="121"/>
  <c r="N110" i="121"/>
  <c r="M110" i="121"/>
  <c r="L110" i="121"/>
  <c r="K110" i="121"/>
  <c r="H110" i="121"/>
  <c r="A110" i="121"/>
  <c r="P109" i="121"/>
  <c r="N109" i="121"/>
  <c r="M109" i="121"/>
  <c r="L109" i="121"/>
  <c r="K109" i="121"/>
  <c r="H109" i="121"/>
  <c r="A109" i="121"/>
  <c r="P108" i="121"/>
  <c r="N108" i="121"/>
  <c r="M108" i="121"/>
  <c r="L108" i="121"/>
  <c r="K108" i="121"/>
  <c r="H108" i="121"/>
  <c r="A108" i="121"/>
  <c r="P107" i="121"/>
  <c r="N107" i="121"/>
  <c r="M107" i="121"/>
  <c r="L107" i="121"/>
  <c r="K107" i="121"/>
  <c r="H107" i="121"/>
  <c r="A107" i="121"/>
  <c r="P106" i="121"/>
  <c r="N106" i="121"/>
  <c r="M106" i="121"/>
  <c r="L106" i="121"/>
  <c r="K106" i="121"/>
  <c r="H106" i="121"/>
  <c r="A106" i="121"/>
  <c r="P105" i="121"/>
  <c r="N105" i="121"/>
  <c r="M105" i="121"/>
  <c r="L105" i="121"/>
  <c r="K105" i="121"/>
  <c r="H105" i="121"/>
  <c r="A105" i="121"/>
  <c r="P104" i="121"/>
  <c r="N104" i="121"/>
  <c r="M104" i="121"/>
  <c r="L104" i="121"/>
  <c r="K104" i="121"/>
  <c r="H104" i="121"/>
  <c r="A104" i="121"/>
  <c r="P103" i="121"/>
  <c r="N103" i="121"/>
  <c r="M103" i="121"/>
  <c r="L103" i="121"/>
  <c r="K103" i="121"/>
  <c r="H103" i="121"/>
  <c r="A103" i="121"/>
  <c r="P102" i="121"/>
  <c r="N102" i="121"/>
  <c r="M102" i="121"/>
  <c r="L102" i="121"/>
  <c r="K102" i="121"/>
  <c r="H102" i="121"/>
  <c r="A102" i="121"/>
  <c r="P101" i="121"/>
  <c r="N101" i="121"/>
  <c r="M101" i="121"/>
  <c r="L101" i="121"/>
  <c r="K101" i="121"/>
  <c r="H101" i="121"/>
  <c r="A101" i="121"/>
  <c r="P100" i="121"/>
  <c r="N100" i="121"/>
  <c r="M100" i="121"/>
  <c r="L100" i="121"/>
  <c r="K100" i="121"/>
  <c r="H100" i="121"/>
  <c r="A100" i="121"/>
  <c r="P99" i="121"/>
  <c r="N99" i="121"/>
  <c r="M99" i="121"/>
  <c r="L99" i="121"/>
  <c r="K99" i="121"/>
  <c r="H99" i="121"/>
  <c r="A99" i="121"/>
  <c r="P98" i="121"/>
  <c r="N98" i="121"/>
  <c r="M98" i="121"/>
  <c r="L98" i="121"/>
  <c r="K98" i="121"/>
  <c r="H98" i="121"/>
  <c r="A98" i="121"/>
  <c r="P97" i="121"/>
  <c r="N97" i="121"/>
  <c r="M97" i="121"/>
  <c r="L97" i="121"/>
  <c r="K97" i="121"/>
  <c r="H97" i="121"/>
  <c r="A97" i="121"/>
  <c r="P96" i="121"/>
  <c r="N96" i="121"/>
  <c r="M96" i="121"/>
  <c r="L96" i="121"/>
  <c r="K96" i="121"/>
  <c r="H96" i="121"/>
  <c r="A96" i="121"/>
  <c r="P95" i="121"/>
  <c r="N95" i="121"/>
  <c r="M95" i="121"/>
  <c r="L95" i="121"/>
  <c r="K95" i="121"/>
  <c r="H95" i="121"/>
  <c r="A95" i="121"/>
  <c r="P94" i="121"/>
  <c r="N94" i="121"/>
  <c r="M94" i="121"/>
  <c r="L94" i="121"/>
  <c r="K94" i="121"/>
  <c r="H94" i="121"/>
  <c r="A94" i="121"/>
  <c r="P93" i="121"/>
  <c r="N93" i="121"/>
  <c r="M93" i="121"/>
  <c r="L93" i="121"/>
  <c r="K93" i="121"/>
  <c r="H93" i="121"/>
  <c r="A93" i="121"/>
  <c r="P92" i="121"/>
  <c r="N92" i="121"/>
  <c r="M92" i="121"/>
  <c r="L92" i="121"/>
  <c r="K92" i="121"/>
  <c r="H92" i="121"/>
  <c r="A92" i="121"/>
  <c r="P91" i="121"/>
  <c r="N91" i="121"/>
  <c r="M91" i="121"/>
  <c r="L91" i="121"/>
  <c r="K91" i="121"/>
  <c r="H91" i="121"/>
  <c r="A91" i="121"/>
  <c r="P90" i="121"/>
  <c r="N90" i="121"/>
  <c r="M90" i="121"/>
  <c r="L90" i="121"/>
  <c r="K90" i="121"/>
  <c r="H90" i="121"/>
  <c r="A90" i="121"/>
  <c r="P89" i="121"/>
  <c r="N89" i="121"/>
  <c r="M89" i="121"/>
  <c r="L89" i="121"/>
  <c r="K89" i="121"/>
  <c r="H89" i="121"/>
  <c r="A89" i="121"/>
  <c r="P88" i="121"/>
  <c r="N88" i="121"/>
  <c r="M88" i="121"/>
  <c r="L88" i="121"/>
  <c r="K88" i="121"/>
  <c r="H88" i="121"/>
  <c r="A88" i="121"/>
  <c r="P87" i="121"/>
  <c r="N87" i="121"/>
  <c r="M87" i="121"/>
  <c r="L87" i="121"/>
  <c r="K87" i="121"/>
  <c r="H87" i="121"/>
  <c r="A87" i="121"/>
  <c r="P86" i="121"/>
  <c r="N86" i="121"/>
  <c r="M86" i="121"/>
  <c r="L86" i="121"/>
  <c r="K86" i="121"/>
  <c r="H86" i="121"/>
  <c r="A86" i="121"/>
  <c r="P85" i="121"/>
  <c r="N85" i="121"/>
  <c r="M85" i="121"/>
  <c r="L85" i="121"/>
  <c r="K85" i="121"/>
  <c r="H85" i="121"/>
  <c r="A85" i="121"/>
  <c r="P84" i="121"/>
  <c r="N84" i="121"/>
  <c r="M84" i="121"/>
  <c r="L84" i="121"/>
  <c r="K84" i="121"/>
  <c r="H84" i="121"/>
  <c r="A84" i="121"/>
  <c r="P83" i="121"/>
  <c r="N83" i="121"/>
  <c r="M83" i="121"/>
  <c r="L83" i="121"/>
  <c r="K83" i="121"/>
  <c r="H83" i="121"/>
  <c r="A83" i="121"/>
  <c r="P82" i="121"/>
  <c r="N82" i="121"/>
  <c r="M82" i="121"/>
  <c r="L82" i="121"/>
  <c r="K82" i="121"/>
  <c r="H82" i="121"/>
  <c r="A82" i="121"/>
  <c r="P81" i="121"/>
  <c r="N81" i="121"/>
  <c r="M81" i="121"/>
  <c r="L81" i="121"/>
  <c r="K81" i="121"/>
  <c r="H81" i="121"/>
  <c r="A81" i="121"/>
  <c r="P80" i="121"/>
  <c r="N80" i="121"/>
  <c r="M80" i="121"/>
  <c r="L80" i="121"/>
  <c r="K80" i="121"/>
  <c r="H80" i="121"/>
  <c r="A80" i="121"/>
  <c r="P79" i="121"/>
  <c r="N79" i="121"/>
  <c r="M79" i="121"/>
  <c r="L79" i="121"/>
  <c r="K79" i="121"/>
  <c r="H79" i="121"/>
  <c r="A79" i="121"/>
  <c r="P78" i="121"/>
  <c r="N78" i="121"/>
  <c r="M78" i="121"/>
  <c r="L78" i="121"/>
  <c r="K78" i="121"/>
  <c r="H78" i="121"/>
  <c r="A78" i="121"/>
  <c r="P77" i="121"/>
  <c r="N77" i="121"/>
  <c r="M77" i="121"/>
  <c r="L77" i="121"/>
  <c r="K77" i="121"/>
  <c r="H77" i="121"/>
  <c r="A77" i="121"/>
  <c r="P76" i="121"/>
  <c r="N76" i="121"/>
  <c r="M76" i="121"/>
  <c r="L76" i="121"/>
  <c r="K76" i="121"/>
  <c r="H76" i="121"/>
  <c r="A76" i="121"/>
  <c r="P75" i="121"/>
  <c r="N75" i="121"/>
  <c r="M75" i="121"/>
  <c r="L75" i="121"/>
  <c r="K75" i="121"/>
  <c r="H75" i="121"/>
  <c r="A75" i="121"/>
  <c r="P74" i="121"/>
  <c r="N74" i="121"/>
  <c r="M74" i="121"/>
  <c r="L74" i="121"/>
  <c r="K74" i="121"/>
  <c r="H74" i="121"/>
  <c r="A74" i="121"/>
  <c r="P73" i="121"/>
  <c r="N73" i="121"/>
  <c r="M73" i="121"/>
  <c r="L73" i="121"/>
  <c r="K73" i="121"/>
  <c r="H73" i="121"/>
  <c r="A73" i="121"/>
  <c r="P72" i="121"/>
  <c r="N72" i="121"/>
  <c r="M72" i="121"/>
  <c r="L72" i="121"/>
  <c r="K72" i="121"/>
  <c r="H72" i="121"/>
  <c r="A72" i="121"/>
  <c r="P71" i="121"/>
  <c r="N71" i="121"/>
  <c r="M71" i="121"/>
  <c r="L71" i="121"/>
  <c r="K71" i="121"/>
  <c r="H71" i="121"/>
  <c r="A71" i="121"/>
  <c r="P70" i="121"/>
  <c r="N70" i="121"/>
  <c r="M70" i="121"/>
  <c r="L70" i="121"/>
  <c r="K70" i="121"/>
  <c r="H70" i="121"/>
  <c r="A70" i="121"/>
  <c r="P69" i="121"/>
  <c r="N69" i="121"/>
  <c r="M69" i="121"/>
  <c r="L69" i="121"/>
  <c r="K69" i="121"/>
  <c r="H69" i="121"/>
  <c r="A69" i="121"/>
  <c r="P68" i="121"/>
  <c r="N68" i="121"/>
  <c r="M68" i="121"/>
  <c r="L68" i="121"/>
  <c r="K68" i="121"/>
  <c r="H68" i="121"/>
  <c r="A68" i="121"/>
  <c r="P67" i="121"/>
  <c r="N67" i="121"/>
  <c r="M67" i="121"/>
  <c r="L67" i="121"/>
  <c r="K67" i="121"/>
  <c r="H67" i="121"/>
  <c r="A67" i="121"/>
  <c r="P66" i="121"/>
  <c r="N66" i="121"/>
  <c r="M66" i="121"/>
  <c r="L66" i="121"/>
  <c r="K66" i="121"/>
  <c r="H66" i="121"/>
  <c r="A66" i="121"/>
  <c r="P65" i="121"/>
  <c r="N65" i="121"/>
  <c r="M65" i="121"/>
  <c r="L65" i="121"/>
  <c r="K65" i="121"/>
  <c r="H65" i="121"/>
  <c r="A65" i="121"/>
  <c r="P64" i="121"/>
  <c r="N64" i="121"/>
  <c r="M64" i="121"/>
  <c r="L64" i="121"/>
  <c r="K64" i="121"/>
  <c r="H64" i="121"/>
  <c r="A64" i="121"/>
  <c r="P63" i="121"/>
  <c r="N63" i="121"/>
  <c r="M63" i="121"/>
  <c r="L63" i="121"/>
  <c r="K63" i="121"/>
  <c r="H63" i="121"/>
  <c r="A63" i="121"/>
  <c r="P62" i="121"/>
  <c r="N62" i="121"/>
  <c r="M62" i="121"/>
  <c r="L62" i="121"/>
  <c r="K62" i="121"/>
  <c r="H62" i="121"/>
  <c r="A62" i="121"/>
  <c r="P61" i="121"/>
  <c r="N61" i="121"/>
  <c r="M61" i="121"/>
  <c r="L61" i="121"/>
  <c r="K61" i="121"/>
  <c r="H61" i="121"/>
  <c r="A61" i="121"/>
  <c r="P60" i="121"/>
  <c r="N60" i="121"/>
  <c r="M60" i="121"/>
  <c r="L60" i="121"/>
  <c r="K60" i="121"/>
  <c r="H60" i="121"/>
  <c r="A60" i="121"/>
  <c r="P59" i="121"/>
  <c r="N59" i="121"/>
  <c r="M59" i="121"/>
  <c r="L59" i="121"/>
  <c r="K59" i="121"/>
  <c r="H59" i="121"/>
  <c r="A59" i="121"/>
  <c r="P58" i="121"/>
  <c r="N58" i="121"/>
  <c r="M58" i="121"/>
  <c r="L58" i="121"/>
  <c r="K58" i="121"/>
  <c r="H58" i="121"/>
  <c r="A58" i="121"/>
  <c r="P57" i="121"/>
  <c r="N57" i="121"/>
  <c r="M57" i="121"/>
  <c r="L57" i="121"/>
  <c r="K57" i="121"/>
  <c r="H57" i="121"/>
  <c r="A57" i="121"/>
  <c r="P56" i="121"/>
  <c r="N56" i="121"/>
  <c r="M56" i="121"/>
  <c r="L56" i="121"/>
  <c r="K56" i="121"/>
  <c r="H56" i="121"/>
  <c r="A56" i="121"/>
  <c r="P55" i="121"/>
  <c r="N55" i="121"/>
  <c r="M55" i="121"/>
  <c r="L55" i="121"/>
  <c r="K55" i="121"/>
  <c r="H55" i="121"/>
  <c r="A55" i="121"/>
  <c r="P54" i="121"/>
  <c r="N54" i="121"/>
  <c r="M54" i="121"/>
  <c r="L54" i="121"/>
  <c r="K54" i="121"/>
  <c r="H54" i="121"/>
  <c r="A54" i="121"/>
  <c r="P53" i="121"/>
  <c r="N53" i="121"/>
  <c r="M53" i="121"/>
  <c r="L53" i="121"/>
  <c r="K53" i="121"/>
  <c r="H53" i="121"/>
  <c r="A53" i="121"/>
  <c r="P52" i="121"/>
  <c r="N52" i="121"/>
  <c r="M52" i="121"/>
  <c r="L52" i="121"/>
  <c r="K52" i="121"/>
  <c r="H52" i="121"/>
  <c r="A52" i="121"/>
  <c r="P51" i="121"/>
  <c r="N51" i="121"/>
  <c r="M51" i="121"/>
  <c r="L51" i="121"/>
  <c r="K51" i="121"/>
  <c r="H51" i="121"/>
  <c r="A51" i="121"/>
  <c r="P50" i="121"/>
  <c r="N50" i="121"/>
  <c r="M50" i="121"/>
  <c r="L50" i="121"/>
  <c r="K50" i="121"/>
  <c r="H50" i="121"/>
  <c r="A50" i="121"/>
  <c r="P49" i="121"/>
  <c r="N49" i="121"/>
  <c r="M49" i="121"/>
  <c r="L49" i="121"/>
  <c r="K49" i="121"/>
  <c r="H49" i="121"/>
  <c r="A49" i="121"/>
  <c r="P48" i="121"/>
  <c r="N48" i="121"/>
  <c r="M48" i="121"/>
  <c r="L48" i="121"/>
  <c r="K48" i="121"/>
  <c r="H48" i="121"/>
  <c r="A48" i="121"/>
  <c r="P47" i="121"/>
  <c r="N47" i="121"/>
  <c r="M47" i="121"/>
  <c r="L47" i="121"/>
  <c r="K47" i="121"/>
  <c r="H47" i="121"/>
  <c r="A47" i="121"/>
  <c r="P46" i="121"/>
  <c r="N46" i="121"/>
  <c r="M46" i="121"/>
  <c r="L46" i="121"/>
  <c r="K46" i="121"/>
  <c r="H46" i="121"/>
  <c r="A46" i="121"/>
  <c r="P45" i="121"/>
  <c r="N45" i="121"/>
  <c r="M45" i="121"/>
  <c r="L45" i="121"/>
  <c r="K45" i="121"/>
  <c r="H45" i="121"/>
  <c r="A45" i="121"/>
  <c r="P44" i="121"/>
  <c r="N44" i="121"/>
  <c r="M44" i="121"/>
  <c r="L44" i="121"/>
  <c r="K44" i="121"/>
  <c r="H44" i="121"/>
  <c r="A44" i="121"/>
  <c r="P43" i="121"/>
  <c r="N43" i="121"/>
  <c r="M43" i="121"/>
  <c r="L43" i="121"/>
  <c r="K43" i="121"/>
  <c r="H43" i="121"/>
  <c r="A43" i="121"/>
  <c r="P42" i="121"/>
  <c r="N42" i="121"/>
  <c r="M42" i="121"/>
  <c r="L42" i="121"/>
  <c r="K42" i="121"/>
  <c r="H42" i="121"/>
  <c r="A42" i="121"/>
  <c r="P41" i="121"/>
  <c r="N41" i="121"/>
  <c r="M41" i="121"/>
  <c r="L41" i="121"/>
  <c r="K41" i="121"/>
  <c r="H41" i="121"/>
  <c r="A41" i="121"/>
  <c r="P40" i="121"/>
  <c r="N40" i="121"/>
  <c r="M40" i="121"/>
  <c r="L40" i="121"/>
  <c r="K40" i="121"/>
  <c r="H40" i="121"/>
  <c r="A40" i="121"/>
  <c r="P39" i="121"/>
  <c r="N39" i="121"/>
  <c r="M39" i="121"/>
  <c r="L39" i="121"/>
  <c r="K39" i="121"/>
  <c r="H39" i="121"/>
  <c r="A39" i="121"/>
  <c r="P38" i="121"/>
  <c r="N38" i="121"/>
  <c r="M38" i="121"/>
  <c r="L38" i="121"/>
  <c r="K38" i="121"/>
  <c r="H38" i="121"/>
  <c r="A38" i="121"/>
  <c r="P37" i="121"/>
  <c r="N37" i="121"/>
  <c r="M37" i="121"/>
  <c r="L37" i="121"/>
  <c r="K37" i="121"/>
  <c r="H37" i="121"/>
  <c r="A37" i="121"/>
  <c r="P36" i="121"/>
  <c r="N36" i="121"/>
  <c r="M36" i="121"/>
  <c r="L36" i="121"/>
  <c r="K36" i="121"/>
  <c r="H36" i="121"/>
  <c r="A36" i="121"/>
  <c r="P35" i="121"/>
  <c r="N35" i="121"/>
  <c r="M35" i="121"/>
  <c r="L35" i="121"/>
  <c r="K35" i="121"/>
  <c r="H35" i="121"/>
  <c r="A35" i="121"/>
  <c r="P34" i="121"/>
  <c r="N34" i="121"/>
  <c r="M34" i="121"/>
  <c r="L34" i="121"/>
  <c r="K34" i="121"/>
  <c r="H34" i="121"/>
  <c r="A34" i="121"/>
  <c r="P33" i="121"/>
  <c r="N33" i="121"/>
  <c r="M33" i="121"/>
  <c r="L33" i="121"/>
  <c r="K33" i="121"/>
  <c r="H33" i="121"/>
  <c r="A33" i="121"/>
  <c r="P32" i="121"/>
  <c r="N32" i="121"/>
  <c r="M32" i="121"/>
  <c r="L32" i="121"/>
  <c r="K32" i="121"/>
  <c r="H32" i="121"/>
  <c r="A32" i="121"/>
  <c r="P31" i="121"/>
  <c r="N31" i="121"/>
  <c r="M31" i="121"/>
  <c r="L31" i="121"/>
  <c r="K31" i="121"/>
  <c r="H31" i="121"/>
  <c r="A31" i="121"/>
  <c r="P30" i="121"/>
  <c r="N30" i="121"/>
  <c r="M30" i="121"/>
  <c r="L30" i="121"/>
  <c r="K30" i="121"/>
  <c r="H30" i="121"/>
  <c r="A30" i="121"/>
  <c r="P29" i="121"/>
  <c r="N29" i="121"/>
  <c r="M29" i="121"/>
  <c r="L29" i="121"/>
  <c r="K29" i="121"/>
  <c r="H29" i="121"/>
  <c r="A29" i="121"/>
  <c r="P28" i="121"/>
  <c r="N28" i="121"/>
  <c r="M28" i="121"/>
  <c r="L28" i="121"/>
  <c r="K28" i="121"/>
  <c r="H28" i="121"/>
  <c r="A28" i="121"/>
  <c r="P27" i="121"/>
  <c r="N27" i="121"/>
  <c r="M27" i="121"/>
  <c r="L27" i="121"/>
  <c r="K27" i="121"/>
  <c r="H27" i="121"/>
  <c r="A27" i="121"/>
  <c r="P26" i="121"/>
  <c r="N26" i="121"/>
  <c r="M26" i="121"/>
  <c r="L26" i="121"/>
  <c r="K26" i="121"/>
  <c r="H26" i="121"/>
  <c r="A26" i="121"/>
  <c r="P25" i="121"/>
  <c r="N25" i="121"/>
  <c r="M25" i="121"/>
  <c r="L25" i="121"/>
  <c r="K25" i="121"/>
  <c r="H25" i="121"/>
  <c r="A25" i="121"/>
  <c r="P24" i="121"/>
  <c r="N24" i="121"/>
  <c r="M24" i="121"/>
  <c r="L24" i="121"/>
  <c r="K24" i="121"/>
  <c r="H24" i="121"/>
  <c r="A24" i="121"/>
  <c r="P23" i="121"/>
  <c r="N23" i="121"/>
  <c r="M23" i="121"/>
  <c r="L23" i="121"/>
  <c r="K23" i="121"/>
  <c r="H23" i="121"/>
  <c r="A23" i="121"/>
  <c r="P22" i="121"/>
  <c r="N22" i="121"/>
  <c r="M22" i="121"/>
  <c r="L22" i="121"/>
  <c r="K22" i="121"/>
  <c r="H22" i="121"/>
  <c r="A22" i="121"/>
  <c r="P21" i="121"/>
  <c r="N21" i="121"/>
  <c r="M21" i="121"/>
  <c r="L21" i="121"/>
  <c r="K21" i="121"/>
  <c r="H21" i="121"/>
  <c r="A21" i="121"/>
  <c r="P20" i="121"/>
  <c r="N20" i="121"/>
  <c r="M20" i="121"/>
  <c r="L20" i="121"/>
  <c r="K20" i="121"/>
  <c r="H20" i="121"/>
  <c r="A20" i="121"/>
  <c r="P19" i="121"/>
  <c r="N19" i="121"/>
  <c r="M19" i="121"/>
  <c r="L19" i="121"/>
  <c r="K19" i="121"/>
  <c r="H19" i="121"/>
  <c r="A19" i="121"/>
  <c r="P18" i="121"/>
  <c r="N18" i="121"/>
  <c r="M18" i="121"/>
  <c r="L18" i="121"/>
  <c r="K18" i="121"/>
  <c r="H18" i="121"/>
  <c r="A18" i="121"/>
  <c r="P17" i="121"/>
  <c r="N17" i="121"/>
  <c r="M17" i="121"/>
  <c r="L17" i="121"/>
  <c r="K17" i="121"/>
  <c r="H17" i="121"/>
  <c r="A17" i="121"/>
  <c r="P16" i="121"/>
  <c r="N16" i="121"/>
  <c r="M16" i="121"/>
  <c r="L16" i="121"/>
  <c r="K16" i="121"/>
  <c r="H16" i="121"/>
  <c r="A16" i="121"/>
  <c r="P15" i="121"/>
  <c r="N15" i="121"/>
  <c r="M15" i="121"/>
  <c r="L15" i="121"/>
  <c r="K15" i="121"/>
  <c r="H15" i="121"/>
  <c r="A15" i="121"/>
  <c r="N14" i="121"/>
  <c r="M14" i="121"/>
  <c r="L14" i="121"/>
  <c r="K14" i="121"/>
  <c r="H14" i="121"/>
  <c r="A14" i="121"/>
  <c r="N13" i="121"/>
  <c r="M13" i="121"/>
  <c r="L13" i="121"/>
  <c r="K13" i="121"/>
  <c r="H13" i="121"/>
  <c r="A13" i="121"/>
  <c r="N12" i="121"/>
  <c r="M12" i="121"/>
  <c r="L12" i="121"/>
  <c r="K12" i="121"/>
  <c r="H12" i="121"/>
  <c r="A12" i="121"/>
  <c r="N11" i="121"/>
  <c r="M11" i="121"/>
  <c r="L11" i="121"/>
  <c r="K11" i="121"/>
  <c r="H11" i="121"/>
  <c r="A11" i="121"/>
  <c r="N10" i="121"/>
  <c r="M10" i="121"/>
  <c r="L10" i="121"/>
  <c r="K10" i="121"/>
  <c r="H10" i="121"/>
  <c r="A10" i="121"/>
  <c r="N9" i="121"/>
  <c r="M9" i="121"/>
  <c r="L9" i="121"/>
  <c r="K9" i="121"/>
  <c r="H9" i="121"/>
  <c r="A9" i="121"/>
  <c r="N8" i="121"/>
  <c r="M8" i="121"/>
  <c r="L8" i="121"/>
  <c r="K8" i="121"/>
  <c r="H8" i="121"/>
  <c r="A8" i="121"/>
  <c r="N7" i="121"/>
  <c r="M7" i="121"/>
  <c r="L7" i="121"/>
  <c r="K7" i="121"/>
  <c r="H7" i="121"/>
  <c r="A7" i="121"/>
  <c r="N6" i="121"/>
  <c r="M6" i="121"/>
  <c r="L6" i="121"/>
  <c r="K6" i="121"/>
  <c r="H6" i="121"/>
  <c r="A6" i="121"/>
  <c r="N5" i="121"/>
  <c r="M5" i="121"/>
  <c r="L5" i="121"/>
  <c r="K5" i="121"/>
  <c r="H5" i="121"/>
  <c r="A5" i="121"/>
  <c r="N4" i="121"/>
  <c r="M4" i="121"/>
  <c r="L4" i="121"/>
  <c r="K4" i="121"/>
  <c r="H4" i="121"/>
  <c r="A4" i="121"/>
  <c r="N3" i="121"/>
  <c r="M3" i="121"/>
  <c r="L3" i="121"/>
  <c r="K3" i="121"/>
  <c r="H3" i="121"/>
  <c r="A3" i="121"/>
  <c r="N2" i="121"/>
  <c r="M2" i="121"/>
  <c r="L2" i="121"/>
  <c r="K2" i="121"/>
  <c r="H2" i="121"/>
  <c r="A2" i="121"/>
  <c r="F48" i="120"/>
  <c r="F47" i="120"/>
  <c r="B40" i="120"/>
  <c r="B41" i="120"/>
  <c r="B42" i="120"/>
  <c r="B43" i="120"/>
  <c r="B44" i="120"/>
  <c r="B45" i="120"/>
  <c r="B46" i="120"/>
  <c r="B47" i="120"/>
  <c r="C40" i="120"/>
  <c r="C41" i="120"/>
  <c r="C42" i="120"/>
  <c r="C43" i="120"/>
  <c r="C44" i="120"/>
  <c r="C45" i="120"/>
  <c r="C46" i="120"/>
  <c r="C47" i="120"/>
  <c r="F46" i="120"/>
  <c r="F45" i="120"/>
  <c r="F42" i="120"/>
  <c r="G42" i="120"/>
  <c r="F41" i="120"/>
  <c r="G41" i="120"/>
  <c r="F40" i="120"/>
  <c r="G40" i="120"/>
  <c r="B32" i="120"/>
  <c r="C19" i="120"/>
  <c r="C20" i="120"/>
  <c r="C21" i="120"/>
  <c r="C22" i="120"/>
  <c r="C23" i="120"/>
  <c r="C24" i="120"/>
  <c r="C25" i="120"/>
  <c r="C26" i="120"/>
  <c r="C27" i="120"/>
  <c r="C28" i="120"/>
  <c r="C29" i="120"/>
  <c r="C30" i="120"/>
  <c r="C31" i="120"/>
  <c r="C32" i="120"/>
  <c r="D32" i="120"/>
  <c r="G31" i="120"/>
  <c r="E31" i="120"/>
  <c r="H31" i="120"/>
  <c r="I31" i="120"/>
  <c r="J31" i="120"/>
  <c r="F31" i="120"/>
  <c r="D31" i="120"/>
  <c r="G30" i="120"/>
  <c r="E30" i="120"/>
  <c r="H30" i="120"/>
  <c r="I30" i="120"/>
  <c r="J30" i="120"/>
  <c r="F30" i="120"/>
  <c r="D30" i="120"/>
  <c r="I29" i="120"/>
  <c r="J29" i="120"/>
  <c r="F29" i="120"/>
  <c r="D29" i="120"/>
  <c r="I28" i="120"/>
  <c r="J28" i="120"/>
  <c r="F28" i="120"/>
  <c r="D28" i="120"/>
  <c r="I27" i="120"/>
  <c r="J27" i="120"/>
  <c r="F27" i="120"/>
  <c r="D27" i="120"/>
  <c r="I26" i="120"/>
  <c r="J26" i="120"/>
  <c r="F26" i="120"/>
  <c r="D26" i="120"/>
  <c r="I25" i="120"/>
  <c r="J25" i="120"/>
  <c r="F25" i="120"/>
  <c r="D25" i="120"/>
  <c r="I24" i="120"/>
  <c r="J24" i="120"/>
  <c r="F24" i="120"/>
  <c r="D24" i="120"/>
  <c r="I23" i="120"/>
  <c r="J23" i="120"/>
  <c r="D23" i="120"/>
  <c r="I22" i="120"/>
  <c r="J22" i="120"/>
  <c r="F22" i="120"/>
  <c r="D22" i="120"/>
  <c r="I21" i="120"/>
  <c r="J21" i="120"/>
  <c r="D21" i="120"/>
  <c r="R20" i="120"/>
  <c r="P20" i="120"/>
  <c r="O20" i="120"/>
  <c r="M20" i="120"/>
  <c r="I20" i="120"/>
  <c r="J20" i="120"/>
  <c r="F20" i="120"/>
  <c r="D20" i="120"/>
  <c r="R19" i="120"/>
  <c r="P19" i="120"/>
  <c r="O19" i="120"/>
  <c r="M19" i="120"/>
  <c r="I19" i="120"/>
  <c r="J19" i="120"/>
  <c r="F19" i="120"/>
  <c r="D19" i="120"/>
  <c r="R18" i="120"/>
  <c r="P18" i="120"/>
  <c r="O18" i="120"/>
  <c r="M18" i="120"/>
  <c r="I18" i="120"/>
  <c r="J18" i="120"/>
  <c r="F18" i="120"/>
  <c r="C18" i="120"/>
  <c r="D18" i="120"/>
  <c r="R17" i="120"/>
  <c r="P17" i="120"/>
  <c r="O17" i="120"/>
  <c r="M17" i="120"/>
  <c r="I17" i="120"/>
  <c r="J17" i="120"/>
  <c r="F17" i="120"/>
  <c r="C17" i="120"/>
  <c r="D17" i="120"/>
  <c r="V16" i="120"/>
  <c r="R16" i="120"/>
  <c r="P16" i="120"/>
  <c r="O16" i="120"/>
  <c r="M16" i="120"/>
  <c r="V15" i="120"/>
  <c r="R15" i="120"/>
  <c r="P15" i="120"/>
  <c r="O15" i="120"/>
  <c r="M15" i="120"/>
  <c r="V14" i="120"/>
  <c r="R14" i="120"/>
  <c r="P14" i="120"/>
  <c r="O14" i="120"/>
  <c r="M14" i="120"/>
  <c r="V13" i="120"/>
  <c r="R13" i="120"/>
  <c r="P13" i="120"/>
  <c r="O13" i="120"/>
  <c r="M13" i="120"/>
  <c r="V12" i="120"/>
  <c r="R12" i="120"/>
  <c r="P12" i="120"/>
  <c r="O12" i="120"/>
  <c r="M12" i="120"/>
  <c r="V11" i="120"/>
  <c r="R11" i="120"/>
  <c r="P11" i="120"/>
  <c r="O11" i="120"/>
  <c r="M11" i="120"/>
  <c r="V10" i="120"/>
  <c r="R10" i="120"/>
  <c r="P10" i="120"/>
  <c r="O10" i="120"/>
  <c r="M10" i="120"/>
  <c r="V9" i="120"/>
  <c r="R9" i="120"/>
  <c r="P9" i="120"/>
  <c r="O9" i="120"/>
  <c r="M9" i="120"/>
  <c r="V8" i="120"/>
  <c r="R8" i="120"/>
  <c r="P8" i="120"/>
  <c r="O8" i="120"/>
  <c r="M8" i="120"/>
  <c r="V7" i="120"/>
  <c r="R7" i="120"/>
  <c r="P7" i="120"/>
  <c r="O7" i="120"/>
  <c r="M7" i="120"/>
  <c r="R6" i="120"/>
  <c r="P6" i="120"/>
  <c r="O6" i="120"/>
  <c r="M6" i="120"/>
  <c r="V5" i="120"/>
  <c r="P5" i="120"/>
  <c r="O5" i="120"/>
  <c r="M5" i="120"/>
  <c r="V4" i="120"/>
  <c r="P4" i="120"/>
  <c r="O4" i="120"/>
  <c r="M4" i="120"/>
  <c r="V3" i="120"/>
  <c r="P3" i="120"/>
  <c r="O3" i="120"/>
  <c r="M3" i="120"/>
  <c r="V2" i="120"/>
  <c r="I2" i="119"/>
  <c r="D2" i="119"/>
  <c r="J2" i="119"/>
  <c r="E2" i="119"/>
  <c r="F2" i="119"/>
  <c r="C2" i="119"/>
  <c r="I3" i="119"/>
  <c r="D3" i="119"/>
  <c r="J3" i="119"/>
  <c r="E3" i="119"/>
  <c r="F3" i="119"/>
  <c r="C3" i="119"/>
  <c r="I4" i="119"/>
  <c r="D4" i="119"/>
  <c r="J4" i="119"/>
  <c r="E4" i="119"/>
  <c r="F4" i="119"/>
  <c r="C4" i="119"/>
  <c r="I5" i="119"/>
  <c r="D5" i="119"/>
  <c r="J5" i="119"/>
  <c r="E5" i="119"/>
  <c r="F5" i="119"/>
  <c r="C5" i="119"/>
  <c r="I6" i="119"/>
  <c r="D6" i="119"/>
  <c r="J6" i="119"/>
  <c r="E6" i="119"/>
  <c r="F6" i="119"/>
  <c r="C6" i="119"/>
  <c r="I7" i="119"/>
  <c r="D7" i="119"/>
  <c r="J7" i="119"/>
  <c r="E7" i="119"/>
  <c r="F7" i="119"/>
  <c r="C7" i="119"/>
  <c r="I8" i="119"/>
  <c r="D8" i="119"/>
  <c r="J8" i="119"/>
  <c r="E8" i="119"/>
  <c r="F8" i="119"/>
  <c r="C8" i="119"/>
  <c r="I9" i="119"/>
  <c r="D9" i="119"/>
  <c r="J9" i="119"/>
  <c r="E9" i="119"/>
  <c r="F9" i="119"/>
  <c r="C9" i="119"/>
  <c r="I10" i="119"/>
  <c r="D10" i="119"/>
  <c r="J10" i="119"/>
  <c r="E10" i="119"/>
  <c r="F10" i="119"/>
  <c r="C10" i="119"/>
  <c r="I11" i="119"/>
  <c r="D11" i="119"/>
  <c r="J11" i="119"/>
  <c r="E11" i="119"/>
  <c r="F11" i="119"/>
  <c r="C11" i="119"/>
  <c r="I12" i="119"/>
  <c r="D12" i="119"/>
  <c r="J12" i="119"/>
  <c r="E12" i="119"/>
  <c r="F12" i="119"/>
  <c r="C12" i="119"/>
  <c r="I13" i="119"/>
  <c r="D13" i="119"/>
  <c r="J13" i="119"/>
  <c r="E13" i="119"/>
  <c r="F13" i="119"/>
  <c r="C13" i="119"/>
  <c r="I14" i="119"/>
  <c r="D14" i="119"/>
  <c r="J14" i="119"/>
  <c r="E14" i="119"/>
  <c r="F14" i="119"/>
  <c r="C14" i="119"/>
  <c r="I15" i="119"/>
  <c r="D15" i="119"/>
  <c r="J15" i="119"/>
  <c r="E15" i="119"/>
  <c r="F15" i="119"/>
  <c r="C15" i="119"/>
  <c r="I16" i="119"/>
  <c r="D16" i="119"/>
  <c r="J16" i="119"/>
  <c r="E16" i="119"/>
  <c r="F16" i="119"/>
  <c r="C16" i="119"/>
  <c r="I17" i="119"/>
  <c r="D17" i="119"/>
  <c r="J17" i="119"/>
  <c r="E17" i="119"/>
  <c r="F17" i="119"/>
  <c r="C17" i="119"/>
  <c r="I18" i="119"/>
  <c r="D18" i="119"/>
  <c r="J18" i="119"/>
  <c r="E18" i="119"/>
  <c r="F18" i="119"/>
  <c r="C18" i="119"/>
  <c r="I19" i="119"/>
  <c r="D19" i="119"/>
  <c r="J19" i="119"/>
  <c r="E19" i="119"/>
  <c r="F19" i="119"/>
  <c r="C19" i="119"/>
  <c r="I20" i="119"/>
  <c r="D20" i="119"/>
  <c r="J20" i="119"/>
  <c r="E20" i="119"/>
  <c r="F20" i="119"/>
  <c r="C20" i="119"/>
  <c r="I21" i="119"/>
  <c r="D21" i="119"/>
  <c r="J21" i="119"/>
  <c r="E21" i="119"/>
  <c r="F21" i="119"/>
  <c r="C21" i="119"/>
  <c r="I22" i="119"/>
  <c r="D22" i="119"/>
  <c r="J22" i="119"/>
  <c r="E22" i="119"/>
  <c r="F22" i="119"/>
  <c r="C22" i="119"/>
  <c r="I23" i="119"/>
  <c r="D23" i="119"/>
  <c r="J23" i="119"/>
  <c r="E23" i="119"/>
  <c r="F23" i="119"/>
  <c r="C23" i="119"/>
  <c r="I24" i="119"/>
  <c r="D24" i="119"/>
  <c r="J24" i="119"/>
  <c r="E24" i="119"/>
  <c r="F24" i="119"/>
  <c r="C24" i="119"/>
  <c r="I25" i="119"/>
  <c r="D25" i="119"/>
  <c r="J25" i="119"/>
  <c r="E25" i="119"/>
  <c r="F25" i="119"/>
  <c r="C25" i="119"/>
  <c r="I26" i="119"/>
  <c r="D26" i="119"/>
  <c r="J26" i="119"/>
  <c r="E26" i="119"/>
  <c r="F26" i="119"/>
  <c r="C26" i="119"/>
  <c r="I27" i="119"/>
  <c r="D27" i="119"/>
  <c r="J27" i="119"/>
  <c r="E27" i="119"/>
  <c r="F27" i="119"/>
  <c r="C27" i="119"/>
  <c r="I28" i="119"/>
  <c r="D28" i="119"/>
  <c r="J28" i="119"/>
  <c r="E28" i="119"/>
  <c r="F28" i="119"/>
  <c r="C28" i="119"/>
  <c r="I29" i="119"/>
  <c r="D29" i="119"/>
  <c r="J29" i="119"/>
  <c r="E29" i="119"/>
  <c r="F29" i="119"/>
  <c r="C29" i="119"/>
  <c r="I30" i="119"/>
  <c r="D30" i="119"/>
  <c r="J30" i="119"/>
  <c r="E30" i="119"/>
  <c r="F30" i="119"/>
  <c r="C30" i="119"/>
  <c r="I31" i="119"/>
  <c r="D31" i="119"/>
  <c r="J31" i="119"/>
  <c r="E31" i="119"/>
  <c r="F31" i="119"/>
  <c r="C31" i="119"/>
  <c r="I32" i="119"/>
  <c r="D32" i="119"/>
  <c r="J32" i="119"/>
  <c r="E32" i="119"/>
  <c r="F32" i="119"/>
  <c r="C32" i="119"/>
  <c r="I33" i="119"/>
  <c r="D33" i="119"/>
  <c r="J33" i="119"/>
  <c r="E33" i="119"/>
  <c r="F33" i="119"/>
  <c r="C33" i="119"/>
  <c r="I34" i="119"/>
  <c r="D34" i="119"/>
  <c r="J34" i="119"/>
  <c r="E34" i="119"/>
  <c r="F34" i="119"/>
  <c r="C34" i="119"/>
  <c r="I35" i="119"/>
  <c r="D35" i="119"/>
  <c r="J35" i="119"/>
  <c r="E35" i="119"/>
  <c r="F35" i="119"/>
  <c r="C35" i="119"/>
  <c r="I36" i="119"/>
  <c r="D36" i="119"/>
  <c r="J36" i="119"/>
  <c r="E36" i="119"/>
  <c r="F36" i="119"/>
  <c r="C36" i="119"/>
  <c r="I37" i="119"/>
  <c r="D37" i="119"/>
  <c r="J37" i="119"/>
  <c r="E37" i="119"/>
  <c r="F37" i="119"/>
  <c r="C37" i="119"/>
  <c r="I38" i="119"/>
  <c r="D38" i="119"/>
  <c r="J38" i="119"/>
  <c r="E38" i="119"/>
  <c r="F38" i="119"/>
  <c r="C38" i="119"/>
  <c r="I39" i="119"/>
  <c r="D39" i="119"/>
  <c r="J39" i="119"/>
  <c r="E39" i="119"/>
  <c r="F39" i="119"/>
  <c r="C39" i="119"/>
  <c r="I40" i="119"/>
  <c r="D40" i="119"/>
  <c r="J40" i="119"/>
  <c r="E40" i="119"/>
  <c r="F40" i="119"/>
  <c r="C40" i="119"/>
  <c r="I41" i="119"/>
  <c r="D41" i="119"/>
  <c r="J41" i="119"/>
  <c r="E41" i="119"/>
  <c r="F41" i="119"/>
  <c r="C41" i="119"/>
  <c r="I42" i="119"/>
  <c r="D42" i="119"/>
  <c r="J42" i="119"/>
  <c r="E42" i="119"/>
  <c r="F42" i="119"/>
  <c r="C42" i="119"/>
  <c r="I43" i="119"/>
  <c r="D43" i="119"/>
  <c r="J43" i="119"/>
  <c r="E43" i="119"/>
  <c r="F43" i="119"/>
  <c r="C43" i="119"/>
  <c r="I44" i="119"/>
  <c r="D44" i="119"/>
  <c r="J44" i="119"/>
  <c r="E44" i="119"/>
  <c r="F44" i="119"/>
  <c r="C44" i="119"/>
  <c r="I45" i="119"/>
  <c r="D45" i="119"/>
  <c r="J45" i="119"/>
  <c r="E45" i="119"/>
  <c r="F45" i="119"/>
  <c r="C45" i="119"/>
  <c r="I46" i="119"/>
  <c r="D46" i="119"/>
  <c r="J46" i="119"/>
  <c r="E46" i="119"/>
  <c r="F46" i="119"/>
  <c r="C46" i="119"/>
  <c r="I47" i="119"/>
  <c r="D47" i="119"/>
  <c r="J47" i="119"/>
  <c r="E47" i="119"/>
  <c r="F47" i="119"/>
  <c r="C47" i="119"/>
  <c r="I48" i="119"/>
  <c r="D48" i="119"/>
  <c r="J48" i="119"/>
  <c r="E48" i="119"/>
  <c r="F48" i="119"/>
  <c r="C48" i="119"/>
  <c r="I49" i="119"/>
  <c r="D49" i="119"/>
  <c r="J49" i="119"/>
  <c r="E49" i="119"/>
  <c r="F49" i="119"/>
  <c r="C49" i="119"/>
  <c r="I50" i="119"/>
  <c r="D50" i="119"/>
  <c r="J50" i="119"/>
  <c r="E50" i="119"/>
  <c r="F50" i="119"/>
  <c r="C50" i="119"/>
  <c r="I51" i="119"/>
  <c r="D51" i="119"/>
  <c r="J51" i="119"/>
  <c r="E51" i="119"/>
  <c r="F51" i="119"/>
  <c r="C51" i="119"/>
  <c r="I52" i="119"/>
  <c r="D52" i="119"/>
  <c r="J52" i="119"/>
  <c r="E52" i="119"/>
  <c r="F52" i="119"/>
  <c r="C52" i="119"/>
  <c r="I53" i="119"/>
  <c r="D53" i="119"/>
  <c r="J53" i="119"/>
  <c r="E53" i="119"/>
  <c r="F53" i="119"/>
  <c r="C53" i="119"/>
  <c r="I54" i="119"/>
  <c r="D54" i="119"/>
  <c r="J54" i="119"/>
  <c r="E54" i="119"/>
  <c r="F54" i="119"/>
  <c r="C54" i="119"/>
  <c r="I55" i="119"/>
  <c r="D55" i="119"/>
  <c r="J55" i="119"/>
  <c r="E55" i="119"/>
  <c r="F55" i="119"/>
  <c r="C55" i="119"/>
  <c r="I56" i="119"/>
  <c r="D56" i="119"/>
  <c r="J56" i="119"/>
  <c r="E56" i="119"/>
  <c r="F56" i="119"/>
  <c r="C56" i="119"/>
  <c r="I57" i="119"/>
  <c r="D57" i="119"/>
  <c r="J57" i="119"/>
  <c r="E57" i="119"/>
  <c r="F57" i="119"/>
  <c r="C57" i="119"/>
  <c r="I58" i="119"/>
  <c r="D58" i="119"/>
  <c r="J58" i="119"/>
  <c r="E58" i="119"/>
  <c r="F58" i="119"/>
  <c r="C58" i="119"/>
  <c r="I59" i="119"/>
  <c r="D59" i="119"/>
  <c r="J59" i="119"/>
  <c r="E59" i="119"/>
  <c r="F59" i="119"/>
  <c r="C59" i="119"/>
  <c r="I60" i="119"/>
  <c r="D60" i="119"/>
  <c r="J60" i="119"/>
  <c r="E60" i="119"/>
  <c r="F60" i="119"/>
  <c r="C60" i="119"/>
  <c r="I61" i="119"/>
  <c r="D61" i="119"/>
  <c r="J61" i="119"/>
  <c r="E61" i="119"/>
  <c r="F61" i="119"/>
  <c r="C61" i="119"/>
  <c r="I62" i="119"/>
  <c r="D62" i="119"/>
  <c r="J62" i="119"/>
  <c r="E62" i="119"/>
  <c r="F62" i="119"/>
  <c r="C62" i="119"/>
  <c r="I63" i="119"/>
  <c r="D63" i="119"/>
  <c r="J63" i="119"/>
  <c r="E63" i="119"/>
  <c r="F63" i="119"/>
  <c r="C63" i="119"/>
  <c r="I64" i="119"/>
  <c r="D64" i="119"/>
  <c r="J64" i="119"/>
  <c r="E64" i="119"/>
  <c r="F64" i="119"/>
  <c r="C64" i="119"/>
  <c r="I65" i="119"/>
  <c r="D65" i="119"/>
  <c r="J65" i="119"/>
  <c r="E65" i="119"/>
  <c r="F65" i="119"/>
  <c r="C65" i="119"/>
  <c r="I66" i="119"/>
  <c r="D66" i="119"/>
  <c r="J66" i="119"/>
  <c r="E66" i="119"/>
  <c r="F66" i="119"/>
  <c r="C66" i="119"/>
  <c r="I67" i="119"/>
  <c r="D67" i="119"/>
  <c r="J67" i="119"/>
  <c r="E67" i="119"/>
  <c r="F67" i="119"/>
  <c r="C67" i="119"/>
  <c r="I68" i="119"/>
  <c r="D68" i="119"/>
  <c r="J68" i="119"/>
  <c r="E68" i="119"/>
  <c r="F68" i="119"/>
  <c r="C68" i="119"/>
  <c r="I69" i="119"/>
  <c r="D69" i="119"/>
  <c r="J69" i="119"/>
  <c r="E69" i="119"/>
  <c r="F69" i="119"/>
  <c r="C69" i="119"/>
  <c r="I70" i="119"/>
  <c r="D70" i="119"/>
  <c r="J70" i="119"/>
  <c r="E70" i="119"/>
  <c r="F70" i="119"/>
  <c r="C70" i="119"/>
  <c r="I71" i="119"/>
  <c r="D71" i="119"/>
  <c r="J71" i="119"/>
  <c r="E71" i="119"/>
  <c r="F71" i="119"/>
  <c r="C71" i="119"/>
  <c r="I72" i="119"/>
  <c r="D72" i="119"/>
  <c r="J72" i="119"/>
  <c r="E72" i="119"/>
  <c r="F72" i="119"/>
  <c r="C72" i="119"/>
  <c r="I73" i="119"/>
  <c r="D73" i="119"/>
  <c r="J73" i="119"/>
  <c r="E73" i="119"/>
  <c r="F73" i="119"/>
  <c r="C73" i="119"/>
  <c r="I74" i="119"/>
  <c r="D74" i="119"/>
  <c r="J74" i="119"/>
  <c r="E74" i="119"/>
  <c r="F74" i="119"/>
  <c r="C74" i="119"/>
  <c r="I75" i="119"/>
  <c r="D75" i="119"/>
  <c r="J75" i="119"/>
  <c r="E75" i="119"/>
  <c r="F75" i="119"/>
  <c r="C75" i="119"/>
  <c r="I76" i="119"/>
  <c r="D76" i="119"/>
  <c r="J76" i="119"/>
  <c r="E76" i="119"/>
  <c r="F76" i="119"/>
  <c r="C76" i="119"/>
  <c r="I77" i="119"/>
  <c r="D77" i="119"/>
  <c r="J77" i="119"/>
  <c r="E77" i="119"/>
  <c r="F77" i="119"/>
  <c r="C77" i="119"/>
  <c r="I78" i="119"/>
  <c r="D78" i="119"/>
  <c r="J78" i="119"/>
  <c r="E78" i="119"/>
  <c r="F78" i="119"/>
  <c r="C78" i="119"/>
  <c r="I79" i="119"/>
  <c r="D79" i="119"/>
  <c r="J79" i="119"/>
  <c r="E79" i="119"/>
  <c r="F79" i="119"/>
  <c r="C79" i="119"/>
  <c r="I80" i="119"/>
  <c r="D80" i="119"/>
  <c r="J80" i="119"/>
  <c r="E80" i="119"/>
  <c r="F80" i="119"/>
  <c r="C80" i="119"/>
  <c r="I81" i="119"/>
  <c r="D81" i="119"/>
  <c r="J81" i="119"/>
  <c r="E81" i="119"/>
  <c r="F81" i="119"/>
  <c r="C81" i="119"/>
  <c r="I82" i="119"/>
  <c r="D82" i="119"/>
  <c r="J82" i="119"/>
  <c r="E82" i="119"/>
  <c r="F82" i="119"/>
  <c r="C82" i="119"/>
  <c r="I83" i="119"/>
  <c r="D83" i="119"/>
  <c r="J83" i="119"/>
  <c r="E83" i="119"/>
  <c r="F83" i="119"/>
  <c r="C83" i="119"/>
  <c r="I84" i="119"/>
  <c r="D84" i="119"/>
  <c r="J84" i="119"/>
  <c r="E84" i="119"/>
  <c r="F84" i="119"/>
  <c r="C84" i="119"/>
  <c r="I85" i="119"/>
  <c r="D85" i="119"/>
  <c r="J85" i="119"/>
  <c r="E85" i="119"/>
  <c r="F85" i="119"/>
  <c r="C85" i="119"/>
  <c r="I86" i="119"/>
  <c r="D86" i="119"/>
  <c r="J86" i="119"/>
  <c r="E86" i="119"/>
  <c r="F86" i="119"/>
  <c r="C86" i="119"/>
  <c r="I87" i="119"/>
  <c r="D87" i="119"/>
  <c r="J87" i="119"/>
  <c r="E87" i="119"/>
  <c r="F87" i="119"/>
  <c r="C87" i="119"/>
  <c r="I88" i="119"/>
  <c r="D88" i="119"/>
  <c r="J88" i="119"/>
  <c r="E88" i="119"/>
  <c r="F88" i="119"/>
  <c r="C88" i="119"/>
  <c r="I89" i="119"/>
  <c r="D89" i="119"/>
  <c r="J89" i="119"/>
  <c r="E89" i="119"/>
  <c r="F89" i="119"/>
  <c r="C89" i="119"/>
  <c r="I90" i="119"/>
  <c r="D90" i="119"/>
  <c r="J90" i="119"/>
  <c r="E90" i="119"/>
  <c r="F90" i="119"/>
  <c r="C90" i="119"/>
  <c r="I91" i="119"/>
  <c r="D91" i="119"/>
  <c r="J91" i="119"/>
  <c r="E91" i="119"/>
  <c r="F91" i="119"/>
  <c r="C91" i="119"/>
  <c r="I92" i="119"/>
  <c r="D92" i="119"/>
  <c r="J92" i="119"/>
  <c r="E92" i="119"/>
  <c r="F92" i="119"/>
  <c r="C92" i="119"/>
  <c r="I93" i="119"/>
  <c r="D93" i="119"/>
  <c r="J93" i="119"/>
  <c r="E93" i="119"/>
  <c r="F93" i="119"/>
  <c r="C93" i="119"/>
  <c r="I94" i="119"/>
  <c r="D94" i="119"/>
  <c r="J94" i="119"/>
  <c r="E94" i="119"/>
  <c r="F94" i="119"/>
  <c r="C94" i="119"/>
  <c r="I95" i="119"/>
  <c r="D95" i="119"/>
  <c r="J95" i="119"/>
  <c r="E95" i="119"/>
  <c r="F95" i="119"/>
  <c r="C95" i="119"/>
  <c r="I96" i="119"/>
  <c r="D96" i="119"/>
  <c r="J96" i="119"/>
  <c r="E96" i="119"/>
  <c r="F96" i="119"/>
  <c r="C96" i="119"/>
  <c r="I97" i="119"/>
  <c r="D97" i="119"/>
  <c r="J97" i="119"/>
  <c r="E97" i="119"/>
  <c r="F97" i="119"/>
  <c r="C97" i="119"/>
  <c r="I98" i="119"/>
  <c r="D98" i="119"/>
  <c r="J98" i="119"/>
  <c r="E98" i="119"/>
  <c r="F98" i="119"/>
  <c r="C98" i="119"/>
  <c r="I99" i="119"/>
  <c r="D99" i="119"/>
  <c r="J99" i="119"/>
  <c r="E99" i="119"/>
  <c r="F99" i="119"/>
  <c r="C99" i="119"/>
  <c r="I100" i="119"/>
  <c r="D100" i="119"/>
  <c r="J100" i="119"/>
  <c r="E100" i="119"/>
  <c r="F100" i="119"/>
  <c r="C100" i="119"/>
  <c r="I101" i="119"/>
  <c r="D101" i="119"/>
  <c r="J101" i="119"/>
  <c r="E101" i="119"/>
  <c r="F101" i="119"/>
  <c r="C101" i="119"/>
  <c r="I102" i="119"/>
  <c r="D102" i="119"/>
  <c r="J102" i="119"/>
  <c r="E102" i="119"/>
  <c r="F102" i="119"/>
  <c r="C102" i="119"/>
  <c r="I103" i="119"/>
  <c r="D103" i="119"/>
  <c r="J103" i="119"/>
  <c r="E103" i="119"/>
  <c r="F103" i="119"/>
  <c r="C103" i="119"/>
  <c r="I104" i="119"/>
  <c r="D104" i="119"/>
  <c r="J104" i="119"/>
  <c r="E104" i="119"/>
  <c r="F104" i="119"/>
  <c r="C104" i="119"/>
  <c r="I105" i="119"/>
  <c r="D105" i="119"/>
  <c r="J105" i="119"/>
  <c r="E105" i="119"/>
  <c r="F105" i="119"/>
  <c r="C105" i="119"/>
  <c r="I106" i="119"/>
  <c r="D106" i="119"/>
  <c r="J106" i="119"/>
  <c r="E106" i="119"/>
  <c r="F106" i="119"/>
  <c r="C106" i="119"/>
  <c r="I107" i="119"/>
  <c r="D107" i="119"/>
  <c r="J107" i="119"/>
  <c r="E107" i="119"/>
  <c r="F107" i="119"/>
  <c r="C107" i="119"/>
  <c r="I108" i="119"/>
  <c r="D108" i="119"/>
  <c r="J108" i="119"/>
  <c r="E108" i="119"/>
  <c r="F108" i="119"/>
  <c r="C108" i="119"/>
  <c r="I109" i="119"/>
  <c r="D109" i="119"/>
  <c r="J109" i="119"/>
  <c r="E109" i="119"/>
  <c r="F109" i="119"/>
  <c r="C109" i="119"/>
  <c r="I110" i="119"/>
  <c r="D110" i="119"/>
  <c r="J110" i="119"/>
  <c r="E110" i="119"/>
  <c r="F110" i="119"/>
  <c r="C110" i="119"/>
  <c r="I111" i="119"/>
  <c r="D111" i="119"/>
  <c r="J111" i="119"/>
  <c r="E111" i="119"/>
  <c r="F111" i="119"/>
  <c r="C111" i="119"/>
  <c r="I112" i="119"/>
  <c r="D112" i="119"/>
  <c r="J112" i="119"/>
  <c r="E112" i="119"/>
  <c r="F112" i="119"/>
  <c r="C112" i="119"/>
  <c r="I113" i="119"/>
  <c r="D113" i="119"/>
  <c r="J113" i="119"/>
  <c r="E113" i="119"/>
  <c r="F113" i="119"/>
  <c r="C113" i="119"/>
  <c r="I114" i="119"/>
  <c r="D114" i="119"/>
  <c r="J114" i="119"/>
  <c r="E114" i="119"/>
  <c r="F114" i="119"/>
  <c r="C114" i="119"/>
  <c r="I115" i="119"/>
  <c r="D115" i="119"/>
  <c r="J115" i="119"/>
  <c r="E115" i="119"/>
  <c r="F115" i="119"/>
  <c r="C115" i="119"/>
  <c r="I116" i="119"/>
  <c r="D116" i="119"/>
  <c r="J116" i="119"/>
  <c r="E116" i="119"/>
  <c r="F116" i="119"/>
  <c r="C116" i="119"/>
  <c r="I117" i="119"/>
  <c r="D117" i="119"/>
  <c r="J117" i="119"/>
  <c r="E117" i="119"/>
  <c r="F117" i="119"/>
  <c r="C117" i="119"/>
  <c r="I118" i="119"/>
  <c r="D118" i="119"/>
  <c r="J118" i="119"/>
  <c r="E118" i="119"/>
  <c r="F118" i="119"/>
  <c r="C118" i="119"/>
  <c r="I119" i="119"/>
  <c r="D119" i="119"/>
  <c r="J119" i="119"/>
  <c r="E119" i="119"/>
  <c r="F119" i="119"/>
  <c r="C119" i="119"/>
  <c r="I120" i="119"/>
  <c r="D120" i="119"/>
  <c r="J120" i="119"/>
  <c r="E120" i="119"/>
  <c r="F120" i="119"/>
  <c r="C120" i="119"/>
  <c r="I121" i="119"/>
  <c r="D121" i="119"/>
  <c r="J121" i="119"/>
  <c r="E121" i="119"/>
  <c r="F121" i="119"/>
  <c r="C121" i="119"/>
  <c r="I122" i="119"/>
  <c r="D122" i="119"/>
  <c r="J122" i="119"/>
  <c r="E122" i="119"/>
  <c r="F122" i="119"/>
  <c r="C122" i="119"/>
  <c r="I123" i="119"/>
  <c r="D123" i="119"/>
  <c r="J123" i="119"/>
  <c r="E123" i="119"/>
  <c r="F123" i="119"/>
  <c r="C123" i="119"/>
  <c r="I124" i="119"/>
  <c r="D124" i="119"/>
  <c r="J124" i="119"/>
  <c r="E124" i="119"/>
  <c r="F124" i="119"/>
  <c r="C124" i="119"/>
  <c r="I125" i="119"/>
  <c r="D125" i="119"/>
  <c r="J125" i="119"/>
  <c r="E125" i="119"/>
  <c r="F125" i="119"/>
  <c r="C125" i="119"/>
  <c r="I126" i="119"/>
  <c r="D126" i="119"/>
  <c r="J126" i="119"/>
  <c r="E126" i="119"/>
  <c r="F126" i="119"/>
  <c r="C126" i="119"/>
  <c r="I127" i="119"/>
  <c r="D127" i="119"/>
  <c r="J127" i="119"/>
  <c r="E127" i="119"/>
  <c r="F127" i="119"/>
  <c r="C127" i="119"/>
  <c r="I128" i="119"/>
  <c r="D128" i="119"/>
  <c r="J128" i="119"/>
  <c r="E128" i="119"/>
  <c r="F128" i="119"/>
  <c r="C128" i="119"/>
  <c r="I129" i="119"/>
  <c r="D129" i="119"/>
  <c r="J129" i="119"/>
  <c r="E129" i="119"/>
  <c r="F129" i="119"/>
  <c r="C129" i="119"/>
  <c r="I130" i="119"/>
  <c r="D130" i="119"/>
  <c r="J130" i="119"/>
  <c r="E130" i="119"/>
  <c r="F130" i="119"/>
  <c r="C130" i="119"/>
  <c r="I131" i="119"/>
  <c r="D131" i="119"/>
  <c r="J131" i="119"/>
  <c r="E131" i="119"/>
  <c r="F131" i="119"/>
  <c r="C131" i="119"/>
  <c r="I132" i="119"/>
  <c r="D132" i="119"/>
  <c r="J132" i="119"/>
  <c r="E132" i="119"/>
  <c r="F132" i="119"/>
  <c r="C132" i="119"/>
  <c r="I133" i="119"/>
  <c r="D133" i="119"/>
  <c r="J133" i="119"/>
  <c r="E133" i="119"/>
  <c r="F133" i="119"/>
  <c r="C133" i="119"/>
  <c r="I134" i="119"/>
  <c r="D134" i="119"/>
  <c r="J134" i="119"/>
  <c r="E134" i="119"/>
  <c r="F134" i="119"/>
  <c r="C134" i="119"/>
  <c r="I135" i="119"/>
  <c r="D135" i="119"/>
  <c r="J135" i="119"/>
  <c r="E135" i="119"/>
  <c r="F135" i="119"/>
  <c r="C135" i="119"/>
  <c r="I136" i="119"/>
  <c r="D136" i="119"/>
  <c r="J136" i="119"/>
  <c r="E136" i="119"/>
  <c r="F136" i="119"/>
  <c r="C136" i="119"/>
  <c r="I137" i="119"/>
  <c r="D137" i="119"/>
  <c r="J137" i="119"/>
  <c r="E137" i="119"/>
  <c r="F137" i="119"/>
  <c r="C137" i="119"/>
  <c r="I138" i="119"/>
  <c r="D138" i="119"/>
  <c r="J138" i="119"/>
  <c r="E138" i="119"/>
  <c r="F138" i="119"/>
  <c r="C138" i="119"/>
  <c r="I139" i="119"/>
  <c r="D139" i="119"/>
  <c r="J139" i="119"/>
  <c r="E139" i="119"/>
  <c r="F139" i="119"/>
  <c r="C139" i="119"/>
  <c r="I140" i="119"/>
  <c r="D140" i="119"/>
  <c r="J140" i="119"/>
  <c r="E140" i="119"/>
  <c r="F140" i="119"/>
  <c r="C140" i="119"/>
  <c r="I141" i="119"/>
  <c r="D141" i="119"/>
  <c r="J141" i="119"/>
  <c r="E141" i="119"/>
  <c r="F141" i="119"/>
  <c r="C141" i="119"/>
  <c r="I142" i="119"/>
  <c r="D142" i="119"/>
  <c r="J142" i="119"/>
  <c r="E142" i="119"/>
  <c r="F142" i="119"/>
  <c r="C142" i="119"/>
  <c r="I143" i="119"/>
  <c r="D143" i="119"/>
  <c r="J143" i="119"/>
  <c r="E143" i="119"/>
  <c r="F143" i="119"/>
  <c r="C143" i="119"/>
  <c r="I144" i="119"/>
  <c r="D144" i="119"/>
  <c r="J144" i="119"/>
  <c r="E144" i="119"/>
  <c r="F144" i="119"/>
  <c r="C144" i="119"/>
  <c r="I145" i="119"/>
  <c r="D145" i="119"/>
  <c r="J145" i="119"/>
  <c r="E145" i="119"/>
  <c r="F145" i="119"/>
  <c r="C145" i="119"/>
  <c r="I146" i="119"/>
  <c r="D146" i="119"/>
  <c r="J146" i="119"/>
  <c r="E146" i="119"/>
  <c r="F146" i="119"/>
  <c r="C146" i="119"/>
  <c r="I147" i="119"/>
  <c r="D147" i="119"/>
  <c r="J147" i="119"/>
  <c r="E147" i="119"/>
  <c r="F147" i="119"/>
  <c r="C147" i="119"/>
  <c r="I148" i="119"/>
  <c r="D148" i="119"/>
  <c r="J148" i="119"/>
  <c r="E148" i="119"/>
  <c r="F148" i="119"/>
  <c r="C148" i="119"/>
  <c r="I149" i="119"/>
  <c r="D149" i="119"/>
  <c r="J149" i="119"/>
  <c r="E149" i="119"/>
  <c r="F149" i="119"/>
  <c r="C149" i="119"/>
  <c r="I150" i="119"/>
  <c r="D150" i="119"/>
  <c r="J150" i="119"/>
  <c r="E150" i="119"/>
  <c r="F150" i="119"/>
  <c r="C150" i="119"/>
  <c r="I151" i="119"/>
  <c r="D151" i="119"/>
  <c r="J151" i="119"/>
  <c r="E151" i="119"/>
  <c r="F151" i="119"/>
  <c r="C151" i="119"/>
  <c r="I152" i="119"/>
  <c r="D152" i="119"/>
  <c r="J152" i="119"/>
  <c r="E152" i="119"/>
  <c r="F152" i="119"/>
  <c r="C152" i="119"/>
  <c r="I153" i="119"/>
  <c r="D153" i="119"/>
  <c r="J153" i="119"/>
  <c r="E153" i="119"/>
  <c r="F153" i="119"/>
  <c r="C153" i="119"/>
  <c r="I154" i="119"/>
  <c r="D154" i="119"/>
  <c r="J154" i="119"/>
  <c r="E154" i="119"/>
  <c r="F154" i="119"/>
  <c r="C154" i="119"/>
  <c r="I155" i="119"/>
  <c r="D155" i="119"/>
  <c r="J155" i="119"/>
  <c r="E155" i="119"/>
  <c r="F155" i="119"/>
  <c r="C155" i="119"/>
  <c r="I156" i="119"/>
  <c r="D156" i="119"/>
  <c r="J156" i="119"/>
  <c r="E156" i="119"/>
  <c r="F156" i="119"/>
  <c r="C156" i="119"/>
  <c r="I157" i="119"/>
  <c r="D157" i="119"/>
  <c r="J157" i="119"/>
  <c r="E157" i="119"/>
  <c r="F157" i="119"/>
  <c r="C157" i="119"/>
  <c r="I158" i="119"/>
  <c r="D158" i="119"/>
  <c r="J158" i="119"/>
  <c r="E158" i="119"/>
  <c r="F158" i="119"/>
  <c r="C158" i="119"/>
  <c r="I159" i="119"/>
  <c r="D159" i="119"/>
  <c r="J159" i="119"/>
  <c r="E159" i="119"/>
  <c r="F159" i="119"/>
  <c r="C159" i="119"/>
  <c r="I160" i="119"/>
  <c r="D160" i="119"/>
  <c r="J160" i="119"/>
  <c r="E160" i="119"/>
  <c r="F160" i="119"/>
  <c r="C160" i="119"/>
  <c r="I161" i="119"/>
  <c r="D161" i="119"/>
  <c r="J161" i="119"/>
  <c r="E161" i="119"/>
  <c r="F161" i="119"/>
  <c r="C161" i="119"/>
  <c r="I162" i="119"/>
  <c r="D162" i="119"/>
  <c r="J162" i="119"/>
  <c r="E162" i="119"/>
  <c r="F162" i="119"/>
  <c r="C162" i="119"/>
  <c r="I163" i="119"/>
  <c r="D163" i="119"/>
  <c r="J163" i="119"/>
  <c r="E163" i="119"/>
  <c r="F163" i="119"/>
  <c r="C163" i="119"/>
  <c r="I164" i="119"/>
  <c r="D164" i="119"/>
  <c r="J164" i="119"/>
  <c r="E164" i="119"/>
  <c r="F164" i="119"/>
  <c r="C164" i="119"/>
  <c r="I165" i="119"/>
  <c r="D165" i="119"/>
  <c r="J165" i="119"/>
  <c r="E165" i="119"/>
  <c r="F165" i="119"/>
  <c r="C165" i="119"/>
  <c r="I166" i="119"/>
  <c r="D166" i="119"/>
  <c r="J166" i="119"/>
  <c r="E166" i="119"/>
  <c r="F166" i="119"/>
  <c r="C166" i="119"/>
  <c r="I167" i="119"/>
  <c r="D167" i="119"/>
  <c r="J167" i="119"/>
  <c r="E167" i="119"/>
  <c r="F167" i="119"/>
  <c r="C167" i="119"/>
  <c r="I168" i="119"/>
  <c r="D168" i="119"/>
  <c r="J168" i="119"/>
  <c r="E168" i="119"/>
  <c r="F168" i="119"/>
  <c r="C168" i="119"/>
  <c r="I169" i="119"/>
  <c r="D169" i="119"/>
  <c r="J169" i="119"/>
  <c r="E169" i="119"/>
  <c r="F169" i="119"/>
  <c r="C169" i="119"/>
  <c r="I170" i="119"/>
  <c r="D170" i="119"/>
  <c r="J170" i="119"/>
  <c r="E170" i="119"/>
  <c r="F170" i="119"/>
  <c r="C170" i="119"/>
  <c r="I171" i="119"/>
  <c r="D171" i="119"/>
  <c r="J171" i="119"/>
  <c r="E171" i="119"/>
  <c r="F171" i="119"/>
  <c r="C171" i="119"/>
  <c r="I172" i="119"/>
  <c r="D172" i="119"/>
  <c r="J172" i="119"/>
  <c r="E172" i="119"/>
  <c r="F172" i="119"/>
  <c r="C172" i="119"/>
  <c r="I173" i="119"/>
  <c r="D173" i="119"/>
  <c r="J173" i="119"/>
  <c r="E173" i="119"/>
  <c r="F173" i="119"/>
  <c r="C173" i="119"/>
  <c r="I174" i="119"/>
  <c r="D174" i="119"/>
  <c r="J174" i="119"/>
  <c r="E174" i="119"/>
  <c r="F174" i="119"/>
  <c r="C174" i="119"/>
  <c r="I175" i="119"/>
  <c r="D175" i="119"/>
  <c r="J175" i="119"/>
  <c r="E175" i="119"/>
  <c r="F175" i="119"/>
  <c r="C175" i="119"/>
  <c r="I176" i="119"/>
  <c r="D176" i="119"/>
  <c r="J176" i="119"/>
  <c r="E176" i="119"/>
  <c r="F176" i="119"/>
  <c r="C176" i="119"/>
  <c r="I177" i="119"/>
  <c r="D177" i="119"/>
  <c r="J177" i="119"/>
  <c r="E177" i="119"/>
  <c r="F177" i="119"/>
  <c r="C177" i="119"/>
  <c r="I178" i="119"/>
  <c r="D178" i="119"/>
  <c r="J178" i="119"/>
  <c r="E178" i="119"/>
  <c r="F178" i="119"/>
  <c r="C178" i="119"/>
  <c r="I179" i="119"/>
  <c r="D179" i="119"/>
  <c r="J179" i="119"/>
  <c r="E179" i="119"/>
  <c r="F179" i="119"/>
  <c r="C179" i="119"/>
  <c r="I180" i="119"/>
  <c r="D180" i="119"/>
  <c r="J180" i="119"/>
  <c r="E180" i="119"/>
  <c r="F180" i="119"/>
  <c r="C180" i="119"/>
  <c r="I181" i="119"/>
  <c r="D181" i="119"/>
  <c r="J181" i="119"/>
  <c r="E181" i="119"/>
  <c r="F181" i="119"/>
  <c r="C181" i="119"/>
  <c r="I182" i="119"/>
  <c r="D182" i="119"/>
  <c r="J182" i="119"/>
  <c r="E182" i="119"/>
  <c r="F182" i="119"/>
  <c r="C182" i="119"/>
  <c r="I183" i="119"/>
  <c r="D183" i="119"/>
  <c r="J183" i="119"/>
  <c r="E183" i="119"/>
  <c r="F183" i="119"/>
  <c r="C183" i="119"/>
  <c r="I184" i="119"/>
  <c r="D184" i="119"/>
  <c r="J184" i="119"/>
  <c r="E184" i="119"/>
  <c r="F184" i="119"/>
  <c r="C184" i="119"/>
  <c r="I185" i="119"/>
  <c r="D185" i="119"/>
  <c r="J185" i="119"/>
  <c r="E185" i="119"/>
  <c r="F185" i="119"/>
  <c r="C185" i="119"/>
  <c r="I186" i="119"/>
  <c r="D186" i="119"/>
  <c r="J186" i="119"/>
  <c r="E186" i="119"/>
  <c r="F186" i="119"/>
  <c r="C186" i="119"/>
  <c r="I187" i="119"/>
  <c r="D187" i="119"/>
  <c r="J187" i="119"/>
  <c r="E187" i="119"/>
  <c r="F187" i="119"/>
  <c r="C187" i="119"/>
  <c r="I188" i="119"/>
  <c r="D188" i="119"/>
  <c r="J188" i="119"/>
  <c r="E188" i="119"/>
  <c r="F188" i="119"/>
  <c r="C188" i="119"/>
  <c r="I189" i="119"/>
  <c r="D189" i="119"/>
  <c r="J189" i="119"/>
  <c r="E189" i="119"/>
  <c r="F189" i="119"/>
  <c r="C189" i="119"/>
  <c r="I190" i="119"/>
  <c r="D190" i="119"/>
  <c r="J190" i="119"/>
  <c r="E190" i="119"/>
  <c r="F190" i="119"/>
  <c r="C190" i="119"/>
  <c r="I191" i="119"/>
  <c r="D191" i="119"/>
  <c r="J191" i="119"/>
  <c r="E191" i="119"/>
  <c r="F191" i="119"/>
  <c r="C191" i="119"/>
  <c r="I192" i="119"/>
  <c r="D192" i="119"/>
  <c r="J192" i="119"/>
  <c r="E192" i="119"/>
  <c r="F192" i="119"/>
  <c r="C192" i="119"/>
  <c r="I193" i="119"/>
  <c r="D193" i="119"/>
  <c r="J193" i="119"/>
  <c r="E193" i="119"/>
  <c r="F193" i="119"/>
  <c r="C193" i="119"/>
  <c r="I194" i="119"/>
  <c r="D194" i="119"/>
  <c r="J194" i="119"/>
  <c r="E194" i="119"/>
  <c r="F194" i="119"/>
  <c r="C194" i="119"/>
  <c r="I195" i="119"/>
  <c r="D195" i="119"/>
  <c r="J195" i="119"/>
  <c r="E195" i="119"/>
  <c r="F195" i="119"/>
  <c r="C195" i="119"/>
  <c r="I196" i="119"/>
  <c r="D196" i="119"/>
  <c r="J196" i="119"/>
  <c r="E196" i="119"/>
  <c r="F196" i="119"/>
  <c r="C196" i="119"/>
  <c r="I197" i="119"/>
  <c r="D197" i="119"/>
  <c r="J197" i="119"/>
  <c r="E197" i="119"/>
  <c r="F197" i="119"/>
  <c r="C197" i="119"/>
  <c r="I198" i="119"/>
  <c r="D198" i="119"/>
  <c r="J198" i="119"/>
  <c r="E198" i="119"/>
  <c r="F198" i="119"/>
  <c r="C198" i="119"/>
  <c r="I199" i="119"/>
  <c r="D199" i="119"/>
  <c r="J199" i="119"/>
  <c r="E199" i="119"/>
  <c r="F199" i="119"/>
  <c r="C199" i="119"/>
  <c r="I200" i="119"/>
  <c r="D200" i="119"/>
  <c r="J200" i="119"/>
  <c r="E200" i="119"/>
  <c r="F200" i="119"/>
  <c r="C200" i="119"/>
  <c r="I201" i="119"/>
  <c r="D201" i="119"/>
  <c r="J201" i="119"/>
  <c r="E201" i="119"/>
  <c r="F201" i="119"/>
  <c r="C201" i="119"/>
  <c r="I202" i="119"/>
  <c r="D202" i="119"/>
  <c r="J202" i="119"/>
  <c r="E202" i="119"/>
  <c r="F202" i="119"/>
  <c r="C202" i="119"/>
  <c r="I203" i="119"/>
  <c r="D203" i="119"/>
  <c r="J203" i="119"/>
  <c r="E203" i="119"/>
  <c r="F203" i="119"/>
  <c r="C203" i="119"/>
  <c r="I204" i="119"/>
  <c r="D204" i="119"/>
  <c r="J204" i="119"/>
  <c r="E204" i="119"/>
  <c r="F204" i="119"/>
  <c r="C204" i="119"/>
  <c r="I205" i="119"/>
  <c r="D205" i="119"/>
  <c r="J205" i="119"/>
  <c r="E205" i="119"/>
  <c r="F205" i="119"/>
  <c r="C205" i="119"/>
  <c r="I206" i="119"/>
  <c r="D206" i="119"/>
  <c r="J206" i="119"/>
  <c r="E206" i="119"/>
  <c r="F206" i="119"/>
  <c r="C206" i="119"/>
  <c r="I207" i="119"/>
  <c r="D207" i="119"/>
  <c r="J207" i="119"/>
  <c r="E207" i="119"/>
  <c r="F207" i="119"/>
  <c r="C207" i="119"/>
  <c r="I208" i="119"/>
  <c r="D208" i="119"/>
  <c r="J208" i="119"/>
  <c r="E208" i="119"/>
  <c r="F208" i="119"/>
  <c r="C208" i="119"/>
  <c r="I209" i="119"/>
  <c r="D209" i="119"/>
  <c r="J209" i="119"/>
  <c r="E209" i="119"/>
  <c r="F209" i="119"/>
  <c r="C209" i="119"/>
  <c r="I210" i="119"/>
  <c r="D210" i="119"/>
  <c r="J210" i="119"/>
  <c r="E210" i="119"/>
  <c r="F210" i="119"/>
  <c r="C210" i="119"/>
  <c r="I211" i="119"/>
  <c r="D211" i="119"/>
  <c r="J211" i="119"/>
  <c r="E211" i="119"/>
  <c r="F211" i="119"/>
  <c r="C211" i="119"/>
  <c r="I212" i="119"/>
  <c r="D212" i="119"/>
  <c r="J212" i="119"/>
  <c r="E212" i="119"/>
  <c r="F212" i="119"/>
  <c r="C212" i="119"/>
  <c r="I213" i="119"/>
  <c r="D213" i="119"/>
  <c r="J213" i="119"/>
  <c r="E213" i="119"/>
  <c r="F213" i="119"/>
  <c r="C213" i="119"/>
  <c r="I214" i="119"/>
  <c r="D214" i="119"/>
  <c r="J214" i="119"/>
  <c r="E214" i="119"/>
  <c r="F214" i="119"/>
  <c r="C214" i="119"/>
  <c r="I215" i="119"/>
  <c r="D215" i="119"/>
  <c r="J215" i="119"/>
  <c r="E215" i="119"/>
  <c r="F215" i="119"/>
  <c r="C215" i="119"/>
  <c r="I216" i="119"/>
  <c r="D216" i="119"/>
  <c r="J216" i="119"/>
  <c r="E216" i="119"/>
  <c r="F216" i="119"/>
  <c r="C216" i="119"/>
  <c r="I217" i="119"/>
  <c r="D217" i="119"/>
  <c r="J217" i="119"/>
  <c r="E217" i="119"/>
  <c r="F217" i="119"/>
  <c r="C217" i="119"/>
  <c r="I218" i="119"/>
  <c r="D218" i="119"/>
  <c r="J218" i="119"/>
  <c r="E218" i="119"/>
  <c r="F218" i="119"/>
  <c r="C218" i="119"/>
  <c r="I219" i="119"/>
  <c r="D219" i="119"/>
  <c r="J219" i="119"/>
  <c r="E219" i="119"/>
  <c r="F219" i="119"/>
  <c r="C219" i="119"/>
  <c r="I220" i="119"/>
  <c r="D220" i="119"/>
  <c r="J220" i="119"/>
  <c r="E220" i="119"/>
  <c r="F220" i="119"/>
  <c r="C220" i="119"/>
  <c r="I221" i="119"/>
  <c r="D221" i="119"/>
  <c r="J221" i="119"/>
  <c r="E221" i="119"/>
  <c r="F221" i="119"/>
  <c r="C221" i="119"/>
  <c r="I222" i="119"/>
  <c r="D222" i="119"/>
  <c r="J222" i="119"/>
  <c r="E222" i="119"/>
  <c r="F222" i="119"/>
  <c r="C222" i="119"/>
  <c r="I223" i="119"/>
  <c r="D223" i="119"/>
  <c r="J223" i="119"/>
  <c r="E223" i="119"/>
  <c r="F223" i="119"/>
  <c r="C223" i="119"/>
  <c r="I224" i="119"/>
  <c r="D224" i="119"/>
  <c r="J224" i="119"/>
  <c r="E224" i="119"/>
  <c r="F224" i="119"/>
  <c r="C224" i="119"/>
  <c r="I225" i="119"/>
  <c r="D225" i="119"/>
  <c r="J225" i="119"/>
  <c r="E225" i="119"/>
  <c r="F225" i="119"/>
  <c r="C225" i="119"/>
  <c r="I226" i="119"/>
  <c r="D226" i="119"/>
  <c r="J226" i="119"/>
  <c r="E226" i="119"/>
  <c r="F226" i="119"/>
  <c r="C226" i="119"/>
  <c r="I227" i="119"/>
  <c r="D227" i="119"/>
  <c r="J227" i="119"/>
  <c r="E227" i="119"/>
  <c r="F227" i="119"/>
  <c r="C227" i="119"/>
  <c r="I228" i="119"/>
  <c r="D228" i="119"/>
  <c r="J228" i="119"/>
  <c r="E228" i="119"/>
  <c r="F228" i="119"/>
  <c r="C228" i="119"/>
  <c r="I229" i="119"/>
  <c r="D229" i="119"/>
  <c r="J229" i="119"/>
  <c r="E229" i="119"/>
  <c r="F229" i="119"/>
  <c r="C229" i="119"/>
  <c r="I230" i="119"/>
  <c r="D230" i="119"/>
  <c r="J230" i="119"/>
  <c r="E230" i="119"/>
  <c r="F230" i="119"/>
  <c r="C230" i="119"/>
  <c r="I231" i="119"/>
  <c r="D231" i="119"/>
  <c r="J231" i="119"/>
  <c r="E231" i="119"/>
  <c r="F231" i="119"/>
  <c r="C231" i="119"/>
  <c r="I232" i="119"/>
  <c r="D232" i="119"/>
  <c r="J232" i="119"/>
  <c r="E232" i="119"/>
  <c r="F232" i="119"/>
  <c r="C232" i="119"/>
  <c r="I233" i="119"/>
  <c r="D233" i="119"/>
  <c r="J233" i="119"/>
  <c r="E233" i="119"/>
  <c r="F233" i="119"/>
  <c r="C233" i="119"/>
  <c r="I234" i="119"/>
  <c r="D234" i="119"/>
  <c r="J234" i="119"/>
  <c r="E234" i="119"/>
  <c r="F234" i="119"/>
  <c r="C234" i="119"/>
  <c r="I235" i="119"/>
  <c r="D235" i="119"/>
  <c r="J235" i="119"/>
  <c r="E235" i="119"/>
  <c r="F235" i="119"/>
  <c r="C235" i="119"/>
  <c r="I236" i="119"/>
  <c r="D236" i="119"/>
  <c r="J236" i="119"/>
  <c r="E236" i="119"/>
  <c r="F236" i="119"/>
  <c r="C236" i="119"/>
  <c r="I237" i="119"/>
  <c r="D237" i="119"/>
  <c r="J237" i="119"/>
  <c r="E237" i="119"/>
  <c r="F237" i="119"/>
  <c r="C237" i="119"/>
  <c r="I238" i="119"/>
  <c r="D238" i="119"/>
  <c r="J238" i="119"/>
  <c r="E238" i="119"/>
  <c r="F238" i="119"/>
  <c r="C238" i="119"/>
  <c r="I239" i="119"/>
  <c r="D239" i="119"/>
  <c r="J239" i="119"/>
  <c r="E239" i="119"/>
  <c r="F239" i="119"/>
  <c r="C239" i="119"/>
  <c r="I240" i="119"/>
  <c r="D240" i="119"/>
  <c r="J240" i="119"/>
  <c r="E240" i="119"/>
  <c r="F240" i="119"/>
  <c r="C240" i="119"/>
  <c r="I241" i="119"/>
  <c r="D241" i="119"/>
  <c r="J241" i="119"/>
  <c r="E241" i="119"/>
  <c r="F241" i="119"/>
  <c r="C241" i="119"/>
  <c r="I242" i="119"/>
  <c r="D242" i="119"/>
  <c r="J242" i="119"/>
  <c r="E242" i="119"/>
  <c r="F242" i="119"/>
  <c r="C242" i="119"/>
  <c r="I243" i="119"/>
  <c r="D243" i="119"/>
  <c r="J243" i="119"/>
  <c r="E243" i="119"/>
  <c r="F243" i="119"/>
  <c r="C243" i="119"/>
  <c r="I244" i="119"/>
  <c r="D244" i="119"/>
  <c r="J244" i="119"/>
  <c r="E244" i="119"/>
  <c r="F244" i="119"/>
  <c r="C244" i="119"/>
  <c r="I245" i="119"/>
  <c r="D245" i="119"/>
  <c r="J245" i="119"/>
  <c r="E245" i="119"/>
  <c r="F245" i="119"/>
  <c r="C245" i="119"/>
  <c r="I246" i="119"/>
  <c r="D246" i="119"/>
  <c r="J246" i="119"/>
  <c r="E246" i="119"/>
  <c r="F246" i="119"/>
  <c r="C246" i="119"/>
  <c r="I247" i="119"/>
  <c r="D247" i="119"/>
  <c r="J247" i="119"/>
  <c r="E247" i="119"/>
  <c r="F247" i="119"/>
  <c r="C247" i="119"/>
  <c r="I248" i="119"/>
  <c r="D248" i="119"/>
  <c r="J248" i="119"/>
  <c r="E248" i="119"/>
  <c r="F248" i="119"/>
  <c r="C248" i="119"/>
  <c r="I249" i="119"/>
  <c r="D249" i="119"/>
  <c r="J249" i="119"/>
  <c r="E249" i="119"/>
  <c r="F249" i="119"/>
  <c r="C249" i="119"/>
  <c r="I250" i="119"/>
  <c r="D250" i="119"/>
  <c r="J250" i="119"/>
  <c r="E250" i="119"/>
  <c r="F250" i="119"/>
  <c r="C250" i="119"/>
  <c r="I251" i="119"/>
  <c r="D251" i="119"/>
  <c r="J251" i="119"/>
  <c r="E251" i="119"/>
  <c r="F251" i="119"/>
  <c r="C251" i="119"/>
  <c r="I252" i="119"/>
  <c r="D252" i="119"/>
  <c r="J252" i="119"/>
  <c r="E252" i="119"/>
  <c r="F252" i="119"/>
  <c r="C252" i="119"/>
  <c r="I253" i="119"/>
  <c r="D253" i="119"/>
  <c r="J253" i="119"/>
  <c r="E253" i="119"/>
  <c r="F253" i="119"/>
  <c r="C253" i="119"/>
  <c r="I254" i="119"/>
  <c r="D254" i="119"/>
  <c r="J254" i="119"/>
  <c r="E254" i="119"/>
  <c r="F254" i="119"/>
  <c r="C254" i="119"/>
  <c r="I255" i="119"/>
  <c r="D255" i="119"/>
  <c r="J255" i="119"/>
  <c r="E255" i="119"/>
  <c r="F255" i="119"/>
  <c r="C255" i="119"/>
  <c r="I256" i="119"/>
  <c r="D256" i="119"/>
  <c r="J256" i="119"/>
  <c r="E256" i="119"/>
  <c r="F256" i="119"/>
  <c r="C256" i="119"/>
  <c r="I257" i="119"/>
  <c r="D257" i="119"/>
  <c r="J257" i="119"/>
  <c r="E257" i="119"/>
  <c r="F257" i="119"/>
  <c r="C257" i="119"/>
  <c r="I258" i="119"/>
  <c r="D258" i="119"/>
  <c r="J258" i="119"/>
  <c r="E258" i="119"/>
  <c r="F258" i="119"/>
  <c r="C258" i="119"/>
  <c r="I259" i="119"/>
  <c r="D259" i="119"/>
  <c r="J259" i="119"/>
  <c r="E259" i="119"/>
  <c r="F259" i="119"/>
  <c r="C259" i="119"/>
  <c r="I260" i="119"/>
  <c r="D260" i="119"/>
  <c r="J260" i="119"/>
  <c r="E260" i="119"/>
  <c r="F260" i="119"/>
  <c r="C260" i="119"/>
  <c r="I261" i="119"/>
  <c r="D261" i="119"/>
  <c r="J261" i="119"/>
  <c r="E261" i="119"/>
  <c r="F261" i="119"/>
  <c r="C261" i="119"/>
  <c r="I262" i="119"/>
  <c r="D262" i="119"/>
  <c r="J262" i="119"/>
  <c r="E262" i="119"/>
  <c r="F262" i="119"/>
  <c r="C262" i="119"/>
  <c r="I263" i="119"/>
  <c r="D263" i="119"/>
  <c r="J263" i="119"/>
  <c r="E263" i="119"/>
  <c r="F263" i="119"/>
  <c r="C263" i="119"/>
  <c r="I264" i="119"/>
  <c r="D264" i="119"/>
  <c r="J264" i="119"/>
  <c r="E264" i="119"/>
  <c r="F264" i="119"/>
  <c r="C264" i="119"/>
  <c r="I265" i="119"/>
  <c r="D265" i="119"/>
  <c r="J265" i="119"/>
  <c r="E265" i="119"/>
  <c r="F265" i="119"/>
  <c r="C265" i="119"/>
  <c r="I266" i="119"/>
  <c r="D266" i="119"/>
  <c r="J266" i="119"/>
  <c r="E266" i="119"/>
  <c r="F266" i="119"/>
  <c r="C266" i="119"/>
  <c r="I267" i="119"/>
  <c r="D267" i="119"/>
  <c r="J267" i="119"/>
  <c r="E267" i="119"/>
  <c r="F267" i="119"/>
  <c r="C267" i="119"/>
  <c r="I268" i="119"/>
  <c r="D268" i="119"/>
  <c r="J268" i="119"/>
  <c r="E268" i="119"/>
  <c r="F268" i="119"/>
  <c r="C268" i="119"/>
  <c r="I269" i="119"/>
  <c r="D269" i="119"/>
  <c r="J269" i="119"/>
  <c r="E269" i="119"/>
  <c r="F269" i="119"/>
  <c r="C269" i="119"/>
  <c r="I270" i="119"/>
  <c r="D270" i="119"/>
  <c r="J270" i="119"/>
  <c r="E270" i="119"/>
  <c r="F270" i="119"/>
  <c r="C270" i="119"/>
  <c r="I271" i="119"/>
  <c r="D271" i="119"/>
  <c r="J271" i="119"/>
  <c r="E271" i="119"/>
  <c r="F271" i="119"/>
  <c r="C271" i="119"/>
  <c r="I272" i="119"/>
  <c r="D272" i="119"/>
  <c r="J272" i="119"/>
  <c r="E272" i="119"/>
  <c r="F272" i="119"/>
  <c r="C272" i="119"/>
  <c r="I273" i="119"/>
  <c r="D273" i="119"/>
  <c r="J273" i="119"/>
  <c r="E273" i="119"/>
  <c r="F273" i="119"/>
  <c r="C273" i="119"/>
  <c r="I274" i="119"/>
  <c r="D274" i="119"/>
  <c r="J274" i="119"/>
  <c r="E274" i="119"/>
  <c r="F274" i="119"/>
  <c r="C274" i="119"/>
  <c r="F5" i="118"/>
  <c r="F6" i="118"/>
  <c r="A36" i="118"/>
  <c r="R5" i="118"/>
  <c r="O274" i="119"/>
  <c r="A2" i="118"/>
  <c r="G17" i="118"/>
  <c r="Q3" i="118"/>
  <c r="Q4" i="118"/>
  <c r="Q5" i="118"/>
  <c r="Q6" i="118"/>
  <c r="Q7" i="118"/>
  <c r="Q8" i="118"/>
  <c r="Q9" i="118"/>
  <c r="Q10" i="118"/>
  <c r="Q11" i="118"/>
  <c r="Q12" i="118"/>
  <c r="Q13" i="118"/>
  <c r="Q14" i="118"/>
  <c r="Q15" i="118"/>
  <c r="Q16" i="118"/>
  <c r="Q17" i="118"/>
  <c r="Q18" i="118"/>
  <c r="Q19" i="118"/>
  <c r="Q20" i="118"/>
  <c r="E17" i="118"/>
  <c r="H17" i="118"/>
  <c r="O2" i="119"/>
  <c r="B10" i="118"/>
  <c r="E6" i="118"/>
  <c r="E18" i="118"/>
  <c r="B18" i="118"/>
  <c r="G18" i="118"/>
  <c r="H18" i="118"/>
  <c r="O3" i="119"/>
  <c r="O4" i="119"/>
  <c r="O5" i="119"/>
  <c r="O6" i="119"/>
  <c r="O7" i="119"/>
  <c r="O8" i="119"/>
  <c r="O9" i="119"/>
  <c r="O10" i="119"/>
  <c r="O11" i="119"/>
  <c r="O12" i="119"/>
  <c r="O13" i="119"/>
  <c r="O14" i="119"/>
  <c r="O15" i="119"/>
  <c r="O16" i="119"/>
  <c r="O17" i="119"/>
  <c r="O18" i="119"/>
  <c r="O19" i="119"/>
  <c r="O20" i="119"/>
  <c r="O21" i="119"/>
  <c r="O22" i="119"/>
  <c r="O23" i="119"/>
  <c r="O24" i="119"/>
  <c r="O25" i="119"/>
  <c r="O26" i="119"/>
  <c r="O27" i="119"/>
  <c r="O28" i="119"/>
  <c r="O29" i="119"/>
  <c r="O30" i="119"/>
  <c r="O31" i="119"/>
  <c r="O32" i="119"/>
  <c r="O33" i="119"/>
  <c r="O34" i="119"/>
  <c r="O35" i="119"/>
  <c r="O36" i="119"/>
  <c r="O37" i="119"/>
  <c r="O38" i="119"/>
  <c r="O39" i="119"/>
  <c r="O40" i="119"/>
  <c r="O41" i="119"/>
  <c r="G24" i="118"/>
  <c r="E24" i="118"/>
  <c r="H24" i="118"/>
  <c r="O42" i="119"/>
  <c r="E5" i="118"/>
  <c r="E25" i="118"/>
  <c r="B25" i="118"/>
  <c r="G25" i="118"/>
  <c r="H25" i="118"/>
  <c r="O43" i="119"/>
  <c r="E26" i="118"/>
  <c r="B26" i="118"/>
  <c r="G26" i="118"/>
  <c r="H26" i="118"/>
  <c r="O44" i="119"/>
  <c r="O45" i="119"/>
  <c r="O46" i="119"/>
  <c r="O47" i="119"/>
  <c r="O48" i="119"/>
  <c r="O49" i="119"/>
  <c r="O50" i="119"/>
  <c r="G19" i="118"/>
  <c r="E19" i="118"/>
  <c r="H19" i="118"/>
  <c r="O51" i="119"/>
  <c r="E20" i="118"/>
  <c r="B20" i="118"/>
  <c r="G20" i="118"/>
  <c r="H20" i="118"/>
  <c r="O52" i="119"/>
  <c r="E21" i="118"/>
  <c r="B21" i="118"/>
  <c r="G21" i="118"/>
  <c r="H21" i="118"/>
  <c r="O53" i="119"/>
  <c r="O54" i="119"/>
  <c r="O55" i="119"/>
  <c r="O56" i="119"/>
  <c r="O57" i="119"/>
  <c r="O58" i="119"/>
  <c r="O59" i="119"/>
  <c r="O60" i="119"/>
  <c r="O61" i="119"/>
  <c r="O62" i="119"/>
  <c r="O63" i="119"/>
  <c r="O64" i="119"/>
  <c r="O65" i="119"/>
  <c r="O66" i="119"/>
  <c r="O67" i="119"/>
  <c r="O68" i="119"/>
  <c r="O69" i="119"/>
  <c r="O70" i="119"/>
  <c r="O71" i="119"/>
  <c r="O72" i="119"/>
  <c r="O73" i="119"/>
  <c r="O74" i="119"/>
  <c r="O75" i="119"/>
  <c r="O76" i="119"/>
  <c r="O77" i="119"/>
  <c r="O78" i="119"/>
  <c r="O79" i="119"/>
  <c r="O80" i="119"/>
  <c r="O81" i="119"/>
  <c r="O82" i="119"/>
  <c r="O83" i="119"/>
  <c r="O84" i="119"/>
  <c r="O85" i="119"/>
  <c r="O86" i="119"/>
  <c r="O87" i="119"/>
  <c r="O88" i="119"/>
  <c r="O89" i="119"/>
  <c r="O90" i="119"/>
  <c r="O91" i="119"/>
  <c r="O92" i="119"/>
  <c r="O93" i="119"/>
  <c r="O94" i="119"/>
  <c r="O95" i="119"/>
  <c r="O96" i="119"/>
  <c r="O97" i="119"/>
  <c r="O98" i="119"/>
  <c r="O99" i="119"/>
  <c r="O100" i="119"/>
  <c r="O101" i="119"/>
  <c r="O102" i="119"/>
  <c r="O103" i="119"/>
  <c r="O104" i="119"/>
  <c r="O105" i="119"/>
  <c r="O106" i="119"/>
  <c r="O107" i="119"/>
  <c r="O108" i="119"/>
  <c r="O109" i="119"/>
  <c r="O110" i="119"/>
  <c r="O111" i="119"/>
  <c r="O112" i="119"/>
  <c r="O113" i="119"/>
  <c r="O114" i="119"/>
  <c r="O115" i="119"/>
  <c r="O116" i="119"/>
  <c r="O117" i="119"/>
  <c r="O118" i="119"/>
  <c r="O119" i="119"/>
  <c r="O120" i="119"/>
  <c r="O121" i="119"/>
  <c r="O122" i="119"/>
  <c r="O123" i="119"/>
  <c r="O124" i="119"/>
  <c r="O125" i="119"/>
  <c r="O126" i="119"/>
  <c r="O127" i="119"/>
  <c r="O128" i="119"/>
  <c r="O129" i="119"/>
  <c r="O130" i="119"/>
  <c r="O131" i="119"/>
  <c r="O132" i="119"/>
  <c r="O133" i="119"/>
  <c r="O134" i="119"/>
  <c r="O135" i="119"/>
  <c r="O136" i="119"/>
  <c r="O137" i="119"/>
  <c r="E27" i="118"/>
  <c r="B5" i="118"/>
  <c r="B27" i="118"/>
  <c r="G27" i="118"/>
  <c r="H27" i="118"/>
  <c r="O138" i="119"/>
  <c r="E28" i="118"/>
  <c r="B28" i="118"/>
  <c r="G28" i="118"/>
  <c r="H28" i="118"/>
  <c r="O139" i="119"/>
  <c r="O140" i="119"/>
  <c r="O141" i="119"/>
  <c r="O142" i="119"/>
  <c r="O143" i="119"/>
  <c r="O144" i="119"/>
  <c r="O145" i="119"/>
  <c r="O146" i="119"/>
  <c r="O147" i="119"/>
  <c r="O148" i="119"/>
  <c r="O149" i="119"/>
  <c r="O150" i="119"/>
  <c r="O151" i="119"/>
  <c r="O152" i="119"/>
  <c r="O153" i="119"/>
  <c r="O154" i="119"/>
  <c r="O155" i="119"/>
  <c r="O156" i="119"/>
  <c r="O157" i="119"/>
  <c r="O158" i="119"/>
  <c r="O159" i="119"/>
  <c r="O160" i="119"/>
  <c r="O161" i="119"/>
  <c r="O162" i="119"/>
  <c r="O163" i="119"/>
  <c r="O164" i="119"/>
  <c r="O165" i="119"/>
  <c r="O166" i="119"/>
  <c r="O167" i="119"/>
  <c r="O168" i="119"/>
  <c r="O169" i="119"/>
  <c r="O170" i="119"/>
  <c r="O171" i="119"/>
  <c r="O172" i="119"/>
  <c r="O173" i="119"/>
  <c r="O174" i="119"/>
  <c r="O175" i="119"/>
  <c r="O176" i="119"/>
  <c r="O177" i="119"/>
  <c r="O178" i="119"/>
  <c r="O179" i="119"/>
  <c r="O180" i="119"/>
  <c r="O181" i="119"/>
  <c r="O182" i="119"/>
  <c r="O183" i="119"/>
  <c r="O184" i="119"/>
  <c r="O185" i="119"/>
  <c r="O186" i="119"/>
  <c r="O187" i="119"/>
  <c r="O188" i="119"/>
  <c r="O189" i="119"/>
  <c r="O190" i="119"/>
  <c r="O191" i="119"/>
  <c r="O192" i="119"/>
  <c r="O193" i="119"/>
  <c r="O194" i="119"/>
  <c r="O195" i="119"/>
  <c r="O196" i="119"/>
  <c r="O197" i="119"/>
  <c r="O198" i="119"/>
  <c r="O199" i="119"/>
  <c r="O200" i="119"/>
  <c r="O201" i="119"/>
  <c r="O202" i="119"/>
  <c r="O203" i="119"/>
  <c r="O204" i="119"/>
  <c r="O205" i="119"/>
  <c r="O206" i="119"/>
  <c r="O207" i="119"/>
  <c r="O208" i="119"/>
  <c r="O209" i="119"/>
  <c r="O210" i="119"/>
  <c r="O211" i="119"/>
  <c r="O212" i="119"/>
  <c r="O213" i="119"/>
  <c r="O214" i="119"/>
  <c r="O215" i="119"/>
  <c r="O216" i="119"/>
  <c r="O217" i="119"/>
  <c r="O218" i="119"/>
  <c r="O219" i="119"/>
  <c r="O220" i="119"/>
  <c r="O221" i="119"/>
  <c r="O222" i="119"/>
  <c r="O223" i="119"/>
  <c r="O224" i="119"/>
  <c r="O225" i="119"/>
  <c r="O226" i="119"/>
  <c r="O227" i="119"/>
  <c r="O228" i="119"/>
  <c r="O229" i="119"/>
  <c r="O230" i="119"/>
  <c r="O231" i="119"/>
  <c r="O232" i="119"/>
  <c r="O233" i="119"/>
  <c r="O234" i="119"/>
  <c r="O235" i="119"/>
  <c r="O236" i="119"/>
  <c r="O237" i="119"/>
  <c r="O238" i="119"/>
  <c r="O239" i="119"/>
  <c r="O240" i="119"/>
  <c r="O241" i="119"/>
  <c r="O242" i="119"/>
  <c r="O243" i="119"/>
  <c r="O244" i="119"/>
  <c r="O245" i="119"/>
  <c r="O246" i="119"/>
  <c r="O247" i="119"/>
  <c r="O248" i="119"/>
  <c r="O249" i="119"/>
  <c r="O250" i="119"/>
  <c r="O251" i="119"/>
  <c r="O252" i="119"/>
  <c r="O253" i="119"/>
  <c r="O254" i="119"/>
  <c r="O255" i="119"/>
  <c r="B29" i="118"/>
  <c r="V6" i="118"/>
  <c r="B23" i="118"/>
  <c r="B22" i="118"/>
  <c r="G22" i="118"/>
  <c r="E22" i="118"/>
  <c r="H22" i="118"/>
  <c r="O256" i="119"/>
  <c r="G23" i="118"/>
  <c r="E23" i="118"/>
  <c r="H23" i="118"/>
  <c r="O257" i="119"/>
  <c r="O258" i="119"/>
  <c r="O259" i="119"/>
  <c r="G29" i="118"/>
  <c r="E29" i="118"/>
  <c r="H29" i="118"/>
  <c r="O260" i="119"/>
  <c r="O261" i="119"/>
  <c r="O262" i="119"/>
  <c r="O263" i="119"/>
  <c r="O264" i="119"/>
  <c r="O265" i="119"/>
  <c r="O266" i="119"/>
  <c r="O267" i="119"/>
  <c r="O268" i="119"/>
  <c r="O269" i="119"/>
  <c r="O270" i="119"/>
  <c r="O271" i="119"/>
  <c r="R3" i="118"/>
  <c r="O272" i="119"/>
  <c r="R4" i="118"/>
  <c r="O273" i="119"/>
  <c r="P274" i="119"/>
  <c r="N274" i="119"/>
  <c r="M274" i="119"/>
  <c r="L274" i="119"/>
  <c r="K274" i="119"/>
  <c r="H274" i="119"/>
  <c r="A274" i="119"/>
  <c r="P273" i="119"/>
  <c r="N273" i="119"/>
  <c r="M273" i="119"/>
  <c r="L273" i="119"/>
  <c r="K273" i="119"/>
  <c r="H273" i="119"/>
  <c r="A273" i="119"/>
  <c r="P272" i="119"/>
  <c r="N272" i="119"/>
  <c r="M272" i="119"/>
  <c r="L272" i="119"/>
  <c r="K272" i="119"/>
  <c r="H272" i="119"/>
  <c r="A272" i="119"/>
  <c r="P271" i="119"/>
  <c r="N271" i="119"/>
  <c r="M271" i="119"/>
  <c r="L271" i="119"/>
  <c r="K271" i="119"/>
  <c r="H271" i="119"/>
  <c r="A271" i="119"/>
  <c r="P270" i="119"/>
  <c r="N270" i="119"/>
  <c r="M270" i="119"/>
  <c r="L270" i="119"/>
  <c r="K270" i="119"/>
  <c r="H270" i="119"/>
  <c r="A270" i="119"/>
  <c r="P269" i="119"/>
  <c r="N269" i="119"/>
  <c r="M269" i="119"/>
  <c r="L269" i="119"/>
  <c r="K269" i="119"/>
  <c r="H269" i="119"/>
  <c r="A269" i="119"/>
  <c r="P268" i="119"/>
  <c r="N268" i="119"/>
  <c r="M268" i="119"/>
  <c r="L268" i="119"/>
  <c r="K268" i="119"/>
  <c r="H268" i="119"/>
  <c r="A268" i="119"/>
  <c r="P267" i="119"/>
  <c r="N267" i="119"/>
  <c r="M267" i="119"/>
  <c r="L267" i="119"/>
  <c r="K267" i="119"/>
  <c r="H267" i="119"/>
  <c r="A267" i="119"/>
  <c r="P266" i="119"/>
  <c r="N266" i="119"/>
  <c r="M266" i="119"/>
  <c r="L266" i="119"/>
  <c r="K266" i="119"/>
  <c r="H266" i="119"/>
  <c r="A266" i="119"/>
  <c r="P265" i="119"/>
  <c r="N265" i="119"/>
  <c r="M265" i="119"/>
  <c r="L265" i="119"/>
  <c r="K265" i="119"/>
  <c r="H265" i="119"/>
  <c r="A265" i="119"/>
  <c r="P264" i="119"/>
  <c r="N264" i="119"/>
  <c r="M264" i="119"/>
  <c r="L264" i="119"/>
  <c r="K264" i="119"/>
  <c r="H264" i="119"/>
  <c r="A264" i="119"/>
  <c r="P263" i="119"/>
  <c r="N263" i="119"/>
  <c r="M263" i="119"/>
  <c r="L263" i="119"/>
  <c r="K263" i="119"/>
  <c r="H263" i="119"/>
  <c r="A263" i="119"/>
  <c r="P262" i="119"/>
  <c r="N262" i="119"/>
  <c r="M262" i="119"/>
  <c r="L262" i="119"/>
  <c r="K262" i="119"/>
  <c r="H262" i="119"/>
  <c r="A262" i="119"/>
  <c r="P261" i="119"/>
  <c r="N261" i="119"/>
  <c r="M261" i="119"/>
  <c r="L261" i="119"/>
  <c r="K261" i="119"/>
  <c r="H261" i="119"/>
  <c r="A261" i="119"/>
  <c r="P260" i="119"/>
  <c r="N260" i="119"/>
  <c r="M260" i="119"/>
  <c r="L260" i="119"/>
  <c r="K260" i="119"/>
  <c r="H260" i="119"/>
  <c r="A260" i="119"/>
  <c r="P259" i="119"/>
  <c r="N259" i="119"/>
  <c r="M259" i="119"/>
  <c r="L259" i="119"/>
  <c r="K259" i="119"/>
  <c r="H259" i="119"/>
  <c r="A259" i="119"/>
  <c r="P258" i="119"/>
  <c r="N258" i="119"/>
  <c r="M258" i="119"/>
  <c r="L258" i="119"/>
  <c r="K258" i="119"/>
  <c r="H258" i="119"/>
  <c r="A258" i="119"/>
  <c r="P257" i="119"/>
  <c r="N257" i="119"/>
  <c r="M257" i="119"/>
  <c r="L257" i="119"/>
  <c r="K257" i="119"/>
  <c r="H257" i="119"/>
  <c r="A257" i="119"/>
  <c r="P256" i="119"/>
  <c r="N256" i="119"/>
  <c r="M256" i="119"/>
  <c r="L256" i="119"/>
  <c r="K256" i="119"/>
  <c r="H256" i="119"/>
  <c r="A256" i="119"/>
  <c r="P255" i="119"/>
  <c r="N255" i="119"/>
  <c r="M255" i="119"/>
  <c r="L255" i="119"/>
  <c r="K255" i="119"/>
  <c r="H255" i="119"/>
  <c r="A255" i="119"/>
  <c r="P254" i="119"/>
  <c r="N254" i="119"/>
  <c r="M254" i="119"/>
  <c r="L254" i="119"/>
  <c r="K254" i="119"/>
  <c r="H254" i="119"/>
  <c r="A254" i="119"/>
  <c r="P253" i="119"/>
  <c r="N253" i="119"/>
  <c r="M253" i="119"/>
  <c r="L253" i="119"/>
  <c r="K253" i="119"/>
  <c r="H253" i="119"/>
  <c r="A253" i="119"/>
  <c r="P252" i="119"/>
  <c r="N252" i="119"/>
  <c r="M252" i="119"/>
  <c r="L252" i="119"/>
  <c r="K252" i="119"/>
  <c r="H252" i="119"/>
  <c r="A252" i="119"/>
  <c r="P251" i="119"/>
  <c r="N251" i="119"/>
  <c r="M251" i="119"/>
  <c r="L251" i="119"/>
  <c r="K251" i="119"/>
  <c r="H251" i="119"/>
  <c r="A251" i="119"/>
  <c r="P250" i="119"/>
  <c r="N250" i="119"/>
  <c r="M250" i="119"/>
  <c r="L250" i="119"/>
  <c r="K250" i="119"/>
  <c r="H250" i="119"/>
  <c r="A250" i="119"/>
  <c r="P249" i="119"/>
  <c r="N249" i="119"/>
  <c r="M249" i="119"/>
  <c r="L249" i="119"/>
  <c r="K249" i="119"/>
  <c r="H249" i="119"/>
  <c r="A249" i="119"/>
  <c r="P248" i="119"/>
  <c r="N248" i="119"/>
  <c r="M248" i="119"/>
  <c r="L248" i="119"/>
  <c r="K248" i="119"/>
  <c r="H248" i="119"/>
  <c r="A248" i="119"/>
  <c r="P247" i="119"/>
  <c r="N247" i="119"/>
  <c r="M247" i="119"/>
  <c r="L247" i="119"/>
  <c r="K247" i="119"/>
  <c r="H247" i="119"/>
  <c r="A247" i="119"/>
  <c r="P246" i="119"/>
  <c r="N246" i="119"/>
  <c r="M246" i="119"/>
  <c r="L246" i="119"/>
  <c r="K246" i="119"/>
  <c r="H246" i="119"/>
  <c r="A246" i="119"/>
  <c r="P245" i="119"/>
  <c r="N245" i="119"/>
  <c r="M245" i="119"/>
  <c r="L245" i="119"/>
  <c r="K245" i="119"/>
  <c r="H245" i="119"/>
  <c r="A245" i="119"/>
  <c r="P244" i="119"/>
  <c r="N244" i="119"/>
  <c r="M244" i="119"/>
  <c r="L244" i="119"/>
  <c r="K244" i="119"/>
  <c r="H244" i="119"/>
  <c r="A244" i="119"/>
  <c r="P243" i="119"/>
  <c r="N243" i="119"/>
  <c r="M243" i="119"/>
  <c r="L243" i="119"/>
  <c r="K243" i="119"/>
  <c r="H243" i="119"/>
  <c r="A243" i="119"/>
  <c r="P242" i="119"/>
  <c r="N242" i="119"/>
  <c r="M242" i="119"/>
  <c r="L242" i="119"/>
  <c r="K242" i="119"/>
  <c r="H242" i="119"/>
  <c r="A242" i="119"/>
  <c r="P241" i="119"/>
  <c r="N241" i="119"/>
  <c r="M241" i="119"/>
  <c r="L241" i="119"/>
  <c r="K241" i="119"/>
  <c r="H241" i="119"/>
  <c r="A241" i="119"/>
  <c r="P240" i="119"/>
  <c r="N240" i="119"/>
  <c r="M240" i="119"/>
  <c r="L240" i="119"/>
  <c r="K240" i="119"/>
  <c r="H240" i="119"/>
  <c r="A240" i="119"/>
  <c r="P239" i="119"/>
  <c r="N239" i="119"/>
  <c r="M239" i="119"/>
  <c r="L239" i="119"/>
  <c r="K239" i="119"/>
  <c r="H239" i="119"/>
  <c r="A239" i="119"/>
  <c r="P238" i="119"/>
  <c r="N238" i="119"/>
  <c r="M238" i="119"/>
  <c r="L238" i="119"/>
  <c r="K238" i="119"/>
  <c r="H238" i="119"/>
  <c r="A238" i="119"/>
  <c r="P237" i="119"/>
  <c r="N237" i="119"/>
  <c r="M237" i="119"/>
  <c r="L237" i="119"/>
  <c r="K237" i="119"/>
  <c r="H237" i="119"/>
  <c r="A237" i="119"/>
  <c r="P236" i="119"/>
  <c r="N236" i="119"/>
  <c r="M236" i="119"/>
  <c r="L236" i="119"/>
  <c r="K236" i="119"/>
  <c r="H236" i="119"/>
  <c r="A236" i="119"/>
  <c r="P235" i="119"/>
  <c r="N235" i="119"/>
  <c r="M235" i="119"/>
  <c r="L235" i="119"/>
  <c r="K235" i="119"/>
  <c r="H235" i="119"/>
  <c r="A235" i="119"/>
  <c r="P234" i="119"/>
  <c r="N234" i="119"/>
  <c r="M234" i="119"/>
  <c r="L234" i="119"/>
  <c r="K234" i="119"/>
  <c r="H234" i="119"/>
  <c r="A234" i="119"/>
  <c r="P233" i="119"/>
  <c r="N233" i="119"/>
  <c r="M233" i="119"/>
  <c r="L233" i="119"/>
  <c r="K233" i="119"/>
  <c r="H233" i="119"/>
  <c r="A233" i="119"/>
  <c r="P232" i="119"/>
  <c r="N232" i="119"/>
  <c r="M232" i="119"/>
  <c r="L232" i="119"/>
  <c r="K232" i="119"/>
  <c r="H232" i="119"/>
  <c r="A232" i="119"/>
  <c r="P231" i="119"/>
  <c r="N231" i="119"/>
  <c r="M231" i="119"/>
  <c r="L231" i="119"/>
  <c r="K231" i="119"/>
  <c r="H231" i="119"/>
  <c r="A231" i="119"/>
  <c r="P230" i="119"/>
  <c r="N230" i="119"/>
  <c r="M230" i="119"/>
  <c r="L230" i="119"/>
  <c r="K230" i="119"/>
  <c r="H230" i="119"/>
  <c r="A230" i="119"/>
  <c r="P229" i="119"/>
  <c r="N229" i="119"/>
  <c r="M229" i="119"/>
  <c r="L229" i="119"/>
  <c r="K229" i="119"/>
  <c r="H229" i="119"/>
  <c r="A229" i="119"/>
  <c r="P228" i="119"/>
  <c r="N228" i="119"/>
  <c r="M228" i="119"/>
  <c r="L228" i="119"/>
  <c r="K228" i="119"/>
  <c r="H228" i="119"/>
  <c r="A228" i="119"/>
  <c r="P227" i="119"/>
  <c r="N227" i="119"/>
  <c r="M227" i="119"/>
  <c r="L227" i="119"/>
  <c r="K227" i="119"/>
  <c r="H227" i="119"/>
  <c r="A227" i="119"/>
  <c r="P226" i="119"/>
  <c r="N226" i="119"/>
  <c r="M226" i="119"/>
  <c r="L226" i="119"/>
  <c r="K226" i="119"/>
  <c r="H226" i="119"/>
  <c r="A226" i="119"/>
  <c r="P225" i="119"/>
  <c r="N225" i="119"/>
  <c r="M225" i="119"/>
  <c r="L225" i="119"/>
  <c r="K225" i="119"/>
  <c r="H225" i="119"/>
  <c r="A225" i="119"/>
  <c r="P224" i="119"/>
  <c r="N224" i="119"/>
  <c r="M224" i="119"/>
  <c r="L224" i="119"/>
  <c r="K224" i="119"/>
  <c r="H224" i="119"/>
  <c r="A224" i="119"/>
  <c r="P223" i="119"/>
  <c r="N223" i="119"/>
  <c r="M223" i="119"/>
  <c r="L223" i="119"/>
  <c r="K223" i="119"/>
  <c r="H223" i="119"/>
  <c r="A223" i="119"/>
  <c r="P222" i="119"/>
  <c r="N222" i="119"/>
  <c r="M222" i="119"/>
  <c r="L222" i="119"/>
  <c r="K222" i="119"/>
  <c r="H222" i="119"/>
  <c r="A222" i="119"/>
  <c r="P221" i="119"/>
  <c r="N221" i="119"/>
  <c r="M221" i="119"/>
  <c r="L221" i="119"/>
  <c r="K221" i="119"/>
  <c r="H221" i="119"/>
  <c r="A221" i="119"/>
  <c r="P220" i="119"/>
  <c r="N220" i="119"/>
  <c r="M220" i="119"/>
  <c r="L220" i="119"/>
  <c r="K220" i="119"/>
  <c r="H220" i="119"/>
  <c r="A220" i="119"/>
  <c r="P219" i="119"/>
  <c r="N219" i="119"/>
  <c r="M219" i="119"/>
  <c r="L219" i="119"/>
  <c r="K219" i="119"/>
  <c r="H219" i="119"/>
  <c r="A219" i="119"/>
  <c r="P218" i="119"/>
  <c r="N218" i="119"/>
  <c r="M218" i="119"/>
  <c r="L218" i="119"/>
  <c r="K218" i="119"/>
  <c r="H218" i="119"/>
  <c r="A218" i="119"/>
  <c r="P217" i="119"/>
  <c r="N217" i="119"/>
  <c r="M217" i="119"/>
  <c r="L217" i="119"/>
  <c r="K217" i="119"/>
  <c r="H217" i="119"/>
  <c r="A217" i="119"/>
  <c r="P216" i="119"/>
  <c r="N216" i="119"/>
  <c r="M216" i="119"/>
  <c r="L216" i="119"/>
  <c r="K216" i="119"/>
  <c r="H216" i="119"/>
  <c r="A216" i="119"/>
  <c r="P215" i="119"/>
  <c r="N215" i="119"/>
  <c r="M215" i="119"/>
  <c r="L215" i="119"/>
  <c r="K215" i="119"/>
  <c r="H215" i="119"/>
  <c r="A215" i="119"/>
  <c r="P214" i="119"/>
  <c r="N214" i="119"/>
  <c r="M214" i="119"/>
  <c r="L214" i="119"/>
  <c r="K214" i="119"/>
  <c r="H214" i="119"/>
  <c r="A214" i="119"/>
  <c r="P213" i="119"/>
  <c r="N213" i="119"/>
  <c r="M213" i="119"/>
  <c r="L213" i="119"/>
  <c r="K213" i="119"/>
  <c r="H213" i="119"/>
  <c r="A213" i="119"/>
  <c r="P212" i="119"/>
  <c r="N212" i="119"/>
  <c r="M212" i="119"/>
  <c r="L212" i="119"/>
  <c r="K212" i="119"/>
  <c r="H212" i="119"/>
  <c r="A212" i="119"/>
  <c r="P211" i="119"/>
  <c r="N211" i="119"/>
  <c r="M211" i="119"/>
  <c r="L211" i="119"/>
  <c r="K211" i="119"/>
  <c r="H211" i="119"/>
  <c r="A211" i="119"/>
  <c r="P210" i="119"/>
  <c r="N210" i="119"/>
  <c r="M210" i="119"/>
  <c r="L210" i="119"/>
  <c r="K210" i="119"/>
  <c r="H210" i="119"/>
  <c r="A210" i="119"/>
  <c r="P209" i="119"/>
  <c r="N209" i="119"/>
  <c r="M209" i="119"/>
  <c r="L209" i="119"/>
  <c r="K209" i="119"/>
  <c r="H209" i="119"/>
  <c r="A209" i="119"/>
  <c r="P208" i="119"/>
  <c r="N208" i="119"/>
  <c r="M208" i="119"/>
  <c r="L208" i="119"/>
  <c r="K208" i="119"/>
  <c r="H208" i="119"/>
  <c r="A208" i="119"/>
  <c r="P207" i="119"/>
  <c r="N207" i="119"/>
  <c r="M207" i="119"/>
  <c r="L207" i="119"/>
  <c r="K207" i="119"/>
  <c r="H207" i="119"/>
  <c r="A207" i="119"/>
  <c r="P206" i="119"/>
  <c r="N206" i="119"/>
  <c r="M206" i="119"/>
  <c r="L206" i="119"/>
  <c r="K206" i="119"/>
  <c r="H206" i="119"/>
  <c r="A206" i="119"/>
  <c r="P205" i="119"/>
  <c r="N205" i="119"/>
  <c r="M205" i="119"/>
  <c r="L205" i="119"/>
  <c r="K205" i="119"/>
  <c r="H205" i="119"/>
  <c r="A205" i="119"/>
  <c r="P204" i="119"/>
  <c r="N204" i="119"/>
  <c r="M204" i="119"/>
  <c r="L204" i="119"/>
  <c r="K204" i="119"/>
  <c r="H204" i="119"/>
  <c r="A204" i="119"/>
  <c r="P203" i="119"/>
  <c r="N203" i="119"/>
  <c r="M203" i="119"/>
  <c r="L203" i="119"/>
  <c r="K203" i="119"/>
  <c r="H203" i="119"/>
  <c r="A203" i="119"/>
  <c r="P202" i="119"/>
  <c r="N202" i="119"/>
  <c r="M202" i="119"/>
  <c r="L202" i="119"/>
  <c r="K202" i="119"/>
  <c r="H202" i="119"/>
  <c r="A202" i="119"/>
  <c r="P201" i="119"/>
  <c r="N201" i="119"/>
  <c r="M201" i="119"/>
  <c r="L201" i="119"/>
  <c r="K201" i="119"/>
  <c r="H201" i="119"/>
  <c r="A201" i="119"/>
  <c r="P200" i="119"/>
  <c r="N200" i="119"/>
  <c r="M200" i="119"/>
  <c r="L200" i="119"/>
  <c r="K200" i="119"/>
  <c r="H200" i="119"/>
  <c r="A200" i="119"/>
  <c r="P199" i="119"/>
  <c r="N199" i="119"/>
  <c r="M199" i="119"/>
  <c r="L199" i="119"/>
  <c r="K199" i="119"/>
  <c r="H199" i="119"/>
  <c r="A199" i="119"/>
  <c r="P198" i="119"/>
  <c r="N198" i="119"/>
  <c r="M198" i="119"/>
  <c r="L198" i="119"/>
  <c r="K198" i="119"/>
  <c r="H198" i="119"/>
  <c r="A198" i="119"/>
  <c r="P197" i="119"/>
  <c r="N197" i="119"/>
  <c r="M197" i="119"/>
  <c r="L197" i="119"/>
  <c r="K197" i="119"/>
  <c r="H197" i="119"/>
  <c r="A197" i="119"/>
  <c r="P196" i="119"/>
  <c r="N196" i="119"/>
  <c r="M196" i="119"/>
  <c r="L196" i="119"/>
  <c r="K196" i="119"/>
  <c r="H196" i="119"/>
  <c r="A196" i="119"/>
  <c r="P195" i="119"/>
  <c r="N195" i="119"/>
  <c r="M195" i="119"/>
  <c r="L195" i="119"/>
  <c r="K195" i="119"/>
  <c r="H195" i="119"/>
  <c r="A195" i="119"/>
  <c r="P194" i="119"/>
  <c r="N194" i="119"/>
  <c r="M194" i="119"/>
  <c r="L194" i="119"/>
  <c r="K194" i="119"/>
  <c r="H194" i="119"/>
  <c r="A194" i="119"/>
  <c r="P193" i="119"/>
  <c r="N193" i="119"/>
  <c r="M193" i="119"/>
  <c r="L193" i="119"/>
  <c r="K193" i="119"/>
  <c r="H193" i="119"/>
  <c r="A193" i="119"/>
  <c r="P192" i="119"/>
  <c r="N192" i="119"/>
  <c r="M192" i="119"/>
  <c r="L192" i="119"/>
  <c r="K192" i="119"/>
  <c r="H192" i="119"/>
  <c r="A192" i="119"/>
  <c r="P191" i="119"/>
  <c r="N191" i="119"/>
  <c r="M191" i="119"/>
  <c r="L191" i="119"/>
  <c r="K191" i="119"/>
  <c r="H191" i="119"/>
  <c r="A191" i="119"/>
  <c r="P190" i="119"/>
  <c r="N190" i="119"/>
  <c r="M190" i="119"/>
  <c r="L190" i="119"/>
  <c r="K190" i="119"/>
  <c r="H190" i="119"/>
  <c r="A190" i="119"/>
  <c r="P189" i="119"/>
  <c r="N189" i="119"/>
  <c r="M189" i="119"/>
  <c r="L189" i="119"/>
  <c r="K189" i="119"/>
  <c r="H189" i="119"/>
  <c r="A189" i="119"/>
  <c r="P188" i="119"/>
  <c r="N188" i="119"/>
  <c r="M188" i="119"/>
  <c r="L188" i="119"/>
  <c r="K188" i="119"/>
  <c r="H188" i="119"/>
  <c r="A188" i="119"/>
  <c r="P187" i="119"/>
  <c r="N187" i="119"/>
  <c r="M187" i="119"/>
  <c r="L187" i="119"/>
  <c r="K187" i="119"/>
  <c r="H187" i="119"/>
  <c r="A187" i="119"/>
  <c r="P186" i="119"/>
  <c r="N186" i="119"/>
  <c r="M186" i="119"/>
  <c r="L186" i="119"/>
  <c r="K186" i="119"/>
  <c r="H186" i="119"/>
  <c r="A186" i="119"/>
  <c r="P185" i="119"/>
  <c r="N185" i="119"/>
  <c r="M185" i="119"/>
  <c r="L185" i="119"/>
  <c r="K185" i="119"/>
  <c r="H185" i="119"/>
  <c r="A185" i="119"/>
  <c r="P184" i="119"/>
  <c r="N184" i="119"/>
  <c r="M184" i="119"/>
  <c r="L184" i="119"/>
  <c r="K184" i="119"/>
  <c r="H184" i="119"/>
  <c r="A184" i="119"/>
  <c r="P183" i="119"/>
  <c r="N183" i="119"/>
  <c r="M183" i="119"/>
  <c r="L183" i="119"/>
  <c r="K183" i="119"/>
  <c r="H183" i="119"/>
  <c r="A183" i="119"/>
  <c r="P182" i="119"/>
  <c r="N182" i="119"/>
  <c r="M182" i="119"/>
  <c r="L182" i="119"/>
  <c r="K182" i="119"/>
  <c r="H182" i="119"/>
  <c r="A182" i="119"/>
  <c r="P181" i="119"/>
  <c r="N181" i="119"/>
  <c r="M181" i="119"/>
  <c r="L181" i="119"/>
  <c r="K181" i="119"/>
  <c r="H181" i="119"/>
  <c r="A181" i="119"/>
  <c r="P180" i="119"/>
  <c r="N180" i="119"/>
  <c r="M180" i="119"/>
  <c r="L180" i="119"/>
  <c r="K180" i="119"/>
  <c r="H180" i="119"/>
  <c r="A180" i="119"/>
  <c r="P179" i="119"/>
  <c r="N179" i="119"/>
  <c r="M179" i="119"/>
  <c r="L179" i="119"/>
  <c r="K179" i="119"/>
  <c r="H179" i="119"/>
  <c r="A179" i="119"/>
  <c r="P178" i="119"/>
  <c r="N178" i="119"/>
  <c r="M178" i="119"/>
  <c r="L178" i="119"/>
  <c r="K178" i="119"/>
  <c r="H178" i="119"/>
  <c r="A178" i="119"/>
  <c r="P177" i="119"/>
  <c r="N177" i="119"/>
  <c r="M177" i="119"/>
  <c r="L177" i="119"/>
  <c r="K177" i="119"/>
  <c r="H177" i="119"/>
  <c r="A177" i="119"/>
  <c r="P176" i="119"/>
  <c r="N176" i="119"/>
  <c r="M176" i="119"/>
  <c r="L176" i="119"/>
  <c r="K176" i="119"/>
  <c r="H176" i="119"/>
  <c r="A176" i="119"/>
  <c r="P175" i="119"/>
  <c r="N175" i="119"/>
  <c r="M175" i="119"/>
  <c r="L175" i="119"/>
  <c r="K175" i="119"/>
  <c r="H175" i="119"/>
  <c r="A175" i="119"/>
  <c r="P174" i="119"/>
  <c r="N174" i="119"/>
  <c r="M174" i="119"/>
  <c r="L174" i="119"/>
  <c r="K174" i="119"/>
  <c r="H174" i="119"/>
  <c r="A174" i="119"/>
  <c r="P173" i="119"/>
  <c r="N173" i="119"/>
  <c r="M173" i="119"/>
  <c r="L173" i="119"/>
  <c r="K173" i="119"/>
  <c r="H173" i="119"/>
  <c r="A173" i="119"/>
  <c r="P172" i="119"/>
  <c r="N172" i="119"/>
  <c r="M172" i="119"/>
  <c r="L172" i="119"/>
  <c r="K172" i="119"/>
  <c r="H172" i="119"/>
  <c r="A172" i="119"/>
  <c r="P171" i="119"/>
  <c r="N171" i="119"/>
  <c r="M171" i="119"/>
  <c r="L171" i="119"/>
  <c r="K171" i="119"/>
  <c r="H171" i="119"/>
  <c r="A171" i="119"/>
  <c r="P170" i="119"/>
  <c r="N170" i="119"/>
  <c r="M170" i="119"/>
  <c r="L170" i="119"/>
  <c r="K170" i="119"/>
  <c r="H170" i="119"/>
  <c r="A170" i="119"/>
  <c r="P169" i="119"/>
  <c r="N169" i="119"/>
  <c r="M169" i="119"/>
  <c r="L169" i="119"/>
  <c r="K169" i="119"/>
  <c r="H169" i="119"/>
  <c r="A169" i="119"/>
  <c r="P168" i="119"/>
  <c r="N168" i="119"/>
  <c r="M168" i="119"/>
  <c r="L168" i="119"/>
  <c r="K168" i="119"/>
  <c r="H168" i="119"/>
  <c r="A168" i="119"/>
  <c r="P167" i="119"/>
  <c r="N167" i="119"/>
  <c r="M167" i="119"/>
  <c r="L167" i="119"/>
  <c r="K167" i="119"/>
  <c r="H167" i="119"/>
  <c r="A167" i="119"/>
  <c r="P166" i="119"/>
  <c r="N166" i="119"/>
  <c r="M166" i="119"/>
  <c r="L166" i="119"/>
  <c r="K166" i="119"/>
  <c r="H166" i="119"/>
  <c r="A166" i="119"/>
  <c r="P165" i="119"/>
  <c r="N165" i="119"/>
  <c r="M165" i="119"/>
  <c r="L165" i="119"/>
  <c r="K165" i="119"/>
  <c r="H165" i="119"/>
  <c r="A165" i="119"/>
  <c r="P164" i="119"/>
  <c r="N164" i="119"/>
  <c r="M164" i="119"/>
  <c r="L164" i="119"/>
  <c r="K164" i="119"/>
  <c r="H164" i="119"/>
  <c r="A164" i="119"/>
  <c r="P163" i="119"/>
  <c r="N163" i="119"/>
  <c r="M163" i="119"/>
  <c r="L163" i="119"/>
  <c r="K163" i="119"/>
  <c r="H163" i="119"/>
  <c r="A163" i="119"/>
  <c r="P162" i="119"/>
  <c r="N162" i="119"/>
  <c r="M162" i="119"/>
  <c r="L162" i="119"/>
  <c r="K162" i="119"/>
  <c r="H162" i="119"/>
  <c r="A162" i="119"/>
  <c r="P161" i="119"/>
  <c r="N161" i="119"/>
  <c r="M161" i="119"/>
  <c r="L161" i="119"/>
  <c r="K161" i="119"/>
  <c r="H161" i="119"/>
  <c r="A161" i="119"/>
  <c r="P160" i="119"/>
  <c r="N160" i="119"/>
  <c r="M160" i="119"/>
  <c r="L160" i="119"/>
  <c r="K160" i="119"/>
  <c r="H160" i="119"/>
  <c r="A160" i="119"/>
  <c r="P159" i="119"/>
  <c r="N159" i="119"/>
  <c r="M159" i="119"/>
  <c r="L159" i="119"/>
  <c r="K159" i="119"/>
  <c r="H159" i="119"/>
  <c r="A159" i="119"/>
  <c r="P158" i="119"/>
  <c r="N158" i="119"/>
  <c r="M158" i="119"/>
  <c r="L158" i="119"/>
  <c r="K158" i="119"/>
  <c r="H158" i="119"/>
  <c r="A158" i="119"/>
  <c r="P157" i="119"/>
  <c r="N157" i="119"/>
  <c r="M157" i="119"/>
  <c r="L157" i="119"/>
  <c r="K157" i="119"/>
  <c r="H157" i="119"/>
  <c r="A157" i="119"/>
  <c r="P156" i="119"/>
  <c r="N156" i="119"/>
  <c r="M156" i="119"/>
  <c r="L156" i="119"/>
  <c r="K156" i="119"/>
  <c r="H156" i="119"/>
  <c r="A156" i="119"/>
  <c r="P155" i="119"/>
  <c r="N155" i="119"/>
  <c r="M155" i="119"/>
  <c r="L155" i="119"/>
  <c r="K155" i="119"/>
  <c r="H155" i="119"/>
  <c r="A155" i="119"/>
  <c r="P154" i="119"/>
  <c r="N154" i="119"/>
  <c r="M154" i="119"/>
  <c r="L154" i="119"/>
  <c r="K154" i="119"/>
  <c r="H154" i="119"/>
  <c r="A154" i="119"/>
  <c r="P153" i="119"/>
  <c r="N153" i="119"/>
  <c r="M153" i="119"/>
  <c r="L153" i="119"/>
  <c r="K153" i="119"/>
  <c r="H153" i="119"/>
  <c r="A153" i="119"/>
  <c r="P152" i="119"/>
  <c r="N152" i="119"/>
  <c r="M152" i="119"/>
  <c r="L152" i="119"/>
  <c r="K152" i="119"/>
  <c r="H152" i="119"/>
  <c r="A152" i="119"/>
  <c r="P151" i="119"/>
  <c r="N151" i="119"/>
  <c r="M151" i="119"/>
  <c r="L151" i="119"/>
  <c r="K151" i="119"/>
  <c r="H151" i="119"/>
  <c r="A151" i="119"/>
  <c r="P150" i="119"/>
  <c r="N150" i="119"/>
  <c r="M150" i="119"/>
  <c r="L150" i="119"/>
  <c r="K150" i="119"/>
  <c r="H150" i="119"/>
  <c r="A150" i="119"/>
  <c r="P149" i="119"/>
  <c r="N149" i="119"/>
  <c r="M149" i="119"/>
  <c r="L149" i="119"/>
  <c r="K149" i="119"/>
  <c r="H149" i="119"/>
  <c r="A149" i="119"/>
  <c r="P148" i="119"/>
  <c r="N148" i="119"/>
  <c r="M148" i="119"/>
  <c r="L148" i="119"/>
  <c r="K148" i="119"/>
  <c r="H148" i="119"/>
  <c r="A148" i="119"/>
  <c r="P147" i="119"/>
  <c r="N147" i="119"/>
  <c r="M147" i="119"/>
  <c r="L147" i="119"/>
  <c r="K147" i="119"/>
  <c r="H147" i="119"/>
  <c r="A147" i="119"/>
  <c r="P146" i="119"/>
  <c r="N146" i="119"/>
  <c r="M146" i="119"/>
  <c r="L146" i="119"/>
  <c r="K146" i="119"/>
  <c r="H146" i="119"/>
  <c r="A146" i="119"/>
  <c r="P145" i="119"/>
  <c r="N145" i="119"/>
  <c r="M145" i="119"/>
  <c r="L145" i="119"/>
  <c r="K145" i="119"/>
  <c r="H145" i="119"/>
  <c r="A145" i="119"/>
  <c r="P144" i="119"/>
  <c r="N144" i="119"/>
  <c r="M144" i="119"/>
  <c r="L144" i="119"/>
  <c r="K144" i="119"/>
  <c r="H144" i="119"/>
  <c r="A144" i="119"/>
  <c r="P143" i="119"/>
  <c r="N143" i="119"/>
  <c r="M143" i="119"/>
  <c r="L143" i="119"/>
  <c r="K143" i="119"/>
  <c r="H143" i="119"/>
  <c r="A143" i="119"/>
  <c r="P142" i="119"/>
  <c r="N142" i="119"/>
  <c r="M142" i="119"/>
  <c r="L142" i="119"/>
  <c r="K142" i="119"/>
  <c r="H142" i="119"/>
  <c r="A142" i="119"/>
  <c r="P141" i="119"/>
  <c r="N141" i="119"/>
  <c r="M141" i="119"/>
  <c r="L141" i="119"/>
  <c r="K141" i="119"/>
  <c r="H141" i="119"/>
  <c r="A141" i="119"/>
  <c r="P140" i="119"/>
  <c r="N140" i="119"/>
  <c r="M140" i="119"/>
  <c r="L140" i="119"/>
  <c r="K140" i="119"/>
  <c r="H140" i="119"/>
  <c r="A140" i="119"/>
  <c r="P139" i="119"/>
  <c r="N139" i="119"/>
  <c r="M139" i="119"/>
  <c r="L139" i="119"/>
  <c r="K139" i="119"/>
  <c r="H139" i="119"/>
  <c r="A139" i="119"/>
  <c r="P138" i="119"/>
  <c r="N138" i="119"/>
  <c r="M138" i="119"/>
  <c r="L138" i="119"/>
  <c r="K138" i="119"/>
  <c r="H138" i="119"/>
  <c r="A138" i="119"/>
  <c r="P137" i="119"/>
  <c r="N137" i="119"/>
  <c r="M137" i="119"/>
  <c r="L137" i="119"/>
  <c r="K137" i="119"/>
  <c r="H137" i="119"/>
  <c r="A137" i="119"/>
  <c r="P136" i="119"/>
  <c r="N136" i="119"/>
  <c r="M136" i="119"/>
  <c r="L136" i="119"/>
  <c r="K136" i="119"/>
  <c r="H136" i="119"/>
  <c r="A136" i="119"/>
  <c r="P135" i="119"/>
  <c r="N135" i="119"/>
  <c r="M135" i="119"/>
  <c r="L135" i="119"/>
  <c r="K135" i="119"/>
  <c r="H135" i="119"/>
  <c r="A135" i="119"/>
  <c r="P134" i="119"/>
  <c r="N134" i="119"/>
  <c r="M134" i="119"/>
  <c r="L134" i="119"/>
  <c r="K134" i="119"/>
  <c r="H134" i="119"/>
  <c r="A134" i="119"/>
  <c r="P133" i="119"/>
  <c r="N133" i="119"/>
  <c r="M133" i="119"/>
  <c r="L133" i="119"/>
  <c r="K133" i="119"/>
  <c r="H133" i="119"/>
  <c r="A133" i="119"/>
  <c r="P132" i="119"/>
  <c r="N132" i="119"/>
  <c r="M132" i="119"/>
  <c r="L132" i="119"/>
  <c r="K132" i="119"/>
  <c r="H132" i="119"/>
  <c r="A132" i="119"/>
  <c r="P131" i="119"/>
  <c r="N131" i="119"/>
  <c r="M131" i="119"/>
  <c r="L131" i="119"/>
  <c r="K131" i="119"/>
  <c r="H131" i="119"/>
  <c r="A131" i="119"/>
  <c r="P130" i="119"/>
  <c r="N130" i="119"/>
  <c r="M130" i="119"/>
  <c r="L130" i="119"/>
  <c r="K130" i="119"/>
  <c r="H130" i="119"/>
  <c r="A130" i="119"/>
  <c r="P129" i="119"/>
  <c r="N129" i="119"/>
  <c r="M129" i="119"/>
  <c r="L129" i="119"/>
  <c r="K129" i="119"/>
  <c r="H129" i="119"/>
  <c r="A129" i="119"/>
  <c r="P128" i="119"/>
  <c r="N128" i="119"/>
  <c r="M128" i="119"/>
  <c r="L128" i="119"/>
  <c r="K128" i="119"/>
  <c r="H128" i="119"/>
  <c r="A128" i="119"/>
  <c r="P127" i="119"/>
  <c r="N127" i="119"/>
  <c r="M127" i="119"/>
  <c r="L127" i="119"/>
  <c r="K127" i="119"/>
  <c r="H127" i="119"/>
  <c r="A127" i="119"/>
  <c r="P126" i="119"/>
  <c r="N126" i="119"/>
  <c r="M126" i="119"/>
  <c r="L126" i="119"/>
  <c r="K126" i="119"/>
  <c r="H126" i="119"/>
  <c r="A126" i="119"/>
  <c r="P125" i="119"/>
  <c r="N125" i="119"/>
  <c r="M125" i="119"/>
  <c r="L125" i="119"/>
  <c r="K125" i="119"/>
  <c r="H125" i="119"/>
  <c r="A125" i="119"/>
  <c r="P124" i="119"/>
  <c r="N124" i="119"/>
  <c r="M124" i="119"/>
  <c r="L124" i="119"/>
  <c r="K124" i="119"/>
  <c r="H124" i="119"/>
  <c r="A124" i="119"/>
  <c r="P123" i="119"/>
  <c r="N123" i="119"/>
  <c r="M123" i="119"/>
  <c r="L123" i="119"/>
  <c r="K123" i="119"/>
  <c r="H123" i="119"/>
  <c r="A123" i="119"/>
  <c r="P122" i="119"/>
  <c r="N122" i="119"/>
  <c r="M122" i="119"/>
  <c r="L122" i="119"/>
  <c r="K122" i="119"/>
  <c r="H122" i="119"/>
  <c r="A122" i="119"/>
  <c r="P121" i="119"/>
  <c r="N121" i="119"/>
  <c r="M121" i="119"/>
  <c r="L121" i="119"/>
  <c r="K121" i="119"/>
  <c r="H121" i="119"/>
  <c r="A121" i="119"/>
  <c r="P120" i="119"/>
  <c r="N120" i="119"/>
  <c r="M120" i="119"/>
  <c r="L120" i="119"/>
  <c r="K120" i="119"/>
  <c r="H120" i="119"/>
  <c r="A120" i="119"/>
  <c r="P119" i="119"/>
  <c r="N119" i="119"/>
  <c r="M119" i="119"/>
  <c r="L119" i="119"/>
  <c r="K119" i="119"/>
  <c r="H119" i="119"/>
  <c r="A119" i="119"/>
  <c r="P118" i="119"/>
  <c r="N118" i="119"/>
  <c r="M118" i="119"/>
  <c r="L118" i="119"/>
  <c r="K118" i="119"/>
  <c r="H118" i="119"/>
  <c r="A118" i="119"/>
  <c r="P117" i="119"/>
  <c r="N117" i="119"/>
  <c r="M117" i="119"/>
  <c r="L117" i="119"/>
  <c r="K117" i="119"/>
  <c r="H117" i="119"/>
  <c r="A117" i="119"/>
  <c r="P116" i="119"/>
  <c r="N116" i="119"/>
  <c r="M116" i="119"/>
  <c r="L116" i="119"/>
  <c r="K116" i="119"/>
  <c r="H116" i="119"/>
  <c r="A116" i="119"/>
  <c r="P115" i="119"/>
  <c r="N115" i="119"/>
  <c r="M115" i="119"/>
  <c r="L115" i="119"/>
  <c r="K115" i="119"/>
  <c r="H115" i="119"/>
  <c r="A115" i="119"/>
  <c r="P114" i="119"/>
  <c r="N114" i="119"/>
  <c r="M114" i="119"/>
  <c r="L114" i="119"/>
  <c r="K114" i="119"/>
  <c r="H114" i="119"/>
  <c r="A114" i="119"/>
  <c r="P113" i="119"/>
  <c r="N113" i="119"/>
  <c r="M113" i="119"/>
  <c r="L113" i="119"/>
  <c r="K113" i="119"/>
  <c r="H113" i="119"/>
  <c r="A113" i="119"/>
  <c r="P112" i="119"/>
  <c r="N112" i="119"/>
  <c r="M112" i="119"/>
  <c r="L112" i="119"/>
  <c r="K112" i="119"/>
  <c r="H112" i="119"/>
  <c r="A112" i="119"/>
  <c r="P111" i="119"/>
  <c r="N111" i="119"/>
  <c r="M111" i="119"/>
  <c r="L111" i="119"/>
  <c r="K111" i="119"/>
  <c r="H111" i="119"/>
  <c r="A111" i="119"/>
  <c r="P110" i="119"/>
  <c r="N110" i="119"/>
  <c r="M110" i="119"/>
  <c r="L110" i="119"/>
  <c r="K110" i="119"/>
  <c r="H110" i="119"/>
  <c r="A110" i="119"/>
  <c r="P109" i="119"/>
  <c r="N109" i="119"/>
  <c r="M109" i="119"/>
  <c r="L109" i="119"/>
  <c r="K109" i="119"/>
  <c r="H109" i="119"/>
  <c r="A109" i="119"/>
  <c r="P108" i="119"/>
  <c r="N108" i="119"/>
  <c r="M108" i="119"/>
  <c r="L108" i="119"/>
  <c r="K108" i="119"/>
  <c r="H108" i="119"/>
  <c r="A108" i="119"/>
  <c r="P107" i="119"/>
  <c r="N107" i="119"/>
  <c r="M107" i="119"/>
  <c r="L107" i="119"/>
  <c r="K107" i="119"/>
  <c r="H107" i="119"/>
  <c r="A107" i="119"/>
  <c r="P106" i="119"/>
  <c r="N106" i="119"/>
  <c r="M106" i="119"/>
  <c r="L106" i="119"/>
  <c r="K106" i="119"/>
  <c r="H106" i="119"/>
  <c r="A106" i="119"/>
  <c r="P105" i="119"/>
  <c r="N105" i="119"/>
  <c r="M105" i="119"/>
  <c r="L105" i="119"/>
  <c r="K105" i="119"/>
  <c r="H105" i="119"/>
  <c r="A105" i="119"/>
  <c r="P104" i="119"/>
  <c r="N104" i="119"/>
  <c r="M104" i="119"/>
  <c r="L104" i="119"/>
  <c r="K104" i="119"/>
  <c r="H104" i="119"/>
  <c r="A104" i="119"/>
  <c r="P103" i="119"/>
  <c r="N103" i="119"/>
  <c r="M103" i="119"/>
  <c r="L103" i="119"/>
  <c r="K103" i="119"/>
  <c r="H103" i="119"/>
  <c r="A103" i="119"/>
  <c r="P102" i="119"/>
  <c r="N102" i="119"/>
  <c r="M102" i="119"/>
  <c r="L102" i="119"/>
  <c r="K102" i="119"/>
  <c r="H102" i="119"/>
  <c r="A102" i="119"/>
  <c r="P101" i="119"/>
  <c r="N101" i="119"/>
  <c r="M101" i="119"/>
  <c r="L101" i="119"/>
  <c r="K101" i="119"/>
  <c r="H101" i="119"/>
  <c r="A101" i="119"/>
  <c r="P100" i="119"/>
  <c r="N100" i="119"/>
  <c r="M100" i="119"/>
  <c r="L100" i="119"/>
  <c r="K100" i="119"/>
  <c r="H100" i="119"/>
  <c r="A100" i="119"/>
  <c r="P99" i="119"/>
  <c r="N99" i="119"/>
  <c r="M99" i="119"/>
  <c r="L99" i="119"/>
  <c r="K99" i="119"/>
  <c r="H99" i="119"/>
  <c r="A99" i="119"/>
  <c r="P98" i="119"/>
  <c r="N98" i="119"/>
  <c r="M98" i="119"/>
  <c r="L98" i="119"/>
  <c r="K98" i="119"/>
  <c r="H98" i="119"/>
  <c r="A98" i="119"/>
  <c r="P97" i="119"/>
  <c r="N97" i="119"/>
  <c r="M97" i="119"/>
  <c r="L97" i="119"/>
  <c r="K97" i="119"/>
  <c r="H97" i="119"/>
  <c r="A97" i="119"/>
  <c r="P96" i="119"/>
  <c r="N96" i="119"/>
  <c r="M96" i="119"/>
  <c r="L96" i="119"/>
  <c r="K96" i="119"/>
  <c r="H96" i="119"/>
  <c r="A96" i="119"/>
  <c r="P95" i="119"/>
  <c r="N95" i="119"/>
  <c r="M95" i="119"/>
  <c r="L95" i="119"/>
  <c r="K95" i="119"/>
  <c r="H95" i="119"/>
  <c r="A95" i="119"/>
  <c r="P94" i="119"/>
  <c r="N94" i="119"/>
  <c r="M94" i="119"/>
  <c r="L94" i="119"/>
  <c r="K94" i="119"/>
  <c r="H94" i="119"/>
  <c r="A94" i="119"/>
  <c r="P93" i="119"/>
  <c r="N93" i="119"/>
  <c r="M93" i="119"/>
  <c r="L93" i="119"/>
  <c r="K93" i="119"/>
  <c r="H93" i="119"/>
  <c r="A93" i="119"/>
  <c r="P92" i="119"/>
  <c r="N92" i="119"/>
  <c r="M92" i="119"/>
  <c r="L92" i="119"/>
  <c r="K92" i="119"/>
  <c r="H92" i="119"/>
  <c r="A92" i="119"/>
  <c r="P91" i="119"/>
  <c r="N91" i="119"/>
  <c r="M91" i="119"/>
  <c r="L91" i="119"/>
  <c r="K91" i="119"/>
  <c r="H91" i="119"/>
  <c r="A91" i="119"/>
  <c r="P90" i="119"/>
  <c r="N90" i="119"/>
  <c r="M90" i="119"/>
  <c r="L90" i="119"/>
  <c r="K90" i="119"/>
  <c r="H90" i="119"/>
  <c r="A90" i="119"/>
  <c r="P89" i="119"/>
  <c r="N89" i="119"/>
  <c r="M89" i="119"/>
  <c r="L89" i="119"/>
  <c r="K89" i="119"/>
  <c r="H89" i="119"/>
  <c r="A89" i="119"/>
  <c r="P88" i="119"/>
  <c r="N88" i="119"/>
  <c r="M88" i="119"/>
  <c r="L88" i="119"/>
  <c r="K88" i="119"/>
  <c r="H88" i="119"/>
  <c r="A88" i="119"/>
  <c r="P87" i="119"/>
  <c r="N87" i="119"/>
  <c r="M87" i="119"/>
  <c r="L87" i="119"/>
  <c r="K87" i="119"/>
  <c r="H87" i="119"/>
  <c r="A87" i="119"/>
  <c r="P86" i="119"/>
  <c r="N86" i="119"/>
  <c r="M86" i="119"/>
  <c r="L86" i="119"/>
  <c r="K86" i="119"/>
  <c r="H86" i="119"/>
  <c r="A86" i="119"/>
  <c r="P85" i="119"/>
  <c r="N85" i="119"/>
  <c r="M85" i="119"/>
  <c r="L85" i="119"/>
  <c r="K85" i="119"/>
  <c r="H85" i="119"/>
  <c r="A85" i="119"/>
  <c r="P84" i="119"/>
  <c r="N84" i="119"/>
  <c r="M84" i="119"/>
  <c r="L84" i="119"/>
  <c r="K84" i="119"/>
  <c r="H84" i="119"/>
  <c r="A84" i="119"/>
  <c r="P83" i="119"/>
  <c r="N83" i="119"/>
  <c r="M83" i="119"/>
  <c r="L83" i="119"/>
  <c r="K83" i="119"/>
  <c r="H83" i="119"/>
  <c r="A83" i="119"/>
  <c r="P82" i="119"/>
  <c r="N82" i="119"/>
  <c r="M82" i="119"/>
  <c r="L82" i="119"/>
  <c r="K82" i="119"/>
  <c r="H82" i="119"/>
  <c r="A82" i="119"/>
  <c r="P81" i="119"/>
  <c r="N81" i="119"/>
  <c r="M81" i="119"/>
  <c r="L81" i="119"/>
  <c r="K81" i="119"/>
  <c r="H81" i="119"/>
  <c r="A81" i="119"/>
  <c r="P80" i="119"/>
  <c r="N80" i="119"/>
  <c r="M80" i="119"/>
  <c r="L80" i="119"/>
  <c r="K80" i="119"/>
  <c r="H80" i="119"/>
  <c r="A80" i="119"/>
  <c r="P79" i="119"/>
  <c r="N79" i="119"/>
  <c r="M79" i="119"/>
  <c r="L79" i="119"/>
  <c r="K79" i="119"/>
  <c r="H79" i="119"/>
  <c r="A79" i="119"/>
  <c r="P78" i="119"/>
  <c r="N78" i="119"/>
  <c r="M78" i="119"/>
  <c r="L78" i="119"/>
  <c r="K78" i="119"/>
  <c r="H78" i="119"/>
  <c r="A78" i="119"/>
  <c r="P77" i="119"/>
  <c r="N77" i="119"/>
  <c r="M77" i="119"/>
  <c r="L77" i="119"/>
  <c r="K77" i="119"/>
  <c r="H77" i="119"/>
  <c r="A77" i="119"/>
  <c r="P76" i="119"/>
  <c r="N76" i="119"/>
  <c r="M76" i="119"/>
  <c r="L76" i="119"/>
  <c r="K76" i="119"/>
  <c r="H76" i="119"/>
  <c r="A76" i="119"/>
  <c r="P75" i="119"/>
  <c r="N75" i="119"/>
  <c r="M75" i="119"/>
  <c r="L75" i="119"/>
  <c r="K75" i="119"/>
  <c r="H75" i="119"/>
  <c r="A75" i="119"/>
  <c r="P74" i="119"/>
  <c r="N74" i="119"/>
  <c r="M74" i="119"/>
  <c r="L74" i="119"/>
  <c r="K74" i="119"/>
  <c r="H74" i="119"/>
  <c r="A74" i="119"/>
  <c r="P73" i="119"/>
  <c r="N73" i="119"/>
  <c r="M73" i="119"/>
  <c r="L73" i="119"/>
  <c r="K73" i="119"/>
  <c r="H73" i="119"/>
  <c r="A73" i="119"/>
  <c r="P72" i="119"/>
  <c r="N72" i="119"/>
  <c r="M72" i="119"/>
  <c r="L72" i="119"/>
  <c r="K72" i="119"/>
  <c r="H72" i="119"/>
  <c r="A72" i="119"/>
  <c r="P71" i="119"/>
  <c r="N71" i="119"/>
  <c r="M71" i="119"/>
  <c r="L71" i="119"/>
  <c r="K71" i="119"/>
  <c r="H71" i="119"/>
  <c r="A71" i="119"/>
  <c r="P70" i="119"/>
  <c r="N70" i="119"/>
  <c r="M70" i="119"/>
  <c r="L70" i="119"/>
  <c r="K70" i="119"/>
  <c r="H70" i="119"/>
  <c r="A70" i="119"/>
  <c r="P69" i="119"/>
  <c r="N69" i="119"/>
  <c r="M69" i="119"/>
  <c r="L69" i="119"/>
  <c r="K69" i="119"/>
  <c r="H69" i="119"/>
  <c r="A69" i="119"/>
  <c r="P68" i="119"/>
  <c r="N68" i="119"/>
  <c r="M68" i="119"/>
  <c r="L68" i="119"/>
  <c r="K68" i="119"/>
  <c r="H68" i="119"/>
  <c r="A68" i="119"/>
  <c r="P67" i="119"/>
  <c r="N67" i="119"/>
  <c r="M67" i="119"/>
  <c r="L67" i="119"/>
  <c r="K67" i="119"/>
  <c r="H67" i="119"/>
  <c r="A67" i="119"/>
  <c r="P66" i="119"/>
  <c r="N66" i="119"/>
  <c r="M66" i="119"/>
  <c r="L66" i="119"/>
  <c r="K66" i="119"/>
  <c r="H66" i="119"/>
  <c r="A66" i="119"/>
  <c r="P65" i="119"/>
  <c r="N65" i="119"/>
  <c r="M65" i="119"/>
  <c r="L65" i="119"/>
  <c r="K65" i="119"/>
  <c r="H65" i="119"/>
  <c r="A65" i="119"/>
  <c r="P64" i="119"/>
  <c r="N64" i="119"/>
  <c r="M64" i="119"/>
  <c r="L64" i="119"/>
  <c r="K64" i="119"/>
  <c r="H64" i="119"/>
  <c r="A64" i="119"/>
  <c r="P63" i="119"/>
  <c r="N63" i="119"/>
  <c r="M63" i="119"/>
  <c r="L63" i="119"/>
  <c r="K63" i="119"/>
  <c r="H63" i="119"/>
  <c r="A63" i="119"/>
  <c r="P62" i="119"/>
  <c r="N62" i="119"/>
  <c r="M62" i="119"/>
  <c r="L62" i="119"/>
  <c r="K62" i="119"/>
  <c r="H62" i="119"/>
  <c r="A62" i="119"/>
  <c r="P61" i="119"/>
  <c r="N61" i="119"/>
  <c r="M61" i="119"/>
  <c r="L61" i="119"/>
  <c r="K61" i="119"/>
  <c r="H61" i="119"/>
  <c r="A61" i="119"/>
  <c r="P60" i="119"/>
  <c r="N60" i="119"/>
  <c r="M60" i="119"/>
  <c r="L60" i="119"/>
  <c r="K60" i="119"/>
  <c r="H60" i="119"/>
  <c r="A60" i="119"/>
  <c r="P59" i="119"/>
  <c r="N59" i="119"/>
  <c r="M59" i="119"/>
  <c r="L59" i="119"/>
  <c r="K59" i="119"/>
  <c r="H59" i="119"/>
  <c r="A59" i="119"/>
  <c r="P58" i="119"/>
  <c r="N58" i="119"/>
  <c r="M58" i="119"/>
  <c r="L58" i="119"/>
  <c r="K58" i="119"/>
  <c r="H58" i="119"/>
  <c r="A58" i="119"/>
  <c r="P57" i="119"/>
  <c r="N57" i="119"/>
  <c r="M57" i="119"/>
  <c r="L57" i="119"/>
  <c r="K57" i="119"/>
  <c r="H57" i="119"/>
  <c r="A57" i="119"/>
  <c r="P56" i="119"/>
  <c r="N56" i="119"/>
  <c r="M56" i="119"/>
  <c r="L56" i="119"/>
  <c r="K56" i="119"/>
  <c r="H56" i="119"/>
  <c r="A56" i="119"/>
  <c r="P55" i="119"/>
  <c r="N55" i="119"/>
  <c r="M55" i="119"/>
  <c r="L55" i="119"/>
  <c r="K55" i="119"/>
  <c r="H55" i="119"/>
  <c r="A55" i="119"/>
  <c r="P54" i="119"/>
  <c r="N54" i="119"/>
  <c r="M54" i="119"/>
  <c r="L54" i="119"/>
  <c r="K54" i="119"/>
  <c r="H54" i="119"/>
  <c r="A54" i="119"/>
  <c r="P53" i="119"/>
  <c r="N53" i="119"/>
  <c r="M53" i="119"/>
  <c r="L53" i="119"/>
  <c r="K53" i="119"/>
  <c r="H53" i="119"/>
  <c r="A53" i="119"/>
  <c r="P52" i="119"/>
  <c r="N52" i="119"/>
  <c r="M52" i="119"/>
  <c r="L52" i="119"/>
  <c r="K52" i="119"/>
  <c r="H52" i="119"/>
  <c r="A52" i="119"/>
  <c r="P51" i="119"/>
  <c r="N51" i="119"/>
  <c r="M51" i="119"/>
  <c r="L51" i="119"/>
  <c r="K51" i="119"/>
  <c r="H51" i="119"/>
  <c r="A51" i="119"/>
  <c r="P50" i="119"/>
  <c r="N50" i="119"/>
  <c r="M50" i="119"/>
  <c r="L50" i="119"/>
  <c r="K50" i="119"/>
  <c r="H50" i="119"/>
  <c r="A50" i="119"/>
  <c r="P49" i="119"/>
  <c r="N49" i="119"/>
  <c r="M49" i="119"/>
  <c r="L49" i="119"/>
  <c r="K49" i="119"/>
  <c r="H49" i="119"/>
  <c r="A49" i="119"/>
  <c r="P48" i="119"/>
  <c r="N48" i="119"/>
  <c r="M48" i="119"/>
  <c r="L48" i="119"/>
  <c r="K48" i="119"/>
  <c r="H48" i="119"/>
  <c r="A48" i="119"/>
  <c r="P47" i="119"/>
  <c r="N47" i="119"/>
  <c r="M47" i="119"/>
  <c r="L47" i="119"/>
  <c r="K47" i="119"/>
  <c r="H47" i="119"/>
  <c r="A47" i="119"/>
  <c r="P46" i="119"/>
  <c r="N46" i="119"/>
  <c r="M46" i="119"/>
  <c r="L46" i="119"/>
  <c r="K46" i="119"/>
  <c r="H46" i="119"/>
  <c r="A46" i="119"/>
  <c r="P45" i="119"/>
  <c r="N45" i="119"/>
  <c r="M45" i="119"/>
  <c r="L45" i="119"/>
  <c r="K45" i="119"/>
  <c r="H45" i="119"/>
  <c r="A45" i="119"/>
  <c r="P44" i="119"/>
  <c r="N44" i="119"/>
  <c r="M44" i="119"/>
  <c r="L44" i="119"/>
  <c r="K44" i="119"/>
  <c r="H44" i="119"/>
  <c r="A44" i="119"/>
  <c r="P43" i="119"/>
  <c r="N43" i="119"/>
  <c r="M43" i="119"/>
  <c r="L43" i="119"/>
  <c r="K43" i="119"/>
  <c r="H43" i="119"/>
  <c r="A43" i="119"/>
  <c r="P42" i="119"/>
  <c r="N42" i="119"/>
  <c r="M42" i="119"/>
  <c r="L42" i="119"/>
  <c r="K42" i="119"/>
  <c r="H42" i="119"/>
  <c r="A42" i="119"/>
  <c r="P41" i="119"/>
  <c r="N41" i="119"/>
  <c r="M41" i="119"/>
  <c r="L41" i="119"/>
  <c r="K41" i="119"/>
  <c r="H41" i="119"/>
  <c r="A41" i="119"/>
  <c r="P40" i="119"/>
  <c r="N40" i="119"/>
  <c r="M40" i="119"/>
  <c r="L40" i="119"/>
  <c r="K40" i="119"/>
  <c r="H40" i="119"/>
  <c r="A40" i="119"/>
  <c r="P39" i="119"/>
  <c r="N39" i="119"/>
  <c r="M39" i="119"/>
  <c r="L39" i="119"/>
  <c r="K39" i="119"/>
  <c r="H39" i="119"/>
  <c r="A39" i="119"/>
  <c r="P38" i="119"/>
  <c r="N38" i="119"/>
  <c r="M38" i="119"/>
  <c r="L38" i="119"/>
  <c r="K38" i="119"/>
  <c r="H38" i="119"/>
  <c r="A38" i="119"/>
  <c r="P37" i="119"/>
  <c r="N37" i="119"/>
  <c r="M37" i="119"/>
  <c r="L37" i="119"/>
  <c r="K37" i="119"/>
  <c r="H37" i="119"/>
  <c r="A37" i="119"/>
  <c r="P36" i="119"/>
  <c r="N36" i="119"/>
  <c r="M36" i="119"/>
  <c r="L36" i="119"/>
  <c r="K36" i="119"/>
  <c r="H36" i="119"/>
  <c r="A36" i="119"/>
  <c r="P35" i="119"/>
  <c r="N35" i="119"/>
  <c r="M35" i="119"/>
  <c r="L35" i="119"/>
  <c r="K35" i="119"/>
  <c r="H35" i="119"/>
  <c r="A35" i="119"/>
  <c r="P34" i="119"/>
  <c r="N34" i="119"/>
  <c r="M34" i="119"/>
  <c r="L34" i="119"/>
  <c r="K34" i="119"/>
  <c r="H34" i="119"/>
  <c r="A34" i="119"/>
  <c r="P33" i="119"/>
  <c r="N33" i="119"/>
  <c r="M33" i="119"/>
  <c r="L33" i="119"/>
  <c r="K33" i="119"/>
  <c r="H33" i="119"/>
  <c r="A33" i="119"/>
  <c r="P32" i="119"/>
  <c r="N32" i="119"/>
  <c r="M32" i="119"/>
  <c r="L32" i="119"/>
  <c r="K32" i="119"/>
  <c r="H32" i="119"/>
  <c r="A32" i="119"/>
  <c r="P31" i="119"/>
  <c r="N31" i="119"/>
  <c r="M31" i="119"/>
  <c r="L31" i="119"/>
  <c r="K31" i="119"/>
  <c r="H31" i="119"/>
  <c r="A31" i="119"/>
  <c r="P30" i="119"/>
  <c r="N30" i="119"/>
  <c r="M30" i="119"/>
  <c r="L30" i="119"/>
  <c r="K30" i="119"/>
  <c r="H30" i="119"/>
  <c r="A30" i="119"/>
  <c r="P29" i="119"/>
  <c r="N29" i="119"/>
  <c r="M29" i="119"/>
  <c r="L29" i="119"/>
  <c r="K29" i="119"/>
  <c r="H29" i="119"/>
  <c r="A29" i="119"/>
  <c r="P28" i="119"/>
  <c r="N28" i="119"/>
  <c r="M28" i="119"/>
  <c r="L28" i="119"/>
  <c r="K28" i="119"/>
  <c r="H28" i="119"/>
  <c r="A28" i="119"/>
  <c r="P27" i="119"/>
  <c r="N27" i="119"/>
  <c r="M27" i="119"/>
  <c r="L27" i="119"/>
  <c r="K27" i="119"/>
  <c r="H27" i="119"/>
  <c r="A27" i="119"/>
  <c r="P26" i="119"/>
  <c r="N26" i="119"/>
  <c r="M26" i="119"/>
  <c r="L26" i="119"/>
  <c r="K26" i="119"/>
  <c r="H26" i="119"/>
  <c r="A26" i="119"/>
  <c r="P25" i="119"/>
  <c r="N25" i="119"/>
  <c r="M25" i="119"/>
  <c r="L25" i="119"/>
  <c r="K25" i="119"/>
  <c r="H25" i="119"/>
  <c r="A25" i="119"/>
  <c r="P24" i="119"/>
  <c r="N24" i="119"/>
  <c r="M24" i="119"/>
  <c r="L24" i="119"/>
  <c r="K24" i="119"/>
  <c r="H24" i="119"/>
  <c r="A24" i="119"/>
  <c r="P23" i="119"/>
  <c r="N23" i="119"/>
  <c r="M23" i="119"/>
  <c r="L23" i="119"/>
  <c r="K23" i="119"/>
  <c r="H23" i="119"/>
  <c r="A23" i="119"/>
  <c r="P22" i="119"/>
  <c r="N22" i="119"/>
  <c r="M22" i="119"/>
  <c r="L22" i="119"/>
  <c r="K22" i="119"/>
  <c r="H22" i="119"/>
  <c r="A22" i="119"/>
  <c r="P21" i="119"/>
  <c r="N21" i="119"/>
  <c r="M21" i="119"/>
  <c r="L21" i="119"/>
  <c r="K21" i="119"/>
  <c r="H21" i="119"/>
  <c r="A21" i="119"/>
  <c r="P20" i="119"/>
  <c r="N20" i="119"/>
  <c r="M20" i="119"/>
  <c r="L20" i="119"/>
  <c r="K20" i="119"/>
  <c r="H20" i="119"/>
  <c r="A20" i="119"/>
  <c r="P19" i="119"/>
  <c r="N19" i="119"/>
  <c r="M19" i="119"/>
  <c r="L19" i="119"/>
  <c r="K19" i="119"/>
  <c r="H19" i="119"/>
  <c r="A19" i="119"/>
  <c r="P18" i="119"/>
  <c r="N18" i="119"/>
  <c r="M18" i="119"/>
  <c r="L18" i="119"/>
  <c r="K18" i="119"/>
  <c r="H18" i="119"/>
  <c r="A18" i="119"/>
  <c r="P17" i="119"/>
  <c r="N17" i="119"/>
  <c r="M17" i="119"/>
  <c r="L17" i="119"/>
  <c r="K17" i="119"/>
  <c r="H17" i="119"/>
  <c r="A17" i="119"/>
  <c r="P16" i="119"/>
  <c r="N16" i="119"/>
  <c r="M16" i="119"/>
  <c r="L16" i="119"/>
  <c r="K16" i="119"/>
  <c r="H16" i="119"/>
  <c r="A16" i="119"/>
  <c r="P15" i="119"/>
  <c r="N15" i="119"/>
  <c r="M15" i="119"/>
  <c r="L15" i="119"/>
  <c r="K15" i="119"/>
  <c r="H15" i="119"/>
  <c r="A15" i="119"/>
  <c r="N14" i="119"/>
  <c r="M14" i="119"/>
  <c r="L14" i="119"/>
  <c r="K14" i="119"/>
  <c r="H14" i="119"/>
  <c r="A14" i="119"/>
  <c r="N13" i="119"/>
  <c r="M13" i="119"/>
  <c r="L13" i="119"/>
  <c r="K13" i="119"/>
  <c r="H13" i="119"/>
  <c r="A13" i="119"/>
  <c r="N12" i="119"/>
  <c r="M12" i="119"/>
  <c r="L12" i="119"/>
  <c r="K12" i="119"/>
  <c r="H12" i="119"/>
  <c r="A12" i="119"/>
  <c r="N11" i="119"/>
  <c r="M11" i="119"/>
  <c r="L11" i="119"/>
  <c r="K11" i="119"/>
  <c r="H11" i="119"/>
  <c r="A11" i="119"/>
  <c r="N10" i="119"/>
  <c r="M10" i="119"/>
  <c r="L10" i="119"/>
  <c r="K10" i="119"/>
  <c r="H10" i="119"/>
  <c r="A10" i="119"/>
  <c r="N9" i="119"/>
  <c r="M9" i="119"/>
  <c r="L9" i="119"/>
  <c r="K9" i="119"/>
  <c r="H9" i="119"/>
  <c r="A9" i="119"/>
  <c r="N8" i="119"/>
  <c r="M8" i="119"/>
  <c r="L8" i="119"/>
  <c r="K8" i="119"/>
  <c r="H8" i="119"/>
  <c r="A8" i="119"/>
  <c r="N7" i="119"/>
  <c r="M7" i="119"/>
  <c r="L7" i="119"/>
  <c r="K7" i="119"/>
  <c r="H7" i="119"/>
  <c r="A7" i="119"/>
  <c r="N6" i="119"/>
  <c r="M6" i="119"/>
  <c r="L6" i="119"/>
  <c r="K6" i="119"/>
  <c r="H6" i="119"/>
  <c r="A6" i="119"/>
  <c r="N5" i="119"/>
  <c r="M5" i="119"/>
  <c r="L5" i="119"/>
  <c r="K5" i="119"/>
  <c r="H5" i="119"/>
  <c r="A5" i="119"/>
  <c r="N4" i="119"/>
  <c r="M4" i="119"/>
  <c r="L4" i="119"/>
  <c r="K4" i="119"/>
  <c r="H4" i="119"/>
  <c r="A4" i="119"/>
  <c r="N3" i="119"/>
  <c r="M3" i="119"/>
  <c r="L3" i="119"/>
  <c r="K3" i="119"/>
  <c r="H3" i="119"/>
  <c r="A3" i="119"/>
  <c r="N2" i="119"/>
  <c r="M2" i="119"/>
  <c r="L2" i="119"/>
  <c r="K2" i="119"/>
  <c r="H2" i="119"/>
  <c r="A2" i="119"/>
  <c r="F48" i="118"/>
  <c r="F47" i="118"/>
  <c r="B40" i="118"/>
  <c r="B41" i="118"/>
  <c r="B42" i="118"/>
  <c r="B43" i="118"/>
  <c r="B44" i="118"/>
  <c r="B45" i="118"/>
  <c r="B46" i="118"/>
  <c r="B47" i="118"/>
  <c r="C40" i="118"/>
  <c r="C41" i="118"/>
  <c r="C42" i="118"/>
  <c r="C43" i="118"/>
  <c r="C44" i="118"/>
  <c r="C45" i="118"/>
  <c r="C46" i="118"/>
  <c r="C47" i="118"/>
  <c r="F46" i="118"/>
  <c r="F45" i="118"/>
  <c r="F42" i="118"/>
  <c r="G42" i="118"/>
  <c r="F41" i="118"/>
  <c r="G41" i="118"/>
  <c r="F40" i="118"/>
  <c r="G40" i="118"/>
  <c r="B32" i="118"/>
  <c r="C19" i="118"/>
  <c r="C20" i="118"/>
  <c r="C21" i="118"/>
  <c r="C22" i="118"/>
  <c r="C23" i="118"/>
  <c r="C24" i="118"/>
  <c r="C25" i="118"/>
  <c r="C26" i="118"/>
  <c r="C27" i="118"/>
  <c r="C28" i="118"/>
  <c r="C29" i="118"/>
  <c r="C30" i="118"/>
  <c r="C31" i="118"/>
  <c r="C32" i="118"/>
  <c r="D32" i="118"/>
  <c r="G31" i="118"/>
  <c r="E31" i="118"/>
  <c r="H31" i="118"/>
  <c r="I31" i="118"/>
  <c r="J31" i="118"/>
  <c r="F31" i="118"/>
  <c r="D31" i="118"/>
  <c r="G30" i="118"/>
  <c r="E30" i="118"/>
  <c r="H30" i="118"/>
  <c r="I30" i="118"/>
  <c r="J30" i="118"/>
  <c r="F30" i="118"/>
  <c r="D30" i="118"/>
  <c r="I29" i="118"/>
  <c r="J29" i="118"/>
  <c r="F29" i="118"/>
  <c r="D29" i="118"/>
  <c r="I28" i="118"/>
  <c r="J28" i="118"/>
  <c r="F28" i="118"/>
  <c r="D28" i="118"/>
  <c r="I27" i="118"/>
  <c r="J27" i="118"/>
  <c r="F27" i="118"/>
  <c r="D27" i="118"/>
  <c r="I26" i="118"/>
  <c r="J26" i="118"/>
  <c r="F26" i="118"/>
  <c r="D26" i="118"/>
  <c r="I25" i="118"/>
  <c r="J25" i="118"/>
  <c r="F25" i="118"/>
  <c r="D25" i="118"/>
  <c r="I24" i="118"/>
  <c r="J24" i="118"/>
  <c r="F24" i="118"/>
  <c r="D24" i="118"/>
  <c r="I23" i="118"/>
  <c r="J23" i="118"/>
  <c r="F23" i="118"/>
  <c r="D23" i="118"/>
  <c r="I22" i="118"/>
  <c r="J22" i="118"/>
  <c r="F22" i="118"/>
  <c r="D22" i="118"/>
  <c r="I21" i="118"/>
  <c r="J21" i="118"/>
  <c r="F21" i="118"/>
  <c r="D21" i="118"/>
  <c r="R20" i="118"/>
  <c r="P20" i="118"/>
  <c r="O20" i="118"/>
  <c r="M20" i="118"/>
  <c r="I20" i="118"/>
  <c r="J20" i="118"/>
  <c r="F20" i="118"/>
  <c r="D20" i="118"/>
  <c r="R19" i="118"/>
  <c r="P19" i="118"/>
  <c r="O19" i="118"/>
  <c r="M19" i="118"/>
  <c r="I19" i="118"/>
  <c r="J19" i="118"/>
  <c r="F19" i="118"/>
  <c r="D19" i="118"/>
  <c r="R18" i="118"/>
  <c r="P18" i="118"/>
  <c r="O18" i="118"/>
  <c r="M18" i="118"/>
  <c r="I18" i="118"/>
  <c r="J18" i="118"/>
  <c r="F18" i="118"/>
  <c r="C18" i="118"/>
  <c r="D18" i="118"/>
  <c r="R17" i="118"/>
  <c r="P17" i="118"/>
  <c r="O17" i="118"/>
  <c r="M17" i="118"/>
  <c r="I17" i="118"/>
  <c r="J17" i="118"/>
  <c r="F17" i="118"/>
  <c r="C17" i="118"/>
  <c r="D17" i="118"/>
  <c r="V16" i="118"/>
  <c r="R16" i="118"/>
  <c r="P16" i="118"/>
  <c r="O16" i="118"/>
  <c r="M16" i="118"/>
  <c r="V15" i="118"/>
  <c r="R15" i="118"/>
  <c r="P15" i="118"/>
  <c r="O15" i="118"/>
  <c r="M15" i="118"/>
  <c r="V14" i="118"/>
  <c r="R14" i="118"/>
  <c r="P14" i="118"/>
  <c r="O14" i="118"/>
  <c r="M14" i="118"/>
  <c r="V13" i="118"/>
  <c r="R13" i="118"/>
  <c r="P13" i="118"/>
  <c r="O13" i="118"/>
  <c r="M13" i="118"/>
  <c r="V12" i="118"/>
  <c r="R12" i="118"/>
  <c r="P12" i="118"/>
  <c r="O12" i="118"/>
  <c r="M12" i="118"/>
  <c r="V11" i="118"/>
  <c r="R11" i="118"/>
  <c r="P11" i="118"/>
  <c r="O11" i="118"/>
  <c r="M11" i="118"/>
  <c r="V10" i="118"/>
  <c r="R10" i="118"/>
  <c r="P10" i="118"/>
  <c r="O10" i="118"/>
  <c r="M10" i="118"/>
  <c r="V9" i="118"/>
  <c r="R9" i="118"/>
  <c r="P9" i="118"/>
  <c r="O9" i="118"/>
  <c r="M9" i="118"/>
  <c r="V8" i="118"/>
  <c r="R8" i="118"/>
  <c r="P8" i="118"/>
  <c r="O8" i="118"/>
  <c r="M8" i="118"/>
  <c r="V7" i="118"/>
  <c r="R7" i="118"/>
  <c r="P7" i="118"/>
  <c r="O7" i="118"/>
  <c r="M7" i="118"/>
  <c r="R6" i="118"/>
  <c r="P6" i="118"/>
  <c r="O6" i="118"/>
  <c r="M6" i="118"/>
  <c r="V5" i="118"/>
  <c r="P5" i="118"/>
  <c r="O5" i="118"/>
  <c r="M5" i="118"/>
  <c r="V4" i="118"/>
  <c r="P4" i="118"/>
  <c r="O4" i="118"/>
  <c r="M4" i="118"/>
  <c r="V3" i="118"/>
  <c r="P3" i="118"/>
  <c r="O3" i="118"/>
  <c r="M3" i="118"/>
  <c r="V2" i="118"/>
  <c r="I272" i="82"/>
  <c r="D272" i="82"/>
  <c r="J272" i="82"/>
  <c r="E272" i="82"/>
  <c r="F272" i="82"/>
  <c r="C272" i="82"/>
  <c r="I273" i="82"/>
  <c r="D273" i="82"/>
  <c r="J273" i="82"/>
  <c r="E273" i="82"/>
  <c r="F273" i="82"/>
  <c r="C273" i="82"/>
  <c r="F5" i="106"/>
  <c r="F6" i="106"/>
  <c r="A36" i="106"/>
  <c r="R5" i="106"/>
  <c r="O274" i="82"/>
  <c r="A2" i="106"/>
  <c r="R4" i="106"/>
  <c r="O273" i="82"/>
  <c r="E6" i="106"/>
  <c r="Q3" i="106"/>
  <c r="Q4" i="106"/>
  <c r="Q5" i="106"/>
  <c r="Q6" i="106"/>
  <c r="Q7" i="106"/>
  <c r="Q8" i="106"/>
  <c r="Q9" i="106"/>
  <c r="Q10" i="106"/>
  <c r="Q11" i="106"/>
  <c r="Q12" i="106"/>
  <c r="Q13" i="106"/>
  <c r="Q14" i="106"/>
  <c r="Q15" i="106"/>
  <c r="Q16" i="106"/>
  <c r="Q17" i="106"/>
  <c r="Q18" i="106"/>
  <c r="Q19" i="106"/>
  <c r="Q20" i="106"/>
  <c r="E18" i="106"/>
  <c r="B18" i="106"/>
  <c r="G18" i="106"/>
  <c r="H18" i="106"/>
  <c r="O3" i="82"/>
  <c r="G17" i="106"/>
  <c r="E17" i="106"/>
  <c r="H17" i="106"/>
  <c r="O4" i="82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G24" i="106"/>
  <c r="E24" i="106"/>
  <c r="H24" i="106"/>
  <c r="O42" i="82"/>
  <c r="E5" i="106"/>
  <c r="E25" i="106"/>
  <c r="B25" i="106"/>
  <c r="G25" i="106"/>
  <c r="H25" i="106"/>
  <c r="O43" i="82"/>
  <c r="E26" i="106"/>
  <c r="B26" i="106"/>
  <c r="G26" i="106"/>
  <c r="H26" i="106"/>
  <c r="O44" i="82"/>
  <c r="O45" i="82"/>
  <c r="O46" i="82"/>
  <c r="O47" i="82"/>
  <c r="O48" i="82"/>
  <c r="O49" i="82"/>
  <c r="O50" i="82"/>
  <c r="G19" i="106"/>
  <c r="E19" i="106"/>
  <c r="H19" i="106"/>
  <c r="O51" i="82"/>
  <c r="E20" i="106"/>
  <c r="B20" i="106"/>
  <c r="G20" i="106"/>
  <c r="H20" i="106"/>
  <c r="O52" i="82"/>
  <c r="E21" i="106"/>
  <c r="B21" i="106"/>
  <c r="G21" i="106"/>
  <c r="H21" i="106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E27" i="106"/>
  <c r="B27" i="106"/>
  <c r="G27" i="106"/>
  <c r="H27" i="106"/>
  <c r="O138" i="82"/>
  <c r="E28" i="106"/>
  <c r="B28" i="106"/>
  <c r="G28" i="106"/>
  <c r="H28" i="106"/>
  <c r="O139" i="82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B29" i="106"/>
  <c r="V6" i="106"/>
  <c r="B23" i="106"/>
  <c r="B22" i="106"/>
  <c r="G22" i="106"/>
  <c r="E22" i="106"/>
  <c r="H22" i="106"/>
  <c r="O256" i="82"/>
  <c r="G23" i="106"/>
  <c r="E23" i="106"/>
  <c r="H23" i="106"/>
  <c r="O257" i="82"/>
  <c r="O258" i="82"/>
  <c r="O259" i="82"/>
  <c r="G29" i="106"/>
  <c r="E29" i="106"/>
  <c r="H29" i="106"/>
  <c r="O260" i="82"/>
  <c r="O261" i="82"/>
  <c r="O262" i="82"/>
  <c r="O263" i="82"/>
  <c r="O264" i="82"/>
  <c r="O265" i="82"/>
  <c r="O266" i="82"/>
  <c r="O267" i="82"/>
  <c r="O268" i="82"/>
  <c r="O269" i="82"/>
  <c r="O270" i="82"/>
  <c r="O271" i="82"/>
  <c r="R3" i="106"/>
  <c r="O272" i="82"/>
  <c r="O2" i="82"/>
  <c r="P273" i="82"/>
  <c r="P274" i="82"/>
  <c r="F40" i="106"/>
  <c r="F42" i="106"/>
  <c r="G42" i="106"/>
  <c r="A272" i="82"/>
  <c r="H272" i="82"/>
  <c r="K272" i="82"/>
  <c r="L272" i="82"/>
  <c r="M272" i="82"/>
  <c r="N272" i="82"/>
  <c r="I274" i="82"/>
  <c r="D274" i="82"/>
  <c r="J274" i="82"/>
  <c r="E274" i="82"/>
  <c r="F274" i="82"/>
  <c r="C274" i="82"/>
  <c r="B10" i="106"/>
  <c r="B5" i="106"/>
  <c r="P272" i="82"/>
  <c r="A273" i="82"/>
  <c r="H273" i="82"/>
  <c r="K273" i="82"/>
  <c r="L273" i="82"/>
  <c r="M273" i="82"/>
  <c r="N273" i="82"/>
  <c r="A274" i="82"/>
  <c r="H274" i="82"/>
  <c r="K274" i="82"/>
  <c r="L274" i="82"/>
  <c r="M274" i="82"/>
  <c r="N274" i="82"/>
  <c r="I2" i="82"/>
  <c r="D2" i="82"/>
  <c r="J2" i="82"/>
  <c r="E2" i="82"/>
  <c r="F2" i="82"/>
  <c r="C2" i="82"/>
  <c r="I3" i="82"/>
  <c r="D3" i="82"/>
  <c r="J3" i="82"/>
  <c r="E3" i="82"/>
  <c r="F3" i="82"/>
  <c r="C3" i="82"/>
  <c r="I4" i="82"/>
  <c r="D4" i="82"/>
  <c r="J4" i="82"/>
  <c r="E4" i="82"/>
  <c r="F4" i="82"/>
  <c r="C4" i="82"/>
  <c r="I5" i="82"/>
  <c r="D5" i="82"/>
  <c r="J5" i="82"/>
  <c r="E5" i="82"/>
  <c r="F5" i="82"/>
  <c r="C5" i="82"/>
  <c r="I6" i="82"/>
  <c r="D6" i="82"/>
  <c r="J6" i="82"/>
  <c r="E6" i="82"/>
  <c r="F6" i="82"/>
  <c r="C6" i="82"/>
  <c r="I7" i="82"/>
  <c r="D7" i="82"/>
  <c r="J7" i="82"/>
  <c r="E7" i="82"/>
  <c r="F7" i="82"/>
  <c r="C7" i="82"/>
  <c r="I8" i="82"/>
  <c r="D8" i="82"/>
  <c r="J8" i="82"/>
  <c r="E8" i="82"/>
  <c r="F8" i="82"/>
  <c r="C8" i="82"/>
  <c r="I9" i="82"/>
  <c r="D9" i="82"/>
  <c r="J9" i="82"/>
  <c r="E9" i="82"/>
  <c r="F9" i="82"/>
  <c r="C9" i="82"/>
  <c r="I10" i="82"/>
  <c r="D10" i="82"/>
  <c r="J10" i="82"/>
  <c r="E10" i="82"/>
  <c r="F10" i="82"/>
  <c r="C10" i="82"/>
  <c r="I11" i="82"/>
  <c r="D11" i="82"/>
  <c r="J11" i="82"/>
  <c r="E11" i="82"/>
  <c r="F11" i="82"/>
  <c r="C11" i="82"/>
  <c r="I12" i="82"/>
  <c r="D12" i="82"/>
  <c r="J12" i="82"/>
  <c r="E12" i="82"/>
  <c r="F12" i="82"/>
  <c r="C12" i="82"/>
  <c r="I13" i="82"/>
  <c r="D13" i="82"/>
  <c r="J13" i="82"/>
  <c r="E13" i="82"/>
  <c r="F13" i="82"/>
  <c r="C13" i="82"/>
  <c r="I14" i="82"/>
  <c r="D14" i="82"/>
  <c r="J14" i="82"/>
  <c r="E14" i="82"/>
  <c r="F14" i="82"/>
  <c r="C14" i="82"/>
  <c r="I15" i="82"/>
  <c r="D15" i="82"/>
  <c r="J15" i="82"/>
  <c r="E15" i="82"/>
  <c r="F15" i="82"/>
  <c r="C15" i="82"/>
  <c r="I16" i="82"/>
  <c r="D16" i="82"/>
  <c r="J16" i="82"/>
  <c r="E16" i="82"/>
  <c r="F16" i="82"/>
  <c r="C16" i="82"/>
  <c r="I17" i="82"/>
  <c r="D17" i="82"/>
  <c r="J17" i="82"/>
  <c r="E17" i="82"/>
  <c r="F17" i="82"/>
  <c r="C17" i="82"/>
  <c r="I18" i="82"/>
  <c r="D18" i="82"/>
  <c r="J18" i="82"/>
  <c r="E18" i="82"/>
  <c r="F18" i="82"/>
  <c r="C18" i="82"/>
  <c r="I19" i="82"/>
  <c r="D19" i="82"/>
  <c r="J19" i="82"/>
  <c r="E19" i="82"/>
  <c r="F19" i="82"/>
  <c r="C19" i="82"/>
  <c r="I20" i="82"/>
  <c r="D20" i="82"/>
  <c r="J20" i="82"/>
  <c r="E20" i="82"/>
  <c r="F20" i="82"/>
  <c r="C20" i="82"/>
  <c r="I21" i="82"/>
  <c r="D21" i="82"/>
  <c r="J21" i="82"/>
  <c r="E21" i="82"/>
  <c r="F21" i="82"/>
  <c r="C21" i="82"/>
  <c r="I22" i="82"/>
  <c r="D22" i="82"/>
  <c r="J22" i="82"/>
  <c r="E22" i="82"/>
  <c r="F22" i="82"/>
  <c r="C22" i="82"/>
  <c r="I23" i="82"/>
  <c r="D23" i="82"/>
  <c r="J23" i="82"/>
  <c r="E23" i="82"/>
  <c r="F23" i="82"/>
  <c r="C23" i="82"/>
  <c r="I24" i="82"/>
  <c r="D24" i="82"/>
  <c r="J24" i="82"/>
  <c r="E24" i="82"/>
  <c r="F24" i="82"/>
  <c r="C24" i="82"/>
  <c r="I25" i="82"/>
  <c r="D25" i="82"/>
  <c r="J25" i="82"/>
  <c r="E25" i="82"/>
  <c r="F25" i="82"/>
  <c r="C25" i="82"/>
  <c r="I26" i="82"/>
  <c r="D26" i="82"/>
  <c r="J26" i="82"/>
  <c r="E26" i="82"/>
  <c r="F26" i="82"/>
  <c r="C26" i="82"/>
  <c r="I27" i="82"/>
  <c r="D27" i="82"/>
  <c r="J27" i="82"/>
  <c r="E27" i="82"/>
  <c r="F27" i="82"/>
  <c r="C27" i="82"/>
  <c r="I28" i="82"/>
  <c r="D28" i="82"/>
  <c r="J28" i="82"/>
  <c r="E28" i="82"/>
  <c r="F28" i="82"/>
  <c r="C28" i="82"/>
  <c r="I29" i="82"/>
  <c r="D29" i="82"/>
  <c r="J29" i="82"/>
  <c r="E29" i="82"/>
  <c r="F29" i="82"/>
  <c r="C29" i="82"/>
  <c r="I30" i="82"/>
  <c r="D30" i="82"/>
  <c r="J30" i="82"/>
  <c r="E30" i="82"/>
  <c r="F30" i="82"/>
  <c r="C30" i="82"/>
  <c r="I31" i="82"/>
  <c r="D31" i="82"/>
  <c r="J31" i="82"/>
  <c r="E31" i="82"/>
  <c r="F31" i="82"/>
  <c r="C31" i="82"/>
  <c r="I32" i="82"/>
  <c r="D32" i="82"/>
  <c r="J32" i="82"/>
  <c r="E32" i="82"/>
  <c r="F32" i="82"/>
  <c r="C32" i="82"/>
  <c r="I33" i="82"/>
  <c r="D33" i="82"/>
  <c r="J33" i="82"/>
  <c r="E33" i="82"/>
  <c r="F33" i="82"/>
  <c r="C33" i="82"/>
  <c r="I34" i="82"/>
  <c r="D34" i="82"/>
  <c r="J34" i="82"/>
  <c r="E34" i="82"/>
  <c r="F34" i="82"/>
  <c r="C34" i="82"/>
  <c r="I35" i="82"/>
  <c r="D35" i="82"/>
  <c r="J35" i="82"/>
  <c r="E35" i="82"/>
  <c r="F35" i="82"/>
  <c r="C35" i="82"/>
  <c r="I36" i="82"/>
  <c r="D36" i="82"/>
  <c r="J36" i="82"/>
  <c r="E36" i="82"/>
  <c r="F36" i="82"/>
  <c r="C36" i="82"/>
  <c r="I37" i="82"/>
  <c r="D37" i="82"/>
  <c r="J37" i="82"/>
  <c r="E37" i="82"/>
  <c r="F37" i="82"/>
  <c r="C37" i="82"/>
  <c r="I38" i="82"/>
  <c r="D38" i="82"/>
  <c r="J38" i="82"/>
  <c r="E38" i="82"/>
  <c r="F38" i="82"/>
  <c r="C38" i="82"/>
  <c r="I39" i="82"/>
  <c r="D39" i="82"/>
  <c r="J39" i="82"/>
  <c r="E39" i="82"/>
  <c r="F39" i="82"/>
  <c r="C39" i="82"/>
  <c r="I40" i="82"/>
  <c r="D40" i="82"/>
  <c r="J40" i="82"/>
  <c r="E40" i="82"/>
  <c r="F40" i="82"/>
  <c r="C40" i="82"/>
  <c r="I41" i="82"/>
  <c r="D41" i="82"/>
  <c r="J41" i="82"/>
  <c r="E41" i="82"/>
  <c r="F41" i="82"/>
  <c r="C41" i="82"/>
  <c r="I42" i="82"/>
  <c r="D42" i="82"/>
  <c r="J42" i="82"/>
  <c r="E42" i="82"/>
  <c r="F42" i="82"/>
  <c r="C42" i="82"/>
  <c r="I43" i="82"/>
  <c r="D43" i="82"/>
  <c r="J43" i="82"/>
  <c r="E43" i="82"/>
  <c r="F43" i="82"/>
  <c r="C43" i="82"/>
  <c r="I44" i="82"/>
  <c r="D44" i="82"/>
  <c r="J44" i="82"/>
  <c r="E44" i="82"/>
  <c r="F44" i="82"/>
  <c r="C44" i="82"/>
  <c r="I45" i="82"/>
  <c r="D45" i="82"/>
  <c r="J45" i="82"/>
  <c r="E45" i="82"/>
  <c r="F45" i="82"/>
  <c r="C45" i="82"/>
  <c r="I46" i="82"/>
  <c r="D46" i="82"/>
  <c r="J46" i="82"/>
  <c r="E46" i="82"/>
  <c r="F46" i="82"/>
  <c r="C46" i="82"/>
  <c r="I47" i="82"/>
  <c r="D47" i="82"/>
  <c r="J47" i="82"/>
  <c r="E47" i="82"/>
  <c r="F47" i="82"/>
  <c r="C47" i="82"/>
  <c r="I48" i="82"/>
  <c r="D48" i="82"/>
  <c r="J48" i="82"/>
  <c r="E48" i="82"/>
  <c r="F48" i="82"/>
  <c r="C48" i="82"/>
  <c r="I49" i="82"/>
  <c r="D49" i="82"/>
  <c r="J49" i="82"/>
  <c r="E49" i="82"/>
  <c r="F49" i="82"/>
  <c r="C49" i="82"/>
  <c r="I50" i="82"/>
  <c r="D50" i="82"/>
  <c r="J50" i="82"/>
  <c r="E50" i="82"/>
  <c r="F50" i="82"/>
  <c r="C50" i="82"/>
  <c r="I51" i="82"/>
  <c r="D51" i="82"/>
  <c r="J51" i="82"/>
  <c r="E51" i="82"/>
  <c r="F51" i="82"/>
  <c r="C51" i="82"/>
  <c r="I52" i="82"/>
  <c r="D52" i="82"/>
  <c r="J52" i="82"/>
  <c r="E52" i="82"/>
  <c r="F52" i="82"/>
  <c r="C52" i="82"/>
  <c r="I53" i="82"/>
  <c r="D53" i="82"/>
  <c r="J53" i="82"/>
  <c r="E53" i="82"/>
  <c r="F53" i="82"/>
  <c r="C53" i="82"/>
  <c r="I54" i="82"/>
  <c r="D54" i="82"/>
  <c r="J54" i="82"/>
  <c r="E54" i="82"/>
  <c r="F54" i="82"/>
  <c r="C54" i="82"/>
  <c r="I55" i="82"/>
  <c r="D55" i="82"/>
  <c r="J55" i="82"/>
  <c r="E55" i="82"/>
  <c r="F55" i="82"/>
  <c r="C55" i="82"/>
  <c r="I56" i="82"/>
  <c r="D56" i="82"/>
  <c r="J56" i="82"/>
  <c r="E56" i="82"/>
  <c r="F56" i="82"/>
  <c r="C56" i="82"/>
  <c r="I57" i="82"/>
  <c r="D57" i="82"/>
  <c r="J57" i="82"/>
  <c r="E57" i="82"/>
  <c r="F57" i="82"/>
  <c r="C57" i="82"/>
  <c r="I58" i="82"/>
  <c r="D58" i="82"/>
  <c r="J58" i="82"/>
  <c r="E58" i="82"/>
  <c r="F58" i="82"/>
  <c r="C58" i="82"/>
  <c r="I59" i="82"/>
  <c r="D59" i="82"/>
  <c r="J59" i="82"/>
  <c r="E59" i="82"/>
  <c r="F59" i="82"/>
  <c r="C59" i="82"/>
  <c r="I60" i="82"/>
  <c r="D60" i="82"/>
  <c r="J60" i="82"/>
  <c r="E60" i="82"/>
  <c r="F60" i="82"/>
  <c r="C60" i="82"/>
  <c r="I61" i="82"/>
  <c r="D61" i="82"/>
  <c r="J61" i="82"/>
  <c r="E61" i="82"/>
  <c r="F61" i="82"/>
  <c r="C61" i="82"/>
  <c r="I62" i="82"/>
  <c r="D62" i="82"/>
  <c r="J62" i="82"/>
  <c r="E62" i="82"/>
  <c r="F62" i="82"/>
  <c r="C62" i="82"/>
  <c r="I63" i="82"/>
  <c r="D63" i="82"/>
  <c r="J63" i="82"/>
  <c r="E63" i="82"/>
  <c r="F63" i="82"/>
  <c r="C63" i="82"/>
  <c r="I64" i="82"/>
  <c r="D64" i="82"/>
  <c r="J64" i="82"/>
  <c r="E64" i="82"/>
  <c r="F64" i="82"/>
  <c r="C64" i="82"/>
  <c r="I65" i="82"/>
  <c r="D65" i="82"/>
  <c r="J65" i="82"/>
  <c r="E65" i="82"/>
  <c r="F65" i="82"/>
  <c r="C65" i="82"/>
  <c r="I66" i="82"/>
  <c r="D66" i="82"/>
  <c r="J66" i="82"/>
  <c r="E66" i="82"/>
  <c r="F66" i="82"/>
  <c r="C66" i="82"/>
  <c r="I67" i="82"/>
  <c r="D67" i="82"/>
  <c r="J67" i="82"/>
  <c r="E67" i="82"/>
  <c r="F67" i="82"/>
  <c r="C67" i="82"/>
  <c r="I68" i="82"/>
  <c r="D68" i="82"/>
  <c r="J68" i="82"/>
  <c r="E68" i="82"/>
  <c r="F68" i="82"/>
  <c r="C68" i="82"/>
  <c r="I69" i="82"/>
  <c r="D69" i="82"/>
  <c r="J69" i="82"/>
  <c r="E69" i="82"/>
  <c r="F69" i="82"/>
  <c r="C69" i="82"/>
  <c r="I70" i="82"/>
  <c r="D70" i="82"/>
  <c r="J70" i="82"/>
  <c r="E70" i="82"/>
  <c r="F70" i="82"/>
  <c r="C70" i="82"/>
  <c r="I71" i="82"/>
  <c r="D71" i="82"/>
  <c r="J71" i="82"/>
  <c r="E71" i="82"/>
  <c r="F71" i="82"/>
  <c r="C71" i="82"/>
  <c r="I72" i="82"/>
  <c r="D72" i="82"/>
  <c r="J72" i="82"/>
  <c r="E72" i="82"/>
  <c r="F72" i="82"/>
  <c r="C72" i="82"/>
  <c r="I73" i="82"/>
  <c r="D73" i="82"/>
  <c r="J73" i="82"/>
  <c r="E73" i="82"/>
  <c r="F73" i="82"/>
  <c r="C73" i="82"/>
  <c r="I74" i="82"/>
  <c r="D74" i="82"/>
  <c r="J74" i="82"/>
  <c r="E74" i="82"/>
  <c r="F74" i="82"/>
  <c r="C74" i="82"/>
  <c r="I75" i="82"/>
  <c r="D75" i="82"/>
  <c r="J75" i="82"/>
  <c r="E75" i="82"/>
  <c r="F75" i="82"/>
  <c r="C75" i="82"/>
  <c r="I76" i="82"/>
  <c r="D76" i="82"/>
  <c r="J76" i="82"/>
  <c r="E76" i="82"/>
  <c r="F76" i="82"/>
  <c r="C76" i="82"/>
  <c r="I77" i="82"/>
  <c r="D77" i="82"/>
  <c r="J77" i="82"/>
  <c r="E77" i="82"/>
  <c r="F77" i="82"/>
  <c r="C77" i="82"/>
  <c r="I78" i="82"/>
  <c r="D78" i="82"/>
  <c r="J78" i="82"/>
  <c r="E78" i="82"/>
  <c r="F78" i="82"/>
  <c r="C78" i="82"/>
  <c r="I79" i="82"/>
  <c r="D79" i="82"/>
  <c r="J79" i="82"/>
  <c r="E79" i="82"/>
  <c r="F79" i="82"/>
  <c r="C79" i="82"/>
  <c r="I80" i="82"/>
  <c r="D80" i="82"/>
  <c r="J80" i="82"/>
  <c r="E80" i="82"/>
  <c r="F80" i="82"/>
  <c r="C80" i="82"/>
  <c r="I81" i="82"/>
  <c r="D81" i="82"/>
  <c r="J81" i="82"/>
  <c r="E81" i="82"/>
  <c r="F81" i="82"/>
  <c r="C81" i="82"/>
  <c r="I82" i="82"/>
  <c r="D82" i="82"/>
  <c r="J82" i="82"/>
  <c r="E82" i="82"/>
  <c r="F82" i="82"/>
  <c r="C82" i="82"/>
  <c r="I83" i="82"/>
  <c r="D83" i="82"/>
  <c r="J83" i="82"/>
  <c r="E83" i="82"/>
  <c r="F83" i="82"/>
  <c r="C83" i="82"/>
  <c r="I84" i="82"/>
  <c r="D84" i="82"/>
  <c r="J84" i="82"/>
  <c r="E84" i="82"/>
  <c r="F84" i="82"/>
  <c r="C84" i="82"/>
  <c r="I85" i="82"/>
  <c r="D85" i="82"/>
  <c r="J85" i="82"/>
  <c r="E85" i="82"/>
  <c r="F85" i="82"/>
  <c r="C85" i="82"/>
  <c r="I86" i="82"/>
  <c r="D86" i="82"/>
  <c r="J86" i="82"/>
  <c r="E86" i="82"/>
  <c r="F86" i="82"/>
  <c r="C86" i="82"/>
  <c r="I87" i="82"/>
  <c r="D87" i="82"/>
  <c r="J87" i="82"/>
  <c r="E87" i="82"/>
  <c r="F87" i="82"/>
  <c r="C87" i="82"/>
  <c r="I88" i="82"/>
  <c r="D88" i="82"/>
  <c r="J88" i="82"/>
  <c r="E88" i="82"/>
  <c r="F88" i="82"/>
  <c r="C88" i="82"/>
  <c r="I89" i="82"/>
  <c r="D89" i="82"/>
  <c r="J89" i="82"/>
  <c r="E89" i="82"/>
  <c r="F89" i="82"/>
  <c r="C89" i="82"/>
  <c r="I90" i="82"/>
  <c r="D90" i="82"/>
  <c r="J90" i="82"/>
  <c r="E90" i="82"/>
  <c r="F90" i="82"/>
  <c r="C90" i="82"/>
  <c r="I91" i="82"/>
  <c r="D91" i="82"/>
  <c r="J91" i="82"/>
  <c r="E91" i="82"/>
  <c r="F91" i="82"/>
  <c r="C91" i="82"/>
  <c r="I92" i="82"/>
  <c r="D92" i="82"/>
  <c r="J92" i="82"/>
  <c r="E92" i="82"/>
  <c r="F92" i="82"/>
  <c r="C92" i="82"/>
  <c r="I93" i="82"/>
  <c r="D93" i="82"/>
  <c r="J93" i="82"/>
  <c r="E93" i="82"/>
  <c r="F93" i="82"/>
  <c r="C93" i="82"/>
  <c r="I94" i="82"/>
  <c r="D94" i="82"/>
  <c r="J94" i="82"/>
  <c r="E94" i="82"/>
  <c r="F94" i="82"/>
  <c r="C94" i="82"/>
  <c r="I95" i="82"/>
  <c r="D95" i="82"/>
  <c r="J95" i="82"/>
  <c r="E95" i="82"/>
  <c r="F95" i="82"/>
  <c r="C95" i="82"/>
  <c r="I96" i="82"/>
  <c r="D96" i="82"/>
  <c r="J96" i="82"/>
  <c r="E96" i="82"/>
  <c r="F96" i="82"/>
  <c r="C96" i="82"/>
  <c r="I97" i="82"/>
  <c r="D97" i="82"/>
  <c r="J97" i="82"/>
  <c r="E97" i="82"/>
  <c r="F97" i="82"/>
  <c r="C97" i="82"/>
  <c r="I98" i="82"/>
  <c r="D98" i="82"/>
  <c r="J98" i="82"/>
  <c r="E98" i="82"/>
  <c r="F98" i="82"/>
  <c r="C98" i="82"/>
  <c r="I99" i="82"/>
  <c r="D99" i="82"/>
  <c r="J99" i="82"/>
  <c r="E99" i="82"/>
  <c r="F99" i="82"/>
  <c r="C99" i="82"/>
  <c r="I100" i="82"/>
  <c r="D100" i="82"/>
  <c r="J100" i="82"/>
  <c r="E100" i="82"/>
  <c r="F100" i="82"/>
  <c r="C100" i="82"/>
  <c r="I101" i="82"/>
  <c r="D101" i="82"/>
  <c r="J101" i="82"/>
  <c r="E101" i="82"/>
  <c r="F101" i="82"/>
  <c r="C101" i="82"/>
  <c r="I102" i="82"/>
  <c r="D102" i="82"/>
  <c r="J102" i="82"/>
  <c r="E102" i="82"/>
  <c r="F102" i="82"/>
  <c r="C102" i="82"/>
  <c r="I103" i="82"/>
  <c r="D103" i="82"/>
  <c r="J103" i="82"/>
  <c r="E103" i="82"/>
  <c r="F103" i="82"/>
  <c r="C103" i="82"/>
  <c r="I104" i="82"/>
  <c r="D104" i="82"/>
  <c r="J104" i="82"/>
  <c r="E104" i="82"/>
  <c r="F104" i="82"/>
  <c r="C104" i="82"/>
  <c r="I105" i="82"/>
  <c r="D105" i="82"/>
  <c r="J105" i="82"/>
  <c r="E105" i="82"/>
  <c r="F105" i="82"/>
  <c r="C105" i="82"/>
  <c r="I106" i="82"/>
  <c r="D106" i="82"/>
  <c r="J106" i="82"/>
  <c r="E106" i="82"/>
  <c r="F106" i="82"/>
  <c r="C106" i="82"/>
  <c r="I107" i="82"/>
  <c r="D107" i="82"/>
  <c r="J107" i="82"/>
  <c r="E107" i="82"/>
  <c r="F107" i="82"/>
  <c r="C107" i="82"/>
  <c r="I108" i="82"/>
  <c r="D108" i="82"/>
  <c r="J108" i="82"/>
  <c r="E108" i="82"/>
  <c r="F108" i="82"/>
  <c r="C108" i="82"/>
  <c r="I109" i="82"/>
  <c r="D109" i="82"/>
  <c r="J109" i="82"/>
  <c r="E109" i="82"/>
  <c r="F109" i="82"/>
  <c r="C109" i="82"/>
  <c r="I110" i="82"/>
  <c r="D110" i="82"/>
  <c r="J110" i="82"/>
  <c r="E110" i="82"/>
  <c r="F110" i="82"/>
  <c r="C110" i="82"/>
  <c r="I111" i="82"/>
  <c r="D111" i="82"/>
  <c r="J111" i="82"/>
  <c r="E111" i="82"/>
  <c r="F111" i="82"/>
  <c r="C111" i="82"/>
  <c r="I112" i="82"/>
  <c r="D112" i="82"/>
  <c r="J112" i="82"/>
  <c r="E112" i="82"/>
  <c r="F112" i="82"/>
  <c r="C112" i="82"/>
  <c r="I113" i="82"/>
  <c r="D113" i="82"/>
  <c r="J113" i="82"/>
  <c r="E113" i="82"/>
  <c r="F113" i="82"/>
  <c r="C113" i="82"/>
  <c r="I114" i="82"/>
  <c r="D114" i="82"/>
  <c r="J114" i="82"/>
  <c r="E114" i="82"/>
  <c r="F114" i="82"/>
  <c r="C114" i="82"/>
  <c r="I115" i="82"/>
  <c r="D115" i="82"/>
  <c r="J115" i="82"/>
  <c r="E115" i="82"/>
  <c r="F115" i="82"/>
  <c r="C115" i="82"/>
  <c r="I116" i="82"/>
  <c r="D116" i="82"/>
  <c r="J116" i="82"/>
  <c r="E116" i="82"/>
  <c r="F116" i="82"/>
  <c r="C116" i="82"/>
  <c r="I117" i="82"/>
  <c r="D117" i="82"/>
  <c r="J117" i="82"/>
  <c r="E117" i="82"/>
  <c r="F117" i="82"/>
  <c r="C117" i="82"/>
  <c r="I118" i="82"/>
  <c r="D118" i="82"/>
  <c r="J118" i="82"/>
  <c r="E118" i="82"/>
  <c r="F118" i="82"/>
  <c r="C118" i="82"/>
  <c r="I119" i="82"/>
  <c r="D119" i="82"/>
  <c r="J119" i="82"/>
  <c r="E119" i="82"/>
  <c r="F119" i="82"/>
  <c r="C119" i="82"/>
  <c r="I120" i="82"/>
  <c r="D120" i="82"/>
  <c r="J120" i="82"/>
  <c r="E120" i="82"/>
  <c r="F120" i="82"/>
  <c r="C120" i="82"/>
  <c r="I121" i="82"/>
  <c r="D121" i="82"/>
  <c r="J121" i="82"/>
  <c r="E121" i="82"/>
  <c r="F121" i="82"/>
  <c r="C121" i="82"/>
  <c r="I122" i="82"/>
  <c r="D122" i="82"/>
  <c r="J122" i="82"/>
  <c r="E122" i="82"/>
  <c r="F122" i="82"/>
  <c r="C122" i="82"/>
  <c r="I123" i="82"/>
  <c r="D123" i="82"/>
  <c r="J123" i="82"/>
  <c r="E123" i="82"/>
  <c r="F123" i="82"/>
  <c r="C123" i="82"/>
  <c r="I124" i="82"/>
  <c r="D124" i="82"/>
  <c r="J124" i="82"/>
  <c r="E124" i="82"/>
  <c r="F124" i="82"/>
  <c r="C124" i="82"/>
  <c r="I125" i="82"/>
  <c r="D125" i="82"/>
  <c r="J125" i="82"/>
  <c r="E125" i="82"/>
  <c r="F125" i="82"/>
  <c r="C125" i="82"/>
  <c r="I126" i="82"/>
  <c r="D126" i="82"/>
  <c r="J126" i="82"/>
  <c r="E126" i="82"/>
  <c r="F126" i="82"/>
  <c r="C126" i="82"/>
  <c r="I127" i="82"/>
  <c r="D127" i="82"/>
  <c r="J127" i="82"/>
  <c r="E127" i="82"/>
  <c r="F127" i="82"/>
  <c r="C127" i="82"/>
  <c r="I128" i="82"/>
  <c r="D128" i="82"/>
  <c r="J128" i="82"/>
  <c r="E128" i="82"/>
  <c r="F128" i="82"/>
  <c r="C128" i="82"/>
  <c r="I129" i="82"/>
  <c r="D129" i="82"/>
  <c r="J129" i="82"/>
  <c r="E129" i="82"/>
  <c r="F129" i="82"/>
  <c r="C129" i="82"/>
  <c r="I130" i="82"/>
  <c r="D130" i="82"/>
  <c r="J130" i="82"/>
  <c r="E130" i="82"/>
  <c r="F130" i="82"/>
  <c r="C130" i="82"/>
  <c r="I131" i="82"/>
  <c r="D131" i="82"/>
  <c r="J131" i="82"/>
  <c r="E131" i="82"/>
  <c r="F131" i="82"/>
  <c r="C131" i="82"/>
  <c r="I132" i="82"/>
  <c r="D132" i="82"/>
  <c r="J132" i="82"/>
  <c r="E132" i="82"/>
  <c r="F132" i="82"/>
  <c r="C132" i="82"/>
  <c r="I133" i="82"/>
  <c r="D133" i="82"/>
  <c r="J133" i="82"/>
  <c r="E133" i="82"/>
  <c r="F133" i="82"/>
  <c r="C133" i="82"/>
  <c r="I134" i="82"/>
  <c r="D134" i="82"/>
  <c r="J134" i="82"/>
  <c r="E134" i="82"/>
  <c r="F134" i="82"/>
  <c r="C134" i="82"/>
  <c r="I135" i="82"/>
  <c r="D135" i="82"/>
  <c r="J135" i="82"/>
  <c r="E135" i="82"/>
  <c r="F135" i="82"/>
  <c r="C135" i="82"/>
  <c r="I136" i="82"/>
  <c r="D136" i="82"/>
  <c r="J136" i="82"/>
  <c r="E136" i="82"/>
  <c r="F136" i="82"/>
  <c r="C136" i="82"/>
  <c r="I137" i="82"/>
  <c r="D137" i="82"/>
  <c r="J137" i="82"/>
  <c r="E137" i="82"/>
  <c r="F137" i="82"/>
  <c r="C137" i="82"/>
  <c r="I138" i="82"/>
  <c r="D138" i="82"/>
  <c r="J138" i="82"/>
  <c r="E138" i="82"/>
  <c r="F138" i="82"/>
  <c r="C138" i="82"/>
  <c r="I139" i="82"/>
  <c r="D139" i="82"/>
  <c r="J139" i="82"/>
  <c r="E139" i="82"/>
  <c r="F139" i="82"/>
  <c r="C139" i="82"/>
  <c r="I140" i="82"/>
  <c r="D140" i="82"/>
  <c r="J140" i="82"/>
  <c r="E140" i="82"/>
  <c r="F140" i="82"/>
  <c r="C140" i="82"/>
  <c r="I141" i="82"/>
  <c r="D141" i="82"/>
  <c r="J141" i="82"/>
  <c r="E141" i="82"/>
  <c r="F141" i="82"/>
  <c r="C141" i="82"/>
  <c r="I142" i="82"/>
  <c r="D142" i="82"/>
  <c r="J142" i="82"/>
  <c r="E142" i="82"/>
  <c r="F142" i="82"/>
  <c r="C142" i="82"/>
  <c r="I143" i="82"/>
  <c r="D143" i="82"/>
  <c r="J143" i="82"/>
  <c r="E143" i="82"/>
  <c r="F143" i="82"/>
  <c r="C143" i="82"/>
  <c r="I144" i="82"/>
  <c r="D144" i="82"/>
  <c r="J144" i="82"/>
  <c r="E144" i="82"/>
  <c r="F144" i="82"/>
  <c r="C144" i="82"/>
  <c r="I145" i="82"/>
  <c r="D145" i="82"/>
  <c r="J145" i="82"/>
  <c r="E145" i="82"/>
  <c r="F145" i="82"/>
  <c r="C145" i="82"/>
  <c r="I146" i="82"/>
  <c r="D146" i="82"/>
  <c r="J146" i="82"/>
  <c r="E146" i="82"/>
  <c r="F146" i="82"/>
  <c r="C146" i="82"/>
  <c r="I147" i="82"/>
  <c r="D147" i="82"/>
  <c r="J147" i="82"/>
  <c r="E147" i="82"/>
  <c r="F147" i="82"/>
  <c r="C147" i="82"/>
  <c r="I148" i="82"/>
  <c r="D148" i="82"/>
  <c r="J148" i="82"/>
  <c r="E148" i="82"/>
  <c r="F148" i="82"/>
  <c r="C148" i="82"/>
  <c r="I149" i="82"/>
  <c r="D149" i="82"/>
  <c r="J149" i="82"/>
  <c r="E149" i="82"/>
  <c r="F149" i="82"/>
  <c r="C149" i="82"/>
  <c r="I150" i="82"/>
  <c r="D150" i="82"/>
  <c r="J150" i="82"/>
  <c r="E150" i="82"/>
  <c r="F150" i="82"/>
  <c r="C150" i="82"/>
  <c r="I151" i="82"/>
  <c r="D151" i="82"/>
  <c r="J151" i="82"/>
  <c r="E151" i="82"/>
  <c r="F151" i="82"/>
  <c r="C151" i="82"/>
  <c r="I152" i="82"/>
  <c r="D152" i="82"/>
  <c r="J152" i="82"/>
  <c r="E152" i="82"/>
  <c r="F152" i="82"/>
  <c r="C152" i="82"/>
  <c r="I153" i="82"/>
  <c r="D153" i="82"/>
  <c r="J153" i="82"/>
  <c r="E153" i="82"/>
  <c r="F153" i="82"/>
  <c r="C153" i="82"/>
  <c r="I154" i="82"/>
  <c r="D154" i="82"/>
  <c r="J154" i="82"/>
  <c r="E154" i="82"/>
  <c r="F154" i="82"/>
  <c r="C154" i="82"/>
  <c r="I155" i="82"/>
  <c r="D155" i="82"/>
  <c r="J155" i="82"/>
  <c r="E155" i="82"/>
  <c r="F155" i="82"/>
  <c r="C155" i="82"/>
  <c r="I156" i="82"/>
  <c r="D156" i="82"/>
  <c r="J156" i="82"/>
  <c r="E156" i="82"/>
  <c r="F156" i="82"/>
  <c r="C156" i="82"/>
  <c r="I157" i="82"/>
  <c r="D157" i="82"/>
  <c r="J157" i="82"/>
  <c r="E157" i="82"/>
  <c r="F157" i="82"/>
  <c r="C157" i="82"/>
  <c r="I158" i="82"/>
  <c r="D158" i="82"/>
  <c r="J158" i="82"/>
  <c r="E158" i="82"/>
  <c r="F158" i="82"/>
  <c r="C158" i="82"/>
  <c r="I159" i="82"/>
  <c r="D159" i="82"/>
  <c r="J159" i="82"/>
  <c r="E159" i="82"/>
  <c r="F159" i="82"/>
  <c r="C159" i="82"/>
  <c r="I160" i="82"/>
  <c r="D160" i="82"/>
  <c r="J160" i="82"/>
  <c r="E160" i="82"/>
  <c r="F160" i="82"/>
  <c r="C160" i="82"/>
  <c r="I161" i="82"/>
  <c r="D161" i="82"/>
  <c r="J161" i="82"/>
  <c r="E161" i="82"/>
  <c r="F161" i="82"/>
  <c r="C161" i="82"/>
  <c r="I162" i="82"/>
  <c r="D162" i="82"/>
  <c r="J162" i="82"/>
  <c r="E162" i="82"/>
  <c r="F162" i="82"/>
  <c r="C162" i="82"/>
  <c r="I163" i="82"/>
  <c r="D163" i="82"/>
  <c r="J163" i="82"/>
  <c r="E163" i="82"/>
  <c r="F163" i="82"/>
  <c r="C163" i="82"/>
  <c r="I164" i="82"/>
  <c r="D164" i="82"/>
  <c r="J164" i="82"/>
  <c r="E164" i="82"/>
  <c r="F164" i="82"/>
  <c r="C164" i="82"/>
  <c r="I165" i="82"/>
  <c r="D165" i="82"/>
  <c r="J165" i="82"/>
  <c r="E165" i="82"/>
  <c r="F165" i="82"/>
  <c r="C165" i="82"/>
  <c r="I166" i="82"/>
  <c r="D166" i="82"/>
  <c r="J166" i="82"/>
  <c r="E166" i="82"/>
  <c r="F166" i="82"/>
  <c r="C166" i="82"/>
  <c r="I167" i="82"/>
  <c r="D167" i="82"/>
  <c r="J167" i="82"/>
  <c r="E167" i="82"/>
  <c r="F167" i="82"/>
  <c r="C167" i="82"/>
  <c r="I168" i="82"/>
  <c r="D168" i="82"/>
  <c r="J168" i="82"/>
  <c r="E168" i="82"/>
  <c r="F168" i="82"/>
  <c r="C168" i="82"/>
  <c r="I169" i="82"/>
  <c r="D169" i="82"/>
  <c r="J169" i="82"/>
  <c r="E169" i="82"/>
  <c r="F169" i="82"/>
  <c r="C169" i="82"/>
  <c r="I170" i="82"/>
  <c r="D170" i="82"/>
  <c r="J170" i="82"/>
  <c r="E170" i="82"/>
  <c r="F170" i="82"/>
  <c r="C170" i="82"/>
  <c r="I171" i="82"/>
  <c r="D171" i="82"/>
  <c r="J171" i="82"/>
  <c r="E171" i="82"/>
  <c r="F171" i="82"/>
  <c r="C171" i="82"/>
  <c r="I172" i="82"/>
  <c r="D172" i="82"/>
  <c r="J172" i="82"/>
  <c r="E172" i="82"/>
  <c r="F172" i="82"/>
  <c r="C172" i="82"/>
  <c r="I173" i="82"/>
  <c r="D173" i="82"/>
  <c r="J173" i="82"/>
  <c r="E173" i="82"/>
  <c r="F173" i="82"/>
  <c r="C173" i="82"/>
  <c r="I174" i="82"/>
  <c r="D174" i="82"/>
  <c r="J174" i="82"/>
  <c r="E174" i="82"/>
  <c r="F174" i="82"/>
  <c r="C174" i="82"/>
  <c r="I175" i="82"/>
  <c r="D175" i="82"/>
  <c r="J175" i="82"/>
  <c r="E175" i="82"/>
  <c r="F175" i="82"/>
  <c r="C175" i="82"/>
  <c r="I176" i="82"/>
  <c r="D176" i="82"/>
  <c r="J176" i="82"/>
  <c r="E176" i="82"/>
  <c r="F176" i="82"/>
  <c r="C176" i="82"/>
  <c r="I177" i="82"/>
  <c r="D177" i="82"/>
  <c r="J177" i="82"/>
  <c r="E177" i="82"/>
  <c r="F177" i="82"/>
  <c r="C177" i="82"/>
  <c r="I178" i="82"/>
  <c r="D178" i="82"/>
  <c r="J178" i="82"/>
  <c r="E178" i="82"/>
  <c r="F178" i="82"/>
  <c r="C178" i="82"/>
  <c r="I179" i="82"/>
  <c r="D179" i="82"/>
  <c r="J179" i="82"/>
  <c r="E179" i="82"/>
  <c r="F179" i="82"/>
  <c r="C179" i="82"/>
  <c r="I180" i="82"/>
  <c r="D180" i="82"/>
  <c r="J180" i="82"/>
  <c r="E180" i="82"/>
  <c r="F180" i="82"/>
  <c r="C180" i="82"/>
  <c r="I181" i="82"/>
  <c r="D181" i="82"/>
  <c r="J181" i="82"/>
  <c r="E181" i="82"/>
  <c r="F181" i="82"/>
  <c r="C181" i="82"/>
  <c r="I182" i="82"/>
  <c r="D182" i="82"/>
  <c r="J182" i="82"/>
  <c r="E182" i="82"/>
  <c r="F182" i="82"/>
  <c r="C182" i="82"/>
  <c r="I183" i="82"/>
  <c r="D183" i="82"/>
  <c r="J183" i="82"/>
  <c r="E183" i="82"/>
  <c r="F183" i="82"/>
  <c r="C183" i="82"/>
  <c r="I184" i="82"/>
  <c r="D184" i="82"/>
  <c r="J184" i="82"/>
  <c r="E184" i="82"/>
  <c r="F184" i="82"/>
  <c r="C184" i="82"/>
  <c r="I185" i="82"/>
  <c r="D185" i="82"/>
  <c r="J185" i="82"/>
  <c r="E185" i="82"/>
  <c r="F185" i="82"/>
  <c r="C185" i="82"/>
  <c r="I186" i="82"/>
  <c r="D186" i="82"/>
  <c r="J186" i="82"/>
  <c r="E186" i="82"/>
  <c r="F186" i="82"/>
  <c r="C186" i="82"/>
  <c r="I187" i="82"/>
  <c r="D187" i="82"/>
  <c r="J187" i="82"/>
  <c r="E187" i="82"/>
  <c r="F187" i="82"/>
  <c r="C187" i="82"/>
  <c r="I188" i="82"/>
  <c r="D188" i="82"/>
  <c r="J188" i="82"/>
  <c r="E188" i="82"/>
  <c r="F188" i="82"/>
  <c r="C188" i="82"/>
  <c r="I189" i="82"/>
  <c r="D189" i="82"/>
  <c r="J189" i="82"/>
  <c r="E189" i="82"/>
  <c r="F189" i="82"/>
  <c r="C189" i="82"/>
  <c r="I190" i="82"/>
  <c r="D190" i="82"/>
  <c r="J190" i="82"/>
  <c r="E190" i="82"/>
  <c r="F190" i="82"/>
  <c r="C190" i="82"/>
  <c r="I191" i="82"/>
  <c r="D191" i="82"/>
  <c r="J191" i="82"/>
  <c r="E191" i="82"/>
  <c r="F191" i="82"/>
  <c r="C191" i="82"/>
  <c r="I192" i="82"/>
  <c r="D192" i="82"/>
  <c r="J192" i="82"/>
  <c r="E192" i="82"/>
  <c r="F192" i="82"/>
  <c r="C192" i="82"/>
  <c r="I193" i="82"/>
  <c r="D193" i="82"/>
  <c r="J193" i="82"/>
  <c r="E193" i="82"/>
  <c r="F193" i="82"/>
  <c r="C193" i="82"/>
  <c r="I194" i="82"/>
  <c r="D194" i="82"/>
  <c r="J194" i="82"/>
  <c r="E194" i="82"/>
  <c r="F194" i="82"/>
  <c r="C194" i="82"/>
  <c r="I195" i="82"/>
  <c r="D195" i="82"/>
  <c r="J195" i="82"/>
  <c r="E195" i="82"/>
  <c r="F195" i="82"/>
  <c r="C195" i="82"/>
  <c r="I196" i="82"/>
  <c r="D196" i="82"/>
  <c r="J196" i="82"/>
  <c r="E196" i="82"/>
  <c r="F196" i="82"/>
  <c r="C196" i="82"/>
  <c r="I197" i="82"/>
  <c r="D197" i="82"/>
  <c r="J197" i="82"/>
  <c r="E197" i="82"/>
  <c r="F197" i="82"/>
  <c r="C197" i="82"/>
  <c r="I198" i="82"/>
  <c r="D198" i="82"/>
  <c r="J198" i="82"/>
  <c r="E198" i="82"/>
  <c r="F198" i="82"/>
  <c r="C198" i="82"/>
  <c r="I199" i="82"/>
  <c r="D199" i="82"/>
  <c r="J199" i="82"/>
  <c r="E199" i="82"/>
  <c r="F199" i="82"/>
  <c r="C199" i="82"/>
  <c r="I200" i="82"/>
  <c r="D200" i="82"/>
  <c r="J200" i="82"/>
  <c r="E200" i="82"/>
  <c r="F200" i="82"/>
  <c r="C200" i="82"/>
  <c r="I201" i="82"/>
  <c r="D201" i="82"/>
  <c r="J201" i="82"/>
  <c r="E201" i="82"/>
  <c r="F201" i="82"/>
  <c r="C201" i="82"/>
  <c r="I202" i="82"/>
  <c r="D202" i="82"/>
  <c r="J202" i="82"/>
  <c r="E202" i="82"/>
  <c r="F202" i="82"/>
  <c r="C202" i="82"/>
  <c r="I203" i="82"/>
  <c r="D203" i="82"/>
  <c r="J203" i="82"/>
  <c r="E203" i="82"/>
  <c r="F203" i="82"/>
  <c r="C203" i="82"/>
  <c r="I204" i="82"/>
  <c r="D204" i="82"/>
  <c r="J204" i="82"/>
  <c r="E204" i="82"/>
  <c r="F204" i="82"/>
  <c r="C204" i="82"/>
  <c r="I205" i="82"/>
  <c r="D205" i="82"/>
  <c r="J205" i="82"/>
  <c r="E205" i="82"/>
  <c r="F205" i="82"/>
  <c r="C205" i="82"/>
  <c r="I206" i="82"/>
  <c r="D206" i="82"/>
  <c r="J206" i="82"/>
  <c r="E206" i="82"/>
  <c r="F206" i="82"/>
  <c r="C206" i="82"/>
  <c r="I207" i="82"/>
  <c r="D207" i="82"/>
  <c r="J207" i="82"/>
  <c r="E207" i="82"/>
  <c r="F207" i="82"/>
  <c r="C207" i="82"/>
  <c r="I208" i="82"/>
  <c r="D208" i="82"/>
  <c r="J208" i="82"/>
  <c r="E208" i="82"/>
  <c r="F208" i="82"/>
  <c r="C208" i="82"/>
  <c r="I209" i="82"/>
  <c r="D209" i="82"/>
  <c r="J209" i="82"/>
  <c r="E209" i="82"/>
  <c r="F209" i="82"/>
  <c r="C209" i="82"/>
  <c r="I210" i="82"/>
  <c r="D210" i="82"/>
  <c r="J210" i="82"/>
  <c r="E210" i="82"/>
  <c r="F210" i="82"/>
  <c r="C210" i="82"/>
  <c r="I211" i="82"/>
  <c r="D211" i="82"/>
  <c r="J211" i="82"/>
  <c r="E211" i="82"/>
  <c r="F211" i="82"/>
  <c r="C211" i="82"/>
  <c r="I212" i="82"/>
  <c r="D212" i="82"/>
  <c r="J212" i="82"/>
  <c r="E212" i="82"/>
  <c r="F212" i="82"/>
  <c r="C212" i="82"/>
  <c r="I213" i="82"/>
  <c r="D213" i="82"/>
  <c r="J213" i="82"/>
  <c r="E213" i="82"/>
  <c r="F213" i="82"/>
  <c r="C213" i="82"/>
  <c r="I214" i="82"/>
  <c r="D214" i="82"/>
  <c r="J214" i="82"/>
  <c r="E214" i="82"/>
  <c r="F214" i="82"/>
  <c r="C214" i="82"/>
  <c r="I215" i="82"/>
  <c r="D215" i="82"/>
  <c r="J215" i="82"/>
  <c r="E215" i="82"/>
  <c r="F215" i="82"/>
  <c r="C215" i="82"/>
  <c r="I216" i="82"/>
  <c r="D216" i="82"/>
  <c r="J216" i="82"/>
  <c r="E216" i="82"/>
  <c r="F216" i="82"/>
  <c r="C216" i="82"/>
  <c r="I217" i="82"/>
  <c r="D217" i="82"/>
  <c r="J217" i="82"/>
  <c r="E217" i="82"/>
  <c r="F217" i="82"/>
  <c r="C217" i="82"/>
  <c r="I218" i="82"/>
  <c r="D218" i="82"/>
  <c r="J218" i="82"/>
  <c r="E218" i="82"/>
  <c r="F218" i="82"/>
  <c r="C218" i="82"/>
  <c r="I219" i="82"/>
  <c r="D219" i="82"/>
  <c r="J219" i="82"/>
  <c r="E219" i="82"/>
  <c r="F219" i="82"/>
  <c r="C219" i="82"/>
  <c r="I220" i="82"/>
  <c r="D220" i="82"/>
  <c r="J220" i="82"/>
  <c r="E220" i="82"/>
  <c r="F220" i="82"/>
  <c r="C220" i="82"/>
  <c r="I221" i="82"/>
  <c r="D221" i="82"/>
  <c r="J221" i="82"/>
  <c r="E221" i="82"/>
  <c r="F221" i="82"/>
  <c r="C221" i="82"/>
  <c r="I222" i="82"/>
  <c r="D222" i="82"/>
  <c r="J222" i="82"/>
  <c r="E222" i="82"/>
  <c r="F222" i="82"/>
  <c r="C222" i="82"/>
  <c r="I223" i="82"/>
  <c r="D223" i="82"/>
  <c r="J223" i="82"/>
  <c r="E223" i="82"/>
  <c r="F223" i="82"/>
  <c r="C223" i="82"/>
  <c r="I224" i="82"/>
  <c r="D224" i="82"/>
  <c r="J224" i="82"/>
  <c r="E224" i="82"/>
  <c r="F224" i="82"/>
  <c r="C224" i="82"/>
  <c r="I225" i="82"/>
  <c r="D225" i="82"/>
  <c r="J225" i="82"/>
  <c r="E225" i="82"/>
  <c r="F225" i="82"/>
  <c r="C225" i="82"/>
  <c r="I226" i="82"/>
  <c r="D226" i="82"/>
  <c r="J226" i="82"/>
  <c r="E226" i="82"/>
  <c r="F226" i="82"/>
  <c r="C226" i="82"/>
  <c r="I227" i="82"/>
  <c r="D227" i="82"/>
  <c r="J227" i="82"/>
  <c r="E227" i="82"/>
  <c r="F227" i="82"/>
  <c r="C227" i="82"/>
  <c r="I228" i="82"/>
  <c r="D228" i="82"/>
  <c r="J228" i="82"/>
  <c r="E228" i="82"/>
  <c r="F228" i="82"/>
  <c r="C228" i="82"/>
  <c r="I229" i="82"/>
  <c r="D229" i="82"/>
  <c r="J229" i="82"/>
  <c r="E229" i="82"/>
  <c r="F229" i="82"/>
  <c r="C229" i="82"/>
  <c r="I230" i="82"/>
  <c r="D230" i="82"/>
  <c r="J230" i="82"/>
  <c r="E230" i="82"/>
  <c r="F230" i="82"/>
  <c r="C230" i="82"/>
  <c r="I231" i="82"/>
  <c r="D231" i="82"/>
  <c r="J231" i="82"/>
  <c r="E231" i="82"/>
  <c r="F231" i="82"/>
  <c r="C231" i="82"/>
  <c r="I232" i="82"/>
  <c r="D232" i="82"/>
  <c r="J232" i="82"/>
  <c r="E232" i="82"/>
  <c r="F232" i="82"/>
  <c r="C232" i="82"/>
  <c r="I233" i="82"/>
  <c r="D233" i="82"/>
  <c r="J233" i="82"/>
  <c r="E233" i="82"/>
  <c r="F233" i="82"/>
  <c r="C233" i="82"/>
  <c r="I234" i="82"/>
  <c r="D234" i="82"/>
  <c r="J234" i="82"/>
  <c r="E234" i="82"/>
  <c r="F234" i="82"/>
  <c r="C234" i="82"/>
  <c r="I235" i="82"/>
  <c r="D235" i="82"/>
  <c r="J235" i="82"/>
  <c r="E235" i="82"/>
  <c r="F235" i="82"/>
  <c r="C235" i="82"/>
  <c r="I236" i="82"/>
  <c r="D236" i="82"/>
  <c r="J236" i="82"/>
  <c r="E236" i="82"/>
  <c r="F236" i="82"/>
  <c r="C236" i="82"/>
  <c r="I237" i="82"/>
  <c r="D237" i="82"/>
  <c r="J237" i="82"/>
  <c r="E237" i="82"/>
  <c r="F237" i="82"/>
  <c r="C237" i="82"/>
  <c r="I238" i="82"/>
  <c r="D238" i="82"/>
  <c r="J238" i="82"/>
  <c r="E238" i="82"/>
  <c r="F238" i="82"/>
  <c r="C238" i="82"/>
  <c r="I239" i="82"/>
  <c r="D239" i="82"/>
  <c r="J239" i="82"/>
  <c r="E239" i="82"/>
  <c r="F239" i="82"/>
  <c r="C239" i="82"/>
  <c r="I240" i="82"/>
  <c r="D240" i="82"/>
  <c r="J240" i="82"/>
  <c r="E240" i="82"/>
  <c r="F240" i="82"/>
  <c r="C240" i="82"/>
  <c r="I241" i="82"/>
  <c r="D241" i="82"/>
  <c r="J241" i="82"/>
  <c r="E241" i="82"/>
  <c r="F241" i="82"/>
  <c r="C241" i="82"/>
  <c r="I242" i="82"/>
  <c r="D242" i="82"/>
  <c r="J242" i="82"/>
  <c r="E242" i="82"/>
  <c r="F242" i="82"/>
  <c r="C242" i="82"/>
  <c r="I243" i="82"/>
  <c r="D243" i="82"/>
  <c r="J243" i="82"/>
  <c r="E243" i="82"/>
  <c r="F243" i="82"/>
  <c r="C243" i="82"/>
  <c r="I244" i="82"/>
  <c r="D244" i="82"/>
  <c r="J244" i="82"/>
  <c r="E244" i="82"/>
  <c r="F244" i="82"/>
  <c r="C244" i="82"/>
  <c r="I245" i="82"/>
  <c r="D245" i="82"/>
  <c r="J245" i="82"/>
  <c r="E245" i="82"/>
  <c r="F245" i="82"/>
  <c r="C245" i="82"/>
  <c r="I246" i="82"/>
  <c r="D246" i="82"/>
  <c r="J246" i="82"/>
  <c r="E246" i="82"/>
  <c r="F246" i="82"/>
  <c r="C246" i="82"/>
  <c r="I247" i="82"/>
  <c r="D247" i="82"/>
  <c r="J247" i="82"/>
  <c r="E247" i="82"/>
  <c r="F247" i="82"/>
  <c r="C247" i="82"/>
  <c r="I248" i="82"/>
  <c r="D248" i="82"/>
  <c r="J248" i="82"/>
  <c r="E248" i="82"/>
  <c r="F248" i="82"/>
  <c r="C248" i="82"/>
  <c r="I249" i="82"/>
  <c r="D249" i="82"/>
  <c r="J249" i="82"/>
  <c r="E249" i="82"/>
  <c r="F249" i="82"/>
  <c r="C249" i="82"/>
  <c r="I250" i="82"/>
  <c r="D250" i="82"/>
  <c r="J250" i="82"/>
  <c r="E250" i="82"/>
  <c r="F250" i="82"/>
  <c r="C250" i="82"/>
  <c r="I251" i="82"/>
  <c r="D251" i="82"/>
  <c r="J251" i="82"/>
  <c r="E251" i="82"/>
  <c r="F251" i="82"/>
  <c r="C251" i="82"/>
  <c r="I252" i="82"/>
  <c r="D252" i="82"/>
  <c r="J252" i="82"/>
  <c r="E252" i="82"/>
  <c r="F252" i="82"/>
  <c r="C252" i="82"/>
  <c r="I253" i="82"/>
  <c r="D253" i="82"/>
  <c r="J253" i="82"/>
  <c r="E253" i="82"/>
  <c r="F253" i="82"/>
  <c r="C253" i="82"/>
  <c r="I254" i="82"/>
  <c r="D254" i="82"/>
  <c r="J254" i="82"/>
  <c r="E254" i="82"/>
  <c r="F254" i="82"/>
  <c r="C254" i="82"/>
  <c r="I255" i="82"/>
  <c r="D255" i="82"/>
  <c r="J255" i="82"/>
  <c r="E255" i="82"/>
  <c r="F255" i="82"/>
  <c r="C255" i="82"/>
  <c r="I262" i="82"/>
  <c r="D262" i="82"/>
  <c r="J262" i="82"/>
  <c r="E262" i="82"/>
  <c r="F262" i="82"/>
  <c r="C262" i="82"/>
  <c r="I263" i="82"/>
  <c r="D263" i="82"/>
  <c r="J263" i="82"/>
  <c r="E263" i="82"/>
  <c r="F263" i="82"/>
  <c r="C263" i="82"/>
  <c r="I264" i="82"/>
  <c r="D264" i="82"/>
  <c r="J264" i="82"/>
  <c r="E264" i="82"/>
  <c r="F264" i="82"/>
  <c r="C264" i="82"/>
  <c r="I265" i="82"/>
  <c r="D265" i="82"/>
  <c r="J265" i="82"/>
  <c r="E265" i="82"/>
  <c r="F265" i="82"/>
  <c r="C265" i="82"/>
  <c r="I266" i="82"/>
  <c r="D266" i="82"/>
  <c r="J266" i="82"/>
  <c r="E266" i="82"/>
  <c r="F266" i="82"/>
  <c r="C266" i="82"/>
  <c r="I267" i="82"/>
  <c r="D267" i="82"/>
  <c r="J267" i="82"/>
  <c r="E267" i="82"/>
  <c r="F267" i="82"/>
  <c r="C267" i="82"/>
  <c r="I268" i="82"/>
  <c r="D268" i="82"/>
  <c r="J268" i="82"/>
  <c r="E268" i="82"/>
  <c r="F268" i="82"/>
  <c r="C268" i="82"/>
  <c r="I269" i="82"/>
  <c r="D269" i="82"/>
  <c r="J269" i="82"/>
  <c r="E269" i="82"/>
  <c r="F269" i="82"/>
  <c r="C269" i="82"/>
  <c r="I270" i="82"/>
  <c r="D270" i="82"/>
  <c r="J270" i="82"/>
  <c r="E270" i="82"/>
  <c r="F270" i="82"/>
  <c r="C270" i="82"/>
  <c r="I271" i="82"/>
  <c r="D271" i="82"/>
  <c r="J271" i="82"/>
  <c r="E271" i="82"/>
  <c r="F271" i="82"/>
  <c r="C271" i="82"/>
  <c r="I256" i="82"/>
  <c r="D256" i="82"/>
  <c r="J256" i="82"/>
  <c r="E256" i="82"/>
  <c r="F256" i="82"/>
  <c r="C256" i="82"/>
  <c r="I257" i="82"/>
  <c r="D257" i="82"/>
  <c r="J257" i="82"/>
  <c r="E257" i="82"/>
  <c r="F257" i="82"/>
  <c r="C257" i="82"/>
  <c r="I258" i="82"/>
  <c r="D258" i="82"/>
  <c r="J258" i="82"/>
  <c r="E258" i="82"/>
  <c r="F258" i="82"/>
  <c r="C258" i="82"/>
  <c r="I259" i="82"/>
  <c r="D259" i="82"/>
  <c r="J259" i="82"/>
  <c r="E259" i="82"/>
  <c r="F259" i="82"/>
  <c r="C259" i="82"/>
  <c r="I260" i="82"/>
  <c r="D260" i="82"/>
  <c r="J260" i="82"/>
  <c r="E260" i="82"/>
  <c r="F260" i="82"/>
  <c r="C260" i="82"/>
  <c r="I261" i="82"/>
  <c r="D261" i="82"/>
  <c r="J261" i="82"/>
  <c r="E261" i="82"/>
  <c r="F261" i="82"/>
  <c r="C261" i="82"/>
  <c r="F27" i="106"/>
  <c r="G30" i="106"/>
  <c r="G31" i="106"/>
  <c r="V3" i="106"/>
  <c r="V4" i="106"/>
  <c r="V5" i="106"/>
  <c r="V7" i="106"/>
  <c r="V8" i="106"/>
  <c r="V9" i="106"/>
  <c r="V10" i="106"/>
  <c r="V11" i="106"/>
  <c r="V12" i="106"/>
  <c r="V13" i="106"/>
  <c r="V14" i="106"/>
  <c r="V15" i="106"/>
  <c r="V16" i="106"/>
  <c r="V2" i="106"/>
  <c r="C21" i="106"/>
  <c r="D21" i="106"/>
  <c r="C17" i="106"/>
  <c r="D17" i="106"/>
  <c r="C18" i="106"/>
  <c r="D18" i="106"/>
  <c r="C24" i="106"/>
  <c r="D24" i="106"/>
  <c r="C25" i="106"/>
  <c r="D25" i="106"/>
  <c r="C26" i="106"/>
  <c r="D26" i="106"/>
  <c r="C19" i="106"/>
  <c r="D19" i="106"/>
  <c r="C20" i="106"/>
  <c r="D20" i="106"/>
  <c r="C27" i="106"/>
  <c r="D27" i="106"/>
  <c r="C28" i="106"/>
  <c r="D28" i="106"/>
  <c r="R18" i="106"/>
  <c r="R19" i="106"/>
  <c r="R9" i="106"/>
  <c r="R10" i="106"/>
  <c r="R15" i="106"/>
  <c r="R16" i="106"/>
  <c r="R17" i="106"/>
  <c r="R12" i="106"/>
  <c r="R13" i="106"/>
  <c r="R14" i="106"/>
  <c r="R6" i="106"/>
  <c r="R7" i="106"/>
  <c r="R8" i="106"/>
  <c r="C22" i="106"/>
  <c r="D22" i="106"/>
  <c r="C23" i="106"/>
  <c r="D23" i="106"/>
  <c r="C29" i="106"/>
  <c r="D29" i="106"/>
  <c r="F18" i="106"/>
  <c r="F19" i="106"/>
  <c r="F20" i="106"/>
  <c r="F21" i="106"/>
  <c r="F22" i="106"/>
  <c r="F23" i="106"/>
  <c r="F24" i="106"/>
  <c r="F25" i="106"/>
  <c r="F26" i="106"/>
  <c r="F28" i="106"/>
  <c r="F29" i="106"/>
  <c r="E30" i="106"/>
  <c r="F30" i="106"/>
  <c r="E31" i="106"/>
  <c r="F31" i="106"/>
  <c r="F17" i="106"/>
  <c r="R20" i="106"/>
  <c r="R11" i="106"/>
  <c r="M18" i="106"/>
  <c r="O18" i="106"/>
  <c r="P18" i="106"/>
  <c r="M19" i="106"/>
  <c r="O19" i="106"/>
  <c r="P19" i="106"/>
  <c r="M20" i="106"/>
  <c r="O20" i="106"/>
  <c r="P20" i="106"/>
  <c r="M15" i="106"/>
  <c r="O15" i="106"/>
  <c r="P15" i="106"/>
  <c r="M16" i="106"/>
  <c r="O16" i="106"/>
  <c r="P16" i="106"/>
  <c r="M17" i="106"/>
  <c r="O17" i="106"/>
  <c r="P17" i="106"/>
  <c r="F41" i="106"/>
  <c r="G41" i="106"/>
  <c r="G40" i="106"/>
  <c r="P16" i="82"/>
  <c r="P18" i="82"/>
  <c r="P20" i="82"/>
  <c r="P22" i="82"/>
  <c r="P15" i="82"/>
  <c r="P17" i="82"/>
  <c r="P19" i="82"/>
  <c r="P21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38" i="82"/>
  <c r="P139" i="82"/>
  <c r="P140" i="82"/>
  <c r="P141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62" i="82"/>
  <c r="P263" i="82"/>
  <c r="P264" i="82"/>
  <c r="P265" i="82"/>
  <c r="P266" i="82"/>
  <c r="P267" i="82"/>
  <c r="P268" i="82"/>
  <c r="P269" i="82"/>
  <c r="P270" i="82"/>
  <c r="P271" i="82"/>
  <c r="P256" i="82"/>
  <c r="P257" i="82"/>
  <c r="P258" i="82"/>
  <c r="P259" i="82"/>
  <c r="P260" i="82"/>
  <c r="P261" i="82"/>
  <c r="F48" i="106"/>
  <c r="F46" i="106"/>
  <c r="F47" i="106"/>
  <c r="F45" i="106"/>
  <c r="B32" i="106"/>
  <c r="I17" i="106"/>
  <c r="J17" i="106"/>
  <c r="I18" i="106"/>
  <c r="J18" i="106"/>
  <c r="I19" i="106"/>
  <c r="J19" i="106"/>
  <c r="I20" i="106"/>
  <c r="J20" i="106"/>
  <c r="I21" i="106"/>
  <c r="J21" i="106"/>
  <c r="I22" i="106"/>
  <c r="J22" i="106"/>
  <c r="I23" i="106"/>
  <c r="J23" i="106"/>
  <c r="I24" i="106"/>
  <c r="J24" i="106"/>
  <c r="I25" i="106"/>
  <c r="J25" i="106"/>
  <c r="I26" i="106"/>
  <c r="J26" i="106"/>
  <c r="I29" i="106"/>
  <c r="J29" i="106"/>
  <c r="I28" i="106"/>
  <c r="J28" i="106"/>
  <c r="I27" i="106"/>
  <c r="J27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O3" i="106"/>
  <c r="P4" i="106"/>
  <c r="O4" i="106"/>
  <c r="P5" i="106"/>
  <c r="O5" i="106"/>
  <c r="P6" i="106"/>
  <c r="O6" i="106"/>
  <c r="P7" i="106"/>
  <c r="O7" i="106"/>
  <c r="P8" i="106"/>
  <c r="O8" i="106"/>
  <c r="P9" i="106"/>
  <c r="O9" i="106"/>
  <c r="P10" i="106"/>
  <c r="O10" i="106"/>
  <c r="P11" i="106"/>
  <c r="O11" i="106"/>
  <c r="P12" i="106"/>
  <c r="O12" i="106"/>
  <c r="P13" i="106"/>
  <c r="O13" i="106"/>
  <c r="P14" i="106"/>
  <c r="O14" i="106"/>
  <c r="C30" i="106"/>
  <c r="D30" i="106"/>
  <c r="H30" i="106"/>
  <c r="A256" i="82"/>
  <c r="H256" i="82"/>
  <c r="K256" i="82"/>
  <c r="L256" i="82"/>
  <c r="M256" i="82"/>
  <c r="N256" i="82"/>
  <c r="A257" i="82"/>
  <c r="H257" i="82"/>
  <c r="K257" i="82"/>
  <c r="L257" i="82"/>
  <c r="M257" i="82"/>
  <c r="N257" i="82"/>
  <c r="A258" i="82"/>
  <c r="H258" i="82"/>
  <c r="K258" i="82"/>
  <c r="L258" i="82"/>
  <c r="M258" i="82"/>
  <c r="N258" i="82"/>
  <c r="A259" i="82"/>
  <c r="H259" i="82"/>
  <c r="K259" i="82"/>
  <c r="L259" i="82"/>
  <c r="M259" i="82"/>
  <c r="N259" i="82"/>
  <c r="A260" i="82"/>
  <c r="H260" i="82"/>
  <c r="K260" i="82"/>
  <c r="L260" i="82"/>
  <c r="M260" i="82"/>
  <c r="N260" i="82"/>
  <c r="A261" i="82"/>
  <c r="H261" i="82"/>
  <c r="K261" i="82"/>
  <c r="L261" i="82"/>
  <c r="M261" i="82"/>
  <c r="N261" i="82"/>
  <c r="C3" i="103"/>
  <c r="M13" i="106"/>
  <c r="M14" i="106"/>
  <c r="A262" i="82"/>
  <c r="A263" i="82"/>
  <c r="A264" i="82"/>
  <c r="A265" i="82"/>
  <c r="A266" i="82"/>
  <c r="A267" i="82"/>
  <c r="A268" i="82"/>
  <c r="A269" i="82"/>
  <c r="A270" i="82"/>
  <c r="A271" i="82"/>
  <c r="H262" i="82"/>
  <c r="K262" i="82"/>
  <c r="L262" i="82"/>
  <c r="M262" i="82"/>
  <c r="N262" i="82"/>
  <c r="H263" i="82"/>
  <c r="K263" i="82"/>
  <c r="L263" i="82"/>
  <c r="M263" i="82"/>
  <c r="N263" i="82"/>
  <c r="H264" i="82"/>
  <c r="K264" i="82"/>
  <c r="L264" i="82"/>
  <c r="M264" i="82"/>
  <c r="N264" i="82"/>
  <c r="H265" i="82"/>
  <c r="K265" i="82"/>
  <c r="L265" i="82"/>
  <c r="M265" i="82"/>
  <c r="N265" i="82"/>
  <c r="H266" i="82"/>
  <c r="K266" i="82"/>
  <c r="L266" i="82"/>
  <c r="M266" i="82"/>
  <c r="N266" i="82"/>
  <c r="H267" i="82"/>
  <c r="K267" i="82"/>
  <c r="L267" i="82"/>
  <c r="M267" i="82"/>
  <c r="N267" i="82"/>
  <c r="H268" i="82"/>
  <c r="K268" i="82"/>
  <c r="L268" i="82"/>
  <c r="M268" i="82"/>
  <c r="N268" i="82"/>
  <c r="H269" i="82"/>
  <c r="K269" i="82"/>
  <c r="L269" i="82"/>
  <c r="M269" i="82"/>
  <c r="N269" i="82"/>
  <c r="H270" i="82"/>
  <c r="K270" i="82"/>
  <c r="L270" i="82"/>
  <c r="M270" i="82"/>
  <c r="N270" i="82"/>
  <c r="H271" i="82"/>
  <c r="K271" i="82"/>
  <c r="L271" i="82"/>
  <c r="M271" i="82"/>
  <c r="N271" i="82"/>
  <c r="B40" i="106"/>
  <c r="B41" i="106"/>
  <c r="B42" i="106"/>
  <c r="B43" i="106"/>
  <c r="B44" i="106"/>
  <c r="B45" i="106"/>
  <c r="B46" i="106"/>
  <c r="B47" i="106"/>
  <c r="C40" i="106"/>
  <c r="C41" i="106"/>
  <c r="C42" i="106"/>
  <c r="C43" i="106"/>
  <c r="C44" i="106"/>
  <c r="C45" i="106"/>
  <c r="C46" i="106"/>
  <c r="C47" i="106"/>
  <c r="C31" i="106"/>
  <c r="D31" i="106"/>
  <c r="H31" i="106"/>
  <c r="A246" i="82"/>
  <c r="H246" i="82"/>
  <c r="K246" i="82"/>
  <c r="L246" i="82"/>
  <c r="M246" i="82"/>
  <c r="N246" i="82"/>
  <c r="A247" i="82"/>
  <c r="H247" i="82"/>
  <c r="K247" i="82"/>
  <c r="L247" i="82"/>
  <c r="M247" i="82"/>
  <c r="N247" i="82"/>
  <c r="A248" i="82"/>
  <c r="H248" i="82"/>
  <c r="K248" i="82"/>
  <c r="L248" i="82"/>
  <c r="M248" i="82"/>
  <c r="N248" i="82"/>
  <c r="A249" i="82"/>
  <c r="H249" i="82"/>
  <c r="K249" i="82"/>
  <c r="L249" i="82"/>
  <c r="M249" i="82"/>
  <c r="N249" i="82"/>
  <c r="A250" i="82"/>
  <c r="H250" i="82"/>
  <c r="K250" i="82"/>
  <c r="L250" i="82"/>
  <c r="M250" i="82"/>
  <c r="N250" i="82"/>
  <c r="A251" i="82"/>
  <c r="H251" i="82"/>
  <c r="K251" i="82"/>
  <c r="L251" i="82"/>
  <c r="M251" i="82"/>
  <c r="N251" i="82"/>
  <c r="A252" i="82"/>
  <c r="H252" i="82"/>
  <c r="K252" i="82"/>
  <c r="L252" i="82"/>
  <c r="M252" i="82"/>
  <c r="N252" i="82"/>
  <c r="A253" i="82"/>
  <c r="H253" i="82"/>
  <c r="K253" i="82"/>
  <c r="L253" i="82"/>
  <c r="M253" i="82"/>
  <c r="N253" i="82"/>
  <c r="A254" i="82"/>
  <c r="H254" i="82"/>
  <c r="K254" i="82"/>
  <c r="L254" i="82"/>
  <c r="M254" i="82"/>
  <c r="N254" i="82"/>
  <c r="A255" i="82"/>
  <c r="H255" i="82"/>
  <c r="K255" i="82"/>
  <c r="L255" i="82"/>
  <c r="M255" i="82"/>
  <c r="N255" i="82"/>
  <c r="C2" i="103"/>
  <c r="M4" i="106"/>
  <c r="M12" i="106"/>
  <c r="M11" i="106"/>
  <c r="M10" i="106"/>
  <c r="M9" i="106"/>
  <c r="M8" i="106"/>
  <c r="M7" i="106"/>
  <c r="M6" i="106"/>
  <c r="M5" i="106"/>
  <c r="M3" i="106"/>
  <c r="K138" i="82"/>
  <c r="K139" i="82"/>
  <c r="K140" i="82"/>
  <c r="K141" i="82"/>
  <c r="K142" i="82"/>
  <c r="K143" i="82"/>
  <c r="K144" i="82"/>
  <c r="K145" i="82"/>
  <c r="K149" i="82"/>
  <c r="K150" i="82"/>
  <c r="K151" i="82"/>
  <c r="K152" i="82"/>
  <c r="K156" i="82"/>
  <c r="K157" i="82"/>
  <c r="K164" i="82"/>
  <c r="K165" i="82"/>
  <c r="K169" i="82"/>
  <c r="K170" i="82"/>
  <c r="K174" i="82"/>
  <c r="K175" i="82"/>
  <c r="K176" i="82"/>
  <c r="K177" i="82"/>
  <c r="K184" i="82"/>
  <c r="K185" i="82"/>
  <c r="K189" i="82"/>
  <c r="K190" i="82"/>
  <c r="K191" i="82"/>
  <c r="K192" i="82"/>
  <c r="K196" i="82"/>
  <c r="K197" i="82"/>
  <c r="K201" i="82"/>
  <c r="K202" i="82"/>
  <c r="K206" i="82"/>
  <c r="K207" i="82"/>
  <c r="K208" i="82"/>
  <c r="K209" i="82"/>
  <c r="K213" i="82"/>
  <c r="K214" i="82"/>
  <c r="K215" i="82"/>
  <c r="K216" i="82"/>
  <c r="K223" i="82"/>
  <c r="K224" i="82"/>
  <c r="K231" i="82"/>
  <c r="K232" i="82"/>
  <c r="K236" i="82"/>
  <c r="K237" i="82"/>
  <c r="K238" i="82"/>
  <c r="K239" i="82"/>
  <c r="I30" i="106"/>
  <c r="J30" i="106"/>
  <c r="I31" i="106"/>
  <c r="J31" i="106"/>
  <c r="K3" i="82"/>
  <c r="K4" i="82"/>
  <c r="K5" i="82"/>
  <c r="K6" i="82"/>
  <c r="K7" i="82"/>
  <c r="K8" i="82"/>
  <c r="K9" i="82"/>
  <c r="K10" i="82"/>
  <c r="K11" i="82"/>
  <c r="K12" i="82"/>
  <c r="K13" i="82"/>
  <c r="K14" i="82"/>
  <c r="K15" i="82"/>
  <c r="K16" i="82"/>
  <c r="K17" i="82"/>
  <c r="K18" i="82"/>
  <c r="K19" i="82"/>
  <c r="K20" i="82"/>
  <c r="K21" i="82"/>
  <c r="K22" i="82"/>
  <c r="K23" i="82"/>
  <c r="K24" i="82"/>
  <c r="K25" i="82"/>
  <c r="K26" i="82"/>
  <c r="K27" i="82"/>
  <c r="K28" i="82"/>
  <c r="K29" i="82"/>
  <c r="K30" i="82"/>
  <c r="K31" i="82"/>
  <c r="K32" i="82"/>
  <c r="K33" i="82"/>
  <c r="K34" i="82"/>
  <c r="K35" i="82"/>
  <c r="K36" i="82"/>
  <c r="K37" i="82"/>
  <c r="K38" i="82"/>
  <c r="K39" i="82"/>
  <c r="K40" i="82"/>
  <c r="K41" i="82"/>
  <c r="K42" i="82"/>
  <c r="K43" i="82"/>
  <c r="K44" i="82"/>
  <c r="K45" i="82"/>
  <c r="K46" i="82"/>
  <c r="K47" i="82"/>
  <c r="K48" i="82"/>
  <c r="K49" i="82"/>
  <c r="K50" i="82"/>
  <c r="K51" i="82"/>
  <c r="K52" i="82"/>
  <c r="K53" i="82"/>
  <c r="K54" i="82"/>
  <c r="K55" i="82"/>
  <c r="K56" i="82"/>
  <c r="K57" i="82"/>
  <c r="K58" i="82"/>
  <c r="K59" i="82"/>
  <c r="K60" i="82"/>
  <c r="K61" i="82"/>
  <c r="K62" i="82"/>
  <c r="K63" i="82"/>
  <c r="K64" i="82"/>
  <c r="K65" i="82"/>
  <c r="K66" i="82"/>
  <c r="K67" i="82"/>
  <c r="K68" i="82"/>
  <c r="K69" i="82"/>
  <c r="K70" i="82"/>
  <c r="K71" i="82"/>
  <c r="K72" i="82"/>
  <c r="K73" i="82"/>
  <c r="K74" i="82"/>
  <c r="K75" i="82"/>
  <c r="K76" i="82"/>
  <c r="K77" i="82"/>
  <c r="K78" i="82"/>
  <c r="K79" i="82"/>
  <c r="K80" i="82"/>
  <c r="K81" i="82"/>
  <c r="K82" i="82"/>
  <c r="K83" i="82"/>
  <c r="K84" i="82"/>
  <c r="K85" i="82"/>
  <c r="K86" i="82"/>
  <c r="K87" i="82"/>
  <c r="K88" i="82"/>
  <c r="K89" i="82"/>
  <c r="K90" i="82"/>
  <c r="K91" i="82"/>
  <c r="K92" i="82"/>
  <c r="K93" i="82"/>
  <c r="K94" i="82"/>
  <c r="K95" i="82"/>
  <c r="K96" i="82"/>
  <c r="K97" i="82"/>
  <c r="K98" i="82"/>
  <c r="K99" i="82"/>
  <c r="K100" i="82"/>
  <c r="K101" i="82"/>
  <c r="K102" i="82"/>
  <c r="K103" i="82"/>
  <c r="K104" i="82"/>
  <c r="K105" i="82"/>
  <c r="K106" i="82"/>
  <c r="K107" i="82"/>
  <c r="K108" i="82"/>
  <c r="K109" i="82"/>
  <c r="K110" i="82"/>
  <c r="K111" i="82"/>
  <c r="K112" i="82"/>
  <c r="K113" i="82"/>
  <c r="K114" i="82"/>
  <c r="K115" i="82"/>
  <c r="K116" i="82"/>
  <c r="K117" i="82"/>
  <c r="K118" i="82"/>
  <c r="K119" i="82"/>
  <c r="K120" i="82"/>
  <c r="K121" i="82"/>
  <c r="K122" i="82"/>
  <c r="K123" i="82"/>
  <c r="K124" i="82"/>
  <c r="K125" i="82"/>
  <c r="K126" i="82"/>
  <c r="K127" i="82"/>
  <c r="K128" i="82"/>
  <c r="K129" i="82"/>
  <c r="K130" i="82"/>
  <c r="K131" i="82"/>
  <c r="K132" i="82"/>
  <c r="K133" i="82"/>
  <c r="K134" i="82"/>
  <c r="K135" i="82"/>
  <c r="K136" i="82"/>
  <c r="K137" i="82"/>
  <c r="K146" i="82"/>
  <c r="K147" i="82"/>
  <c r="K148" i="82"/>
  <c r="K153" i="82"/>
  <c r="K154" i="82"/>
  <c r="K155" i="82"/>
  <c r="K158" i="82"/>
  <c r="K159" i="82"/>
  <c r="K160" i="82"/>
  <c r="K161" i="82"/>
  <c r="K162" i="82"/>
  <c r="K163" i="82"/>
  <c r="K166" i="82"/>
  <c r="K167" i="82"/>
  <c r="K168" i="82"/>
  <c r="K171" i="82"/>
  <c r="K172" i="82"/>
  <c r="K173" i="82"/>
  <c r="K178" i="82"/>
  <c r="K179" i="82"/>
  <c r="K180" i="82"/>
  <c r="K181" i="82"/>
  <c r="K182" i="82"/>
  <c r="K183" i="82"/>
  <c r="K186" i="82"/>
  <c r="K187" i="82"/>
  <c r="K188" i="82"/>
  <c r="K193" i="82"/>
  <c r="K194" i="82"/>
  <c r="K195" i="82"/>
  <c r="K198" i="82"/>
  <c r="K199" i="82"/>
  <c r="K200" i="82"/>
  <c r="K203" i="82"/>
  <c r="K204" i="82"/>
  <c r="K205" i="82"/>
  <c r="K210" i="82"/>
  <c r="K211" i="82"/>
  <c r="K212" i="82"/>
  <c r="K217" i="82"/>
  <c r="K218" i="82"/>
  <c r="K219" i="82"/>
  <c r="K220" i="82"/>
  <c r="K221" i="82"/>
  <c r="K222" i="82"/>
  <c r="K225" i="82"/>
  <c r="K226" i="82"/>
  <c r="K227" i="82"/>
  <c r="K228" i="82"/>
  <c r="K229" i="82"/>
  <c r="K230" i="82"/>
  <c r="K233" i="82"/>
  <c r="K234" i="82"/>
  <c r="K235" i="82"/>
  <c r="K240" i="82"/>
  <c r="K241" i="82"/>
  <c r="K242" i="82"/>
  <c r="K243" i="82"/>
  <c r="K244" i="82"/>
  <c r="K245" i="82"/>
  <c r="K2" i="82"/>
  <c r="E3" i="103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C32" i="106"/>
  <c r="D32" i="106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E7" i="103"/>
  <c r="E6" i="103"/>
  <c r="E5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<sst xmlns="http://schemas.openxmlformats.org/spreadsheetml/2006/main" count="561" uniqueCount="229">
  <si>
    <t>character_id</t>
  </si>
  <si>
    <t>character_id</t>
    <phoneticPr fontId="16"/>
  </si>
  <si>
    <t>weight</t>
    <phoneticPr fontId="16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</si>
  <si>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</si>
  <si>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</si>
  <si>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</si>
  <si>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</si>
  <si>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</si>
  <si>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</si>
  <si>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</si>
  <si>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6"/>
  </si>
  <si>
    <t>bonus_table_no</t>
    <phoneticPr fontId="16"/>
  </si>
  <si>
    <t>weight</t>
    <phoneticPr fontId="16"/>
  </si>
  <si>
    <t>gift_id</t>
    <phoneticPr fontId="16"/>
  </si>
  <si>
    <t>gift_id</t>
    <phoneticPr fontId="16"/>
  </si>
  <si>
    <t>gift_type</t>
    <phoneticPr fontId="16"/>
  </si>
  <si>
    <t>gift_value</t>
    <phoneticPr fontId="16"/>
  </si>
  <si>
    <t>gift_count</t>
    <phoneticPr fontId="16"/>
  </si>
  <si>
    <t>language</t>
    <phoneticPr fontId="16"/>
  </si>
  <si>
    <t>title</t>
    <phoneticPr fontId="16"/>
  </si>
  <si>
    <t>detail</t>
    <phoneticPr fontId="16"/>
  </si>
  <si>
    <t>message</t>
    <phoneticPr fontId="16"/>
  </si>
  <si>
    <t>gift_id</t>
    <phoneticPr fontId="16"/>
  </si>
  <si>
    <t>gift_value</t>
    <phoneticPr fontId="16"/>
  </si>
  <si>
    <t>gift_value</t>
    <phoneticPr fontId="16"/>
  </si>
  <si>
    <t>gift_count</t>
    <phoneticPr fontId="16"/>
  </si>
  <si>
    <t>language</t>
    <phoneticPr fontId="16"/>
  </si>
  <si>
    <t>title</t>
    <phoneticPr fontId="16"/>
  </si>
  <si>
    <t>detail</t>
    <phoneticPr fontId="16"/>
  </si>
  <si>
    <t>message</t>
    <phoneticPr fontId="16"/>
  </si>
  <si>
    <t>gift_type</t>
    <phoneticPr fontId="16"/>
  </si>
  <si>
    <t>備考</t>
    <rPh sb="0" eb="2">
      <t>ビコウ</t>
    </rPh>
    <phoneticPr fontId="16"/>
  </si>
  <si>
    <t>character_id</t>
    <phoneticPr fontId="16"/>
  </si>
  <si>
    <t>name</t>
    <phoneticPr fontId="16"/>
  </si>
  <si>
    <t>drop_label</t>
    <phoneticPr fontId="16"/>
  </si>
  <si>
    <t>rare</t>
    <phoneticPr fontId="16"/>
  </si>
  <si>
    <t>character_type_id</t>
    <phoneticPr fontId="16"/>
  </si>
  <si>
    <t>character_tribe_id</t>
    <phoneticPr fontId="16"/>
  </si>
  <si>
    <t>unit_level</t>
    <phoneticPr fontId="16"/>
  </si>
  <si>
    <t>weight</t>
    <phoneticPr fontId="16"/>
  </si>
  <si>
    <t>接頭語</t>
    <rPh sb="0" eb="3">
      <t>セットウゴ</t>
    </rPh>
    <phoneticPr fontId="49"/>
  </si>
  <si>
    <t>識別子</t>
    <rPh sb="0" eb="3">
      <t>シキベツシ</t>
    </rPh>
    <phoneticPr fontId="49"/>
  </si>
  <si>
    <t>形式</t>
    <rPh sb="0" eb="2">
      <t>ケイシキ</t>
    </rPh>
    <phoneticPr fontId="49"/>
  </si>
  <si>
    <t>出力ファイル名</t>
    <rPh sb="0" eb="2">
      <t>シュツリョク</t>
    </rPh>
    <rPh sb="6" eb="7">
      <t>メイ</t>
    </rPh>
    <phoneticPr fontId="49"/>
  </si>
  <si>
    <t>入力シート名</t>
    <rPh sb="0" eb="2">
      <t>ニュウリョク</t>
    </rPh>
    <rPh sb="5" eb="6">
      <t>メイ</t>
    </rPh>
    <phoneticPr fontId="49"/>
  </si>
  <si>
    <t>出力データ</t>
    <rPh sb="0" eb="2">
      <t>シュツリョク</t>
    </rPh>
    <phoneticPr fontId="49"/>
  </si>
  <si>
    <t>.tmp</t>
    <phoneticPr fontId="49"/>
  </si>
  <si>
    <t>.tmp</t>
    <phoneticPr fontId="49"/>
  </si>
  <si>
    <t>gacha_bonus_tables</t>
    <phoneticPr fontId="49"/>
  </si>
  <si>
    <t>gifts_tmp_</t>
    <phoneticPr fontId="16"/>
  </si>
  <si>
    <t>gifts_i18n_</t>
    <phoneticPr fontId="16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</si>
  <si>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6"/>
  </si>
  <si>
    <t>出力flg</t>
    <rPh sb="0" eb="2">
      <t>シュツリョク</t>
    </rPh>
    <phoneticPr fontId="49"/>
  </si>
  <si>
    <t>color</t>
    <phoneticPr fontId="16"/>
  </si>
  <si>
    <t>skip</t>
    <phoneticPr fontId="16"/>
  </si>
  <si>
    <t>レアリティ別確率</t>
    <rPh sb="5" eb="6">
      <t>ベツ</t>
    </rPh>
    <rPh sb="6" eb="8">
      <t>カクリツ</t>
    </rPh>
    <phoneticPr fontId="16"/>
  </si>
  <si>
    <t>ラベル別確率</t>
    <rPh sb="3" eb="4">
      <t>ベツ</t>
    </rPh>
    <rPh sb="4" eb="6">
      <t>カクリツ</t>
    </rPh>
    <phoneticPr fontId="16"/>
  </si>
  <si>
    <t>SSS</t>
    <phoneticPr fontId="16"/>
  </si>
  <si>
    <t>SS</t>
    <phoneticPr fontId="16"/>
  </si>
  <si>
    <t>hogehoge</t>
    <phoneticPr fontId="16"/>
  </si>
  <si>
    <t>ラベル*レアリティ標準確率</t>
    <rPh sb="9" eb="11">
      <t>ヒョウジュン</t>
    </rPh>
    <rPh sb="11" eb="13">
      <t>カクリツ</t>
    </rPh>
    <phoneticPr fontId="16"/>
  </si>
  <si>
    <t>性別</t>
    <rPh sb="0" eb="2">
      <t>セイベツ</t>
    </rPh>
    <phoneticPr fontId="16"/>
  </si>
  <si>
    <t>合計</t>
    <rPh sb="0" eb="2">
      <t>ゴウケイ</t>
    </rPh>
    <phoneticPr fontId="16"/>
  </si>
  <si>
    <t>グループ</t>
    <phoneticPr fontId="16"/>
  </si>
  <si>
    <t>ピックアップ確率</t>
    <rPh sb="6" eb="8">
      <t>カクリツ</t>
    </rPh>
    <phoneticPr fontId="16"/>
  </si>
  <si>
    <t>残り確率</t>
    <rPh sb="0" eb="1">
      <t>ノコ</t>
    </rPh>
    <rPh sb="2" eb="4">
      <t>カクリツ</t>
    </rPh>
    <phoneticPr fontId="16"/>
  </si>
  <si>
    <t>確率</t>
    <rPh sb="0" eb="2">
      <t>カクリツ</t>
    </rPh>
    <phoneticPr fontId="16"/>
  </si>
  <si>
    <t>所属グループ</t>
    <rPh sb="0" eb="2">
      <t>ショゾク</t>
    </rPh>
    <phoneticPr fontId="16"/>
  </si>
  <si>
    <t>名前</t>
    <rPh sb="0" eb="2">
      <t>ナマエ</t>
    </rPh>
    <phoneticPr fontId="16"/>
  </si>
  <si>
    <t>レアリティ</t>
    <phoneticPr fontId="16"/>
  </si>
  <si>
    <t>ラベル</t>
    <phoneticPr fontId="16"/>
  </si>
  <si>
    <t>R3</t>
    <phoneticPr fontId="16"/>
  </si>
  <si>
    <t>R4</t>
    <phoneticPr fontId="16"/>
  </si>
  <si>
    <t>R5</t>
    <phoneticPr fontId="16"/>
  </si>
  <si>
    <t>個別確率</t>
    <rPh sb="0" eb="4">
      <t>コベツカクリツ</t>
    </rPh>
    <phoneticPr fontId="16"/>
  </si>
  <si>
    <t>該当数(ピックアップ除く)</t>
    <rPh sb="0" eb="2">
      <t>ガイトウ</t>
    </rPh>
    <rPh sb="2" eb="3">
      <t>スウ</t>
    </rPh>
    <rPh sb="10" eb="11">
      <t>ノゾ</t>
    </rPh>
    <phoneticPr fontId="16"/>
  </si>
  <si>
    <t>個別weight</t>
    <rPh sb="0" eb="2">
      <t>コベツ</t>
    </rPh>
    <phoneticPr fontId="16"/>
  </si>
  <si>
    <t>グループweight</t>
    <phoneticPr fontId="16"/>
  </si>
  <si>
    <t>端数</t>
    <rPh sb="0" eb="2">
      <t>ハスウ</t>
    </rPh>
    <phoneticPr fontId="16"/>
  </si>
  <si>
    <t>確率</t>
    <rPh sb="0" eb="2">
      <t>カクリツ</t>
    </rPh>
    <phoneticPr fontId="16"/>
  </si>
  <si>
    <t>--検算用--</t>
    <rPh sb="3" eb="6">
      <t>ケンザンヨウ</t>
    </rPh>
    <phoneticPr fontId="16"/>
  </si>
  <si>
    <t>端数逆数</t>
    <rPh sb="0" eb="2">
      <t>ハスウ</t>
    </rPh>
    <rPh sb="2" eb="4">
      <t>ギャクスウ</t>
    </rPh>
    <phoneticPr fontId="16"/>
  </si>
  <si>
    <t>テーブルを増やしたい場合</t>
    <rPh sb="5" eb="6">
      <t>フ</t>
    </rPh>
    <rPh sb="10" eb="12">
      <t>バアイ</t>
    </rPh>
    <phoneticPr fontId="16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</si>
  <si>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6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</si>
  <si>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6"/>
  </si>
  <si>
    <t>３．outputシートで２で作ったtablesを指定する</t>
    <rPh sb="14" eb="15">
      <t>ツク</t>
    </rPh>
    <rPh sb="24" eb="26">
      <t>シテイ</t>
    </rPh>
    <phoneticPr fontId="16"/>
  </si>
  <si>
    <t>テーブルid</t>
    <phoneticPr fontId="16"/>
  </si>
  <si>
    <t>→ピックアップの確率は右のほうにいます</t>
    <rPh sb="8" eb="10">
      <t>カクリツ</t>
    </rPh>
    <rPh sb="11" eb="12">
      <t>ミギ</t>
    </rPh>
    <phoneticPr fontId="16"/>
  </si>
  <si>
    <t>table_no</t>
    <phoneticPr fontId="16"/>
  </si>
  <si>
    <t>table_no</t>
    <phoneticPr fontId="16"/>
  </si>
  <si>
    <t>skill_level</t>
  </si>
  <si>
    <t>level</t>
  </si>
  <si>
    <t>hp_plus</t>
    <phoneticPr fontId="49"/>
  </si>
  <si>
    <t>attack_plus</t>
    <phoneticPr fontId="49"/>
  </si>
  <si>
    <t>heal_plus</t>
    <phoneticPr fontId="49"/>
  </si>
  <si>
    <t>defense_plus</t>
    <phoneticPr fontId="49"/>
  </si>
  <si>
    <t>level</t>
    <phoneticPr fontId="49"/>
  </si>
  <si>
    <t>skill_level</t>
    <phoneticPr fontId="49"/>
  </si>
  <si>
    <t>bug</t>
    <phoneticPr fontId="49"/>
  </si>
  <si>
    <t>ja</t>
    <phoneticPr fontId="16"/>
  </si>
  <si>
    <t>drop_label2</t>
    <phoneticPr fontId="16"/>
  </si>
  <si>
    <t>Premium</t>
    <phoneticPr fontId="16"/>
  </si>
  <si>
    <t>Premium3</t>
    <phoneticPr fontId="16"/>
  </si>
  <si>
    <t>Premium4</t>
    <phoneticPr fontId="16"/>
  </si>
  <si>
    <t>Premium5</t>
    <phoneticPr fontId="16"/>
  </si>
  <si>
    <t>グループ確率</t>
    <rPh sb="4" eb="6">
      <t>カクリツ</t>
    </rPh>
    <phoneticPr fontId="16"/>
  </si>
  <si>
    <t>レア度別確率</t>
    <rPh sb="2" eb="4">
      <t>ドベツ</t>
    </rPh>
    <rPh sb="4" eb="6">
      <t>カクリツ</t>
    </rPh>
    <phoneticPr fontId="16"/>
  </si>
  <si>
    <t>ラベル別確率</t>
    <rPh sb="3" eb="4">
      <t>ベツ</t>
    </rPh>
    <rPh sb="4" eb="6">
      <t>カクリツ</t>
    </rPh>
    <phoneticPr fontId="16"/>
  </si>
  <si>
    <t>color2</t>
    <phoneticPr fontId="16"/>
  </si>
  <si>
    <t>Premium3</t>
  </si>
  <si>
    <t>Premium4</t>
  </si>
  <si>
    <t>Premium5</t>
  </si>
  <si>
    <t>PremiumSS4</t>
    <phoneticPr fontId="16"/>
  </si>
  <si>
    <t>PremiumSS5</t>
    <phoneticPr fontId="16"/>
  </si>
  <si>
    <t>PremiumSSS5</t>
    <phoneticPr fontId="16"/>
  </si>
  <si>
    <t>PremiumSS4</t>
    <phoneticPr fontId="16"/>
  </si>
  <si>
    <t>PremiumSSS4</t>
    <phoneticPr fontId="16"/>
  </si>
  <si>
    <t>PremiumSS5</t>
    <phoneticPr fontId="16"/>
  </si>
  <si>
    <t>PremiumSSS5</t>
    <phoneticPr fontId="16"/>
  </si>
  <si>
    <t>gacha_select_tables_</t>
    <phoneticPr fontId="16"/>
  </si>
  <si>
    <t>ラベル確率で考えましょう</t>
    <rPh sb="6" eb="7">
      <t>カンガエマショウ</t>
    </rPh>
    <phoneticPr fontId="49"/>
  </si>
  <si>
    <t>ラベル</t>
    <phoneticPr fontId="49"/>
  </si>
  <si>
    <t>レアリティ</t>
    <phoneticPr fontId="49"/>
  </si>
  <si>
    <t>{W}</t>
    <phoneticPr fontId="49"/>
  </si>
  <si>
    <t>{N,S}</t>
    <phoneticPr fontId="49"/>
  </si>
  <si>
    <t>{N,S}R3less</t>
    <phoneticPr fontId="49"/>
  </si>
  <si>
    <t>{N,S}R6release</t>
    <phoneticPr fontId="49"/>
  </si>
  <si>
    <t>{SS}</t>
    <phoneticPr fontId="49"/>
  </si>
  <si>
    <t>{SS}R6only</t>
    <phoneticPr fontId="49"/>
  </si>
  <si>
    <t>小計</t>
    <rPh sb="0" eb="2">
      <t>ショウケイ</t>
    </rPh>
    <phoneticPr fontId="49"/>
  </si>
  <si>
    <t>A</t>
    <phoneticPr fontId="49"/>
  </si>
  <si>
    <t>C</t>
    <phoneticPr fontId="49"/>
  </si>
  <si>
    <t>H</t>
    <phoneticPr fontId="49"/>
  </si>
  <si>
    <t>B</t>
    <phoneticPr fontId="49"/>
  </si>
  <si>
    <t>D</t>
    <phoneticPr fontId="49"/>
  </si>
  <si>
    <t>F</t>
    <phoneticPr fontId="49"/>
  </si>
  <si>
    <t>I</t>
    <phoneticPr fontId="49"/>
  </si>
  <si>
    <t>K</t>
    <phoneticPr fontId="49"/>
  </si>
  <si>
    <t>E</t>
    <phoneticPr fontId="49"/>
  </si>
  <si>
    <t>G</t>
    <phoneticPr fontId="49"/>
  </si>
  <si>
    <t>J</t>
    <phoneticPr fontId="49"/>
  </si>
  <si>
    <t>L</t>
    <phoneticPr fontId="49"/>
  </si>
  <si>
    <t>M</t>
    <phoneticPr fontId="49"/>
  </si>
  <si>
    <t>→</t>
    <phoneticPr fontId="49"/>
  </si>
  <si>
    <t>1-SS率</t>
    <rPh sb="4" eb="5">
      <t>リツ</t>
    </rPh>
    <phoneticPr fontId="49"/>
  </si>
  <si>
    <t>SS率</t>
    <rPh sb="2" eb="3">
      <t>リツ</t>
    </rPh>
    <phoneticPr fontId="49"/>
  </si>
  <si>
    <t>考え方を変える</t>
    <rPh sb="0" eb="1">
      <t>カンガエカタ</t>
    </rPh>
    <rPh sb="4" eb="5">
      <t>カエル</t>
    </rPh>
    <phoneticPr fontId="49"/>
  </si>
  <si>
    <t>SS4%は確定事項</t>
    <rPh sb="5" eb="7">
      <t>カクテイ</t>
    </rPh>
    <rPh sb="7" eb="9">
      <t>ジコウ</t>
    </rPh>
    <phoneticPr fontId="49"/>
  </si>
  <si>
    <t>当たりは分配</t>
    <rPh sb="0" eb="1">
      <t>アタリ</t>
    </rPh>
    <rPh sb="4" eb="6">
      <t>ブンパイ</t>
    </rPh>
    <phoneticPr fontId="49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</si>
  <si>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49"/>
  </si>
  <si>
    <t>=</t>
    <phoneticPr fontId="49"/>
  </si>
  <si>
    <t>X*{SS R5only}</t>
    <phoneticPr fontId="49"/>
  </si>
  <si>
    <t>K</t>
    <phoneticPr fontId="49"/>
  </si>
  <si>
    <t>=</t>
    <phoneticPr fontId="49"/>
  </si>
  <si>
    <t>X*{SS}*(R3率+R4率)</t>
    <rPh sb="10" eb="11">
      <t>リツ</t>
    </rPh>
    <rPh sb="14" eb="15">
      <t>リツ</t>
    </rPh>
    <phoneticPr fontId="49"/>
  </si>
  <si>
    <t>L</t>
    <phoneticPr fontId="49"/>
  </si>
  <si>
    <t>X*{SS}*R5率</t>
    <rPh sb="9" eb="10">
      <t>リツ</t>
    </rPh>
    <phoneticPr fontId="49"/>
  </si>
  <si>
    <t>X*{R6release}*R3率</t>
    <rPh sb="16" eb="17">
      <t>リツ</t>
    </rPh>
    <phoneticPr fontId="49"/>
  </si>
  <si>
    <t>X*{R6release}*R4率</t>
    <rPh sb="16" eb="17">
      <t>リツ</t>
    </rPh>
    <phoneticPr fontId="49"/>
  </si>
  <si>
    <t>J</t>
    <phoneticPr fontId="49"/>
  </si>
  <si>
    <t>X*{R6release}*R5率</t>
    <rPh sb="16" eb="17">
      <t>リツ</t>
    </rPh>
    <phoneticPr fontId="49"/>
  </si>
  <si>
    <t>ハズレで確率を整える</t>
    <rPh sb="4" eb="6">
      <t>カクリツ</t>
    </rPh>
    <rPh sb="7" eb="8">
      <t>トトノエル</t>
    </rPh>
    <phoneticPr fontId="49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</si>
  <si>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49"/>
  </si>
  <si>
    <t>A + C</t>
    <phoneticPr fontId="49"/>
  </si>
  <si>
    <t>=</t>
    <phoneticPr fontId="49"/>
  </si>
  <si>
    <t>50%-H</t>
    <phoneticPr fontId="49"/>
  </si>
  <si>
    <t>①</t>
    <phoneticPr fontId="49"/>
  </si>
  <si>
    <t>B + D + F</t>
    <phoneticPr fontId="49"/>
  </si>
  <si>
    <t>45%-I-K</t>
    <phoneticPr fontId="49"/>
  </si>
  <si>
    <t>②</t>
    <phoneticPr fontId="49"/>
  </si>
  <si>
    <t>E+G</t>
    <phoneticPr fontId="49"/>
  </si>
  <si>
    <t>5%-J-L-M</t>
    <phoneticPr fontId="49"/>
  </si>
  <si>
    <t>③</t>
    <phoneticPr fontId="49"/>
  </si>
  <si>
    <t>A+B</t>
    <phoneticPr fontId="49"/>
  </si>
  <si>
    <t>Y*{W}</t>
    <phoneticPr fontId="49"/>
  </si>
  <si>
    <t>④</t>
    <phoneticPr fontId="49"/>
  </si>
  <si>
    <t>C+D+E</t>
    <phoneticPr fontId="49"/>
  </si>
  <si>
    <t>Y*{N,S}</t>
    <phoneticPr fontId="49"/>
  </si>
  <si>
    <t>⑤</t>
    <phoneticPr fontId="49"/>
  </si>
  <si>
    <t>F+G</t>
    <phoneticPr fontId="49"/>
  </si>
  <si>
    <t>Y*{N,S R3less}</t>
    <phoneticPr fontId="49"/>
  </si>
  <si>
    <t>⑥</t>
    <phoneticPr fontId="49"/>
  </si>
  <si>
    <t>A+B+C+D+E+F+G</t>
    <phoneticPr fontId="49"/>
  </si>
  <si>
    <t>⑦</t>
    <phoneticPr fontId="49"/>
  </si>
  <si>
    <t>←これは4,5,6で作れるのでダメだわ</t>
    <rPh sb="10" eb="11">
      <t>ツクレル</t>
    </rPh>
    <phoneticPr fontId="49"/>
  </si>
  <si>
    <t>E*R3率/R5率</t>
    <rPh sb="4" eb="5">
      <t>リツ</t>
    </rPh>
    <rPh sb="8" eb="9">
      <t>リツ</t>
    </rPh>
    <phoneticPr fontId="49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</si>
  <si>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49"/>
  </si>
  <si>
    <t>E*R4率/R5率</t>
    <rPh sb="4" eb="5">
      <t>リツ</t>
    </rPh>
    <rPh sb="8" eb="9">
      <t>リツ</t>
    </rPh>
    <phoneticPr fontId="49"/>
  </si>
  <si>
    <t>∴</t>
    <phoneticPr fontId="49"/>
  </si>
  <si>
    <t>E</t>
    <phoneticPr fontId="49"/>
  </si>
  <si>
    <t>Y*{N,S}*R5率</t>
    <rPh sb="10" eb="11">
      <t>リツ</t>
    </rPh>
    <phoneticPr fontId="49"/>
  </si>
  <si>
    <t>Y*{N,S}*R4率</t>
    <rPh sb="10" eb="11">
      <t>リツ</t>
    </rPh>
    <phoneticPr fontId="49"/>
  </si>
  <si>
    <t>Y*{N,S}*R3率</t>
    <rPh sb="10" eb="11">
      <t>リツ</t>
    </rPh>
    <phoneticPr fontId="49"/>
  </si>
  <si>
    <t>50%-H-C</t>
    <phoneticPr fontId="49"/>
  </si>
  <si>
    <t>Y*{W}-A</t>
    <phoneticPr fontId="49"/>
  </si>
  <si>
    <t>5%-J-L-M-E</t>
    <phoneticPr fontId="49"/>
  </si>
  <si>
    <t>Y*{N,S R3less} - G</t>
    <phoneticPr fontId="49"/>
  </si>
  <si>
    <t>R6境界前後</t>
    <rPh sb="2" eb="4">
      <t>キョウカイ</t>
    </rPh>
    <rPh sb="4" eb="6">
      <t>ゼンゴ</t>
    </rPh>
    <phoneticPr fontId="16"/>
  </si>
  <si>
    <t>R6事後開放N,S</t>
    <rPh sb="2" eb="6">
      <t>ジゴカイホウ</t>
    </rPh>
    <phoneticPr fontId="16"/>
  </si>
  <si>
    <t>PremiumW3</t>
    <phoneticPr fontId="16"/>
  </si>
  <si>
    <t>PremiumW4</t>
    <phoneticPr fontId="16"/>
  </si>
  <si>
    <t>ラベル確率</t>
    <rPh sb="3" eb="5">
      <t>カクリツ</t>
    </rPh>
    <phoneticPr fontId="16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</si>
  <si>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</si>
  <si>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</si>
  <si>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</si>
  <si>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</si>
  <si>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</si>
  <si>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6"/>
  </si>
  <si>
    <t>PremiumSS5R5only</t>
  </si>
  <si>
    <t>計算用中間データ</t>
    <rPh sb="0" eb="3">
      <t>ケイサンヨウ</t>
    </rPh>
    <rPh sb="3" eb="5">
      <t>チュウカン</t>
    </rPh>
    <phoneticPr fontId="16"/>
  </si>
  <si>
    <t>X</t>
    <phoneticPr fontId="16"/>
  </si>
  <si>
    <t>Y</t>
    <phoneticPr fontId="16"/>
  </si>
  <si>
    <t>対象数</t>
    <rPh sb="0" eb="3">
      <t>タイショウスウ</t>
    </rPh>
    <phoneticPr fontId="16"/>
  </si>
  <si>
    <t>PremiumW</t>
    <phoneticPr fontId="16"/>
  </si>
  <si>
    <t>PremiumN</t>
    <phoneticPr fontId="16"/>
  </si>
  <si>
    <t>PremiumS</t>
    <phoneticPr fontId="16"/>
  </si>
  <si>
    <t>PremiumSS</t>
    <phoneticPr fontId="16"/>
  </si>
  <si>
    <t>weight</t>
    <phoneticPr fontId="16"/>
  </si>
  <si>
    <t>←R6分はここから差し引く</t>
    <rPh sb="3" eb="4">
      <t>ブン</t>
    </rPh>
    <rPh sb="9" eb="10">
      <t>サシヒク</t>
    </rPh>
    <phoneticPr fontId="16"/>
  </si>
  <si>
    <t>除外確率</t>
    <rPh sb="0" eb="2">
      <t>ジョガイ</t>
    </rPh>
    <rPh sb="2" eb="4">
      <t>カクリツ</t>
    </rPh>
    <phoneticPr fontId="16"/>
  </si>
  <si>
    <t>除外数</t>
    <rPh sb="0" eb="3">
      <t>ジョガイスウ</t>
    </rPh>
    <phoneticPr fontId="16"/>
  </si>
  <si>
    <t>もうここは手で入れよう…</t>
    <rPh sb="5" eb="6">
      <t>テ</t>
    </rPh>
    <rPh sb="7" eb="8">
      <t>イレヨウ</t>
    </rPh>
    <phoneticPr fontId="16"/>
  </si>
  <si>
    <t>通常weight</t>
    <rPh sb="0" eb="2">
      <t>ツウジョウ</t>
    </rPh>
    <phoneticPr fontId="16"/>
  </si>
  <si>
    <t>フェス確率！</t>
    <rPh sb="3" eb="5">
      <t>カクリツ</t>
    </rPh>
    <phoneticPr fontId="16"/>
  </si>
  <si>
    <t>tables_332010</t>
    <phoneticPr fontId="16"/>
  </si>
  <si>
    <t>tables_332100</t>
    <phoneticPr fontId="16"/>
  </si>
  <si>
    <t>tables_settle_332100</t>
    <phoneticPr fontId="16"/>
  </si>
  <si>
    <t>old</t>
    <phoneticPr fontId="16"/>
  </si>
  <si>
    <t>gacha_settle_tables_</t>
    <phoneticPr fontId="1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</si>
</sst>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0.000%"/>
    <numFmt numFmtId="177" formatCode="0.0000%"/>
    <numFmt numFmtId="178" formatCode="0.0%"/>
    <numFmt numFmtId="179" formatCode="0.00000%"/>
    <numFmt numFmtId="181" formatCode="0.0000000000000000%"/>
    <numFmt numFmtId="182" formatCode="0.000000%"/>
  </numFmts>
  <fonts count="54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3">
    <xf numFmtId="0" fontId="0" fillId="0" borderId="0"/>
    <xf numFmtId="0" fontId="15" fillId="0" borderId="0"/>
    <xf numFmtId="0" fontId="19" fillId="0" borderId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4" fillId="0" borderId="0"/>
    <xf numFmtId="0" fontId="26" fillId="5" borderId="2" applyNumberFormat="0" applyAlignment="0" applyProtection="0"/>
    <xf numFmtId="0" fontId="27" fillId="6" borderId="0" applyNumberFormat="0" applyBorder="0" applyAlignment="0" applyProtection="0"/>
    <xf numFmtId="0" fontId="28" fillId="7" borderId="3" applyNumberFormat="0" applyAlignment="0" applyProtection="0"/>
    <xf numFmtId="0" fontId="29" fillId="0" borderId="0" applyNumberFormat="0" applyFill="0" applyBorder="0" applyAlignment="0" applyProtection="0"/>
    <xf numFmtId="0" fontId="30" fillId="8" borderId="0" applyNumberFormat="0" applyBorder="0" applyAlignment="0" applyProtection="0"/>
    <xf numFmtId="0" fontId="31" fillId="9" borderId="4" applyNumberFormat="0" applyAlignment="0" applyProtection="0"/>
    <xf numFmtId="0" fontId="32" fillId="0" borderId="0" applyNumberFormat="0" applyFill="0" applyBorder="0" applyAlignment="0" applyProtection="0"/>
    <xf numFmtId="0" fontId="33" fillId="0" borderId="5" applyNumberFormat="0" applyFill="0" applyAlignment="0" applyProtection="0"/>
    <xf numFmtId="0" fontId="34" fillId="0" borderId="6" applyNumberFormat="0" applyFill="0" applyAlignment="0" applyProtection="0"/>
    <xf numFmtId="0" fontId="35" fillId="0" borderId="7" applyNumberFormat="0" applyFill="0" applyAlignment="0" applyProtection="0"/>
    <xf numFmtId="0" fontId="35" fillId="0" borderId="0" applyNumberFormat="0" applyFill="0" applyBorder="0" applyAlignment="0" applyProtection="0"/>
    <xf numFmtId="0" fontId="36" fillId="7" borderId="0" applyNumberFormat="0" applyBorder="0" applyAlignment="0" applyProtection="0"/>
    <xf numFmtId="0" fontId="36" fillId="6" borderId="0" applyNumberFormat="0" applyBorder="0" applyAlignment="0" applyProtection="0"/>
    <xf numFmtId="0" fontId="36" fillId="10" borderId="0" applyNumberFormat="0" applyBorder="0" applyAlignment="0" applyProtection="0"/>
    <xf numFmtId="0" fontId="36" fillId="7" borderId="0" applyNumberFormat="0" applyBorder="0" applyAlignment="0" applyProtection="0"/>
    <xf numFmtId="0" fontId="36" fillId="11" borderId="0" applyNumberFormat="0" applyBorder="0" applyAlignment="0" applyProtection="0"/>
    <xf numFmtId="0" fontId="36" fillId="5" borderId="0" applyNumberFormat="0" applyBorder="0" applyAlignment="0" applyProtection="0"/>
    <xf numFmtId="0" fontId="36" fillId="7" borderId="0" applyNumberFormat="0" applyBorder="0" applyAlignment="0" applyProtection="0"/>
    <xf numFmtId="0" fontId="36" fillId="12" borderId="0" applyNumberFormat="0" applyBorder="0" applyAlignment="0" applyProtection="0"/>
    <xf numFmtId="0" fontId="36" fillId="10" borderId="0" applyNumberFormat="0" applyBorder="0" applyAlignment="0" applyProtection="0"/>
    <xf numFmtId="0" fontId="36" fillId="7" borderId="0" applyNumberFormat="0" applyBorder="0" applyAlignment="0" applyProtection="0"/>
    <xf numFmtId="0" fontId="36" fillId="13" borderId="0" applyNumberFormat="0" applyBorder="0" applyAlignment="0" applyProtection="0"/>
    <xf numFmtId="0" fontId="36" fillId="6" borderId="0" applyNumberFormat="0" applyBorder="0" applyAlignment="0" applyProtection="0"/>
    <xf numFmtId="0" fontId="37" fillId="14" borderId="0" applyNumberFormat="0" applyBorder="0" applyAlignment="0" applyProtection="0"/>
    <xf numFmtId="0" fontId="37" fillId="12" borderId="0" applyNumberFormat="0" applyBorder="0" applyAlignment="0" applyProtection="0"/>
    <xf numFmtId="0" fontId="37" fillId="10" borderId="0" applyNumberFormat="0" applyBorder="0" applyAlignment="0" applyProtection="0"/>
    <xf numFmtId="0" fontId="37" fillId="7" borderId="0" applyNumberFormat="0" applyBorder="0" applyAlignment="0" applyProtection="0"/>
    <xf numFmtId="0" fontId="37" fillId="14" borderId="0" applyNumberFormat="0" applyBorder="0" applyAlignment="0" applyProtection="0"/>
    <xf numFmtId="0" fontId="37" fillId="6" borderId="0" applyNumberFormat="0" applyBorder="0" applyAlignment="0" applyProtection="0"/>
    <xf numFmtId="0" fontId="29" fillId="0" borderId="0" applyNumberFormat="0" applyFill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0" borderId="0" applyNumberFormat="0" applyBorder="0" applyAlignment="0" applyProtection="0"/>
    <xf numFmtId="0" fontId="37" fillId="16" borderId="0" applyNumberFormat="0" applyBorder="0" applyAlignment="0" applyProtection="0"/>
    <xf numFmtId="0" fontId="37" fillId="14" borderId="0" applyNumberFormat="0" applyBorder="0" applyAlignment="0" applyProtection="0"/>
    <xf numFmtId="0" fontId="37" fillId="12" borderId="0" applyNumberFormat="0" applyBorder="0" applyAlignment="0" applyProtection="0"/>
    <xf numFmtId="0" fontId="38" fillId="17" borderId="0" applyNumberFormat="0" applyBorder="0" applyAlignment="0" applyProtection="0"/>
    <xf numFmtId="0" fontId="27" fillId="6" borderId="0" applyNumberFormat="0" applyBorder="0" applyAlignment="0" applyProtection="0"/>
    <xf numFmtId="0" fontId="39" fillId="0" borderId="8" applyNumberFormat="0" applyFill="0" applyAlignment="0" applyProtection="0"/>
    <xf numFmtId="0" fontId="40" fillId="7" borderId="9" applyNumberFormat="0" applyAlignment="0" applyProtection="0"/>
    <xf numFmtId="0" fontId="40" fillId="18" borderId="9" applyNumberFormat="0" applyAlignment="0" applyProtection="0"/>
    <xf numFmtId="0" fontId="28" fillId="6" borderId="3" applyNumberFormat="0" applyAlignment="0" applyProtection="0"/>
    <xf numFmtId="0" fontId="41" fillId="0" borderId="10" applyNumberFormat="0" applyFill="0" applyAlignment="0" applyProtection="0"/>
    <xf numFmtId="0" fontId="42" fillId="18" borderId="3" applyNumberFormat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11" applyNumberFormat="0" applyFill="0" applyAlignment="0" applyProtection="0"/>
    <xf numFmtId="38" fontId="14" fillId="0" borderId="0" applyFont="0" applyFill="0" applyBorder="0" applyAlignment="0" applyProtection="0">
      <alignment vertical="center"/>
    </xf>
    <xf numFmtId="0" fontId="45" fillId="19" borderId="0" applyNumberFormat="0" applyBorder="0" applyAlignment="0" applyProtection="0"/>
    <xf numFmtId="0" fontId="46" fillId="20" borderId="0" applyNumberFormat="0" applyBorder="0" applyAlignment="0" applyProtection="0"/>
    <xf numFmtId="0" fontId="14" fillId="0" borderId="0"/>
    <xf numFmtId="0" fontId="47" fillId="20" borderId="0" applyNumberFormat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9" fillId="0" borderId="0"/>
    <xf numFmtId="0" fontId="50" fillId="0" borderId="0">
      <alignment vertical="center"/>
    </xf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7" fillId="0" borderId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9" fontId="51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" fillId="0" borderId="0"/>
  </cellStyleXfs>
  <cellXfs count="86">
    <xf numFmtId="0" fontId="0" fillId="0" borderId="0" xfId="0"/>
    <xf numFmtId="0" fontId="21" fillId="0" borderId="0" xfId="2" applyFont="1" applyAlignment="1">
      <alignment vertical="center"/>
    </xf>
    <xf numFmtId="0" fontId="21" fillId="0" borderId="1" xfId="2" applyFont="1" applyBorder="1" applyAlignment="1">
      <alignment vertical="center"/>
    </xf>
    <xf numFmtId="0" fontId="21" fillId="3" borderId="1" xfId="2" applyFont="1" applyFill="1" applyBorder="1" applyAlignment="1">
      <alignment horizontal="center" vertical="center"/>
    </xf>
    <xf numFmtId="0" fontId="21" fillId="0" borderId="0" xfId="2" applyFont="1" applyAlignment="1">
      <alignment horizontal="center" vertical="center"/>
    </xf>
    <xf numFmtId="0" fontId="21" fillId="4" borderId="1" xfId="2" applyFont="1" applyFill="1" applyBorder="1" applyAlignment="1">
      <alignment vertical="center"/>
    </xf>
    <xf numFmtId="0" fontId="20" fillId="4" borderId="1" xfId="0" applyFont="1" applyFill="1" applyBorder="1" applyAlignment="1">
      <alignment horizontal="right" vertical="center"/>
    </xf>
    <xf numFmtId="0" fontId="21" fillId="3" borderId="1" xfId="2" applyFont="1" applyFill="1" applyBorder="1" applyAlignment="1">
      <alignment vertical="center"/>
    </xf>
    <xf numFmtId="0" fontId="22" fillId="4" borderId="1" xfId="0" applyFont="1" applyFill="1" applyBorder="1" applyAlignment="1">
      <alignment vertical="center"/>
    </xf>
    <xf numFmtId="0" fontId="21" fillId="0" borderId="13" xfId="2" applyFont="1" applyBorder="1" applyAlignment="1">
      <alignment vertical="center"/>
    </xf>
    <xf numFmtId="0" fontId="20" fillId="4" borderId="12" xfId="0" applyFont="1" applyFill="1" applyBorder="1" applyAlignment="1">
      <alignment horizontal="right" vertical="center"/>
    </xf>
    <xf numFmtId="0" fontId="20" fillId="4" borderId="14" xfId="0" applyFont="1" applyFill="1" applyBorder="1" applyAlignment="1">
      <alignment horizontal="right" vertical="center"/>
    </xf>
    <xf numFmtId="0" fontId="21" fillId="0" borderId="15" xfId="2" applyFont="1" applyBorder="1" applyAlignment="1">
      <alignment vertical="center"/>
    </xf>
    <xf numFmtId="0" fontId="21" fillId="2" borderId="1" xfId="2" applyFont="1" applyFill="1" applyBorder="1" applyAlignment="1">
      <alignment horizontal="left" vertical="center"/>
    </xf>
    <xf numFmtId="0" fontId="48" fillId="21" borderId="1" xfId="0" applyFont="1" applyFill="1" applyBorder="1" applyAlignment="1">
      <alignment horizontal="left" vertical="center"/>
    </xf>
    <xf numFmtId="0" fontId="21" fillId="2" borderId="1" xfId="2" applyFont="1" applyFill="1" applyBorder="1" applyAlignment="1">
      <alignment horizontal="center" vertical="center"/>
    </xf>
    <xf numFmtId="0" fontId="23" fillId="22" borderId="1" xfId="2978" applyFont="1" applyFill="1" applyBorder="1"/>
    <xf numFmtId="0" fontId="9" fillId="22" borderId="1" xfId="2978" applyFill="1" applyBorder="1"/>
    <xf numFmtId="0" fontId="9" fillId="0" borderId="0" xfId="2978"/>
    <xf numFmtId="0" fontId="9" fillId="0" borderId="1" xfId="2978" applyBorder="1"/>
    <xf numFmtId="0" fontId="9" fillId="2" borderId="1" xfId="2978" applyFill="1" applyBorder="1"/>
    <xf numFmtId="0" fontId="13" fillId="2" borderId="1" xfId="19" applyFont="1" applyFill="1" applyBorder="1"/>
    <xf numFmtId="0" fontId="14" fillId="2" borderId="1" xfId="19" applyFill="1" applyBorder="1"/>
    <xf numFmtId="0" fontId="12" fillId="2" borderId="1" xfId="19" applyFont="1" applyFill="1" applyBorder="1"/>
    <xf numFmtId="0" fontId="10" fillId="2" borderId="1" xfId="19" applyFont="1" applyFill="1" applyBorder="1"/>
    <xf numFmtId="0" fontId="11" fillId="2" borderId="1" xfId="19" applyFont="1" applyFill="1" applyBorder="1"/>
    <xf numFmtId="0" fontId="9" fillId="2" borderId="1" xfId="19" applyFont="1" applyFill="1" applyBorder="1"/>
    <xf numFmtId="0" fontId="8" fillId="0" borderId="1" xfId="2978" applyFont="1" applyBorder="1"/>
    <xf numFmtId="0" fontId="23" fillId="22" borderId="1" xfId="0" applyFont="1" applyFill="1" applyBorder="1"/>
    <xf numFmtId="0" fontId="48" fillId="23" borderId="1" xfId="0" applyFont="1" applyFill="1" applyBorder="1" applyAlignment="1">
      <alignment horizontal="center" vertical="center"/>
    </xf>
    <xf numFmtId="0" fontId="48" fillId="3" borderId="1" xfId="0" applyFont="1" applyFill="1" applyBorder="1" applyAlignment="1">
      <alignment vertical="center"/>
    </xf>
    <xf numFmtId="0" fontId="0" fillId="4" borderId="0" xfId="0" applyFill="1"/>
    <xf numFmtId="0" fontId="6" fillId="0" borderId="1" xfId="3036" applyFont="1" applyBorder="1"/>
    <xf numFmtId="0" fontId="5" fillId="0" borderId="1" xfId="2978" applyFont="1" applyBorder="1"/>
    <xf numFmtId="0" fontId="0" fillId="0" borderId="1" xfId="0" applyBorder="1"/>
    <xf numFmtId="9" fontId="0" fillId="0" borderId="1" xfId="0" applyNumberFormat="1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4" fillId="2" borderId="1" xfId="19" applyFont="1" applyFill="1" applyBorder="1"/>
    <xf numFmtId="0" fontId="4" fillId="4" borderId="1" xfId="2978" applyFont="1" applyFill="1" applyBorder="1"/>
    <xf numFmtId="0" fontId="0" fillId="2" borderId="0" xfId="0" applyFill="1"/>
    <xf numFmtId="0" fontId="48" fillId="30" borderId="1" xfId="0" applyFont="1" applyFill="1" applyBorder="1" applyAlignment="1">
      <alignment horizontal="left" vertical="center"/>
    </xf>
    <xf numFmtId="0" fontId="21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0" fillId="25" borderId="1" xfId="0" applyFont="1" applyFill="1" applyBorder="1" applyAlignment="1">
      <alignment horizontal="right" vertical="center"/>
    </xf>
    <xf numFmtId="0" fontId="3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2" fillId="0" borderId="0" xfId="3662"/>
    <xf numFmtId="0" fontId="2" fillId="4" borderId="0" xfId="3662" applyFill="1"/>
    <xf numFmtId="9" fontId="2" fillId="0" borderId="0" xfId="3662" applyNumberFormat="1"/>
    <xf numFmtId="0" fontId="2" fillId="0" borderId="0" xfId="3662" applyFill="1"/>
    <xf numFmtId="9" fontId="2" fillId="0" borderId="0" xfId="3662" applyNumberFormat="1" applyAlignment="1"/>
    <xf numFmtId="0" fontId="2" fillId="0" borderId="0" xfId="3662" applyNumberFormat="1"/>
    <xf numFmtId="181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2" fillId="0" borderId="0" xfId="0" applyFont="1"/>
    <xf numFmtId="9" fontId="0" fillId="4" borderId="0" xfId="0" applyNumberFormat="1" applyFill="1"/>
    <xf numFmtId="10" fontId="0" fillId="31" borderId="1" xfId="3575" applyNumberFormat="1" applyFont="1" applyFill="1" applyBorder="1"/>
    <xf numFmtId="177" fontId="0" fillId="31" borderId="1" xfId="0" applyNumberFormat="1" applyFill="1" applyBorder="1"/>
    <xf numFmtId="182" fontId="0" fillId="4" borderId="1" xfId="0" applyNumberFormat="1" applyFont="1" applyFill="1" applyBorder="1"/>
    <xf numFmtId="177" fontId="0" fillId="0" borderId="0" xfId="3575" applyNumberFormat="1" applyFont="1"/>
    <xf numFmtId="9" fontId="53" fillId="32" borderId="1" xfId="0" applyNumberFormat="1" applyFont="1" applyFill="1" applyBorder="1"/>
    <xf numFmtId="177" fontId="0" fillId="32" borderId="1" xfId="0" applyNumberFormat="1" applyFill="1" applyBorder="1"/>
    <xf numFmtId="0" fontId="1" fillId="4" borderId="1" xfId="2978" applyFont="1" applyFill="1" applyBorder="1"/>
    <xf numFmtId="0" fontId="1" fillId="0" borderId="1" xfId="3036" applyFont="1" applyBorder="1"/>
    <xf numFmtId="0" fontId="1" fillId="0" borderId="1" xfId="2978" applyFont="1" applyBorder="1"/>
  </cellXfs>
  <cellStyles count="3663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externalLink" Target="externalLinks/externalLink1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human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DropWisSS</v>
          </cell>
          <cell r="K802" t="str">
            <v>attack</v>
          </cell>
          <cell r="L802" t="str">
            <v>攻撃タイプ</v>
          </cell>
          <cell r="M802" t="str">
            <v>human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attack</v>
          </cell>
          <cell r="L803" t="str">
            <v>攻撃タイプ</v>
          </cell>
          <cell r="M803" t="str">
            <v>human</v>
          </cell>
        </row>
        <row r="804">
          <cell r="A804">
            <v>803</v>
          </cell>
          <cell r="B804" t="str">
            <v>ja</v>
          </cell>
          <cell r="C804" t="str">
            <v>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</v>
          </cell>
          <cell r="K804" t="str">
            <v>attack</v>
          </cell>
          <cell r="L804" t="str">
            <v>攻撃タイプ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</v>
          </cell>
          <cell r="K805" t="str">
            <v>attack</v>
          </cell>
          <cell r="L805" t="str">
            <v>攻撃タイプ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green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DropWizS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メタトロン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サキエル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妃&amp;鏡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attack</v>
          </cell>
          <cell r="L857" t="str">
            <v>攻撃タイプ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妃&amp;鏡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attack</v>
          </cell>
          <cell r="L858" t="str">
            <v>攻撃タイプ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クジラ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attack</v>
          </cell>
          <cell r="L859" t="str">
            <v>攻撃タイプ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クジラ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attack</v>
          </cell>
          <cell r="L860" t="str">
            <v>攻撃タイプ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ジン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attack</v>
          </cell>
          <cell r="L861" t="str">
            <v>攻撃タイプ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ジン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attack</v>
          </cell>
          <cell r="L862" t="str">
            <v>攻撃タイプ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attack</v>
          </cell>
          <cell r="L863" t="str">
            <v>攻撃タイプ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attack</v>
          </cell>
          <cell r="L864" t="str">
            <v>攻撃タイプ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attack</v>
          </cell>
          <cell r="L867" t="str">
            <v>攻撃タイプ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attack</v>
          </cell>
          <cell r="L868" t="str">
            <v>攻撃タイプ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attack</v>
          </cell>
          <cell r="L869" t="str">
            <v>攻撃タイプ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>アラジン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attack</v>
          </cell>
          <cell r="L870" t="str">
            <v>攻撃タイプ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マクスウェル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マクスウェル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human</v>
          </cell>
        </row>
        <row r="878">
          <cell r="A878">
            <v>877</v>
          </cell>
          <cell r="B878" t="str">
            <v>ja</v>
          </cell>
          <cell r="C878" t="str">
            <v>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human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attack</v>
          </cell>
          <cell r="L879" t="str">
            <v>攻撃タイプ</v>
          </cell>
          <cell r="M879" t="str">
            <v>human</v>
          </cell>
        </row>
        <row r="880">
          <cell r="A880">
            <v>879</v>
          </cell>
          <cell r="B880" t="str">
            <v>ja</v>
          </cell>
          <cell r="C880" t="str">
            <v>イグニス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attack</v>
          </cell>
          <cell r="L880" t="str">
            <v>攻撃タイプ</v>
          </cell>
          <cell r="M880" t="str">
            <v>human</v>
          </cell>
        </row>
        <row r="881">
          <cell r="A881">
            <v>880</v>
          </cell>
          <cell r="B881" t="str">
            <v>ja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blue</v>
          </cell>
          <cell r="I881">
            <v>3</v>
          </cell>
          <cell r="J881" t="str">
            <v>Drop2N</v>
          </cell>
          <cell r="K881" t="str">
            <v>attack</v>
          </cell>
          <cell r="L881" t="str">
            <v>攻撃タイプ</v>
          </cell>
          <cell r="M881" t="str">
            <v>human</v>
          </cell>
        </row>
        <row r="882">
          <cell r="A882">
            <v>881</v>
          </cell>
          <cell r="B882" t="str">
            <v>ja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blue</v>
          </cell>
          <cell r="I882">
            <v>3</v>
          </cell>
          <cell r="J882" t="str">
            <v>Drop2N</v>
          </cell>
          <cell r="K882" t="str">
            <v>attack</v>
          </cell>
          <cell r="L882" t="str">
            <v>攻撃タイプ</v>
          </cell>
          <cell r="M882" t="str">
            <v>human</v>
          </cell>
        </row>
        <row r="883">
          <cell r="A883">
            <v>882</v>
          </cell>
          <cell r="B883" t="str">
            <v>ja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3</v>
          </cell>
          <cell r="J883" t="str">
            <v>Drop2N</v>
          </cell>
          <cell r="K883" t="str">
            <v>attack</v>
          </cell>
          <cell r="L883" t="str">
            <v>攻撃タイプ</v>
          </cell>
          <cell r="M883" t="str">
            <v>human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attack</v>
          </cell>
          <cell r="L884" t="str">
            <v>攻撃タイプ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blue</v>
          </cell>
          <cell r="I885">
            <v>6</v>
          </cell>
          <cell r="J885" t="str">
            <v>Drop2N</v>
          </cell>
          <cell r="K885" t="str">
            <v>attack</v>
          </cell>
          <cell r="L885" t="str">
            <v>攻撃タイプ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attack</v>
          </cell>
          <cell r="L886" t="str">
            <v>攻撃タイプ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attack</v>
          </cell>
          <cell r="L887" t="str">
            <v>攻撃タイプ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パンドラ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blue</v>
          </cell>
          <cell r="I890">
            <v>5</v>
          </cell>
          <cell r="J890" t="str">
            <v>Drop2N</v>
          </cell>
          <cell r="K890" t="str">
            <v>attack</v>
          </cell>
          <cell r="L890" t="str">
            <v>攻撃タイプ</v>
          </cell>
          <cell r="M890" t="str">
            <v>human</v>
          </cell>
        </row>
        <row r="891">
          <cell r="A891">
            <v>890</v>
          </cell>
          <cell r="B891" t="str">
            <v>ja</v>
          </cell>
          <cell r="C891" t="str">
            <v>パンドラ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blue</v>
          </cell>
          <cell r="I891">
            <v>6</v>
          </cell>
          <cell r="J891" t="str">
            <v>Drop2N</v>
          </cell>
          <cell r="K891" t="str">
            <v>attack</v>
          </cell>
          <cell r="L891" t="str">
            <v>攻撃タイプ</v>
          </cell>
          <cell r="M891" t="str">
            <v>human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C896" t="str">
            <v>三蔵法師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三蔵法師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C898" t="str">
            <v>孫悟空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C899" t="str">
            <v>孫悟空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CO03_Wiz01_R5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blue</v>
          </cell>
          <cell r="I900">
            <v>5</v>
          </cell>
          <cell r="J900" t="str">
            <v>DropWizS</v>
          </cell>
          <cell r="K900" t="str">
            <v>ss</v>
          </cell>
          <cell r="L900" t="str">
            <v>S</v>
          </cell>
          <cell r="M900" t="str">
            <v>god</v>
          </cell>
        </row>
        <row r="901">
          <cell r="A901">
            <v>900</v>
          </cell>
          <cell r="B901" t="str">
            <v>ja</v>
          </cell>
          <cell r="C901" t="str">
            <v>CO03_Wiz01_R6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blue</v>
          </cell>
          <cell r="I901">
            <v>6</v>
          </cell>
          <cell r="J901" t="str">
            <v>DropWizS</v>
          </cell>
          <cell r="K901" t="str">
            <v>ss</v>
          </cell>
          <cell r="L901" t="str">
            <v>S</v>
          </cell>
          <cell r="M901" t="str">
            <v>god</v>
          </cell>
        </row>
        <row r="902">
          <cell r="A902">
            <v>901</v>
          </cell>
          <cell r="B902" t="str">
            <v>ja</v>
          </cell>
          <cell r="C902" t="str">
            <v>CO03_EVE01_R4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ss</v>
          </cell>
          <cell r="L902" t="str">
            <v>S</v>
          </cell>
          <cell r="M902" t="str">
            <v>unknown</v>
          </cell>
        </row>
        <row r="903">
          <cell r="A903">
            <v>902</v>
          </cell>
          <cell r="B903" t="str">
            <v>ja</v>
          </cell>
          <cell r="C903" t="str">
            <v>CO03_EVE01_R5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ss</v>
          </cell>
          <cell r="L903" t="str">
            <v>S</v>
          </cell>
          <cell r="M903" t="str">
            <v>unknown</v>
          </cell>
        </row>
        <row r="904">
          <cell r="A904">
            <v>903</v>
          </cell>
          <cell r="B904" t="str">
            <v>ja</v>
          </cell>
          <cell r="C904" t="str">
            <v>CO03_EVE02_R4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ss</v>
          </cell>
          <cell r="L904" t="str">
            <v>S</v>
          </cell>
          <cell r="M904" t="str">
            <v>unknown</v>
          </cell>
        </row>
        <row r="905">
          <cell r="A905">
            <v>904</v>
          </cell>
          <cell r="B905" t="str">
            <v>ja</v>
          </cell>
          <cell r="C905" t="str">
            <v>CO03_EVE02_R5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ss</v>
          </cell>
          <cell r="L905" t="str">
            <v>S</v>
          </cell>
          <cell r="M905" t="str">
            <v>unknown</v>
          </cell>
        </row>
        <row r="906">
          <cell r="A906">
            <v>905</v>
          </cell>
          <cell r="B906" t="str">
            <v>ja</v>
          </cell>
          <cell r="C906" t="str">
            <v>CO03_EVE03_R4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ss</v>
          </cell>
          <cell r="L906" t="str">
            <v>S</v>
          </cell>
          <cell r="M906" t="str">
            <v>unknown</v>
          </cell>
        </row>
        <row r="907">
          <cell r="A907">
            <v>906</v>
          </cell>
          <cell r="B907" t="str">
            <v>ja</v>
          </cell>
          <cell r="C907" t="str">
            <v>CO03_EVE03_R5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ss</v>
          </cell>
          <cell r="L907" t="str">
            <v>S</v>
          </cell>
          <cell r="M907" t="str">
            <v>unknown</v>
          </cell>
        </row>
        <row r="908">
          <cell r="A908">
            <v>907</v>
          </cell>
          <cell r="B908" t="str">
            <v>ja</v>
          </cell>
          <cell r="C908" t="str">
            <v>CO03_EVE04_R5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unknown</v>
          </cell>
        </row>
        <row r="909">
          <cell r="A909">
            <v>908</v>
          </cell>
          <cell r="B909" t="str">
            <v>ja</v>
          </cell>
          <cell r="C909" t="str">
            <v>CO03_EVE04_R5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unknown</v>
          </cell>
        </row>
        <row r="910">
          <cell r="A910">
            <v>909</v>
          </cell>
          <cell r="B910" t="str">
            <v>ja</v>
          </cell>
          <cell r="C910" t="str">
            <v>CO03_GA01_R5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ss</v>
          </cell>
          <cell r="L910" t="str">
            <v>S</v>
          </cell>
          <cell r="M910" t="str">
            <v>human</v>
          </cell>
        </row>
        <row r="911">
          <cell r="A911">
            <v>910</v>
          </cell>
          <cell r="B911" t="str">
            <v>ja</v>
          </cell>
          <cell r="C911" t="str">
            <v>CO03_GA01_R6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ss</v>
          </cell>
          <cell r="L911" t="str">
            <v>S</v>
          </cell>
          <cell r="M911" t="str">
            <v>human</v>
          </cell>
        </row>
        <row r="912">
          <cell r="A912">
            <v>911</v>
          </cell>
          <cell r="B912" t="str">
            <v>ja</v>
          </cell>
          <cell r="C912" t="str">
            <v>CO03_GA02_R4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ss</v>
          </cell>
          <cell r="L912" t="str">
            <v>S</v>
          </cell>
          <cell r="M912" t="str">
            <v>unknown</v>
          </cell>
        </row>
        <row r="913">
          <cell r="A913">
            <v>912</v>
          </cell>
          <cell r="B913" t="str">
            <v>ja</v>
          </cell>
          <cell r="C913" t="str">
            <v>CO03_GA02_R5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ss</v>
          </cell>
          <cell r="L913" t="str">
            <v>S</v>
          </cell>
          <cell r="M913" t="str">
            <v>unknown</v>
          </cell>
        </row>
        <row r="914">
          <cell r="A914">
            <v>913</v>
          </cell>
          <cell r="B914" t="str">
            <v>ja</v>
          </cell>
          <cell r="C914" t="str">
            <v>CO03_GA03_R4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blue</v>
          </cell>
          <cell r="I914">
            <v>4</v>
          </cell>
          <cell r="J914" t="str">
            <v>PremiumS</v>
          </cell>
          <cell r="K914" t="str">
            <v>ss</v>
          </cell>
          <cell r="L914" t="str">
            <v>S</v>
          </cell>
          <cell r="M914" t="str">
            <v>unknown</v>
          </cell>
        </row>
        <row r="915">
          <cell r="A915">
            <v>914</v>
          </cell>
          <cell r="B915" t="str">
            <v>ja</v>
          </cell>
          <cell r="C915" t="str">
            <v>CO03_GA03_R5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blue</v>
          </cell>
          <cell r="I915">
            <v>5</v>
          </cell>
          <cell r="J915" t="str">
            <v>PremiumS</v>
          </cell>
          <cell r="K915" t="str">
            <v>ss</v>
          </cell>
          <cell r="L915" t="str">
            <v>S</v>
          </cell>
          <cell r="M915" t="str">
            <v>unknown</v>
          </cell>
        </row>
        <row r="916">
          <cell r="A916">
            <v>915</v>
          </cell>
          <cell r="B916" t="str">
            <v>ja</v>
          </cell>
          <cell r="C916" t="str">
            <v>CO03_GA04_R4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blue</v>
          </cell>
          <cell r="I916">
            <v>4</v>
          </cell>
          <cell r="J916" t="str">
            <v>PremiumS</v>
          </cell>
          <cell r="K916" t="str">
            <v>ss</v>
          </cell>
          <cell r="L916" t="str">
            <v>S</v>
          </cell>
          <cell r="M916" t="str">
            <v>human</v>
          </cell>
        </row>
        <row r="917">
          <cell r="A917">
            <v>916</v>
          </cell>
          <cell r="B917" t="str">
            <v>ja</v>
          </cell>
          <cell r="C917" t="str">
            <v>CO03_GA04_R5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blue</v>
          </cell>
          <cell r="I917">
            <v>5</v>
          </cell>
          <cell r="J917" t="str">
            <v>PremiumS</v>
          </cell>
          <cell r="K917" t="str">
            <v>ss</v>
          </cell>
          <cell r="L917" t="str">
            <v>S</v>
          </cell>
          <cell r="M917" t="str">
            <v>human</v>
          </cell>
        </row>
        <row r="918">
          <cell r="A918">
            <v>917</v>
          </cell>
          <cell r="B918" t="str">
            <v>ja</v>
          </cell>
          <cell r="C918" t="str">
            <v>CO03_GA05_R3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blue</v>
          </cell>
          <cell r="I918">
            <v>3</v>
          </cell>
          <cell r="J918" t="str">
            <v>PremiumN</v>
          </cell>
          <cell r="K918" t="str">
            <v>ss</v>
          </cell>
          <cell r="L918" t="str">
            <v>S</v>
          </cell>
          <cell r="M918" t="str">
            <v>unknown</v>
          </cell>
        </row>
        <row r="919">
          <cell r="A919">
            <v>918</v>
          </cell>
          <cell r="B919" t="str">
            <v>ja</v>
          </cell>
          <cell r="C919" t="str">
            <v>CO03_GA05_R4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blue</v>
          </cell>
          <cell r="I919">
            <v>4</v>
          </cell>
          <cell r="J919" t="str">
            <v>PremiumN</v>
          </cell>
          <cell r="K919" t="str">
            <v>ss</v>
          </cell>
          <cell r="L919" t="str">
            <v>S</v>
          </cell>
          <cell r="M919" t="str">
            <v>unknown</v>
          </cell>
        </row>
        <row r="920">
          <cell r="A920">
            <v>919</v>
          </cell>
          <cell r="B920" t="str">
            <v>ja</v>
          </cell>
          <cell r="C920" t="str">
            <v>CO03_GA06_R5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ss</v>
          </cell>
          <cell r="L920" t="str">
            <v>S</v>
          </cell>
          <cell r="M920" t="str">
            <v>human</v>
          </cell>
        </row>
        <row r="921">
          <cell r="A921">
            <v>920</v>
          </cell>
          <cell r="B921" t="str">
            <v>ja</v>
          </cell>
          <cell r="C921" t="str">
            <v>CO03_GA06_R6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ss</v>
          </cell>
          <cell r="L921" t="str">
            <v>S</v>
          </cell>
          <cell r="M921" t="str">
            <v>human</v>
          </cell>
        </row>
        <row r="922">
          <cell r="A922">
            <v>921</v>
          </cell>
          <cell r="B922" t="str">
            <v>ja</v>
          </cell>
          <cell r="C922" t="str">
            <v>CO03_GA07_R3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PremiumN</v>
          </cell>
          <cell r="K922" t="str">
            <v>ss</v>
          </cell>
          <cell r="L922" t="str">
            <v>S</v>
          </cell>
          <cell r="M922" t="str">
            <v>unknown</v>
          </cell>
        </row>
        <row r="923">
          <cell r="A923">
            <v>922</v>
          </cell>
          <cell r="B923" t="str">
            <v>ja</v>
          </cell>
          <cell r="C923" t="str">
            <v>CO03_GA07_R4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PremiumN</v>
          </cell>
          <cell r="K923" t="str">
            <v>ss</v>
          </cell>
          <cell r="L923" t="str">
            <v>S</v>
          </cell>
          <cell r="M923" t="str">
            <v>unknown</v>
          </cell>
        </row>
        <row r="924">
          <cell r="A924">
            <v>923</v>
          </cell>
          <cell r="B924" t="str">
            <v>ja</v>
          </cell>
          <cell r="C924" t="str">
            <v>CO03_GA08_R3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PremiumN</v>
          </cell>
          <cell r="K924" t="str">
            <v>ss</v>
          </cell>
          <cell r="L924" t="str">
            <v>S</v>
          </cell>
          <cell r="M924" t="str">
            <v>unknown</v>
          </cell>
        </row>
        <row r="925">
          <cell r="A925">
            <v>924</v>
          </cell>
          <cell r="B925" t="str">
            <v>ja</v>
          </cell>
          <cell r="C925" t="str">
            <v>CO03_GA08_R4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PremiumN</v>
          </cell>
          <cell r="K925" t="str">
            <v>ss</v>
          </cell>
          <cell r="L925" t="str">
            <v>S</v>
          </cell>
          <cell r="M925" t="str">
            <v>unknown</v>
          </cell>
        </row>
        <row r="926">
          <cell r="A926">
            <v>925</v>
          </cell>
          <cell r="B926" t="str">
            <v>ja</v>
          </cell>
          <cell r="C926" t="str">
            <v>CO03_GA09_R3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ss</v>
          </cell>
          <cell r="L926" t="str">
            <v>S</v>
          </cell>
          <cell r="M926" t="str">
            <v>unknown</v>
          </cell>
        </row>
        <row r="927">
          <cell r="A927">
            <v>926</v>
          </cell>
          <cell r="B927" t="str">
            <v>ja</v>
          </cell>
          <cell r="C927" t="str">
            <v>CO03_GA09_R4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ss</v>
          </cell>
          <cell r="L927" t="str">
            <v>S</v>
          </cell>
          <cell r="M927" t="str">
            <v>unknown</v>
          </cell>
        </row>
        <row r="928">
          <cell r="A928">
            <v>927</v>
          </cell>
          <cell r="B928" t="str">
            <v>ja</v>
          </cell>
          <cell r="C928" t="str">
            <v>CO03_GA10_R3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PremiumN</v>
          </cell>
          <cell r="K928" t="str">
            <v>ss</v>
          </cell>
          <cell r="L928" t="str">
            <v>S</v>
          </cell>
          <cell r="M928" t="str">
            <v>unknown</v>
          </cell>
        </row>
        <row r="929">
          <cell r="A929">
            <v>928</v>
          </cell>
          <cell r="B929" t="str">
            <v>ja</v>
          </cell>
          <cell r="C929" t="str">
            <v>CO03_GA10_R4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PremiumN</v>
          </cell>
          <cell r="K929" t="str">
            <v>ss</v>
          </cell>
          <cell r="L929" t="str">
            <v>S</v>
          </cell>
          <cell r="M929" t="str">
            <v>unknown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Drop2N</v>
          </cell>
          <cell r="K930" t="str">
            <v>attack</v>
          </cell>
          <cell r="L930" t="str">
            <v>攻撃タイプ</v>
          </cell>
          <cell r="M930" t="str">
            <v>human</v>
          </cell>
        </row>
        <row r="931">
          <cell r="A931">
            <v>930</v>
          </cell>
          <cell r="B931" t="str">
            <v>ja</v>
          </cell>
          <cell r="C931" t="str">
            <v>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Drop2N</v>
          </cell>
          <cell r="K931" t="str">
            <v>attack</v>
          </cell>
          <cell r="L931" t="str">
            <v>攻撃タイプ</v>
          </cell>
          <cell r="M931" t="str">
            <v>human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blue</v>
          </cell>
          <cell r="I932">
            <v>4</v>
          </cell>
          <cell r="J932" t="str">
            <v>Drop2N</v>
          </cell>
          <cell r="K932" t="str">
            <v>attack</v>
          </cell>
          <cell r="L932" t="str">
            <v>攻撃タイプ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blue</v>
          </cell>
          <cell r="I933">
            <v>5</v>
          </cell>
          <cell r="J933" t="str">
            <v>Drop2N</v>
          </cell>
          <cell r="K933" t="str">
            <v>attack</v>
          </cell>
          <cell r="L933" t="str">
            <v>攻撃タイプ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human</v>
          </cell>
        </row>
        <row r="935">
          <cell r="A935">
            <v>934</v>
          </cell>
          <cell r="B935" t="str">
            <v>ja</v>
          </cell>
          <cell r="C935" t="str">
            <v>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human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Drop2N</v>
          </cell>
          <cell r="K936" t="str">
            <v>attack</v>
          </cell>
          <cell r="L936" t="str">
            <v>攻撃タイプ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Drop2N</v>
          </cell>
          <cell r="K937" t="str">
            <v>attack</v>
          </cell>
          <cell r="L937" t="str">
            <v>攻撃タイプ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Drop2N</v>
          </cell>
          <cell r="K938" t="str">
            <v>attack</v>
          </cell>
          <cell r="L938" t="str">
            <v>攻撃タイプ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Drop2N</v>
          </cell>
          <cell r="K939" t="str">
            <v>attack</v>
          </cell>
          <cell r="L939" t="str">
            <v>攻撃タイプ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blue</v>
          </cell>
          <cell r="I940">
            <v>4</v>
          </cell>
          <cell r="J940" t="str">
            <v>Drop2N</v>
          </cell>
          <cell r="K940" t="str">
            <v>attack</v>
          </cell>
          <cell r="L940" t="str">
            <v>攻撃タイプ</v>
          </cell>
          <cell r="M940" t="str">
            <v>human</v>
          </cell>
        </row>
        <row r="941">
          <cell r="A941">
            <v>940</v>
          </cell>
          <cell r="B941" t="str">
            <v>ja</v>
          </cell>
          <cell r="C941" t="str">
            <v>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blue</v>
          </cell>
          <cell r="I941">
            <v>5</v>
          </cell>
          <cell r="J941" t="str">
            <v>Drop2N</v>
          </cell>
          <cell r="K941" t="str">
            <v>attack</v>
          </cell>
          <cell r="L941" t="str">
            <v>攻撃タイプ</v>
          </cell>
          <cell r="M941" t="str">
            <v>human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Drop2N</v>
          </cell>
          <cell r="K942" t="str">
            <v>attack</v>
          </cell>
          <cell r="L942" t="str">
            <v>攻撃タイプ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Drop2N</v>
          </cell>
          <cell r="K943" t="str">
            <v>attack</v>
          </cell>
          <cell r="L943" t="str">
            <v>攻撃タイプ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Drop2N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Drop2N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blue</v>
          </cell>
          <cell r="I948">
            <v>5</v>
          </cell>
          <cell r="J948" t="str">
            <v>Drop2N</v>
          </cell>
          <cell r="K948" t="str">
            <v>attack</v>
          </cell>
          <cell r="L948" t="str">
            <v>攻撃タイプ</v>
          </cell>
          <cell r="M948" t="str">
            <v>human</v>
          </cell>
        </row>
        <row r="949">
          <cell r="A949">
            <v>948</v>
          </cell>
          <cell r="B949" t="str">
            <v>ja</v>
          </cell>
          <cell r="C949" t="str">
            <v>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blue</v>
          </cell>
          <cell r="I949">
            <v>6</v>
          </cell>
          <cell r="J949" t="str">
            <v>Drop2N</v>
          </cell>
          <cell r="K949" t="str">
            <v>attack</v>
          </cell>
          <cell r="L949" t="str">
            <v>攻撃タイプ</v>
          </cell>
          <cell r="M949" t="str">
            <v>human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Drop2N</v>
          </cell>
          <cell r="K950" t="str">
            <v>attack</v>
          </cell>
          <cell r="L950" t="str">
            <v>攻撃タイプ</v>
          </cell>
          <cell r="M950" t="str">
            <v>human</v>
          </cell>
        </row>
        <row r="951">
          <cell r="A951">
            <v>950</v>
          </cell>
          <cell r="B951" t="str">
            <v>ja</v>
          </cell>
          <cell r="C951" t="str">
            <v>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Drop2N</v>
          </cell>
          <cell r="K951" t="str">
            <v>attack</v>
          </cell>
          <cell r="L951" t="str">
            <v>攻撃タイプ</v>
          </cell>
          <cell r="M951" t="str">
            <v>human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Drop2N</v>
          </cell>
          <cell r="K952" t="str">
            <v>attack</v>
          </cell>
          <cell r="L952" t="str">
            <v>攻撃タイプ</v>
          </cell>
          <cell r="M952" t="str">
            <v>human</v>
          </cell>
        </row>
        <row r="953">
          <cell r="A953">
            <v>952</v>
          </cell>
          <cell r="B953" t="str">
            <v>ja</v>
          </cell>
          <cell r="C953" t="str">
            <v>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Drop2N</v>
          </cell>
          <cell r="K953" t="str">
            <v>attack</v>
          </cell>
          <cell r="L953" t="str">
            <v>攻撃タイプ</v>
          </cell>
          <cell r="M953" t="str">
            <v>human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blue</v>
          </cell>
          <cell r="I954">
            <v>5</v>
          </cell>
          <cell r="J954" t="str">
            <v>Drop2N</v>
          </cell>
          <cell r="K954" t="str">
            <v>attack</v>
          </cell>
          <cell r="L954" t="str">
            <v>攻撃タイプ</v>
          </cell>
          <cell r="M954" t="str">
            <v>human</v>
          </cell>
        </row>
        <row r="955">
          <cell r="A955">
            <v>954</v>
          </cell>
          <cell r="B955" t="str">
            <v>ja</v>
          </cell>
          <cell r="C955" t="str">
            <v>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blue</v>
          </cell>
          <cell r="I955">
            <v>6</v>
          </cell>
          <cell r="J955" t="str">
            <v>Drop2N</v>
          </cell>
          <cell r="K955" t="str">
            <v>attack</v>
          </cell>
          <cell r="L955" t="str">
            <v>攻撃タイプ</v>
          </cell>
          <cell r="M955" t="str">
            <v>human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ディラック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blue</v>
          </cell>
          <cell r="I959">
            <v>6</v>
          </cell>
          <cell r="J959" t="str">
            <v>Drop2N</v>
          </cell>
          <cell r="K959" t="str">
            <v>attack</v>
          </cell>
          <cell r="L959" t="str">
            <v>攻撃タイプ</v>
          </cell>
          <cell r="M959" t="str">
            <v>human</v>
          </cell>
        </row>
        <row r="960">
          <cell r="A960">
            <v>959</v>
          </cell>
          <cell r="B960" t="str">
            <v>ja</v>
          </cell>
          <cell r="C960" t="str">
            <v>ガラハッド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blue</v>
          </cell>
          <cell r="I960">
            <v>6</v>
          </cell>
          <cell r="J960" t="str">
            <v>Drop2N</v>
          </cell>
          <cell r="K960" t="str">
            <v>attack</v>
          </cell>
          <cell r="L960" t="str">
            <v>攻撃タイプ</v>
          </cell>
          <cell r="M960" t="str">
            <v>human</v>
          </cell>
        </row>
        <row r="961">
          <cell r="A961">
            <v>960</v>
          </cell>
          <cell r="B961" t="str">
            <v>ja</v>
          </cell>
          <cell r="C961" t="str">
            <v>ガレス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blue</v>
          </cell>
          <cell r="I961">
            <v>6</v>
          </cell>
          <cell r="J961" t="str">
            <v>Drop2N</v>
          </cell>
          <cell r="K961" t="str">
            <v>attack</v>
          </cell>
          <cell r="L961" t="str">
            <v>攻撃タイプ</v>
          </cell>
          <cell r="M961" t="str">
            <v>human</v>
          </cell>
        </row>
        <row r="962">
          <cell r="A962">
            <v>961</v>
          </cell>
          <cell r="B962" t="str">
            <v>ja</v>
          </cell>
          <cell r="C962" t="str">
            <v>コードレッド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Drop2N</v>
          </cell>
          <cell r="K962" t="str">
            <v>attack</v>
          </cell>
          <cell r="L962" t="str">
            <v>攻撃タイプ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Drop2N</v>
          </cell>
          <cell r="K963" t="str">
            <v>attack</v>
          </cell>
          <cell r="L963" t="str">
            <v>攻撃タイプ</v>
          </cell>
          <cell r="M963" t="str">
            <v>human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Drop2N</v>
          </cell>
          <cell r="K964" t="str">
            <v>attack</v>
          </cell>
          <cell r="L964" t="str">
            <v>攻撃タイプ</v>
          </cell>
          <cell r="M964" t="str">
            <v>human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Drop2N</v>
          </cell>
          <cell r="K965" t="str">
            <v>attack</v>
          </cell>
          <cell r="L965" t="str">
            <v>攻撃タイプ</v>
          </cell>
          <cell r="M965" t="str">
            <v>human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Drop2N</v>
          </cell>
          <cell r="K966" t="str">
            <v>attack</v>
          </cell>
          <cell r="L966" t="str">
            <v>攻撃タイプ</v>
          </cell>
          <cell r="M966" t="str">
            <v>human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Drop2N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Drop2N</v>
          </cell>
          <cell r="K968" t="str">
            <v>attack</v>
          </cell>
          <cell r="L968" t="str">
            <v>攻撃タイプ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Drop2N</v>
          </cell>
          <cell r="K969" t="str">
            <v>attack</v>
          </cell>
          <cell r="L969" t="str">
            <v>攻撃タイプ</v>
          </cell>
          <cell r="M969" t="str">
            <v>human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Drop2N</v>
          </cell>
          <cell r="K970" t="str">
            <v>attack</v>
          </cell>
          <cell r="L970" t="str">
            <v>攻撃タイプ</v>
          </cell>
          <cell r="M970" t="str">
            <v>human</v>
          </cell>
        </row>
        <row r="971">
          <cell r="A971">
            <v>970</v>
          </cell>
          <cell r="B971" t="str">
            <v>ja</v>
          </cell>
          <cell r="C971" t="str">
            <v>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Drop2N</v>
          </cell>
          <cell r="K971" t="str">
            <v>attack</v>
          </cell>
          <cell r="L971" t="str">
            <v>攻撃タイプ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Drop2N</v>
          </cell>
          <cell r="K972" t="str">
            <v>attack</v>
          </cell>
          <cell r="L972" t="str">
            <v>攻撃タイプ</v>
          </cell>
          <cell r="M972" t="str">
            <v>human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red</v>
          </cell>
          <cell r="I975">
            <v>5</v>
          </cell>
          <cell r="J975" t="str">
            <v>Drop2N</v>
          </cell>
          <cell r="K975" t="str">
            <v>attack</v>
          </cell>
          <cell r="L975" t="str">
            <v>攻撃タイプ</v>
          </cell>
          <cell r="M975" t="str">
            <v>human</v>
          </cell>
        </row>
        <row r="976">
          <cell r="A976">
            <v>975</v>
          </cell>
          <cell r="B976" t="str">
            <v>ja</v>
          </cell>
          <cell r="C976" t="str">
            <v>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Drop2N</v>
          </cell>
          <cell r="K976" t="str">
            <v>attack</v>
          </cell>
          <cell r="L976" t="str">
            <v>攻撃タイプ</v>
          </cell>
          <cell r="M976" t="str">
            <v>human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1040</v>
          </cell>
          <cell r="B978" t="str">
            <v>ja</v>
          </cell>
          <cell r="C978" t="str">
            <v>UsagiKun</v>
          </cell>
          <cell r="D978" t="str">
            <v>各属性相性良3・黄・R458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5</v>
          </cell>
          <cell r="J978" t="str">
            <v>DropWizSSS</v>
          </cell>
          <cell r="K978" t="str">
            <v>attack</v>
          </cell>
          <cell r="L978" t="str">
            <v>攻撃タイプ</v>
          </cell>
          <cell r="M978" t="str">
            <v>unknown</v>
          </cell>
        </row>
        <row r="986">
          <cell r="F986">
            <v>4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66" customWidth="1"/>
    <col min="2" max="16384" width="13" style="66"/>
  </cols>
  <sheetData>
    <row r="1" spans="1:13" x14ac:dyDescent="0.15">
      <c r="A1" s="66" t="s">
        <v>120</v>
      </c>
      <c r="B1" s="66" t="s">
        <v>121</v>
      </c>
    </row>
    <row r="2" spans="1:13" x14ac:dyDescent="0.15">
      <c r="A2" s="66" t="s">
        <v>122</v>
      </c>
      <c r="B2" s="66" t="s">
        <v>123</v>
      </c>
      <c r="C2" s="66" t="s">
        <v>124</v>
      </c>
      <c r="D2" s="66" t="s">
        <v>125</v>
      </c>
      <c r="E2" s="66" t="s">
        <v>126</v>
      </c>
      <c r="F2" s="66" t="s">
        <v>127</v>
      </c>
      <c r="G2" s="66" t="s">
        <v>128</v>
      </c>
      <c r="H2" s="66" t="s">
        <v>129</v>
      </c>
    </row>
    <row r="3" spans="1:13" x14ac:dyDescent="0.15">
      <c r="A3" s="66">
        <v>3</v>
      </c>
      <c r="B3" s="67" t="s">
        <v>130</v>
      </c>
      <c r="C3" s="67" t="s">
        <v>131</v>
      </c>
      <c r="D3" s="66">
        <v>0</v>
      </c>
      <c r="E3" s="67" t="s">
        <v>132</v>
      </c>
      <c r="F3" s="66">
        <v>0</v>
      </c>
      <c r="G3" s="66">
        <v>0</v>
      </c>
      <c r="H3" s="68">
        <v>0.5</v>
      </c>
    </row>
    <row r="4" spans="1:13" x14ac:dyDescent="0.15">
      <c r="A4" s="66">
        <v>4</v>
      </c>
      <c r="B4" s="67" t="s">
        <v>133</v>
      </c>
      <c r="C4" s="67" t="s">
        <v>134</v>
      </c>
      <c r="D4" s="67" t="s">
        <v>135</v>
      </c>
      <c r="E4" s="67" t="s">
        <v>136</v>
      </c>
      <c r="F4" s="67" t="s">
        <v>137</v>
      </c>
      <c r="G4" s="66">
        <v>0</v>
      </c>
      <c r="H4" s="68">
        <v>0.45</v>
      </c>
    </row>
    <row r="5" spans="1:13" x14ac:dyDescent="0.15">
      <c r="A5" s="66">
        <v>5</v>
      </c>
      <c r="B5" s="69">
        <v>0</v>
      </c>
      <c r="C5" s="67" t="s">
        <v>138</v>
      </c>
      <c r="D5" s="67" t="s">
        <v>139</v>
      </c>
      <c r="E5" s="67" t="s">
        <v>140</v>
      </c>
      <c r="F5" s="67" t="s">
        <v>141</v>
      </c>
      <c r="G5" s="67" t="s">
        <v>142</v>
      </c>
      <c r="H5" s="68">
        <v>0.05</v>
      </c>
    </row>
    <row r="6" spans="1:13" x14ac:dyDescent="0.15">
      <c r="B6" s="68" t="s">
        <v>143</v>
      </c>
      <c r="C6" s="68" t="s">
        <v>143</v>
      </c>
      <c r="D6" s="68" t="s">
        <v>144</v>
      </c>
      <c r="E6" s="68" t="s">
        <v>143</v>
      </c>
      <c r="F6" s="68" t="s">
        <v>143</v>
      </c>
      <c r="G6" s="70" t="s">
        <v>145</v>
      </c>
      <c r="H6" s="68">
        <v>1</v>
      </c>
    </row>
    <row r="7" spans="1:13" x14ac:dyDescent="0.15">
      <c r="B7" s="68"/>
      <c r="C7" s="68"/>
      <c r="D7" s="68"/>
      <c r="E7" s="68"/>
      <c r="F7" s="68"/>
      <c r="G7" s="70"/>
      <c r="H7" s="68"/>
    </row>
    <row r="8" spans="1:13" x14ac:dyDescent="0.15">
      <c r="A8" s="66" t="s">
        <v>146</v>
      </c>
      <c r="B8" s="68"/>
      <c r="C8" s="68"/>
      <c r="D8" s="68"/>
      <c r="E8" s="68"/>
      <c r="F8" s="68"/>
      <c r="G8" s="70"/>
      <c r="H8" s="68"/>
    </row>
    <row r="9" spans="1:13" x14ac:dyDescent="0.15">
      <c r="A9" s="66" t="s">
        <v>147</v>
      </c>
      <c r="B9" s="68"/>
      <c r="C9" s="68"/>
      <c r="D9" s="68"/>
      <c r="E9" s="68"/>
      <c r="F9" s="68"/>
      <c r="G9" s="70"/>
      <c r="H9" s="68"/>
    </row>
    <row r="10" spans="1:13" x14ac:dyDescent="0.15">
      <c r="A10" s="66" t="s">
        <v>148</v>
      </c>
      <c r="B10" s="68"/>
      <c r="C10" s="68"/>
      <c r="D10" s="68"/>
      <c r="E10" s="68"/>
      <c r="F10" s="68"/>
      <c r="G10" s="70"/>
      <c r="H10" s="68"/>
    </row>
    <row r="11" spans="1:13" x14ac:dyDescent="0.15">
      <c r="A11" s="66" t="s">
        <v>149</v>
      </c>
      <c r="B11" s="68"/>
      <c r="C11" s="68"/>
      <c r="D11" s="68"/>
      <c r="E11" s="68"/>
      <c r="F11" s="68"/>
      <c r="G11" s="70"/>
      <c r="H11" s="68"/>
    </row>
    <row r="12" spans="1:13" x14ac:dyDescent="0.15">
      <c r="A12" s="66" t="s">
        <v>142</v>
      </c>
      <c r="B12" s="68" t="s">
        <v>150</v>
      </c>
      <c r="C12" s="68" t="s">
        <v>151</v>
      </c>
      <c r="D12" s="68"/>
      <c r="E12" s="68"/>
      <c r="F12" s="68"/>
      <c r="G12" s="70"/>
      <c r="H12" s="68"/>
    </row>
    <row r="13" spans="1:13" x14ac:dyDescent="0.15">
      <c r="A13" s="66" t="s">
        <v>152</v>
      </c>
      <c r="B13" s="66" t="s">
        <v>153</v>
      </c>
      <c r="C13" s="66" t="s">
        <v>154</v>
      </c>
    </row>
    <row r="14" spans="1:13" x14ac:dyDescent="0.15">
      <c r="A14" s="66" t="s">
        <v>155</v>
      </c>
      <c r="B14" s="66" t="s">
        <v>150</v>
      </c>
      <c r="C14" s="69" t="s">
        <v>156</v>
      </c>
      <c r="E14" s="69"/>
      <c r="F14" s="69"/>
      <c r="M14" s="68"/>
    </row>
    <row r="15" spans="1:13" x14ac:dyDescent="0.15">
      <c r="A15" s="66" t="s">
        <v>132</v>
      </c>
      <c r="B15" s="68" t="s">
        <v>150</v>
      </c>
      <c r="C15" s="68" t="s">
        <v>157</v>
      </c>
      <c r="H15" s="71"/>
      <c r="M15" s="68"/>
    </row>
    <row r="16" spans="1:13" x14ac:dyDescent="0.15">
      <c r="A16" s="66" t="s">
        <v>136</v>
      </c>
      <c r="B16" s="68" t="s">
        <v>150</v>
      </c>
      <c r="C16" s="68" t="s">
        <v>158</v>
      </c>
      <c r="M16" s="68"/>
    </row>
    <row r="17" spans="1:13" x14ac:dyDescent="0.15">
      <c r="A17" s="66" t="s">
        <v>159</v>
      </c>
      <c r="B17" s="68" t="s">
        <v>150</v>
      </c>
      <c r="C17" s="68" t="s">
        <v>160</v>
      </c>
      <c r="M17" s="68"/>
    </row>
    <row r="18" spans="1:13" x14ac:dyDescent="0.15">
      <c r="B18" s="68"/>
      <c r="C18" s="68"/>
    </row>
    <row r="19" spans="1:13" x14ac:dyDescent="0.15">
      <c r="A19" s="66" t="s">
        <v>161</v>
      </c>
    </row>
    <row r="20" spans="1:13" x14ac:dyDescent="0.15">
      <c r="A20" s="66" t="s">
        <v>162</v>
      </c>
      <c r="B20" s="68"/>
      <c r="C20" s="68"/>
    </row>
    <row r="21" spans="1:13" x14ac:dyDescent="0.15">
      <c r="A21" s="66" t="s">
        <v>163</v>
      </c>
      <c r="B21" s="68" t="s">
        <v>164</v>
      </c>
      <c r="C21" s="68" t="s">
        <v>165</v>
      </c>
      <c r="D21" s="66" t="s">
        <v>166</v>
      </c>
    </row>
    <row r="22" spans="1:13" x14ac:dyDescent="0.15">
      <c r="A22" s="66" t="s">
        <v>167</v>
      </c>
      <c r="B22" s="68" t="s">
        <v>150</v>
      </c>
      <c r="C22" s="68" t="s">
        <v>168</v>
      </c>
      <c r="D22" s="66" t="s">
        <v>169</v>
      </c>
    </row>
    <row r="23" spans="1:13" x14ac:dyDescent="0.15">
      <c r="A23" s="66" t="s">
        <v>170</v>
      </c>
      <c r="B23" s="68" t="s">
        <v>150</v>
      </c>
      <c r="C23" s="66" t="s">
        <v>171</v>
      </c>
      <c r="D23" s="66" t="s">
        <v>172</v>
      </c>
    </row>
    <row r="24" spans="1:13" x14ac:dyDescent="0.15">
      <c r="A24" s="66" t="s">
        <v>173</v>
      </c>
      <c r="B24" s="68" t="s">
        <v>150</v>
      </c>
      <c r="C24" s="68" t="s">
        <v>174</v>
      </c>
      <c r="D24" s="66" t="s">
        <v>175</v>
      </c>
    </row>
    <row r="25" spans="1:13" x14ac:dyDescent="0.15">
      <c r="A25" s="66" t="s">
        <v>176</v>
      </c>
      <c r="B25" s="68" t="s">
        <v>150</v>
      </c>
      <c r="C25" s="68" t="s">
        <v>177</v>
      </c>
      <c r="D25" s="66" t="s">
        <v>178</v>
      </c>
    </row>
    <row r="26" spans="1:13" x14ac:dyDescent="0.15">
      <c r="A26" s="66" t="s">
        <v>179</v>
      </c>
      <c r="B26" s="68" t="s">
        <v>150</v>
      </c>
      <c r="C26" s="68" t="s">
        <v>180</v>
      </c>
      <c r="D26" s="66" t="s">
        <v>181</v>
      </c>
    </row>
    <row r="27" spans="1:13" x14ac:dyDescent="0.15">
      <c r="A27" s="66" t="s">
        <v>182</v>
      </c>
      <c r="B27" s="68" t="s">
        <v>150</v>
      </c>
      <c r="C27" s="68" t="s">
        <v>144</v>
      </c>
      <c r="D27" s="66" t="s">
        <v>183</v>
      </c>
      <c r="E27" s="66" t="s">
        <v>184</v>
      </c>
    </row>
    <row r="28" spans="1:13" x14ac:dyDescent="0.15">
      <c r="A28" s="66" t="s">
        <v>131</v>
      </c>
      <c r="B28" s="68" t="s">
        <v>150</v>
      </c>
      <c r="C28" s="68" t="s">
        <v>185</v>
      </c>
      <c r="E28" s="66" t="s">
        <v>186</v>
      </c>
    </row>
    <row r="29" spans="1:13" x14ac:dyDescent="0.15">
      <c r="A29" s="66" t="s">
        <v>134</v>
      </c>
      <c r="B29" s="68" t="s">
        <v>150</v>
      </c>
      <c r="C29" s="68" t="s">
        <v>187</v>
      </c>
    </row>
    <row r="30" spans="1:13" x14ac:dyDescent="0.15">
      <c r="B30" s="68"/>
    </row>
    <row r="31" spans="1:13" x14ac:dyDescent="0.15">
      <c r="A31" s="66" t="s">
        <v>188</v>
      </c>
    </row>
    <row r="32" spans="1:13" x14ac:dyDescent="0.15">
      <c r="A32" s="66" t="s">
        <v>189</v>
      </c>
      <c r="B32" s="68" t="s">
        <v>150</v>
      </c>
      <c r="C32" s="68" t="s">
        <v>190</v>
      </c>
    </row>
    <row r="33" spans="1:3" x14ac:dyDescent="0.15">
      <c r="A33" s="66" t="s">
        <v>134</v>
      </c>
      <c r="B33" s="68" t="s">
        <v>150</v>
      </c>
      <c r="C33" s="68" t="s">
        <v>191</v>
      </c>
    </row>
    <row r="34" spans="1:3" x14ac:dyDescent="0.15">
      <c r="A34" s="66" t="s">
        <v>131</v>
      </c>
      <c r="B34" s="68" t="s">
        <v>150</v>
      </c>
      <c r="C34" s="68" t="s">
        <v>192</v>
      </c>
    </row>
    <row r="35" spans="1:3" x14ac:dyDescent="0.15">
      <c r="A35" s="66" t="s">
        <v>130</v>
      </c>
      <c r="B35" s="68" t="s">
        <v>150</v>
      </c>
      <c r="C35" s="68" t="s">
        <v>193</v>
      </c>
    </row>
    <row r="36" spans="1:3" x14ac:dyDescent="0.15">
      <c r="A36" s="66" t="s">
        <v>133</v>
      </c>
      <c r="B36" s="68" t="s">
        <v>150</v>
      </c>
      <c r="C36" s="68" t="s">
        <v>194</v>
      </c>
    </row>
    <row r="37" spans="1:3" x14ac:dyDescent="0.15">
      <c r="A37" s="66" t="s">
        <v>139</v>
      </c>
      <c r="B37" s="68" t="s">
        <v>150</v>
      </c>
      <c r="C37" s="68" t="s">
        <v>195</v>
      </c>
    </row>
    <row r="38" spans="1:3" x14ac:dyDescent="0.15">
      <c r="A38" s="66" t="s">
        <v>135</v>
      </c>
      <c r="B38" s="68" t="s">
        <v>150</v>
      </c>
      <c r="C38" s="68" t="s">
        <v>196</v>
      </c>
    </row>
  </sheetData>
  <phoneticPr fontId="16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82</v>
      </c>
    </row>
    <row r="2" spans="1:1" x14ac:dyDescent="0.15">
      <c r="A2" t="s">
        <v>83</v>
      </c>
    </row>
    <row r="3" spans="1:1" x14ac:dyDescent="0.15">
      <c r="A3" t="s">
        <v>84</v>
      </c>
    </row>
    <row r="4" spans="1:1" x14ac:dyDescent="0.15">
      <c r="A4" t="s">
        <v>85</v>
      </c>
    </row>
  </sheetData>
  <phoneticPr fontId="16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7"/>
  <sheetViews>
    <sheetView tabSelected="1" workbookViewId="0">
      <selection activeCell="E15" sqref="E15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52</v>
      </c>
      <c r="B1" s="16" t="s">
        <v>40</v>
      </c>
      <c r="C1" s="16" t="s">
        <v>41</v>
      </c>
      <c r="D1" s="16" t="s">
        <v>42</v>
      </c>
      <c r="E1" s="16" t="s">
        <v>43</v>
      </c>
      <c r="F1" s="16" t="s">
        <v>44</v>
      </c>
      <c r="G1" s="16" t="s">
        <v>45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4" t="s">
        <v>227</v>
      </c>
      <c r="B2" s="63" t="s">
        <v>119</v>
      </c>
      <c r="C2" s="52" t="str">
        <f>RIGHT(F2,6)</f>
        <v>332010</v>
      </c>
      <c r="D2" s="19" t="s">
        <v>46</v>
      </c>
      <c r="E2" s="17" t="str">
        <f t="shared" ref="E2:E7" si="0">B2&amp;C2&amp;D2</f>
        <v>gacha_select_tables_332010.tmp</v>
      </c>
      <c r="F2" s="83" t="s">
        <v>224</v>
      </c>
      <c r="G2" s="51" t="s">
        <v>89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84" t="s">
        <v>227</v>
      </c>
      <c r="B3" s="63" t="s">
        <v>119</v>
      </c>
      <c r="C3" s="52" t="str">
        <f>RIGHT(F3,6)</f>
        <v>332100</v>
      </c>
      <c r="D3" s="19" t="s">
        <v>46</v>
      </c>
      <c r="E3" s="17" t="str">
        <f t="shared" si="0"/>
        <v>gacha_select_tables_332100.tmp</v>
      </c>
      <c r="F3" s="83" t="s">
        <v>225</v>
      </c>
      <c r="G3" s="51" t="s">
        <v>89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84" t="s">
        <v>227</v>
      </c>
      <c r="B4" s="85" t="s">
        <v>228</v>
      </c>
      <c r="C4" s="52" t="str">
        <f>RIGHT(F4,6)</f>
        <v>332100</v>
      </c>
      <c r="D4" s="19" t="s">
        <v>46</v>
      </c>
      <c r="E4" s="17" t="str">
        <f t="shared" ref="E4" si="1">B4&amp;C4&amp;D4</f>
        <v>gacha_settle_tables_332100.tmp</v>
      </c>
      <c r="F4" s="83" t="s">
        <v>226</v>
      </c>
      <c r="G4" s="51" t="s">
        <v>89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32" t="s">
        <v>54</v>
      </c>
      <c r="B5" s="27" t="s">
        <v>51</v>
      </c>
      <c r="C5" s="33" t="s">
        <v>59</v>
      </c>
      <c r="D5" s="19" t="s">
        <v>47</v>
      </c>
      <c r="E5" s="17" t="str">
        <f t="shared" si="0"/>
        <v>gacha_bonus_tables_hogehoge.tmp</v>
      </c>
      <c r="F5" s="19" t="s">
        <v>48</v>
      </c>
      <c r="G5" s="21" t="s">
        <v>11</v>
      </c>
      <c r="H5" s="23" t="s">
        <v>14</v>
      </c>
      <c r="I5" s="21" t="s">
        <v>12</v>
      </c>
      <c r="J5" s="20"/>
      <c r="K5" s="20"/>
      <c r="L5" s="20"/>
      <c r="M5" s="20"/>
      <c r="N5" s="20"/>
      <c r="O5" s="20"/>
    </row>
    <row r="6" spans="1:21" x14ac:dyDescent="0.15">
      <c r="A6" s="32" t="s">
        <v>54</v>
      </c>
      <c r="B6" s="19" t="s">
        <v>49</v>
      </c>
      <c r="C6" s="33" t="s">
        <v>59</v>
      </c>
      <c r="D6" s="19" t="s">
        <v>47</v>
      </c>
      <c r="E6" s="17" t="str">
        <f t="shared" si="0"/>
        <v>gifts_tmp_hogehoge.tmp</v>
      </c>
      <c r="F6" s="19" t="s">
        <v>48</v>
      </c>
      <c r="G6" s="23" t="s">
        <v>22</v>
      </c>
      <c r="H6" s="24" t="s">
        <v>30</v>
      </c>
      <c r="I6" s="23" t="s">
        <v>23</v>
      </c>
      <c r="J6" s="23" t="s">
        <v>24</v>
      </c>
      <c r="K6" s="23" t="s">
        <v>24</v>
      </c>
      <c r="L6" s="23" t="s">
        <v>25</v>
      </c>
      <c r="M6" s="23" t="s">
        <v>25</v>
      </c>
      <c r="N6" s="23" t="s">
        <v>25</v>
      </c>
      <c r="O6" s="53" t="s">
        <v>7</v>
      </c>
      <c r="P6" s="53" t="s">
        <v>9</v>
      </c>
      <c r="Q6" s="53" t="s">
        <v>6</v>
      </c>
      <c r="R6" s="53" t="s">
        <v>90</v>
      </c>
      <c r="S6" s="53" t="s">
        <v>8</v>
      </c>
      <c r="T6" s="53" t="s">
        <v>91</v>
      </c>
      <c r="U6" s="53" t="s">
        <v>5</v>
      </c>
    </row>
    <row r="7" spans="1:21" x14ac:dyDescent="0.15">
      <c r="A7" s="32" t="s">
        <v>54</v>
      </c>
      <c r="B7" s="19" t="s">
        <v>50</v>
      </c>
      <c r="C7" s="33" t="s">
        <v>59</v>
      </c>
      <c r="D7" s="19" t="s">
        <v>47</v>
      </c>
      <c r="E7" s="17" t="str">
        <f t="shared" si="0"/>
        <v>gifts_i18n_hogehoge.tmp</v>
      </c>
      <c r="F7" s="19" t="s">
        <v>48</v>
      </c>
      <c r="G7" s="23" t="s">
        <v>13</v>
      </c>
      <c r="H7" s="25" t="s">
        <v>26</v>
      </c>
      <c r="I7" s="25" t="s">
        <v>27</v>
      </c>
      <c r="J7" s="25" t="s">
        <v>28</v>
      </c>
      <c r="K7" s="25" t="s">
        <v>29</v>
      </c>
      <c r="L7" s="26"/>
      <c r="M7" s="23"/>
      <c r="N7" s="23"/>
      <c r="O7" s="19"/>
    </row>
  </sheetData>
  <phoneticPr fontId="16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V48"/>
  <sheetViews>
    <sheetView workbookViewId="0">
      <selection activeCell="F31" sqref="F31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50" t="s">
        <v>86</v>
      </c>
      <c r="B1" s="50"/>
      <c r="L1" s="40" t="s">
        <v>64</v>
      </c>
      <c r="M1" s="40"/>
      <c r="U1" t="s">
        <v>64</v>
      </c>
    </row>
    <row r="2" spans="1:22" x14ac:dyDescent="0.15">
      <c r="A2" t="str">
        <f ca="1">RIGHT(RIGHT(CELL("filename",A2),LEN(CELL("filename",A2))-FIND("]",CELL("filename",A2))),6)</f>
        <v>332010</v>
      </c>
      <c r="L2" s="34" t="s">
        <v>1</v>
      </c>
      <c r="M2" s="39" t="s">
        <v>68</v>
      </c>
      <c r="N2" s="34" t="s">
        <v>66</v>
      </c>
      <c r="O2" s="39" t="s">
        <v>69</v>
      </c>
      <c r="P2" s="39" t="s">
        <v>70</v>
      </c>
      <c r="Q2" s="39" t="s">
        <v>67</v>
      </c>
      <c r="R2" s="46" t="s">
        <v>76</v>
      </c>
      <c r="U2" s="34" t="s">
        <v>199</v>
      </c>
      <c r="V2" s="56">
        <f>SUMIF(Q:Q,U2,N:N)</f>
        <v>0</v>
      </c>
    </row>
    <row r="3" spans="1:22" x14ac:dyDescent="0.15">
      <c r="H3" s="75" t="s">
        <v>221</v>
      </c>
      <c r="L3" s="62">
        <v>688</v>
      </c>
      <c r="M3" s="39" t="str">
        <f>VLOOKUP(L3,[1]characters!$A:$C,3,FALSE)</f>
        <v>ユークリッド</v>
      </c>
      <c r="N3" s="65">
        <v>1E-3</v>
      </c>
      <c r="O3" s="39">
        <f>VLOOKUP(L3,[1]characters!$A:$I,9,FALSE)</f>
        <v>4</v>
      </c>
      <c r="P3" s="39" t="str">
        <f>VLOOKUP(L3,[1]characters!$A:$J,10,FALSE)</f>
        <v>PremiumSSS</v>
      </c>
      <c r="Q3" s="39" t="str">
        <f>VLOOKUP(L3,tables_332010!B:C,2,FALSE)</f>
        <v>PremiumSSS4R3less</v>
      </c>
      <c r="R3" s="64">
        <f t="shared" ref="R3:R20" si="0">N3*A$36</f>
        <v>2516</v>
      </c>
      <c r="S3">
        <v>190</v>
      </c>
      <c r="U3" s="34" t="s">
        <v>200</v>
      </c>
      <c r="V3" s="56">
        <f t="shared" ref="V3:V16" si="1">SUMIF(Q:Q,U3,N:N)</f>
        <v>0</v>
      </c>
    </row>
    <row r="4" spans="1:22" x14ac:dyDescent="0.15">
      <c r="A4" s="36" t="s">
        <v>55</v>
      </c>
      <c r="B4" s="36"/>
      <c r="D4" t="s">
        <v>209</v>
      </c>
      <c r="F4" t="s">
        <v>212</v>
      </c>
      <c r="H4" t="s">
        <v>219</v>
      </c>
      <c r="I4" t="s">
        <v>220</v>
      </c>
      <c r="L4" s="62">
        <v>689</v>
      </c>
      <c r="M4" s="39" t="str">
        <f>VLOOKUP(L4,[1]characters!$A:$C,3,FALSE)</f>
        <v>根原論理 ユークリッド</v>
      </c>
      <c r="N4" s="65">
        <v>4.0000000000000001E-3</v>
      </c>
      <c r="O4" s="39">
        <f>VLOOKUP(L4,[1]characters!$A:$I,9,FALSE)</f>
        <v>5</v>
      </c>
      <c r="P4" s="39" t="str">
        <f>VLOOKUP(L4,[1]characters!$A:$J,10,FALSE)</f>
        <v>PremiumSSS</v>
      </c>
      <c r="Q4" s="39" t="str">
        <f>VLOOKUP(L4,tables_332010!B:C,2,FALSE)</f>
        <v>PremiumSSS5R3less</v>
      </c>
      <c r="R4" s="64">
        <f t="shared" si="0"/>
        <v>10064</v>
      </c>
      <c r="S4">
        <v>191</v>
      </c>
      <c r="U4" s="34" t="s">
        <v>102</v>
      </c>
      <c r="V4" s="56">
        <f t="shared" si="1"/>
        <v>0</v>
      </c>
    </row>
    <row r="5" spans="1:22" x14ac:dyDescent="0.15">
      <c r="A5" s="34" t="s">
        <v>71</v>
      </c>
      <c r="B5" s="74">
        <f>1-B6-B7-B8</f>
        <v>4.163336342344337E-17</v>
      </c>
      <c r="D5" t="s">
        <v>210</v>
      </c>
      <c r="E5" s="45">
        <f>(B11-H5)/(F5-I5)</f>
        <v>1.764705882352941E-3</v>
      </c>
      <c r="F5">
        <f>(COUNTIF(tables_332010!C:C,input_332010!A26)+COUNTIF(tables_332010!C:C,input_332010!A28)+COUNTIF(tables_332010!C:C,input_332010!A29))</f>
        <v>34</v>
      </c>
      <c r="H5" s="76">
        <v>0</v>
      </c>
      <c r="I5" s="31">
        <v>0</v>
      </c>
      <c r="L5" s="62">
        <v>870</v>
      </c>
      <c r="M5" s="39" t="str">
        <f>VLOOKUP(L5,[1]characters!$A:$C,3,FALSE)</f>
        <v>フロイト</v>
      </c>
      <c r="N5" s="65">
        <v>5.0000000000000001E-3</v>
      </c>
      <c r="O5" s="39">
        <f>VLOOKUP(L5,[1]characters!$A:$I,9,FALSE)</f>
        <v>5</v>
      </c>
      <c r="P5" s="39" t="str">
        <f>VLOOKUP(L5,[1]characters!$A:$J,10,FALSE)</f>
        <v>PremiumSSS</v>
      </c>
      <c r="Q5" s="39" t="str">
        <f>VLOOKUP(L5,tables_332010!B:C,2,FALSE)</f>
        <v>PremiumSSS5R3less</v>
      </c>
      <c r="R5" s="64">
        <f>N5*A$36</f>
        <v>12580</v>
      </c>
      <c r="S5">
        <v>192</v>
      </c>
      <c r="U5" s="34" t="s">
        <v>103</v>
      </c>
      <c r="V5" s="56">
        <f t="shared" si="1"/>
        <v>0</v>
      </c>
    </row>
    <row r="6" spans="1:22" x14ac:dyDescent="0.15">
      <c r="A6" s="34" t="s">
        <v>72</v>
      </c>
      <c r="B6" s="74">
        <v>0.95</v>
      </c>
      <c r="D6" t="s">
        <v>211</v>
      </c>
      <c r="E6" s="80">
        <f>(B10-H6)/(F6-I6)</f>
        <v>1.2567567567567568E-2</v>
      </c>
      <c r="F6">
        <f>(COUNTIF(tables_332010!C:C,input_332010!A18)+COUNTIF(tables_332010!C:C,input_332010!A20)+COUNTIF(tables_332010!C:C,input_332010!A22))</f>
        <v>74</v>
      </c>
      <c r="H6" s="76">
        <v>0</v>
      </c>
      <c r="I6" s="31">
        <v>0</v>
      </c>
      <c r="M6" s="39" t="e">
        <f>VLOOKUP(L6,[1]characters!$A:$C,3,FALSE)</f>
        <v>#N/A</v>
      </c>
      <c r="N6" s="65"/>
      <c r="O6" s="39" t="e">
        <f>VLOOKUP(L6,[1]characters!$A:$I,9,FALSE)</f>
        <v>#N/A</v>
      </c>
      <c r="P6" s="39" t="e">
        <f>VLOOKUP(L6,[1]characters!$A:$J,10,FALSE)</f>
        <v>#N/A</v>
      </c>
      <c r="Q6" s="39" t="e">
        <f>VLOOKUP(L6,tables_332010!B:C,2,FALSE)</f>
        <v>#N/A</v>
      </c>
      <c r="R6" s="64">
        <f t="shared" si="0"/>
        <v>0</v>
      </c>
      <c r="S6">
        <v>596</v>
      </c>
      <c r="U6" s="34" t="s">
        <v>104</v>
      </c>
      <c r="V6" s="56">
        <f t="shared" si="1"/>
        <v>0</v>
      </c>
    </row>
    <row r="7" spans="1:22" x14ac:dyDescent="0.15">
      <c r="A7" s="34" t="s">
        <v>73</v>
      </c>
      <c r="B7" s="74">
        <v>0.05</v>
      </c>
      <c r="M7" s="39" t="e">
        <f>VLOOKUP(L7,[1]characters!$A:$C,3,FALSE)</f>
        <v>#N/A</v>
      </c>
      <c r="N7" s="65"/>
      <c r="O7" s="39" t="e">
        <f>VLOOKUP(L7,[1]characters!$A:$I,9,FALSE)</f>
        <v>#N/A</v>
      </c>
      <c r="P7" s="39" t="e">
        <f>VLOOKUP(L7,[1]characters!$A:$J,10,FALSE)</f>
        <v>#N/A</v>
      </c>
      <c r="Q7" s="39" t="e">
        <f>VLOOKUP(L7,tables_332010!B:C,2,FALSE)</f>
        <v>#N/A</v>
      </c>
      <c r="R7" s="64">
        <f t="shared" si="0"/>
        <v>0</v>
      </c>
      <c r="S7">
        <v>597</v>
      </c>
      <c r="U7" s="34" t="s">
        <v>205</v>
      </c>
      <c r="V7" s="56">
        <f t="shared" si="1"/>
        <v>0</v>
      </c>
    </row>
    <row r="8" spans="1:22" x14ac:dyDescent="0.15">
      <c r="A8" s="59"/>
      <c r="B8" s="73"/>
      <c r="M8" s="39" t="e">
        <f>VLOOKUP(L8,[1]characters!$A:$C,3,FALSE)</f>
        <v>#N/A</v>
      </c>
      <c r="N8" s="65"/>
      <c r="O8" s="39" t="e">
        <f>VLOOKUP(L8,[1]characters!$A:$I,9,FALSE)</f>
        <v>#N/A</v>
      </c>
      <c r="P8" s="39" t="e">
        <f>VLOOKUP(L8,[1]characters!$A:$J,10,FALSE)</f>
        <v>#N/A</v>
      </c>
      <c r="Q8" s="39" t="e">
        <f>VLOOKUP(L8,tables_332010!B:C,2,FALSE)</f>
        <v>#N/A</v>
      </c>
      <c r="R8" s="64">
        <f t="shared" si="0"/>
        <v>0</v>
      </c>
      <c r="S8">
        <v>598</v>
      </c>
      <c r="U8" s="34" t="s">
        <v>206</v>
      </c>
      <c r="V8" s="56">
        <f t="shared" si="1"/>
        <v>0</v>
      </c>
    </row>
    <row r="9" spans="1:22" x14ac:dyDescent="0.15">
      <c r="A9" s="37" t="s">
        <v>56</v>
      </c>
      <c r="B9" s="37"/>
      <c r="M9" s="39" t="e">
        <f>VLOOKUP(L9,[1]characters!$A:$C,3,FALSE)</f>
        <v>#N/A</v>
      </c>
      <c r="N9" s="65"/>
      <c r="O9" s="39" t="e">
        <f>VLOOKUP(L9,[1]characters!$A:$I,9,FALSE)</f>
        <v>#N/A</v>
      </c>
      <c r="P9" s="39" t="e">
        <f>VLOOKUP(L9,[1]characters!$A:$J,10,FALSE)</f>
        <v>#N/A</v>
      </c>
      <c r="Q9" s="39" t="e">
        <f>VLOOKUP(L9,tables_332010!B:C,2,FALSE)</f>
        <v>#N/A</v>
      </c>
      <c r="R9" s="64">
        <f t="shared" si="0"/>
        <v>0</v>
      </c>
      <c r="S9">
        <v>390</v>
      </c>
      <c r="U9" s="34" t="s">
        <v>202</v>
      </c>
      <c r="V9" s="56">
        <f t="shared" si="1"/>
        <v>0</v>
      </c>
    </row>
    <row r="10" spans="1:22" x14ac:dyDescent="0.15">
      <c r="A10" s="34" t="s">
        <v>101</v>
      </c>
      <c r="B10" s="74">
        <f>1-B11-B12-B8</f>
        <v>0.92999999999999994</v>
      </c>
      <c r="C10" t="s">
        <v>218</v>
      </c>
      <c r="M10" s="39" t="e">
        <f>VLOOKUP(L10,[1]characters!$A:$C,3,FALSE)</f>
        <v>#N/A</v>
      </c>
      <c r="N10" s="65"/>
      <c r="O10" s="39" t="e">
        <f>VLOOKUP(L10,[1]characters!$A:$I,9,FALSE)</f>
        <v>#N/A</v>
      </c>
      <c r="P10" s="39" t="e">
        <f>VLOOKUP(L10,[1]characters!$A:$J,10,FALSE)</f>
        <v>#N/A</v>
      </c>
      <c r="Q10" s="39" t="e">
        <f>VLOOKUP(L10,tables_332010!B:C,2,FALSE)</f>
        <v>#N/A</v>
      </c>
      <c r="R10" s="64">
        <f t="shared" si="0"/>
        <v>0</v>
      </c>
      <c r="S10">
        <v>391</v>
      </c>
      <c r="U10" s="34" t="s">
        <v>203</v>
      </c>
      <c r="V10" s="56">
        <f t="shared" si="1"/>
        <v>0</v>
      </c>
    </row>
    <row r="11" spans="1:22" x14ac:dyDescent="0.15">
      <c r="A11" s="34" t="s">
        <v>58</v>
      </c>
      <c r="B11" s="81">
        <v>0.06</v>
      </c>
      <c r="C11" t="s">
        <v>223</v>
      </c>
      <c r="M11" s="39" t="e">
        <f>VLOOKUP(L11,[1]characters!$A:$C,3,FALSE)</f>
        <v>#N/A</v>
      </c>
      <c r="N11" s="65"/>
      <c r="O11" s="39" t="e">
        <f>VLOOKUP(L11,[1]characters!$A:$I,9,FALSE)</f>
        <v>#N/A</v>
      </c>
      <c r="P11" s="39" t="e">
        <f>VLOOKUP(L11,[1]characters!$A:$J,10,FALSE)</f>
        <v>#N/A</v>
      </c>
      <c r="Q11" s="39" t="e">
        <f>VLOOKUP(L11,tables_332010!B:C,2,FALSE)</f>
        <v>#N/A</v>
      </c>
      <c r="R11" s="64">
        <f t="shared" si="0"/>
        <v>0</v>
      </c>
      <c r="S11">
        <v>811</v>
      </c>
      <c r="U11" s="34" t="s">
        <v>204</v>
      </c>
      <c r="V11" s="56">
        <f t="shared" si="1"/>
        <v>0</v>
      </c>
    </row>
    <row r="12" spans="1:22" x14ac:dyDescent="0.15">
      <c r="A12" s="34" t="s">
        <v>57</v>
      </c>
      <c r="B12" s="35">
        <v>0.01</v>
      </c>
      <c r="M12" s="39" t="e">
        <f>VLOOKUP(L12,[1]characters!$A:$C,3,FALSE)</f>
        <v>#N/A</v>
      </c>
      <c r="N12" s="65"/>
      <c r="O12" s="39" t="e">
        <f>VLOOKUP(L12,[1]characters!$A:$I,9,FALSE)</f>
        <v>#N/A</v>
      </c>
      <c r="P12" s="39" t="e">
        <f>VLOOKUP(L12,[1]characters!$A:$J,10,FALSE)</f>
        <v>#N/A</v>
      </c>
      <c r="Q12" s="39" t="e">
        <f>VLOOKUP(L12,tables_332010!B:C,2,FALSE)</f>
        <v>#N/A</v>
      </c>
      <c r="R12" s="64">
        <f t="shared" si="0"/>
        <v>0</v>
      </c>
      <c r="S12">
        <v>496</v>
      </c>
      <c r="U12" s="34" t="s">
        <v>112</v>
      </c>
      <c r="V12" s="56">
        <f t="shared" si="1"/>
        <v>0</v>
      </c>
    </row>
    <row r="13" spans="1:22" x14ac:dyDescent="0.15">
      <c r="M13" s="39" t="e">
        <f>VLOOKUP(L13,[1]characters!$A:$C,3,FALSE)</f>
        <v>#N/A</v>
      </c>
      <c r="N13" s="65"/>
      <c r="O13" s="39" t="e">
        <f>VLOOKUP(L13,[1]characters!$A:$I,9,FALSE)</f>
        <v>#N/A</v>
      </c>
      <c r="P13" s="39" t="e">
        <f>VLOOKUP(L13,[1]characters!$A:$J,10,FALSE)</f>
        <v>#N/A</v>
      </c>
      <c r="Q13" s="39" t="e">
        <f>VLOOKUP(L13,tables_332010!B:C,2,FALSE)</f>
        <v>#N/A</v>
      </c>
      <c r="R13" s="64">
        <f t="shared" si="0"/>
        <v>0</v>
      </c>
      <c r="S13">
        <v>497</v>
      </c>
      <c r="U13" s="34" t="s">
        <v>113</v>
      </c>
      <c r="V13" s="56">
        <f t="shared" si="1"/>
        <v>0</v>
      </c>
    </row>
    <row r="14" spans="1:22" x14ac:dyDescent="0.15">
      <c r="M14" s="39" t="e">
        <f>VLOOKUP(L14,[1]characters!$A:$C,3,FALSE)</f>
        <v>#N/A</v>
      </c>
      <c r="N14" s="65"/>
      <c r="O14" s="39" t="e">
        <f>VLOOKUP(L14,[1]characters!$A:$I,9,FALSE)</f>
        <v>#N/A</v>
      </c>
      <c r="P14" s="39" t="e">
        <f>VLOOKUP(L14,[1]characters!$A:$J,10,FALSE)</f>
        <v>#N/A</v>
      </c>
      <c r="Q14" s="39" t="e">
        <f>VLOOKUP(L14,tables_332010!B:C,2,FALSE)</f>
        <v>#N/A</v>
      </c>
      <c r="R14" s="64">
        <f t="shared" si="0"/>
        <v>0</v>
      </c>
      <c r="S14">
        <v>498</v>
      </c>
      <c r="U14" s="34" t="s">
        <v>208</v>
      </c>
      <c r="V14" s="56">
        <f t="shared" si="1"/>
        <v>0</v>
      </c>
    </row>
    <row r="15" spans="1:22" x14ac:dyDescent="0.15">
      <c r="A15" s="38" t="s">
        <v>60</v>
      </c>
      <c r="B15" s="38"/>
      <c r="C15" t="s">
        <v>87</v>
      </c>
      <c r="M15" s="39" t="e">
        <f>VLOOKUP(L15,[1]characters!$A:$C,3,FALSE)</f>
        <v>#N/A</v>
      </c>
      <c r="N15" s="65"/>
      <c r="O15" s="39" t="e">
        <f>VLOOKUP(L15,[1]characters!$A:$I,9,FALSE)</f>
        <v>#N/A</v>
      </c>
      <c r="P15" s="39" t="e">
        <f>VLOOKUP(L15,[1]characters!$A:$J,10,FALSE)</f>
        <v>#N/A</v>
      </c>
      <c r="Q15" s="39" t="e">
        <f>VLOOKUP(L15,tables_332010!B:C,2,FALSE)</f>
        <v>#N/A</v>
      </c>
      <c r="R15" s="64">
        <f t="shared" si="0"/>
        <v>0</v>
      </c>
      <c r="S15">
        <v>395</v>
      </c>
      <c r="U15" s="34" t="s">
        <v>207</v>
      </c>
      <c r="V15" s="56">
        <f t="shared" si="1"/>
        <v>0</v>
      </c>
    </row>
    <row r="16" spans="1:22" x14ac:dyDescent="0.15">
      <c r="A16" s="34" t="s">
        <v>63</v>
      </c>
      <c r="B16" s="34" t="s">
        <v>201</v>
      </c>
      <c r="C16" s="39" t="s">
        <v>64</v>
      </c>
      <c r="D16" s="39" t="s">
        <v>65</v>
      </c>
      <c r="E16" t="s">
        <v>75</v>
      </c>
      <c r="F16" t="s">
        <v>74</v>
      </c>
      <c r="G16" t="s">
        <v>77</v>
      </c>
      <c r="H16" t="s">
        <v>222</v>
      </c>
      <c r="I16" t="s">
        <v>78</v>
      </c>
      <c r="J16" t="s">
        <v>81</v>
      </c>
      <c r="M16" s="39" t="e">
        <f>VLOOKUP(L16,[1]characters!$A:$C,3,FALSE)</f>
        <v>#N/A</v>
      </c>
      <c r="N16" s="65"/>
      <c r="O16" s="39" t="e">
        <f>VLOOKUP(L16,[1]characters!$A:$I,9,FALSE)</f>
        <v>#N/A</v>
      </c>
      <c r="P16" s="39" t="e">
        <f>VLOOKUP(L16,[1]characters!$A:$J,10,FALSE)</f>
        <v>#N/A</v>
      </c>
      <c r="Q16" s="39" t="e">
        <f>VLOOKUP(L16,tables_332010!B:C,2,FALSE)</f>
        <v>#N/A</v>
      </c>
      <c r="R16" s="64">
        <f t="shared" si="0"/>
        <v>0</v>
      </c>
      <c r="S16">
        <v>396</v>
      </c>
      <c r="U16" s="34" t="s">
        <v>114</v>
      </c>
      <c r="V16" s="56">
        <f t="shared" si="1"/>
        <v>0</v>
      </c>
    </row>
    <row r="17" spans="1:19" x14ac:dyDescent="0.15">
      <c r="A17" s="34" t="s">
        <v>199</v>
      </c>
      <c r="B17" s="82">
        <v>0</v>
      </c>
      <c r="C17" s="77">
        <f t="shared" ref="C17:C31" si="2">SUMIF(Q:Q,A17,N:N)</f>
        <v>0</v>
      </c>
      <c r="D17" s="78">
        <f t="shared" ref="D17:D26" si="3">B17-C17</f>
        <v>0</v>
      </c>
      <c r="E17">
        <f>COUNTIF(tables_332010!C:C,input_332010!A17)-COUNTIF(Q:Q,A17)</f>
        <v>20</v>
      </c>
      <c r="F17" s="45">
        <f>IFERROR(B17/E17,0)</f>
        <v>0</v>
      </c>
      <c r="G17">
        <f>A$36*B17</f>
        <v>0</v>
      </c>
      <c r="H17">
        <f t="shared" ref="H17:H26" si="4">IFERROR(ROUND(G17/E17,5),0)</f>
        <v>0</v>
      </c>
      <c r="I17">
        <f t="shared" ref="I17:I31" si="5">MOD(H17,1)</f>
        <v>0</v>
      </c>
      <c r="J17">
        <f t="shared" ref="J17:J26" si="6">IFERROR(1/I17,1)</f>
        <v>1</v>
      </c>
      <c r="M17" s="39" t="e">
        <f>VLOOKUP(L17,[1]characters!$A:$C,3,FALSE)</f>
        <v>#N/A</v>
      </c>
      <c r="N17" s="65"/>
      <c r="O17" s="39" t="e">
        <f>VLOOKUP(L17,[1]characters!$A:$I,9,FALSE)</f>
        <v>#N/A</v>
      </c>
      <c r="P17" s="39" t="e">
        <f>VLOOKUP(L17,[1]characters!$A:$J,10,FALSE)</f>
        <v>#N/A</v>
      </c>
      <c r="Q17" s="39" t="e">
        <f>VLOOKUP(L17,tables_332010!B:C,2,FALSE)</f>
        <v>#N/A</v>
      </c>
      <c r="R17" s="64">
        <f t="shared" si="0"/>
        <v>0</v>
      </c>
      <c r="S17">
        <v>397</v>
      </c>
    </row>
    <row r="18" spans="1:19" x14ac:dyDescent="0.15">
      <c r="A18" s="34" t="s">
        <v>200</v>
      </c>
      <c r="B18" s="58">
        <f>E6*E18-B17</f>
        <v>0.25135135135135134</v>
      </c>
      <c r="C18" s="77">
        <f t="shared" si="2"/>
        <v>0</v>
      </c>
      <c r="D18" s="78">
        <f t="shared" si="3"/>
        <v>0.25135135135135134</v>
      </c>
      <c r="E18">
        <f>COUNTIF(tables_332010!C:C,input_332010!A18)-COUNTIF(Q:Q,A18)</f>
        <v>20</v>
      </c>
      <c r="F18" s="45">
        <f t="shared" ref="F18:F31" si="7">IFERROR(B18/E18,0)</f>
        <v>1.2567567567567568E-2</v>
      </c>
      <c r="G18">
        <f t="shared" ref="G18:G31" si="8">A$36*B18</f>
        <v>632400</v>
      </c>
      <c r="H18">
        <f t="shared" si="4"/>
        <v>31620</v>
      </c>
      <c r="I18">
        <f t="shared" si="5"/>
        <v>0</v>
      </c>
      <c r="J18">
        <f t="shared" si="6"/>
        <v>1</v>
      </c>
      <c r="M18" s="39" t="e">
        <f>VLOOKUP(L18,[1]characters!$A:$C,3,FALSE)</f>
        <v>#N/A</v>
      </c>
      <c r="N18" s="65"/>
      <c r="O18" s="39" t="e">
        <f>VLOOKUP(L18,[1]characters!$A:$I,9,FALSE)</f>
        <v>#N/A</v>
      </c>
      <c r="P18" s="39" t="e">
        <f>VLOOKUP(L18,[1]characters!$A:$J,10,FALSE)</f>
        <v>#N/A</v>
      </c>
      <c r="Q18" s="39" t="e">
        <f>VLOOKUP(L18,tables_332010!B:C,2,FALSE)</f>
        <v>#N/A</v>
      </c>
      <c r="R18" s="64">
        <f t="shared" si="0"/>
        <v>0</v>
      </c>
      <c r="S18">
        <v>324</v>
      </c>
    </row>
    <row r="19" spans="1:19" x14ac:dyDescent="0.15">
      <c r="A19" s="34" t="s">
        <v>102</v>
      </c>
      <c r="B19" s="82">
        <v>0</v>
      </c>
      <c r="C19" s="77">
        <f t="shared" si="2"/>
        <v>0</v>
      </c>
      <c r="D19" s="78">
        <f t="shared" si="3"/>
        <v>0</v>
      </c>
      <c r="E19">
        <f>COUNTIF(tables_332010!C:C,input_332010!A19)-COUNTIF(Q:Q,A19)</f>
        <v>52</v>
      </c>
      <c r="F19" s="45">
        <f t="shared" si="7"/>
        <v>0</v>
      </c>
      <c r="G19">
        <f t="shared" si="8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9" t="e">
        <f>VLOOKUP(L19,[1]characters!$A:$C,3,FALSE)</f>
        <v>#N/A</v>
      </c>
      <c r="N19" s="65"/>
      <c r="O19" s="39" t="e">
        <f>VLOOKUP(L19,[1]characters!$A:$I,9,FALSE)</f>
        <v>#N/A</v>
      </c>
      <c r="P19" s="39" t="e">
        <f>VLOOKUP(L19,[1]characters!$A:$J,10,FALSE)</f>
        <v>#N/A</v>
      </c>
      <c r="Q19" s="39" t="e">
        <f>VLOOKUP(L19,tables_332010!B:C,2,FALSE)</f>
        <v>#N/A</v>
      </c>
      <c r="R19" s="64">
        <f t="shared" si="0"/>
        <v>0</v>
      </c>
      <c r="S19">
        <v>325</v>
      </c>
    </row>
    <row r="20" spans="1:19" x14ac:dyDescent="0.15">
      <c r="A20" s="34" t="s">
        <v>103</v>
      </c>
      <c r="B20" s="58">
        <f>E$6*E20*B6</f>
        <v>0.62083783783783775</v>
      </c>
      <c r="C20" s="77">
        <f t="shared" si="2"/>
        <v>0</v>
      </c>
      <c r="D20" s="78">
        <f t="shared" si="3"/>
        <v>0.62083783783783775</v>
      </c>
      <c r="E20">
        <f>COUNTIF(tables_332010!C:C,input_332010!A20)-COUNTIF(Q:Q,A20)</f>
        <v>52</v>
      </c>
      <c r="F20" s="45">
        <f t="shared" si="7"/>
        <v>1.1939189189189188E-2</v>
      </c>
      <c r="G20">
        <f t="shared" si="8"/>
        <v>1562027.9999999998</v>
      </c>
      <c r="H20">
        <f t="shared" si="4"/>
        <v>30039</v>
      </c>
      <c r="I20">
        <f t="shared" si="5"/>
        <v>0</v>
      </c>
      <c r="J20">
        <f t="shared" si="6"/>
        <v>1</v>
      </c>
      <c r="M20" s="39" t="e">
        <f>VLOOKUP(L20,[1]characters!$A:$C,3,FALSE)</f>
        <v>#N/A</v>
      </c>
      <c r="N20" s="65"/>
      <c r="O20" s="39" t="e">
        <f>VLOOKUP(L20,[1]characters!$A:$I,9,FALSE)</f>
        <v>#N/A</v>
      </c>
      <c r="P20" s="39" t="e">
        <f>VLOOKUP(L20,[1]characters!$A:$J,10,FALSE)</f>
        <v>#N/A</v>
      </c>
      <c r="Q20" s="39" t="e">
        <f>VLOOKUP(L20,tables_332010!B:C,2,FALSE)</f>
        <v>#N/A</v>
      </c>
      <c r="R20" s="64">
        <f t="shared" si="0"/>
        <v>0</v>
      </c>
      <c r="S20">
        <v>809</v>
      </c>
    </row>
    <row r="21" spans="1:19" x14ac:dyDescent="0.15">
      <c r="A21" s="34" t="s">
        <v>104</v>
      </c>
      <c r="B21" s="58">
        <f>E$6*E21*B7</f>
        <v>3.2675675675675676E-2</v>
      </c>
      <c r="C21" s="77">
        <f t="shared" si="2"/>
        <v>0</v>
      </c>
      <c r="D21" s="78">
        <f t="shared" si="3"/>
        <v>3.2675675675675676E-2</v>
      </c>
      <c r="E21">
        <f>COUNTIF(tables_332010!C:C,input_332010!A21)-COUNTIF(Q:Q,A21)</f>
        <v>52</v>
      </c>
      <c r="F21" s="45">
        <f t="shared" si="7"/>
        <v>6.283783783783784E-4</v>
      </c>
      <c r="G21">
        <f t="shared" si="8"/>
        <v>82212</v>
      </c>
      <c r="H21">
        <f t="shared" si="4"/>
        <v>1581</v>
      </c>
      <c r="I21">
        <f t="shared" si="5"/>
        <v>0</v>
      </c>
      <c r="J21">
        <f t="shared" si="6"/>
        <v>1</v>
      </c>
      <c r="L21" s="59"/>
      <c r="M21" s="59"/>
      <c r="N21" s="60"/>
      <c r="O21" s="59"/>
      <c r="P21" s="59"/>
      <c r="Q21" s="59"/>
      <c r="R21" s="61"/>
    </row>
    <row r="22" spans="1:19" x14ac:dyDescent="0.15">
      <c r="A22" s="34" t="s">
        <v>205</v>
      </c>
      <c r="B22" s="79">
        <f>E6*COUNTIF(tables_332010!C:C,input_332010!A22)-B23</f>
        <v>1.4163751987281405E-2</v>
      </c>
      <c r="C22" s="77">
        <f t="shared" si="2"/>
        <v>0</v>
      </c>
      <c r="D22" s="78">
        <f t="shared" si="3"/>
        <v>1.4163751987281405E-2</v>
      </c>
      <c r="E22">
        <f>COUNTIF(tables_332010!C:C,input_332010!A22)-COUNTIF(Q:Q,A22)</f>
        <v>2</v>
      </c>
      <c r="F22" s="45">
        <f t="shared" si="7"/>
        <v>7.0818759936407023E-3</v>
      </c>
      <c r="G22">
        <f t="shared" si="8"/>
        <v>35636.000000000015</v>
      </c>
      <c r="H22">
        <f t="shared" si="4"/>
        <v>17818</v>
      </c>
      <c r="I22">
        <f t="shared" si="5"/>
        <v>0</v>
      </c>
      <c r="J22">
        <f t="shared" si="6"/>
        <v>1</v>
      </c>
      <c r="L22" s="59"/>
      <c r="M22" s="59"/>
      <c r="N22" s="60"/>
      <c r="O22" s="59"/>
      <c r="P22" s="59"/>
      <c r="Q22" s="59"/>
      <c r="R22" s="61"/>
    </row>
    <row r="23" spans="1:19" x14ac:dyDescent="0.15">
      <c r="A23" s="34" t="s">
        <v>206</v>
      </c>
      <c r="B23" s="72">
        <f>B7-B26-B28-B29-B21-V6</f>
        <v>1.097138314785373E-2</v>
      </c>
      <c r="C23" s="77">
        <f t="shared" si="2"/>
        <v>0</v>
      </c>
      <c r="D23" s="78">
        <f t="shared" si="3"/>
        <v>1.097138314785373E-2</v>
      </c>
      <c r="E23">
        <f>COUNTIF(tables_332010!C:C,input_332010!A23)-COUNTIF(Q:Q,A23)</f>
        <v>2</v>
      </c>
      <c r="F23" s="45">
        <f t="shared" si="7"/>
        <v>5.4856915739268652E-3</v>
      </c>
      <c r="G23">
        <f t="shared" si="8"/>
        <v>27603.999999999985</v>
      </c>
      <c r="H23">
        <f t="shared" si="4"/>
        <v>13802</v>
      </c>
      <c r="I23">
        <f t="shared" si="5"/>
        <v>0</v>
      </c>
      <c r="J23">
        <f t="shared" si="6"/>
        <v>1</v>
      </c>
      <c r="L23" s="59"/>
      <c r="M23" s="59"/>
      <c r="N23" s="60"/>
      <c r="O23" s="59"/>
      <c r="P23" s="59"/>
      <c r="Q23" s="59"/>
      <c r="R23" s="61"/>
    </row>
    <row r="24" spans="1:19" x14ac:dyDescent="0.15">
      <c r="A24" s="34" t="s">
        <v>202</v>
      </c>
      <c r="B24" s="82">
        <v>0</v>
      </c>
      <c r="C24" s="77">
        <f t="shared" si="2"/>
        <v>0</v>
      </c>
      <c r="D24" s="78">
        <f t="shared" si="3"/>
        <v>0</v>
      </c>
      <c r="E24">
        <f>COUNTIF(tables_332010!C:C,input_332010!A24)-COUNTIF(Q:Q,A24)</f>
        <v>4</v>
      </c>
      <c r="F24" s="45">
        <f t="shared" si="7"/>
        <v>0</v>
      </c>
      <c r="G24">
        <f t="shared" si="8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59"/>
      <c r="M24" s="59"/>
      <c r="N24" s="60"/>
      <c r="O24" s="59"/>
      <c r="P24" s="59"/>
      <c r="Q24" s="59"/>
      <c r="R24" s="61"/>
    </row>
    <row r="25" spans="1:19" x14ac:dyDescent="0.15">
      <c r="A25" s="34" t="s">
        <v>203</v>
      </c>
      <c r="B25" s="58">
        <f>E$5*B6*E25</f>
        <v>6.7058823529411752E-3</v>
      </c>
      <c r="C25" s="77">
        <f t="shared" si="2"/>
        <v>0</v>
      </c>
      <c r="D25" s="78">
        <f t="shared" si="3"/>
        <v>6.7058823529411752E-3</v>
      </c>
      <c r="E25">
        <f>COUNTIF(tables_332010!C:C,input_332010!A25)-COUNTIF(Q:Q,A25)</f>
        <v>4</v>
      </c>
      <c r="F25" s="45">
        <f t="shared" si="7"/>
        <v>1.6764705882352938E-3</v>
      </c>
      <c r="G25">
        <f t="shared" si="8"/>
        <v>16871.999999999996</v>
      </c>
      <c r="H25">
        <f t="shared" si="4"/>
        <v>4218</v>
      </c>
      <c r="I25">
        <f t="shared" si="5"/>
        <v>0</v>
      </c>
      <c r="J25">
        <f t="shared" si="6"/>
        <v>1</v>
      </c>
      <c r="L25" s="59"/>
      <c r="M25" s="59"/>
      <c r="N25" s="60"/>
      <c r="O25" s="59"/>
      <c r="P25" s="59"/>
      <c r="Q25" s="59"/>
      <c r="R25" s="61"/>
    </row>
    <row r="26" spans="1:19" x14ac:dyDescent="0.15">
      <c r="A26" s="34" t="s">
        <v>204</v>
      </c>
      <c r="B26" s="58">
        <f>E$5*B7*E26</f>
        <v>3.529411764705882E-4</v>
      </c>
      <c r="C26" s="77">
        <f t="shared" si="2"/>
        <v>0</v>
      </c>
      <c r="D26" s="78">
        <f t="shared" si="3"/>
        <v>3.529411764705882E-4</v>
      </c>
      <c r="E26">
        <f>COUNTIF(tables_332010!C:C,input_332010!A26)-COUNTIF(Q:Q,A26)</f>
        <v>4</v>
      </c>
      <c r="F26" s="45">
        <f t="shared" si="7"/>
        <v>8.8235294117647051E-5</v>
      </c>
      <c r="G26">
        <f t="shared" si="8"/>
        <v>887.99999999999989</v>
      </c>
      <c r="H26">
        <f t="shared" si="4"/>
        <v>222</v>
      </c>
      <c r="I26">
        <f t="shared" si="5"/>
        <v>0</v>
      </c>
      <c r="J26">
        <f t="shared" si="6"/>
        <v>1</v>
      </c>
      <c r="L26" s="59"/>
      <c r="M26" s="59"/>
      <c r="N26" s="60"/>
      <c r="O26" s="59"/>
      <c r="P26" s="59"/>
      <c r="Q26" s="59"/>
      <c r="R26" s="61"/>
    </row>
    <row r="27" spans="1:19" x14ac:dyDescent="0.15">
      <c r="A27" s="34" t="s">
        <v>112</v>
      </c>
      <c r="B27" s="58">
        <f>E$5*E27*(B5+B6)</f>
        <v>4.6941176470588229E-2</v>
      </c>
      <c r="C27" s="77">
        <f t="shared" si="2"/>
        <v>0</v>
      </c>
      <c r="D27" s="78">
        <f t="shared" ref="D27:D29" si="9">B27-C27</f>
        <v>4.6941176470588229E-2</v>
      </c>
      <c r="E27">
        <f>COUNTIF(tables_332010!C:C,input_332010!A27)-COUNTIF(Q:Q,A27)</f>
        <v>28</v>
      </c>
      <c r="F27" s="45">
        <f>IFERROR(B27/E27,0)</f>
        <v>1.6764705882352938E-3</v>
      </c>
      <c r="G27">
        <f t="shared" si="8"/>
        <v>118103.99999999999</v>
      </c>
      <c r="H27">
        <f t="shared" ref="H27:H29" si="10">IFERROR(ROUND(G27/E27,5),0)</f>
        <v>4218</v>
      </c>
      <c r="I27">
        <f t="shared" si="5"/>
        <v>0</v>
      </c>
      <c r="J27">
        <f t="shared" ref="J27:J29" si="11">IFERROR(1/I27,1)</f>
        <v>1</v>
      </c>
      <c r="L27" s="59"/>
      <c r="M27" s="59"/>
      <c r="N27" s="60"/>
      <c r="O27" s="59"/>
      <c r="P27" s="59"/>
      <c r="Q27" s="59"/>
      <c r="R27" s="61"/>
    </row>
    <row r="28" spans="1:19" x14ac:dyDescent="0.15">
      <c r="A28" s="34" t="s">
        <v>113</v>
      </c>
      <c r="B28" s="58">
        <f>E$5*E28*B7</f>
        <v>2.4705882352941176E-3</v>
      </c>
      <c r="C28" s="77">
        <f t="shared" si="2"/>
        <v>0</v>
      </c>
      <c r="D28" s="78">
        <f t="shared" si="9"/>
        <v>2.4705882352941176E-3</v>
      </c>
      <c r="E28">
        <f>COUNTIF(tables_332010!C:C,input_332010!A28)-COUNTIF(Q:Q,A28)</f>
        <v>28</v>
      </c>
      <c r="F28" s="45">
        <f t="shared" si="7"/>
        <v>8.8235294117647065E-5</v>
      </c>
      <c r="G28">
        <f t="shared" si="8"/>
        <v>6216</v>
      </c>
      <c r="H28">
        <f t="shared" si="10"/>
        <v>222</v>
      </c>
      <c r="I28">
        <f t="shared" si="5"/>
        <v>0</v>
      </c>
      <c r="J28">
        <f t="shared" si="11"/>
        <v>1</v>
      </c>
      <c r="L28" s="59"/>
      <c r="M28" s="59"/>
      <c r="N28" s="60"/>
      <c r="O28" s="59"/>
      <c r="P28" s="59"/>
      <c r="Q28" s="59"/>
      <c r="R28" s="61"/>
    </row>
    <row r="29" spans="1:19" x14ac:dyDescent="0.15">
      <c r="A29" s="34" t="s">
        <v>208</v>
      </c>
      <c r="B29" s="58">
        <f>E5*COUNTIF(tables_332010!C:C,input_332010!A29)</f>
        <v>3.529411764705882E-3</v>
      </c>
      <c r="C29" s="77">
        <f t="shared" si="2"/>
        <v>0</v>
      </c>
      <c r="D29" s="78">
        <f t="shared" si="9"/>
        <v>3.529411764705882E-3</v>
      </c>
      <c r="E29">
        <f>COUNTIF(tables_332010!C:C,input_332010!A29)-COUNTIF(Q:Q,A29)</f>
        <v>2</v>
      </c>
      <c r="F29" s="45">
        <f t="shared" si="7"/>
        <v>1.764705882352941E-3</v>
      </c>
      <c r="G29">
        <f t="shared" si="8"/>
        <v>8880</v>
      </c>
      <c r="H29">
        <f t="shared" si="10"/>
        <v>4440</v>
      </c>
      <c r="I29">
        <f t="shared" si="5"/>
        <v>0</v>
      </c>
      <c r="J29">
        <f t="shared" si="11"/>
        <v>1</v>
      </c>
      <c r="L29" s="59"/>
      <c r="M29" s="59"/>
      <c r="N29" s="60"/>
      <c r="O29" s="59"/>
      <c r="P29" s="59"/>
      <c r="Q29" s="59"/>
      <c r="R29" s="61"/>
    </row>
    <row r="30" spans="1:19" x14ac:dyDescent="0.15">
      <c r="A30" s="34" t="s">
        <v>207</v>
      </c>
      <c r="B30" s="58">
        <v>0</v>
      </c>
      <c r="C30" s="77">
        <f t="shared" si="2"/>
        <v>0</v>
      </c>
      <c r="D30" s="78">
        <f t="shared" ref="D30:D31" si="12">B30-C30</f>
        <v>0</v>
      </c>
      <c r="E30">
        <f>COUNTIF(tables_332010!C:C,input_332010!A30)-COUNTIF(Q:Q,A30)</f>
        <v>0</v>
      </c>
      <c r="F30" s="45">
        <f t="shared" si="7"/>
        <v>0</v>
      </c>
      <c r="G30">
        <f t="shared" si="8"/>
        <v>0</v>
      </c>
      <c r="H30">
        <f t="shared" ref="H30:H31" si="13">IFERROR(ROUND(G30/E30,5),0)</f>
        <v>0</v>
      </c>
      <c r="I30">
        <f t="shared" si="5"/>
        <v>0</v>
      </c>
      <c r="J30">
        <f t="shared" ref="J30:J31" si="14">IFERROR(1/I30,1)</f>
        <v>1</v>
      </c>
      <c r="L30" s="59"/>
      <c r="M30" s="59"/>
      <c r="N30" s="60"/>
      <c r="O30" s="59"/>
      <c r="P30" s="59"/>
      <c r="Q30" s="59"/>
      <c r="R30" s="61"/>
    </row>
    <row r="31" spans="1:19" x14ac:dyDescent="0.15">
      <c r="A31" s="34" t="s">
        <v>114</v>
      </c>
      <c r="B31" s="58">
        <v>0</v>
      </c>
      <c r="C31" s="77">
        <f t="shared" si="2"/>
        <v>0</v>
      </c>
      <c r="D31" s="78">
        <f t="shared" si="12"/>
        <v>0</v>
      </c>
      <c r="E31">
        <f>COUNTIF(tables_332010!C:C,input_332010!A31)-COUNTIF(Q:Q,A31)</f>
        <v>0</v>
      </c>
      <c r="F31" s="45">
        <f t="shared" si="7"/>
        <v>0</v>
      </c>
      <c r="G31">
        <f t="shared" si="8"/>
        <v>0</v>
      </c>
      <c r="H31">
        <f t="shared" si="13"/>
        <v>0</v>
      </c>
      <c r="I31">
        <f t="shared" si="5"/>
        <v>0</v>
      </c>
      <c r="J31">
        <f t="shared" si="14"/>
        <v>1</v>
      </c>
      <c r="L31" s="59"/>
      <c r="M31" s="59"/>
      <c r="N31" s="60"/>
      <c r="O31" s="59"/>
      <c r="P31" s="59"/>
      <c r="Q31" s="59"/>
      <c r="R31" s="61"/>
    </row>
    <row r="32" spans="1:19" x14ac:dyDescent="0.15">
      <c r="A32" s="41" t="s">
        <v>62</v>
      </c>
      <c r="B32" s="42">
        <f>SUM(B17:B31)</f>
        <v>0.98999999999999988</v>
      </c>
      <c r="C32" s="43">
        <f>SUM(C19:C31)</f>
        <v>0</v>
      </c>
      <c r="D32" s="44">
        <f t="shared" ref="D32" si="15">B32-C32</f>
        <v>0.98999999999999988</v>
      </c>
      <c r="L32" s="59"/>
      <c r="M32" s="59"/>
      <c r="N32" s="59"/>
      <c r="O32" s="59"/>
      <c r="P32" s="59"/>
      <c r="Q32" s="59"/>
      <c r="R32" s="61"/>
    </row>
    <row r="35" spans="1:7" x14ac:dyDescent="0.15">
      <c r="A35" t="s">
        <v>76</v>
      </c>
    </row>
    <row r="36" spans="1:7" x14ac:dyDescent="0.15">
      <c r="A36" s="31">
        <f>LCM(F5-I5,F6-I6)*1000*2</f>
        <v>2516000</v>
      </c>
    </row>
    <row r="38" spans="1:7" x14ac:dyDescent="0.15">
      <c r="A38" s="49" t="s">
        <v>80</v>
      </c>
    </row>
    <row r="39" spans="1:7" x14ac:dyDescent="0.15">
      <c r="A39" s="34" t="s">
        <v>63</v>
      </c>
      <c r="B39" t="s">
        <v>77</v>
      </c>
      <c r="C39" t="s">
        <v>105</v>
      </c>
      <c r="E39" t="s">
        <v>106</v>
      </c>
      <c r="F39" t="s">
        <v>217</v>
      </c>
      <c r="G39" t="s">
        <v>66</v>
      </c>
    </row>
    <row r="40" spans="1:7" x14ac:dyDescent="0.15">
      <c r="A40" s="34" t="s">
        <v>109</v>
      </c>
      <c r="B40">
        <f ca="1">SUMIF(tables_332010!C:C,input_332010!A40,tables_332010!O:O)</f>
        <v>0</v>
      </c>
      <c r="C40" s="56">
        <f t="shared" ref="C40:C46" ca="1" si="16">B40/B$47</f>
        <v>0</v>
      </c>
      <c r="E40">
        <v>3</v>
      </c>
      <c r="F40">
        <f ca="1">SUMIF(tables_332010!J:J,input_332010!E40,tables_332010!O:O)</f>
        <v>0</v>
      </c>
      <c r="G40">
        <f ca="1">F40/A36</f>
        <v>0</v>
      </c>
    </row>
    <row r="41" spans="1:7" x14ac:dyDescent="0.15">
      <c r="A41" s="34" t="s">
        <v>110</v>
      </c>
      <c r="B41">
        <f ca="1">SUMIF(tables_332010!C:C,input_332010!A41,tables_332010!O:O)</f>
        <v>1562028</v>
      </c>
      <c r="C41" s="56">
        <f t="shared" ca="1" si="16"/>
        <v>0.88322024698059443</v>
      </c>
      <c r="E41">
        <v>4</v>
      </c>
      <c r="F41">
        <f ca="1">SUMIF(tables_332010!J:J,input_332010!E41,tables_332010!O:O)</f>
        <v>2367556</v>
      </c>
      <c r="G41">
        <f ca="1">F41/A36</f>
        <v>0.94099999999999995</v>
      </c>
    </row>
    <row r="42" spans="1:7" x14ac:dyDescent="0.15">
      <c r="A42" s="34" t="s">
        <v>115</v>
      </c>
      <c r="B42">
        <f ca="1">SUMIF(tables_332010!C:C,input_332010!A42,tables_332010!O:O)</f>
        <v>118104</v>
      </c>
      <c r="C42" s="56">
        <f t="shared" ca="1" si="16"/>
        <v>6.6779753019405613E-2</v>
      </c>
      <c r="E42">
        <v>5</v>
      </c>
      <c r="F42">
        <f ca="1">SUMIF(tables_332010!J:J,input_332010!E42,tables_332010!O:O)</f>
        <v>148444</v>
      </c>
      <c r="G42">
        <f ca="1">F42/A36</f>
        <v>5.8999999999999997E-2</v>
      </c>
    </row>
    <row r="43" spans="1:7" x14ac:dyDescent="0.15">
      <c r="A43" s="34" t="s">
        <v>116</v>
      </c>
      <c r="B43">
        <f>SUMIF(tables_332010!C:C,input_332010!A43,tables_332010!O:O)</f>
        <v>0</v>
      </c>
      <c r="C43" s="56">
        <f t="shared" ca="1" si="16"/>
        <v>0</v>
      </c>
      <c r="F43" s="57"/>
    </row>
    <row r="44" spans="1:7" x14ac:dyDescent="0.15">
      <c r="A44" s="34" t="s">
        <v>111</v>
      </c>
      <c r="B44">
        <f ca="1">SUMIF(tables_332010!C:C,input_332010!A44,tables_332010!O:O)</f>
        <v>82212</v>
      </c>
      <c r="C44" s="56">
        <f t="shared" ca="1" si="16"/>
        <v>4.6485276156873388E-2</v>
      </c>
      <c r="E44" t="s">
        <v>107</v>
      </c>
      <c r="F44" s="57"/>
    </row>
    <row r="45" spans="1:7" x14ac:dyDescent="0.15">
      <c r="A45" s="34" t="s">
        <v>117</v>
      </c>
      <c r="B45">
        <f ca="1">SUMIF(tables_332010!C:C,input_332010!A45,tables_332010!O:O)</f>
        <v>6216</v>
      </c>
      <c r="C45" s="56">
        <f t="shared" ca="1" si="16"/>
        <v>3.5147238431266115E-3</v>
      </c>
      <c r="E45" t="s">
        <v>213</v>
      </c>
      <c r="F45" s="57">
        <f ca="1">SUMIF(tables_332010!I:I,input_332010!E45,tables_332010!P:P)</f>
        <v>0.25694594594594605</v>
      </c>
    </row>
    <row r="46" spans="1:7" x14ac:dyDescent="0.15">
      <c r="A46" s="34" t="s">
        <v>118</v>
      </c>
      <c r="B46">
        <f>SUMIF(tables_332010!C:C,input_332010!A46,tables_332010!O:O)</f>
        <v>0</v>
      </c>
      <c r="C46" s="56">
        <f t="shared" ca="1" si="16"/>
        <v>0</v>
      </c>
      <c r="E46" t="s">
        <v>214</v>
      </c>
      <c r="F46" s="57">
        <f ca="1">SUMIF(tables_332010!I:I,input_332010!E46,tables_332010!P:P)</f>
        <v>0.21894276629570739</v>
      </c>
    </row>
    <row r="47" spans="1:7" x14ac:dyDescent="0.15">
      <c r="A47" s="41" t="s">
        <v>62</v>
      </c>
      <c r="B47">
        <f ca="1">SUM(B40:B46)</f>
        <v>1768560</v>
      </c>
      <c r="C47" s="57">
        <f ca="1">SUM(C40:C46)</f>
        <v>1</v>
      </c>
      <c r="E47" t="s">
        <v>215</v>
      </c>
      <c r="F47" s="57">
        <f ca="1">SUMIF(tables_332010!I:I,input_332010!E47,tables_332010!P:P)</f>
        <v>0.46676470588235253</v>
      </c>
    </row>
    <row r="48" spans="1:7" x14ac:dyDescent="0.15">
      <c r="E48" t="s">
        <v>216</v>
      </c>
      <c r="F48" s="57">
        <f ca="1">SUMIF(tables_332010!I:I,input_332010!E48,tables_332010!P:P)</f>
        <v>5.2941176470588193E-2</v>
      </c>
    </row>
  </sheetData>
  <phoneticPr fontId="16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274"/>
  <sheetViews>
    <sheetView showGridLines="0" zoomScale="75" zoomScaleNormal="75" zoomScalePageLayoutView="75" workbookViewId="0">
      <pane ySplit="1" topLeftCell="A2" activePane="bottomLeft" state="frozen"/>
      <selection activeCell="F31" sqref="F31"/>
      <selection pane="bottomLeft" activeCell="F31" sqref="F3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32</v>
      </c>
      <c r="C1" s="3" t="s">
        <v>31</v>
      </c>
      <c r="D1" s="3" t="s">
        <v>100</v>
      </c>
      <c r="E1" s="3" t="s">
        <v>197</v>
      </c>
      <c r="F1" s="3" t="s">
        <v>198</v>
      </c>
      <c r="G1" s="3" t="s">
        <v>108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39</v>
      </c>
      <c r="P1" s="3" t="s">
        <v>79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input_332010!A$2</f>
        <v>332010</v>
      </c>
      <c r="B2" s="6">
        <v>126</v>
      </c>
      <c r="C2" s="7" t="str">
        <f>D2&amp;J2&amp;E2&amp;F2&amp;G2</f>
        <v>PremiumW3</v>
      </c>
      <c r="D2" s="7" t="str">
        <f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7">
        <f ca="1">IFERROR(VLOOKUP(B2,input_332010!L:R,7,FALSE),VLOOKUP(tables_332010!C2,input_332010!A:H,8,FALSE))</f>
        <v>0</v>
      </c>
      <c r="P2" s="48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input_332010!A$2</f>
        <v>332010</v>
      </c>
      <c r="B3" s="6">
        <v>127</v>
      </c>
      <c r="C3" s="7" t="str">
        <f>D3&amp;J3&amp;E3&amp;F3&amp;G3</f>
        <v>PremiumW4</v>
      </c>
      <c r="D3" s="7" t="str">
        <f>IF(I3="PremiumSS",I3,IF(I3="PremiumSSS",I3,IF(I3="PremiumW",I3,"Premium")))</f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7">
        <f ca="1">IFERROR(VLOOKUP(B3,input_332010!L:R,7,FALSE),VLOOKUP(tables_332010!C3,input_332010!A:H,8,FALSE))</f>
        <v>31620</v>
      </c>
      <c r="P3" s="48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input_332010!A$2</f>
        <v>332010</v>
      </c>
      <c r="B4" s="6">
        <v>128</v>
      </c>
      <c r="C4" s="7" t="str">
        <f>D4&amp;J4&amp;E4&amp;F4&amp;G4</f>
        <v>PremiumW3</v>
      </c>
      <c r="D4" s="7" t="str">
        <f>IF(I4="PremiumSS",I4,IF(I4="PremiumSSS",I4,IF(I4="PremiumW",I4,"Premium")))</f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7">
        <f ca="1">IFERROR(VLOOKUP(B4,input_332010!L:R,7,FALSE),VLOOKUP(tables_332010!C4,input_332010!A:H,8,FALSE))</f>
        <v>0</v>
      </c>
      <c r="P4" s="48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input_332010!A$2</f>
        <v>332010</v>
      </c>
      <c r="B5" s="6">
        <v>129</v>
      </c>
      <c r="C5" s="7" t="str">
        <f>D5&amp;J5&amp;E5&amp;F5&amp;G5</f>
        <v>PremiumW4</v>
      </c>
      <c r="D5" s="7" t="str">
        <f>IF(I5="PremiumSS",I5,IF(I5="PremiumSSS",I5,IF(I5="PremiumW",I5,"Premium")))</f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7">
        <f ca="1">IFERROR(VLOOKUP(B5,input_332010!L:R,7,FALSE),VLOOKUP(tables_332010!C5,input_332010!A:H,8,FALSE))</f>
        <v>31620</v>
      </c>
      <c r="P5" s="48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input_332010!A$2</f>
        <v>332010</v>
      </c>
      <c r="B6" s="6">
        <v>130</v>
      </c>
      <c r="C6" s="7" t="str">
        <f>D6&amp;J6&amp;E6&amp;F6&amp;G6</f>
        <v>PremiumW3</v>
      </c>
      <c r="D6" s="7" t="str">
        <f>IF(I6="PremiumSS",I6,IF(I6="PremiumSSS",I6,IF(I6="PremiumW",I6,"Premium")))</f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7">
        <f ca="1">IFERROR(VLOOKUP(B6,input_332010!L:R,7,FALSE),VLOOKUP(tables_332010!C6,input_332010!A:H,8,FALSE))</f>
        <v>0</v>
      </c>
      <c r="P6" s="48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input_332010!A$2</f>
        <v>332010</v>
      </c>
      <c r="B7" s="6">
        <v>131</v>
      </c>
      <c r="C7" s="7" t="str">
        <f>D7&amp;J7&amp;E7&amp;F7&amp;G7</f>
        <v>PremiumW4</v>
      </c>
      <c r="D7" s="7" t="str">
        <f>IF(I7="PremiumSS",I7,IF(I7="PremiumSSS",I7,IF(I7="PremiumW",I7,"Premium")))</f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7">
        <f ca="1">IFERROR(VLOOKUP(B7,input_332010!L:R,7,FALSE),VLOOKUP(tables_332010!C7,input_332010!A:H,8,FALSE))</f>
        <v>31620</v>
      </c>
      <c r="P7" s="48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input_332010!A$2</f>
        <v>332010</v>
      </c>
      <c r="B8" s="6">
        <v>132</v>
      </c>
      <c r="C8" s="7" t="str">
        <f>D8&amp;J8&amp;E8&amp;F8&amp;G8</f>
        <v>PremiumW3</v>
      </c>
      <c r="D8" s="7" t="str">
        <f>IF(I8="PremiumSS",I8,IF(I8="PremiumSSS",I8,IF(I8="PremiumW",I8,"Premium")))</f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7">
        <f ca="1">IFERROR(VLOOKUP(B8,input_332010!L:R,7,FALSE),VLOOKUP(tables_332010!C8,input_332010!A:H,8,FALSE))</f>
        <v>0</v>
      </c>
      <c r="P8" s="48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input_332010!A$2</f>
        <v>332010</v>
      </c>
      <c r="B9" s="6">
        <v>133</v>
      </c>
      <c r="C9" s="7" t="str">
        <f>D9&amp;J9&amp;E9&amp;F9&amp;G9</f>
        <v>PremiumW4</v>
      </c>
      <c r="D9" s="7" t="str">
        <f>IF(I9="PremiumSS",I9,IF(I9="PremiumSSS",I9,IF(I9="PremiumW",I9,"Premium")))</f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7">
        <f ca="1">IFERROR(VLOOKUP(B9,input_332010!L:R,7,FALSE),VLOOKUP(tables_332010!C9,input_332010!A:H,8,FALSE))</f>
        <v>31620</v>
      </c>
      <c r="P9" s="48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input_332010!A$2</f>
        <v>332010</v>
      </c>
      <c r="B10" s="6">
        <v>134</v>
      </c>
      <c r="C10" s="7" t="str">
        <f>D10&amp;J10&amp;E10&amp;F10&amp;G10</f>
        <v>PremiumW3</v>
      </c>
      <c r="D10" s="7" t="str">
        <f>IF(I10="PremiumSS",I10,IF(I10="PremiumSSS",I10,IF(I10="PremiumW",I10,"Premium")))</f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7">
        <f ca="1">IFERROR(VLOOKUP(B10,input_332010!L:R,7,FALSE),VLOOKUP(tables_332010!C10,input_332010!A:H,8,FALSE))</f>
        <v>0</v>
      </c>
      <c r="P10" s="48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input_332010!A$2</f>
        <v>332010</v>
      </c>
      <c r="B11" s="6">
        <v>135</v>
      </c>
      <c r="C11" s="7" t="str">
        <f>D11&amp;J11&amp;E11&amp;F11&amp;G11</f>
        <v>PremiumW4</v>
      </c>
      <c r="D11" s="7" t="str">
        <f>IF(I11="PremiumSS",I11,IF(I11="PremiumSSS",I11,IF(I11="PremiumW",I11,"Premium")))</f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7">
        <f ca="1">IFERROR(VLOOKUP(B11,input_332010!L:R,7,FALSE),VLOOKUP(tables_332010!C11,input_332010!A:H,8,FALSE))</f>
        <v>31620</v>
      </c>
      <c r="P11" s="48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input_332010!A$2</f>
        <v>332010</v>
      </c>
      <c r="B12" s="8">
        <v>136</v>
      </c>
      <c r="C12" s="7" t="str">
        <f>D12&amp;J12&amp;E12&amp;F12&amp;G12</f>
        <v>PremiumW3</v>
      </c>
      <c r="D12" s="7" t="str">
        <f>IF(I12="PremiumSS",I12,IF(I12="PremiumSSS",I12,IF(I12="PremiumW",I12,"Premium")))</f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7">
        <f ca="1">IFERROR(VLOOKUP(B12,input_332010!L:R,7,FALSE),VLOOKUP(tables_332010!C12,input_332010!A:H,8,FALSE))</f>
        <v>0</v>
      </c>
      <c r="P12" s="48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input_332010!A$2</f>
        <v>332010</v>
      </c>
      <c r="B13" s="8">
        <v>137</v>
      </c>
      <c r="C13" s="7" t="str">
        <f>D13&amp;J13&amp;E13&amp;F13&amp;G13</f>
        <v>PremiumW4</v>
      </c>
      <c r="D13" s="7" t="str">
        <f>IF(I13="PremiumSS",I13,IF(I13="PremiumSSS",I13,IF(I13="PremiumW",I13,"Premium")))</f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7">
        <f ca="1">IFERROR(VLOOKUP(B13,input_332010!L:R,7,FALSE),VLOOKUP(tables_332010!C13,input_332010!A:H,8,FALSE))</f>
        <v>31620</v>
      </c>
      <c r="P13" s="48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input_332010!A$2</f>
        <v>332010</v>
      </c>
      <c r="B14" s="6">
        <v>138</v>
      </c>
      <c r="C14" s="7" t="str">
        <f>D14&amp;J14&amp;E14&amp;F14&amp;G14</f>
        <v>PremiumW3</v>
      </c>
      <c r="D14" s="7" t="str">
        <f>IF(I14="PremiumSS",I14,IF(I14="PremiumSSS",I14,IF(I14="PremiumW",I14,"Premium")))</f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7">
        <f ca="1">IFERROR(VLOOKUP(B14,input_332010!L:R,7,FALSE),VLOOKUP(tables_332010!C14,input_332010!A:H,8,FALSE))</f>
        <v>0</v>
      </c>
      <c r="P14" s="48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input_332010!A$2</f>
        <v>332010</v>
      </c>
      <c r="B15" s="6">
        <v>139</v>
      </c>
      <c r="C15" s="7" t="str">
        <f>D15&amp;J15&amp;E15&amp;F15&amp;G15</f>
        <v>PremiumW4</v>
      </c>
      <c r="D15" s="7" t="str">
        <f>IF(I15="PremiumSS",I15,IF(I15="PremiumSSS",I15,IF(I15="PremiumW",I15,"Premium")))</f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7">
        <f ca="1">IFERROR(VLOOKUP(B15,input_332010!L:R,7,FALSE),VLOOKUP(tables_332010!C15,input_332010!A:H,8,FALSE))</f>
        <v>31620</v>
      </c>
      <c r="P15" s="48">
        <f ca="1">O15/SUM(O:O)</f>
        <v>1.2567567567567568E-2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input_332010!A$2</f>
        <v>332010</v>
      </c>
      <c r="B16" s="10">
        <v>140</v>
      </c>
      <c r="C16" s="7" t="str">
        <f>D16&amp;J16&amp;E16&amp;F16&amp;G16</f>
        <v>PremiumW3</v>
      </c>
      <c r="D16" s="7" t="str">
        <f>IF(I16="PremiumSS",I16,IF(I16="PremiumSSS",I16,IF(I16="PremiumW",I16,"Premium")))</f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7">
        <f ca="1">IFERROR(VLOOKUP(B16,input_332010!L:R,7,FALSE),VLOOKUP(tables_332010!C16,input_332010!A:H,8,FALSE))</f>
        <v>0</v>
      </c>
      <c r="P16" s="48">
        <f ca="1">O16/SUM(O:O)</f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input_332010!A$2</f>
        <v>332010</v>
      </c>
      <c r="B17" s="11">
        <v>141</v>
      </c>
      <c r="C17" s="7" t="str">
        <f>D17&amp;J17&amp;E17&amp;F17&amp;G17</f>
        <v>PremiumW4</v>
      </c>
      <c r="D17" s="7" t="str">
        <f>IF(I17="PremiumSS",I17,IF(I17="PremiumSSS",I17,IF(I17="PremiumW",I17,"Premium")))</f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7">
        <f ca="1">IFERROR(VLOOKUP(B17,input_332010!L:R,7,FALSE),VLOOKUP(tables_332010!C17,input_332010!A:H,8,FALSE))</f>
        <v>31620</v>
      </c>
      <c r="P17" s="48">
        <f ca="1">O17/SUM(O:O)</f>
        <v>1.2567567567567568E-2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input_332010!A$2</f>
        <v>332010</v>
      </c>
      <c r="B18" s="6">
        <v>142</v>
      </c>
      <c r="C18" s="7" t="str">
        <f>D18&amp;J18&amp;E18&amp;F18&amp;G18</f>
        <v>PremiumW3</v>
      </c>
      <c r="D18" s="7" t="str">
        <f>IF(I18="PremiumSS",I18,IF(I18="PremiumSSS",I18,IF(I18="PremiumW",I18,"Premium")))</f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7">
        <f ca="1">IFERROR(VLOOKUP(B18,input_332010!L:R,7,FALSE),VLOOKUP(tables_332010!C18,input_332010!A:H,8,FALSE))</f>
        <v>0</v>
      </c>
      <c r="P18" s="48">
        <f ca="1">O18/SUM(O:O)</f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input_332010!A$2</f>
        <v>332010</v>
      </c>
      <c r="B19" s="6">
        <v>143</v>
      </c>
      <c r="C19" s="7" t="str">
        <f>D19&amp;J19&amp;E19&amp;F19&amp;G19</f>
        <v>PremiumW4</v>
      </c>
      <c r="D19" s="7" t="str">
        <f>IF(I19="PremiumSS",I19,IF(I19="PremiumSSS",I19,IF(I19="PremiumW",I19,"Premium")))</f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7">
        <f ca="1">IFERROR(VLOOKUP(B19,input_332010!L:R,7,FALSE),VLOOKUP(tables_332010!C19,input_332010!A:H,8,FALSE))</f>
        <v>31620</v>
      </c>
      <c r="P19" s="48">
        <f ca="1">O19/SUM(O:O)</f>
        <v>1.2567567567567568E-2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input_332010!A$2</f>
        <v>332010</v>
      </c>
      <c r="B20" s="10">
        <v>144</v>
      </c>
      <c r="C20" s="7" t="str">
        <f>D20&amp;J20&amp;E20&amp;F20&amp;G20</f>
        <v>PremiumW3</v>
      </c>
      <c r="D20" s="7" t="str">
        <f>IF(I20="PremiumSS",I20,IF(I20="PremiumSSS",I20,IF(I20="PremiumW",I20,"Premium")))</f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7">
        <f ca="1">IFERROR(VLOOKUP(B20,input_332010!L:R,7,FALSE),VLOOKUP(tables_332010!C20,input_332010!A:H,8,FALSE))</f>
        <v>0</v>
      </c>
      <c r="P20" s="48">
        <f ca="1">O20/SUM(O:O)</f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input_332010!A$2</f>
        <v>332010</v>
      </c>
      <c r="B21" s="6">
        <v>145</v>
      </c>
      <c r="C21" s="7" t="str">
        <f>D21&amp;J21&amp;E21&amp;F21&amp;G21</f>
        <v>PremiumW4</v>
      </c>
      <c r="D21" s="7" t="str">
        <f>IF(I21="PremiumSS",I21,IF(I21="PremiumSSS",I21,IF(I21="PremiumW",I21,"Premium")))</f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7">
        <f ca="1">IFERROR(VLOOKUP(B21,input_332010!L:R,7,FALSE),VLOOKUP(tables_332010!C21,input_332010!A:H,8,FALSE))</f>
        <v>31620</v>
      </c>
      <c r="P21" s="48">
        <f ca="1">O21/SUM(O:O)</f>
        <v>1.2567567567567568E-2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input_332010!A$2</f>
        <v>332010</v>
      </c>
      <c r="B22" s="6">
        <v>146</v>
      </c>
      <c r="C22" s="7" t="str">
        <f>D22&amp;J22&amp;E22&amp;F22&amp;G22</f>
        <v>PremiumW3</v>
      </c>
      <c r="D22" s="7" t="str">
        <f>IF(I22="PremiumSS",I22,IF(I22="PremiumSSS",I22,IF(I22="PremiumW",I22,"Premium")))</f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7">
        <f ca="1">IFERROR(VLOOKUP(B22,input_332010!L:R,7,FALSE),VLOOKUP(tables_332010!C22,input_332010!A:H,8,FALSE))</f>
        <v>0</v>
      </c>
      <c r="P22" s="48">
        <f ca="1">O22/SUM(O:O)</f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input_332010!A$2</f>
        <v>332010</v>
      </c>
      <c r="B23" s="6">
        <v>147</v>
      </c>
      <c r="C23" s="7" t="str">
        <f>D23&amp;J23&amp;E23&amp;F23&amp;G23</f>
        <v>PremiumW4</v>
      </c>
      <c r="D23" s="7" t="str">
        <f>IF(I23="PremiumSS",I23,IF(I23="PremiumSSS",I23,IF(I23="PremiumW",I23,"Premium")))</f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7">
        <f ca="1">IFERROR(VLOOKUP(B23,input_332010!L:R,7,FALSE),VLOOKUP(tables_332010!C23,input_332010!A:H,8,FALSE))</f>
        <v>31620</v>
      </c>
      <c r="P23" s="48">
        <f ca="1">O23/SUM(O:O)</f>
        <v>1.2567567567567568E-2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input_332010!A$2</f>
        <v>332010</v>
      </c>
      <c r="B24" s="6">
        <v>148</v>
      </c>
      <c r="C24" s="7" t="str">
        <f>D24&amp;J24&amp;E24&amp;F24&amp;G24</f>
        <v>PremiumW3</v>
      </c>
      <c r="D24" s="7" t="str">
        <f>IF(I24="PremiumSS",I24,IF(I24="PremiumSSS",I24,IF(I24="PremiumW",I24,"Premium")))</f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7">
        <f ca="1">IFERROR(VLOOKUP(B24,input_332010!L:R,7,FALSE),VLOOKUP(tables_332010!C24,input_332010!A:H,8,FALSE))</f>
        <v>0</v>
      </c>
      <c r="P24" s="48">
        <f ca="1">O24/SUM(O:O)</f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input_332010!A$2</f>
        <v>332010</v>
      </c>
      <c r="B25" s="6">
        <v>149</v>
      </c>
      <c r="C25" s="7" t="str">
        <f>D25&amp;J25&amp;E25&amp;F25&amp;G25</f>
        <v>PremiumW4</v>
      </c>
      <c r="D25" s="7" t="str">
        <f>IF(I25="PremiumSS",I25,IF(I25="PremiumSSS",I25,IF(I25="PremiumW",I25,"Premium")))</f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7">
        <f ca="1">IFERROR(VLOOKUP(B25,input_332010!L:R,7,FALSE),VLOOKUP(tables_332010!C25,input_332010!A:H,8,FALSE))</f>
        <v>31620</v>
      </c>
      <c r="P25" s="48">
        <f ca="1">O25/SUM(O:O)</f>
        <v>1.2567567567567568E-2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input_332010!A$2</f>
        <v>332010</v>
      </c>
      <c r="B26" s="6">
        <v>150</v>
      </c>
      <c r="C26" s="7" t="str">
        <f>D26&amp;J26&amp;E26&amp;F26&amp;G26</f>
        <v>PremiumW3</v>
      </c>
      <c r="D26" s="7" t="str">
        <f>IF(I26="PremiumSS",I26,IF(I26="PremiumSSS",I26,IF(I26="PremiumW",I26,"Premium")))</f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7">
        <f ca="1">IFERROR(VLOOKUP(B26,input_332010!L:R,7,FALSE),VLOOKUP(tables_332010!C26,input_332010!A:H,8,FALSE))</f>
        <v>0</v>
      </c>
      <c r="P26" s="48">
        <f ca="1">O26/SUM(O:O)</f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input_332010!A$2</f>
        <v>332010</v>
      </c>
      <c r="B27" s="6">
        <v>151</v>
      </c>
      <c r="C27" s="7" t="str">
        <f>D27&amp;J27&amp;E27&amp;F27&amp;G27</f>
        <v>PremiumW4</v>
      </c>
      <c r="D27" s="7" t="str">
        <f>IF(I27="PremiumSS",I27,IF(I27="PremiumSSS",I27,IF(I27="PremiumW",I27,"Premium")))</f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7">
        <f ca="1">IFERROR(VLOOKUP(B27,input_332010!L:R,7,FALSE),VLOOKUP(tables_332010!C27,input_332010!A:H,8,FALSE))</f>
        <v>31620</v>
      </c>
      <c r="P27" s="48">
        <f ca="1">O27/SUM(O:O)</f>
        <v>1.2567567567567568E-2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input_332010!A$2</f>
        <v>332010</v>
      </c>
      <c r="B28" s="6">
        <v>152</v>
      </c>
      <c r="C28" s="7" t="str">
        <f>D28&amp;J28&amp;E28&amp;F28&amp;G28</f>
        <v>PremiumW3</v>
      </c>
      <c r="D28" s="7" t="str">
        <f>IF(I28="PremiumSS",I28,IF(I28="PremiumSSS",I28,IF(I28="PremiumW",I28,"Premium")))</f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7">
        <f ca="1">IFERROR(VLOOKUP(B28,input_332010!L:R,7,FALSE),VLOOKUP(tables_332010!C28,input_332010!A:H,8,FALSE))</f>
        <v>0</v>
      </c>
      <c r="P28" s="48">
        <f ca="1">O28/SUM(O:O)</f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input_332010!A$2</f>
        <v>332010</v>
      </c>
      <c r="B29" s="6">
        <v>153</v>
      </c>
      <c r="C29" s="7" t="str">
        <f>D29&amp;J29&amp;E29&amp;F29&amp;G29</f>
        <v>PremiumW4</v>
      </c>
      <c r="D29" s="7" t="str">
        <f>IF(I29="PremiumSS",I29,IF(I29="PremiumSSS",I29,IF(I29="PremiumW",I29,"Premium")))</f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7">
        <f ca="1">IFERROR(VLOOKUP(B29,input_332010!L:R,7,FALSE),VLOOKUP(tables_332010!C29,input_332010!A:H,8,FALSE))</f>
        <v>31620</v>
      </c>
      <c r="P29" s="48">
        <f ca="1">O29/SUM(O:O)</f>
        <v>1.2567567567567568E-2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input_332010!A$2</f>
        <v>332010</v>
      </c>
      <c r="B30" s="6">
        <v>154</v>
      </c>
      <c r="C30" s="7" t="str">
        <f>D30&amp;J30&amp;E30&amp;F30&amp;G30</f>
        <v>PremiumW3</v>
      </c>
      <c r="D30" s="7" t="str">
        <f>IF(I30="PremiumSS",I30,IF(I30="PremiumSSS",I30,IF(I30="PremiumW",I30,"Premium")))</f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7">
        <f ca="1">IFERROR(VLOOKUP(B30,input_332010!L:R,7,FALSE),VLOOKUP(tables_332010!C30,input_332010!A:H,8,FALSE))</f>
        <v>0</v>
      </c>
      <c r="P30" s="48">
        <f ca="1">O30/SUM(O:O)</f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input_332010!A$2</f>
        <v>332010</v>
      </c>
      <c r="B31" s="6">
        <v>155</v>
      </c>
      <c r="C31" s="7" t="str">
        <f>D31&amp;J31&amp;E31&amp;F31&amp;G31</f>
        <v>PremiumW4</v>
      </c>
      <c r="D31" s="7" t="str">
        <f>IF(I31="PremiumSS",I31,IF(I31="PremiumSSS",I31,IF(I31="PremiumW",I31,"Premium")))</f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7">
        <f ca="1">IFERROR(VLOOKUP(B31,input_332010!L:R,7,FALSE),VLOOKUP(tables_332010!C31,input_332010!A:H,8,FALSE))</f>
        <v>31620</v>
      </c>
      <c r="P31" s="48">
        <f ca="1">O31/SUM(O:O)</f>
        <v>1.2567567567567568E-2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input_332010!A$2</f>
        <v>332010</v>
      </c>
      <c r="B32" s="6">
        <v>156</v>
      </c>
      <c r="C32" s="7" t="str">
        <f>D32&amp;J32&amp;E32&amp;F32&amp;G32</f>
        <v>PremiumW3</v>
      </c>
      <c r="D32" s="7" t="str">
        <f>IF(I32="PremiumSS",I32,IF(I32="PremiumSSS",I32,IF(I32="PremiumW",I32,"Premium")))</f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7">
        <f ca="1">IFERROR(VLOOKUP(B32,input_332010!L:R,7,FALSE),VLOOKUP(tables_332010!C32,input_332010!A:H,8,FALSE))</f>
        <v>0</v>
      </c>
      <c r="P32" s="48">
        <f ca="1">O32/SUM(O:O)</f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input_332010!A$2</f>
        <v>332010</v>
      </c>
      <c r="B33" s="6">
        <v>157</v>
      </c>
      <c r="C33" s="7" t="str">
        <f>D33&amp;J33&amp;E33&amp;F33&amp;G33</f>
        <v>PremiumW4</v>
      </c>
      <c r="D33" s="7" t="str">
        <f>IF(I33="PremiumSS",I33,IF(I33="PremiumSSS",I33,IF(I33="PremiumW",I33,"Premium")))</f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7">
        <f ca="1">IFERROR(VLOOKUP(B33,input_332010!L:R,7,FALSE),VLOOKUP(tables_332010!C33,input_332010!A:H,8,FALSE))</f>
        <v>31620</v>
      </c>
      <c r="P33" s="48">
        <f ca="1">O33/SUM(O:O)</f>
        <v>1.2567567567567568E-2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input_332010!A$2</f>
        <v>332010</v>
      </c>
      <c r="B34" s="6">
        <v>158</v>
      </c>
      <c r="C34" s="7" t="str">
        <f>D34&amp;J34&amp;E34&amp;F34&amp;G34</f>
        <v>PremiumW3</v>
      </c>
      <c r="D34" s="7" t="str">
        <f>IF(I34="PremiumSS",I34,IF(I34="PremiumSSS",I34,IF(I34="PremiumW",I34,"Premium")))</f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7">
        <f ca="1">IFERROR(VLOOKUP(B34,input_332010!L:R,7,FALSE),VLOOKUP(tables_332010!C34,input_332010!A:H,8,FALSE))</f>
        <v>0</v>
      </c>
      <c r="P34" s="48">
        <f ca="1">O34/SUM(O:O)</f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input_332010!A$2</f>
        <v>332010</v>
      </c>
      <c r="B35" s="6">
        <v>159</v>
      </c>
      <c r="C35" s="7" t="str">
        <f>D35&amp;J35&amp;E35&amp;F35&amp;G35</f>
        <v>PremiumW4</v>
      </c>
      <c r="D35" s="7" t="str">
        <f>IF(I35="PremiumSS",I35,IF(I35="PremiumSSS",I35,IF(I35="PremiumW",I35,"Premium")))</f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7">
        <f ca="1">IFERROR(VLOOKUP(B35,input_332010!L:R,7,FALSE),VLOOKUP(tables_332010!C35,input_332010!A:H,8,FALSE))</f>
        <v>31620</v>
      </c>
      <c r="P35" s="48">
        <f ca="1">O35/SUM(O:O)</f>
        <v>1.2567567567567568E-2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input_332010!A$2</f>
        <v>332010</v>
      </c>
      <c r="B36" s="6">
        <v>160</v>
      </c>
      <c r="C36" s="7" t="str">
        <f>D36&amp;J36&amp;E36&amp;F36&amp;G36</f>
        <v>PremiumW3</v>
      </c>
      <c r="D36" s="7" t="str">
        <f>IF(I36="PremiumSS",I36,IF(I36="PremiumSSS",I36,IF(I36="PremiumW",I36,"Premium")))</f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7">
        <f ca="1">IFERROR(VLOOKUP(B36,input_332010!L:R,7,FALSE),VLOOKUP(tables_332010!C36,input_332010!A:H,8,FALSE))</f>
        <v>0</v>
      </c>
      <c r="P36" s="48">
        <f ca="1">O36/SUM(O:O)</f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input_332010!A$2</f>
        <v>332010</v>
      </c>
      <c r="B37" s="6">
        <v>161</v>
      </c>
      <c r="C37" s="7" t="str">
        <f>D37&amp;J37&amp;E37&amp;F37&amp;G37</f>
        <v>PremiumW4</v>
      </c>
      <c r="D37" s="7" t="str">
        <f>IF(I37="PremiumSS",I37,IF(I37="PremiumSSS",I37,IF(I37="PremiumW",I37,"Premium")))</f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7">
        <f ca="1">IFERROR(VLOOKUP(B37,input_332010!L:R,7,FALSE),VLOOKUP(tables_332010!C37,input_332010!A:H,8,FALSE))</f>
        <v>31620</v>
      </c>
      <c r="P37" s="48">
        <f ca="1">O37/SUM(O:O)</f>
        <v>1.2567567567567568E-2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input_332010!A$2</f>
        <v>332010</v>
      </c>
      <c r="B38" s="6">
        <v>162</v>
      </c>
      <c r="C38" s="7" t="str">
        <f>D38&amp;J38&amp;E38&amp;F38&amp;G38</f>
        <v>PremiumW3</v>
      </c>
      <c r="D38" s="7" t="str">
        <f>IF(I38="PremiumSS",I38,IF(I38="PremiumSSS",I38,IF(I38="PremiumW",I38,"Premium")))</f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7">
        <f ca="1">IFERROR(VLOOKUP(B38,input_332010!L:R,7,FALSE),VLOOKUP(tables_332010!C38,input_332010!A:H,8,FALSE))</f>
        <v>0</v>
      </c>
      <c r="P38" s="48">
        <f ca="1">O38/SUM(O:O)</f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input_332010!A$2</f>
        <v>332010</v>
      </c>
      <c r="B39" s="6">
        <v>163</v>
      </c>
      <c r="C39" s="7" t="str">
        <f>D39&amp;J39&amp;E39&amp;F39&amp;G39</f>
        <v>PremiumW4</v>
      </c>
      <c r="D39" s="7" t="str">
        <f>IF(I39="PremiumSS",I39,IF(I39="PremiumSSS",I39,IF(I39="PremiumW",I39,"Premium")))</f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7">
        <f ca="1">IFERROR(VLOOKUP(B39,input_332010!L:R,7,FALSE),VLOOKUP(tables_332010!C39,input_332010!A:H,8,FALSE))</f>
        <v>31620</v>
      </c>
      <c r="P39" s="48">
        <f ca="1">O39/SUM(O:O)</f>
        <v>1.2567567567567568E-2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input_332010!A$2</f>
        <v>332010</v>
      </c>
      <c r="B40" s="6">
        <v>164</v>
      </c>
      <c r="C40" s="7" t="str">
        <f>D40&amp;J40&amp;E40&amp;F40&amp;G40</f>
        <v>PremiumW3</v>
      </c>
      <c r="D40" s="7" t="str">
        <f>IF(I40="PremiumSS",I40,IF(I40="PremiumSSS",I40,IF(I40="PremiumW",I40,"Premium")))</f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7">
        <f ca="1">IFERROR(VLOOKUP(B40,input_332010!L:R,7,FALSE),VLOOKUP(tables_332010!C40,input_332010!A:H,8,FALSE))</f>
        <v>0</v>
      </c>
      <c r="P40" s="48">
        <f ca="1">O40/SUM(O:O)</f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input_332010!A$2</f>
        <v>332010</v>
      </c>
      <c r="B41" s="6">
        <v>165</v>
      </c>
      <c r="C41" s="7" t="str">
        <f>D41&amp;J41&amp;E41&amp;F41&amp;G41</f>
        <v>PremiumW4</v>
      </c>
      <c r="D41" s="7" t="str">
        <f>IF(I41="PremiumSS",I41,IF(I41="PremiumSSS",I41,IF(I41="PremiumW",I41,"Premium")))</f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7">
        <f ca="1">IFERROR(VLOOKUP(B41,input_332010!L:R,7,FALSE),VLOOKUP(tables_332010!C41,input_332010!A:H,8,FALSE))</f>
        <v>31620</v>
      </c>
      <c r="P41" s="48">
        <f ca="1">O41/SUM(O:O)</f>
        <v>1.2567567567567568E-2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input_332010!A$2</f>
        <v>332010</v>
      </c>
      <c r="B42" s="6">
        <v>166</v>
      </c>
      <c r="C42" s="7" t="str">
        <f>D42&amp;J42&amp;E42&amp;F42&amp;G42</f>
        <v>Premium3R6release</v>
      </c>
      <c r="D42" s="7" t="str">
        <f>IF(I42="PremiumSS",I42,IF(I42="PremiumSSS",I42,IF(I42="PremiumW",I42,"Premium")))</f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7">
        <f ca="1">IFERROR(VLOOKUP(B42,input_332010!L:R,7,FALSE),VLOOKUP(tables_332010!C42,input_332010!A:H,8,FALSE))</f>
        <v>0</v>
      </c>
      <c r="P42" s="48">
        <f ca="1">O42/SUM(O:O)</f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input_332010!A$2</f>
        <v>332010</v>
      </c>
      <c r="B43" s="6">
        <v>167</v>
      </c>
      <c r="C43" s="7" t="str">
        <f>D43&amp;J43&amp;E43&amp;F43&amp;G43</f>
        <v>Premium4R6release</v>
      </c>
      <c r="D43" s="7" t="str">
        <f>IF(I43="PremiumSS",I43,IF(I43="PremiumSSS",I43,IF(I43="PremiumW",I43,"Premium")))</f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7">
        <f ca="1">IFERROR(VLOOKUP(B43,input_332010!L:R,7,FALSE),VLOOKUP(tables_332010!C43,input_332010!A:H,8,FALSE))</f>
        <v>4218</v>
      </c>
      <c r="P43" s="48">
        <f ca="1">O43/SUM(O:O)</f>
        <v>1.676470588235294E-3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input_332010!A$2</f>
        <v>332010</v>
      </c>
      <c r="B44" s="6">
        <v>168</v>
      </c>
      <c r="C44" s="7" t="str">
        <f>D44&amp;J44&amp;E44&amp;F44&amp;G44</f>
        <v>Premium5R6release</v>
      </c>
      <c r="D44" s="7" t="str">
        <f>IF(I44="PremiumSS",I44,IF(I44="PremiumSSS",I44,IF(I44="PremiumW",I44,"Premium")))</f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7">
        <f ca="1">IFERROR(VLOOKUP(B44,input_332010!L:R,7,FALSE),VLOOKUP(tables_332010!C44,input_332010!A:H,8,FALSE))</f>
        <v>222</v>
      </c>
      <c r="P44" s="48">
        <f ca="1">O44/SUM(O:O)</f>
        <v>8.8235294117647065E-5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input_332010!A$2</f>
        <v>332010</v>
      </c>
      <c r="B45" s="6">
        <v>169</v>
      </c>
      <c r="C45" s="7" t="str">
        <f>D45&amp;J45&amp;E45&amp;F45&amp;G45</f>
        <v>Premium3R6release</v>
      </c>
      <c r="D45" s="7" t="str">
        <f>IF(I45="PremiumSS",I45,IF(I45="PremiumSSS",I45,IF(I45="PremiumW",I45,"Premium")))</f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7">
        <f ca="1">IFERROR(VLOOKUP(B45,input_332010!L:R,7,FALSE),VLOOKUP(tables_332010!C45,input_332010!A:H,8,FALSE))</f>
        <v>0</v>
      </c>
      <c r="P45" s="48">
        <f ca="1">O45/SUM(O:O)</f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input_332010!A$2</f>
        <v>332010</v>
      </c>
      <c r="B46" s="6">
        <v>170</v>
      </c>
      <c r="C46" s="7" t="str">
        <f>D46&amp;J46&amp;E46&amp;F46&amp;G46</f>
        <v>Premium4R6release</v>
      </c>
      <c r="D46" s="7" t="str">
        <f>IF(I46="PremiumSS",I46,IF(I46="PremiumSSS",I46,IF(I46="PremiumW",I46,"Premium")))</f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7">
        <f ca="1">IFERROR(VLOOKUP(B46,input_332010!L:R,7,FALSE),VLOOKUP(tables_332010!C46,input_332010!A:H,8,FALSE))</f>
        <v>4218</v>
      </c>
      <c r="P46" s="48">
        <f ca="1">O46/SUM(O:O)</f>
        <v>1.676470588235294E-3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input_332010!A$2</f>
        <v>332010</v>
      </c>
      <c r="B47" s="6">
        <v>171</v>
      </c>
      <c r="C47" s="7" t="str">
        <f>D47&amp;J47&amp;E47&amp;F47&amp;G47</f>
        <v>Premium5R6release</v>
      </c>
      <c r="D47" s="7" t="str">
        <f>IF(I47="PremiumSS",I47,IF(I47="PremiumSSS",I47,IF(I47="PremiumW",I47,"Premium")))</f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7">
        <f ca="1">IFERROR(VLOOKUP(B47,input_332010!L:R,7,FALSE),VLOOKUP(tables_332010!C47,input_332010!A:H,8,FALSE))</f>
        <v>222</v>
      </c>
      <c r="P47" s="48">
        <f ca="1">O47/SUM(O:O)</f>
        <v>8.8235294117647065E-5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input_332010!A$2</f>
        <v>332010</v>
      </c>
      <c r="B48" s="6">
        <v>172</v>
      </c>
      <c r="C48" s="7" t="str">
        <f>D48&amp;J48&amp;E48&amp;F48&amp;G48</f>
        <v>Premium3R6release</v>
      </c>
      <c r="D48" s="7" t="str">
        <f>IF(I48="PremiumSS",I48,IF(I48="PremiumSSS",I48,IF(I48="PremiumW",I48,"Premium")))</f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7">
        <f ca="1">IFERROR(VLOOKUP(B48,input_332010!L:R,7,FALSE),VLOOKUP(tables_332010!C48,input_332010!A:H,8,FALSE))</f>
        <v>0</v>
      </c>
      <c r="P48" s="48">
        <f ca="1">O48/SUM(O:O)</f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input_332010!A$2</f>
        <v>332010</v>
      </c>
      <c r="B49" s="6">
        <v>173</v>
      </c>
      <c r="C49" s="7" t="str">
        <f>D49&amp;J49&amp;E49&amp;F49&amp;G49</f>
        <v>Premium4R6release</v>
      </c>
      <c r="D49" s="7" t="str">
        <f>IF(I49="PremiumSS",I49,IF(I49="PremiumSSS",I49,IF(I49="PremiumW",I49,"Premium")))</f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7">
        <f ca="1">IFERROR(VLOOKUP(B49,input_332010!L:R,7,FALSE),VLOOKUP(tables_332010!C49,input_332010!A:H,8,FALSE))</f>
        <v>4218</v>
      </c>
      <c r="P49" s="48">
        <f ca="1">O49/SUM(O:O)</f>
        <v>1.676470588235294E-3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input_332010!A$2</f>
        <v>332010</v>
      </c>
      <c r="B50" s="6">
        <v>174</v>
      </c>
      <c r="C50" s="7" t="str">
        <f>D50&amp;J50&amp;E50&amp;F50&amp;G50</f>
        <v>Premium5R6release</v>
      </c>
      <c r="D50" s="7" t="str">
        <f>IF(I50="PremiumSS",I50,IF(I50="PremiumSSS",I50,IF(I50="PremiumW",I50,"Premium")))</f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7">
        <f ca="1">IFERROR(VLOOKUP(B50,input_332010!L:R,7,FALSE),VLOOKUP(tables_332010!C50,input_332010!A:H,8,FALSE))</f>
        <v>222</v>
      </c>
      <c r="P50" s="48">
        <f ca="1">O50/SUM(O:O)</f>
        <v>8.8235294117647065E-5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input_332010!A$2</f>
        <v>332010</v>
      </c>
      <c r="B51" s="6">
        <v>175</v>
      </c>
      <c r="C51" s="7" t="str">
        <f>D51&amp;J51&amp;E51&amp;F51&amp;G51</f>
        <v>Premium3</v>
      </c>
      <c r="D51" s="7" t="str">
        <f>IF(I51="PremiumSS",I51,IF(I51="PremiumSSS",I51,IF(I51="PremiumW",I51,"Premium")))</f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7">
        <f ca="1">IFERROR(VLOOKUP(B51,input_332010!L:R,7,FALSE),VLOOKUP(tables_332010!C51,input_332010!A:H,8,FALSE))</f>
        <v>0</v>
      </c>
      <c r="P51" s="48">
        <f ca="1">O51/SUM(O:O)</f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input_332010!A$2</f>
        <v>332010</v>
      </c>
      <c r="B52" s="6">
        <v>176</v>
      </c>
      <c r="C52" s="7" t="str">
        <f>D52&amp;J52&amp;E52&amp;F52&amp;G52</f>
        <v>Premium4</v>
      </c>
      <c r="D52" s="7" t="str">
        <f>IF(I52="PremiumSS",I52,IF(I52="PremiumSSS",I52,IF(I52="PremiumW",I52,"Premium")))</f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7">
        <f ca="1">IFERROR(VLOOKUP(B52,input_332010!L:R,7,FALSE),VLOOKUP(tables_332010!C52,input_332010!A:H,8,FALSE))</f>
        <v>30039</v>
      </c>
      <c r="P52" s="48">
        <f ca="1">O52/SUM(O:O)</f>
        <v>1.193918918918919E-2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input_332010!A$2</f>
        <v>332010</v>
      </c>
      <c r="B53" s="6">
        <v>177</v>
      </c>
      <c r="C53" s="7" t="str">
        <f>D53&amp;J53&amp;E53&amp;F53&amp;G53</f>
        <v>Premium5</v>
      </c>
      <c r="D53" s="7" t="str">
        <f>IF(I53="PremiumSS",I53,IF(I53="PremiumSSS",I53,IF(I53="PremiumW",I53,"Premium")))</f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7">
        <f ca="1">IFERROR(VLOOKUP(B53,input_332010!L:R,7,FALSE),VLOOKUP(tables_332010!C53,input_332010!A:H,8,FALSE))</f>
        <v>1581</v>
      </c>
      <c r="P53" s="48">
        <f ca="1">O53/SUM(O:O)</f>
        <v>6.283783783783784E-4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input_332010!A$2</f>
        <v>332010</v>
      </c>
      <c r="B54" s="6">
        <v>178</v>
      </c>
      <c r="C54" s="7" t="str">
        <f>D54&amp;J54&amp;E54&amp;F54&amp;G54</f>
        <v>Premium3</v>
      </c>
      <c r="D54" s="7" t="str">
        <f>IF(I54="PremiumSS",I54,IF(I54="PremiumSSS",I54,IF(I54="PremiumW",I54,"Premium")))</f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7">
        <f ca="1">IFERROR(VLOOKUP(B54,input_332010!L:R,7,FALSE),VLOOKUP(tables_332010!C54,input_332010!A:H,8,FALSE))</f>
        <v>0</v>
      </c>
      <c r="P54" s="48">
        <f ca="1">O54/SUM(O:O)</f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input_332010!A$2</f>
        <v>332010</v>
      </c>
      <c r="B55" s="6">
        <v>179</v>
      </c>
      <c r="C55" s="7" t="str">
        <f>D55&amp;J55&amp;E55&amp;F55&amp;G55</f>
        <v>Premium4</v>
      </c>
      <c r="D55" s="7" t="str">
        <f>IF(I55="PremiumSS",I55,IF(I55="PremiumSSS",I55,IF(I55="PremiumW",I55,"Premium")))</f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7">
        <f ca="1">IFERROR(VLOOKUP(B55,input_332010!L:R,7,FALSE),VLOOKUP(tables_332010!C55,input_332010!A:H,8,FALSE))</f>
        <v>30039</v>
      </c>
      <c r="P55" s="48">
        <f ca="1">O55/SUM(O:O)</f>
        <v>1.193918918918919E-2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input_332010!A$2</f>
        <v>332010</v>
      </c>
      <c r="B56" s="6">
        <v>180</v>
      </c>
      <c r="C56" s="7" t="str">
        <f>D56&amp;J56&amp;E56&amp;F56&amp;G56</f>
        <v>Premium5</v>
      </c>
      <c r="D56" s="7" t="str">
        <f>IF(I56="PremiumSS",I56,IF(I56="PremiumSSS",I56,IF(I56="PremiumW",I56,"Premium")))</f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7">
        <f ca="1">IFERROR(VLOOKUP(B56,input_332010!L:R,7,FALSE),VLOOKUP(tables_332010!C56,input_332010!A:H,8,FALSE))</f>
        <v>1581</v>
      </c>
      <c r="P56" s="48">
        <f ca="1">O56/SUM(O:O)</f>
        <v>6.283783783783784E-4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input_332010!A$2</f>
        <v>332010</v>
      </c>
      <c r="B57" s="6">
        <v>181</v>
      </c>
      <c r="C57" s="7" t="str">
        <f>D57&amp;J57&amp;E57&amp;F57&amp;G57</f>
        <v>Premium3</v>
      </c>
      <c r="D57" s="7" t="str">
        <f>IF(I57="PremiumSS",I57,IF(I57="PremiumSSS",I57,IF(I57="PremiumW",I57,"Premium")))</f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7">
        <f ca="1">IFERROR(VLOOKUP(B57,input_332010!L:R,7,FALSE),VLOOKUP(tables_332010!C57,input_332010!A:H,8,FALSE))</f>
        <v>0</v>
      </c>
      <c r="P57" s="48">
        <f ca="1">O57/SUM(O:O)</f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input_332010!A$2</f>
        <v>332010</v>
      </c>
      <c r="B58" s="6">
        <v>182</v>
      </c>
      <c r="C58" s="7" t="str">
        <f>D58&amp;J58&amp;E58&amp;F58&amp;G58</f>
        <v>Premium4</v>
      </c>
      <c r="D58" s="7" t="str">
        <f>IF(I58="PremiumSS",I58,IF(I58="PremiumSSS",I58,IF(I58="PremiumW",I58,"Premium")))</f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7">
        <f ca="1">IFERROR(VLOOKUP(B58,input_332010!L:R,7,FALSE),VLOOKUP(tables_332010!C58,input_332010!A:H,8,FALSE))</f>
        <v>30039</v>
      </c>
      <c r="P58" s="48">
        <f ca="1">O58/SUM(O:O)</f>
        <v>1.193918918918919E-2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input_332010!A$2</f>
        <v>332010</v>
      </c>
      <c r="B59" s="6">
        <v>183</v>
      </c>
      <c r="C59" s="7" t="str">
        <f>D59&amp;J59&amp;E59&amp;F59&amp;G59</f>
        <v>Premium5</v>
      </c>
      <c r="D59" s="7" t="str">
        <f>IF(I59="PremiumSS",I59,IF(I59="PremiumSSS",I59,IF(I59="PremiumW",I59,"Premium")))</f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7">
        <f ca="1">IFERROR(VLOOKUP(B59,input_332010!L:R,7,FALSE),VLOOKUP(tables_332010!C59,input_332010!A:H,8,FALSE))</f>
        <v>1581</v>
      </c>
      <c r="P59" s="48">
        <f ca="1">O59/SUM(O:O)</f>
        <v>6.283783783783784E-4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input_332010!A$2</f>
        <v>332010</v>
      </c>
      <c r="B60" s="6">
        <v>184</v>
      </c>
      <c r="C60" s="7" t="str">
        <f>D60&amp;J60&amp;E60&amp;F60&amp;G60</f>
        <v>Premium3</v>
      </c>
      <c r="D60" s="7" t="str">
        <f>IF(I60="PremiumSS",I60,IF(I60="PremiumSSS",I60,IF(I60="PremiumW",I60,"Premium")))</f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7">
        <f ca="1">IFERROR(VLOOKUP(B60,input_332010!L:R,7,FALSE),VLOOKUP(tables_332010!C60,input_332010!A:H,8,FALSE))</f>
        <v>0</v>
      </c>
      <c r="P60" s="48">
        <f ca="1">O60/SUM(O:O)</f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input_332010!A$2</f>
        <v>332010</v>
      </c>
      <c r="B61" s="6">
        <v>185</v>
      </c>
      <c r="C61" s="7" t="str">
        <f>D61&amp;J61&amp;E61&amp;F61&amp;G61</f>
        <v>Premium4</v>
      </c>
      <c r="D61" s="7" t="str">
        <f>IF(I61="PremiumSS",I61,IF(I61="PremiumSSS",I61,IF(I61="PremiumW",I61,"Premium")))</f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7">
        <f ca="1">IFERROR(VLOOKUP(B61,input_332010!L:R,7,FALSE),VLOOKUP(tables_332010!C61,input_332010!A:H,8,FALSE))</f>
        <v>30039</v>
      </c>
      <c r="P61" s="48">
        <f ca="1">O61/SUM(O:O)</f>
        <v>1.193918918918919E-2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input_332010!A$2</f>
        <v>332010</v>
      </c>
      <c r="B62" s="8">
        <v>186</v>
      </c>
      <c r="C62" s="7" t="str">
        <f>D62&amp;J62&amp;E62&amp;F62&amp;G62</f>
        <v>Premium5</v>
      </c>
      <c r="D62" s="7" t="str">
        <f>IF(I62="PremiumSS",I62,IF(I62="PremiumSSS",I62,IF(I62="PremiumW",I62,"Premium")))</f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7">
        <f ca="1">IFERROR(VLOOKUP(B62,input_332010!L:R,7,FALSE),VLOOKUP(tables_332010!C62,input_332010!A:H,8,FALSE))</f>
        <v>1581</v>
      </c>
      <c r="P62" s="48">
        <f ca="1">O62/SUM(O:O)</f>
        <v>6.283783783783784E-4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input_332010!A$2</f>
        <v>332010</v>
      </c>
      <c r="B63" s="8">
        <v>187</v>
      </c>
      <c r="C63" s="7" t="str">
        <f>D63&amp;J63&amp;E63&amp;F63&amp;G63</f>
        <v>Premium3</v>
      </c>
      <c r="D63" s="7" t="str">
        <f>IF(I63="PremiumSS",I63,IF(I63="PremiumSSS",I63,IF(I63="PremiumW",I63,"Premium")))</f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7">
        <f ca="1">IFERROR(VLOOKUP(B63,input_332010!L:R,7,FALSE),VLOOKUP(tables_332010!C63,input_332010!A:H,8,FALSE))</f>
        <v>0</v>
      </c>
      <c r="P63" s="48">
        <f ca="1">O63/SUM(O:O)</f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input_332010!A$2</f>
        <v>332010</v>
      </c>
      <c r="B64" s="8">
        <v>188</v>
      </c>
      <c r="C64" s="7" t="str">
        <f>D64&amp;J64&amp;E64&amp;F64&amp;G64</f>
        <v>Premium4</v>
      </c>
      <c r="D64" s="7" t="str">
        <f>IF(I64="PremiumSS",I64,IF(I64="PremiumSSS",I64,IF(I64="PremiumW",I64,"Premium")))</f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7">
        <f ca="1">IFERROR(VLOOKUP(B64,input_332010!L:R,7,FALSE),VLOOKUP(tables_332010!C64,input_332010!A:H,8,FALSE))</f>
        <v>30039</v>
      </c>
      <c r="P64" s="48">
        <f ca="1">O64/SUM(O:O)</f>
        <v>1.193918918918919E-2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input_332010!A$2</f>
        <v>332010</v>
      </c>
      <c r="B65" s="8">
        <v>189</v>
      </c>
      <c r="C65" s="7" t="str">
        <f>D65&amp;J65&amp;E65&amp;F65&amp;G65</f>
        <v>Premium5</v>
      </c>
      <c r="D65" s="7" t="str">
        <f>IF(I65="PremiumSS",I65,IF(I65="PremiumSSS",I65,IF(I65="PremiumW",I65,"Premium")))</f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7">
        <f ca="1">IFERROR(VLOOKUP(B65,input_332010!L:R,7,FALSE),VLOOKUP(tables_332010!C65,input_332010!A:H,8,FALSE))</f>
        <v>1581</v>
      </c>
      <c r="P65" s="48">
        <f ca="1">O65/SUM(O:O)</f>
        <v>6.283783783783784E-4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input_332010!A$2</f>
        <v>332010</v>
      </c>
      <c r="B66" s="6">
        <v>190</v>
      </c>
      <c r="C66" s="7" t="str">
        <f>D66&amp;J66&amp;E66&amp;F66&amp;G66</f>
        <v>Premium3</v>
      </c>
      <c r="D66" s="7" t="str">
        <f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7">
        <f ca="1">IFERROR(VLOOKUP(B66,input_332010!L:R,7,FALSE),VLOOKUP(tables_332010!C66,input_332010!A:H,8,FALSE))</f>
        <v>0</v>
      </c>
      <c r="P66" s="48">
        <f ca="1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input_332010!A$2</f>
        <v>332010</v>
      </c>
      <c r="B67" s="6">
        <v>191</v>
      </c>
      <c r="C67" s="7" t="str">
        <f>D67&amp;J67&amp;E67&amp;F67&amp;G67</f>
        <v>Premium4</v>
      </c>
      <c r="D67" s="7" t="str">
        <f>IF(I67="PremiumSS",I67,IF(I67="PremiumSSS",I67,IF(I67="PremiumW",I67,"Premium")))</f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7">
        <f ca="1">IFERROR(VLOOKUP(B67,input_332010!L:R,7,FALSE),VLOOKUP(tables_332010!C67,input_332010!A:H,8,FALSE))</f>
        <v>30039</v>
      </c>
      <c r="P67" s="48">
        <f ca="1">O67/SUM(O:O)</f>
        <v>1.193918918918919E-2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input_332010!A$2</f>
        <v>332010</v>
      </c>
      <c r="B68" s="6">
        <v>192</v>
      </c>
      <c r="C68" s="7" t="str">
        <f>D68&amp;J68&amp;E68&amp;F68&amp;G68</f>
        <v>Premium5</v>
      </c>
      <c r="D68" s="7" t="str">
        <f>IF(I68="PremiumSS",I68,IF(I68="PremiumSSS",I68,IF(I68="PremiumW",I68,"Premium")))</f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7">
        <f ca="1">IFERROR(VLOOKUP(B68,input_332010!L:R,7,FALSE),VLOOKUP(tables_332010!C68,input_332010!A:H,8,FALSE))</f>
        <v>1581</v>
      </c>
      <c r="P68" s="48">
        <f ca="1">O68/SUM(O:O)</f>
        <v>6.283783783783784E-4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input_332010!A$2</f>
        <v>332010</v>
      </c>
      <c r="B69" s="6">
        <v>193</v>
      </c>
      <c r="C69" s="7" t="str">
        <f>D69&amp;J69&amp;E69&amp;F69&amp;G69</f>
        <v>Premium3</v>
      </c>
      <c r="D69" s="7" t="str">
        <f>IF(I69="PremiumSS",I69,IF(I69="PremiumSSS",I69,IF(I69="PremiumW",I69,"Premium")))</f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7">
        <f ca="1">IFERROR(VLOOKUP(B69,input_332010!L:R,7,FALSE),VLOOKUP(tables_332010!C69,input_332010!A:H,8,FALSE))</f>
        <v>0</v>
      </c>
      <c r="P69" s="48">
        <f ca="1">O69/SUM(O:O)</f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input_332010!A$2</f>
        <v>332010</v>
      </c>
      <c r="B70" s="10">
        <v>194</v>
      </c>
      <c r="C70" s="7" t="str">
        <f>D70&amp;J70&amp;E70&amp;F70&amp;G70</f>
        <v>Premium4</v>
      </c>
      <c r="D70" s="7" t="str">
        <f>IF(I70="PremiumSS",I70,IF(I70="PremiumSSS",I70,IF(I70="PremiumW",I70,"Premium")))</f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7">
        <f ca="1">IFERROR(VLOOKUP(B70,input_332010!L:R,7,FALSE),VLOOKUP(tables_332010!C70,input_332010!A:H,8,FALSE))</f>
        <v>30039</v>
      </c>
      <c r="P70" s="48">
        <f ca="1">O70/SUM(O:O)</f>
        <v>1.193918918918919E-2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input_332010!A$2</f>
        <v>332010</v>
      </c>
      <c r="B71" s="6">
        <v>195</v>
      </c>
      <c r="C71" s="7" t="str">
        <f>D71&amp;J71&amp;E71&amp;F71&amp;G71</f>
        <v>Premium5</v>
      </c>
      <c r="D71" s="7" t="str">
        <f>IF(I71="PremiumSS",I71,IF(I71="PremiumSSS",I71,IF(I71="PremiumW",I71,"Premium")))</f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7">
        <f ca="1">IFERROR(VLOOKUP(B71,input_332010!L:R,7,FALSE),VLOOKUP(tables_332010!C71,input_332010!A:H,8,FALSE))</f>
        <v>1581</v>
      </c>
      <c r="P71" s="48">
        <f ca="1">O71/SUM(O:O)</f>
        <v>6.283783783783784E-4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input_332010!A$2</f>
        <v>332010</v>
      </c>
      <c r="B72" s="10">
        <v>196</v>
      </c>
      <c r="C72" s="7" t="str">
        <f>D72&amp;J72&amp;E72&amp;F72&amp;G72</f>
        <v>Premium3</v>
      </c>
      <c r="D72" s="7" t="str">
        <f>IF(I72="PremiumSS",I72,IF(I72="PremiumSSS",I72,IF(I72="PremiumW",I72,"Premium")))</f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7">
        <f ca="1">IFERROR(VLOOKUP(B72,input_332010!L:R,7,FALSE),VLOOKUP(tables_332010!C72,input_332010!A:H,8,FALSE))</f>
        <v>0</v>
      </c>
      <c r="P72" s="48">
        <f ca="1">O72/SUM(O:O)</f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input_332010!A$2</f>
        <v>332010</v>
      </c>
      <c r="B73" s="11">
        <v>197</v>
      </c>
      <c r="C73" s="7" t="str">
        <f>D73&amp;J73&amp;E73&amp;F73&amp;G73</f>
        <v>Premium4</v>
      </c>
      <c r="D73" s="7" t="str">
        <f>IF(I73="PremiumSS",I73,IF(I73="PremiumSSS",I73,IF(I73="PremiumW",I73,"Premium")))</f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7">
        <f ca="1">IFERROR(VLOOKUP(B73,input_332010!L:R,7,FALSE),VLOOKUP(tables_332010!C73,input_332010!A:H,8,FALSE))</f>
        <v>30039</v>
      </c>
      <c r="P73" s="48">
        <f ca="1">O73/SUM(O:O)</f>
        <v>1.193918918918919E-2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input_332010!A$2</f>
        <v>332010</v>
      </c>
      <c r="B74" s="6">
        <v>198</v>
      </c>
      <c r="C74" s="7" t="str">
        <f>D74&amp;J74&amp;E74&amp;F74&amp;G74</f>
        <v>Premium5</v>
      </c>
      <c r="D74" s="7" t="str">
        <f>IF(I74="PremiumSS",I74,IF(I74="PremiumSSS",I74,IF(I74="PremiumW",I74,"Premium")))</f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7">
        <f ca="1">IFERROR(VLOOKUP(B74,input_332010!L:R,7,FALSE),VLOOKUP(tables_332010!C74,input_332010!A:H,8,FALSE))</f>
        <v>1581</v>
      </c>
      <c r="P74" s="48">
        <f ca="1">O74/SUM(O:O)</f>
        <v>6.283783783783784E-4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input_332010!A$2</f>
        <v>332010</v>
      </c>
      <c r="B75" s="6">
        <v>199</v>
      </c>
      <c r="C75" s="7" t="str">
        <f>D75&amp;J75&amp;E75&amp;F75&amp;G75</f>
        <v>Premium3</v>
      </c>
      <c r="D75" s="7" t="str">
        <f>IF(I75="PremiumSS",I75,IF(I75="PremiumSSS",I75,IF(I75="PremiumW",I75,"Premium")))</f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7">
        <f ca="1">IFERROR(VLOOKUP(B75,input_332010!L:R,7,FALSE),VLOOKUP(tables_332010!C75,input_332010!A:H,8,FALSE))</f>
        <v>0</v>
      </c>
      <c r="P75" s="48">
        <f ca="1">O75/SUM(O:O)</f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input_332010!A$2</f>
        <v>332010</v>
      </c>
      <c r="B76" s="6">
        <v>200</v>
      </c>
      <c r="C76" s="7" t="str">
        <f>D76&amp;J76&amp;E76&amp;F76&amp;G76</f>
        <v>Premium4</v>
      </c>
      <c r="D76" s="7" t="str">
        <f>IF(I76="PremiumSS",I76,IF(I76="PremiumSSS",I76,IF(I76="PremiumW",I76,"Premium")))</f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7">
        <f ca="1">IFERROR(VLOOKUP(B76,input_332010!L:R,7,FALSE),VLOOKUP(tables_332010!C76,input_332010!A:H,8,FALSE))</f>
        <v>30039</v>
      </c>
      <c r="P76" s="48">
        <f ca="1">O76/SUM(O:O)</f>
        <v>1.193918918918919E-2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input_332010!A$2</f>
        <v>332010</v>
      </c>
      <c r="B77" s="5">
        <v>201</v>
      </c>
      <c r="C77" s="7" t="str">
        <f>D77&amp;J77&amp;E77&amp;F77&amp;G77</f>
        <v>Premium5</v>
      </c>
      <c r="D77" s="7" t="str">
        <f>IF(I77="PremiumSS",I77,IF(I77="PremiumSSS",I77,IF(I77="PremiumW",I77,"Premium")))</f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7">
        <f ca="1">IFERROR(VLOOKUP(B77,input_332010!L:R,7,FALSE),VLOOKUP(tables_332010!C77,input_332010!A:H,8,FALSE))</f>
        <v>1581</v>
      </c>
      <c r="P77" s="48">
        <f ca="1">O77/SUM(O:O)</f>
        <v>6.283783783783784E-4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input_332010!A$2</f>
        <v>332010</v>
      </c>
      <c r="B78" s="5">
        <v>202</v>
      </c>
      <c r="C78" s="7" t="str">
        <f>D78&amp;J78&amp;E78&amp;F78&amp;G78</f>
        <v>Premium3</v>
      </c>
      <c r="D78" s="7" t="str">
        <f>IF(I78="PremiumSS",I78,IF(I78="PremiumSSS",I78,IF(I78="PremiumW",I78,"Premium")))</f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7">
        <f ca="1">IFERROR(VLOOKUP(B78,input_332010!L:R,7,FALSE),VLOOKUP(tables_332010!C78,input_332010!A:H,8,FALSE))</f>
        <v>0</v>
      </c>
      <c r="P78" s="48">
        <f ca="1">O78/SUM(O:O)</f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input_332010!A$2</f>
        <v>332010</v>
      </c>
      <c r="B79" s="5">
        <v>203</v>
      </c>
      <c r="C79" s="7" t="str">
        <f>D79&amp;J79&amp;E79&amp;F79&amp;G79</f>
        <v>Premium4</v>
      </c>
      <c r="D79" s="7" t="str">
        <f>IF(I79="PremiumSS",I79,IF(I79="PremiumSSS",I79,IF(I79="PremiumW",I79,"Premium")))</f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7">
        <f ca="1">IFERROR(VLOOKUP(B79,input_332010!L:R,7,FALSE),VLOOKUP(tables_332010!C79,input_332010!A:H,8,FALSE))</f>
        <v>30039</v>
      </c>
      <c r="P79" s="48">
        <f ca="1">O79/SUM(O:O)</f>
        <v>1.193918918918919E-2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input_332010!A$2</f>
        <v>332010</v>
      </c>
      <c r="B80" s="5">
        <v>204</v>
      </c>
      <c r="C80" s="7" t="str">
        <f>D80&amp;J80&amp;E80&amp;F80&amp;G80</f>
        <v>Premium5</v>
      </c>
      <c r="D80" s="7" t="str">
        <f>IF(I80="PremiumSS",I80,IF(I80="PremiumSSS",I80,IF(I80="PremiumW",I80,"Premium")))</f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7">
        <f ca="1">IFERROR(VLOOKUP(B80,input_332010!L:R,7,FALSE),VLOOKUP(tables_332010!C80,input_332010!A:H,8,FALSE))</f>
        <v>1581</v>
      </c>
      <c r="P80" s="48">
        <f ca="1">O80/SUM(O:O)</f>
        <v>6.283783783783784E-4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input_332010!A$2</f>
        <v>332010</v>
      </c>
      <c r="B81" s="5">
        <v>205</v>
      </c>
      <c r="C81" s="7" t="str">
        <f>D81&amp;J81&amp;E81&amp;F81&amp;G81</f>
        <v>Premium3</v>
      </c>
      <c r="D81" s="7" t="str">
        <f>IF(I81="PremiumSS",I81,IF(I81="PremiumSSS",I81,IF(I81="PremiumW",I81,"Premium")))</f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7">
        <f ca="1">IFERROR(VLOOKUP(B81,input_332010!L:R,7,FALSE),VLOOKUP(tables_332010!C81,input_332010!A:H,8,FALSE))</f>
        <v>0</v>
      </c>
      <c r="P81" s="48">
        <f ca="1">O81/SUM(O:O)</f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input_332010!A$2</f>
        <v>332010</v>
      </c>
      <c r="B82" s="5">
        <v>206</v>
      </c>
      <c r="C82" s="7" t="str">
        <f>D82&amp;J82&amp;E82&amp;F82&amp;G82</f>
        <v>Premium4</v>
      </c>
      <c r="D82" s="7" t="str">
        <f>IF(I82="PremiumSS",I82,IF(I82="PremiumSSS",I82,IF(I82="PremiumW",I82,"Premium")))</f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7">
        <f ca="1">IFERROR(VLOOKUP(B82,input_332010!L:R,7,FALSE),VLOOKUP(tables_332010!C82,input_332010!A:H,8,FALSE))</f>
        <v>30039</v>
      </c>
      <c r="P82" s="48">
        <f ca="1">O82/SUM(O:O)</f>
        <v>1.193918918918919E-2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input_332010!A$2</f>
        <v>332010</v>
      </c>
      <c r="B83" s="5">
        <v>207</v>
      </c>
      <c r="C83" s="7" t="str">
        <f>D83&amp;J83&amp;E83&amp;F83&amp;G83</f>
        <v>Premium5</v>
      </c>
      <c r="D83" s="7" t="str">
        <f>IF(I83="PremiumSS",I83,IF(I83="PremiumSSS",I83,IF(I83="PremiumW",I83,"Premium")))</f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7">
        <f ca="1">IFERROR(VLOOKUP(B83,input_332010!L:R,7,FALSE),VLOOKUP(tables_332010!C83,input_332010!A:H,8,FALSE))</f>
        <v>1581</v>
      </c>
      <c r="P83" s="48">
        <f ca="1">O83/SUM(O:O)</f>
        <v>6.283783783783784E-4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input_332010!A$2</f>
        <v>332010</v>
      </c>
      <c r="B84" s="5">
        <v>208</v>
      </c>
      <c r="C84" s="7" t="str">
        <f>D84&amp;J84&amp;E84&amp;F84&amp;G84</f>
        <v>Premium3</v>
      </c>
      <c r="D84" s="7" t="str">
        <f>IF(I84="PremiumSS",I84,IF(I84="PremiumSSS",I84,IF(I84="PremiumW",I84,"Premium")))</f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7">
        <f ca="1">IFERROR(VLOOKUP(B84,input_332010!L:R,7,FALSE),VLOOKUP(tables_332010!C84,input_332010!A:H,8,FALSE))</f>
        <v>0</v>
      </c>
      <c r="P84" s="48">
        <f ca="1">O84/SUM(O:O)</f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input_332010!A$2</f>
        <v>332010</v>
      </c>
      <c r="B85" s="5">
        <v>209</v>
      </c>
      <c r="C85" s="7" t="str">
        <f>D85&amp;J85&amp;E85&amp;F85&amp;G85</f>
        <v>Premium4</v>
      </c>
      <c r="D85" s="7" t="str">
        <f>IF(I85="PremiumSS",I85,IF(I85="PremiumSSS",I85,IF(I85="PremiumW",I85,"Premium")))</f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7">
        <f ca="1">IFERROR(VLOOKUP(B85,input_332010!L:R,7,FALSE),VLOOKUP(tables_332010!C85,input_332010!A:H,8,FALSE))</f>
        <v>30039</v>
      </c>
      <c r="P85" s="48">
        <f ca="1">O85/SUM(O:O)</f>
        <v>1.193918918918919E-2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input_332010!A$2</f>
        <v>332010</v>
      </c>
      <c r="B86" s="5">
        <v>210</v>
      </c>
      <c r="C86" s="7" t="str">
        <f>D86&amp;J86&amp;E86&amp;F86&amp;G86</f>
        <v>Premium5</v>
      </c>
      <c r="D86" s="7" t="str">
        <f>IF(I86="PremiumSS",I86,IF(I86="PremiumSSS",I86,IF(I86="PremiumW",I86,"Premium")))</f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7">
        <f ca="1">IFERROR(VLOOKUP(B86,input_332010!L:R,7,FALSE),VLOOKUP(tables_332010!C86,input_332010!A:H,8,FALSE))</f>
        <v>1581</v>
      </c>
      <c r="P86" s="48">
        <f ca="1">O86/SUM(O:O)</f>
        <v>6.283783783783784E-4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input_332010!A$2</f>
        <v>332010</v>
      </c>
      <c r="B87" s="5">
        <v>211</v>
      </c>
      <c r="C87" s="7" t="str">
        <f>D87&amp;J87&amp;E87&amp;F87&amp;G87</f>
        <v>Premium3</v>
      </c>
      <c r="D87" s="7" t="str">
        <f>IF(I87="PremiumSS",I87,IF(I87="PremiumSSS",I87,IF(I87="PremiumW",I87,"Premium")))</f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7">
        <f ca="1">IFERROR(VLOOKUP(B87,input_332010!L:R,7,FALSE),VLOOKUP(tables_332010!C87,input_332010!A:H,8,FALSE))</f>
        <v>0</v>
      </c>
      <c r="P87" s="48">
        <f ca="1">O87/SUM(O:O)</f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input_332010!A$2</f>
        <v>332010</v>
      </c>
      <c r="B88" s="5">
        <v>212</v>
      </c>
      <c r="C88" s="7" t="str">
        <f>D88&amp;J88&amp;E88&amp;F88&amp;G88</f>
        <v>Premium4</v>
      </c>
      <c r="D88" s="7" t="str">
        <f>IF(I88="PremiumSS",I88,IF(I88="PremiumSSS",I88,IF(I88="PremiumW",I88,"Premium")))</f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7">
        <f ca="1">IFERROR(VLOOKUP(B88,input_332010!L:R,7,FALSE),VLOOKUP(tables_332010!C88,input_332010!A:H,8,FALSE))</f>
        <v>30039</v>
      </c>
      <c r="P88" s="48">
        <f ca="1">O88/SUM(O:O)</f>
        <v>1.193918918918919E-2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input_332010!A$2</f>
        <v>332010</v>
      </c>
      <c r="B89" s="5">
        <v>213</v>
      </c>
      <c r="C89" s="7" t="str">
        <f>D89&amp;J89&amp;E89&amp;F89&amp;G89</f>
        <v>Premium5</v>
      </c>
      <c r="D89" s="7" t="str">
        <f>IF(I89="PremiumSS",I89,IF(I89="PremiumSSS",I89,IF(I89="PremiumW",I89,"Premium")))</f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7">
        <f ca="1">IFERROR(VLOOKUP(B89,input_332010!L:R,7,FALSE),VLOOKUP(tables_332010!C89,input_332010!A:H,8,FALSE))</f>
        <v>1581</v>
      </c>
      <c r="P89" s="48">
        <f ca="1">O89/SUM(O:O)</f>
        <v>6.283783783783784E-4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input_332010!A$2</f>
        <v>332010</v>
      </c>
      <c r="B90" s="5">
        <v>214</v>
      </c>
      <c r="C90" s="7" t="str">
        <f>D90&amp;J90&amp;E90&amp;F90&amp;G90</f>
        <v>Premium3</v>
      </c>
      <c r="D90" s="7" t="str">
        <f>IF(I90="PremiumSS",I90,IF(I90="PremiumSSS",I90,IF(I90="PremiumW",I90,"Premium")))</f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7">
        <f ca="1">IFERROR(VLOOKUP(B90,input_332010!L:R,7,FALSE),VLOOKUP(tables_332010!C90,input_332010!A:H,8,FALSE))</f>
        <v>0</v>
      </c>
      <c r="P90" s="48">
        <f ca="1">O90/SUM(O:O)</f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input_332010!A$2</f>
        <v>332010</v>
      </c>
      <c r="B91" s="5">
        <v>215</v>
      </c>
      <c r="C91" s="7" t="str">
        <f>D91&amp;J91&amp;E91&amp;F91&amp;G91</f>
        <v>Premium4</v>
      </c>
      <c r="D91" s="7" t="str">
        <f>IF(I91="PremiumSS",I91,IF(I91="PremiumSSS",I91,IF(I91="PremiumW",I91,"Premium")))</f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7">
        <f ca="1">IFERROR(VLOOKUP(B91,input_332010!L:R,7,FALSE),VLOOKUP(tables_332010!C91,input_332010!A:H,8,FALSE))</f>
        <v>30039</v>
      </c>
      <c r="P91" s="48">
        <f ca="1">O91/SUM(O:O)</f>
        <v>1.193918918918919E-2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input_332010!A$2</f>
        <v>332010</v>
      </c>
      <c r="B92" s="5">
        <v>216</v>
      </c>
      <c r="C92" s="7" t="str">
        <f>D92&amp;J92&amp;E92&amp;F92&amp;G92</f>
        <v>Premium5</v>
      </c>
      <c r="D92" s="7" t="str">
        <f>IF(I92="PremiumSS",I92,IF(I92="PremiumSSS",I92,IF(I92="PremiumW",I92,"Premium")))</f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7">
        <f ca="1">IFERROR(VLOOKUP(B92,input_332010!L:R,7,FALSE),VLOOKUP(tables_332010!C92,input_332010!A:H,8,FALSE))</f>
        <v>1581</v>
      </c>
      <c r="P92" s="48">
        <f ca="1">O92/SUM(O:O)</f>
        <v>6.283783783783784E-4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input_332010!A$2</f>
        <v>332010</v>
      </c>
      <c r="B93" s="5">
        <v>217</v>
      </c>
      <c r="C93" s="7" t="str">
        <f>D93&amp;J93&amp;E93&amp;F93&amp;G93</f>
        <v>Premium3</v>
      </c>
      <c r="D93" s="7" t="str">
        <f>IF(I93="PremiumSS",I93,IF(I93="PremiumSSS",I93,IF(I93="PremiumW",I93,"Premium")))</f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7">
        <f ca="1">IFERROR(VLOOKUP(B93,input_332010!L:R,7,FALSE),VLOOKUP(tables_332010!C93,input_332010!A:H,8,FALSE))</f>
        <v>0</v>
      </c>
      <c r="P93" s="48">
        <f ca="1">O93/SUM(O:O)</f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input_332010!A$2</f>
        <v>332010</v>
      </c>
      <c r="B94" s="5">
        <v>218</v>
      </c>
      <c r="C94" s="7" t="str">
        <f>D94&amp;J94&amp;E94&amp;F94&amp;G94</f>
        <v>Premium4</v>
      </c>
      <c r="D94" s="7" t="str">
        <f>IF(I94="PremiumSS",I94,IF(I94="PremiumSSS",I94,IF(I94="PremiumW",I94,"Premium")))</f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7">
        <f ca="1">IFERROR(VLOOKUP(B94,input_332010!L:R,7,FALSE),VLOOKUP(tables_332010!C94,input_332010!A:H,8,FALSE))</f>
        <v>30039</v>
      </c>
      <c r="P94" s="48">
        <f ca="1">O94/SUM(O:O)</f>
        <v>1.193918918918919E-2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input_332010!A$2</f>
        <v>332010</v>
      </c>
      <c r="B95" s="5">
        <v>219</v>
      </c>
      <c r="C95" s="7" t="str">
        <f>D95&amp;J95&amp;E95&amp;F95&amp;G95</f>
        <v>Premium5</v>
      </c>
      <c r="D95" s="7" t="str">
        <f>IF(I95="PremiumSS",I95,IF(I95="PremiumSSS",I95,IF(I95="PremiumW",I95,"Premium")))</f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7">
        <f ca="1">IFERROR(VLOOKUP(B95,input_332010!L:R,7,FALSE),VLOOKUP(tables_332010!C95,input_332010!A:H,8,FALSE))</f>
        <v>1581</v>
      </c>
      <c r="P95" s="48">
        <f ca="1">O95/SUM(O:O)</f>
        <v>6.283783783783784E-4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input_332010!A$2</f>
        <v>332010</v>
      </c>
      <c r="B96" s="5">
        <v>220</v>
      </c>
      <c r="C96" s="7" t="str">
        <f>D96&amp;J96&amp;E96&amp;F96&amp;G96</f>
        <v>Premium3</v>
      </c>
      <c r="D96" s="7" t="str">
        <f>IF(I96="PremiumSS",I96,IF(I96="PremiumSSS",I96,IF(I96="PremiumW",I96,"Premium")))</f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7">
        <f ca="1">IFERROR(VLOOKUP(B96,input_332010!L:R,7,FALSE),VLOOKUP(tables_332010!C96,input_332010!A:H,8,FALSE))</f>
        <v>0</v>
      </c>
      <c r="P96" s="48">
        <f ca="1">O96/SUM(O:O)</f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input_332010!A$2</f>
        <v>332010</v>
      </c>
      <c r="B97" s="5">
        <v>221</v>
      </c>
      <c r="C97" s="7" t="str">
        <f>D97&amp;J97&amp;E97&amp;F97&amp;G97</f>
        <v>Premium4</v>
      </c>
      <c r="D97" s="7" t="str">
        <f>IF(I97="PremiumSS",I97,IF(I97="PremiumSSS",I97,IF(I97="PremiumW",I97,"Premium")))</f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7">
        <f ca="1">IFERROR(VLOOKUP(B97,input_332010!L:R,7,FALSE),VLOOKUP(tables_332010!C97,input_332010!A:H,8,FALSE))</f>
        <v>30039</v>
      </c>
      <c r="P97" s="48">
        <f ca="1">O97/SUM(O:O)</f>
        <v>1.193918918918919E-2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input_332010!A$2</f>
        <v>332010</v>
      </c>
      <c r="B98" s="5">
        <v>222</v>
      </c>
      <c r="C98" s="7" t="str">
        <f>D98&amp;J98&amp;E98&amp;F98&amp;G98</f>
        <v>Premium5</v>
      </c>
      <c r="D98" s="7" t="str">
        <f>IF(I98="PremiumSS",I98,IF(I98="PremiumSSS",I98,IF(I98="PremiumW",I98,"Premium")))</f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7">
        <f ca="1">IFERROR(VLOOKUP(B98,input_332010!L:R,7,FALSE),VLOOKUP(tables_332010!C98,input_332010!A:H,8,FALSE))</f>
        <v>1581</v>
      </c>
      <c r="P98" s="48">
        <f ca="1">O98/SUM(O:O)</f>
        <v>6.283783783783784E-4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input_332010!A$2</f>
        <v>332010</v>
      </c>
      <c r="B99" s="5">
        <v>223</v>
      </c>
      <c r="C99" s="7" t="str">
        <f>D99&amp;J99&amp;E99&amp;F99&amp;G99</f>
        <v>Premium3</v>
      </c>
      <c r="D99" s="7" t="str">
        <f>IF(I99="PremiumSS",I99,IF(I99="PremiumSSS",I99,IF(I99="PremiumW",I99,"Premium")))</f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7">
        <f ca="1">IFERROR(VLOOKUP(B99,input_332010!L:R,7,FALSE),VLOOKUP(tables_332010!C99,input_332010!A:H,8,FALSE))</f>
        <v>0</v>
      </c>
      <c r="P99" s="48">
        <f ca="1">O99/SUM(O:O)</f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input_332010!A$2</f>
        <v>332010</v>
      </c>
      <c r="B100" s="5">
        <v>224</v>
      </c>
      <c r="C100" s="7" t="str">
        <f>D100&amp;J100&amp;E100&amp;F100&amp;G100</f>
        <v>Premium4</v>
      </c>
      <c r="D100" s="7" t="str">
        <f>IF(I100="PremiumSS",I100,IF(I100="PremiumSSS",I100,IF(I100="PremiumW",I100,"Premium")))</f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7">
        <f ca="1">IFERROR(VLOOKUP(B100,input_332010!L:R,7,FALSE),VLOOKUP(tables_332010!C100,input_332010!A:H,8,FALSE))</f>
        <v>30039</v>
      </c>
      <c r="P100" s="48">
        <f ca="1">O100/SUM(O:O)</f>
        <v>1.193918918918919E-2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input_332010!A$2</f>
        <v>332010</v>
      </c>
      <c r="B101" s="5">
        <v>225</v>
      </c>
      <c r="C101" s="7" t="str">
        <f>D101&amp;J101&amp;E101&amp;F101&amp;G101</f>
        <v>Premium5</v>
      </c>
      <c r="D101" s="7" t="str">
        <f>IF(I101="PremiumSS",I101,IF(I101="PremiumSSS",I101,IF(I101="PremiumW",I101,"Premium")))</f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7">
        <f ca="1">IFERROR(VLOOKUP(B101,input_332010!L:R,7,FALSE),VLOOKUP(tables_332010!C101,input_332010!A:H,8,FALSE))</f>
        <v>1581</v>
      </c>
      <c r="P101" s="48">
        <f ca="1">O101/SUM(O:O)</f>
        <v>6.283783783783784E-4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input_332010!A$2</f>
        <v>332010</v>
      </c>
      <c r="B102" s="5">
        <v>226</v>
      </c>
      <c r="C102" s="7" t="str">
        <f>D102&amp;J102&amp;E102&amp;F102&amp;G102</f>
        <v>Premium3</v>
      </c>
      <c r="D102" s="7" t="str">
        <f>IF(I102="PremiumSS",I102,IF(I102="PremiumSSS",I102,IF(I102="PremiumW",I102,"Premium")))</f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7">
        <f ca="1">IFERROR(VLOOKUP(B102,input_332010!L:R,7,FALSE),VLOOKUP(tables_332010!C102,input_332010!A:H,8,FALSE))</f>
        <v>0</v>
      </c>
      <c r="P102" s="48">
        <f ca="1">O102/SUM(O:O)</f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input_332010!A$2</f>
        <v>332010</v>
      </c>
      <c r="B103" s="5">
        <v>227</v>
      </c>
      <c r="C103" s="7" t="str">
        <f>D103&amp;J103&amp;E103&amp;F103&amp;G103</f>
        <v>Premium4</v>
      </c>
      <c r="D103" s="7" t="str">
        <f>IF(I103="PremiumSS",I103,IF(I103="PremiumSSS",I103,IF(I103="PremiumW",I103,"Premium")))</f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7">
        <f ca="1">IFERROR(VLOOKUP(B103,input_332010!L:R,7,FALSE),VLOOKUP(tables_332010!C103,input_332010!A:H,8,FALSE))</f>
        <v>30039</v>
      </c>
      <c r="P103" s="48">
        <f ca="1">O103/SUM(O:O)</f>
        <v>1.193918918918919E-2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input_332010!A$2</f>
        <v>332010</v>
      </c>
      <c r="B104" s="5">
        <v>228</v>
      </c>
      <c r="C104" s="7" t="str">
        <f>D104&amp;J104&amp;E104&amp;F104&amp;G104</f>
        <v>Premium5</v>
      </c>
      <c r="D104" s="7" t="str">
        <f>IF(I104="PremiumSS",I104,IF(I104="PremiumSSS",I104,IF(I104="PremiumW",I104,"Premium")))</f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7">
        <f ca="1">IFERROR(VLOOKUP(B104,input_332010!L:R,7,FALSE),VLOOKUP(tables_332010!C104,input_332010!A:H,8,FALSE))</f>
        <v>1581</v>
      </c>
      <c r="P104" s="48">
        <f ca="1">O104/SUM(O:O)</f>
        <v>6.283783783783784E-4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input_332010!A$2</f>
        <v>332010</v>
      </c>
      <c r="B105" s="5">
        <v>229</v>
      </c>
      <c r="C105" s="7" t="str">
        <f>D105&amp;J105&amp;E105&amp;F105&amp;G105</f>
        <v>Premium3</v>
      </c>
      <c r="D105" s="7" t="str">
        <f>IF(I105="PremiumSS",I105,IF(I105="PremiumSSS",I105,IF(I105="PremiumW",I105,"Premium")))</f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7">
        <f ca="1">IFERROR(VLOOKUP(B105,input_332010!L:R,7,FALSE),VLOOKUP(tables_332010!C105,input_332010!A:H,8,FALSE))</f>
        <v>0</v>
      </c>
      <c r="P105" s="48">
        <f ca="1">O105/SUM(O:O)</f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input_332010!A$2</f>
        <v>332010</v>
      </c>
      <c r="B106" s="5">
        <v>230</v>
      </c>
      <c r="C106" s="7" t="str">
        <f>D106&amp;J106&amp;E106&amp;F106&amp;G106</f>
        <v>Premium4</v>
      </c>
      <c r="D106" s="7" t="str">
        <f>IF(I106="PremiumSS",I106,IF(I106="PremiumSSS",I106,IF(I106="PremiumW",I106,"Premium")))</f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7">
        <f ca="1">IFERROR(VLOOKUP(B106,input_332010!L:R,7,FALSE),VLOOKUP(tables_332010!C106,input_332010!A:H,8,FALSE))</f>
        <v>30039</v>
      </c>
      <c r="P106" s="48">
        <f ca="1">O106/SUM(O:O)</f>
        <v>1.193918918918919E-2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input_332010!A$2</f>
        <v>332010</v>
      </c>
      <c r="B107" s="5">
        <v>231</v>
      </c>
      <c r="C107" s="7" t="str">
        <f>D107&amp;J107&amp;E107&amp;F107&amp;G107</f>
        <v>Premium5</v>
      </c>
      <c r="D107" s="7" t="str">
        <f>IF(I107="PremiumSS",I107,IF(I107="PremiumSSS",I107,IF(I107="PremiumW",I107,"Premium")))</f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7">
        <f ca="1">IFERROR(VLOOKUP(B107,input_332010!L:R,7,FALSE),VLOOKUP(tables_332010!C107,input_332010!A:H,8,FALSE))</f>
        <v>1581</v>
      </c>
      <c r="P107" s="48">
        <f ca="1">O107/SUM(O:O)</f>
        <v>6.283783783783784E-4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input_332010!A$2</f>
        <v>332010</v>
      </c>
      <c r="B108" s="5">
        <v>232</v>
      </c>
      <c r="C108" s="7" t="str">
        <f>D108&amp;J108&amp;E108&amp;F108&amp;G108</f>
        <v>Premium3</v>
      </c>
      <c r="D108" s="7" t="str">
        <f>IF(I108="PremiumSS",I108,IF(I108="PremiumSSS",I108,IF(I108="PremiumW",I108,"Premium")))</f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7">
        <f ca="1">IFERROR(VLOOKUP(B108,input_332010!L:R,7,FALSE),VLOOKUP(tables_332010!C108,input_332010!A:H,8,FALSE))</f>
        <v>0</v>
      </c>
      <c r="P108" s="48">
        <f ca="1">O108/SUM(O:O)</f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input_332010!A$2</f>
        <v>332010</v>
      </c>
      <c r="B109" s="5">
        <v>233</v>
      </c>
      <c r="C109" s="7" t="str">
        <f>D109&amp;J109&amp;E109&amp;F109&amp;G109</f>
        <v>Premium4</v>
      </c>
      <c r="D109" s="7" t="str">
        <f>IF(I109="PremiumSS",I109,IF(I109="PremiumSSS",I109,IF(I109="PremiumW",I109,"Premium")))</f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7">
        <f ca="1">IFERROR(VLOOKUP(B109,input_332010!L:R,7,FALSE),VLOOKUP(tables_332010!C109,input_332010!A:H,8,FALSE))</f>
        <v>30039</v>
      </c>
      <c r="P109" s="48">
        <f ca="1">O109/SUM(O:O)</f>
        <v>1.193918918918919E-2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input_332010!A$2</f>
        <v>332010</v>
      </c>
      <c r="B110" s="5">
        <v>234</v>
      </c>
      <c r="C110" s="7" t="str">
        <f>D110&amp;J110&amp;E110&amp;F110&amp;G110</f>
        <v>Premium5</v>
      </c>
      <c r="D110" s="7" t="str">
        <f>IF(I110="PremiumSS",I110,IF(I110="PremiumSSS",I110,IF(I110="PremiumW",I110,"Premium")))</f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7">
        <f ca="1">IFERROR(VLOOKUP(B110,input_332010!L:R,7,FALSE),VLOOKUP(tables_332010!C110,input_332010!A:H,8,FALSE))</f>
        <v>1581</v>
      </c>
      <c r="P110" s="48">
        <f ca="1">O110/SUM(O:O)</f>
        <v>6.283783783783784E-4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input_332010!A$2</f>
        <v>332010</v>
      </c>
      <c r="B111" s="5">
        <v>235</v>
      </c>
      <c r="C111" s="7" t="str">
        <f>D111&amp;J111&amp;E111&amp;F111&amp;G111</f>
        <v>Premium3R6release</v>
      </c>
      <c r="D111" s="7" t="str">
        <f>IF(I111="PremiumSS",I111,IF(I111="PremiumSSS",I111,IF(I111="PremiumW",I111,"Premium")))</f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7">
        <f ca="1">IFERROR(VLOOKUP(B111,input_332010!L:R,7,FALSE),VLOOKUP(tables_332010!C111,input_332010!A:H,8,FALSE))</f>
        <v>0</v>
      </c>
      <c r="P111" s="48">
        <f ca="1">O111/SUM(O:O)</f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input_332010!A$2</f>
        <v>332010</v>
      </c>
      <c r="B112" s="5">
        <v>236</v>
      </c>
      <c r="C112" s="7" t="str">
        <f>D112&amp;J112&amp;E112&amp;F112&amp;G112</f>
        <v>Premium4R6release</v>
      </c>
      <c r="D112" s="7" t="str">
        <f>IF(I112="PremiumSS",I112,IF(I112="PremiumSSS",I112,IF(I112="PremiumW",I112,"Premium")))</f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7">
        <f ca="1">IFERROR(VLOOKUP(B112,input_332010!L:R,7,FALSE),VLOOKUP(tables_332010!C112,input_332010!A:H,8,FALSE))</f>
        <v>4218</v>
      </c>
      <c r="P112" s="48">
        <f ca="1">O112/SUM(O:O)</f>
        <v>1.676470588235294E-3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input_332010!A$2</f>
        <v>332010</v>
      </c>
      <c r="B113" s="5">
        <v>237</v>
      </c>
      <c r="C113" s="7" t="str">
        <f>D113&amp;J113&amp;E113&amp;F113&amp;G113</f>
        <v>Premium5R6release</v>
      </c>
      <c r="D113" s="7" t="str">
        <f>IF(I113="PremiumSS",I113,IF(I113="PremiumSSS",I113,IF(I113="PremiumW",I113,"Premium")))</f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7">
        <f ca="1">IFERROR(VLOOKUP(B113,input_332010!L:R,7,FALSE),VLOOKUP(tables_332010!C113,input_332010!A:H,8,FALSE))</f>
        <v>222</v>
      </c>
      <c r="P113" s="48">
        <f ca="1">O113/SUM(O:O)</f>
        <v>8.8235294117647065E-5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input_332010!A$2</f>
        <v>332010</v>
      </c>
      <c r="B114" s="5">
        <v>238</v>
      </c>
      <c r="C114" s="7" t="str">
        <f>D114&amp;J114&amp;E114&amp;F114&amp;G114</f>
        <v>Premium3</v>
      </c>
      <c r="D114" s="7" t="str">
        <f>IF(I114="PremiumSS",I114,IF(I114="PremiumSSS",I114,IF(I114="PremiumW",I114,"Premium")))</f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7">
        <f ca="1">IFERROR(VLOOKUP(B114,input_332010!L:R,7,FALSE),VLOOKUP(tables_332010!C114,input_332010!A:H,8,FALSE))</f>
        <v>0</v>
      </c>
      <c r="P114" s="48">
        <f ca="1">O114/SUM(O:O)</f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input_332010!A$2</f>
        <v>332010</v>
      </c>
      <c r="B115" s="5">
        <v>239</v>
      </c>
      <c r="C115" s="7" t="str">
        <f>D115&amp;J115&amp;E115&amp;F115&amp;G115</f>
        <v>Premium4</v>
      </c>
      <c r="D115" s="7" t="str">
        <f>IF(I115="PremiumSS",I115,IF(I115="PremiumSSS",I115,IF(I115="PremiumW",I115,"Premium")))</f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7">
        <f ca="1">IFERROR(VLOOKUP(B115,input_332010!L:R,7,FALSE),VLOOKUP(tables_332010!C115,input_332010!A:H,8,FALSE))</f>
        <v>30039</v>
      </c>
      <c r="P115" s="48">
        <f ca="1">O115/SUM(O:O)</f>
        <v>1.193918918918919E-2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input_332010!A$2</f>
        <v>332010</v>
      </c>
      <c r="B116" s="5">
        <v>240</v>
      </c>
      <c r="C116" s="7" t="str">
        <f>D116&amp;J116&amp;E116&amp;F116&amp;G116</f>
        <v>Premium5</v>
      </c>
      <c r="D116" s="7" t="str">
        <f>IF(I116="PremiumSS",I116,IF(I116="PremiumSSS",I116,IF(I116="PremiumW",I116,"Premium")))</f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7">
        <f ca="1">IFERROR(VLOOKUP(B116,input_332010!L:R,7,FALSE),VLOOKUP(tables_332010!C116,input_332010!A:H,8,FALSE))</f>
        <v>1581</v>
      </c>
      <c r="P116" s="48">
        <f ca="1">O116/SUM(O:O)</f>
        <v>6.283783783783784E-4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input_332010!A$2</f>
        <v>332010</v>
      </c>
      <c r="B117" s="5">
        <v>241</v>
      </c>
      <c r="C117" s="7" t="str">
        <f>D117&amp;J117&amp;E117&amp;F117&amp;G117</f>
        <v>Premium3</v>
      </c>
      <c r="D117" s="7" t="str">
        <f>IF(I117="PremiumSS",I117,IF(I117="PremiumSSS",I117,IF(I117="PremiumW",I117,"Premium")))</f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7">
        <f ca="1">IFERROR(VLOOKUP(B117,input_332010!L:R,7,FALSE),VLOOKUP(tables_332010!C117,input_332010!A:H,8,FALSE))</f>
        <v>0</v>
      </c>
      <c r="P117" s="48">
        <f ca="1">O117/SUM(O:O)</f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input_332010!A$2</f>
        <v>332010</v>
      </c>
      <c r="B118" s="5">
        <v>242</v>
      </c>
      <c r="C118" s="7" t="str">
        <f>D118&amp;J118&amp;E118&amp;F118&amp;G118</f>
        <v>Premium4</v>
      </c>
      <c r="D118" s="7" t="str">
        <f>IF(I118="PremiumSS",I118,IF(I118="PremiumSSS",I118,IF(I118="PremiumW",I118,"Premium")))</f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7">
        <f ca="1">IFERROR(VLOOKUP(B118,input_332010!L:R,7,FALSE),VLOOKUP(tables_332010!C118,input_332010!A:H,8,FALSE))</f>
        <v>30039</v>
      </c>
      <c r="P118" s="48">
        <f ca="1">O118/SUM(O:O)</f>
        <v>1.193918918918919E-2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input_332010!A$2</f>
        <v>332010</v>
      </c>
      <c r="B119" s="5">
        <v>243</v>
      </c>
      <c r="C119" s="7" t="str">
        <f>D119&amp;J119&amp;E119&amp;F119&amp;G119</f>
        <v>Premium5</v>
      </c>
      <c r="D119" s="7" t="str">
        <f>IF(I119="PremiumSS",I119,IF(I119="PremiumSSS",I119,IF(I119="PremiumW",I119,"Premium")))</f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7">
        <f ca="1">IFERROR(VLOOKUP(B119,input_332010!L:R,7,FALSE),VLOOKUP(tables_332010!C119,input_332010!A:H,8,FALSE))</f>
        <v>1581</v>
      </c>
      <c r="P119" s="48">
        <f ca="1">O119/SUM(O:O)</f>
        <v>6.283783783783784E-4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input_332010!A$2</f>
        <v>332010</v>
      </c>
      <c r="B120" s="5">
        <v>244</v>
      </c>
      <c r="C120" s="7" t="str">
        <f>D120&amp;J120&amp;E120&amp;F120&amp;G120</f>
        <v>Premium3</v>
      </c>
      <c r="D120" s="7" t="str">
        <f>IF(I120="PremiumSS",I120,IF(I120="PremiumSSS",I120,IF(I120="PremiumW",I120,"Premium")))</f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7">
        <f ca="1">IFERROR(VLOOKUP(B120,input_332010!L:R,7,FALSE),VLOOKUP(tables_332010!C120,input_332010!A:H,8,FALSE))</f>
        <v>0</v>
      </c>
      <c r="P120" s="48">
        <f ca="1">O120/SUM(O:O)</f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input_332010!A$2</f>
        <v>332010</v>
      </c>
      <c r="B121" s="5">
        <v>245</v>
      </c>
      <c r="C121" s="7" t="str">
        <f>D121&amp;J121&amp;E121&amp;F121&amp;G121</f>
        <v>Premium4</v>
      </c>
      <c r="D121" s="7" t="str">
        <f>IF(I121="PremiumSS",I121,IF(I121="PremiumSSS",I121,IF(I121="PremiumW",I121,"Premium")))</f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7">
        <f ca="1">IFERROR(VLOOKUP(B121,input_332010!L:R,7,FALSE),VLOOKUP(tables_332010!C121,input_332010!A:H,8,FALSE))</f>
        <v>30039</v>
      </c>
      <c r="P121" s="48">
        <f ca="1">O121/SUM(O:O)</f>
        <v>1.193918918918919E-2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input_332010!A$2</f>
        <v>332010</v>
      </c>
      <c r="B122" s="5">
        <v>246</v>
      </c>
      <c r="C122" s="7" t="str">
        <f>D122&amp;J122&amp;E122&amp;F122&amp;G122</f>
        <v>Premium5</v>
      </c>
      <c r="D122" s="7" t="str">
        <f>IF(I122="PremiumSS",I122,IF(I122="PremiumSSS",I122,IF(I122="PremiumW",I122,"Premium")))</f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7">
        <f ca="1">IFERROR(VLOOKUP(B122,input_332010!L:R,7,FALSE),VLOOKUP(tables_332010!C122,input_332010!A:H,8,FALSE))</f>
        <v>1581</v>
      </c>
      <c r="P122" s="48">
        <f ca="1">O122/SUM(O:O)</f>
        <v>6.283783783783784E-4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input_332010!A$2</f>
        <v>332010</v>
      </c>
      <c r="B123" s="5">
        <v>247</v>
      </c>
      <c r="C123" s="7" t="str">
        <f>D123&amp;J123&amp;E123&amp;F123&amp;G123</f>
        <v>Premium3</v>
      </c>
      <c r="D123" s="7" t="str">
        <f>IF(I123="PremiumSS",I123,IF(I123="PremiumSSS",I123,IF(I123="PremiumW",I123,"Premium")))</f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7">
        <f ca="1">IFERROR(VLOOKUP(B123,input_332010!L:R,7,FALSE),VLOOKUP(tables_332010!C123,input_332010!A:H,8,FALSE))</f>
        <v>0</v>
      </c>
      <c r="P123" s="48">
        <f ca="1">O123/SUM(O:O)</f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input_332010!A$2</f>
        <v>332010</v>
      </c>
      <c r="B124" s="5">
        <v>248</v>
      </c>
      <c r="C124" s="7" t="str">
        <f>D124&amp;J124&amp;E124&amp;F124&amp;G124</f>
        <v>Premium4</v>
      </c>
      <c r="D124" s="7" t="str">
        <f>IF(I124="PremiumSS",I124,IF(I124="PremiumSSS",I124,IF(I124="PremiumW",I124,"Premium")))</f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7">
        <f ca="1">IFERROR(VLOOKUP(B124,input_332010!L:R,7,FALSE),VLOOKUP(tables_332010!C124,input_332010!A:H,8,FALSE))</f>
        <v>30039</v>
      </c>
      <c r="P124" s="48">
        <f ca="1">O124/SUM(O:O)</f>
        <v>1.193918918918919E-2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input_332010!A$2</f>
        <v>332010</v>
      </c>
      <c r="B125" s="6">
        <v>249</v>
      </c>
      <c r="C125" s="7" t="str">
        <f>D125&amp;J125&amp;E125&amp;F125&amp;G125</f>
        <v>Premium5</v>
      </c>
      <c r="D125" s="7" t="str">
        <f>IF(I125="PremiumSS",I125,IF(I125="PremiumSSS",I125,IF(I125="PremiumW",I125,"Premium")))</f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7">
        <f ca="1">IFERROR(VLOOKUP(B125,input_332010!L:R,7,FALSE),VLOOKUP(tables_332010!C125,input_332010!A:H,8,FALSE))</f>
        <v>1581</v>
      </c>
      <c r="P125" s="48">
        <f ca="1">O125/SUM(O:O)</f>
        <v>6.283783783783784E-4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input_332010!A$2</f>
        <v>332010</v>
      </c>
      <c r="B126" s="6">
        <v>250</v>
      </c>
      <c r="C126" s="7" t="str">
        <f>D126&amp;J126&amp;E126&amp;F126&amp;G126</f>
        <v>Premium3</v>
      </c>
      <c r="D126" s="7" t="str">
        <f>IF(I126="PremiumSS",I126,IF(I126="PremiumSSS",I126,IF(I126="PremiumW",I126,"Premium")))</f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7">
        <f ca="1">IFERROR(VLOOKUP(B126,input_332010!L:R,7,FALSE),VLOOKUP(tables_332010!C126,input_332010!A:H,8,FALSE))</f>
        <v>0</v>
      </c>
      <c r="P126" s="48">
        <f ca="1">O126/SUM(O:O)</f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input_332010!A$2</f>
        <v>332010</v>
      </c>
      <c r="B127" s="6">
        <v>251</v>
      </c>
      <c r="C127" s="7" t="str">
        <f>D127&amp;J127&amp;E127&amp;F127&amp;G127</f>
        <v>Premium4</v>
      </c>
      <c r="D127" s="7" t="str">
        <f>IF(I127="PremiumSS",I127,IF(I127="PremiumSSS",I127,IF(I127="PremiumW",I127,"Premium")))</f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7">
        <f ca="1">IFERROR(VLOOKUP(B127,input_332010!L:R,7,FALSE),VLOOKUP(tables_332010!C127,input_332010!A:H,8,FALSE))</f>
        <v>30039</v>
      </c>
      <c r="P127" s="48">
        <f ca="1">O127/SUM(O:O)</f>
        <v>1.193918918918919E-2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input_332010!A$2</f>
        <v>332010</v>
      </c>
      <c r="B128" s="6">
        <v>252</v>
      </c>
      <c r="C128" s="7" t="str">
        <f>D128&amp;J128&amp;E128&amp;F128&amp;G128</f>
        <v>Premium5</v>
      </c>
      <c r="D128" s="7" t="str">
        <f>IF(I128="PremiumSS",I128,IF(I128="PremiumSSS",I128,IF(I128="PremiumW",I128,"Premium")))</f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7">
        <f ca="1">IFERROR(VLOOKUP(B128,input_332010!L:R,7,FALSE),VLOOKUP(tables_332010!C128,input_332010!A:H,8,FALSE))</f>
        <v>1581</v>
      </c>
      <c r="P128" s="48">
        <f ca="1">O128/SUM(O:O)</f>
        <v>6.283783783783784E-4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input_332010!A$2</f>
        <v>332010</v>
      </c>
      <c r="B129" s="6">
        <v>253</v>
      </c>
      <c r="C129" s="7" t="str">
        <f>D129&amp;J129&amp;E129&amp;F129&amp;G129</f>
        <v>Premium3</v>
      </c>
      <c r="D129" s="7" t="str">
        <f>IF(I129="PremiumSS",I129,IF(I129="PremiumSSS",I129,IF(I129="PremiumW",I129,"Premium")))</f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7">
        <f ca="1">IFERROR(VLOOKUP(B129,input_332010!L:R,7,FALSE),VLOOKUP(tables_332010!C129,input_332010!A:H,8,FALSE))</f>
        <v>0</v>
      </c>
      <c r="P129" s="48">
        <f ca="1">O129/SUM(O:O)</f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input_332010!A$2</f>
        <v>332010</v>
      </c>
      <c r="B130" s="6">
        <v>254</v>
      </c>
      <c r="C130" s="7" t="str">
        <f>D130&amp;J130&amp;E130&amp;F130&amp;G130</f>
        <v>Premium4</v>
      </c>
      <c r="D130" s="7" t="str">
        <f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7">
        <f ca="1">IFERROR(VLOOKUP(B130,input_332010!L:R,7,FALSE),VLOOKUP(tables_332010!C130,input_332010!A:H,8,FALSE))</f>
        <v>30039</v>
      </c>
      <c r="P130" s="48">
        <f ca="1">O130/SUM(O:O)</f>
        <v>1.193918918918919E-2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input_332010!A$2</f>
        <v>332010</v>
      </c>
      <c r="B131" s="6">
        <v>255</v>
      </c>
      <c r="C131" s="7" t="str">
        <f>D131&amp;J131&amp;E131&amp;F131&amp;G131</f>
        <v>Premium5</v>
      </c>
      <c r="D131" s="7" t="str">
        <f>IF(I131="PremiumSS",I131,IF(I131="PremiumSSS",I131,IF(I131="PremiumW",I131,"Premium")))</f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7">
        <f ca="1">IFERROR(VLOOKUP(B131,input_332010!L:R,7,FALSE),VLOOKUP(tables_332010!C131,input_332010!A:H,8,FALSE))</f>
        <v>1581</v>
      </c>
      <c r="P131" s="48">
        <f ca="1">O131/SUM(O:O)</f>
        <v>6.283783783783784E-4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input_332010!A$2</f>
        <v>332010</v>
      </c>
      <c r="B132" s="6">
        <v>256</v>
      </c>
      <c r="C132" s="7" t="str">
        <f>D132&amp;J132&amp;E132&amp;F132&amp;G132</f>
        <v>Premium3</v>
      </c>
      <c r="D132" s="7" t="str">
        <f>IF(I132="PremiumSS",I132,IF(I132="PremiumSSS",I132,IF(I132="PremiumW",I132,"Premium")))</f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7">
        <f ca="1">IFERROR(VLOOKUP(B132,input_332010!L:R,7,FALSE),VLOOKUP(tables_332010!C132,input_332010!A:H,8,FALSE))</f>
        <v>0</v>
      </c>
      <c r="P132" s="48">
        <f ca="1">O132/SUM(O:O)</f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input_332010!A$2</f>
        <v>332010</v>
      </c>
      <c r="B133" s="6">
        <v>257</v>
      </c>
      <c r="C133" s="7" t="str">
        <f>D133&amp;J133&amp;E133&amp;F133&amp;G133</f>
        <v>Premium4</v>
      </c>
      <c r="D133" s="7" t="str">
        <f>IF(I133="PremiumSS",I133,IF(I133="PremiumSSS",I133,IF(I133="PremiumW",I133,"Premium")))</f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7">
        <f ca="1">IFERROR(VLOOKUP(B133,input_332010!L:R,7,FALSE),VLOOKUP(tables_332010!C133,input_332010!A:H,8,FALSE))</f>
        <v>30039</v>
      </c>
      <c r="P133" s="48">
        <f ca="1">O133/SUM(O:O)</f>
        <v>1.193918918918919E-2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input_332010!A$2</f>
        <v>332010</v>
      </c>
      <c r="B134" s="6">
        <v>258</v>
      </c>
      <c r="C134" s="7" t="str">
        <f>D134&amp;J134&amp;E134&amp;F134&amp;G134</f>
        <v>Premium5</v>
      </c>
      <c r="D134" s="7" t="str">
        <f>IF(I134="PremiumSS",I134,IF(I134="PremiumSSS",I134,IF(I134="PremiumW",I134,"Premium")))</f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7">
        <f ca="1">IFERROR(VLOOKUP(B134,input_332010!L:R,7,FALSE),VLOOKUP(tables_332010!C134,input_332010!A:H,8,FALSE))</f>
        <v>1581</v>
      </c>
      <c r="P134" s="48">
        <f ca="1">O134/SUM(O:O)</f>
        <v>6.283783783783784E-4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input_332010!A$2</f>
        <v>332010</v>
      </c>
      <c r="B135" s="6">
        <v>259</v>
      </c>
      <c r="C135" s="7" t="str">
        <f>D135&amp;J135&amp;E135&amp;F135&amp;G135</f>
        <v>Premium3</v>
      </c>
      <c r="D135" s="7" t="str">
        <f>IF(I135="PremiumSS",I135,IF(I135="PremiumSSS",I135,IF(I135="PremiumW",I135,"Premium")))</f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7">
        <f ca="1">IFERROR(VLOOKUP(B135,input_332010!L:R,7,FALSE),VLOOKUP(tables_332010!C135,input_332010!A:H,8,FALSE))</f>
        <v>0</v>
      </c>
      <c r="P135" s="48">
        <f ca="1">O135/SUM(O:O)</f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input_332010!A$2</f>
        <v>332010</v>
      </c>
      <c r="B136" s="8">
        <v>260</v>
      </c>
      <c r="C136" s="7" t="str">
        <f>D136&amp;J136&amp;E136&amp;F136&amp;G136</f>
        <v>Premium4</v>
      </c>
      <c r="D136" s="7" t="str">
        <f>IF(I136="PremiumSS",I136,IF(I136="PremiumSSS",I136,IF(I136="PremiumW",I136,"Premium")))</f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7">
        <f ca="1">IFERROR(VLOOKUP(B136,input_332010!L:R,7,FALSE),VLOOKUP(tables_332010!C136,input_332010!A:H,8,FALSE))</f>
        <v>30039</v>
      </c>
      <c r="P136" s="48">
        <f ca="1">O136/SUM(O:O)</f>
        <v>1.193918918918919E-2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input_332010!A$2</f>
        <v>332010</v>
      </c>
      <c r="B137" s="8">
        <v>261</v>
      </c>
      <c r="C137" s="7" t="str">
        <f>D137&amp;J137&amp;E137&amp;F137&amp;G137</f>
        <v>Premium5</v>
      </c>
      <c r="D137" s="7" t="str">
        <f>IF(I137="PremiumSS",I137,IF(I137="PremiumSSS",I137,IF(I137="PremiumW",I137,"Premium")))</f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7">
        <f ca="1">IFERROR(VLOOKUP(B137,input_332010!L:R,7,FALSE),VLOOKUP(tables_332010!C137,input_332010!A:H,8,FALSE))</f>
        <v>1581</v>
      </c>
      <c r="P137" s="48">
        <f ca="1">O137/SUM(O:O)</f>
        <v>6.283783783783784E-4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input_332010!A$2</f>
        <v>332010</v>
      </c>
      <c r="B138" s="6">
        <v>320</v>
      </c>
      <c r="C138" s="7" t="str">
        <f>D138&amp;J138&amp;E138&amp;F138&amp;G138</f>
        <v>PremiumSS4</v>
      </c>
      <c r="D138" s="7" t="str">
        <f>IF(I138="PremiumSS",I138,IF(I138="PremiumSSS",I138,IF(I138="PremiumW",I138,"Premium")))</f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7">
        <f ca="1">IFERROR(VLOOKUP(B138,input_332010!L:R,7,FALSE),VLOOKUP(tables_332010!C138,input_332010!A:H,8,FALSE))</f>
        <v>4218</v>
      </c>
      <c r="P138" s="48">
        <f ca="1">O138/SUM(O:O)</f>
        <v>1.676470588235294E-3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input_332010!A$2</f>
        <v>332010</v>
      </c>
      <c r="B139" s="6">
        <v>321</v>
      </c>
      <c r="C139" s="7" t="str">
        <f>D139&amp;J139&amp;E139&amp;F139&amp;G139</f>
        <v>PremiumSS5</v>
      </c>
      <c r="D139" s="7" t="str">
        <f>IF(I139="PremiumSS",I139,IF(I139="PremiumSSS",I139,IF(I139="PremiumW",I139,"Premium")))</f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7">
        <f ca="1">IFERROR(VLOOKUP(B139,input_332010!L:R,7,FALSE),VLOOKUP(tables_332010!C139,input_332010!A:H,8,FALSE))</f>
        <v>222</v>
      </c>
      <c r="P139" s="48">
        <f ca="1">O139/SUM(O:O)</f>
        <v>8.8235294117647065E-5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input_332010!A$2</f>
        <v>332010</v>
      </c>
      <c r="B140" s="6">
        <v>322</v>
      </c>
      <c r="C140" s="7" t="str">
        <f>D140&amp;J140&amp;E140&amp;F140&amp;G140</f>
        <v>PremiumSS4</v>
      </c>
      <c r="D140" s="7" t="str">
        <f>IF(I140="PremiumSS",I140,IF(I140="PremiumSSS",I140,IF(I140="PremiumW",I140,"Premium")))</f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7">
        <f ca="1">IFERROR(VLOOKUP(B140,input_332010!L:R,7,FALSE),VLOOKUP(tables_332010!C140,input_332010!A:H,8,FALSE))</f>
        <v>4218</v>
      </c>
      <c r="P140" s="48">
        <f ca="1">O140/SUM(O:O)</f>
        <v>1.676470588235294E-3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input_332010!A$2</f>
        <v>332010</v>
      </c>
      <c r="B141" s="6">
        <v>323</v>
      </c>
      <c r="C141" s="7" t="str">
        <f>D141&amp;J141&amp;E141&amp;F141&amp;G141</f>
        <v>PremiumSS5</v>
      </c>
      <c r="D141" s="7" t="str">
        <f>IF(I141="PremiumSS",I141,IF(I141="PremiumSSS",I141,IF(I141="PremiumW",I141,"Premium")))</f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7">
        <f ca="1">IFERROR(VLOOKUP(B141,input_332010!L:R,7,FALSE),VLOOKUP(tables_332010!C141,input_332010!A:H,8,FALSE))</f>
        <v>222</v>
      </c>
      <c r="P141" s="48">
        <f ca="1">O141/SUM(O:O)</f>
        <v>8.8235294117647065E-5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input_332010!A$2</f>
        <v>332010</v>
      </c>
      <c r="B142" s="6">
        <v>324</v>
      </c>
      <c r="C142" s="7" t="str">
        <f>D142&amp;J142&amp;E142&amp;F142&amp;G142</f>
        <v>PremiumSS4</v>
      </c>
      <c r="D142" s="7" t="str">
        <f>IF(I142="PremiumSS",I142,IF(I142="PremiumSSS",I142,IF(I142="PremiumW",I142,"Premium")))</f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7">
        <f ca="1">IFERROR(VLOOKUP(B142,input_332010!L:R,7,FALSE),VLOOKUP(tables_332010!C142,input_332010!A:H,8,FALSE))</f>
        <v>4218</v>
      </c>
      <c r="P142" s="48">
        <f ca="1">O142/SUM(O:O)</f>
        <v>1.676470588235294E-3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input_332010!A$2</f>
        <v>332010</v>
      </c>
      <c r="B143" s="6">
        <v>325</v>
      </c>
      <c r="C143" s="7" t="str">
        <f>D143&amp;J143&amp;E143&amp;F143&amp;G143</f>
        <v>PremiumSS5</v>
      </c>
      <c r="D143" s="7" t="str">
        <f>IF(I143="PremiumSS",I143,IF(I143="PremiumSSS",I143,IF(I143="PremiumW",I143,"Premium")))</f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7">
        <f ca="1">IFERROR(VLOOKUP(B143,input_332010!L:R,7,FALSE),VLOOKUP(tables_332010!C143,input_332010!A:H,8,FALSE))</f>
        <v>222</v>
      </c>
      <c r="P143" s="48">
        <f ca="1">O143/SUM(O:O)</f>
        <v>8.8235294117647065E-5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input_332010!A$2</f>
        <v>332010</v>
      </c>
      <c r="B144" s="6">
        <v>326</v>
      </c>
      <c r="C144" s="7" t="str">
        <f>D144&amp;J144&amp;E144&amp;F144&amp;G144</f>
        <v>PremiumSS4</v>
      </c>
      <c r="D144" s="7" t="str">
        <f>IF(I144="PremiumSS",I144,IF(I144="PremiumSSS",I144,IF(I144="PremiumW",I144,"Premium")))</f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7">
        <f ca="1">IFERROR(VLOOKUP(B144,input_332010!L:R,7,FALSE),VLOOKUP(tables_332010!C144,input_332010!A:H,8,FALSE))</f>
        <v>4218</v>
      </c>
      <c r="P144" s="48">
        <f ca="1">O144/SUM(O:O)</f>
        <v>1.676470588235294E-3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input_332010!A$2</f>
        <v>332010</v>
      </c>
      <c r="B145" s="6">
        <v>327</v>
      </c>
      <c r="C145" s="7" t="str">
        <f>D145&amp;J145&amp;E145&amp;F145&amp;G145</f>
        <v>PremiumSS5</v>
      </c>
      <c r="D145" s="7" t="str">
        <f>IF(I145="PremiumSS",I145,IF(I145="PremiumSSS",I145,IF(I145="PremiumW",I145,"Premium")))</f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7">
        <f ca="1">IFERROR(VLOOKUP(B145,input_332010!L:R,7,FALSE),VLOOKUP(tables_332010!C145,input_332010!A:H,8,FALSE))</f>
        <v>222</v>
      </c>
      <c r="P145" s="48">
        <f ca="1">O145/SUM(O:O)</f>
        <v>8.8235294117647065E-5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input_332010!A$2</f>
        <v>332010</v>
      </c>
      <c r="B146" s="6">
        <v>380</v>
      </c>
      <c r="C146" s="7" t="str">
        <f>D146&amp;J146&amp;E146&amp;F146&amp;G146</f>
        <v>Premium3</v>
      </c>
      <c r="D146" s="7" t="str">
        <f>IF(I146="PremiumSS",I146,IF(I146="PremiumSSS",I146,IF(I146="PremiumW",I146,"Premium")))</f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7">
        <f ca="1">IFERROR(VLOOKUP(B146,input_332010!L:R,7,FALSE),VLOOKUP(tables_332010!C146,input_332010!A:H,8,FALSE))</f>
        <v>0</v>
      </c>
      <c r="P146" s="48">
        <f ca="1">O146/SUM(O:O)</f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input_332010!A$2</f>
        <v>332010</v>
      </c>
      <c r="B147" s="6">
        <v>381</v>
      </c>
      <c r="C147" s="7" t="str">
        <f>D147&amp;J147&amp;E147&amp;F147&amp;G147</f>
        <v>Premium4</v>
      </c>
      <c r="D147" s="7" t="str">
        <f>IF(I147="PremiumSS",I147,IF(I147="PremiumSSS",I147,IF(I147="PremiumW",I147,"Premium")))</f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7">
        <f ca="1">IFERROR(VLOOKUP(B147,input_332010!L:R,7,FALSE),VLOOKUP(tables_332010!C147,input_332010!A:H,8,FALSE))</f>
        <v>30039</v>
      </c>
      <c r="P147" s="48">
        <f ca="1">O147/SUM(O:O)</f>
        <v>1.193918918918919E-2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input_332010!A$2</f>
        <v>332010</v>
      </c>
      <c r="B148" s="6">
        <v>382</v>
      </c>
      <c r="C148" s="7" t="str">
        <f>D148&amp;J148&amp;E148&amp;F148&amp;G148</f>
        <v>Premium5</v>
      </c>
      <c r="D148" s="7" t="str">
        <f>IF(I148="PremiumSS",I148,IF(I148="PremiumSSS",I148,IF(I148="PremiumW",I148,"Premium")))</f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7">
        <f ca="1">IFERROR(VLOOKUP(B148,input_332010!L:R,7,FALSE),VLOOKUP(tables_332010!C148,input_332010!A:H,8,FALSE))</f>
        <v>1581</v>
      </c>
      <c r="P148" s="48">
        <f ca="1">O148/SUM(O:O)</f>
        <v>6.283783783783784E-4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input_332010!A$2</f>
        <v>332010</v>
      </c>
      <c r="B149" s="6">
        <v>383</v>
      </c>
      <c r="C149" s="7" t="str">
        <f>D149&amp;J149&amp;E149&amp;F149&amp;G149</f>
        <v>PremiumSS4</v>
      </c>
      <c r="D149" s="7" t="str">
        <f>IF(I149="PremiumSS",I149,IF(I149="PremiumSSS",I149,IF(I149="PremiumW",I149,"Premium")))</f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7">
        <f ca="1">IFERROR(VLOOKUP(B149,input_332010!L:R,7,FALSE),VLOOKUP(tables_332010!C149,input_332010!A:H,8,FALSE))</f>
        <v>4218</v>
      </c>
      <c r="P149" s="48">
        <f ca="1">O149/SUM(O:O)</f>
        <v>1.676470588235294E-3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input_332010!A$2</f>
        <v>332010</v>
      </c>
      <c r="B150" s="6">
        <v>384</v>
      </c>
      <c r="C150" s="7" t="str">
        <f>D150&amp;J150&amp;E150&amp;F150&amp;G150</f>
        <v>PremiumSS5</v>
      </c>
      <c r="D150" s="7" t="str">
        <f>IF(I150="PremiumSS",I150,IF(I150="PremiumSSS",I150,IF(I150="PremiumW",I150,"Premium")))</f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7">
        <f ca="1">IFERROR(VLOOKUP(B150,input_332010!L:R,7,FALSE),VLOOKUP(tables_332010!C150,input_332010!A:H,8,FALSE))</f>
        <v>222</v>
      </c>
      <c r="P150" s="48">
        <f ca="1">O150/SUM(O:O)</f>
        <v>8.8235294117647065E-5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input_332010!A$2</f>
        <v>332010</v>
      </c>
      <c r="B151" s="6">
        <v>385</v>
      </c>
      <c r="C151" s="7" t="str">
        <f>D151&amp;J151&amp;E151&amp;F151&amp;G151</f>
        <v>PremiumSS4</v>
      </c>
      <c r="D151" s="7" t="str">
        <f>IF(I151="PremiumSS",I151,IF(I151="PremiumSSS",I151,IF(I151="PremiumW",I151,"Premium")))</f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7">
        <f ca="1">IFERROR(VLOOKUP(B151,input_332010!L:R,7,FALSE),VLOOKUP(tables_332010!C151,input_332010!A:H,8,FALSE))</f>
        <v>4218</v>
      </c>
      <c r="P151" s="48">
        <f ca="1">O151/SUM(O:O)</f>
        <v>1.676470588235294E-3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input_332010!A$2</f>
        <v>332010</v>
      </c>
      <c r="B152" s="6">
        <v>386</v>
      </c>
      <c r="C152" s="7" t="str">
        <f>D152&amp;J152&amp;E152&amp;F152&amp;G152</f>
        <v>PremiumSS5</v>
      </c>
      <c r="D152" s="7" t="str">
        <f>IF(I152="PremiumSS",I152,IF(I152="PremiumSSS",I152,IF(I152="PremiumW",I152,"Premium")))</f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7">
        <f ca="1">IFERROR(VLOOKUP(B152,input_332010!L:R,7,FALSE),VLOOKUP(tables_332010!C152,input_332010!A:H,8,FALSE))</f>
        <v>222</v>
      </c>
      <c r="P152" s="48">
        <f ca="1">O152/SUM(O:O)</f>
        <v>8.8235294117647065E-5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input_332010!A$2</f>
        <v>332010</v>
      </c>
      <c r="B153" s="6">
        <v>387</v>
      </c>
      <c r="C153" s="7" t="str">
        <f>D153&amp;J153&amp;E153&amp;F153&amp;G153</f>
        <v>Premium3</v>
      </c>
      <c r="D153" s="7" t="str">
        <f>IF(I153="PremiumSS",I153,IF(I153="PremiumSSS",I153,IF(I153="PremiumW",I153,"Premium")))</f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7">
        <f ca="1">IFERROR(VLOOKUP(B153,input_332010!L:R,7,FALSE),VLOOKUP(tables_332010!C153,input_332010!A:H,8,FALSE))</f>
        <v>0</v>
      </c>
      <c r="P153" s="48">
        <f ca="1">O153/SUM(O:O)</f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input_332010!A$2</f>
        <v>332010</v>
      </c>
      <c r="B154" s="6">
        <v>388</v>
      </c>
      <c r="C154" s="7" t="str">
        <f>D154&amp;J154&amp;E154&amp;F154&amp;G154</f>
        <v>Premium4</v>
      </c>
      <c r="D154" s="7" t="str">
        <f>IF(I154="PremiumSS",I154,IF(I154="PremiumSSS",I154,IF(I154="PremiumW",I154,"Premium")))</f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7">
        <f ca="1">IFERROR(VLOOKUP(B154,input_332010!L:R,7,FALSE),VLOOKUP(tables_332010!C154,input_332010!A:H,8,FALSE))</f>
        <v>30039</v>
      </c>
      <c r="P154" s="48">
        <f ca="1">O154/SUM(O:O)</f>
        <v>1.193918918918919E-2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input_332010!A$2</f>
        <v>332010</v>
      </c>
      <c r="B155" s="6">
        <v>389</v>
      </c>
      <c r="C155" s="7" t="str">
        <f>D155&amp;J155&amp;E155&amp;F155&amp;G155</f>
        <v>Premium5</v>
      </c>
      <c r="D155" s="7" t="str">
        <f>IF(I155="PremiumSS",I155,IF(I155="PremiumSSS",I155,IF(I155="PremiumW",I155,"Premium")))</f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7">
        <f ca="1">IFERROR(VLOOKUP(B155,input_332010!L:R,7,FALSE),VLOOKUP(tables_332010!C155,input_332010!A:H,8,FALSE))</f>
        <v>1581</v>
      </c>
      <c r="P155" s="48">
        <f ca="1">O155/SUM(O:O)</f>
        <v>6.283783783783784E-4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input_332010!A$2</f>
        <v>332010</v>
      </c>
      <c r="B156" s="6">
        <v>390</v>
      </c>
      <c r="C156" s="7" t="str">
        <f>D156&amp;J156&amp;E156&amp;F156&amp;G156</f>
        <v>PremiumSS4</v>
      </c>
      <c r="D156" s="7" t="str">
        <f>IF(I156="PremiumSS",I156,IF(I156="PremiumSSS",I156,IF(I156="PremiumW",I156,"Premium")))</f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7">
        <f ca="1">IFERROR(VLOOKUP(B156,input_332010!L:R,7,FALSE),VLOOKUP(tables_332010!C156,input_332010!A:H,8,FALSE))</f>
        <v>4218</v>
      </c>
      <c r="P156" s="48">
        <f ca="1">O156/SUM(O:O)</f>
        <v>1.676470588235294E-3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input_332010!A$2</f>
        <v>332010</v>
      </c>
      <c r="B157" s="6">
        <v>391</v>
      </c>
      <c r="C157" s="7" t="str">
        <f>D157&amp;J157&amp;E157&amp;F157&amp;G157</f>
        <v>PremiumSS5</v>
      </c>
      <c r="D157" s="7" t="str">
        <f>IF(I157="PremiumSS",I157,IF(I157="PremiumSSS",I157,IF(I157="PremiumW",I157,"Premium")))</f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7">
        <f ca="1">IFERROR(VLOOKUP(B157,input_332010!L:R,7,FALSE),VLOOKUP(tables_332010!C157,input_332010!A:H,8,FALSE))</f>
        <v>222</v>
      </c>
      <c r="P157" s="48">
        <f ca="1">O157/SUM(O:O)</f>
        <v>8.8235294117647065E-5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input_332010!A$2</f>
        <v>332010</v>
      </c>
      <c r="B158" s="6">
        <v>392</v>
      </c>
      <c r="C158" s="7" t="str">
        <f>D158&amp;J158&amp;E158&amp;F158&amp;G158</f>
        <v>Premium3</v>
      </c>
      <c r="D158" s="7" t="str">
        <f>IF(I158="PremiumSS",I158,IF(I158="PremiumSSS",I158,IF(I158="PremiumW",I158,"Premium")))</f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7">
        <f ca="1">IFERROR(VLOOKUP(B158,input_332010!L:R,7,FALSE),VLOOKUP(tables_332010!C158,input_332010!A:H,8,FALSE))</f>
        <v>0</v>
      </c>
      <c r="P158" s="48">
        <f ca="1">O158/SUM(O:O)</f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input_332010!A$2</f>
        <v>332010</v>
      </c>
      <c r="B159" s="6">
        <v>393</v>
      </c>
      <c r="C159" s="7" t="str">
        <f>D159&amp;J159&amp;E159&amp;F159&amp;G159</f>
        <v>Premium4</v>
      </c>
      <c r="D159" s="7" t="str">
        <f>IF(I159="PremiumSS",I159,IF(I159="PremiumSSS",I159,IF(I159="PremiumW",I159,"Premium")))</f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7">
        <f ca="1">IFERROR(VLOOKUP(B159,input_332010!L:R,7,FALSE),VLOOKUP(tables_332010!C159,input_332010!A:H,8,FALSE))</f>
        <v>30039</v>
      </c>
      <c r="P159" s="48">
        <f ca="1">O159/SUM(O:O)</f>
        <v>1.193918918918919E-2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input_332010!A$2</f>
        <v>332010</v>
      </c>
      <c r="B160" s="6">
        <v>394</v>
      </c>
      <c r="C160" s="7" t="str">
        <f>D160&amp;J160&amp;E160&amp;F160&amp;G160</f>
        <v>Premium5</v>
      </c>
      <c r="D160" s="7" t="str">
        <f>IF(I160="PremiumSS",I160,IF(I160="PremiumSSS",I160,IF(I160="PremiumW",I160,"Premium")))</f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7">
        <f ca="1">IFERROR(VLOOKUP(B160,input_332010!L:R,7,FALSE),VLOOKUP(tables_332010!C160,input_332010!A:H,8,FALSE))</f>
        <v>1581</v>
      </c>
      <c r="P160" s="48">
        <f ca="1">O160/SUM(O:O)</f>
        <v>6.283783783783784E-4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input_332010!A$2</f>
        <v>332010</v>
      </c>
      <c r="B161" s="6">
        <v>395</v>
      </c>
      <c r="C161" s="7" t="str">
        <f>D161&amp;J161&amp;E161&amp;F161&amp;G161</f>
        <v>Premium3</v>
      </c>
      <c r="D161" s="7" t="str">
        <f>IF(I161="PremiumSS",I161,IF(I161="PremiumSSS",I161,IF(I161="PremiumW",I161,"Premium")))</f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7">
        <f ca="1">IFERROR(VLOOKUP(B161,input_332010!L:R,7,FALSE),VLOOKUP(tables_332010!C161,input_332010!A:H,8,FALSE))</f>
        <v>0</v>
      </c>
      <c r="P161" s="48">
        <f ca="1">O161/SUM(O:O)</f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input_332010!A$2</f>
        <v>332010</v>
      </c>
      <c r="B162" s="6">
        <v>396</v>
      </c>
      <c r="C162" s="7" t="str">
        <f>D162&amp;J162&amp;E162&amp;F162&amp;G162</f>
        <v>Premium4</v>
      </c>
      <c r="D162" s="7" t="str">
        <f>IF(I162="PremiumSS",I162,IF(I162="PremiumSSS",I162,IF(I162="PremiumW",I162,"Premium")))</f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7">
        <f ca="1">IFERROR(VLOOKUP(B162,input_332010!L:R,7,FALSE),VLOOKUP(tables_332010!C162,input_332010!A:H,8,FALSE))</f>
        <v>30039</v>
      </c>
      <c r="P162" s="48">
        <f ca="1">O162/SUM(O:O)</f>
        <v>1.193918918918919E-2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input_332010!A$2</f>
        <v>332010</v>
      </c>
      <c r="B163" s="6">
        <v>397</v>
      </c>
      <c r="C163" s="7" t="str">
        <f>D163&amp;J163&amp;E163&amp;F163&amp;G163</f>
        <v>Premium5</v>
      </c>
      <c r="D163" s="7" t="str">
        <f>IF(I163="PremiumSS",I163,IF(I163="PremiumSSS",I163,IF(I163="PremiumW",I163,"Premium")))</f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7">
        <f ca="1">IFERROR(VLOOKUP(B163,input_332010!L:R,7,FALSE),VLOOKUP(tables_332010!C163,input_332010!A:H,8,FALSE))</f>
        <v>1581</v>
      </c>
      <c r="P163" s="48">
        <f ca="1">O163/SUM(O:O)</f>
        <v>6.283783783783784E-4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input_332010!A$2</f>
        <v>332010</v>
      </c>
      <c r="B164" s="6">
        <v>398</v>
      </c>
      <c r="C164" s="7" t="str">
        <f>D164&amp;J164&amp;E164&amp;F164&amp;G164</f>
        <v>PremiumSS4</v>
      </c>
      <c r="D164" s="7" t="str">
        <f>IF(I164="PremiumSS",I164,IF(I164="PremiumSSS",I164,IF(I164="PremiumW",I164,"Premium")))</f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7">
        <f ca="1">IFERROR(VLOOKUP(B164,input_332010!L:R,7,FALSE),VLOOKUP(tables_332010!C164,input_332010!A:H,8,FALSE))</f>
        <v>4218</v>
      </c>
      <c r="P164" s="48">
        <f ca="1">O164/SUM(O:O)</f>
        <v>1.676470588235294E-3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input_332010!A$2</f>
        <v>332010</v>
      </c>
      <c r="B165" s="6">
        <v>399</v>
      </c>
      <c r="C165" s="7" t="str">
        <f>D165&amp;J165&amp;E165&amp;F165&amp;G165</f>
        <v>PremiumSS5</v>
      </c>
      <c r="D165" s="7" t="str">
        <f>IF(I165="PremiumSS",I165,IF(I165="PremiumSSS",I165,IF(I165="PremiumW",I165,"Premium")))</f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7">
        <f ca="1">IFERROR(VLOOKUP(B165,input_332010!L:R,7,FALSE),VLOOKUP(tables_332010!C165,input_332010!A:H,8,FALSE))</f>
        <v>222</v>
      </c>
      <c r="P165" s="48">
        <f ca="1">O165/SUM(O:O)</f>
        <v>8.8235294117647065E-5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input_332010!A$2</f>
        <v>332010</v>
      </c>
      <c r="B166" s="6">
        <v>400</v>
      </c>
      <c r="C166" s="7" t="str">
        <f>D166&amp;J166&amp;E166&amp;F166&amp;G166</f>
        <v>Premium3</v>
      </c>
      <c r="D166" s="7" t="str">
        <f>IF(I166="PremiumSS",I166,IF(I166="PremiumSSS",I166,IF(I166="PremiumW",I166,"Premium")))</f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7">
        <f ca="1">IFERROR(VLOOKUP(B166,input_332010!L:R,7,FALSE),VLOOKUP(tables_332010!C166,input_332010!A:H,8,FALSE))</f>
        <v>0</v>
      </c>
      <c r="P166" s="48">
        <f ca="1">O166/SUM(O:O)</f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input_332010!A$2</f>
        <v>332010</v>
      </c>
      <c r="B167" s="6">
        <v>401</v>
      </c>
      <c r="C167" s="7" t="str">
        <f>D167&amp;J167&amp;E167&amp;F167&amp;G167</f>
        <v>Premium4</v>
      </c>
      <c r="D167" s="7" t="str">
        <f>IF(I167="PremiumSS",I167,IF(I167="PremiumSSS",I167,IF(I167="PremiumW",I167,"Premium")))</f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7">
        <f ca="1">IFERROR(VLOOKUP(B167,input_332010!L:R,7,FALSE),VLOOKUP(tables_332010!C167,input_332010!A:H,8,FALSE))</f>
        <v>30039</v>
      </c>
      <c r="P167" s="48">
        <f ca="1">O167/SUM(O:O)</f>
        <v>1.193918918918919E-2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input_332010!A$2</f>
        <v>332010</v>
      </c>
      <c r="B168" s="6">
        <v>402</v>
      </c>
      <c r="C168" s="7" t="str">
        <f>D168&amp;J168&amp;E168&amp;F168&amp;G168</f>
        <v>Premium5</v>
      </c>
      <c r="D168" s="7" t="str">
        <f>IF(I168="PremiumSS",I168,IF(I168="PremiumSSS",I168,IF(I168="PremiumW",I168,"Premium")))</f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7">
        <f ca="1">IFERROR(VLOOKUP(B168,input_332010!L:R,7,FALSE),VLOOKUP(tables_332010!C168,input_332010!A:H,8,FALSE))</f>
        <v>1581</v>
      </c>
      <c r="P168" s="48">
        <f ca="1">O168/SUM(O:O)</f>
        <v>6.283783783783784E-4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input_332010!A$2</f>
        <v>332010</v>
      </c>
      <c r="B169" s="6">
        <v>403</v>
      </c>
      <c r="C169" s="7" t="str">
        <f>D169&amp;J169&amp;E169&amp;F169&amp;G169</f>
        <v>PremiumSS4</v>
      </c>
      <c r="D169" s="7" t="str">
        <f>IF(I169="PremiumSS",I169,IF(I169="PremiumSSS",I169,IF(I169="PremiumW",I169,"Premium")))</f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7">
        <f ca="1">IFERROR(VLOOKUP(B169,input_332010!L:R,7,FALSE),VLOOKUP(tables_332010!C169,input_332010!A:H,8,FALSE))</f>
        <v>4218</v>
      </c>
      <c r="P169" s="48">
        <f ca="1">O169/SUM(O:O)</f>
        <v>1.676470588235294E-3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input_332010!A$2</f>
        <v>332010</v>
      </c>
      <c r="B170" s="6">
        <v>404</v>
      </c>
      <c r="C170" s="7" t="str">
        <f>D170&amp;J170&amp;E170&amp;F170&amp;G170</f>
        <v>PremiumSS5</v>
      </c>
      <c r="D170" s="7" t="str">
        <f>IF(I170="PremiumSS",I170,IF(I170="PremiumSSS",I170,IF(I170="PremiumW",I170,"Premium")))</f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7">
        <f ca="1">IFERROR(VLOOKUP(B170,input_332010!L:R,7,FALSE),VLOOKUP(tables_332010!C170,input_332010!A:H,8,FALSE))</f>
        <v>222</v>
      </c>
      <c r="P170" s="48">
        <f ca="1">O170/SUM(O:O)</f>
        <v>8.8235294117647065E-5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input_332010!A$2</f>
        <v>332010</v>
      </c>
      <c r="B171" s="6">
        <v>405</v>
      </c>
      <c r="C171" s="7" t="str">
        <f>D171&amp;J171&amp;E171&amp;F171&amp;G171</f>
        <v>Premium3</v>
      </c>
      <c r="D171" s="7" t="str">
        <f>IF(I171="PremiumSS",I171,IF(I171="PremiumSSS",I171,IF(I171="PremiumW",I171,"Premium")))</f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7">
        <f ca="1">IFERROR(VLOOKUP(B171,input_332010!L:R,7,FALSE),VLOOKUP(tables_332010!C171,input_332010!A:H,8,FALSE))</f>
        <v>0</v>
      </c>
      <c r="P171" s="48">
        <f ca="1">O171/SUM(O:O)</f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input_332010!A$2</f>
        <v>332010</v>
      </c>
      <c r="B172" s="6">
        <v>406</v>
      </c>
      <c r="C172" s="7" t="str">
        <f>D172&amp;J172&amp;E172&amp;F172&amp;G172</f>
        <v>Premium4</v>
      </c>
      <c r="D172" s="7" t="str">
        <f>IF(I172="PremiumSS",I172,IF(I172="PremiumSSS",I172,IF(I172="PremiumW",I172,"Premium")))</f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7">
        <f ca="1">IFERROR(VLOOKUP(B172,input_332010!L:R,7,FALSE),VLOOKUP(tables_332010!C172,input_332010!A:H,8,FALSE))</f>
        <v>30039</v>
      </c>
      <c r="P172" s="48">
        <f ca="1">O172/SUM(O:O)</f>
        <v>1.193918918918919E-2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input_332010!A$2</f>
        <v>332010</v>
      </c>
      <c r="B173" s="6">
        <v>407</v>
      </c>
      <c r="C173" s="7" t="str">
        <f>D173&amp;J173&amp;E173&amp;F173&amp;G173</f>
        <v>Premium5</v>
      </c>
      <c r="D173" s="7" t="str">
        <f>IF(I173="PremiumSS",I173,IF(I173="PremiumSSS",I173,IF(I173="PremiumW",I173,"Premium")))</f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7">
        <f ca="1">IFERROR(VLOOKUP(B173,input_332010!L:R,7,FALSE),VLOOKUP(tables_332010!C173,input_332010!A:H,8,FALSE))</f>
        <v>1581</v>
      </c>
      <c r="P173" s="48">
        <f ca="1">O173/SUM(O:O)</f>
        <v>6.283783783783784E-4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input_332010!A$2</f>
        <v>332010</v>
      </c>
      <c r="B174" s="6">
        <v>408</v>
      </c>
      <c r="C174" s="7" t="str">
        <f>D174&amp;J174&amp;E174&amp;F174&amp;G174</f>
        <v>PremiumSS4</v>
      </c>
      <c r="D174" s="7" t="str">
        <f>IF(I174="PremiumSS",I174,IF(I174="PremiumSSS",I174,IF(I174="PremiumW",I174,"Premium")))</f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7">
        <f ca="1">IFERROR(VLOOKUP(B174,input_332010!L:R,7,FALSE),VLOOKUP(tables_332010!C174,input_332010!A:H,8,FALSE))</f>
        <v>4218</v>
      </c>
      <c r="P174" s="48">
        <f ca="1">O174/SUM(O:O)</f>
        <v>1.676470588235294E-3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input_332010!A$2</f>
        <v>332010</v>
      </c>
      <c r="B175" s="6">
        <v>409</v>
      </c>
      <c r="C175" s="7" t="str">
        <f>D175&amp;J175&amp;E175&amp;F175&amp;G175</f>
        <v>PremiumSS5</v>
      </c>
      <c r="D175" s="7" t="str">
        <f>IF(I175="PremiumSS",I175,IF(I175="PremiumSSS",I175,IF(I175="PremiumW",I175,"Premium")))</f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7">
        <f ca="1">IFERROR(VLOOKUP(B175,input_332010!L:R,7,FALSE),VLOOKUP(tables_332010!C175,input_332010!A:H,8,FALSE))</f>
        <v>222</v>
      </c>
      <c r="P175" s="48">
        <f ca="1">O175/SUM(O:O)</f>
        <v>8.8235294117647065E-5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input_332010!A$2</f>
        <v>332010</v>
      </c>
      <c r="B176" s="6">
        <v>434</v>
      </c>
      <c r="C176" s="7" t="str">
        <f>D176&amp;J176&amp;E176&amp;F176&amp;G176</f>
        <v>PremiumSS4</v>
      </c>
      <c r="D176" s="7" t="str">
        <f>IF(I176="PremiumSS",I176,IF(I176="PremiumSSS",I176,IF(I176="PremiumW",I176,"Premium")))</f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7">
        <f ca="1">IFERROR(VLOOKUP(B176,input_332010!L:R,7,FALSE),VLOOKUP(tables_332010!C176,input_332010!A:H,8,FALSE))</f>
        <v>4218</v>
      </c>
      <c r="P176" s="48">
        <f ca="1">O176/SUM(O:O)</f>
        <v>1.676470588235294E-3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input_332010!A$2</f>
        <v>332010</v>
      </c>
      <c r="B177" s="6">
        <v>435</v>
      </c>
      <c r="C177" s="7" t="str">
        <f>D177&amp;J177&amp;E177&amp;F177&amp;G177</f>
        <v>PremiumSS5</v>
      </c>
      <c r="D177" s="7" t="str">
        <f>IF(I177="PremiumSS",I177,IF(I177="PremiumSSS",I177,IF(I177="PremiumW",I177,"Premium")))</f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7">
        <f ca="1">IFERROR(VLOOKUP(B177,input_332010!L:R,7,FALSE),VLOOKUP(tables_332010!C177,input_332010!A:H,8,FALSE))</f>
        <v>222</v>
      </c>
      <c r="P177" s="48">
        <f ca="1">O177/SUM(O:O)</f>
        <v>8.8235294117647065E-5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input_332010!A$2</f>
        <v>332010</v>
      </c>
      <c r="B178" s="6">
        <v>436</v>
      </c>
      <c r="C178" s="7" t="str">
        <f>D178&amp;J178&amp;E178&amp;F178&amp;G178</f>
        <v>Premium3</v>
      </c>
      <c r="D178" s="7" t="str">
        <f>IF(I178="PremiumSS",I178,IF(I178="PremiumSSS",I178,IF(I178="PremiumW",I178,"Premium")))</f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7">
        <f ca="1">IFERROR(VLOOKUP(B178,input_332010!L:R,7,FALSE),VLOOKUP(tables_332010!C178,input_332010!A:H,8,FALSE))</f>
        <v>0</v>
      </c>
      <c r="P178" s="48">
        <f ca="1">O178/SUM(O:O)</f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input_332010!A$2</f>
        <v>332010</v>
      </c>
      <c r="B179" s="6">
        <v>437</v>
      </c>
      <c r="C179" s="7" t="str">
        <f>D179&amp;J179&amp;E179&amp;F179&amp;G179</f>
        <v>Premium4</v>
      </c>
      <c r="D179" s="7" t="str">
        <f>IF(I179="PremiumSS",I179,IF(I179="PremiumSSS",I179,IF(I179="PremiumW",I179,"Premium")))</f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7">
        <f ca="1">IFERROR(VLOOKUP(B179,input_332010!L:R,7,FALSE),VLOOKUP(tables_332010!C179,input_332010!A:H,8,FALSE))</f>
        <v>30039</v>
      </c>
      <c r="P179" s="48">
        <f ca="1">O179/SUM(O:O)</f>
        <v>1.193918918918919E-2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input_332010!A$2</f>
        <v>332010</v>
      </c>
      <c r="B180" s="6">
        <v>438</v>
      </c>
      <c r="C180" s="7" t="str">
        <f>D180&amp;J180&amp;E180&amp;F180&amp;G180</f>
        <v>Premium5</v>
      </c>
      <c r="D180" s="7" t="str">
        <f>IF(I180="PremiumSS",I180,IF(I180="PremiumSSS",I180,IF(I180="PremiumW",I180,"Premium")))</f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7">
        <f ca="1">IFERROR(VLOOKUP(B180,input_332010!L:R,7,FALSE),VLOOKUP(tables_332010!C180,input_332010!A:H,8,FALSE))</f>
        <v>1581</v>
      </c>
      <c r="P180" s="48">
        <f ca="1">O180/SUM(O:O)</f>
        <v>6.283783783783784E-4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input_332010!A$2</f>
        <v>332010</v>
      </c>
      <c r="B181" s="6">
        <v>439</v>
      </c>
      <c r="C181" s="7" t="str">
        <f>D181&amp;J181&amp;E181&amp;F181&amp;G181</f>
        <v>Premium3</v>
      </c>
      <c r="D181" s="7" t="str">
        <f>IF(I181="PremiumSS",I181,IF(I181="PremiumSSS",I181,IF(I181="PremiumW",I181,"Premium")))</f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7">
        <f ca="1">IFERROR(VLOOKUP(B181,input_332010!L:R,7,FALSE),VLOOKUP(tables_332010!C181,input_332010!A:H,8,FALSE))</f>
        <v>0</v>
      </c>
      <c r="P181" s="48">
        <f ca="1">O181/SUM(O:O)</f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input_332010!A$2</f>
        <v>332010</v>
      </c>
      <c r="B182" s="6">
        <v>440</v>
      </c>
      <c r="C182" s="7" t="str">
        <f>D182&amp;J182&amp;E182&amp;F182&amp;G182</f>
        <v>Premium4</v>
      </c>
      <c r="D182" s="7" t="str">
        <f>IF(I182="PremiumSS",I182,IF(I182="PremiumSSS",I182,IF(I182="PremiumW",I182,"Premium")))</f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7">
        <f ca="1">IFERROR(VLOOKUP(B182,input_332010!L:R,7,FALSE),VLOOKUP(tables_332010!C182,input_332010!A:H,8,FALSE))</f>
        <v>30039</v>
      </c>
      <c r="P182" s="48">
        <f ca="1">O182/SUM(O:O)</f>
        <v>1.193918918918919E-2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input_332010!A$2</f>
        <v>332010</v>
      </c>
      <c r="B183" s="6">
        <v>441</v>
      </c>
      <c r="C183" s="7" t="str">
        <f>D183&amp;J183&amp;E183&amp;F183&amp;G183</f>
        <v>Premium5</v>
      </c>
      <c r="D183" s="7" t="str">
        <f>IF(I183="PremiumSS",I183,IF(I183="PremiumSSS",I183,IF(I183="PremiumW",I183,"Premium")))</f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7">
        <f ca="1">IFERROR(VLOOKUP(B183,input_332010!L:R,7,FALSE),VLOOKUP(tables_332010!C183,input_332010!A:H,8,FALSE))</f>
        <v>1581</v>
      </c>
      <c r="P183" s="48">
        <f ca="1">O183/SUM(O:O)</f>
        <v>6.283783783783784E-4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input_332010!A$2</f>
        <v>332010</v>
      </c>
      <c r="B184" s="6">
        <v>442</v>
      </c>
      <c r="C184" s="7" t="str">
        <f>D184&amp;J184&amp;E184&amp;F184&amp;G184</f>
        <v>PremiumSS4</v>
      </c>
      <c r="D184" s="7" t="str">
        <f>IF(I184="PremiumSS",I184,IF(I184="PremiumSSS",I184,IF(I184="PremiumW",I184,"Premium")))</f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7">
        <f ca="1">IFERROR(VLOOKUP(B184,input_332010!L:R,7,FALSE),VLOOKUP(tables_332010!C184,input_332010!A:H,8,FALSE))</f>
        <v>4218</v>
      </c>
      <c r="P184" s="48">
        <f ca="1">O184/SUM(O:O)</f>
        <v>1.676470588235294E-3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input_332010!A$2</f>
        <v>332010</v>
      </c>
      <c r="B185" s="6">
        <v>443</v>
      </c>
      <c r="C185" s="7" t="str">
        <f>D185&amp;J185&amp;E185&amp;F185&amp;G185</f>
        <v>PremiumSS5</v>
      </c>
      <c r="D185" s="7" t="str">
        <f>IF(I185="PremiumSS",I185,IF(I185="PremiumSSS",I185,IF(I185="PremiumW",I185,"Premium")))</f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7">
        <f ca="1">IFERROR(VLOOKUP(B185,input_332010!L:R,7,FALSE),VLOOKUP(tables_332010!C185,input_332010!A:H,8,FALSE))</f>
        <v>222</v>
      </c>
      <c r="P185" s="48">
        <f ca="1">O185/SUM(O:O)</f>
        <v>8.8235294117647065E-5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input_332010!A$2</f>
        <v>332010</v>
      </c>
      <c r="B186" s="8">
        <v>462</v>
      </c>
      <c r="C186" s="7" t="str">
        <f>D186&amp;J186&amp;E186&amp;F186&amp;G186</f>
        <v>Premium3</v>
      </c>
      <c r="D186" s="7" t="str">
        <f>IF(I186="PremiumSS",I186,IF(I186="PremiumSSS",I186,IF(I186="PremiumW",I186,"Premium")))</f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7">
        <f ca="1">IFERROR(VLOOKUP(B186,input_332010!L:R,7,FALSE),VLOOKUP(tables_332010!C186,input_332010!A:H,8,FALSE))</f>
        <v>0</v>
      </c>
      <c r="P186" s="48">
        <f ca="1">O186/SUM(O:O)</f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input_332010!A$2</f>
        <v>332010</v>
      </c>
      <c r="B187" s="8">
        <v>463</v>
      </c>
      <c r="C187" s="7" t="str">
        <f>D187&amp;J187&amp;E187&amp;F187&amp;G187</f>
        <v>Premium4</v>
      </c>
      <c r="D187" s="7" t="str">
        <f>IF(I187="PremiumSS",I187,IF(I187="PremiumSSS",I187,IF(I187="PremiumW",I187,"Premium")))</f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7">
        <f ca="1">IFERROR(VLOOKUP(B187,input_332010!L:R,7,FALSE),VLOOKUP(tables_332010!C187,input_332010!A:H,8,FALSE))</f>
        <v>30039</v>
      </c>
      <c r="P187" s="48">
        <f ca="1">O187/SUM(O:O)</f>
        <v>1.193918918918919E-2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input_332010!A$2</f>
        <v>332010</v>
      </c>
      <c r="B188" s="8">
        <v>464</v>
      </c>
      <c r="C188" s="7" t="str">
        <f>D188&amp;J188&amp;E188&amp;F188&amp;G188</f>
        <v>Premium5</v>
      </c>
      <c r="D188" s="7" t="str">
        <f>IF(I188="PremiumSS",I188,IF(I188="PremiumSSS",I188,IF(I188="PremiumW",I188,"Premium")))</f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7">
        <f ca="1">IFERROR(VLOOKUP(B188,input_332010!L:R,7,FALSE),VLOOKUP(tables_332010!C188,input_332010!A:H,8,FALSE))</f>
        <v>1581</v>
      </c>
      <c r="P188" s="48">
        <f ca="1">O188/SUM(O:O)</f>
        <v>6.283783783783784E-4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input_332010!A$2</f>
        <v>332010</v>
      </c>
      <c r="B189" s="8">
        <v>465</v>
      </c>
      <c r="C189" s="7" t="str">
        <f>D189&amp;J189&amp;E189&amp;F189&amp;G189</f>
        <v>PremiumSS4</v>
      </c>
      <c r="D189" s="7" t="str">
        <f>IF(I189="PremiumSS",I189,IF(I189="PremiumSSS",I189,IF(I189="PremiumW",I189,"Premium")))</f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7">
        <f ca="1">IFERROR(VLOOKUP(B189,input_332010!L:R,7,FALSE),VLOOKUP(tables_332010!C189,input_332010!A:H,8,FALSE))</f>
        <v>4218</v>
      </c>
      <c r="P189" s="48">
        <f ca="1">O189/SUM(O:O)</f>
        <v>1.676470588235294E-3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input_332010!A$2</f>
        <v>332010</v>
      </c>
      <c r="B190" s="6">
        <v>466</v>
      </c>
      <c r="C190" s="7" t="str">
        <f>D190&amp;J190&amp;E190&amp;F190&amp;G190</f>
        <v>PremiumSS5</v>
      </c>
      <c r="D190" s="7" t="str">
        <f>IF(I190="PremiumSS",I190,IF(I190="PremiumSSS",I190,IF(I190="PremiumW",I190,"Premium")))</f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7">
        <f ca="1">IFERROR(VLOOKUP(B190,input_332010!L:R,7,FALSE),VLOOKUP(tables_332010!C190,input_332010!A:H,8,FALSE))</f>
        <v>222</v>
      </c>
      <c r="P190" s="48">
        <f ca="1">O190/SUM(O:O)</f>
        <v>8.8235294117647065E-5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input_332010!A$2</f>
        <v>332010</v>
      </c>
      <c r="B191" s="6">
        <v>467</v>
      </c>
      <c r="C191" s="7" t="str">
        <f>D191&amp;J191&amp;E191&amp;F191&amp;G191</f>
        <v>PremiumSS4</v>
      </c>
      <c r="D191" s="7" t="str">
        <f>IF(I191="PremiumSS",I191,IF(I191="PremiumSSS",I191,IF(I191="PremiumW",I191,"Premium")))</f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7">
        <f ca="1">IFERROR(VLOOKUP(B191,input_332010!L:R,7,FALSE),VLOOKUP(tables_332010!C191,input_332010!A:H,8,FALSE))</f>
        <v>4218</v>
      </c>
      <c r="P191" s="48">
        <f ca="1">O191/SUM(O:O)</f>
        <v>1.676470588235294E-3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input_332010!A$2</f>
        <v>332010</v>
      </c>
      <c r="B192" s="6">
        <v>468</v>
      </c>
      <c r="C192" s="7" t="str">
        <f>D192&amp;J192&amp;E192&amp;F192&amp;G192</f>
        <v>PremiumSS5</v>
      </c>
      <c r="D192" s="7" t="str">
        <f>IF(I192="PremiumSS",I192,IF(I192="PremiumSSS",I192,IF(I192="PremiumW",I192,"Premium")))</f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7">
        <f ca="1">IFERROR(VLOOKUP(B192,input_332010!L:R,7,FALSE),VLOOKUP(tables_332010!C192,input_332010!A:H,8,FALSE))</f>
        <v>222</v>
      </c>
      <c r="P192" s="48">
        <f ca="1">O192/SUM(O:O)</f>
        <v>8.8235294117647065E-5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input_332010!A$2</f>
        <v>332010</v>
      </c>
      <c r="B193" s="6">
        <v>469</v>
      </c>
      <c r="C193" s="7" t="str">
        <f>D193&amp;J193&amp;E193&amp;F193&amp;G193</f>
        <v>Premium3</v>
      </c>
      <c r="D193" s="7" t="str">
        <f>IF(I193="PremiumSS",I193,IF(I193="PremiumSSS",I193,IF(I193="PremiumW",I193,"Premium")))</f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7">
        <f ca="1">IFERROR(VLOOKUP(B193,input_332010!L:R,7,FALSE),VLOOKUP(tables_332010!C193,input_332010!A:H,8,FALSE))</f>
        <v>0</v>
      </c>
      <c r="P193" s="48">
        <f ca="1">O193/SUM(O:O)</f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input_332010!A$2</f>
        <v>332010</v>
      </c>
      <c r="B194" s="6">
        <v>470</v>
      </c>
      <c r="C194" s="7" t="str">
        <f>D194&amp;J194&amp;E194&amp;F194&amp;G194</f>
        <v>Premium4</v>
      </c>
      <c r="D194" s="7" t="str">
        <f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7">
        <f ca="1">IFERROR(VLOOKUP(B194,input_332010!L:R,7,FALSE),VLOOKUP(tables_332010!C194,input_332010!A:H,8,FALSE))</f>
        <v>30039</v>
      </c>
      <c r="P194" s="48">
        <f ca="1">O194/SUM(O:O)</f>
        <v>1.193918918918919E-2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input_332010!A$2</f>
        <v>332010</v>
      </c>
      <c r="B195" s="6">
        <v>471</v>
      </c>
      <c r="C195" s="7" t="str">
        <f>D195&amp;J195&amp;E195&amp;F195&amp;G195</f>
        <v>Premium5</v>
      </c>
      <c r="D195" s="7" t="str">
        <f>IF(I195="PremiumSS",I195,IF(I195="PremiumSSS",I195,IF(I195="PremiumW",I195,"Premium")))</f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7">
        <f ca="1">IFERROR(VLOOKUP(B195,input_332010!L:R,7,FALSE),VLOOKUP(tables_332010!C195,input_332010!A:H,8,FALSE))</f>
        <v>1581</v>
      </c>
      <c r="P195" s="48">
        <f ca="1">O195/SUM(O:O)</f>
        <v>6.283783783783784E-4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input_332010!A$2</f>
        <v>332010</v>
      </c>
      <c r="B196" s="6">
        <v>474</v>
      </c>
      <c r="C196" s="7" t="str">
        <f>D196&amp;J196&amp;E196&amp;F196&amp;G196</f>
        <v>PremiumSS4</v>
      </c>
      <c r="D196" s="7" t="str">
        <f>IF(I196="PremiumSS",I196,IF(I196="PremiumSSS",I196,IF(I196="PremiumW",I196,"Premium")))</f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7">
        <f ca="1">IFERROR(VLOOKUP(B196,input_332010!L:R,7,FALSE),VLOOKUP(tables_332010!C196,input_332010!A:H,8,FALSE))</f>
        <v>4218</v>
      </c>
      <c r="P196" s="48">
        <f ca="1">O196/SUM(O:O)</f>
        <v>1.676470588235294E-3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input_332010!A$2</f>
        <v>332010</v>
      </c>
      <c r="B197" s="6">
        <v>475</v>
      </c>
      <c r="C197" s="7" t="str">
        <f>D197&amp;J197&amp;E197&amp;F197&amp;G197</f>
        <v>PremiumSS5</v>
      </c>
      <c r="D197" s="7" t="str">
        <f>IF(I197="PremiumSS",I197,IF(I197="PremiumSSS",I197,IF(I197="PremiumW",I197,"Premium")))</f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7">
        <f ca="1">IFERROR(VLOOKUP(B197,input_332010!L:R,7,FALSE),VLOOKUP(tables_332010!C197,input_332010!A:H,8,FALSE))</f>
        <v>222</v>
      </c>
      <c r="P197" s="48">
        <f ca="1">O197/SUM(O:O)</f>
        <v>8.8235294117647065E-5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input_332010!A$2</f>
        <v>332010</v>
      </c>
      <c r="B198" s="6">
        <v>476</v>
      </c>
      <c r="C198" s="7" t="str">
        <f>D198&amp;J198&amp;E198&amp;F198&amp;G198</f>
        <v>Premium3</v>
      </c>
      <c r="D198" s="7" t="str">
        <f>IF(I198="PremiumSS",I198,IF(I198="PremiumSSS",I198,IF(I198="PremiumW",I198,"Premium")))</f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7">
        <f ca="1">IFERROR(VLOOKUP(B198,input_332010!L:R,7,FALSE),VLOOKUP(tables_332010!C198,input_332010!A:H,8,FALSE))</f>
        <v>0</v>
      </c>
      <c r="P198" s="48">
        <f ca="1">O198/SUM(O:O)</f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input_332010!A$2</f>
        <v>332010</v>
      </c>
      <c r="B199" s="6">
        <v>477</v>
      </c>
      <c r="C199" s="7" t="str">
        <f>D199&amp;J199&amp;E199&amp;F199&amp;G199</f>
        <v>Premium4</v>
      </c>
      <c r="D199" s="7" t="str">
        <f>IF(I199="PremiumSS",I199,IF(I199="PremiumSSS",I199,IF(I199="PremiumW",I199,"Premium")))</f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7">
        <f ca="1">IFERROR(VLOOKUP(B199,input_332010!L:R,7,FALSE),VLOOKUP(tables_332010!C199,input_332010!A:H,8,FALSE))</f>
        <v>30039</v>
      </c>
      <c r="P199" s="48">
        <f ca="1">O199/SUM(O:O)</f>
        <v>1.193918918918919E-2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input_332010!A$2</f>
        <v>332010</v>
      </c>
      <c r="B200" s="6">
        <v>478</v>
      </c>
      <c r="C200" s="7" t="str">
        <f>D200&amp;J200&amp;E200&amp;F200&amp;G200</f>
        <v>Premium5</v>
      </c>
      <c r="D200" s="7" t="str">
        <f>IF(I200="PremiumSS",I200,IF(I200="PremiumSSS",I200,IF(I200="PremiumW",I200,"Premium")))</f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7">
        <f ca="1">IFERROR(VLOOKUP(B200,input_332010!L:R,7,FALSE),VLOOKUP(tables_332010!C200,input_332010!A:H,8,FALSE))</f>
        <v>1581</v>
      </c>
      <c r="P200" s="48">
        <f ca="1">O200/SUM(O:O)</f>
        <v>6.283783783783784E-4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input_332010!A$2</f>
        <v>332010</v>
      </c>
      <c r="B201" s="6">
        <v>479</v>
      </c>
      <c r="C201" s="7" t="str">
        <f>D201&amp;J201&amp;E201&amp;F201&amp;G201</f>
        <v>PremiumSS4</v>
      </c>
      <c r="D201" s="7" t="str">
        <f>IF(I201="PremiumSS",I201,IF(I201="PremiumSSS",I201,IF(I201="PremiumW",I201,"Premium")))</f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7">
        <f ca="1">IFERROR(VLOOKUP(B201,input_332010!L:R,7,FALSE),VLOOKUP(tables_332010!C201,input_332010!A:H,8,FALSE))</f>
        <v>4218</v>
      </c>
      <c r="P201" s="48">
        <f ca="1">O201/SUM(O:O)</f>
        <v>1.676470588235294E-3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input_332010!A$2</f>
        <v>332010</v>
      </c>
      <c r="B202" s="6">
        <v>480</v>
      </c>
      <c r="C202" s="7" t="str">
        <f>D202&amp;J202&amp;E202&amp;F202&amp;G202</f>
        <v>PremiumSS5</v>
      </c>
      <c r="D202" s="7" t="str">
        <f>IF(I202="PremiumSS",I202,IF(I202="PremiumSSS",I202,IF(I202="PremiumW",I202,"Premium")))</f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7">
        <f ca="1">IFERROR(VLOOKUP(B202,input_332010!L:R,7,FALSE),VLOOKUP(tables_332010!C202,input_332010!A:H,8,FALSE))</f>
        <v>222</v>
      </c>
      <c r="P202" s="48">
        <f ca="1">O202/SUM(O:O)</f>
        <v>8.8235294117647065E-5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input_332010!A$2</f>
        <v>332010</v>
      </c>
      <c r="B203" s="6">
        <v>481</v>
      </c>
      <c r="C203" s="7" t="str">
        <f>D203&amp;J203&amp;E203&amp;F203&amp;G203</f>
        <v>Premium3</v>
      </c>
      <c r="D203" s="7" t="str">
        <f>IF(I203="PremiumSS",I203,IF(I203="PremiumSSS",I203,IF(I203="PremiumW",I203,"Premium")))</f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7">
        <f ca="1">IFERROR(VLOOKUP(B203,input_332010!L:R,7,FALSE),VLOOKUP(tables_332010!C203,input_332010!A:H,8,FALSE))</f>
        <v>0</v>
      </c>
      <c r="P203" s="48">
        <f ca="1">O203/SUM(O:O)</f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input_332010!A$2</f>
        <v>332010</v>
      </c>
      <c r="B204" s="6">
        <v>482</v>
      </c>
      <c r="C204" s="7" t="str">
        <f>D204&amp;J204&amp;E204&amp;F204&amp;G204</f>
        <v>Premium4</v>
      </c>
      <c r="D204" s="7" t="str">
        <f>IF(I204="PremiumSS",I204,IF(I204="PremiumSSS",I204,IF(I204="PremiumW",I204,"Premium")))</f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7">
        <f ca="1">IFERROR(VLOOKUP(B204,input_332010!L:R,7,FALSE),VLOOKUP(tables_332010!C204,input_332010!A:H,8,FALSE))</f>
        <v>30039</v>
      </c>
      <c r="P204" s="48">
        <f ca="1">O204/SUM(O:O)</f>
        <v>1.193918918918919E-2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input_332010!A$2</f>
        <v>332010</v>
      </c>
      <c r="B205" s="6">
        <v>483</v>
      </c>
      <c r="C205" s="7" t="str">
        <f>D205&amp;J205&amp;E205&amp;F205&amp;G205</f>
        <v>Premium5</v>
      </c>
      <c r="D205" s="7" t="str">
        <f>IF(I205="PremiumSS",I205,IF(I205="PremiumSSS",I205,IF(I205="PremiumW",I205,"Premium")))</f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7">
        <f ca="1">IFERROR(VLOOKUP(B205,input_332010!L:R,7,FALSE),VLOOKUP(tables_332010!C205,input_332010!A:H,8,FALSE))</f>
        <v>1581</v>
      </c>
      <c r="P205" s="48">
        <f ca="1">O205/SUM(O:O)</f>
        <v>6.283783783783784E-4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input_332010!A$2</f>
        <v>332010</v>
      </c>
      <c r="B206" s="6">
        <v>492</v>
      </c>
      <c r="C206" s="7" t="str">
        <f>D206&amp;J206&amp;E206&amp;F206&amp;G206</f>
        <v>PremiumSS4</v>
      </c>
      <c r="D206" s="7" t="str">
        <f>IF(I206="PremiumSS",I206,IF(I206="PremiumSSS",I206,IF(I206="PremiumW",I206,"Premium")))</f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7">
        <f ca="1">IFERROR(VLOOKUP(B206,input_332010!L:R,7,FALSE),VLOOKUP(tables_332010!C206,input_332010!A:H,8,FALSE))</f>
        <v>4218</v>
      </c>
      <c r="P206" s="48">
        <f ca="1">O206/SUM(O:O)</f>
        <v>1.676470588235294E-3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input_332010!A$2</f>
        <v>332010</v>
      </c>
      <c r="B207" s="6">
        <v>493</v>
      </c>
      <c r="C207" s="7" t="str">
        <f>D207&amp;J207&amp;E207&amp;F207&amp;G207</f>
        <v>PremiumSS5</v>
      </c>
      <c r="D207" s="7" t="str">
        <f>IF(I207="PremiumSS",I207,IF(I207="PremiumSSS",I207,IF(I207="PremiumW",I207,"Premium")))</f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7">
        <f ca="1">IFERROR(VLOOKUP(B207,input_332010!L:R,7,FALSE),VLOOKUP(tables_332010!C207,input_332010!A:H,8,FALSE))</f>
        <v>222</v>
      </c>
      <c r="P207" s="48">
        <f ca="1">O207/SUM(O:O)</f>
        <v>8.8235294117647065E-5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input_332010!A$2</f>
        <v>332010</v>
      </c>
      <c r="B208" s="6">
        <v>494</v>
      </c>
      <c r="C208" s="7" t="str">
        <f>D208&amp;J208&amp;E208&amp;F208&amp;G208</f>
        <v>PremiumSS4</v>
      </c>
      <c r="D208" s="7" t="str">
        <f>IF(I208="PremiumSS",I208,IF(I208="PremiumSSS",I208,IF(I208="PremiumW",I208,"Premium")))</f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7">
        <f ca="1">IFERROR(VLOOKUP(B208,input_332010!L:R,7,FALSE),VLOOKUP(tables_332010!C208,input_332010!A:H,8,FALSE))</f>
        <v>4218</v>
      </c>
      <c r="P208" s="48">
        <f ca="1">O208/SUM(O:O)</f>
        <v>1.676470588235294E-3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input_332010!A$2</f>
        <v>332010</v>
      </c>
      <c r="B209" s="6">
        <v>495</v>
      </c>
      <c r="C209" s="7" t="str">
        <f>D209&amp;J209&amp;E209&amp;F209&amp;G209</f>
        <v>PremiumSS5</v>
      </c>
      <c r="D209" s="7" t="str">
        <f>IF(I209="PremiumSS",I209,IF(I209="PremiumSSS",I209,IF(I209="PremiumW",I209,"Premium")))</f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7">
        <f ca="1">IFERROR(VLOOKUP(B209,input_332010!L:R,7,FALSE),VLOOKUP(tables_332010!C209,input_332010!A:H,8,FALSE))</f>
        <v>222</v>
      </c>
      <c r="P209" s="48">
        <f ca="1">O209/SUM(O:O)</f>
        <v>8.8235294117647065E-5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input_332010!A$2</f>
        <v>332010</v>
      </c>
      <c r="B210" s="6">
        <v>496</v>
      </c>
      <c r="C210" s="7" t="str">
        <f>D210&amp;J210&amp;E210&amp;F210&amp;G210</f>
        <v>Premium3</v>
      </c>
      <c r="D210" s="7" t="str">
        <f>IF(I210="PremiumSS",I210,IF(I210="PremiumSSS",I210,IF(I210="PremiumW",I210,"Premium")))</f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7">
        <f ca="1">IFERROR(VLOOKUP(B210,input_332010!L:R,7,FALSE),VLOOKUP(tables_332010!C210,input_332010!A:H,8,FALSE))</f>
        <v>0</v>
      </c>
      <c r="P210" s="48">
        <f ca="1">O210/SUM(O:O)</f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input_332010!A$2</f>
        <v>332010</v>
      </c>
      <c r="B211" s="6">
        <v>497</v>
      </c>
      <c r="C211" s="7" t="str">
        <f>D211&amp;J211&amp;E211&amp;F211&amp;G211</f>
        <v>Premium4</v>
      </c>
      <c r="D211" s="7" t="str">
        <f>IF(I211="PremiumSS",I211,IF(I211="PremiumSSS",I211,IF(I211="PremiumW",I211,"Premium")))</f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7">
        <f ca="1">IFERROR(VLOOKUP(B211,input_332010!L:R,7,FALSE),VLOOKUP(tables_332010!C211,input_332010!A:H,8,FALSE))</f>
        <v>30039</v>
      </c>
      <c r="P211" s="48">
        <f ca="1">O211/SUM(O:O)</f>
        <v>1.193918918918919E-2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input_332010!A$2</f>
        <v>332010</v>
      </c>
      <c r="B212" s="6">
        <v>498</v>
      </c>
      <c r="C212" s="7" t="str">
        <f>D212&amp;J212&amp;E212&amp;F212&amp;G212</f>
        <v>Premium5</v>
      </c>
      <c r="D212" s="7" t="str">
        <f>IF(I212="PremiumSS",I212,IF(I212="PremiumSSS",I212,IF(I212="PremiumW",I212,"Premium")))</f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7">
        <f ca="1">IFERROR(VLOOKUP(B212,input_332010!L:R,7,FALSE),VLOOKUP(tables_332010!C212,input_332010!A:H,8,FALSE))</f>
        <v>1581</v>
      </c>
      <c r="P212" s="48">
        <f ca="1">O212/SUM(O:O)</f>
        <v>6.283783783783784E-4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input_332010!A$2</f>
        <v>332010</v>
      </c>
      <c r="B213" s="6">
        <v>499</v>
      </c>
      <c r="C213" s="7" t="str">
        <f>D213&amp;J213&amp;E213&amp;F213&amp;G213</f>
        <v>PremiumSS4</v>
      </c>
      <c r="D213" s="7" t="str">
        <f>IF(I213="PremiumSS",I213,IF(I213="PremiumSSS",I213,IF(I213="PremiumW",I213,"Premium")))</f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7">
        <f ca="1">IFERROR(VLOOKUP(B213,input_332010!L:R,7,FALSE),VLOOKUP(tables_332010!C213,input_332010!A:H,8,FALSE))</f>
        <v>4218</v>
      </c>
      <c r="P213" s="48">
        <f ca="1">O213/SUM(O:O)</f>
        <v>1.676470588235294E-3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input_332010!A$2</f>
        <v>332010</v>
      </c>
      <c r="B214" s="6">
        <v>500</v>
      </c>
      <c r="C214" s="7" t="str">
        <f>D214&amp;J214&amp;E214&amp;F214&amp;G214</f>
        <v>PremiumSS5</v>
      </c>
      <c r="D214" s="7" t="str">
        <f>IF(I214="PremiumSS",I214,IF(I214="PremiumSSS",I214,IF(I214="PremiumW",I214,"Premium")))</f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7">
        <f ca="1">IFERROR(VLOOKUP(B214,input_332010!L:R,7,FALSE),VLOOKUP(tables_332010!C214,input_332010!A:H,8,FALSE))</f>
        <v>222</v>
      </c>
      <c r="P214" s="48">
        <f ca="1">O214/SUM(O:O)</f>
        <v>8.8235294117647065E-5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input_332010!A$2</f>
        <v>332010</v>
      </c>
      <c r="B215" s="6">
        <v>586</v>
      </c>
      <c r="C215" s="7" t="str">
        <f>D215&amp;J215&amp;E215&amp;F215&amp;G215</f>
        <v>PremiumSS4</v>
      </c>
      <c r="D215" s="7" t="str">
        <f>IF(I215="PremiumSS",I215,IF(I215="PremiumSSS",I215,IF(I215="PremiumW",I215,"Premium")))</f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7">
        <f ca="1">IFERROR(VLOOKUP(B215,input_332010!L:R,7,FALSE),VLOOKUP(tables_332010!C215,input_332010!A:H,8,FALSE))</f>
        <v>4218</v>
      </c>
      <c r="P215" s="48">
        <f ca="1">O215/SUM(O:O)</f>
        <v>1.676470588235294E-3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input_332010!A$2</f>
        <v>332010</v>
      </c>
      <c r="B216" s="6">
        <v>587</v>
      </c>
      <c r="C216" s="7" t="str">
        <f>D216&amp;J216&amp;E216&amp;F216&amp;G216</f>
        <v>PremiumSS5</v>
      </c>
      <c r="D216" s="7" t="str">
        <f>IF(I216="PremiumSS",I216,IF(I216="PremiumSSS",I216,IF(I216="PremiumW",I216,"Premium")))</f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7">
        <f ca="1">IFERROR(VLOOKUP(B216,input_332010!L:R,7,FALSE),VLOOKUP(tables_332010!C216,input_332010!A:H,8,FALSE))</f>
        <v>222</v>
      </c>
      <c r="P216" s="48">
        <f ca="1">O216/SUM(O:O)</f>
        <v>8.8235294117647065E-5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input_332010!A$2</f>
        <v>332010</v>
      </c>
      <c r="B217" s="6">
        <v>588</v>
      </c>
      <c r="C217" s="7" t="str">
        <f>D217&amp;J217&amp;E217&amp;F217&amp;G217</f>
        <v>Premium3</v>
      </c>
      <c r="D217" s="7" t="str">
        <f>IF(I217="PremiumSS",I217,IF(I217="PremiumSSS",I217,IF(I217="PremiumW",I217,"Premium")))</f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7">
        <f ca="1">IFERROR(VLOOKUP(B217,input_332010!L:R,7,FALSE),VLOOKUP(tables_332010!C217,input_332010!A:H,8,FALSE))</f>
        <v>0</v>
      </c>
      <c r="P217" s="48">
        <f ca="1">O217/SUM(O:O)</f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input_332010!A$2</f>
        <v>332010</v>
      </c>
      <c r="B218" s="6">
        <v>589</v>
      </c>
      <c r="C218" s="7" t="str">
        <f>D218&amp;J218&amp;E218&amp;F218&amp;G218</f>
        <v>Premium4</v>
      </c>
      <c r="D218" s="7" t="str">
        <f>IF(I218="PremiumSS",I218,IF(I218="PremiumSSS",I218,IF(I218="PremiumW",I218,"Premium")))</f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7">
        <f ca="1">IFERROR(VLOOKUP(B218,input_332010!L:R,7,FALSE),VLOOKUP(tables_332010!C218,input_332010!A:H,8,FALSE))</f>
        <v>30039</v>
      </c>
      <c r="P218" s="48">
        <f ca="1">O218/SUM(O:O)</f>
        <v>1.193918918918919E-2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input_332010!A$2</f>
        <v>332010</v>
      </c>
      <c r="B219" s="6">
        <v>590</v>
      </c>
      <c r="C219" s="7" t="str">
        <f>D219&amp;J219&amp;E219&amp;F219&amp;G219</f>
        <v>Premium5</v>
      </c>
      <c r="D219" s="7" t="str">
        <f>IF(I219="PremiumSS",I219,IF(I219="PremiumSSS",I219,IF(I219="PremiumW",I219,"Premium")))</f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7">
        <f ca="1">IFERROR(VLOOKUP(B219,input_332010!L:R,7,FALSE),VLOOKUP(tables_332010!C219,input_332010!A:H,8,FALSE))</f>
        <v>1581</v>
      </c>
      <c r="P219" s="48">
        <f ca="1">O219/SUM(O:O)</f>
        <v>6.283783783783784E-4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input_332010!A$2</f>
        <v>332010</v>
      </c>
      <c r="B220" s="6">
        <v>591</v>
      </c>
      <c r="C220" s="7" t="str">
        <f>D220&amp;J220&amp;E220&amp;F220&amp;G220</f>
        <v>Premium3</v>
      </c>
      <c r="D220" s="7" t="str">
        <f>IF(I220="PremiumSS",I220,IF(I220="PremiumSSS",I220,IF(I220="PremiumW",I220,"Premium")))</f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7">
        <f ca="1">IFERROR(VLOOKUP(B220,input_332010!L:R,7,FALSE),VLOOKUP(tables_332010!C220,input_332010!A:H,8,FALSE))</f>
        <v>0</v>
      </c>
      <c r="P220" s="48">
        <f ca="1">O220/SUM(O:O)</f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input_332010!A$2</f>
        <v>332010</v>
      </c>
      <c r="B221" s="6">
        <v>592</v>
      </c>
      <c r="C221" s="7" t="str">
        <f>D221&amp;J221&amp;E221&amp;F221&amp;G221</f>
        <v>Premium4</v>
      </c>
      <c r="D221" s="7" t="str">
        <f>IF(I221="PremiumSS",I221,IF(I221="PremiumSSS",I221,IF(I221="PremiumW",I221,"Premium")))</f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7">
        <f ca="1">IFERROR(VLOOKUP(B221,input_332010!L:R,7,FALSE),VLOOKUP(tables_332010!C221,input_332010!A:H,8,FALSE))</f>
        <v>30039</v>
      </c>
      <c r="P221" s="48">
        <f ca="1">O221/SUM(O:O)</f>
        <v>1.193918918918919E-2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input_332010!A$2</f>
        <v>332010</v>
      </c>
      <c r="B222" s="6">
        <v>593</v>
      </c>
      <c r="C222" s="7" t="str">
        <f>D222&amp;J222&amp;E222&amp;F222&amp;G222</f>
        <v>Premium5</v>
      </c>
      <c r="D222" s="7" t="str">
        <f>IF(I222="PremiumSS",I222,IF(I222="PremiumSSS",I222,IF(I222="PremiumW",I222,"Premium")))</f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7">
        <f ca="1">IFERROR(VLOOKUP(B222,input_332010!L:R,7,FALSE),VLOOKUP(tables_332010!C222,input_332010!A:H,8,FALSE))</f>
        <v>1581</v>
      </c>
      <c r="P222" s="48">
        <f ca="1">O222/SUM(O:O)</f>
        <v>6.283783783783784E-4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input_332010!A$2</f>
        <v>332010</v>
      </c>
      <c r="B223" s="6">
        <v>594</v>
      </c>
      <c r="C223" s="7" t="str">
        <f>D223&amp;J223&amp;E223&amp;F223&amp;G223</f>
        <v>PremiumSS4</v>
      </c>
      <c r="D223" s="7" t="str">
        <f>IF(I223="PremiumSS",I223,IF(I223="PremiumSSS",I223,IF(I223="PremiumW",I223,"Premium")))</f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7">
        <f ca="1">IFERROR(VLOOKUP(B223,input_332010!L:R,7,FALSE),VLOOKUP(tables_332010!C223,input_332010!A:H,8,FALSE))</f>
        <v>4218</v>
      </c>
      <c r="P223" s="48">
        <f ca="1">O223/SUM(O:O)</f>
        <v>1.676470588235294E-3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input_332010!A$2</f>
        <v>332010</v>
      </c>
      <c r="B224" s="6">
        <v>595</v>
      </c>
      <c r="C224" s="7" t="str">
        <f>D224&amp;J224&amp;E224&amp;F224&amp;G224</f>
        <v>PremiumSS5</v>
      </c>
      <c r="D224" s="7" t="str">
        <f>IF(I224="PremiumSS",I224,IF(I224="PremiumSSS",I224,IF(I224="PremiumW",I224,"Premium")))</f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7">
        <f ca="1">IFERROR(VLOOKUP(B224,input_332010!L:R,7,FALSE),VLOOKUP(tables_332010!C224,input_332010!A:H,8,FALSE))</f>
        <v>222</v>
      </c>
      <c r="P224" s="48">
        <f ca="1">O224/SUM(O:O)</f>
        <v>8.8235294117647065E-5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input_332010!A$2</f>
        <v>332010</v>
      </c>
      <c r="B225" s="6">
        <v>596</v>
      </c>
      <c r="C225" s="7" t="str">
        <f>D225&amp;J225&amp;E225&amp;F225&amp;G225</f>
        <v>Premium3</v>
      </c>
      <c r="D225" s="7" t="str">
        <f>IF(I225="PremiumSS",I225,IF(I225="PremiumSSS",I225,IF(I225="PremiumW",I225,"Premium")))</f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7">
        <f ca="1">IFERROR(VLOOKUP(B225,input_332010!L:R,7,FALSE),VLOOKUP(tables_332010!C225,input_332010!A:H,8,FALSE))</f>
        <v>0</v>
      </c>
      <c r="P225" s="48">
        <f ca="1">O225/SUM(O:O)</f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input_332010!A$2</f>
        <v>332010</v>
      </c>
      <c r="B226" s="6">
        <v>597</v>
      </c>
      <c r="C226" s="7" t="str">
        <f>D226&amp;J226&amp;E226&amp;F226&amp;G226</f>
        <v>Premium4</v>
      </c>
      <c r="D226" s="7" t="str">
        <f>IF(I226="PremiumSS",I226,IF(I226="PremiumSSS",I226,IF(I226="PremiumW",I226,"Premium")))</f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7">
        <f ca="1">IFERROR(VLOOKUP(B226,input_332010!L:R,7,FALSE),VLOOKUP(tables_332010!C226,input_332010!A:H,8,FALSE))</f>
        <v>30039</v>
      </c>
      <c r="P226" s="48">
        <f ca="1">O226/SUM(O:O)</f>
        <v>1.193918918918919E-2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input_332010!A$2</f>
        <v>332010</v>
      </c>
      <c r="B227" s="6">
        <v>598</v>
      </c>
      <c r="C227" s="7" t="str">
        <f>D227&amp;J227&amp;E227&amp;F227&amp;G227</f>
        <v>Premium5</v>
      </c>
      <c r="D227" s="7" t="str">
        <f>IF(I227="PremiumSS",I227,IF(I227="PremiumSSS",I227,IF(I227="PremiumW",I227,"Premium")))</f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7">
        <f ca="1">IFERROR(VLOOKUP(B227,input_332010!L:R,7,FALSE),VLOOKUP(tables_332010!C227,input_332010!A:H,8,FALSE))</f>
        <v>1581</v>
      </c>
      <c r="P227" s="48">
        <f ca="1">O227/SUM(O:O)</f>
        <v>6.283783783783784E-4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input_332010!A$2</f>
        <v>332010</v>
      </c>
      <c r="B228" s="6">
        <v>599</v>
      </c>
      <c r="C228" s="7" t="str">
        <f>D228&amp;J228&amp;E228&amp;F228&amp;G228</f>
        <v>Premium3</v>
      </c>
      <c r="D228" s="7" t="str">
        <f>IF(I228="PremiumSS",I228,IF(I228="PremiumSSS",I228,IF(I228="PremiumW",I228,"Premium")))</f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7">
        <f ca="1">IFERROR(VLOOKUP(B228,input_332010!L:R,7,FALSE),VLOOKUP(tables_332010!C228,input_332010!A:H,8,FALSE))</f>
        <v>0</v>
      </c>
      <c r="P228" s="48">
        <f ca="1">O228/SUM(O:O)</f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input_332010!A$2</f>
        <v>332010</v>
      </c>
      <c r="B229" s="6">
        <v>600</v>
      </c>
      <c r="C229" s="7" t="str">
        <f>D229&amp;J229&amp;E229&amp;F229&amp;G229</f>
        <v>Premium4</v>
      </c>
      <c r="D229" s="7" t="str">
        <f>IF(I229="PremiumSS",I229,IF(I229="PremiumSSS",I229,IF(I229="PremiumW",I229,"Premium")))</f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7">
        <f ca="1">IFERROR(VLOOKUP(B229,input_332010!L:R,7,FALSE),VLOOKUP(tables_332010!C229,input_332010!A:H,8,FALSE))</f>
        <v>30039</v>
      </c>
      <c r="P229" s="48">
        <f ca="1">O229/SUM(O:O)</f>
        <v>1.193918918918919E-2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input_332010!A$2</f>
        <v>332010</v>
      </c>
      <c r="B230" s="6">
        <v>601</v>
      </c>
      <c r="C230" s="7" t="str">
        <f>D230&amp;J230&amp;E230&amp;F230&amp;G230</f>
        <v>Premium5</v>
      </c>
      <c r="D230" s="7" t="str">
        <f>IF(I230="PremiumSS",I230,IF(I230="PremiumSSS",I230,IF(I230="PremiumW",I230,"Premium")))</f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7">
        <f ca="1">IFERROR(VLOOKUP(B230,input_332010!L:R,7,FALSE),VLOOKUP(tables_332010!C230,input_332010!A:H,8,FALSE))</f>
        <v>1581</v>
      </c>
      <c r="P230" s="48">
        <f ca="1">O230/SUM(O:O)</f>
        <v>6.283783783783784E-4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input_332010!A$2</f>
        <v>332010</v>
      </c>
      <c r="B231" s="6">
        <v>602</v>
      </c>
      <c r="C231" s="7" t="str">
        <f>D231&amp;J231&amp;E231&amp;F231&amp;G231</f>
        <v>PremiumSS4</v>
      </c>
      <c r="D231" s="7" t="str">
        <f>IF(I231="PremiumSS",I231,IF(I231="PremiumSSS",I231,IF(I231="PremiumW",I231,"Premium")))</f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7">
        <f ca="1">IFERROR(VLOOKUP(B231,input_332010!L:R,7,FALSE),VLOOKUP(tables_332010!C231,input_332010!A:H,8,FALSE))</f>
        <v>4218</v>
      </c>
      <c r="P231" s="48">
        <f ca="1">O231/SUM(O:O)</f>
        <v>1.676470588235294E-3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input_332010!A$2</f>
        <v>332010</v>
      </c>
      <c r="B232" s="6">
        <v>603</v>
      </c>
      <c r="C232" s="7" t="str">
        <f>D232&amp;J232&amp;E232&amp;F232&amp;G232</f>
        <v>PremiumSS5</v>
      </c>
      <c r="D232" s="7" t="str">
        <f>IF(I232="PremiumSS",I232,IF(I232="PremiumSSS",I232,IF(I232="PremiumW",I232,"Premium")))</f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7">
        <f ca="1">IFERROR(VLOOKUP(B232,input_332010!L:R,7,FALSE),VLOOKUP(tables_332010!C232,input_332010!A:H,8,FALSE))</f>
        <v>222</v>
      </c>
      <c r="P232" s="48">
        <f ca="1">O232/SUM(O:O)</f>
        <v>8.8235294117647065E-5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input_332010!A$2</f>
        <v>332010</v>
      </c>
      <c r="B233" s="6">
        <v>604</v>
      </c>
      <c r="C233" s="7" t="str">
        <f>D233&amp;J233&amp;E233&amp;F233&amp;G233</f>
        <v>Premium3</v>
      </c>
      <c r="D233" s="7" t="str">
        <f>IF(I233="PremiumSS",I233,IF(I233="PremiumSSS",I233,IF(I233="PremiumW",I233,"Premium")))</f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7">
        <f ca="1">IFERROR(VLOOKUP(B233,input_332010!L:R,7,FALSE),VLOOKUP(tables_332010!C233,input_332010!A:H,8,FALSE))</f>
        <v>0</v>
      </c>
      <c r="P233" s="48">
        <f ca="1">O233/SUM(O:O)</f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input_332010!A$2</f>
        <v>332010</v>
      </c>
      <c r="B234" s="6">
        <v>605</v>
      </c>
      <c r="C234" s="7" t="str">
        <f>D234&amp;J234&amp;E234&amp;F234&amp;G234</f>
        <v>Premium4</v>
      </c>
      <c r="D234" s="7" t="str">
        <f>IF(I234="PremiumSS",I234,IF(I234="PremiumSSS",I234,IF(I234="PremiumW",I234,"Premium")))</f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7">
        <f ca="1">IFERROR(VLOOKUP(B234,input_332010!L:R,7,FALSE),VLOOKUP(tables_332010!C234,input_332010!A:H,8,FALSE))</f>
        <v>30039</v>
      </c>
      <c r="P234" s="48">
        <f ca="1">O234/SUM(O:O)</f>
        <v>1.193918918918919E-2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input_332010!A$2</f>
        <v>332010</v>
      </c>
      <c r="B235" s="6">
        <v>606</v>
      </c>
      <c r="C235" s="7" t="str">
        <f>D235&amp;J235&amp;E235&amp;F235&amp;G235</f>
        <v>Premium5</v>
      </c>
      <c r="D235" s="7" t="str">
        <f>IF(I235="PremiumSS",I235,IF(I235="PremiumSSS",I235,IF(I235="PremiumW",I235,"Premium")))</f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7">
        <f ca="1">IFERROR(VLOOKUP(B235,input_332010!L:R,7,FALSE),VLOOKUP(tables_332010!C235,input_332010!A:H,8,FALSE))</f>
        <v>1581</v>
      </c>
      <c r="P235" s="48">
        <f ca="1">O235/SUM(O:O)</f>
        <v>6.283783783783784E-4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input_332010!A$2</f>
        <v>332010</v>
      </c>
      <c r="B236" s="6">
        <v>658</v>
      </c>
      <c r="C236" s="7" t="str">
        <f>D236&amp;J236&amp;E236&amp;F236&amp;G236</f>
        <v>PremiumSS4</v>
      </c>
      <c r="D236" s="7" t="str">
        <f>IF(I236="PremiumSS",I236,IF(I236="PremiumSSS",I236,IF(I236="PremiumW",I236,"Premium")))</f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7">
        <f ca="1">IFERROR(VLOOKUP(B236,input_332010!L:R,7,FALSE),VLOOKUP(tables_332010!C236,input_332010!A:H,8,FALSE))</f>
        <v>4218</v>
      </c>
      <c r="P236" s="48">
        <f ca="1">O236/SUM(O:O)</f>
        <v>1.676470588235294E-3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input_332010!A$2</f>
        <v>332010</v>
      </c>
      <c r="B237" s="6">
        <v>659</v>
      </c>
      <c r="C237" s="7" t="str">
        <f>D237&amp;J237&amp;E237&amp;F237&amp;G237</f>
        <v>PremiumSS5</v>
      </c>
      <c r="D237" s="7" t="str">
        <f>IF(I237="PremiumSS",I237,IF(I237="PremiumSSS",I237,IF(I237="PremiumW",I237,"Premium")))</f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7">
        <f ca="1">IFERROR(VLOOKUP(B237,input_332010!L:R,7,FALSE),VLOOKUP(tables_332010!C237,input_332010!A:H,8,FALSE))</f>
        <v>222</v>
      </c>
      <c r="P237" s="48">
        <f ca="1">O237/SUM(O:O)</f>
        <v>8.8235294117647065E-5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input_332010!A$2</f>
        <v>332010</v>
      </c>
      <c r="B238" s="6">
        <v>660</v>
      </c>
      <c r="C238" s="7" t="str">
        <f>D238&amp;J238&amp;E238&amp;F238&amp;G238</f>
        <v>PremiumSS4</v>
      </c>
      <c r="D238" s="7" t="str">
        <f>IF(I238="PremiumSS",I238,IF(I238="PremiumSSS",I238,IF(I238="PremiumW",I238,"Premium")))</f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7">
        <f ca="1">IFERROR(VLOOKUP(B238,input_332010!L:R,7,FALSE),VLOOKUP(tables_332010!C238,input_332010!A:H,8,FALSE))</f>
        <v>4218</v>
      </c>
      <c r="P238" s="48">
        <f ca="1">O238/SUM(O:O)</f>
        <v>1.676470588235294E-3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input_332010!A$2</f>
        <v>332010</v>
      </c>
      <c r="B239" s="6">
        <v>661</v>
      </c>
      <c r="C239" s="7" t="str">
        <f>D239&amp;J239&amp;E239&amp;F239&amp;G239</f>
        <v>PremiumSS5</v>
      </c>
      <c r="D239" s="7" t="str">
        <f>IF(I239="PremiumSS",I239,IF(I239="PremiumSSS",I239,IF(I239="PremiumW",I239,"Premium")))</f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7">
        <f ca="1">IFERROR(VLOOKUP(B239,input_332010!L:R,7,FALSE),VLOOKUP(tables_332010!C239,input_332010!A:H,8,FALSE))</f>
        <v>222</v>
      </c>
      <c r="P239" s="48">
        <f ca="1">O239/SUM(O:O)</f>
        <v>8.8235294117647065E-5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input_332010!A$2</f>
        <v>332010</v>
      </c>
      <c r="B240" s="6">
        <v>662</v>
      </c>
      <c r="C240" s="7" t="str">
        <f>D240&amp;J240&amp;E240&amp;F240&amp;G240</f>
        <v>Premium3</v>
      </c>
      <c r="D240" s="7" t="str">
        <f>IF(I240="PremiumSS",I240,IF(I240="PremiumSSS",I240,IF(I240="PremiumW",I240,"Premium")))</f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7">
        <f ca="1">IFERROR(VLOOKUP(B240,input_332010!L:R,7,FALSE),VLOOKUP(tables_332010!C240,input_332010!A:H,8,FALSE))</f>
        <v>0</v>
      </c>
      <c r="P240" s="48">
        <f ca="1">O240/SUM(O:O)</f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input_332010!A$2</f>
        <v>332010</v>
      </c>
      <c r="B241" s="6">
        <v>663</v>
      </c>
      <c r="C241" s="7" t="str">
        <f>D241&amp;J241&amp;E241&amp;F241&amp;G241</f>
        <v>Premium4</v>
      </c>
      <c r="D241" s="7" t="str">
        <f>IF(I241="PremiumSS",I241,IF(I241="PremiumSSS",I241,IF(I241="PremiumW",I241,"Premium")))</f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7">
        <f ca="1">IFERROR(VLOOKUP(B241,input_332010!L:R,7,FALSE),VLOOKUP(tables_332010!C241,input_332010!A:H,8,FALSE))</f>
        <v>30039</v>
      </c>
      <c r="P241" s="48">
        <f ca="1">O241/SUM(O:O)</f>
        <v>1.193918918918919E-2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input_332010!A$2</f>
        <v>332010</v>
      </c>
      <c r="B242" s="6">
        <v>664</v>
      </c>
      <c r="C242" s="7" t="str">
        <f>D242&amp;J242&amp;E242&amp;F242&amp;G242</f>
        <v>Premium5</v>
      </c>
      <c r="D242" s="7" t="str">
        <f>IF(I242="PremiumSS",I242,IF(I242="PremiumSSS",I242,IF(I242="PremiumW",I242,"Premium")))</f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7">
        <f ca="1">IFERROR(VLOOKUP(B242,input_332010!L:R,7,FALSE),VLOOKUP(tables_332010!C242,input_332010!A:H,8,FALSE))</f>
        <v>1581</v>
      </c>
      <c r="P242" s="48">
        <f ca="1">O242/SUM(O:O)</f>
        <v>6.283783783783784E-4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input_332010!A$2</f>
        <v>332010</v>
      </c>
      <c r="B243" s="6">
        <v>665</v>
      </c>
      <c r="C243" s="7" t="str">
        <f>D243&amp;J243&amp;E243&amp;F243&amp;G243</f>
        <v>Premium3</v>
      </c>
      <c r="D243" s="7" t="str">
        <f>IF(I243="PremiumSS",I243,IF(I243="PremiumSSS",I243,IF(I243="PremiumW",I243,"Premium")))</f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7">
        <f ca="1">IFERROR(VLOOKUP(B243,input_332010!L:R,7,FALSE),VLOOKUP(tables_332010!C243,input_332010!A:H,8,FALSE))</f>
        <v>0</v>
      </c>
      <c r="P243" s="48">
        <f ca="1">O243/SUM(O:O)</f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input_332010!A$2</f>
        <v>332010</v>
      </c>
      <c r="B244" s="6">
        <v>666</v>
      </c>
      <c r="C244" s="7" t="str">
        <f>D244&amp;J244&amp;E244&amp;F244&amp;G244</f>
        <v>Premium4</v>
      </c>
      <c r="D244" s="7" t="str">
        <f>IF(I244="PremiumSS",I244,IF(I244="PremiumSSS",I244,IF(I244="PremiumW",I244,"Premium")))</f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7">
        <f ca="1">IFERROR(VLOOKUP(B244,input_332010!L:R,7,FALSE),VLOOKUP(tables_332010!C244,input_332010!A:H,8,FALSE))</f>
        <v>30039</v>
      </c>
      <c r="P244" s="48">
        <f ca="1">O244/SUM(O:O)</f>
        <v>1.193918918918919E-2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input_332010!A$2</f>
        <v>332010</v>
      </c>
      <c r="B245" s="6">
        <v>667</v>
      </c>
      <c r="C245" s="7" t="str">
        <f>D245&amp;J245&amp;E245&amp;F245&amp;G245</f>
        <v>Premium5</v>
      </c>
      <c r="D245" s="7" t="str">
        <f>IF(I245="PremiumSS",I245,IF(I245="PremiumSSS",I245,IF(I245="PremiumW",I245,"Premium")))</f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7">
        <f ca="1">IFERROR(VLOOKUP(B245,input_332010!L:R,7,FALSE),VLOOKUP(tables_332010!C245,input_332010!A:H,8,FALSE))</f>
        <v>1581</v>
      </c>
      <c r="P245" s="48">
        <f ca="1">O245/SUM(O:O)</f>
        <v>6.283783783783784E-4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input_332010!A$2</f>
        <v>332010</v>
      </c>
      <c r="B246" s="62">
        <v>668</v>
      </c>
      <c r="C246" s="7" t="str">
        <f>D246&amp;J246&amp;E246&amp;F246&amp;G246</f>
        <v>Premium3</v>
      </c>
      <c r="D246" s="7" t="str">
        <f>IF(I246="PremiumSS",I246,IF(I246="PremiumSSS",I246,IF(I246="PremiumW",I246,"Premium")))</f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7">
        <f ca="1">IFERROR(VLOOKUP(B246,input_332010!L:R,7,FALSE),VLOOKUP(tables_332010!C246,input_332010!A:H,8,FALSE))</f>
        <v>0</v>
      </c>
      <c r="P246" s="48">
        <f ca="1">O246/SUM(O:O)</f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input_332010!A$2</f>
        <v>332010</v>
      </c>
      <c r="B247" s="62">
        <v>669</v>
      </c>
      <c r="C247" s="7" t="str">
        <f>D247&amp;J247&amp;E247&amp;F247&amp;G247</f>
        <v>Premium4</v>
      </c>
      <c r="D247" s="7" t="str">
        <f>IF(I247="PremiumSS",I247,IF(I247="PremiumSSS",I247,IF(I247="PremiumW",I247,"Premium")))</f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7">
        <f ca="1">IFERROR(VLOOKUP(B247,input_332010!L:R,7,FALSE),VLOOKUP(tables_332010!C247,input_332010!A:H,8,FALSE))</f>
        <v>30039</v>
      </c>
      <c r="P247" s="48">
        <f ca="1">O247/SUM(O:O)</f>
        <v>1.193918918918919E-2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input_332010!A$2</f>
        <v>332010</v>
      </c>
      <c r="B248" s="62">
        <v>670</v>
      </c>
      <c r="C248" s="7" t="str">
        <f>D248&amp;J248&amp;E248&amp;F248&amp;G248</f>
        <v>Premium5</v>
      </c>
      <c r="D248" s="7" t="str">
        <f>IF(I248="PremiumSS",I248,IF(I248="PremiumSSS",I248,IF(I248="PremiumW",I248,"Premium")))</f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7">
        <f ca="1">IFERROR(VLOOKUP(B248,input_332010!L:R,7,FALSE),VLOOKUP(tables_332010!C248,input_332010!A:H,8,FALSE))</f>
        <v>1581</v>
      </c>
      <c r="P248" s="48">
        <f ca="1">O248/SUM(O:O)</f>
        <v>6.283783783783784E-4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input_332010!A$2</f>
        <v>332010</v>
      </c>
      <c r="B249" s="62">
        <v>671</v>
      </c>
      <c r="C249" s="7" t="str">
        <f>D249&amp;J249&amp;E249&amp;F249&amp;G249</f>
        <v>Premium3</v>
      </c>
      <c r="D249" s="7" t="str">
        <f>IF(I249="PremiumSS",I249,IF(I249="PremiumSSS",I249,IF(I249="PremiumW",I249,"Premium")))</f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7">
        <f ca="1">IFERROR(VLOOKUP(B249,input_332010!L:R,7,FALSE),VLOOKUP(tables_332010!C249,input_332010!A:H,8,FALSE))</f>
        <v>0</v>
      </c>
      <c r="P249" s="48">
        <f ca="1">O249/SUM(O:O)</f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input_332010!A$2</f>
        <v>332010</v>
      </c>
      <c r="B250" s="62">
        <v>672</v>
      </c>
      <c r="C250" s="7" t="str">
        <f>D250&amp;J250&amp;E250&amp;F250&amp;G250</f>
        <v>Premium4</v>
      </c>
      <c r="D250" s="7" t="str">
        <f>IF(I250="PremiumSS",I250,IF(I250="PremiumSSS",I250,IF(I250="PremiumW",I250,"Premium")))</f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7">
        <f ca="1">IFERROR(VLOOKUP(B250,input_332010!L:R,7,FALSE),VLOOKUP(tables_332010!C250,input_332010!A:H,8,FALSE))</f>
        <v>30039</v>
      </c>
      <c r="P250" s="48">
        <f ca="1">O250/SUM(O:O)</f>
        <v>1.193918918918919E-2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input_332010!A$2</f>
        <v>332010</v>
      </c>
      <c r="B251" s="62">
        <v>673</v>
      </c>
      <c r="C251" s="7" t="str">
        <f>D251&amp;J251&amp;E251&amp;F251&amp;G251</f>
        <v>Premium5</v>
      </c>
      <c r="D251" s="7" t="str">
        <f>IF(I251="PremiumSS",I251,IF(I251="PremiumSSS",I251,IF(I251="PremiumW",I251,"Premium")))</f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7">
        <f ca="1">IFERROR(VLOOKUP(B251,input_332010!L:R,7,FALSE),VLOOKUP(tables_332010!C251,input_332010!A:H,8,FALSE))</f>
        <v>1581</v>
      </c>
      <c r="P251" s="48">
        <f ca="1">O251/SUM(O:O)</f>
        <v>6.283783783783784E-4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input_332010!A$2</f>
        <v>332010</v>
      </c>
      <c r="B252" s="62">
        <v>674</v>
      </c>
      <c r="C252" s="7" t="str">
        <f>D252&amp;J252&amp;E252&amp;F252&amp;G252</f>
        <v>PremiumSS4</v>
      </c>
      <c r="D252" s="7" t="str">
        <f>IF(I252="PremiumSS",I252,IF(I252="PremiumSSS",I252,IF(I252="PremiumW",I252,"Premium")))</f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7">
        <f ca="1">IFERROR(VLOOKUP(B252,input_332010!L:R,7,FALSE),VLOOKUP(tables_332010!C252,input_332010!A:H,8,FALSE))</f>
        <v>4218</v>
      </c>
      <c r="P252" s="48">
        <f ca="1">O252/SUM(O:O)</f>
        <v>1.676470588235294E-3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input_332010!A$2</f>
        <v>332010</v>
      </c>
      <c r="B253" s="62">
        <v>675</v>
      </c>
      <c r="C253" s="7" t="str">
        <f>D253&amp;J253&amp;E253&amp;F253&amp;G253</f>
        <v>PremiumSS5</v>
      </c>
      <c r="D253" s="7" t="str">
        <f>IF(I253="PremiumSS",I253,IF(I253="PremiumSSS",I253,IF(I253="PremiumW",I253,"Premium")))</f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7">
        <f ca="1">IFERROR(VLOOKUP(B253,input_332010!L:R,7,FALSE),VLOOKUP(tables_332010!C253,input_332010!A:H,8,FALSE))</f>
        <v>222</v>
      </c>
      <c r="P253" s="48">
        <f ca="1">O253/SUM(O:O)</f>
        <v>8.8235294117647065E-5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input_332010!A$2</f>
        <v>332010</v>
      </c>
      <c r="B254" s="62">
        <v>676</v>
      </c>
      <c r="C254" s="7" t="str">
        <f>D254&amp;J254&amp;E254&amp;F254&amp;G254</f>
        <v>PremiumSS4</v>
      </c>
      <c r="D254" s="7" t="str">
        <f>IF(I254="PremiumSS",I254,IF(I254="PremiumSSS",I254,IF(I254="PremiumW",I254,"Premium")))</f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7">
        <f ca="1">IFERROR(VLOOKUP(B254,input_332010!L:R,7,FALSE),VLOOKUP(tables_332010!C254,input_332010!A:H,8,FALSE))</f>
        <v>4218</v>
      </c>
      <c r="P254" s="48">
        <f ca="1">O254/SUM(O:O)</f>
        <v>1.676470588235294E-3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input_332010!A$2</f>
        <v>332010</v>
      </c>
      <c r="B255" s="62">
        <v>677</v>
      </c>
      <c r="C255" s="7" t="str">
        <f>D255&amp;J255&amp;E255&amp;F255&amp;G255</f>
        <v>PremiumSS5</v>
      </c>
      <c r="D255" s="7" t="str">
        <f>IF(I255="PremiumSS",I255,IF(I255="PremiumSSS",I255,IF(I255="PremiumW",I255,"Premium")))</f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7">
        <f ca="1">IFERROR(VLOOKUP(B255,input_332010!L:R,7,FALSE),VLOOKUP(tables_332010!C255,input_332010!A:H,8,FALSE))</f>
        <v>222</v>
      </c>
      <c r="P255" s="48">
        <f ca="1">O255/SUM(O:O)</f>
        <v>8.8235294117647065E-5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input_332010!A$2</f>
        <v>332010</v>
      </c>
      <c r="B256" s="62">
        <v>728</v>
      </c>
      <c r="C256" s="7" t="str">
        <f>D256&amp;J256&amp;E256&amp;F256&amp;G256</f>
        <v>Premium4R3less</v>
      </c>
      <c r="D256" s="7" t="str">
        <f>IF(I256="PremiumSS",I256,IF(I256="PremiumSSS",I256,IF(I256="PremiumW",I256,"Premium")))</f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7">
        <f ca="1">IFERROR(VLOOKUP(B256,input_332010!L:R,7,FALSE),VLOOKUP(tables_332010!C256,input_332010!A:H,8,FALSE))</f>
        <v>17818</v>
      </c>
      <c r="P256" s="48">
        <f ca="1">O256/SUM(O:O)</f>
        <v>7.0818759936406997E-3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input_332010!A$2</f>
        <v>332010</v>
      </c>
      <c r="B257" s="62">
        <v>729</v>
      </c>
      <c r="C257" s="7" t="str">
        <f>D257&amp;J257&amp;E257&amp;F257&amp;G257</f>
        <v>Premium5R3less</v>
      </c>
      <c r="D257" s="7" t="str">
        <f>IF(I257="PremiumSS",I257,IF(I257="PremiumSSS",I257,IF(I257="PremiumW",I257,"Premium")))</f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7">
        <f ca="1">IFERROR(VLOOKUP(B257,input_332010!L:R,7,FALSE),VLOOKUP(tables_332010!C257,input_332010!A:H,8,FALSE))</f>
        <v>13802</v>
      </c>
      <c r="P257" s="48">
        <f ca="1">O257/SUM(O:O)</f>
        <v>5.4856915739268678E-3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input_332010!A$2</f>
        <v>332010</v>
      </c>
      <c r="B258" s="62">
        <v>730</v>
      </c>
      <c r="C258" s="7" t="str">
        <f>D258&amp;J258&amp;E258&amp;F258&amp;G258</f>
        <v>Premium4R3less</v>
      </c>
      <c r="D258" s="7" t="str">
        <f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7">
        <f ca="1">IFERROR(VLOOKUP(B258,input_332010!L:R,7,FALSE),VLOOKUP(tables_332010!C258,input_332010!A:H,8,FALSE))</f>
        <v>17818</v>
      </c>
      <c r="P258" s="48">
        <f ca="1">O258/SUM(O:O)</f>
        <v>7.0818759936406997E-3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input_332010!A$2</f>
        <v>332010</v>
      </c>
      <c r="B259" s="62">
        <v>731</v>
      </c>
      <c r="C259" s="7" t="str">
        <f>D259&amp;J259&amp;E259&amp;F259&amp;G259</f>
        <v>Premium5R3less</v>
      </c>
      <c r="D259" s="7" t="str">
        <f>IF(I259="PremiumSS",I259,IF(I259="PremiumSSS",I259,IF(I259="PremiumW",I259,"Premium")))</f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7">
        <f ca="1">IFERROR(VLOOKUP(B259,input_332010!L:R,7,FALSE),VLOOKUP(tables_332010!C259,input_332010!A:H,8,FALSE))</f>
        <v>13802</v>
      </c>
      <c r="P259" s="48">
        <f ca="1">O259/SUM(O:O)</f>
        <v>5.4856915739268678E-3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input_332010!A$2</f>
        <v>332010</v>
      </c>
      <c r="B260" s="62">
        <v>732</v>
      </c>
      <c r="C260" s="7" t="str">
        <f>D260&amp;J260&amp;E260&amp;F260&amp;G260</f>
        <v>PremiumSS5R5only</v>
      </c>
      <c r="D260" s="7" t="str">
        <f>IF(I260="PremiumSS",I260,IF(I260="PremiumSSS",I260,IF(I260="PremiumW",I260,"Premium")))</f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7">
        <f ca="1">IFERROR(VLOOKUP(B260,input_332010!L:R,7,FALSE),VLOOKUP(tables_332010!C260,input_332010!A:H,8,FALSE))</f>
        <v>4440</v>
      </c>
      <c r="P260" s="48">
        <f ca="1">O260/SUM(O:O)</f>
        <v>1.7647058823529412E-3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input_332010!A$2</f>
        <v>332010</v>
      </c>
      <c r="B261" s="62">
        <v>734</v>
      </c>
      <c r="C261" s="7" t="str">
        <f>D261&amp;J261&amp;E261&amp;F261&amp;G261</f>
        <v>PremiumSS5R5only</v>
      </c>
      <c r="D261" s="7" t="str">
        <f>IF(I261="PremiumSS",I261,IF(I261="PremiumSSS",I261,IF(I261="PremiumW",I261,"Premium")))</f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7">
        <f ca="1">IFERROR(VLOOKUP(B261,input_332010!L:R,7,FALSE),VLOOKUP(tables_332010!C261,input_332010!A:H,8,FALSE))</f>
        <v>4440</v>
      </c>
      <c r="P261" s="48">
        <f ca="1">O261/SUM(O:O)</f>
        <v>1.7647058823529412E-3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input_332010!A$2</f>
        <v>332010</v>
      </c>
      <c r="B262" s="62">
        <v>770</v>
      </c>
      <c r="C262" s="7" t="str">
        <f>D262&amp;J262&amp;E262&amp;F262&amp;G262</f>
        <v>PremiumSS4</v>
      </c>
      <c r="D262" s="7" t="str">
        <f>IF(I262="PremiumSS",I262,IF(I262="PremiumSSS",I262,IF(I262="PremiumW",I262,"Premium")))</f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7">
        <f ca="1">IFERROR(VLOOKUP(B262,input_332010!L:R,7,FALSE),VLOOKUP(tables_332010!C262,input_332010!A:H,8,FALSE))</f>
        <v>4218</v>
      </c>
      <c r="P262" s="48">
        <f ca="1">O262/SUM(O:O)</f>
        <v>1.676470588235294E-3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input_332010!A$2</f>
        <v>332010</v>
      </c>
      <c r="B263" s="62">
        <v>771</v>
      </c>
      <c r="C263" s="7" t="str">
        <f>D263&amp;J263&amp;E263&amp;F263&amp;G263</f>
        <v>PremiumSS5</v>
      </c>
      <c r="D263" s="7" t="str">
        <f>IF(I263="PremiumSS",I263,IF(I263="PremiumSSS",I263,IF(I263="PremiumW",I263,"Premium")))</f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7">
        <f ca="1">IFERROR(VLOOKUP(B263,input_332010!L:R,7,FALSE),VLOOKUP(tables_332010!C263,input_332010!A:H,8,FALSE))</f>
        <v>222</v>
      </c>
      <c r="P263" s="48">
        <f ca="1">O263/SUM(O:O)</f>
        <v>8.8235294117647065E-5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input_332010!A$2</f>
        <v>332010</v>
      </c>
      <c r="B264" s="62">
        <v>772</v>
      </c>
      <c r="C264" s="7" t="str">
        <f>D264&amp;J264&amp;E264&amp;F264&amp;G264</f>
        <v>PremiumSS4</v>
      </c>
      <c r="D264" s="7" t="str">
        <f>IF(I264="PremiumSS",I264,IF(I264="PremiumSSS",I264,IF(I264="PremiumW",I264,"Premium")))</f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7">
        <f ca="1">IFERROR(VLOOKUP(B264,input_332010!L:R,7,FALSE),VLOOKUP(tables_332010!C264,input_332010!A:H,8,FALSE))</f>
        <v>4218</v>
      </c>
      <c r="P264" s="48">
        <f ca="1">O264/SUM(O:O)</f>
        <v>1.676470588235294E-3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input_332010!A$2</f>
        <v>332010</v>
      </c>
      <c r="B265" s="62">
        <v>773</v>
      </c>
      <c r="C265" s="7" t="str">
        <f>D265&amp;J265&amp;E265&amp;F265&amp;G265</f>
        <v>PremiumSS5</v>
      </c>
      <c r="D265" s="7" t="str">
        <f>IF(I265="PremiumSS",I265,IF(I265="PremiumSSS",I265,IF(I265="PremiumW",I265,"Premium")))</f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7">
        <f ca="1">IFERROR(VLOOKUP(B265,input_332010!L:R,7,FALSE),VLOOKUP(tables_332010!C265,input_332010!A:H,8,FALSE))</f>
        <v>222</v>
      </c>
      <c r="P265" s="48">
        <f ca="1">O265/SUM(O:O)</f>
        <v>8.8235294117647065E-5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input_332010!A$2</f>
        <v>332010</v>
      </c>
      <c r="B266" s="62">
        <v>774</v>
      </c>
      <c r="C266" s="7" t="str">
        <f>D266&amp;J266&amp;E266&amp;F266&amp;G266</f>
        <v>Premium3</v>
      </c>
      <c r="D266" s="7" t="str">
        <f>IF(I266="PremiumSS",I266,IF(I266="PremiumSSS",I266,IF(I266="PremiumW",I266,"Premium")))</f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7">
        <f ca="1">IFERROR(VLOOKUP(B266,input_332010!L:R,7,FALSE),VLOOKUP(tables_332010!C266,input_332010!A:H,8,FALSE))</f>
        <v>0</v>
      </c>
      <c r="P266" s="48">
        <f ca="1">O266/SUM(O:O)</f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input_332010!A$2</f>
        <v>332010</v>
      </c>
      <c r="B267" s="62">
        <v>775</v>
      </c>
      <c r="C267" s="7" t="str">
        <f>D267&amp;J267&amp;E267&amp;F267&amp;G267</f>
        <v>Premium4</v>
      </c>
      <c r="D267" s="7" t="str">
        <f>IF(I267="PremiumSS",I267,IF(I267="PremiumSSS",I267,IF(I267="PremiumW",I267,"Premium")))</f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7">
        <f ca="1">IFERROR(VLOOKUP(B267,input_332010!L:R,7,FALSE),VLOOKUP(tables_332010!C267,input_332010!A:H,8,FALSE))</f>
        <v>30039</v>
      </c>
      <c r="P267" s="48">
        <f ca="1">O267/SUM(O:O)</f>
        <v>1.193918918918919E-2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input_332010!A$2</f>
        <v>332010</v>
      </c>
      <c r="B268" s="62">
        <v>776</v>
      </c>
      <c r="C268" s="7" t="str">
        <f>D268&amp;J268&amp;E268&amp;F268&amp;G268</f>
        <v>Premium5</v>
      </c>
      <c r="D268" s="7" t="str">
        <f>IF(I268="PremiumSS",I268,IF(I268="PremiumSSS",I268,IF(I268="PremiumW",I268,"Premium")))</f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7">
        <f ca="1">IFERROR(VLOOKUP(B268,input_332010!L:R,7,FALSE),VLOOKUP(tables_332010!C268,input_332010!A:H,8,FALSE))</f>
        <v>1581</v>
      </c>
      <c r="P268" s="48">
        <f ca="1">O268/SUM(O:O)</f>
        <v>6.283783783783784E-4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input_332010!A$2</f>
        <v>332010</v>
      </c>
      <c r="B269" s="62">
        <v>777</v>
      </c>
      <c r="C269" s="7" t="str">
        <f>D269&amp;J269&amp;E269&amp;F269&amp;G269</f>
        <v>Premium3</v>
      </c>
      <c r="D269" s="7" t="str">
        <f>IF(I269="PremiumSS",I269,IF(I269="PremiumSSS",I269,IF(I269="PremiumW",I269,"Premium")))</f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7">
        <f ca="1">IFERROR(VLOOKUP(B269,input_332010!L:R,7,FALSE),VLOOKUP(tables_332010!C269,input_332010!A:H,8,FALSE))</f>
        <v>0</v>
      </c>
      <c r="P269" s="48">
        <f ca="1">O269/SUM(O:O)</f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input_332010!A$2</f>
        <v>332010</v>
      </c>
      <c r="B270" s="62">
        <v>778</v>
      </c>
      <c r="C270" s="7" t="str">
        <f>D270&amp;J270&amp;E270&amp;F270&amp;G270</f>
        <v>Premium4</v>
      </c>
      <c r="D270" s="7" t="str">
        <f>IF(I270="PremiumSS",I270,IF(I270="PremiumSSS",I270,IF(I270="PremiumW",I270,"Premium")))</f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7">
        <f ca="1">IFERROR(VLOOKUP(B270,input_332010!L:R,7,FALSE),VLOOKUP(tables_332010!C270,input_332010!A:H,8,FALSE))</f>
        <v>30039</v>
      </c>
      <c r="P270" s="48">
        <f ca="1">O270/SUM(O:O)</f>
        <v>1.193918918918919E-2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input_332010!A$2</f>
        <v>332010</v>
      </c>
      <c r="B271" s="62">
        <v>779</v>
      </c>
      <c r="C271" s="7" t="str">
        <f>D271&amp;J271&amp;E271&amp;F271&amp;G271</f>
        <v>Premium5</v>
      </c>
      <c r="D271" s="7" t="str">
        <f>IF(I271="PremiumSS",I271,IF(I271="PremiumSSS",I271,IF(I271="PremiumW",I271,"Premium")))</f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7">
        <f ca="1">IFERROR(VLOOKUP(B271,input_332010!L:R,7,FALSE),VLOOKUP(tables_332010!C271,input_332010!A:H,8,FALSE))</f>
        <v>1581</v>
      </c>
      <c r="P271" s="48">
        <f ca="1">O271/SUM(O:O)</f>
        <v>6.283783783783784E-4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input_332010!A$2</f>
        <v>332010</v>
      </c>
      <c r="B272" s="62">
        <v>688</v>
      </c>
      <c r="C272" s="7" t="str">
        <f t="shared" ref="C272:C274" si="0">D272&amp;J272&amp;E272&amp;F272&amp;G272</f>
        <v>PremiumSSS4R3less</v>
      </c>
      <c r="D272" s="7" t="str">
        <f t="shared" ref="D272:D274" si="1">IF(I272="PremiumSS",I272,IF(I272="PremiumSSS",I272,IF(I272="PremiumW",I272,"Premium")))</f>
        <v>PremiumSSS</v>
      </c>
      <c r="E272" s="7" t="str">
        <f>IF(COUNTIF('R6追加前'!A:A,B272)=0,IF(I272="PremiumSS","R5only","R3less"),"")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ユークリッド</v>
      </c>
      <c r="I272" s="7" t="str">
        <f>VLOOKUP(B272,[1]characters!$A:$J,10,FALSE)</f>
        <v>PremiumSSS</v>
      </c>
      <c r="J272" s="7">
        <f>VLOOKUP(B272,[1]characters!$A:$I,9,FALSE)</f>
        <v>4</v>
      </c>
      <c r="K272" s="7" t="str">
        <f>VLOOKUP(B272,[1]characters!$A:$H,8,FALSE)</f>
        <v>blue</v>
      </c>
      <c r="L272" s="7" t="str">
        <f>VLOOKUP(B272,[1]characters!$A:$K,11,FALSE)</f>
        <v>balance</v>
      </c>
      <c r="M272" s="7" t="str">
        <f>VLOOKUP(B272,[1]characters!$A:$M,13,FALSE)</f>
        <v>human</v>
      </c>
      <c r="N272" s="7" t="str">
        <f>VLOOKUP(B272,[1]characters!$A:$G,7,FALSE)</f>
        <v>女性</v>
      </c>
      <c r="O272" s="47">
        <f>IFERROR(VLOOKUP(B272,input_332010!L:R,7,FALSE),VLOOKUP(tables_332010!C272,input_332010!A:H,8,FALSE))</f>
        <v>2516</v>
      </c>
      <c r="P272" s="48">
        <f t="shared" ref="P272:P274" ca="1" si="2">O272/SUM(O:O)</f>
        <v>1E-3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input_332010!A$2</f>
        <v>332010</v>
      </c>
      <c r="B273" s="62">
        <v>689</v>
      </c>
      <c r="C273" s="7" t="str">
        <f t="shared" si="0"/>
        <v>PremiumSSS5R3less</v>
      </c>
      <c r="D273" s="7" t="str">
        <f t="shared" si="1"/>
        <v>PremiumSSS</v>
      </c>
      <c r="E273" s="7" t="str">
        <f>IF(COUNTIF('R6追加前'!A:A,B273)=0,IF(I273="PremiumSS","R5only","R3less"),"")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根原論理 ユークリッド</v>
      </c>
      <c r="I273" s="7" t="str">
        <f>VLOOKUP(B273,[1]characters!$A:$J,10,FALSE)</f>
        <v>PremiumSSS</v>
      </c>
      <c r="J273" s="7">
        <f>VLOOKUP(B273,[1]characters!$A:$I,9,FALSE)</f>
        <v>5</v>
      </c>
      <c r="K273" s="7" t="str">
        <f>VLOOKUP(B273,[1]characters!$A:$H,8,FALSE)</f>
        <v>blue</v>
      </c>
      <c r="L273" s="7" t="str">
        <f>VLOOKUP(B273,[1]characters!$A:$K,11,FALSE)</f>
        <v>balance</v>
      </c>
      <c r="M273" s="7" t="str">
        <f>VLOOKUP(B273,[1]characters!$A:$M,13,FALSE)</f>
        <v>human</v>
      </c>
      <c r="N273" s="7" t="str">
        <f>VLOOKUP(B273,[1]characters!$A:$G,7,FALSE)</f>
        <v>女性</v>
      </c>
      <c r="O273" s="47">
        <f>IFERROR(VLOOKUP(B273,input_332010!L:R,7,FALSE),VLOOKUP(tables_332010!C273,input_332010!A:H,8,FALSE))</f>
        <v>10064</v>
      </c>
      <c r="P273" s="48">
        <f ca="1">O273/SUM(O:O)</f>
        <v>4.0000000000000001E-3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input_332010!A$2</f>
        <v>332010</v>
      </c>
      <c r="B274" s="62">
        <v>870</v>
      </c>
      <c r="C274" s="7" t="str">
        <f t="shared" si="0"/>
        <v>PremiumSSS5R3less</v>
      </c>
      <c r="D274" s="7" t="str">
        <f t="shared" si="1"/>
        <v>PremiumSSS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フロイト</v>
      </c>
      <c r="I274" s="7" t="str">
        <f>VLOOKUP(B274,[1]characters!$A:$J,10,FALSE)</f>
        <v>PremiumSSS</v>
      </c>
      <c r="J274" s="7">
        <f>VLOOKUP(B274,[1]characters!$A:$I,9,FALSE)</f>
        <v>5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academia</v>
      </c>
      <c r="N274" s="7" t="str">
        <f>VLOOKUP(B274,[1]characters!$A:$G,7,FALSE)</f>
        <v>男性</v>
      </c>
      <c r="O274" s="47">
        <f>IFERROR(VLOOKUP(B274,input_332010!L:R,7,FALSE),VLOOKUP(tables_332010!C274,input_332010!A:H,8,FALSE))</f>
        <v>12580</v>
      </c>
      <c r="P274" s="48">
        <f ca="1">O274/SUM(O:O)</f>
        <v>5.0000000000000001E-3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</sheetData>
  <sortState ref="A2:Y189">
    <sortCondition ref="A2:A189"/>
  </sortState>
  <phoneticPr fontId="16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48"/>
  <sheetViews>
    <sheetView workbookViewId="0">
      <selection activeCell="F31" sqref="F31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50" t="s">
        <v>86</v>
      </c>
      <c r="B1" s="50"/>
      <c r="L1" s="40" t="s">
        <v>64</v>
      </c>
      <c r="M1" s="40"/>
      <c r="U1" t="s">
        <v>64</v>
      </c>
    </row>
    <row r="2" spans="1:22" x14ac:dyDescent="0.15">
      <c r="A2" t="str">
        <f ca="1">RIGHT(RIGHT(CELL("filename",A2),LEN(CELL("filename",A2))-FIND("]",CELL("filename",A2))),6)</f>
        <v>332100</v>
      </c>
      <c r="L2" s="34" t="s">
        <v>1</v>
      </c>
      <c r="M2" s="39" t="s">
        <v>68</v>
      </c>
      <c r="N2" s="34" t="s">
        <v>66</v>
      </c>
      <c r="O2" s="39" t="s">
        <v>69</v>
      </c>
      <c r="P2" s="39" t="s">
        <v>70</v>
      </c>
      <c r="Q2" s="39" t="s">
        <v>67</v>
      </c>
      <c r="R2" s="46" t="s">
        <v>76</v>
      </c>
      <c r="U2" s="34" t="s">
        <v>199</v>
      </c>
      <c r="V2" s="56">
        <f>SUMIF(Q:Q,U2,N:N)</f>
        <v>0</v>
      </c>
    </row>
    <row r="3" spans="1:22" x14ac:dyDescent="0.15">
      <c r="H3" s="75" t="s">
        <v>221</v>
      </c>
      <c r="L3" s="62">
        <v>688</v>
      </c>
      <c r="M3" s="39" t="str">
        <f>VLOOKUP(L3,[1]characters!$A:$C,3,FALSE)</f>
        <v>ユークリッド</v>
      </c>
      <c r="N3" s="65">
        <v>1E-3</v>
      </c>
      <c r="O3" s="39">
        <f>VLOOKUP(L3,[1]characters!$A:$I,9,FALSE)</f>
        <v>4</v>
      </c>
      <c r="P3" s="39" t="str">
        <f>VLOOKUP(L3,[1]characters!$A:$J,10,FALSE)</f>
        <v>PremiumSSS</v>
      </c>
      <c r="Q3" s="39" t="str">
        <f>VLOOKUP(L3,tables_332100!B:C,2,FALSE)</f>
        <v>PremiumSSS4R3less</v>
      </c>
      <c r="R3" s="64">
        <f t="shared" ref="R3:R20" si="0">N3*A$36</f>
        <v>2516</v>
      </c>
      <c r="S3">
        <v>190</v>
      </c>
      <c r="U3" s="34" t="s">
        <v>200</v>
      </c>
      <c r="V3" s="56">
        <f t="shared" ref="V3:V16" si="1">SUMIF(Q:Q,U3,N:N)</f>
        <v>0</v>
      </c>
    </row>
    <row r="4" spans="1:22" x14ac:dyDescent="0.15">
      <c r="A4" s="36" t="s">
        <v>55</v>
      </c>
      <c r="B4" s="36"/>
      <c r="D4" t="s">
        <v>209</v>
      </c>
      <c r="F4" t="s">
        <v>212</v>
      </c>
      <c r="H4" t="s">
        <v>219</v>
      </c>
      <c r="I4" t="s">
        <v>220</v>
      </c>
      <c r="L4" s="62">
        <v>689</v>
      </c>
      <c r="M4" s="39" t="str">
        <f>VLOOKUP(L4,[1]characters!$A:$C,3,FALSE)</f>
        <v>根原論理 ユークリッド</v>
      </c>
      <c r="N4" s="65">
        <v>4.0000000000000001E-3</v>
      </c>
      <c r="O4" s="39">
        <f>VLOOKUP(L4,[1]characters!$A:$I,9,FALSE)</f>
        <v>5</v>
      </c>
      <c r="P4" s="39" t="str">
        <f>VLOOKUP(L4,[1]characters!$A:$J,10,FALSE)</f>
        <v>PremiumSSS</v>
      </c>
      <c r="Q4" s="39" t="str">
        <f>VLOOKUP(L4,tables_332100!B:C,2,FALSE)</f>
        <v>PremiumSSS5R3less</v>
      </c>
      <c r="R4" s="64">
        <f t="shared" si="0"/>
        <v>10064</v>
      </c>
      <c r="S4">
        <v>191</v>
      </c>
      <c r="U4" s="34" t="s">
        <v>102</v>
      </c>
      <c r="V4" s="56">
        <f t="shared" si="1"/>
        <v>0</v>
      </c>
    </row>
    <row r="5" spans="1:22" x14ac:dyDescent="0.15">
      <c r="A5" s="34" t="s">
        <v>71</v>
      </c>
      <c r="B5" s="74">
        <f>1-B6-B7-B8</f>
        <v>4.163336342344337E-17</v>
      </c>
      <c r="D5" t="s">
        <v>210</v>
      </c>
      <c r="E5" s="45">
        <f>(B11-H5)/(F5-I5)</f>
        <v>1.764705882352941E-3</v>
      </c>
      <c r="F5">
        <f>(COUNTIF(tables_332100!C:C,input_332100!A26)+COUNTIF(tables_332100!C:C,input_332100!A28)+COUNTIF(tables_332100!C:C,input_332100!A29))</f>
        <v>34</v>
      </c>
      <c r="H5" s="76">
        <v>0</v>
      </c>
      <c r="I5" s="31">
        <v>0</v>
      </c>
      <c r="L5" s="62">
        <v>870</v>
      </c>
      <c r="M5" s="39" t="str">
        <f>VLOOKUP(L5,[1]characters!$A:$C,3,FALSE)</f>
        <v>フロイト</v>
      </c>
      <c r="N5" s="65">
        <v>5.0000000000000001E-3</v>
      </c>
      <c r="O5" s="39">
        <f>VLOOKUP(L5,[1]characters!$A:$I,9,FALSE)</f>
        <v>5</v>
      </c>
      <c r="P5" s="39" t="str">
        <f>VLOOKUP(L5,[1]characters!$A:$J,10,FALSE)</f>
        <v>PremiumSSS</v>
      </c>
      <c r="Q5" s="39" t="str">
        <f>VLOOKUP(L5,tables_332100!B:C,2,FALSE)</f>
        <v>PremiumSSS5R3less</v>
      </c>
      <c r="R5" s="64">
        <f>N5*A$36</f>
        <v>12580</v>
      </c>
      <c r="S5">
        <v>192</v>
      </c>
      <c r="U5" s="34" t="s">
        <v>103</v>
      </c>
      <c r="V5" s="56">
        <f t="shared" si="1"/>
        <v>0</v>
      </c>
    </row>
    <row r="6" spans="1:22" x14ac:dyDescent="0.15">
      <c r="A6" s="34" t="s">
        <v>72</v>
      </c>
      <c r="B6" s="74">
        <v>0.95</v>
      </c>
      <c r="D6" t="s">
        <v>211</v>
      </c>
      <c r="E6" s="80">
        <f>(B10-H6)/(F6-I6)</f>
        <v>1.2567567567567568E-2</v>
      </c>
      <c r="F6">
        <f>(COUNTIF(tables_332100!C:C,input_332100!A18)+COUNTIF(tables_332100!C:C,input_332100!A20)+COUNTIF(tables_332100!C:C,input_332100!A22))</f>
        <v>74</v>
      </c>
      <c r="H6" s="76">
        <v>0</v>
      </c>
      <c r="I6" s="31">
        <v>0</v>
      </c>
      <c r="M6" s="39" t="e">
        <f>VLOOKUP(L6,[1]characters!$A:$C,3,FALSE)</f>
        <v>#N/A</v>
      </c>
      <c r="N6" s="65"/>
      <c r="O6" s="39" t="e">
        <f>VLOOKUP(L6,[1]characters!$A:$I,9,FALSE)</f>
        <v>#N/A</v>
      </c>
      <c r="P6" s="39" t="e">
        <f>VLOOKUP(L6,[1]characters!$A:$J,10,FALSE)</f>
        <v>#N/A</v>
      </c>
      <c r="Q6" s="39" t="e">
        <f>VLOOKUP(L6,tables_332100!B:C,2,FALSE)</f>
        <v>#N/A</v>
      </c>
      <c r="R6" s="64">
        <f t="shared" si="0"/>
        <v>0</v>
      </c>
      <c r="S6">
        <v>596</v>
      </c>
      <c r="U6" s="34" t="s">
        <v>104</v>
      </c>
      <c r="V6" s="56">
        <f t="shared" si="1"/>
        <v>0</v>
      </c>
    </row>
    <row r="7" spans="1:22" x14ac:dyDescent="0.15">
      <c r="A7" s="34" t="s">
        <v>73</v>
      </c>
      <c r="B7" s="74">
        <v>0.05</v>
      </c>
      <c r="M7" s="39" t="e">
        <f>VLOOKUP(L7,[1]characters!$A:$C,3,FALSE)</f>
        <v>#N/A</v>
      </c>
      <c r="N7" s="65"/>
      <c r="O7" s="39" t="e">
        <f>VLOOKUP(L7,[1]characters!$A:$I,9,FALSE)</f>
        <v>#N/A</v>
      </c>
      <c r="P7" s="39" t="e">
        <f>VLOOKUP(L7,[1]characters!$A:$J,10,FALSE)</f>
        <v>#N/A</v>
      </c>
      <c r="Q7" s="39" t="e">
        <f>VLOOKUP(L7,tables_332100!B:C,2,FALSE)</f>
        <v>#N/A</v>
      </c>
      <c r="R7" s="64">
        <f t="shared" si="0"/>
        <v>0</v>
      </c>
      <c r="S7">
        <v>597</v>
      </c>
      <c r="U7" s="34" t="s">
        <v>205</v>
      </c>
      <c r="V7" s="56">
        <f t="shared" si="1"/>
        <v>0</v>
      </c>
    </row>
    <row r="8" spans="1:22" x14ac:dyDescent="0.15">
      <c r="A8" s="59"/>
      <c r="B8" s="73"/>
      <c r="M8" s="39" t="e">
        <f>VLOOKUP(L8,[1]characters!$A:$C,3,FALSE)</f>
        <v>#N/A</v>
      </c>
      <c r="N8" s="65"/>
      <c r="O8" s="39" t="e">
        <f>VLOOKUP(L8,[1]characters!$A:$I,9,FALSE)</f>
        <v>#N/A</v>
      </c>
      <c r="P8" s="39" t="e">
        <f>VLOOKUP(L8,[1]characters!$A:$J,10,FALSE)</f>
        <v>#N/A</v>
      </c>
      <c r="Q8" s="39" t="e">
        <f>VLOOKUP(L8,tables_332100!B:C,2,FALSE)</f>
        <v>#N/A</v>
      </c>
      <c r="R8" s="64">
        <f t="shared" si="0"/>
        <v>0</v>
      </c>
      <c r="S8">
        <v>598</v>
      </c>
      <c r="U8" s="34" t="s">
        <v>206</v>
      </c>
      <c r="V8" s="56">
        <f t="shared" si="1"/>
        <v>0</v>
      </c>
    </row>
    <row r="9" spans="1:22" x14ac:dyDescent="0.15">
      <c r="A9" s="37" t="s">
        <v>56</v>
      </c>
      <c r="B9" s="37"/>
      <c r="M9" s="39" t="e">
        <f>VLOOKUP(L9,[1]characters!$A:$C,3,FALSE)</f>
        <v>#N/A</v>
      </c>
      <c r="N9" s="65"/>
      <c r="O9" s="39" t="e">
        <f>VLOOKUP(L9,[1]characters!$A:$I,9,FALSE)</f>
        <v>#N/A</v>
      </c>
      <c r="P9" s="39" t="e">
        <f>VLOOKUP(L9,[1]characters!$A:$J,10,FALSE)</f>
        <v>#N/A</v>
      </c>
      <c r="Q9" s="39" t="e">
        <f>VLOOKUP(L9,tables_332100!B:C,2,FALSE)</f>
        <v>#N/A</v>
      </c>
      <c r="R9" s="64">
        <f t="shared" si="0"/>
        <v>0</v>
      </c>
      <c r="S9">
        <v>390</v>
      </c>
      <c r="U9" s="34" t="s">
        <v>202</v>
      </c>
      <c r="V9" s="56">
        <f t="shared" si="1"/>
        <v>0</v>
      </c>
    </row>
    <row r="10" spans="1:22" x14ac:dyDescent="0.15">
      <c r="A10" s="34" t="s">
        <v>101</v>
      </c>
      <c r="B10" s="74">
        <f>1-B11-B12-B8</f>
        <v>0.92999999999999994</v>
      </c>
      <c r="C10" t="s">
        <v>218</v>
      </c>
      <c r="M10" s="39" t="e">
        <f>VLOOKUP(L10,[1]characters!$A:$C,3,FALSE)</f>
        <v>#N/A</v>
      </c>
      <c r="N10" s="65"/>
      <c r="O10" s="39" t="e">
        <f>VLOOKUP(L10,[1]characters!$A:$I,9,FALSE)</f>
        <v>#N/A</v>
      </c>
      <c r="P10" s="39" t="e">
        <f>VLOOKUP(L10,[1]characters!$A:$J,10,FALSE)</f>
        <v>#N/A</v>
      </c>
      <c r="Q10" s="39" t="e">
        <f>VLOOKUP(L10,tables_332100!B:C,2,FALSE)</f>
        <v>#N/A</v>
      </c>
      <c r="R10" s="64">
        <f t="shared" si="0"/>
        <v>0</v>
      </c>
      <c r="S10">
        <v>391</v>
      </c>
      <c r="U10" s="34" t="s">
        <v>203</v>
      </c>
      <c r="V10" s="56">
        <f t="shared" si="1"/>
        <v>0</v>
      </c>
    </row>
    <row r="11" spans="1:22" x14ac:dyDescent="0.15">
      <c r="A11" s="34" t="s">
        <v>58</v>
      </c>
      <c r="B11" s="81">
        <v>0.06</v>
      </c>
      <c r="C11" t="s">
        <v>223</v>
      </c>
      <c r="M11" s="39" t="e">
        <f>VLOOKUP(L11,[1]characters!$A:$C,3,FALSE)</f>
        <v>#N/A</v>
      </c>
      <c r="N11" s="65"/>
      <c r="O11" s="39" t="e">
        <f>VLOOKUP(L11,[1]characters!$A:$I,9,FALSE)</f>
        <v>#N/A</v>
      </c>
      <c r="P11" s="39" t="e">
        <f>VLOOKUP(L11,[1]characters!$A:$J,10,FALSE)</f>
        <v>#N/A</v>
      </c>
      <c r="Q11" s="39" t="e">
        <f>VLOOKUP(L11,tables_332100!B:C,2,FALSE)</f>
        <v>#N/A</v>
      </c>
      <c r="R11" s="64">
        <f t="shared" si="0"/>
        <v>0</v>
      </c>
      <c r="S11">
        <v>811</v>
      </c>
      <c r="U11" s="34" t="s">
        <v>204</v>
      </c>
      <c r="V11" s="56">
        <f t="shared" si="1"/>
        <v>0</v>
      </c>
    </row>
    <row r="12" spans="1:22" x14ac:dyDescent="0.15">
      <c r="A12" s="34" t="s">
        <v>57</v>
      </c>
      <c r="B12" s="35">
        <v>0.01</v>
      </c>
      <c r="M12" s="39" t="e">
        <f>VLOOKUP(L12,[1]characters!$A:$C,3,FALSE)</f>
        <v>#N/A</v>
      </c>
      <c r="N12" s="65"/>
      <c r="O12" s="39" t="e">
        <f>VLOOKUP(L12,[1]characters!$A:$I,9,FALSE)</f>
        <v>#N/A</v>
      </c>
      <c r="P12" s="39" t="e">
        <f>VLOOKUP(L12,[1]characters!$A:$J,10,FALSE)</f>
        <v>#N/A</v>
      </c>
      <c r="Q12" s="39" t="e">
        <f>VLOOKUP(L12,tables_332100!B:C,2,FALSE)</f>
        <v>#N/A</v>
      </c>
      <c r="R12" s="64">
        <f t="shared" si="0"/>
        <v>0</v>
      </c>
      <c r="S12">
        <v>496</v>
      </c>
      <c r="U12" s="34" t="s">
        <v>112</v>
      </c>
      <c r="V12" s="56">
        <f t="shared" si="1"/>
        <v>0</v>
      </c>
    </row>
    <row r="13" spans="1:22" x14ac:dyDescent="0.15">
      <c r="M13" s="39" t="e">
        <f>VLOOKUP(L13,[1]characters!$A:$C,3,FALSE)</f>
        <v>#N/A</v>
      </c>
      <c r="N13" s="65"/>
      <c r="O13" s="39" t="e">
        <f>VLOOKUP(L13,[1]characters!$A:$I,9,FALSE)</f>
        <v>#N/A</v>
      </c>
      <c r="P13" s="39" t="e">
        <f>VLOOKUP(L13,[1]characters!$A:$J,10,FALSE)</f>
        <v>#N/A</v>
      </c>
      <c r="Q13" s="39" t="e">
        <f>VLOOKUP(L13,tables_332100!B:C,2,FALSE)</f>
        <v>#N/A</v>
      </c>
      <c r="R13" s="64">
        <f t="shared" si="0"/>
        <v>0</v>
      </c>
      <c r="S13">
        <v>497</v>
      </c>
      <c r="U13" s="34" t="s">
        <v>113</v>
      </c>
      <c r="V13" s="56">
        <f t="shared" si="1"/>
        <v>0</v>
      </c>
    </row>
    <row r="14" spans="1:22" x14ac:dyDescent="0.15">
      <c r="M14" s="39" t="e">
        <f>VLOOKUP(L14,[1]characters!$A:$C,3,FALSE)</f>
        <v>#N/A</v>
      </c>
      <c r="N14" s="65"/>
      <c r="O14" s="39" t="e">
        <f>VLOOKUP(L14,[1]characters!$A:$I,9,FALSE)</f>
        <v>#N/A</v>
      </c>
      <c r="P14" s="39" t="e">
        <f>VLOOKUP(L14,[1]characters!$A:$J,10,FALSE)</f>
        <v>#N/A</v>
      </c>
      <c r="Q14" s="39" t="e">
        <f>VLOOKUP(L14,tables_332100!B:C,2,FALSE)</f>
        <v>#N/A</v>
      </c>
      <c r="R14" s="64">
        <f t="shared" si="0"/>
        <v>0</v>
      </c>
      <c r="S14">
        <v>498</v>
      </c>
      <c r="U14" s="34" t="s">
        <v>208</v>
      </c>
      <c r="V14" s="56">
        <f t="shared" si="1"/>
        <v>0</v>
      </c>
    </row>
    <row r="15" spans="1:22" x14ac:dyDescent="0.15">
      <c r="A15" s="38" t="s">
        <v>60</v>
      </c>
      <c r="B15" s="38"/>
      <c r="C15" t="s">
        <v>87</v>
      </c>
      <c r="M15" s="39" t="e">
        <f>VLOOKUP(L15,[1]characters!$A:$C,3,FALSE)</f>
        <v>#N/A</v>
      </c>
      <c r="N15" s="65"/>
      <c r="O15" s="39" t="e">
        <f>VLOOKUP(L15,[1]characters!$A:$I,9,FALSE)</f>
        <v>#N/A</v>
      </c>
      <c r="P15" s="39" t="e">
        <f>VLOOKUP(L15,[1]characters!$A:$J,10,FALSE)</f>
        <v>#N/A</v>
      </c>
      <c r="Q15" s="39" t="e">
        <f>VLOOKUP(L15,tables_332100!B:C,2,FALSE)</f>
        <v>#N/A</v>
      </c>
      <c r="R15" s="64">
        <f t="shared" si="0"/>
        <v>0</v>
      </c>
      <c r="S15">
        <v>395</v>
      </c>
      <c r="U15" s="34" t="s">
        <v>207</v>
      </c>
      <c r="V15" s="56">
        <f t="shared" si="1"/>
        <v>0</v>
      </c>
    </row>
    <row r="16" spans="1:22" x14ac:dyDescent="0.15">
      <c r="A16" s="34" t="s">
        <v>63</v>
      </c>
      <c r="B16" s="34" t="s">
        <v>201</v>
      </c>
      <c r="C16" s="39" t="s">
        <v>64</v>
      </c>
      <c r="D16" s="39" t="s">
        <v>65</v>
      </c>
      <c r="E16" t="s">
        <v>75</v>
      </c>
      <c r="F16" t="s">
        <v>74</v>
      </c>
      <c r="G16" t="s">
        <v>77</v>
      </c>
      <c r="H16" t="s">
        <v>222</v>
      </c>
      <c r="I16" t="s">
        <v>78</v>
      </c>
      <c r="J16" t="s">
        <v>81</v>
      </c>
      <c r="M16" s="39" t="e">
        <f>VLOOKUP(L16,[1]characters!$A:$C,3,FALSE)</f>
        <v>#N/A</v>
      </c>
      <c r="N16" s="65"/>
      <c r="O16" s="39" t="e">
        <f>VLOOKUP(L16,[1]characters!$A:$I,9,FALSE)</f>
        <v>#N/A</v>
      </c>
      <c r="P16" s="39" t="e">
        <f>VLOOKUP(L16,[1]characters!$A:$J,10,FALSE)</f>
        <v>#N/A</v>
      </c>
      <c r="Q16" s="39" t="e">
        <f>VLOOKUP(L16,tables_332100!B:C,2,FALSE)</f>
        <v>#N/A</v>
      </c>
      <c r="R16" s="64">
        <f t="shared" si="0"/>
        <v>0</v>
      </c>
      <c r="S16">
        <v>396</v>
      </c>
      <c r="U16" s="34" t="s">
        <v>114</v>
      </c>
      <c r="V16" s="56">
        <f t="shared" si="1"/>
        <v>0</v>
      </c>
    </row>
    <row r="17" spans="1:19" x14ac:dyDescent="0.15">
      <c r="A17" s="34" t="s">
        <v>199</v>
      </c>
      <c r="B17" s="82">
        <v>0</v>
      </c>
      <c r="C17" s="77">
        <f t="shared" ref="C17:C31" si="2">SUMIF(Q:Q,A17,N:N)</f>
        <v>0</v>
      </c>
      <c r="D17" s="78">
        <f t="shared" ref="D17:D32" si="3">B17-C17</f>
        <v>0</v>
      </c>
      <c r="E17">
        <f>COUNTIF(tables_332100!C:C,input_332100!A17)-COUNTIF(Q:Q,A17)</f>
        <v>20</v>
      </c>
      <c r="F17" s="45">
        <f>IFERROR(B17/E17,0)</f>
        <v>0</v>
      </c>
      <c r="G17">
        <f>A$36*B17</f>
        <v>0</v>
      </c>
      <c r="H17">
        <f t="shared" ref="H17:H31" si="4">IFERROR(ROUND(G17/E17,5),0)</f>
        <v>0</v>
      </c>
      <c r="I17">
        <f t="shared" ref="I17:I31" si="5">MOD(H17,1)</f>
        <v>0</v>
      </c>
      <c r="J17">
        <f t="shared" ref="J17:J31" si="6">IFERROR(1/I17,1)</f>
        <v>1</v>
      </c>
      <c r="M17" s="39" t="e">
        <f>VLOOKUP(L17,[1]characters!$A:$C,3,FALSE)</f>
        <v>#N/A</v>
      </c>
      <c r="N17" s="65"/>
      <c r="O17" s="39" t="e">
        <f>VLOOKUP(L17,[1]characters!$A:$I,9,FALSE)</f>
        <v>#N/A</v>
      </c>
      <c r="P17" s="39" t="e">
        <f>VLOOKUP(L17,[1]characters!$A:$J,10,FALSE)</f>
        <v>#N/A</v>
      </c>
      <c r="Q17" s="39" t="e">
        <f>VLOOKUP(L17,tables_332100!B:C,2,FALSE)</f>
        <v>#N/A</v>
      </c>
      <c r="R17" s="64">
        <f t="shared" si="0"/>
        <v>0</v>
      </c>
      <c r="S17">
        <v>397</v>
      </c>
    </row>
    <row r="18" spans="1:19" x14ac:dyDescent="0.15">
      <c r="A18" s="34" t="s">
        <v>200</v>
      </c>
      <c r="B18" s="58">
        <f>E6*E18-B17</f>
        <v>0.25135135135135134</v>
      </c>
      <c r="C18" s="77">
        <f t="shared" si="2"/>
        <v>0</v>
      </c>
      <c r="D18" s="78">
        <f t="shared" si="3"/>
        <v>0.25135135135135134</v>
      </c>
      <c r="E18">
        <f>COUNTIF(tables_332100!C:C,input_332100!A18)-COUNTIF(Q:Q,A18)</f>
        <v>20</v>
      </c>
      <c r="F18" s="45">
        <f t="shared" ref="F18:F31" si="7">IFERROR(B18/E18,0)</f>
        <v>1.2567567567567568E-2</v>
      </c>
      <c r="G18">
        <f t="shared" ref="G18:G31" si="8">A$36*B18</f>
        <v>632400</v>
      </c>
      <c r="H18">
        <f t="shared" si="4"/>
        <v>31620</v>
      </c>
      <c r="I18">
        <f t="shared" si="5"/>
        <v>0</v>
      </c>
      <c r="J18">
        <f t="shared" si="6"/>
        <v>1</v>
      </c>
      <c r="M18" s="39" t="e">
        <f>VLOOKUP(L18,[1]characters!$A:$C,3,FALSE)</f>
        <v>#N/A</v>
      </c>
      <c r="N18" s="65"/>
      <c r="O18" s="39" t="e">
        <f>VLOOKUP(L18,[1]characters!$A:$I,9,FALSE)</f>
        <v>#N/A</v>
      </c>
      <c r="P18" s="39" t="e">
        <f>VLOOKUP(L18,[1]characters!$A:$J,10,FALSE)</f>
        <v>#N/A</v>
      </c>
      <c r="Q18" s="39" t="e">
        <f>VLOOKUP(L18,tables_332100!B:C,2,FALSE)</f>
        <v>#N/A</v>
      </c>
      <c r="R18" s="64">
        <f t="shared" si="0"/>
        <v>0</v>
      </c>
      <c r="S18">
        <v>324</v>
      </c>
    </row>
    <row r="19" spans="1:19" x14ac:dyDescent="0.15">
      <c r="A19" s="34" t="s">
        <v>102</v>
      </c>
      <c r="B19" s="82">
        <v>0</v>
      </c>
      <c r="C19" s="77">
        <f t="shared" si="2"/>
        <v>0</v>
      </c>
      <c r="D19" s="78">
        <f t="shared" si="3"/>
        <v>0</v>
      </c>
      <c r="E19">
        <f>COUNTIF(tables_332100!C:C,input_332100!A19)-COUNTIF(Q:Q,A19)</f>
        <v>52</v>
      </c>
      <c r="F19" s="45">
        <f t="shared" si="7"/>
        <v>0</v>
      </c>
      <c r="G19">
        <f t="shared" si="8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9" t="e">
        <f>VLOOKUP(L19,[1]characters!$A:$C,3,FALSE)</f>
        <v>#N/A</v>
      </c>
      <c r="N19" s="65"/>
      <c r="O19" s="39" t="e">
        <f>VLOOKUP(L19,[1]characters!$A:$I,9,FALSE)</f>
        <v>#N/A</v>
      </c>
      <c r="P19" s="39" t="e">
        <f>VLOOKUP(L19,[1]characters!$A:$J,10,FALSE)</f>
        <v>#N/A</v>
      </c>
      <c r="Q19" s="39" t="e">
        <f>VLOOKUP(L19,tables_332100!B:C,2,FALSE)</f>
        <v>#N/A</v>
      </c>
      <c r="R19" s="64">
        <f t="shared" si="0"/>
        <v>0</v>
      </c>
      <c r="S19">
        <v>325</v>
      </c>
    </row>
    <row r="20" spans="1:19" x14ac:dyDescent="0.15">
      <c r="A20" s="34" t="s">
        <v>103</v>
      </c>
      <c r="B20" s="58">
        <f>E$6*E20*B6</f>
        <v>0.62083783783783775</v>
      </c>
      <c r="C20" s="77">
        <f t="shared" si="2"/>
        <v>0</v>
      </c>
      <c r="D20" s="78">
        <f t="shared" si="3"/>
        <v>0.62083783783783775</v>
      </c>
      <c r="E20">
        <f>COUNTIF(tables_332100!C:C,input_332100!A20)-COUNTIF(Q:Q,A20)</f>
        <v>52</v>
      </c>
      <c r="F20" s="45">
        <f t="shared" si="7"/>
        <v>1.1939189189189188E-2</v>
      </c>
      <c r="G20">
        <f t="shared" si="8"/>
        <v>1562027.9999999998</v>
      </c>
      <c r="H20">
        <f t="shared" si="4"/>
        <v>30039</v>
      </c>
      <c r="I20">
        <f t="shared" si="5"/>
        <v>0</v>
      </c>
      <c r="J20">
        <f t="shared" si="6"/>
        <v>1</v>
      </c>
      <c r="M20" s="39" t="e">
        <f>VLOOKUP(L20,[1]characters!$A:$C,3,FALSE)</f>
        <v>#N/A</v>
      </c>
      <c r="N20" s="65"/>
      <c r="O20" s="39" t="e">
        <f>VLOOKUP(L20,[1]characters!$A:$I,9,FALSE)</f>
        <v>#N/A</v>
      </c>
      <c r="P20" s="39" t="e">
        <f>VLOOKUP(L20,[1]characters!$A:$J,10,FALSE)</f>
        <v>#N/A</v>
      </c>
      <c r="Q20" s="39" t="e">
        <f>VLOOKUP(L20,tables_332100!B:C,2,FALSE)</f>
        <v>#N/A</v>
      </c>
      <c r="R20" s="64">
        <f t="shared" si="0"/>
        <v>0</v>
      </c>
      <c r="S20">
        <v>809</v>
      </c>
    </row>
    <row r="21" spans="1:19" x14ac:dyDescent="0.15">
      <c r="A21" s="34" t="s">
        <v>104</v>
      </c>
      <c r="B21" s="58">
        <f>E$6*E21*B7</f>
        <v>3.2675675675675676E-2</v>
      </c>
      <c r="C21" s="77">
        <f t="shared" si="2"/>
        <v>0</v>
      </c>
      <c r="D21" s="78">
        <f t="shared" si="3"/>
        <v>3.2675675675675676E-2</v>
      </c>
      <c r="E21">
        <f>COUNTIF(tables_332100!C:C,input_332100!A21)-COUNTIF(Q:Q,A21)</f>
        <v>52</v>
      </c>
      <c r="F21" s="45">
        <f t="shared" si="7"/>
        <v>6.283783783783784E-4</v>
      </c>
      <c r="G21">
        <f t="shared" si="8"/>
        <v>82212</v>
      </c>
      <c r="H21">
        <f t="shared" si="4"/>
        <v>1581</v>
      </c>
      <c r="I21">
        <f t="shared" si="5"/>
        <v>0</v>
      </c>
      <c r="J21">
        <f t="shared" si="6"/>
        <v>1</v>
      </c>
      <c r="L21" s="59"/>
      <c r="M21" s="59"/>
      <c r="N21" s="60"/>
      <c r="O21" s="59"/>
      <c r="P21" s="59"/>
      <c r="Q21" s="59"/>
      <c r="R21" s="61"/>
    </row>
    <row r="22" spans="1:19" x14ac:dyDescent="0.15">
      <c r="A22" s="34" t="s">
        <v>205</v>
      </c>
      <c r="B22" s="79">
        <f>E6*COUNTIF(tables_332100!C:C,input_332100!A22)-B23</f>
        <v>1.4163751987281405E-2</v>
      </c>
      <c r="C22" s="77">
        <f t="shared" si="2"/>
        <v>0</v>
      </c>
      <c r="D22" s="78">
        <f t="shared" si="3"/>
        <v>1.4163751987281405E-2</v>
      </c>
      <c r="E22">
        <f>COUNTIF(tables_332100!C:C,input_332100!A22)-COUNTIF(Q:Q,A22)</f>
        <v>2</v>
      </c>
      <c r="F22" s="45">
        <f t="shared" si="7"/>
        <v>7.0818759936407023E-3</v>
      </c>
      <c r="G22">
        <f t="shared" si="8"/>
        <v>35636.000000000015</v>
      </c>
      <c r="H22">
        <f t="shared" si="4"/>
        <v>17818</v>
      </c>
      <c r="I22">
        <f t="shared" si="5"/>
        <v>0</v>
      </c>
      <c r="J22">
        <f t="shared" si="6"/>
        <v>1</v>
      </c>
      <c r="L22" s="59"/>
      <c r="M22" s="59"/>
      <c r="N22" s="60"/>
      <c r="O22" s="59"/>
      <c r="P22" s="59"/>
      <c r="Q22" s="59"/>
      <c r="R22" s="61"/>
    </row>
    <row r="23" spans="1:19" x14ac:dyDescent="0.15">
      <c r="A23" s="34" t="s">
        <v>206</v>
      </c>
      <c r="B23" s="72">
        <f>B7-B26-B28-B29-B21-V6</f>
        <v>1.097138314785373E-2</v>
      </c>
      <c r="C23" s="77">
        <f t="shared" si="2"/>
        <v>0</v>
      </c>
      <c r="D23" s="78">
        <f t="shared" si="3"/>
        <v>1.097138314785373E-2</v>
      </c>
      <c r="E23">
        <f>COUNTIF(tables_332100!C:C,input_332100!A23)-COUNTIF(Q:Q,A23)</f>
        <v>2</v>
      </c>
      <c r="F23" s="45">
        <f t="shared" si="7"/>
        <v>5.4856915739268652E-3</v>
      </c>
      <c r="G23">
        <f t="shared" si="8"/>
        <v>27603.999999999985</v>
      </c>
      <c r="H23">
        <f t="shared" si="4"/>
        <v>13802</v>
      </c>
      <c r="I23">
        <f t="shared" si="5"/>
        <v>0</v>
      </c>
      <c r="J23">
        <f t="shared" si="6"/>
        <v>1</v>
      </c>
      <c r="L23" s="59"/>
      <c r="M23" s="59"/>
      <c r="N23" s="60"/>
      <c r="O23" s="59"/>
      <c r="P23" s="59"/>
      <c r="Q23" s="59"/>
      <c r="R23" s="61"/>
    </row>
    <row r="24" spans="1:19" x14ac:dyDescent="0.15">
      <c r="A24" s="34" t="s">
        <v>202</v>
      </c>
      <c r="B24" s="82">
        <v>0</v>
      </c>
      <c r="C24" s="77">
        <f t="shared" si="2"/>
        <v>0</v>
      </c>
      <c r="D24" s="78">
        <f t="shared" si="3"/>
        <v>0</v>
      </c>
      <c r="E24">
        <f>COUNTIF(tables_332100!C:C,input_332100!A24)-COUNTIF(Q:Q,A24)</f>
        <v>4</v>
      </c>
      <c r="F24" s="45">
        <f t="shared" si="7"/>
        <v>0</v>
      </c>
      <c r="G24">
        <f t="shared" si="8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59"/>
      <c r="M24" s="59"/>
      <c r="N24" s="60"/>
      <c r="O24" s="59"/>
      <c r="P24" s="59"/>
      <c r="Q24" s="59"/>
      <c r="R24" s="61"/>
    </row>
    <row r="25" spans="1:19" x14ac:dyDescent="0.15">
      <c r="A25" s="34" t="s">
        <v>203</v>
      </c>
      <c r="B25" s="58">
        <f>E$5*B6*E25</f>
        <v>6.7058823529411752E-3</v>
      </c>
      <c r="C25" s="77">
        <f t="shared" si="2"/>
        <v>0</v>
      </c>
      <c r="D25" s="78">
        <f t="shared" si="3"/>
        <v>6.7058823529411752E-3</v>
      </c>
      <c r="E25">
        <f>COUNTIF(tables_332100!C:C,input_332100!A25)-COUNTIF(Q:Q,A25)</f>
        <v>4</v>
      </c>
      <c r="F25" s="45">
        <f t="shared" si="7"/>
        <v>1.6764705882352938E-3</v>
      </c>
      <c r="G25">
        <f t="shared" si="8"/>
        <v>16871.999999999996</v>
      </c>
      <c r="H25">
        <f t="shared" si="4"/>
        <v>4218</v>
      </c>
      <c r="I25">
        <f t="shared" si="5"/>
        <v>0</v>
      </c>
      <c r="J25">
        <f t="shared" si="6"/>
        <v>1</v>
      </c>
      <c r="L25" s="59"/>
      <c r="M25" s="59"/>
      <c r="N25" s="60"/>
      <c r="O25" s="59"/>
      <c r="P25" s="59"/>
      <c r="Q25" s="59"/>
      <c r="R25" s="61"/>
    </row>
    <row r="26" spans="1:19" x14ac:dyDescent="0.15">
      <c r="A26" s="34" t="s">
        <v>204</v>
      </c>
      <c r="B26" s="58">
        <f>E$5*B7*E26</f>
        <v>3.529411764705882E-4</v>
      </c>
      <c r="C26" s="77">
        <f t="shared" si="2"/>
        <v>0</v>
      </c>
      <c r="D26" s="78">
        <f t="shared" si="3"/>
        <v>3.529411764705882E-4</v>
      </c>
      <c r="E26">
        <f>COUNTIF(tables_332100!C:C,input_332100!A26)-COUNTIF(Q:Q,A26)</f>
        <v>4</v>
      </c>
      <c r="F26" s="45">
        <f t="shared" si="7"/>
        <v>8.8235294117647051E-5</v>
      </c>
      <c r="G26">
        <f t="shared" si="8"/>
        <v>887.99999999999989</v>
      </c>
      <c r="H26">
        <f t="shared" si="4"/>
        <v>222</v>
      </c>
      <c r="I26">
        <f t="shared" si="5"/>
        <v>0</v>
      </c>
      <c r="J26">
        <f t="shared" si="6"/>
        <v>1</v>
      </c>
      <c r="L26" s="59"/>
      <c r="M26" s="59"/>
      <c r="N26" s="60"/>
      <c r="O26" s="59"/>
      <c r="P26" s="59"/>
      <c r="Q26" s="59"/>
      <c r="R26" s="61"/>
    </row>
    <row r="27" spans="1:19" x14ac:dyDescent="0.15">
      <c r="A27" s="34" t="s">
        <v>112</v>
      </c>
      <c r="B27" s="58">
        <f>E$5*E27*(B5+B6)</f>
        <v>4.6941176470588229E-2</v>
      </c>
      <c r="C27" s="77">
        <f t="shared" si="2"/>
        <v>0</v>
      </c>
      <c r="D27" s="78">
        <f t="shared" si="3"/>
        <v>4.6941176470588229E-2</v>
      </c>
      <c r="E27">
        <f>COUNTIF(tables_332100!C:C,input_332100!A27)-COUNTIF(Q:Q,A27)</f>
        <v>28</v>
      </c>
      <c r="F27" s="45">
        <f>IFERROR(B27/E27,0)</f>
        <v>1.6764705882352938E-3</v>
      </c>
      <c r="G27">
        <f t="shared" si="8"/>
        <v>118103.99999999999</v>
      </c>
      <c r="H27">
        <f t="shared" si="4"/>
        <v>4218</v>
      </c>
      <c r="I27">
        <f t="shared" si="5"/>
        <v>0</v>
      </c>
      <c r="J27">
        <f t="shared" si="6"/>
        <v>1</v>
      </c>
      <c r="L27" s="59"/>
      <c r="M27" s="59"/>
      <c r="N27" s="60"/>
      <c r="O27" s="59"/>
      <c r="P27" s="59"/>
      <c r="Q27" s="59"/>
      <c r="R27" s="61"/>
    </row>
    <row r="28" spans="1:19" x14ac:dyDescent="0.15">
      <c r="A28" s="34" t="s">
        <v>113</v>
      </c>
      <c r="B28" s="58">
        <f>E$5*E28*B7</f>
        <v>2.4705882352941176E-3</v>
      </c>
      <c r="C28" s="77">
        <f t="shared" si="2"/>
        <v>0</v>
      </c>
      <c r="D28" s="78">
        <f t="shared" si="3"/>
        <v>2.4705882352941176E-3</v>
      </c>
      <c r="E28">
        <f>COUNTIF(tables_332100!C:C,input_332100!A28)-COUNTIF(Q:Q,A28)</f>
        <v>28</v>
      </c>
      <c r="F28" s="45">
        <f t="shared" si="7"/>
        <v>8.8235294117647065E-5</v>
      </c>
      <c r="G28">
        <f t="shared" si="8"/>
        <v>6216</v>
      </c>
      <c r="H28">
        <f t="shared" si="4"/>
        <v>222</v>
      </c>
      <c r="I28">
        <f t="shared" si="5"/>
        <v>0</v>
      </c>
      <c r="J28">
        <f t="shared" si="6"/>
        <v>1</v>
      </c>
      <c r="L28" s="59"/>
      <c r="M28" s="59"/>
      <c r="N28" s="60"/>
      <c r="O28" s="59"/>
      <c r="P28" s="59"/>
      <c r="Q28" s="59"/>
      <c r="R28" s="61"/>
    </row>
    <row r="29" spans="1:19" x14ac:dyDescent="0.15">
      <c r="A29" s="34" t="s">
        <v>208</v>
      </c>
      <c r="B29" s="58">
        <f>E5*COUNTIF(tables_332100!C:C,input_332100!A29)</f>
        <v>3.529411764705882E-3</v>
      </c>
      <c r="C29" s="77">
        <f t="shared" si="2"/>
        <v>0</v>
      </c>
      <c r="D29" s="78">
        <f t="shared" si="3"/>
        <v>3.529411764705882E-3</v>
      </c>
      <c r="E29">
        <f>COUNTIF(tables_332100!C:C,input_332100!A29)-COUNTIF(Q:Q,A29)</f>
        <v>2</v>
      </c>
      <c r="F29" s="45">
        <f t="shared" si="7"/>
        <v>1.764705882352941E-3</v>
      </c>
      <c r="G29">
        <f t="shared" si="8"/>
        <v>8880</v>
      </c>
      <c r="H29">
        <f t="shared" si="4"/>
        <v>4440</v>
      </c>
      <c r="I29">
        <f t="shared" si="5"/>
        <v>0</v>
      </c>
      <c r="J29">
        <f t="shared" si="6"/>
        <v>1</v>
      </c>
      <c r="L29" s="59"/>
      <c r="M29" s="59"/>
      <c r="N29" s="60"/>
      <c r="O29" s="59"/>
      <c r="P29" s="59"/>
      <c r="Q29" s="59"/>
      <c r="R29" s="61"/>
    </row>
    <row r="30" spans="1:19" x14ac:dyDescent="0.15">
      <c r="A30" s="34" t="s">
        <v>207</v>
      </c>
      <c r="B30" s="58">
        <v>0</v>
      </c>
      <c r="C30" s="77">
        <f t="shared" si="2"/>
        <v>0</v>
      </c>
      <c r="D30" s="78">
        <f t="shared" si="3"/>
        <v>0</v>
      </c>
      <c r="E30">
        <f>COUNTIF(tables_332100!C:C,input_332100!A30)-COUNTIF(Q:Q,A30)</f>
        <v>0</v>
      </c>
      <c r="F30" s="45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9"/>
      <c r="M30" s="59"/>
      <c r="N30" s="60"/>
      <c r="O30" s="59"/>
      <c r="P30" s="59"/>
      <c r="Q30" s="59"/>
      <c r="R30" s="61"/>
    </row>
    <row r="31" spans="1:19" x14ac:dyDescent="0.15">
      <c r="A31" s="34" t="s">
        <v>114</v>
      </c>
      <c r="B31" s="58">
        <v>0</v>
      </c>
      <c r="C31" s="77">
        <f t="shared" si="2"/>
        <v>0</v>
      </c>
      <c r="D31" s="78">
        <f t="shared" si="3"/>
        <v>0</v>
      </c>
      <c r="E31">
        <f>COUNTIF(tables_332100!C:C,input_332100!A31)-COUNTIF(Q:Q,A31)</f>
        <v>0</v>
      </c>
      <c r="F31" s="45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9"/>
      <c r="M31" s="59"/>
      <c r="N31" s="60"/>
      <c r="O31" s="59"/>
      <c r="P31" s="59"/>
      <c r="Q31" s="59"/>
      <c r="R31" s="61"/>
    </row>
    <row r="32" spans="1:19" x14ac:dyDescent="0.15">
      <c r="A32" s="41" t="s">
        <v>62</v>
      </c>
      <c r="B32" s="42">
        <f>SUM(B17:B31)</f>
        <v>0.98999999999999988</v>
      </c>
      <c r="C32" s="43">
        <f>SUM(C19:C31)</f>
        <v>0</v>
      </c>
      <c r="D32" s="44">
        <f t="shared" si="3"/>
        <v>0.98999999999999988</v>
      </c>
      <c r="L32" s="59"/>
      <c r="M32" s="59"/>
      <c r="N32" s="59"/>
      <c r="O32" s="59"/>
      <c r="P32" s="59"/>
      <c r="Q32" s="59"/>
      <c r="R32" s="61"/>
    </row>
    <row r="35" spans="1:7" x14ac:dyDescent="0.15">
      <c r="A35" t="s">
        <v>76</v>
      </c>
    </row>
    <row r="36" spans="1:7" x14ac:dyDescent="0.15">
      <c r="A36" s="31">
        <f>LCM(F5-I5,F6-I6)*1000*2</f>
        <v>2516000</v>
      </c>
    </row>
    <row r="38" spans="1:7" x14ac:dyDescent="0.15">
      <c r="A38" s="49" t="s">
        <v>80</v>
      </c>
    </row>
    <row r="39" spans="1:7" x14ac:dyDescent="0.15">
      <c r="A39" s="34" t="s">
        <v>63</v>
      </c>
      <c r="B39" t="s">
        <v>77</v>
      </c>
      <c r="C39" t="s">
        <v>105</v>
      </c>
      <c r="E39" t="s">
        <v>106</v>
      </c>
      <c r="F39" t="s">
        <v>217</v>
      </c>
      <c r="G39" t="s">
        <v>66</v>
      </c>
    </row>
    <row r="40" spans="1:7" x14ac:dyDescent="0.15">
      <c r="A40" s="34" t="s">
        <v>109</v>
      </c>
      <c r="B40">
        <f ca="1">SUMIF(tables_332100!C:C,input_332100!A40,tables_332100!O:O)</f>
        <v>0</v>
      </c>
      <c r="C40" s="56">
        <f t="shared" ref="C40:C46" ca="1" si="9">B40/B$47</f>
        <v>0</v>
      </c>
      <c r="E40">
        <v>3</v>
      </c>
      <c r="F40">
        <f ca="1">SUMIF(tables_332100!J:J,input_332100!E40,tables_332100!O:O)</f>
        <v>0</v>
      </c>
      <c r="G40">
        <f ca="1">F40/A36</f>
        <v>0</v>
      </c>
    </row>
    <row r="41" spans="1:7" x14ac:dyDescent="0.15">
      <c r="A41" s="34" t="s">
        <v>110</v>
      </c>
      <c r="B41">
        <f ca="1">SUMIF(tables_332100!C:C,input_332100!A41,tables_332100!O:O)</f>
        <v>1562028</v>
      </c>
      <c r="C41" s="56">
        <f t="shared" ca="1" si="9"/>
        <v>0.88322024698059443</v>
      </c>
      <c r="E41">
        <v>4</v>
      </c>
      <c r="F41">
        <f ca="1">SUMIF(tables_332100!J:J,input_332100!E41,tables_332100!O:O)</f>
        <v>2367556</v>
      </c>
      <c r="G41">
        <f ca="1">F41/A36</f>
        <v>0.94099999999999995</v>
      </c>
    </row>
    <row r="42" spans="1:7" x14ac:dyDescent="0.15">
      <c r="A42" s="34" t="s">
        <v>115</v>
      </c>
      <c r="B42">
        <f ca="1">SUMIF(tables_332100!C:C,input_332100!A42,tables_332100!O:O)</f>
        <v>118104</v>
      </c>
      <c r="C42" s="56">
        <f t="shared" ca="1" si="9"/>
        <v>6.6779753019405613E-2</v>
      </c>
      <c r="E42">
        <v>5</v>
      </c>
      <c r="F42">
        <f ca="1">SUMIF(tables_332100!J:J,input_332100!E42,tables_332100!O:O)</f>
        <v>148444</v>
      </c>
      <c r="G42">
        <f ca="1">F42/A36</f>
        <v>5.8999999999999997E-2</v>
      </c>
    </row>
    <row r="43" spans="1:7" x14ac:dyDescent="0.15">
      <c r="A43" s="34" t="s">
        <v>116</v>
      </c>
      <c r="B43">
        <f>SUMIF(tables_332100!C:C,input_332100!A43,tables_332100!O:O)</f>
        <v>0</v>
      </c>
      <c r="C43" s="56">
        <f t="shared" ca="1" si="9"/>
        <v>0</v>
      </c>
      <c r="F43" s="57"/>
    </row>
    <row r="44" spans="1:7" x14ac:dyDescent="0.15">
      <c r="A44" s="34" t="s">
        <v>111</v>
      </c>
      <c r="B44">
        <f ca="1">SUMIF(tables_332100!C:C,input_332100!A44,tables_332100!O:O)</f>
        <v>82212</v>
      </c>
      <c r="C44" s="56">
        <f t="shared" ca="1" si="9"/>
        <v>4.6485276156873388E-2</v>
      </c>
      <c r="E44" t="s">
        <v>56</v>
      </c>
      <c r="F44" s="57"/>
    </row>
    <row r="45" spans="1:7" x14ac:dyDescent="0.15">
      <c r="A45" s="34" t="s">
        <v>117</v>
      </c>
      <c r="B45">
        <f ca="1">SUMIF(tables_332100!C:C,input_332100!A45,tables_332100!O:O)</f>
        <v>6216</v>
      </c>
      <c r="C45" s="56">
        <f t="shared" ca="1" si="9"/>
        <v>3.5147238431266115E-3</v>
      </c>
      <c r="E45" t="s">
        <v>213</v>
      </c>
      <c r="F45" s="57">
        <f ca="1">SUMIF(tables_332100!I:I,input_332100!E45,tables_332100!P:P)</f>
        <v>0.25694594594594605</v>
      </c>
    </row>
    <row r="46" spans="1:7" x14ac:dyDescent="0.15">
      <c r="A46" s="34" t="s">
        <v>118</v>
      </c>
      <c r="B46">
        <f>SUMIF(tables_332100!C:C,input_332100!A46,tables_332100!O:O)</f>
        <v>0</v>
      </c>
      <c r="C46" s="56">
        <f t="shared" ca="1" si="9"/>
        <v>0</v>
      </c>
      <c r="E46" t="s">
        <v>214</v>
      </c>
      <c r="F46" s="57">
        <f ca="1">SUMIF(tables_332100!I:I,input_332100!E46,tables_332100!P:P)</f>
        <v>0.21894276629570739</v>
      </c>
    </row>
    <row r="47" spans="1:7" x14ac:dyDescent="0.15">
      <c r="A47" s="41" t="s">
        <v>62</v>
      </c>
      <c r="B47">
        <f ca="1">SUM(B40:B46)</f>
        <v>1768560</v>
      </c>
      <c r="C47" s="57">
        <f ca="1">SUM(C40:C46)</f>
        <v>1</v>
      </c>
      <c r="E47" t="s">
        <v>215</v>
      </c>
      <c r="F47" s="57">
        <f ca="1">SUMIF(tables_332100!I:I,input_332100!E47,tables_332100!P:P)</f>
        <v>0.46676470588235253</v>
      </c>
    </row>
    <row r="48" spans="1:7" x14ac:dyDescent="0.15">
      <c r="E48" t="s">
        <v>216</v>
      </c>
      <c r="F48" s="57">
        <f ca="1">SUMIF(tables_332100!I:I,input_332100!E48,tables_332100!P:P)</f>
        <v>5.2941176470588193E-2</v>
      </c>
    </row>
  </sheetData>
  <phoneticPr fontId="16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74"/>
  <sheetViews>
    <sheetView showGridLines="0" zoomScale="75" zoomScaleNormal="75" zoomScalePageLayoutView="75" workbookViewId="0">
      <pane ySplit="1" topLeftCell="A2" activePane="bottomLeft" state="frozen"/>
      <selection activeCell="F31" sqref="F31"/>
      <selection pane="bottomLeft" activeCell="F31" sqref="F3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1</v>
      </c>
      <c r="C1" s="3" t="s">
        <v>31</v>
      </c>
      <c r="D1" s="3" t="s">
        <v>100</v>
      </c>
      <c r="E1" s="3" t="s">
        <v>197</v>
      </c>
      <c r="F1" s="3" t="s">
        <v>198</v>
      </c>
      <c r="G1" s="3" t="s">
        <v>108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2</v>
      </c>
      <c r="P1" s="3" t="s">
        <v>66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input_332100!A$2</f>
        <v>332100</v>
      </c>
      <c r="B2" s="6">
        <v>126</v>
      </c>
      <c r="C2" s="7" t="str">
        <f>D2&amp;J2&amp;E2&amp;F2&amp;G2</f>
        <v>PremiumW3</v>
      </c>
      <c r="D2" s="7" t="str">
        <f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7">
        <f ca="1">IFERROR(VLOOKUP(B2,input_332100!L:R,7,FALSE),VLOOKUP(tables_332100!C2,input_332100!A:H,8,FALSE))</f>
        <v>0</v>
      </c>
      <c r="P2" s="48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input_332100!A$2</f>
        <v>332100</v>
      </c>
      <c r="B3" s="6">
        <v>127</v>
      </c>
      <c r="C3" s="7" t="str">
        <f>D3&amp;J3&amp;E3&amp;F3&amp;G3</f>
        <v>PremiumW4</v>
      </c>
      <c r="D3" s="7" t="str">
        <f>IF(I3="PremiumSS",I3,IF(I3="PremiumSSS",I3,IF(I3="PremiumW",I3,"Premium")))</f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7">
        <f ca="1">IFERROR(VLOOKUP(B3,input_332100!L:R,7,FALSE),VLOOKUP(tables_332100!C3,input_332100!A:H,8,FALSE))</f>
        <v>31620</v>
      </c>
      <c r="P3" s="48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input_332100!A$2</f>
        <v>332100</v>
      </c>
      <c r="B4" s="6">
        <v>128</v>
      </c>
      <c r="C4" s="7" t="str">
        <f>D4&amp;J4&amp;E4&amp;F4&amp;G4</f>
        <v>PremiumW3</v>
      </c>
      <c r="D4" s="7" t="str">
        <f>IF(I4="PremiumSS",I4,IF(I4="PremiumSSS",I4,IF(I4="PremiumW",I4,"Premium")))</f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7">
        <f ca="1">IFERROR(VLOOKUP(B4,input_332100!L:R,7,FALSE),VLOOKUP(tables_332100!C4,input_332100!A:H,8,FALSE))</f>
        <v>0</v>
      </c>
      <c r="P4" s="48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input_332100!A$2</f>
        <v>332100</v>
      </c>
      <c r="B5" s="6">
        <v>129</v>
      </c>
      <c r="C5" s="7" t="str">
        <f>D5&amp;J5&amp;E5&amp;F5&amp;G5</f>
        <v>PremiumW4</v>
      </c>
      <c r="D5" s="7" t="str">
        <f>IF(I5="PremiumSS",I5,IF(I5="PremiumSSS",I5,IF(I5="PremiumW",I5,"Premium")))</f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7">
        <f ca="1">IFERROR(VLOOKUP(B5,input_332100!L:R,7,FALSE),VLOOKUP(tables_332100!C5,input_332100!A:H,8,FALSE))</f>
        <v>31620</v>
      </c>
      <c r="P5" s="48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input_332100!A$2</f>
        <v>332100</v>
      </c>
      <c r="B6" s="6">
        <v>130</v>
      </c>
      <c r="C6" s="7" t="str">
        <f>D6&amp;J6&amp;E6&amp;F6&amp;G6</f>
        <v>PremiumW3</v>
      </c>
      <c r="D6" s="7" t="str">
        <f>IF(I6="PremiumSS",I6,IF(I6="PremiumSSS",I6,IF(I6="PremiumW",I6,"Premium")))</f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7">
        <f ca="1">IFERROR(VLOOKUP(B6,input_332100!L:R,7,FALSE),VLOOKUP(tables_332100!C6,input_332100!A:H,8,FALSE))</f>
        <v>0</v>
      </c>
      <c r="P6" s="48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input_332100!A$2</f>
        <v>332100</v>
      </c>
      <c r="B7" s="6">
        <v>131</v>
      </c>
      <c r="C7" s="7" t="str">
        <f>D7&amp;J7&amp;E7&amp;F7&amp;G7</f>
        <v>PremiumW4</v>
      </c>
      <c r="D7" s="7" t="str">
        <f>IF(I7="PremiumSS",I7,IF(I7="PremiumSSS",I7,IF(I7="PremiumW",I7,"Premium")))</f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7">
        <f ca="1">IFERROR(VLOOKUP(B7,input_332100!L:R,7,FALSE),VLOOKUP(tables_332100!C7,input_332100!A:H,8,FALSE))</f>
        <v>31620</v>
      </c>
      <c r="P7" s="48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input_332100!A$2</f>
        <v>332100</v>
      </c>
      <c r="B8" s="6">
        <v>132</v>
      </c>
      <c r="C8" s="7" t="str">
        <f>D8&amp;J8&amp;E8&amp;F8&amp;G8</f>
        <v>PremiumW3</v>
      </c>
      <c r="D8" s="7" t="str">
        <f>IF(I8="PremiumSS",I8,IF(I8="PremiumSSS",I8,IF(I8="PremiumW",I8,"Premium")))</f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7">
        <f ca="1">IFERROR(VLOOKUP(B8,input_332100!L:R,7,FALSE),VLOOKUP(tables_332100!C8,input_332100!A:H,8,FALSE))</f>
        <v>0</v>
      </c>
      <c r="P8" s="48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input_332100!A$2</f>
        <v>332100</v>
      </c>
      <c r="B9" s="6">
        <v>133</v>
      </c>
      <c r="C9" s="7" t="str">
        <f>D9&amp;J9&amp;E9&amp;F9&amp;G9</f>
        <v>PremiumW4</v>
      </c>
      <c r="D9" s="7" t="str">
        <f>IF(I9="PremiumSS",I9,IF(I9="PremiumSSS",I9,IF(I9="PremiumW",I9,"Premium")))</f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7">
        <f ca="1">IFERROR(VLOOKUP(B9,input_332100!L:R,7,FALSE),VLOOKUP(tables_332100!C9,input_332100!A:H,8,FALSE))</f>
        <v>31620</v>
      </c>
      <c r="P9" s="48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input_332100!A$2</f>
        <v>332100</v>
      </c>
      <c r="B10" s="6">
        <v>134</v>
      </c>
      <c r="C10" s="7" t="str">
        <f>D10&amp;J10&amp;E10&amp;F10&amp;G10</f>
        <v>PremiumW3</v>
      </c>
      <c r="D10" s="7" t="str">
        <f>IF(I10="PremiumSS",I10,IF(I10="PremiumSSS",I10,IF(I10="PremiumW",I10,"Premium")))</f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7">
        <f ca="1">IFERROR(VLOOKUP(B10,input_332100!L:R,7,FALSE),VLOOKUP(tables_332100!C10,input_332100!A:H,8,FALSE))</f>
        <v>0</v>
      </c>
      <c r="P10" s="48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input_332100!A$2</f>
        <v>332100</v>
      </c>
      <c r="B11" s="6">
        <v>135</v>
      </c>
      <c r="C11" s="7" t="str">
        <f>D11&amp;J11&amp;E11&amp;F11&amp;G11</f>
        <v>PremiumW4</v>
      </c>
      <c r="D11" s="7" t="str">
        <f>IF(I11="PremiumSS",I11,IF(I11="PremiumSSS",I11,IF(I11="PremiumW",I11,"Premium")))</f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7">
        <f ca="1">IFERROR(VLOOKUP(B11,input_332100!L:R,7,FALSE),VLOOKUP(tables_332100!C11,input_332100!A:H,8,FALSE))</f>
        <v>31620</v>
      </c>
      <c r="P11" s="48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input_332100!A$2</f>
        <v>332100</v>
      </c>
      <c r="B12" s="8">
        <v>136</v>
      </c>
      <c r="C12" s="7" t="str">
        <f>D12&amp;J12&amp;E12&amp;F12&amp;G12</f>
        <v>PremiumW3</v>
      </c>
      <c r="D12" s="7" t="str">
        <f>IF(I12="PremiumSS",I12,IF(I12="PremiumSSS",I12,IF(I12="PremiumW",I12,"Premium")))</f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7">
        <f ca="1">IFERROR(VLOOKUP(B12,input_332100!L:R,7,FALSE),VLOOKUP(tables_332100!C12,input_332100!A:H,8,FALSE))</f>
        <v>0</v>
      </c>
      <c r="P12" s="48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input_332100!A$2</f>
        <v>332100</v>
      </c>
      <c r="B13" s="8">
        <v>137</v>
      </c>
      <c r="C13" s="7" t="str">
        <f>D13&amp;J13&amp;E13&amp;F13&amp;G13</f>
        <v>PremiumW4</v>
      </c>
      <c r="D13" s="7" t="str">
        <f>IF(I13="PremiumSS",I13,IF(I13="PremiumSSS",I13,IF(I13="PremiumW",I13,"Premium")))</f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7">
        <f ca="1">IFERROR(VLOOKUP(B13,input_332100!L:R,7,FALSE),VLOOKUP(tables_332100!C13,input_332100!A:H,8,FALSE))</f>
        <v>31620</v>
      </c>
      <c r="P13" s="48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input_332100!A$2</f>
        <v>332100</v>
      </c>
      <c r="B14" s="6">
        <v>138</v>
      </c>
      <c r="C14" s="7" t="str">
        <f>D14&amp;J14&amp;E14&amp;F14&amp;G14</f>
        <v>PremiumW3</v>
      </c>
      <c r="D14" s="7" t="str">
        <f>IF(I14="PremiumSS",I14,IF(I14="PremiumSSS",I14,IF(I14="PremiumW",I14,"Premium")))</f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7">
        <f ca="1">IFERROR(VLOOKUP(B14,input_332100!L:R,7,FALSE),VLOOKUP(tables_332100!C14,input_332100!A:H,8,FALSE))</f>
        <v>0</v>
      </c>
      <c r="P14" s="48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input_332100!A$2</f>
        <v>332100</v>
      </c>
      <c r="B15" s="6">
        <v>139</v>
      </c>
      <c r="C15" s="7" t="str">
        <f>D15&amp;J15&amp;E15&amp;F15&amp;G15</f>
        <v>PremiumW4</v>
      </c>
      <c r="D15" s="7" t="str">
        <f>IF(I15="PremiumSS",I15,IF(I15="PremiumSSS",I15,IF(I15="PremiumW",I15,"Premium")))</f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7">
        <f ca="1">IFERROR(VLOOKUP(B15,input_332100!L:R,7,FALSE),VLOOKUP(tables_332100!C15,input_332100!A:H,8,FALSE))</f>
        <v>31620</v>
      </c>
      <c r="P15" s="48">
        <f ca="1">O15/SUM(O:O)</f>
        <v>1.2567567567567568E-2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input_332100!A$2</f>
        <v>332100</v>
      </c>
      <c r="B16" s="10">
        <v>140</v>
      </c>
      <c r="C16" s="7" t="str">
        <f>D16&amp;J16&amp;E16&amp;F16&amp;G16</f>
        <v>PremiumW3</v>
      </c>
      <c r="D16" s="7" t="str">
        <f>IF(I16="PremiumSS",I16,IF(I16="PremiumSSS",I16,IF(I16="PremiumW",I16,"Premium")))</f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7">
        <f ca="1">IFERROR(VLOOKUP(B16,input_332100!L:R,7,FALSE),VLOOKUP(tables_332100!C16,input_332100!A:H,8,FALSE))</f>
        <v>0</v>
      </c>
      <c r="P16" s="48">
        <f ca="1">O16/SUM(O:O)</f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input_332100!A$2</f>
        <v>332100</v>
      </c>
      <c r="B17" s="11">
        <v>141</v>
      </c>
      <c r="C17" s="7" t="str">
        <f>D17&amp;J17&amp;E17&amp;F17&amp;G17</f>
        <v>PremiumW4</v>
      </c>
      <c r="D17" s="7" t="str">
        <f>IF(I17="PremiumSS",I17,IF(I17="PremiumSSS",I17,IF(I17="PremiumW",I17,"Premium")))</f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7">
        <f ca="1">IFERROR(VLOOKUP(B17,input_332100!L:R,7,FALSE),VLOOKUP(tables_332100!C17,input_332100!A:H,8,FALSE))</f>
        <v>31620</v>
      </c>
      <c r="P17" s="48">
        <f ca="1">O17/SUM(O:O)</f>
        <v>1.2567567567567568E-2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input_332100!A$2</f>
        <v>332100</v>
      </c>
      <c r="B18" s="6">
        <v>142</v>
      </c>
      <c r="C18" s="7" t="str">
        <f>D18&amp;J18&amp;E18&amp;F18&amp;G18</f>
        <v>PremiumW3</v>
      </c>
      <c r="D18" s="7" t="str">
        <f>IF(I18="PremiumSS",I18,IF(I18="PremiumSSS",I18,IF(I18="PremiumW",I18,"Premium")))</f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7">
        <f ca="1">IFERROR(VLOOKUP(B18,input_332100!L:R,7,FALSE),VLOOKUP(tables_332100!C18,input_332100!A:H,8,FALSE))</f>
        <v>0</v>
      </c>
      <c r="P18" s="48">
        <f ca="1">O18/SUM(O:O)</f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input_332100!A$2</f>
        <v>332100</v>
      </c>
      <c r="B19" s="6">
        <v>143</v>
      </c>
      <c r="C19" s="7" t="str">
        <f>D19&amp;J19&amp;E19&amp;F19&amp;G19</f>
        <v>PremiumW4</v>
      </c>
      <c r="D19" s="7" t="str">
        <f>IF(I19="PremiumSS",I19,IF(I19="PremiumSSS",I19,IF(I19="PremiumW",I19,"Premium")))</f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7">
        <f ca="1">IFERROR(VLOOKUP(B19,input_332100!L:R,7,FALSE),VLOOKUP(tables_332100!C19,input_332100!A:H,8,FALSE))</f>
        <v>31620</v>
      </c>
      <c r="P19" s="48">
        <f ca="1">O19/SUM(O:O)</f>
        <v>1.2567567567567568E-2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input_332100!A$2</f>
        <v>332100</v>
      </c>
      <c r="B20" s="10">
        <v>144</v>
      </c>
      <c r="C20" s="7" t="str">
        <f>D20&amp;J20&amp;E20&amp;F20&amp;G20</f>
        <v>PremiumW3</v>
      </c>
      <c r="D20" s="7" t="str">
        <f>IF(I20="PremiumSS",I20,IF(I20="PremiumSSS",I20,IF(I20="PremiumW",I20,"Premium")))</f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7">
        <f ca="1">IFERROR(VLOOKUP(B20,input_332100!L:R,7,FALSE),VLOOKUP(tables_332100!C20,input_332100!A:H,8,FALSE))</f>
        <v>0</v>
      </c>
      <c r="P20" s="48">
        <f ca="1">O20/SUM(O:O)</f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input_332100!A$2</f>
        <v>332100</v>
      </c>
      <c r="B21" s="6">
        <v>145</v>
      </c>
      <c r="C21" s="7" t="str">
        <f>D21&amp;J21&amp;E21&amp;F21&amp;G21</f>
        <v>PremiumW4</v>
      </c>
      <c r="D21" s="7" t="str">
        <f>IF(I21="PremiumSS",I21,IF(I21="PremiumSSS",I21,IF(I21="PremiumW",I21,"Premium")))</f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7">
        <f ca="1">IFERROR(VLOOKUP(B21,input_332100!L:R,7,FALSE),VLOOKUP(tables_332100!C21,input_332100!A:H,8,FALSE))</f>
        <v>31620</v>
      </c>
      <c r="P21" s="48">
        <f ca="1">O21/SUM(O:O)</f>
        <v>1.2567567567567568E-2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input_332100!A$2</f>
        <v>332100</v>
      </c>
      <c r="B22" s="6">
        <v>146</v>
      </c>
      <c r="C22" s="7" t="str">
        <f>D22&amp;J22&amp;E22&amp;F22&amp;G22</f>
        <v>PremiumW3</v>
      </c>
      <c r="D22" s="7" t="str">
        <f>IF(I22="PremiumSS",I22,IF(I22="PremiumSSS",I22,IF(I22="PremiumW",I22,"Premium")))</f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7">
        <f ca="1">IFERROR(VLOOKUP(B22,input_332100!L:R,7,FALSE),VLOOKUP(tables_332100!C22,input_332100!A:H,8,FALSE))</f>
        <v>0</v>
      </c>
      <c r="P22" s="48">
        <f ca="1">O22/SUM(O:O)</f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input_332100!A$2</f>
        <v>332100</v>
      </c>
      <c r="B23" s="6">
        <v>147</v>
      </c>
      <c r="C23" s="7" t="str">
        <f>D23&amp;J23&amp;E23&amp;F23&amp;G23</f>
        <v>PremiumW4</v>
      </c>
      <c r="D23" s="7" t="str">
        <f>IF(I23="PremiumSS",I23,IF(I23="PremiumSSS",I23,IF(I23="PremiumW",I23,"Premium")))</f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7">
        <f ca="1">IFERROR(VLOOKUP(B23,input_332100!L:R,7,FALSE),VLOOKUP(tables_332100!C23,input_332100!A:H,8,FALSE))</f>
        <v>31620</v>
      </c>
      <c r="P23" s="48">
        <f ca="1">O23/SUM(O:O)</f>
        <v>1.2567567567567568E-2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input_332100!A$2</f>
        <v>332100</v>
      </c>
      <c r="B24" s="6">
        <v>148</v>
      </c>
      <c r="C24" s="7" t="str">
        <f>D24&amp;J24&amp;E24&amp;F24&amp;G24</f>
        <v>PremiumW3</v>
      </c>
      <c r="D24" s="7" t="str">
        <f>IF(I24="PremiumSS",I24,IF(I24="PremiumSSS",I24,IF(I24="PremiumW",I24,"Premium")))</f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7">
        <f ca="1">IFERROR(VLOOKUP(B24,input_332100!L:R,7,FALSE),VLOOKUP(tables_332100!C24,input_332100!A:H,8,FALSE))</f>
        <v>0</v>
      </c>
      <c r="P24" s="48">
        <f ca="1">O24/SUM(O:O)</f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input_332100!A$2</f>
        <v>332100</v>
      </c>
      <c r="B25" s="6">
        <v>149</v>
      </c>
      <c r="C25" s="7" t="str">
        <f>D25&amp;J25&amp;E25&amp;F25&amp;G25</f>
        <v>PremiumW4</v>
      </c>
      <c r="D25" s="7" t="str">
        <f>IF(I25="PremiumSS",I25,IF(I25="PremiumSSS",I25,IF(I25="PremiumW",I25,"Premium")))</f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7">
        <f ca="1">IFERROR(VLOOKUP(B25,input_332100!L:R,7,FALSE),VLOOKUP(tables_332100!C25,input_332100!A:H,8,FALSE))</f>
        <v>31620</v>
      </c>
      <c r="P25" s="48">
        <f ca="1">O25/SUM(O:O)</f>
        <v>1.2567567567567568E-2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input_332100!A$2</f>
        <v>332100</v>
      </c>
      <c r="B26" s="6">
        <v>150</v>
      </c>
      <c r="C26" s="7" t="str">
        <f>D26&amp;J26&amp;E26&amp;F26&amp;G26</f>
        <v>PremiumW3</v>
      </c>
      <c r="D26" s="7" t="str">
        <f>IF(I26="PremiumSS",I26,IF(I26="PremiumSSS",I26,IF(I26="PremiumW",I26,"Premium")))</f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7">
        <f ca="1">IFERROR(VLOOKUP(B26,input_332100!L:R,7,FALSE),VLOOKUP(tables_332100!C26,input_332100!A:H,8,FALSE))</f>
        <v>0</v>
      </c>
      <c r="P26" s="48">
        <f ca="1">O26/SUM(O:O)</f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input_332100!A$2</f>
        <v>332100</v>
      </c>
      <c r="B27" s="6">
        <v>151</v>
      </c>
      <c r="C27" s="7" t="str">
        <f>D27&amp;J27&amp;E27&amp;F27&amp;G27</f>
        <v>PremiumW4</v>
      </c>
      <c r="D27" s="7" t="str">
        <f>IF(I27="PremiumSS",I27,IF(I27="PremiumSSS",I27,IF(I27="PremiumW",I27,"Premium")))</f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7">
        <f ca="1">IFERROR(VLOOKUP(B27,input_332100!L:R,7,FALSE),VLOOKUP(tables_332100!C27,input_332100!A:H,8,FALSE))</f>
        <v>31620</v>
      </c>
      <c r="P27" s="48">
        <f ca="1">O27/SUM(O:O)</f>
        <v>1.2567567567567568E-2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input_332100!A$2</f>
        <v>332100</v>
      </c>
      <c r="B28" s="6">
        <v>152</v>
      </c>
      <c r="C28" s="7" t="str">
        <f>D28&amp;J28&amp;E28&amp;F28&amp;G28</f>
        <v>PremiumW3</v>
      </c>
      <c r="D28" s="7" t="str">
        <f>IF(I28="PremiumSS",I28,IF(I28="PremiumSSS",I28,IF(I28="PremiumW",I28,"Premium")))</f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7">
        <f ca="1">IFERROR(VLOOKUP(B28,input_332100!L:R,7,FALSE),VLOOKUP(tables_332100!C28,input_332100!A:H,8,FALSE))</f>
        <v>0</v>
      </c>
      <c r="P28" s="48">
        <f ca="1">O28/SUM(O:O)</f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input_332100!A$2</f>
        <v>332100</v>
      </c>
      <c r="B29" s="6">
        <v>153</v>
      </c>
      <c r="C29" s="7" t="str">
        <f>D29&amp;J29&amp;E29&amp;F29&amp;G29</f>
        <v>PremiumW4</v>
      </c>
      <c r="D29" s="7" t="str">
        <f>IF(I29="PremiumSS",I29,IF(I29="PremiumSSS",I29,IF(I29="PremiumW",I29,"Premium")))</f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7">
        <f ca="1">IFERROR(VLOOKUP(B29,input_332100!L:R,7,FALSE),VLOOKUP(tables_332100!C29,input_332100!A:H,8,FALSE))</f>
        <v>31620</v>
      </c>
      <c r="P29" s="48">
        <f ca="1">O29/SUM(O:O)</f>
        <v>1.2567567567567568E-2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input_332100!A$2</f>
        <v>332100</v>
      </c>
      <c r="B30" s="6">
        <v>154</v>
      </c>
      <c r="C30" s="7" t="str">
        <f>D30&amp;J30&amp;E30&amp;F30&amp;G30</f>
        <v>PremiumW3</v>
      </c>
      <c r="D30" s="7" t="str">
        <f>IF(I30="PremiumSS",I30,IF(I30="PremiumSSS",I30,IF(I30="PremiumW",I30,"Premium")))</f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7">
        <f ca="1">IFERROR(VLOOKUP(B30,input_332100!L:R,7,FALSE),VLOOKUP(tables_332100!C30,input_332100!A:H,8,FALSE))</f>
        <v>0</v>
      </c>
      <c r="P30" s="48">
        <f ca="1">O30/SUM(O:O)</f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input_332100!A$2</f>
        <v>332100</v>
      </c>
      <c r="B31" s="6">
        <v>155</v>
      </c>
      <c r="C31" s="7" t="str">
        <f>D31&amp;J31&amp;E31&amp;F31&amp;G31</f>
        <v>PremiumW4</v>
      </c>
      <c r="D31" s="7" t="str">
        <f>IF(I31="PremiumSS",I31,IF(I31="PremiumSSS",I31,IF(I31="PremiumW",I31,"Premium")))</f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7">
        <f ca="1">IFERROR(VLOOKUP(B31,input_332100!L:R,7,FALSE),VLOOKUP(tables_332100!C31,input_332100!A:H,8,FALSE))</f>
        <v>31620</v>
      </c>
      <c r="P31" s="48">
        <f ca="1">O31/SUM(O:O)</f>
        <v>1.2567567567567568E-2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input_332100!A$2</f>
        <v>332100</v>
      </c>
      <c r="B32" s="6">
        <v>156</v>
      </c>
      <c r="C32" s="7" t="str">
        <f>D32&amp;J32&amp;E32&amp;F32&amp;G32</f>
        <v>PremiumW3</v>
      </c>
      <c r="D32" s="7" t="str">
        <f>IF(I32="PremiumSS",I32,IF(I32="PremiumSSS",I32,IF(I32="PremiumW",I32,"Premium")))</f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7">
        <f ca="1">IFERROR(VLOOKUP(B32,input_332100!L:R,7,FALSE),VLOOKUP(tables_332100!C32,input_332100!A:H,8,FALSE))</f>
        <v>0</v>
      </c>
      <c r="P32" s="48">
        <f ca="1">O32/SUM(O:O)</f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input_332100!A$2</f>
        <v>332100</v>
      </c>
      <c r="B33" s="6">
        <v>157</v>
      </c>
      <c r="C33" s="7" t="str">
        <f>D33&amp;J33&amp;E33&amp;F33&amp;G33</f>
        <v>PremiumW4</v>
      </c>
      <c r="D33" s="7" t="str">
        <f>IF(I33="PremiumSS",I33,IF(I33="PremiumSSS",I33,IF(I33="PremiumW",I33,"Premium")))</f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7">
        <f ca="1">IFERROR(VLOOKUP(B33,input_332100!L:R,7,FALSE),VLOOKUP(tables_332100!C33,input_332100!A:H,8,FALSE))</f>
        <v>31620</v>
      </c>
      <c r="P33" s="48">
        <f ca="1">O33/SUM(O:O)</f>
        <v>1.2567567567567568E-2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input_332100!A$2</f>
        <v>332100</v>
      </c>
      <c r="B34" s="6">
        <v>158</v>
      </c>
      <c r="C34" s="7" t="str">
        <f>D34&amp;J34&amp;E34&amp;F34&amp;G34</f>
        <v>PremiumW3</v>
      </c>
      <c r="D34" s="7" t="str">
        <f>IF(I34="PremiumSS",I34,IF(I34="PremiumSSS",I34,IF(I34="PremiumW",I34,"Premium")))</f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7">
        <f ca="1">IFERROR(VLOOKUP(B34,input_332100!L:R,7,FALSE),VLOOKUP(tables_332100!C34,input_332100!A:H,8,FALSE))</f>
        <v>0</v>
      </c>
      <c r="P34" s="48">
        <f ca="1">O34/SUM(O:O)</f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input_332100!A$2</f>
        <v>332100</v>
      </c>
      <c r="B35" s="6">
        <v>159</v>
      </c>
      <c r="C35" s="7" t="str">
        <f>D35&amp;J35&amp;E35&amp;F35&amp;G35</f>
        <v>PremiumW4</v>
      </c>
      <c r="D35" s="7" t="str">
        <f>IF(I35="PremiumSS",I35,IF(I35="PremiumSSS",I35,IF(I35="PremiumW",I35,"Premium")))</f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7">
        <f ca="1">IFERROR(VLOOKUP(B35,input_332100!L:R,7,FALSE),VLOOKUP(tables_332100!C35,input_332100!A:H,8,FALSE))</f>
        <v>31620</v>
      </c>
      <c r="P35" s="48">
        <f ca="1">O35/SUM(O:O)</f>
        <v>1.2567567567567568E-2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input_332100!A$2</f>
        <v>332100</v>
      </c>
      <c r="B36" s="6">
        <v>160</v>
      </c>
      <c r="C36" s="7" t="str">
        <f>D36&amp;J36&amp;E36&amp;F36&amp;G36</f>
        <v>PremiumW3</v>
      </c>
      <c r="D36" s="7" t="str">
        <f>IF(I36="PremiumSS",I36,IF(I36="PremiumSSS",I36,IF(I36="PremiumW",I36,"Premium")))</f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7">
        <f ca="1">IFERROR(VLOOKUP(B36,input_332100!L:R,7,FALSE),VLOOKUP(tables_332100!C36,input_332100!A:H,8,FALSE))</f>
        <v>0</v>
      </c>
      <c r="P36" s="48">
        <f ca="1">O36/SUM(O:O)</f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input_332100!A$2</f>
        <v>332100</v>
      </c>
      <c r="B37" s="6">
        <v>161</v>
      </c>
      <c r="C37" s="7" t="str">
        <f>D37&amp;J37&amp;E37&amp;F37&amp;G37</f>
        <v>PremiumW4</v>
      </c>
      <c r="D37" s="7" t="str">
        <f>IF(I37="PremiumSS",I37,IF(I37="PremiumSSS",I37,IF(I37="PremiumW",I37,"Premium")))</f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7">
        <f ca="1">IFERROR(VLOOKUP(B37,input_332100!L:R,7,FALSE),VLOOKUP(tables_332100!C37,input_332100!A:H,8,FALSE))</f>
        <v>31620</v>
      </c>
      <c r="P37" s="48">
        <f ca="1">O37/SUM(O:O)</f>
        <v>1.2567567567567568E-2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input_332100!A$2</f>
        <v>332100</v>
      </c>
      <c r="B38" s="6">
        <v>162</v>
      </c>
      <c r="C38" s="7" t="str">
        <f>D38&amp;J38&amp;E38&amp;F38&amp;G38</f>
        <v>PremiumW3</v>
      </c>
      <c r="D38" s="7" t="str">
        <f>IF(I38="PremiumSS",I38,IF(I38="PremiumSSS",I38,IF(I38="PremiumW",I38,"Premium")))</f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7">
        <f ca="1">IFERROR(VLOOKUP(B38,input_332100!L:R,7,FALSE),VLOOKUP(tables_332100!C38,input_332100!A:H,8,FALSE))</f>
        <v>0</v>
      </c>
      <c r="P38" s="48">
        <f ca="1">O38/SUM(O:O)</f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input_332100!A$2</f>
        <v>332100</v>
      </c>
      <c r="B39" s="6">
        <v>163</v>
      </c>
      <c r="C39" s="7" t="str">
        <f>D39&amp;J39&amp;E39&amp;F39&amp;G39</f>
        <v>PremiumW4</v>
      </c>
      <c r="D39" s="7" t="str">
        <f>IF(I39="PremiumSS",I39,IF(I39="PremiumSSS",I39,IF(I39="PremiumW",I39,"Premium")))</f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7">
        <f ca="1">IFERROR(VLOOKUP(B39,input_332100!L:R,7,FALSE),VLOOKUP(tables_332100!C39,input_332100!A:H,8,FALSE))</f>
        <v>31620</v>
      </c>
      <c r="P39" s="48">
        <f ca="1">O39/SUM(O:O)</f>
        <v>1.2567567567567568E-2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input_332100!A$2</f>
        <v>332100</v>
      </c>
      <c r="B40" s="6">
        <v>164</v>
      </c>
      <c r="C40" s="7" t="str">
        <f>D40&amp;J40&amp;E40&amp;F40&amp;G40</f>
        <v>PremiumW3</v>
      </c>
      <c r="D40" s="7" t="str">
        <f>IF(I40="PremiumSS",I40,IF(I40="PremiumSSS",I40,IF(I40="PremiumW",I40,"Premium")))</f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7">
        <f ca="1">IFERROR(VLOOKUP(B40,input_332100!L:R,7,FALSE),VLOOKUP(tables_332100!C40,input_332100!A:H,8,FALSE))</f>
        <v>0</v>
      </c>
      <c r="P40" s="48">
        <f ca="1">O40/SUM(O:O)</f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input_332100!A$2</f>
        <v>332100</v>
      </c>
      <c r="B41" s="6">
        <v>165</v>
      </c>
      <c r="C41" s="7" t="str">
        <f>D41&amp;J41&amp;E41&amp;F41&amp;G41</f>
        <v>PremiumW4</v>
      </c>
      <c r="D41" s="7" t="str">
        <f>IF(I41="PremiumSS",I41,IF(I41="PremiumSSS",I41,IF(I41="PremiumW",I41,"Premium")))</f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7">
        <f ca="1">IFERROR(VLOOKUP(B41,input_332100!L:R,7,FALSE),VLOOKUP(tables_332100!C41,input_332100!A:H,8,FALSE))</f>
        <v>31620</v>
      </c>
      <c r="P41" s="48">
        <f ca="1">O41/SUM(O:O)</f>
        <v>1.2567567567567568E-2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input_332100!A$2</f>
        <v>332100</v>
      </c>
      <c r="B42" s="6">
        <v>166</v>
      </c>
      <c r="C42" s="7" t="str">
        <f>D42&amp;J42&amp;E42&amp;F42&amp;G42</f>
        <v>Premium3R6release</v>
      </c>
      <c r="D42" s="7" t="str">
        <f>IF(I42="PremiumSS",I42,IF(I42="PremiumSSS",I42,IF(I42="PremiumW",I42,"Premium")))</f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7">
        <f ca="1">IFERROR(VLOOKUP(B42,input_332100!L:R,7,FALSE),VLOOKUP(tables_332100!C42,input_332100!A:H,8,FALSE))</f>
        <v>0</v>
      </c>
      <c r="P42" s="48">
        <f ca="1">O42/SUM(O:O)</f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input_332100!A$2</f>
        <v>332100</v>
      </c>
      <c r="B43" s="6">
        <v>167</v>
      </c>
      <c r="C43" s="7" t="str">
        <f>D43&amp;J43&amp;E43&amp;F43&amp;G43</f>
        <v>Premium4R6release</v>
      </c>
      <c r="D43" s="7" t="str">
        <f>IF(I43="PremiumSS",I43,IF(I43="PremiumSSS",I43,IF(I43="PremiumW",I43,"Premium")))</f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7">
        <f ca="1">IFERROR(VLOOKUP(B43,input_332100!L:R,7,FALSE),VLOOKUP(tables_332100!C43,input_332100!A:H,8,FALSE))</f>
        <v>4218</v>
      </c>
      <c r="P43" s="48">
        <f ca="1">O43/SUM(O:O)</f>
        <v>1.676470588235294E-3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input_332100!A$2</f>
        <v>332100</v>
      </c>
      <c r="B44" s="6">
        <v>168</v>
      </c>
      <c r="C44" s="7" t="str">
        <f>D44&amp;J44&amp;E44&amp;F44&amp;G44</f>
        <v>Premium5R6release</v>
      </c>
      <c r="D44" s="7" t="str">
        <f>IF(I44="PremiumSS",I44,IF(I44="PremiumSSS",I44,IF(I44="PremiumW",I44,"Premium")))</f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7">
        <f ca="1">IFERROR(VLOOKUP(B44,input_332100!L:R,7,FALSE),VLOOKUP(tables_332100!C44,input_332100!A:H,8,FALSE))</f>
        <v>222</v>
      </c>
      <c r="P44" s="48">
        <f ca="1">O44/SUM(O:O)</f>
        <v>8.8235294117647065E-5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input_332100!A$2</f>
        <v>332100</v>
      </c>
      <c r="B45" s="6">
        <v>169</v>
      </c>
      <c r="C45" s="7" t="str">
        <f>D45&amp;J45&amp;E45&amp;F45&amp;G45</f>
        <v>Premium3R6release</v>
      </c>
      <c r="D45" s="7" t="str">
        <f>IF(I45="PremiumSS",I45,IF(I45="PremiumSSS",I45,IF(I45="PremiumW",I45,"Premium")))</f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7">
        <f ca="1">IFERROR(VLOOKUP(B45,input_332100!L:R,7,FALSE),VLOOKUP(tables_332100!C45,input_332100!A:H,8,FALSE))</f>
        <v>0</v>
      </c>
      <c r="P45" s="48">
        <f ca="1">O45/SUM(O:O)</f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input_332100!A$2</f>
        <v>332100</v>
      </c>
      <c r="B46" s="6">
        <v>170</v>
      </c>
      <c r="C46" s="7" t="str">
        <f>D46&amp;J46&amp;E46&amp;F46&amp;G46</f>
        <v>Premium4R6release</v>
      </c>
      <c r="D46" s="7" t="str">
        <f>IF(I46="PremiumSS",I46,IF(I46="PremiumSSS",I46,IF(I46="PremiumW",I46,"Premium")))</f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7">
        <f ca="1">IFERROR(VLOOKUP(B46,input_332100!L:R,7,FALSE),VLOOKUP(tables_332100!C46,input_332100!A:H,8,FALSE))</f>
        <v>4218</v>
      </c>
      <c r="P46" s="48">
        <f ca="1">O46/SUM(O:O)</f>
        <v>1.676470588235294E-3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input_332100!A$2</f>
        <v>332100</v>
      </c>
      <c r="B47" s="6">
        <v>171</v>
      </c>
      <c r="C47" s="7" t="str">
        <f>D47&amp;J47&amp;E47&amp;F47&amp;G47</f>
        <v>Premium5R6release</v>
      </c>
      <c r="D47" s="7" t="str">
        <f>IF(I47="PremiumSS",I47,IF(I47="PremiumSSS",I47,IF(I47="PremiumW",I47,"Premium")))</f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7">
        <f ca="1">IFERROR(VLOOKUP(B47,input_332100!L:R,7,FALSE),VLOOKUP(tables_332100!C47,input_332100!A:H,8,FALSE))</f>
        <v>222</v>
      </c>
      <c r="P47" s="48">
        <f ca="1">O47/SUM(O:O)</f>
        <v>8.8235294117647065E-5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input_332100!A$2</f>
        <v>332100</v>
      </c>
      <c r="B48" s="6">
        <v>172</v>
      </c>
      <c r="C48" s="7" t="str">
        <f>D48&amp;J48&amp;E48&amp;F48&amp;G48</f>
        <v>Premium3R6release</v>
      </c>
      <c r="D48" s="7" t="str">
        <f>IF(I48="PremiumSS",I48,IF(I48="PremiumSSS",I48,IF(I48="PremiumW",I48,"Premium")))</f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7">
        <f ca="1">IFERROR(VLOOKUP(B48,input_332100!L:R,7,FALSE),VLOOKUP(tables_332100!C48,input_332100!A:H,8,FALSE))</f>
        <v>0</v>
      </c>
      <c r="P48" s="48">
        <f ca="1">O48/SUM(O:O)</f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input_332100!A$2</f>
        <v>332100</v>
      </c>
      <c r="B49" s="6">
        <v>173</v>
      </c>
      <c r="C49" s="7" t="str">
        <f>D49&amp;J49&amp;E49&amp;F49&amp;G49</f>
        <v>Premium4R6release</v>
      </c>
      <c r="D49" s="7" t="str">
        <f>IF(I49="PremiumSS",I49,IF(I49="PremiumSSS",I49,IF(I49="PremiumW",I49,"Premium")))</f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7">
        <f ca="1">IFERROR(VLOOKUP(B49,input_332100!L:R,7,FALSE),VLOOKUP(tables_332100!C49,input_332100!A:H,8,FALSE))</f>
        <v>4218</v>
      </c>
      <c r="P49" s="48">
        <f ca="1">O49/SUM(O:O)</f>
        <v>1.676470588235294E-3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input_332100!A$2</f>
        <v>332100</v>
      </c>
      <c r="B50" s="6">
        <v>174</v>
      </c>
      <c r="C50" s="7" t="str">
        <f>D50&amp;J50&amp;E50&amp;F50&amp;G50</f>
        <v>Premium5R6release</v>
      </c>
      <c r="D50" s="7" t="str">
        <f>IF(I50="PremiumSS",I50,IF(I50="PremiumSSS",I50,IF(I50="PremiumW",I50,"Premium")))</f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7">
        <f ca="1">IFERROR(VLOOKUP(B50,input_332100!L:R,7,FALSE),VLOOKUP(tables_332100!C50,input_332100!A:H,8,FALSE))</f>
        <v>222</v>
      </c>
      <c r="P50" s="48">
        <f ca="1">O50/SUM(O:O)</f>
        <v>8.8235294117647065E-5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input_332100!A$2</f>
        <v>332100</v>
      </c>
      <c r="B51" s="6">
        <v>175</v>
      </c>
      <c r="C51" s="7" t="str">
        <f>D51&amp;J51&amp;E51&amp;F51&amp;G51</f>
        <v>Premium3</v>
      </c>
      <c r="D51" s="7" t="str">
        <f>IF(I51="PremiumSS",I51,IF(I51="PremiumSSS",I51,IF(I51="PremiumW",I51,"Premium")))</f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7">
        <f ca="1">IFERROR(VLOOKUP(B51,input_332100!L:R,7,FALSE),VLOOKUP(tables_332100!C51,input_332100!A:H,8,FALSE))</f>
        <v>0</v>
      </c>
      <c r="P51" s="48">
        <f ca="1">O51/SUM(O:O)</f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input_332100!A$2</f>
        <v>332100</v>
      </c>
      <c r="B52" s="6">
        <v>176</v>
      </c>
      <c r="C52" s="7" t="str">
        <f>D52&amp;J52&amp;E52&amp;F52&amp;G52</f>
        <v>Premium4</v>
      </c>
      <c r="D52" s="7" t="str">
        <f>IF(I52="PremiumSS",I52,IF(I52="PremiumSSS",I52,IF(I52="PremiumW",I52,"Premium")))</f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7">
        <f ca="1">IFERROR(VLOOKUP(B52,input_332100!L:R,7,FALSE),VLOOKUP(tables_332100!C52,input_332100!A:H,8,FALSE))</f>
        <v>30039</v>
      </c>
      <c r="P52" s="48">
        <f ca="1">O52/SUM(O:O)</f>
        <v>1.193918918918919E-2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input_332100!A$2</f>
        <v>332100</v>
      </c>
      <c r="B53" s="6">
        <v>177</v>
      </c>
      <c r="C53" s="7" t="str">
        <f>D53&amp;J53&amp;E53&amp;F53&amp;G53</f>
        <v>Premium5</v>
      </c>
      <c r="D53" s="7" t="str">
        <f>IF(I53="PremiumSS",I53,IF(I53="PremiumSSS",I53,IF(I53="PremiumW",I53,"Premium")))</f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7">
        <f ca="1">IFERROR(VLOOKUP(B53,input_332100!L:R,7,FALSE),VLOOKUP(tables_332100!C53,input_332100!A:H,8,FALSE))</f>
        <v>1581</v>
      </c>
      <c r="P53" s="48">
        <f ca="1">O53/SUM(O:O)</f>
        <v>6.283783783783784E-4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input_332100!A$2</f>
        <v>332100</v>
      </c>
      <c r="B54" s="6">
        <v>178</v>
      </c>
      <c r="C54" s="7" t="str">
        <f>D54&amp;J54&amp;E54&amp;F54&amp;G54</f>
        <v>Premium3</v>
      </c>
      <c r="D54" s="7" t="str">
        <f>IF(I54="PremiumSS",I54,IF(I54="PremiumSSS",I54,IF(I54="PremiumW",I54,"Premium")))</f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7">
        <f ca="1">IFERROR(VLOOKUP(B54,input_332100!L:R,7,FALSE),VLOOKUP(tables_332100!C54,input_332100!A:H,8,FALSE))</f>
        <v>0</v>
      </c>
      <c r="P54" s="48">
        <f ca="1">O54/SUM(O:O)</f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input_332100!A$2</f>
        <v>332100</v>
      </c>
      <c r="B55" s="6">
        <v>179</v>
      </c>
      <c r="C55" s="7" t="str">
        <f>D55&amp;J55&amp;E55&amp;F55&amp;G55</f>
        <v>Premium4</v>
      </c>
      <c r="D55" s="7" t="str">
        <f>IF(I55="PremiumSS",I55,IF(I55="PremiumSSS",I55,IF(I55="PremiumW",I55,"Premium")))</f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7">
        <f ca="1">IFERROR(VLOOKUP(B55,input_332100!L:R,7,FALSE),VLOOKUP(tables_332100!C55,input_332100!A:H,8,FALSE))</f>
        <v>30039</v>
      </c>
      <c r="P55" s="48">
        <f ca="1">O55/SUM(O:O)</f>
        <v>1.193918918918919E-2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input_332100!A$2</f>
        <v>332100</v>
      </c>
      <c r="B56" s="6">
        <v>180</v>
      </c>
      <c r="C56" s="7" t="str">
        <f>D56&amp;J56&amp;E56&amp;F56&amp;G56</f>
        <v>Premium5</v>
      </c>
      <c r="D56" s="7" t="str">
        <f>IF(I56="PremiumSS",I56,IF(I56="PremiumSSS",I56,IF(I56="PremiumW",I56,"Premium")))</f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7">
        <f ca="1">IFERROR(VLOOKUP(B56,input_332100!L:R,7,FALSE),VLOOKUP(tables_332100!C56,input_332100!A:H,8,FALSE))</f>
        <v>1581</v>
      </c>
      <c r="P56" s="48">
        <f ca="1">O56/SUM(O:O)</f>
        <v>6.283783783783784E-4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input_332100!A$2</f>
        <v>332100</v>
      </c>
      <c r="B57" s="6">
        <v>181</v>
      </c>
      <c r="C57" s="7" t="str">
        <f>D57&amp;J57&amp;E57&amp;F57&amp;G57</f>
        <v>Premium3</v>
      </c>
      <c r="D57" s="7" t="str">
        <f>IF(I57="PremiumSS",I57,IF(I57="PremiumSSS",I57,IF(I57="PremiumW",I57,"Premium")))</f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7">
        <f ca="1">IFERROR(VLOOKUP(B57,input_332100!L:R,7,FALSE),VLOOKUP(tables_332100!C57,input_332100!A:H,8,FALSE))</f>
        <v>0</v>
      </c>
      <c r="P57" s="48">
        <f ca="1">O57/SUM(O:O)</f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input_332100!A$2</f>
        <v>332100</v>
      </c>
      <c r="B58" s="6">
        <v>182</v>
      </c>
      <c r="C58" s="7" t="str">
        <f>D58&amp;J58&amp;E58&amp;F58&amp;G58</f>
        <v>Premium4</v>
      </c>
      <c r="D58" s="7" t="str">
        <f>IF(I58="PremiumSS",I58,IF(I58="PremiumSSS",I58,IF(I58="PremiumW",I58,"Premium")))</f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7">
        <f ca="1">IFERROR(VLOOKUP(B58,input_332100!L:R,7,FALSE),VLOOKUP(tables_332100!C58,input_332100!A:H,8,FALSE))</f>
        <v>30039</v>
      </c>
      <c r="P58" s="48">
        <f ca="1">O58/SUM(O:O)</f>
        <v>1.193918918918919E-2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input_332100!A$2</f>
        <v>332100</v>
      </c>
      <c r="B59" s="6">
        <v>183</v>
      </c>
      <c r="C59" s="7" t="str">
        <f>D59&amp;J59&amp;E59&amp;F59&amp;G59</f>
        <v>Premium5</v>
      </c>
      <c r="D59" s="7" t="str">
        <f>IF(I59="PremiumSS",I59,IF(I59="PremiumSSS",I59,IF(I59="PremiumW",I59,"Premium")))</f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7">
        <f ca="1">IFERROR(VLOOKUP(B59,input_332100!L:R,7,FALSE),VLOOKUP(tables_332100!C59,input_332100!A:H,8,FALSE))</f>
        <v>1581</v>
      </c>
      <c r="P59" s="48">
        <f ca="1">O59/SUM(O:O)</f>
        <v>6.283783783783784E-4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input_332100!A$2</f>
        <v>332100</v>
      </c>
      <c r="B60" s="6">
        <v>184</v>
      </c>
      <c r="C60" s="7" t="str">
        <f>D60&amp;J60&amp;E60&amp;F60&amp;G60</f>
        <v>Premium3</v>
      </c>
      <c r="D60" s="7" t="str">
        <f>IF(I60="PremiumSS",I60,IF(I60="PremiumSSS",I60,IF(I60="PremiumW",I60,"Premium")))</f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7">
        <f ca="1">IFERROR(VLOOKUP(B60,input_332100!L:R,7,FALSE),VLOOKUP(tables_332100!C60,input_332100!A:H,8,FALSE))</f>
        <v>0</v>
      </c>
      <c r="P60" s="48">
        <f ca="1">O60/SUM(O:O)</f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input_332100!A$2</f>
        <v>332100</v>
      </c>
      <c r="B61" s="6">
        <v>185</v>
      </c>
      <c r="C61" s="7" t="str">
        <f>D61&amp;J61&amp;E61&amp;F61&amp;G61</f>
        <v>Premium4</v>
      </c>
      <c r="D61" s="7" t="str">
        <f>IF(I61="PremiumSS",I61,IF(I61="PremiumSSS",I61,IF(I61="PremiumW",I61,"Premium")))</f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7">
        <f ca="1">IFERROR(VLOOKUP(B61,input_332100!L:R,7,FALSE),VLOOKUP(tables_332100!C61,input_332100!A:H,8,FALSE))</f>
        <v>30039</v>
      </c>
      <c r="P61" s="48">
        <f ca="1">O61/SUM(O:O)</f>
        <v>1.193918918918919E-2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input_332100!A$2</f>
        <v>332100</v>
      </c>
      <c r="B62" s="8">
        <v>186</v>
      </c>
      <c r="C62" s="7" t="str">
        <f>D62&amp;J62&amp;E62&amp;F62&amp;G62</f>
        <v>Premium5</v>
      </c>
      <c r="D62" s="7" t="str">
        <f>IF(I62="PremiumSS",I62,IF(I62="PremiumSSS",I62,IF(I62="PremiumW",I62,"Premium")))</f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7">
        <f ca="1">IFERROR(VLOOKUP(B62,input_332100!L:R,7,FALSE),VLOOKUP(tables_332100!C62,input_332100!A:H,8,FALSE))</f>
        <v>1581</v>
      </c>
      <c r="P62" s="48">
        <f ca="1">O62/SUM(O:O)</f>
        <v>6.283783783783784E-4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input_332100!A$2</f>
        <v>332100</v>
      </c>
      <c r="B63" s="8">
        <v>187</v>
      </c>
      <c r="C63" s="7" t="str">
        <f>D63&amp;J63&amp;E63&amp;F63&amp;G63</f>
        <v>Premium3</v>
      </c>
      <c r="D63" s="7" t="str">
        <f>IF(I63="PremiumSS",I63,IF(I63="PremiumSSS",I63,IF(I63="PremiumW",I63,"Premium")))</f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7">
        <f ca="1">IFERROR(VLOOKUP(B63,input_332100!L:R,7,FALSE),VLOOKUP(tables_332100!C63,input_332100!A:H,8,FALSE))</f>
        <v>0</v>
      </c>
      <c r="P63" s="48">
        <f ca="1">O63/SUM(O:O)</f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input_332100!A$2</f>
        <v>332100</v>
      </c>
      <c r="B64" s="8">
        <v>188</v>
      </c>
      <c r="C64" s="7" t="str">
        <f>D64&amp;J64&amp;E64&amp;F64&amp;G64</f>
        <v>Premium4</v>
      </c>
      <c r="D64" s="7" t="str">
        <f>IF(I64="PremiumSS",I64,IF(I64="PremiumSSS",I64,IF(I64="PremiumW",I64,"Premium")))</f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7">
        <f ca="1">IFERROR(VLOOKUP(B64,input_332100!L:R,7,FALSE),VLOOKUP(tables_332100!C64,input_332100!A:H,8,FALSE))</f>
        <v>30039</v>
      </c>
      <c r="P64" s="48">
        <f ca="1">O64/SUM(O:O)</f>
        <v>1.193918918918919E-2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input_332100!A$2</f>
        <v>332100</v>
      </c>
      <c r="B65" s="8">
        <v>189</v>
      </c>
      <c r="C65" s="7" t="str">
        <f>D65&amp;J65&amp;E65&amp;F65&amp;G65</f>
        <v>Premium5</v>
      </c>
      <c r="D65" s="7" t="str">
        <f>IF(I65="PremiumSS",I65,IF(I65="PremiumSSS",I65,IF(I65="PremiumW",I65,"Premium")))</f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7">
        <f ca="1">IFERROR(VLOOKUP(B65,input_332100!L:R,7,FALSE),VLOOKUP(tables_332100!C65,input_332100!A:H,8,FALSE))</f>
        <v>1581</v>
      </c>
      <c r="P65" s="48">
        <f ca="1">O65/SUM(O:O)</f>
        <v>6.283783783783784E-4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input_332100!A$2</f>
        <v>332100</v>
      </c>
      <c r="B66" s="6">
        <v>190</v>
      </c>
      <c r="C66" s="7" t="str">
        <f>D66&amp;J66&amp;E66&amp;F66&amp;G66</f>
        <v>Premium3</v>
      </c>
      <c r="D66" s="7" t="str">
        <f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7">
        <f ca="1">IFERROR(VLOOKUP(B66,input_332100!L:R,7,FALSE),VLOOKUP(tables_332100!C66,input_332100!A:H,8,FALSE))</f>
        <v>0</v>
      </c>
      <c r="P66" s="48">
        <f ca="1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input_332100!A$2</f>
        <v>332100</v>
      </c>
      <c r="B67" s="6">
        <v>191</v>
      </c>
      <c r="C67" s="7" t="str">
        <f>D67&amp;J67&amp;E67&amp;F67&amp;G67</f>
        <v>Premium4</v>
      </c>
      <c r="D67" s="7" t="str">
        <f>IF(I67="PremiumSS",I67,IF(I67="PremiumSSS",I67,IF(I67="PremiumW",I67,"Premium")))</f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7">
        <f ca="1">IFERROR(VLOOKUP(B67,input_332100!L:R,7,FALSE),VLOOKUP(tables_332100!C67,input_332100!A:H,8,FALSE))</f>
        <v>30039</v>
      </c>
      <c r="P67" s="48">
        <f ca="1">O67/SUM(O:O)</f>
        <v>1.193918918918919E-2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input_332100!A$2</f>
        <v>332100</v>
      </c>
      <c r="B68" s="6">
        <v>192</v>
      </c>
      <c r="C68" s="7" t="str">
        <f>D68&amp;J68&amp;E68&amp;F68&amp;G68</f>
        <v>Premium5</v>
      </c>
      <c r="D68" s="7" t="str">
        <f>IF(I68="PremiumSS",I68,IF(I68="PremiumSSS",I68,IF(I68="PremiumW",I68,"Premium")))</f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7">
        <f ca="1">IFERROR(VLOOKUP(B68,input_332100!L:R,7,FALSE),VLOOKUP(tables_332100!C68,input_332100!A:H,8,FALSE))</f>
        <v>1581</v>
      </c>
      <c r="P68" s="48">
        <f ca="1">O68/SUM(O:O)</f>
        <v>6.283783783783784E-4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input_332100!A$2</f>
        <v>332100</v>
      </c>
      <c r="B69" s="6">
        <v>193</v>
      </c>
      <c r="C69" s="7" t="str">
        <f>D69&amp;J69&amp;E69&amp;F69&amp;G69</f>
        <v>Premium3</v>
      </c>
      <c r="D69" s="7" t="str">
        <f>IF(I69="PremiumSS",I69,IF(I69="PremiumSSS",I69,IF(I69="PremiumW",I69,"Premium")))</f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7">
        <f ca="1">IFERROR(VLOOKUP(B69,input_332100!L:R,7,FALSE),VLOOKUP(tables_332100!C69,input_332100!A:H,8,FALSE))</f>
        <v>0</v>
      </c>
      <c r="P69" s="48">
        <f ca="1">O69/SUM(O:O)</f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input_332100!A$2</f>
        <v>332100</v>
      </c>
      <c r="B70" s="10">
        <v>194</v>
      </c>
      <c r="C70" s="7" t="str">
        <f>D70&amp;J70&amp;E70&amp;F70&amp;G70</f>
        <v>Premium4</v>
      </c>
      <c r="D70" s="7" t="str">
        <f>IF(I70="PremiumSS",I70,IF(I70="PremiumSSS",I70,IF(I70="PremiumW",I70,"Premium")))</f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7">
        <f ca="1">IFERROR(VLOOKUP(B70,input_332100!L:R,7,FALSE),VLOOKUP(tables_332100!C70,input_332100!A:H,8,FALSE))</f>
        <v>30039</v>
      </c>
      <c r="P70" s="48">
        <f ca="1">O70/SUM(O:O)</f>
        <v>1.193918918918919E-2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input_332100!A$2</f>
        <v>332100</v>
      </c>
      <c r="B71" s="6">
        <v>195</v>
      </c>
      <c r="C71" s="7" t="str">
        <f>D71&amp;J71&amp;E71&amp;F71&amp;G71</f>
        <v>Premium5</v>
      </c>
      <c r="D71" s="7" t="str">
        <f>IF(I71="PremiumSS",I71,IF(I71="PremiumSSS",I71,IF(I71="PremiumW",I71,"Premium")))</f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7">
        <f ca="1">IFERROR(VLOOKUP(B71,input_332100!L:R,7,FALSE),VLOOKUP(tables_332100!C71,input_332100!A:H,8,FALSE))</f>
        <v>1581</v>
      </c>
      <c r="P71" s="48">
        <f ca="1">O71/SUM(O:O)</f>
        <v>6.283783783783784E-4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input_332100!A$2</f>
        <v>332100</v>
      </c>
      <c r="B72" s="10">
        <v>196</v>
      </c>
      <c r="C72" s="7" t="str">
        <f>D72&amp;J72&amp;E72&amp;F72&amp;G72</f>
        <v>Premium3</v>
      </c>
      <c r="D72" s="7" t="str">
        <f>IF(I72="PremiumSS",I72,IF(I72="PremiumSSS",I72,IF(I72="PremiumW",I72,"Premium")))</f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7">
        <f ca="1">IFERROR(VLOOKUP(B72,input_332100!L:R,7,FALSE),VLOOKUP(tables_332100!C72,input_332100!A:H,8,FALSE))</f>
        <v>0</v>
      </c>
      <c r="P72" s="48">
        <f ca="1">O72/SUM(O:O)</f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input_332100!A$2</f>
        <v>332100</v>
      </c>
      <c r="B73" s="11">
        <v>197</v>
      </c>
      <c r="C73" s="7" t="str">
        <f>D73&amp;J73&amp;E73&amp;F73&amp;G73</f>
        <v>Premium4</v>
      </c>
      <c r="D73" s="7" t="str">
        <f>IF(I73="PremiumSS",I73,IF(I73="PremiumSSS",I73,IF(I73="PremiumW",I73,"Premium")))</f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7">
        <f ca="1">IFERROR(VLOOKUP(B73,input_332100!L:R,7,FALSE),VLOOKUP(tables_332100!C73,input_332100!A:H,8,FALSE))</f>
        <v>30039</v>
      </c>
      <c r="P73" s="48">
        <f ca="1">O73/SUM(O:O)</f>
        <v>1.193918918918919E-2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input_332100!A$2</f>
        <v>332100</v>
      </c>
      <c r="B74" s="6">
        <v>198</v>
      </c>
      <c r="C74" s="7" t="str">
        <f>D74&amp;J74&amp;E74&amp;F74&amp;G74</f>
        <v>Premium5</v>
      </c>
      <c r="D74" s="7" t="str">
        <f>IF(I74="PremiumSS",I74,IF(I74="PremiumSSS",I74,IF(I74="PremiumW",I74,"Premium")))</f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7">
        <f ca="1">IFERROR(VLOOKUP(B74,input_332100!L:R,7,FALSE),VLOOKUP(tables_332100!C74,input_332100!A:H,8,FALSE))</f>
        <v>1581</v>
      </c>
      <c r="P74" s="48">
        <f ca="1">O74/SUM(O:O)</f>
        <v>6.283783783783784E-4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input_332100!A$2</f>
        <v>332100</v>
      </c>
      <c r="B75" s="6">
        <v>199</v>
      </c>
      <c r="C75" s="7" t="str">
        <f>D75&amp;J75&amp;E75&amp;F75&amp;G75</f>
        <v>Premium3</v>
      </c>
      <c r="D75" s="7" t="str">
        <f>IF(I75="PremiumSS",I75,IF(I75="PremiumSSS",I75,IF(I75="PremiumW",I75,"Premium")))</f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7">
        <f ca="1">IFERROR(VLOOKUP(B75,input_332100!L:R,7,FALSE),VLOOKUP(tables_332100!C75,input_332100!A:H,8,FALSE))</f>
        <v>0</v>
      </c>
      <c r="P75" s="48">
        <f ca="1">O75/SUM(O:O)</f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input_332100!A$2</f>
        <v>332100</v>
      </c>
      <c r="B76" s="6">
        <v>200</v>
      </c>
      <c r="C76" s="7" t="str">
        <f>D76&amp;J76&amp;E76&amp;F76&amp;G76</f>
        <v>Premium4</v>
      </c>
      <c r="D76" s="7" t="str">
        <f>IF(I76="PremiumSS",I76,IF(I76="PremiumSSS",I76,IF(I76="PremiumW",I76,"Premium")))</f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7">
        <f ca="1">IFERROR(VLOOKUP(B76,input_332100!L:R,7,FALSE),VLOOKUP(tables_332100!C76,input_332100!A:H,8,FALSE))</f>
        <v>30039</v>
      </c>
      <c r="P76" s="48">
        <f ca="1">O76/SUM(O:O)</f>
        <v>1.193918918918919E-2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input_332100!A$2</f>
        <v>332100</v>
      </c>
      <c r="B77" s="5">
        <v>201</v>
      </c>
      <c r="C77" s="7" t="str">
        <f>D77&amp;J77&amp;E77&amp;F77&amp;G77</f>
        <v>Premium5</v>
      </c>
      <c r="D77" s="7" t="str">
        <f>IF(I77="PremiumSS",I77,IF(I77="PremiumSSS",I77,IF(I77="PremiumW",I77,"Premium")))</f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7">
        <f ca="1">IFERROR(VLOOKUP(B77,input_332100!L:R,7,FALSE),VLOOKUP(tables_332100!C77,input_332100!A:H,8,FALSE))</f>
        <v>1581</v>
      </c>
      <c r="P77" s="48">
        <f ca="1">O77/SUM(O:O)</f>
        <v>6.283783783783784E-4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input_332100!A$2</f>
        <v>332100</v>
      </c>
      <c r="B78" s="5">
        <v>202</v>
      </c>
      <c r="C78" s="7" t="str">
        <f>D78&amp;J78&amp;E78&amp;F78&amp;G78</f>
        <v>Premium3</v>
      </c>
      <c r="D78" s="7" t="str">
        <f>IF(I78="PremiumSS",I78,IF(I78="PremiumSSS",I78,IF(I78="PremiumW",I78,"Premium")))</f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7">
        <f ca="1">IFERROR(VLOOKUP(B78,input_332100!L:R,7,FALSE),VLOOKUP(tables_332100!C78,input_332100!A:H,8,FALSE))</f>
        <v>0</v>
      </c>
      <c r="P78" s="48">
        <f ca="1">O78/SUM(O:O)</f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input_332100!A$2</f>
        <v>332100</v>
      </c>
      <c r="B79" s="5">
        <v>203</v>
      </c>
      <c r="C79" s="7" t="str">
        <f>D79&amp;J79&amp;E79&amp;F79&amp;G79</f>
        <v>Premium4</v>
      </c>
      <c r="D79" s="7" t="str">
        <f>IF(I79="PremiumSS",I79,IF(I79="PremiumSSS",I79,IF(I79="PremiumW",I79,"Premium")))</f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7">
        <f ca="1">IFERROR(VLOOKUP(B79,input_332100!L:R,7,FALSE),VLOOKUP(tables_332100!C79,input_332100!A:H,8,FALSE))</f>
        <v>30039</v>
      </c>
      <c r="P79" s="48">
        <f ca="1">O79/SUM(O:O)</f>
        <v>1.193918918918919E-2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input_332100!A$2</f>
        <v>332100</v>
      </c>
      <c r="B80" s="5">
        <v>204</v>
      </c>
      <c r="C80" s="7" t="str">
        <f>D80&amp;J80&amp;E80&amp;F80&amp;G80</f>
        <v>Premium5</v>
      </c>
      <c r="D80" s="7" t="str">
        <f>IF(I80="PremiumSS",I80,IF(I80="PremiumSSS",I80,IF(I80="PremiumW",I80,"Premium")))</f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7">
        <f ca="1">IFERROR(VLOOKUP(B80,input_332100!L:R,7,FALSE),VLOOKUP(tables_332100!C80,input_332100!A:H,8,FALSE))</f>
        <v>1581</v>
      </c>
      <c r="P80" s="48">
        <f ca="1">O80/SUM(O:O)</f>
        <v>6.283783783783784E-4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input_332100!A$2</f>
        <v>332100</v>
      </c>
      <c r="B81" s="5">
        <v>205</v>
      </c>
      <c r="C81" s="7" t="str">
        <f>D81&amp;J81&amp;E81&amp;F81&amp;G81</f>
        <v>Premium3</v>
      </c>
      <c r="D81" s="7" t="str">
        <f>IF(I81="PremiumSS",I81,IF(I81="PremiumSSS",I81,IF(I81="PremiumW",I81,"Premium")))</f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7">
        <f ca="1">IFERROR(VLOOKUP(B81,input_332100!L:R,7,FALSE),VLOOKUP(tables_332100!C81,input_332100!A:H,8,FALSE))</f>
        <v>0</v>
      </c>
      <c r="P81" s="48">
        <f ca="1">O81/SUM(O:O)</f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input_332100!A$2</f>
        <v>332100</v>
      </c>
      <c r="B82" s="5">
        <v>206</v>
      </c>
      <c r="C82" s="7" t="str">
        <f>D82&amp;J82&amp;E82&amp;F82&amp;G82</f>
        <v>Premium4</v>
      </c>
      <c r="D82" s="7" t="str">
        <f>IF(I82="PremiumSS",I82,IF(I82="PremiumSSS",I82,IF(I82="PremiumW",I82,"Premium")))</f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7">
        <f ca="1">IFERROR(VLOOKUP(B82,input_332100!L:R,7,FALSE),VLOOKUP(tables_332100!C82,input_332100!A:H,8,FALSE))</f>
        <v>30039</v>
      </c>
      <c r="P82" s="48">
        <f ca="1">O82/SUM(O:O)</f>
        <v>1.193918918918919E-2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input_332100!A$2</f>
        <v>332100</v>
      </c>
      <c r="B83" s="5">
        <v>207</v>
      </c>
      <c r="C83" s="7" t="str">
        <f>D83&amp;J83&amp;E83&amp;F83&amp;G83</f>
        <v>Premium5</v>
      </c>
      <c r="D83" s="7" t="str">
        <f>IF(I83="PremiumSS",I83,IF(I83="PremiumSSS",I83,IF(I83="PremiumW",I83,"Premium")))</f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7">
        <f ca="1">IFERROR(VLOOKUP(B83,input_332100!L:R,7,FALSE),VLOOKUP(tables_332100!C83,input_332100!A:H,8,FALSE))</f>
        <v>1581</v>
      </c>
      <c r="P83" s="48">
        <f ca="1">O83/SUM(O:O)</f>
        <v>6.283783783783784E-4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input_332100!A$2</f>
        <v>332100</v>
      </c>
      <c r="B84" s="5">
        <v>208</v>
      </c>
      <c r="C84" s="7" t="str">
        <f>D84&amp;J84&amp;E84&amp;F84&amp;G84</f>
        <v>Premium3</v>
      </c>
      <c r="D84" s="7" t="str">
        <f>IF(I84="PremiumSS",I84,IF(I84="PremiumSSS",I84,IF(I84="PremiumW",I84,"Premium")))</f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7">
        <f ca="1">IFERROR(VLOOKUP(B84,input_332100!L:R,7,FALSE),VLOOKUP(tables_332100!C84,input_332100!A:H,8,FALSE))</f>
        <v>0</v>
      </c>
      <c r="P84" s="48">
        <f ca="1">O84/SUM(O:O)</f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input_332100!A$2</f>
        <v>332100</v>
      </c>
      <c r="B85" s="5">
        <v>209</v>
      </c>
      <c r="C85" s="7" t="str">
        <f>D85&amp;J85&amp;E85&amp;F85&amp;G85</f>
        <v>Premium4</v>
      </c>
      <c r="D85" s="7" t="str">
        <f>IF(I85="PremiumSS",I85,IF(I85="PremiumSSS",I85,IF(I85="PremiumW",I85,"Premium")))</f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7">
        <f ca="1">IFERROR(VLOOKUP(B85,input_332100!L:R,7,FALSE),VLOOKUP(tables_332100!C85,input_332100!A:H,8,FALSE))</f>
        <v>30039</v>
      </c>
      <c r="P85" s="48">
        <f ca="1">O85/SUM(O:O)</f>
        <v>1.193918918918919E-2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input_332100!A$2</f>
        <v>332100</v>
      </c>
      <c r="B86" s="5">
        <v>210</v>
      </c>
      <c r="C86" s="7" t="str">
        <f>D86&amp;J86&amp;E86&amp;F86&amp;G86</f>
        <v>Premium5</v>
      </c>
      <c r="D86" s="7" t="str">
        <f>IF(I86="PremiumSS",I86,IF(I86="PremiumSSS",I86,IF(I86="PremiumW",I86,"Premium")))</f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7">
        <f ca="1">IFERROR(VLOOKUP(B86,input_332100!L:R,7,FALSE),VLOOKUP(tables_332100!C86,input_332100!A:H,8,FALSE))</f>
        <v>1581</v>
      </c>
      <c r="P86" s="48">
        <f ca="1">O86/SUM(O:O)</f>
        <v>6.283783783783784E-4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input_332100!A$2</f>
        <v>332100</v>
      </c>
      <c r="B87" s="5">
        <v>211</v>
      </c>
      <c r="C87" s="7" t="str">
        <f>D87&amp;J87&amp;E87&amp;F87&amp;G87</f>
        <v>Premium3</v>
      </c>
      <c r="D87" s="7" t="str">
        <f>IF(I87="PremiumSS",I87,IF(I87="PremiumSSS",I87,IF(I87="PremiumW",I87,"Premium")))</f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7">
        <f ca="1">IFERROR(VLOOKUP(B87,input_332100!L:R,7,FALSE),VLOOKUP(tables_332100!C87,input_332100!A:H,8,FALSE))</f>
        <v>0</v>
      </c>
      <c r="P87" s="48">
        <f ca="1">O87/SUM(O:O)</f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input_332100!A$2</f>
        <v>332100</v>
      </c>
      <c r="B88" s="5">
        <v>212</v>
      </c>
      <c r="C88" s="7" t="str">
        <f>D88&amp;J88&amp;E88&amp;F88&amp;G88</f>
        <v>Premium4</v>
      </c>
      <c r="D88" s="7" t="str">
        <f>IF(I88="PremiumSS",I88,IF(I88="PremiumSSS",I88,IF(I88="PremiumW",I88,"Premium")))</f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7">
        <f ca="1">IFERROR(VLOOKUP(B88,input_332100!L:R,7,FALSE),VLOOKUP(tables_332100!C88,input_332100!A:H,8,FALSE))</f>
        <v>30039</v>
      </c>
      <c r="P88" s="48">
        <f ca="1">O88/SUM(O:O)</f>
        <v>1.193918918918919E-2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input_332100!A$2</f>
        <v>332100</v>
      </c>
      <c r="B89" s="5">
        <v>213</v>
      </c>
      <c r="C89" s="7" t="str">
        <f>D89&amp;J89&amp;E89&amp;F89&amp;G89</f>
        <v>Premium5</v>
      </c>
      <c r="D89" s="7" t="str">
        <f>IF(I89="PremiumSS",I89,IF(I89="PremiumSSS",I89,IF(I89="PremiumW",I89,"Premium")))</f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7">
        <f ca="1">IFERROR(VLOOKUP(B89,input_332100!L:R,7,FALSE),VLOOKUP(tables_332100!C89,input_332100!A:H,8,FALSE))</f>
        <v>1581</v>
      </c>
      <c r="P89" s="48">
        <f ca="1">O89/SUM(O:O)</f>
        <v>6.283783783783784E-4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input_332100!A$2</f>
        <v>332100</v>
      </c>
      <c r="B90" s="5">
        <v>214</v>
      </c>
      <c r="C90" s="7" t="str">
        <f>D90&amp;J90&amp;E90&amp;F90&amp;G90</f>
        <v>Premium3</v>
      </c>
      <c r="D90" s="7" t="str">
        <f>IF(I90="PremiumSS",I90,IF(I90="PremiumSSS",I90,IF(I90="PremiumW",I90,"Premium")))</f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7">
        <f ca="1">IFERROR(VLOOKUP(B90,input_332100!L:R,7,FALSE),VLOOKUP(tables_332100!C90,input_332100!A:H,8,FALSE))</f>
        <v>0</v>
      </c>
      <c r="P90" s="48">
        <f ca="1">O90/SUM(O:O)</f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input_332100!A$2</f>
        <v>332100</v>
      </c>
      <c r="B91" s="5">
        <v>215</v>
      </c>
      <c r="C91" s="7" t="str">
        <f>D91&amp;J91&amp;E91&amp;F91&amp;G91</f>
        <v>Premium4</v>
      </c>
      <c r="D91" s="7" t="str">
        <f>IF(I91="PremiumSS",I91,IF(I91="PremiumSSS",I91,IF(I91="PremiumW",I91,"Premium")))</f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7">
        <f ca="1">IFERROR(VLOOKUP(B91,input_332100!L:R,7,FALSE),VLOOKUP(tables_332100!C91,input_332100!A:H,8,FALSE))</f>
        <v>30039</v>
      </c>
      <c r="P91" s="48">
        <f ca="1">O91/SUM(O:O)</f>
        <v>1.193918918918919E-2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input_332100!A$2</f>
        <v>332100</v>
      </c>
      <c r="B92" s="5">
        <v>216</v>
      </c>
      <c r="C92" s="7" t="str">
        <f>D92&amp;J92&amp;E92&amp;F92&amp;G92</f>
        <v>Premium5</v>
      </c>
      <c r="D92" s="7" t="str">
        <f>IF(I92="PremiumSS",I92,IF(I92="PremiumSSS",I92,IF(I92="PremiumW",I92,"Premium")))</f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7">
        <f ca="1">IFERROR(VLOOKUP(B92,input_332100!L:R,7,FALSE),VLOOKUP(tables_332100!C92,input_332100!A:H,8,FALSE))</f>
        <v>1581</v>
      </c>
      <c r="P92" s="48">
        <f ca="1">O92/SUM(O:O)</f>
        <v>6.283783783783784E-4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input_332100!A$2</f>
        <v>332100</v>
      </c>
      <c r="B93" s="5">
        <v>217</v>
      </c>
      <c r="C93" s="7" t="str">
        <f>D93&amp;J93&amp;E93&amp;F93&amp;G93</f>
        <v>Premium3</v>
      </c>
      <c r="D93" s="7" t="str">
        <f>IF(I93="PremiumSS",I93,IF(I93="PremiumSSS",I93,IF(I93="PremiumW",I93,"Premium")))</f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7">
        <f ca="1">IFERROR(VLOOKUP(B93,input_332100!L:R,7,FALSE),VLOOKUP(tables_332100!C93,input_332100!A:H,8,FALSE))</f>
        <v>0</v>
      </c>
      <c r="P93" s="48">
        <f ca="1">O93/SUM(O:O)</f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input_332100!A$2</f>
        <v>332100</v>
      </c>
      <c r="B94" s="5">
        <v>218</v>
      </c>
      <c r="C94" s="7" t="str">
        <f>D94&amp;J94&amp;E94&amp;F94&amp;G94</f>
        <v>Premium4</v>
      </c>
      <c r="D94" s="7" t="str">
        <f>IF(I94="PremiumSS",I94,IF(I94="PremiumSSS",I94,IF(I94="PremiumW",I94,"Premium")))</f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7">
        <f ca="1">IFERROR(VLOOKUP(B94,input_332100!L:R,7,FALSE),VLOOKUP(tables_332100!C94,input_332100!A:H,8,FALSE))</f>
        <v>30039</v>
      </c>
      <c r="P94" s="48">
        <f ca="1">O94/SUM(O:O)</f>
        <v>1.193918918918919E-2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input_332100!A$2</f>
        <v>332100</v>
      </c>
      <c r="B95" s="5">
        <v>219</v>
      </c>
      <c r="C95" s="7" t="str">
        <f>D95&amp;J95&amp;E95&amp;F95&amp;G95</f>
        <v>Premium5</v>
      </c>
      <c r="D95" s="7" t="str">
        <f>IF(I95="PremiumSS",I95,IF(I95="PremiumSSS",I95,IF(I95="PremiumW",I95,"Premium")))</f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7">
        <f ca="1">IFERROR(VLOOKUP(B95,input_332100!L:R,7,FALSE),VLOOKUP(tables_332100!C95,input_332100!A:H,8,FALSE))</f>
        <v>1581</v>
      </c>
      <c r="P95" s="48">
        <f ca="1">O95/SUM(O:O)</f>
        <v>6.283783783783784E-4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input_332100!A$2</f>
        <v>332100</v>
      </c>
      <c r="B96" s="5">
        <v>220</v>
      </c>
      <c r="C96" s="7" t="str">
        <f>D96&amp;J96&amp;E96&amp;F96&amp;G96</f>
        <v>Premium3</v>
      </c>
      <c r="D96" s="7" t="str">
        <f>IF(I96="PremiumSS",I96,IF(I96="PremiumSSS",I96,IF(I96="PremiumW",I96,"Premium")))</f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7">
        <f ca="1">IFERROR(VLOOKUP(B96,input_332100!L:R,7,FALSE),VLOOKUP(tables_332100!C96,input_332100!A:H,8,FALSE))</f>
        <v>0</v>
      </c>
      <c r="P96" s="48">
        <f ca="1">O96/SUM(O:O)</f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input_332100!A$2</f>
        <v>332100</v>
      </c>
      <c r="B97" s="5">
        <v>221</v>
      </c>
      <c r="C97" s="7" t="str">
        <f>D97&amp;J97&amp;E97&amp;F97&amp;G97</f>
        <v>Premium4</v>
      </c>
      <c r="D97" s="7" t="str">
        <f>IF(I97="PremiumSS",I97,IF(I97="PremiumSSS",I97,IF(I97="PremiumW",I97,"Premium")))</f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7">
        <f ca="1">IFERROR(VLOOKUP(B97,input_332100!L:R,7,FALSE),VLOOKUP(tables_332100!C97,input_332100!A:H,8,FALSE))</f>
        <v>30039</v>
      </c>
      <c r="P97" s="48">
        <f ca="1">O97/SUM(O:O)</f>
        <v>1.193918918918919E-2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input_332100!A$2</f>
        <v>332100</v>
      </c>
      <c r="B98" s="5">
        <v>222</v>
      </c>
      <c r="C98" s="7" t="str">
        <f>D98&amp;J98&amp;E98&amp;F98&amp;G98</f>
        <v>Premium5</v>
      </c>
      <c r="D98" s="7" t="str">
        <f>IF(I98="PremiumSS",I98,IF(I98="PremiumSSS",I98,IF(I98="PremiumW",I98,"Premium")))</f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7">
        <f ca="1">IFERROR(VLOOKUP(B98,input_332100!L:R,7,FALSE),VLOOKUP(tables_332100!C98,input_332100!A:H,8,FALSE))</f>
        <v>1581</v>
      </c>
      <c r="P98" s="48">
        <f ca="1">O98/SUM(O:O)</f>
        <v>6.283783783783784E-4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input_332100!A$2</f>
        <v>332100</v>
      </c>
      <c r="B99" s="5">
        <v>223</v>
      </c>
      <c r="C99" s="7" t="str">
        <f>D99&amp;J99&amp;E99&amp;F99&amp;G99</f>
        <v>Premium3</v>
      </c>
      <c r="D99" s="7" t="str">
        <f>IF(I99="PremiumSS",I99,IF(I99="PremiumSSS",I99,IF(I99="PremiumW",I99,"Premium")))</f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7">
        <f ca="1">IFERROR(VLOOKUP(B99,input_332100!L:R,7,FALSE),VLOOKUP(tables_332100!C99,input_332100!A:H,8,FALSE))</f>
        <v>0</v>
      </c>
      <c r="P99" s="48">
        <f ca="1">O99/SUM(O:O)</f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input_332100!A$2</f>
        <v>332100</v>
      </c>
      <c r="B100" s="5">
        <v>224</v>
      </c>
      <c r="C100" s="7" t="str">
        <f>D100&amp;J100&amp;E100&amp;F100&amp;G100</f>
        <v>Premium4</v>
      </c>
      <c r="D100" s="7" t="str">
        <f>IF(I100="PremiumSS",I100,IF(I100="PremiumSSS",I100,IF(I100="PremiumW",I100,"Premium")))</f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7">
        <f ca="1">IFERROR(VLOOKUP(B100,input_332100!L:R,7,FALSE),VLOOKUP(tables_332100!C100,input_332100!A:H,8,FALSE))</f>
        <v>30039</v>
      </c>
      <c r="P100" s="48">
        <f ca="1">O100/SUM(O:O)</f>
        <v>1.193918918918919E-2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input_332100!A$2</f>
        <v>332100</v>
      </c>
      <c r="B101" s="5">
        <v>225</v>
      </c>
      <c r="C101" s="7" t="str">
        <f>D101&amp;J101&amp;E101&amp;F101&amp;G101</f>
        <v>Premium5</v>
      </c>
      <c r="D101" s="7" t="str">
        <f>IF(I101="PremiumSS",I101,IF(I101="PremiumSSS",I101,IF(I101="PremiumW",I101,"Premium")))</f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7">
        <f ca="1">IFERROR(VLOOKUP(B101,input_332100!L:R,7,FALSE),VLOOKUP(tables_332100!C101,input_332100!A:H,8,FALSE))</f>
        <v>1581</v>
      </c>
      <c r="P101" s="48">
        <f ca="1">O101/SUM(O:O)</f>
        <v>6.283783783783784E-4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input_332100!A$2</f>
        <v>332100</v>
      </c>
      <c r="B102" s="5">
        <v>226</v>
      </c>
      <c r="C102" s="7" t="str">
        <f>D102&amp;J102&amp;E102&amp;F102&amp;G102</f>
        <v>Premium3</v>
      </c>
      <c r="D102" s="7" t="str">
        <f>IF(I102="PremiumSS",I102,IF(I102="PremiumSSS",I102,IF(I102="PremiumW",I102,"Premium")))</f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7">
        <f ca="1">IFERROR(VLOOKUP(B102,input_332100!L:R,7,FALSE),VLOOKUP(tables_332100!C102,input_332100!A:H,8,FALSE))</f>
        <v>0</v>
      </c>
      <c r="P102" s="48">
        <f ca="1">O102/SUM(O:O)</f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input_332100!A$2</f>
        <v>332100</v>
      </c>
      <c r="B103" s="5">
        <v>227</v>
      </c>
      <c r="C103" s="7" t="str">
        <f>D103&amp;J103&amp;E103&amp;F103&amp;G103</f>
        <v>Premium4</v>
      </c>
      <c r="D103" s="7" t="str">
        <f>IF(I103="PremiumSS",I103,IF(I103="PremiumSSS",I103,IF(I103="PremiumW",I103,"Premium")))</f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7">
        <f ca="1">IFERROR(VLOOKUP(B103,input_332100!L:R,7,FALSE),VLOOKUP(tables_332100!C103,input_332100!A:H,8,FALSE))</f>
        <v>30039</v>
      </c>
      <c r="P103" s="48">
        <f ca="1">O103/SUM(O:O)</f>
        <v>1.193918918918919E-2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input_332100!A$2</f>
        <v>332100</v>
      </c>
      <c r="B104" s="5">
        <v>228</v>
      </c>
      <c r="C104" s="7" t="str">
        <f>D104&amp;J104&amp;E104&amp;F104&amp;G104</f>
        <v>Premium5</v>
      </c>
      <c r="D104" s="7" t="str">
        <f>IF(I104="PremiumSS",I104,IF(I104="PremiumSSS",I104,IF(I104="PremiumW",I104,"Premium")))</f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7">
        <f ca="1">IFERROR(VLOOKUP(B104,input_332100!L:R,7,FALSE),VLOOKUP(tables_332100!C104,input_332100!A:H,8,FALSE))</f>
        <v>1581</v>
      </c>
      <c r="P104" s="48">
        <f ca="1">O104/SUM(O:O)</f>
        <v>6.283783783783784E-4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input_332100!A$2</f>
        <v>332100</v>
      </c>
      <c r="B105" s="5">
        <v>229</v>
      </c>
      <c r="C105" s="7" t="str">
        <f>D105&amp;J105&amp;E105&amp;F105&amp;G105</f>
        <v>Premium3</v>
      </c>
      <c r="D105" s="7" t="str">
        <f>IF(I105="PremiumSS",I105,IF(I105="PremiumSSS",I105,IF(I105="PremiumW",I105,"Premium")))</f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7">
        <f ca="1">IFERROR(VLOOKUP(B105,input_332100!L:R,7,FALSE),VLOOKUP(tables_332100!C105,input_332100!A:H,8,FALSE))</f>
        <v>0</v>
      </c>
      <c r="P105" s="48">
        <f ca="1">O105/SUM(O:O)</f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input_332100!A$2</f>
        <v>332100</v>
      </c>
      <c r="B106" s="5">
        <v>230</v>
      </c>
      <c r="C106" s="7" t="str">
        <f>D106&amp;J106&amp;E106&amp;F106&amp;G106</f>
        <v>Premium4</v>
      </c>
      <c r="D106" s="7" t="str">
        <f>IF(I106="PremiumSS",I106,IF(I106="PremiumSSS",I106,IF(I106="PremiumW",I106,"Premium")))</f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7">
        <f ca="1">IFERROR(VLOOKUP(B106,input_332100!L:R,7,FALSE),VLOOKUP(tables_332100!C106,input_332100!A:H,8,FALSE))</f>
        <v>30039</v>
      </c>
      <c r="P106" s="48">
        <f ca="1">O106/SUM(O:O)</f>
        <v>1.193918918918919E-2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input_332100!A$2</f>
        <v>332100</v>
      </c>
      <c r="B107" s="5">
        <v>231</v>
      </c>
      <c r="C107" s="7" t="str">
        <f>D107&amp;J107&amp;E107&amp;F107&amp;G107</f>
        <v>Premium5</v>
      </c>
      <c r="D107" s="7" t="str">
        <f>IF(I107="PremiumSS",I107,IF(I107="PremiumSSS",I107,IF(I107="PremiumW",I107,"Premium")))</f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7">
        <f ca="1">IFERROR(VLOOKUP(B107,input_332100!L:R,7,FALSE),VLOOKUP(tables_332100!C107,input_332100!A:H,8,FALSE))</f>
        <v>1581</v>
      </c>
      <c r="P107" s="48">
        <f ca="1">O107/SUM(O:O)</f>
        <v>6.283783783783784E-4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input_332100!A$2</f>
        <v>332100</v>
      </c>
      <c r="B108" s="5">
        <v>232</v>
      </c>
      <c r="C108" s="7" t="str">
        <f>D108&amp;J108&amp;E108&amp;F108&amp;G108</f>
        <v>Premium3</v>
      </c>
      <c r="D108" s="7" t="str">
        <f>IF(I108="PremiumSS",I108,IF(I108="PremiumSSS",I108,IF(I108="PremiumW",I108,"Premium")))</f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7">
        <f ca="1">IFERROR(VLOOKUP(B108,input_332100!L:R,7,FALSE),VLOOKUP(tables_332100!C108,input_332100!A:H,8,FALSE))</f>
        <v>0</v>
      </c>
      <c r="P108" s="48">
        <f ca="1">O108/SUM(O:O)</f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input_332100!A$2</f>
        <v>332100</v>
      </c>
      <c r="B109" s="5">
        <v>233</v>
      </c>
      <c r="C109" s="7" t="str">
        <f>D109&amp;J109&amp;E109&amp;F109&amp;G109</f>
        <v>Premium4</v>
      </c>
      <c r="D109" s="7" t="str">
        <f>IF(I109="PremiumSS",I109,IF(I109="PremiumSSS",I109,IF(I109="PremiumW",I109,"Premium")))</f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7">
        <f ca="1">IFERROR(VLOOKUP(B109,input_332100!L:R,7,FALSE),VLOOKUP(tables_332100!C109,input_332100!A:H,8,FALSE))</f>
        <v>30039</v>
      </c>
      <c r="P109" s="48">
        <f ca="1">O109/SUM(O:O)</f>
        <v>1.193918918918919E-2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input_332100!A$2</f>
        <v>332100</v>
      </c>
      <c r="B110" s="5">
        <v>234</v>
      </c>
      <c r="C110" s="7" t="str">
        <f>D110&amp;J110&amp;E110&amp;F110&amp;G110</f>
        <v>Premium5</v>
      </c>
      <c r="D110" s="7" t="str">
        <f>IF(I110="PremiumSS",I110,IF(I110="PremiumSSS",I110,IF(I110="PremiumW",I110,"Premium")))</f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7">
        <f ca="1">IFERROR(VLOOKUP(B110,input_332100!L:R,7,FALSE),VLOOKUP(tables_332100!C110,input_332100!A:H,8,FALSE))</f>
        <v>1581</v>
      </c>
      <c r="P110" s="48">
        <f ca="1">O110/SUM(O:O)</f>
        <v>6.283783783783784E-4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input_332100!A$2</f>
        <v>332100</v>
      </c>
      <c r="B111" s="5">
        <v>235</v>
      </c>
      <c r="C111" s="7" t="str">
        <f>D111&amp;J111&amp;E111&amp;F111&amp;G111</f>
        <v>Premium3R6release</v>
      </c>
      <c r="D111" s="7" t="str">
        <f>IF(I111="PremiumSS",I111,IF(I111="PremiumSSS",I111,IF(I111="PremiumW",I111,"Premium")))</f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7">
        <f ca="1">IFERROR(VLOOKUP(B111,input_332100!L:R,7,FALSE),VLOOKUP(tables_332100!C111,input_332100!A:H,8,FALSE))</f>
        <v>0</v>
      </c>
      <c r="P111" s="48">
        <f ca="1">O111/SUM(O:O)</f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input_332100!A$2</f>
        <v>332100</v>
      </c>
      <c r="B112" s="5">
        <v>236</v>
      </c>
      <c r="C112" s="7" t="str">
        <f>D112&amp;J112&amp;E112&amp;F112&amp;G112</f>
        <v>Premium4R6release</v>
      </c>
      <c r="D112" s="7" t="str">
        <f>IF(I112="PremiumSS",I112,IF(I112="PremiumSSS",I112,IF(I112="PremiumW",I112,"Premium")))</f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7">
        <f ca="1">IFERROR(VLOOKUP(B112,input_332100!L:R,7,FALSE),VLOOKUP(tables_332100!C112,input_332100!A:H,8,FALSE))</f>
        <v>4218</v>
      </c>
      <c r="P112" s="48">
        <f ca="1">O112/SUM(O:O)</f>
        <v>1.676470588235294E-3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input_332100!A$2</f>
        <v>332100</v>
      </c>
      <c r="B113" s="5">
        <v>237</v>
      </c>
      <c r="C113" s="7" t="str">
        <f>D113&amp;J113&amp;E113&amp;F113&amp;G113</f>
        <v>Premium5R6release</v>
      </c>
      <c r="D113" s="7" t="str">
        <f>IF(I113="PremiumSS",I113,IF(I113="PremiumSSS",I113,IF(I113="PremiumW",I113,"Premium")))</f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7">
        <f ca="1">IFERROR(VLOOKUP(B113,input_332100!L:R,7,FALSE),VLOOKUP(tables_332100!C113,input_332100!A:H,8,FALSE))</f>
        <v>222</v>
      </c>
      <c r="P113" s="48">
        <f ca="1">O113/SUM(O:O)</f>
        <v>8.8235294117647065E-5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input_332100!A$2</f>
        <v>332100</v>
      </c>
      <c r="B114" s="5">
        <v>238</v>
      </c>
      <c r="C114" s="7" t="str">
        <f>D114&amp;J114&amp;E114&amp;F114&amp;G114</f>
        <v>Premium3</v>
      </c>
      <c r="D114" s="7" t="str">
        <f>IF(I114="PremiumSS",I114,IF(I114="PremiumSSS",I114,IF(I114="PremiumW",I114,"Premium")))</f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7">
        <f ca="1">IFERROR(VLOOKUP(B114,input_332100!L:R,7,FALSE),VLOOKUP(tables_332100!C114,input_332100!A:H,8,FALSE))</f>
        <v>0</v>
      </c>
      <c r="P114" s="48">
        <f ca="1">O114/SUM(O:O)</f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input_332100!A$2</f>
        <v>332100</v>
      </c>
      <c r="B115" s="5">
        <v>239</v>
      </c>
      <c r="C115" s="7" t="str">
        <f>D115&amp;J115&amp;E115&amp;F115&amp;G115</f>
        <v>Premium4</v>
      </c>
      <c r="D115" s="7" t="str">
        <f>IF(I115="PremiumSS",I115,IF(I115="PremiumSSS",I115,IF(I115="PremiumW",I115,"Premium")))</f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7">
        <f ca="1">IFERROR(VLOOKUP(B115,input_332100!L:R,7,FALSE),VLOOKUP(tables_332100!C115,input_332100!A:H,8,FALSE))</f>
        <v>30039</v>
      </c>
      <c r="P115" s="48">
        <f ca="1">O115/SUM(O:O)</f>
        <v>1.193918918918919E-2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input_332100!A$2</f>
        <v>332100</v>
      </c>
      <c r="B116" s="5">
        <v>240</v>
      </c>
      <c r="C116" s="7" t="str">
        <f>D116&amp;J116&amp;E116&amp;F116&amp;G116</f>
        <v>Premium5</v>
      </c>
      <c r="D116" s="7" t="str">
        <f>IF(I116="PremiumSS",I116,IF(I116="PremiumSSS",I116,IF(I116="PremiumW",I116,"Premium")))</f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7">
        <f ca="1">IFERROR(VLOOKUP(B116,input_332100!L:R,7,FALSE),VLOOKUP(tables_332100!C116,input_332100!A:H,8,FALSE))</f>
        <v>1581</v>
      </c>
      <c r="P116" s="48">
        <f ca="1">O116/SUM(O:O)</f>
        <v>6.283783783783784E-4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input_332100!A$2</f>
        <v>332100</v>
      </c>
      <c r="B117" s="5">
        <v>241</v>
      </c>
      <c r="C117" s="7" t="str">
        <f>D117&amp;J117&amp;E117&amp;F117&amp;G117</f>
        <v>Premium3</v>
      </c>
      <c r="D117" s="7" t="str">
        <f>IF(I117="PremiumSS",I117,IF(I117="PremiumSSS",I117,IF(I117="PremiumW",I117,"Premium")))</f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7">
        <f ca="1">IFERROR(VLOOKUP(B117,input_332100!L:R,7,FALSE),VLOOKUP(tables_332100!C117,input_332100!A:H,8,FALSE))</f>
        <v>0</v>
      </c>
      <c r="P117" s="48">
        <f ca="1">O117/SUM(O:O)</f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input_332100!A$2</f>
        <v>332100</v>
      </c>
      <c r="B118" s="5">
        <v>242</v>
      </c>
      <c r="C118" s="7" t="str">
        <f>D118&amp;J118&amp;E118&amp;F118&amp;G118</f>
        <v>Premium4</v>
      </c>
      <c r="D118" s="7" t="str">
        <f>IF(I118="PremiumSS",I118,IF(I118="PremiumSSS",I118,IF(I118="PremiumW",I118,"Premium")))</f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7">
        <f ca="1">IFERROR(VLOOKUP(B118,input_332100!L:R,7,FALSE),VLOOKUP(tables_332100!C118,input_332100!A:H,8,FALSE))</f>
        <v>30039</v>
      </c>
      <c r="P118" s="48">
        <f ca="1">O118/SUM(O:O)</f>
        <v>1.193918918918919E-2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input_332100!A$2</f>
        <v>332100</v>
      </c>
      <c r="B119" s="5">
        <v>243</v>
      </c>
      <c r="C119" s="7" t="str">
        <f>D119&amp;J119&amp;E119&amp;F119&amp;G119</f>
        <v>Premium5</v>
      </c>
      <c r="D119" s="7" t="str">
        <f>IF(I119="PremiumSS",I119,IF(I119="PremiumSSS",I119,IF(I119="PremiumW",I119,"Premium")))</f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7">
        <f ca="1">IFERROR(VLOOKUP(B119,input_332100!L:R,7,FALSE),VLOOKUP(tables_332100!C119,input_332100!A:H,8,FALSE))</f>
        <v>1581</v>
      </c>
      <c r="P119" s="48">
        <f ca="1">O119/SUM(O:O)</f>
        <v>6.283783783783784E-4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input_332100!A$2</f>
        <v>332100</v>
      </c>
      <c r="B120" s="5">
        <v>244</v>
      </c>
      <c r="C120" s="7" t="str">
        <f>D120&amp;J120&amp;E120&amp;F120&amp;G120</f>
        <v>Premium3</v>
      </c>
      <c r="D120" s="7" t="str">
        <f>IF(I120="PremiumSS",I120,IF(I120="PremiumSSS",I120,IF(I120="PremiumW",I120,"Premium")))</f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7">
        <f ca="1">IFERROR(VLOOKUP(B120,input_332100!L:R,7,FALSE),VLOOKUP(tables_332100!C120,input_332100!A:H,8,FALSE))</f>
        <v>0</v>
      </c>
      <c r="P120" s="48">
        <f ca="1">O120/SUM(O:O)</f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input_332100!A$2</f>
        <v>332100</v>
      </c>
      <c r="B121" s="5">
        <v>245</v>
      </c>
      <c r="C121" s="7" t="str">
        <f>D121&amp;J121&amp;E121&amp;F121&amp;G121</f>
        <v>Premium4</v>
      </c>
      <c r="D121" s="7" t="str">
        <f>IF(I121="PremiumSS",I121,IF(I121="PremiumSSS",I121,IF(I121="PremiumW",I121,"Premium")))</f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7">
        <f ca="1">IFERROR(VLOOKUP(B121,input_332100!L:R,7,FALSE),VLOOKUP(tables_332100!C121,input_332100!A:H,8,FALSE))</f>
        <v>30039</v>
      </c>
      <c r="P121" s="48">
        <f ca="1">O121/SUM(O:O)</f>
        <v>1.193918918918919E-2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input_332100!A$2</f>
        <v>332100</v>
      </c>
      <c r="B122" s="5">
        <v>246</v>
      </c>
      <c r="C122" s="7" t="str">
        <f>D122&amp;J122&amp;E122&amp;F122&amp;G122</f>
        <v>Premium5</v>
      </c>
      <c r="D122" s="7" t="str">
        <f>IF(I122="PremiumSS",I122,IF(I122="PremiumSSS",I122,IF(I122="PremiumW",I122,"Premium")))</f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7">
        <f ca="1">IFERROR(VLOOKUP(B122,input_332100!L:R,7,FALSE),VLOOKUP(tables_332100!C122,input_332100!A:H,8,FALSE))</f>
        <v>1581</v>
      </c>
      <c r="P122" s="48">
        <f ca="1">O122/SUM(O:O)</f>
        <v>6.283783783783784E-4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input_332100!A$2</f>
        <v>332100</v>
      </c>
      <c r="B123" s="5">
        <v>247</v>
      </c>
      <c r="C123" s="7" t="str">
        <f>D123&amp;J123&amp;E123&amp;F123&amp;G123</f>
        <v>Premium3</v>
      </c>
      <c r="D123" s="7" t="str">
        <f>IF(I123="PremiumSS",I123,IF(I123="PremiumSSS",I123,IF(I123="PremiumW",I123,"Premium")))</f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7">
        <f ca="1">IFERROR(VLOOKUP(B123,input_332100!L:R,7,FALSE),VLOOKUP(tables_332100!C123,input_332100!A:H,8,FALSE))</f>
        <v>0</v>
      </c>
      <c r="P123" s="48">
        <f ca="1">O123/SUM(O:O)</f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input_332100!A$2</f>
        <v>332100</v>
      </c>
      <c r="B124" s="5">
        <v>248</v>
      </c>
      <c r="C124" s="7" t="str">
        <f>D124&amp;J124&amp;E124&amp;F124&amp;G124</f>
        <v>Premium4</v>
      </c>
      <c r="D124" s="7" t="str">
        <f>IF(I124="PremiumSS",I124,IF(I124="PremiumSSS",I124,IF(I124="PremiumW",I124,"Premium")))</f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7">
        <f ca="1">IFERROR(VLOOKUP(B124,input_332100!L:R,7,FALSE),VLOOKUP(tables_332100!C124,input_332100!A:H,8,FALSE))</f>
        <v>30039</v>
      </c>
      <c r="P124" s="48">
        <f ca="1">O124/SUM(O:O)</f>
        <v>1.193918918918919E-2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input_332100!A$2</f>
        <v>332100</v>
      </c>
      <c r="B125" s="6">
        <v>249</v>
      </c>
      <c r="C125" s="7" t="str">
        <f>D125&amp;J125&amp;E125&amp;F125&amp;G125</f>
        <v>Premium5</v>
      </c>
      <c r="D125" s="7" t="str">
        <f>IF(I125="PremiumSS",I125,IF(I125="PremiumSSS",I125,IF(I125="PremiumW",I125,"Premium")))</f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7">
        <f ca="1">IFERROR(VLOOKUP(B125,input_332100!L:R,7,FALSE),VLOOKUP(tables_332100!C125,input_332100!A:H,8,FALSE))</f>
        <v>1581</v>
      </c>
      <c r="P125" s="48">
        <f ca="1">O125/SUM(O:O)</f>
        <v>6.283783783783784E-4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input_332100!A$2</f>
        <v>332100</v>
      </c>
      <c r="B126" s="6">
        <v>250</v>
      </c>
      <c r="C126" s="7" t="str">
        <f>D126&amp;J126&amp;E126&amp;F126&amp;G126</f>
        <v>Premium3</v>
      </c>
      <c r="D126" s="7" t="str">
        <f>IF(I126="PremiumSS",I126,IF(I126="PremiumSSS",I126,IF(I126="PremiumW",I126,"Premium")))</f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7">
        <f ca="1">IFERROR(VLOOKUP(B126,input_332100!L:R,7,FALSE),VLOOKUP(tables_332100!C126,input_332100!A:H,8,FALSE))</f>
        <v>0</v>
      </c>
      <c r="P126" s="48">
        <f ca="1">O126/SUM(O:O)</f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input_332100!A$2</f>
        <v>332100</v>
      </c>
      <c r="B127" s="6">
        <v>251</v>
      </c>
      <c r="C127" s="7" t="str">
        <f>D127&amp;J127&amp;E127&amp;F127&amp;G127</f>
        <v>Premium4</v>
      </c>
      <c r="D127" s="7" t="str">
        <f>IF(I127="PremiumSS",I127,IF(I127="PremiumSSS",I127,IF(I127="PremiumW",I127,"Premium")))</f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7">
        <f ca="1">IFERROR(VLOOKUP(B127,input_332100!L:R,7,FALSE),VLOOKUP(tables_332100!C127,input_332100!A:H,8,FALSE))</f>
        <v>30039</v>
      </c>
      <c r="P127" s="48">
        <f ca="1">O127/SUM(O:O)</f>
        <v>1.193918918918919E-2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input_332100!A$2</f>
        <v>332100</v>
      </c>
      <c r="B128" s="6">
        <v>252</v>
      </c>
      <c r="C128" s="7" t="str">
        <f>D128&amp;J128&amp;E128&amp;F128&amp;G128</f>
        <v>Premium5</v>
      </c>
      <c r="D128" s="7" t="str">
        <f>IF(I128="PremiumSS",I128,IF(I128="PremiumSSS",I128,IF(I128="PremiumW",I128,"Premium")))</f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7">
        <f ca="1">IFERROR(VLOOKUP(B128,input_332100!L:R,7,FALSE),VLOOKUP(tables_332100!C128,input_332100!A:H,8,FALSE))</f>
        <v>1581</v>
      </c>
      <c r="P128" s="48">
        <f ca="1">O128/SUM(O:O)</f>
        <v>6.283783783783784E-4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input_332100!A$2</f>
        <v>332100</v>
      </c>
      <c r="B129" s="6">
        <v>253</v>
      </c>
      <c r="C129" s="7" t="str">
        <f>D129&amp;J129&amp;E129&amp;F129&amp;G129</f>
        <v>Premium3</v>
      </c>
      <c r="D129" s="7" t="str">
        <f>IF(I129="PremiumSS",I129,IF(I129="PremiumSSS",I129,IF(I129="PremiumW",I129,"Premium")))</f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7">
        <f ca="1">IFERROR(VLOOKUP(B129,input_332100!L:R,7,FALSE),VLOOKUP(tables_332100!C129,input_332100!A:H,8,FALSE))</f>
        <v>0</v>
      </c>
      <c r="P129" s="48">
        <f ca="1">O129/SUM(O:O)</f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input_332100!A$2</f>
        <v>332100</v>
      </c>
      <c r="B130" s="6">
        <v>254</v>
      </c>
      <c r="C130" s="7" t="str">
        <f>D130&amp;J130&amp;E130&amp;F130&amp;G130</f>
        <v>Premium4</v>
      </c>
      <c r="D130" s="7" t="str">
        <f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7">
        <f ca="1">IFERROR(VLOOKUP(B130,input_332100!L:R,7,FALSE),VLOOKUP(tables_332100!C130,input_332100!A:H,8,FALSE))</f>
        <v>30039</v>
      </c>
      <c r="P130" s="48">
        <f ca="1">O130/SUM(O:O)</f>
        <v>1.193918918918919E-2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input_332100!A$2</f>
        <v>332100</v>
      </c>
      <c r="B131" s="6">
        <v>255</v>
      </c>
      <c r="C131" s="7" t="str">
        <f>D131&amp;J131&amp;E131&amp;F131&amp;G131</f>
        <v>Premium5</v>
      </c>
      <c r="D131" s="7" t="str">
        <f>IF(I131="PremiumSS",I131,IF(I131="PremiumSSS",I131,IF(I131="PremiumW",I131,"Premium")))</f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7">
        <f ca="1">IFERROR(VLOOKUP(B131,input_332100!L:R,7,FALSE),VLOOKUP(tables_332100!C131,input_332100!A:H,8,FALSE))</f>
        <v>1581</v>
      </c>
      <c r="P131" s="48">
        <f ca="1">O131/SUM(O:O)</f>
        <v>6.283783783783784E-4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input_332100!A$2</f>
        <v>332100</v>
      </c>
      <c r="B132" s="6">
        <v>256</v>
      </c>
      <c r="C132" s="7" t="str">
        <f>D132&amp;J132&amp;E132&amp;F132&amp;G132</f>
        <v>Premium3</v>
      </c>
      <c r="D132" s="7" t="str">
        <f>IF(I132="PremiumSS",I132,IF(I132="PremiumSSS",I132,IF(I132="PremiumW",I132,"Premium")))</f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7">
        <f ca="1">IFERROR(VLOOKUP(B132,input_332100!L:R,7,FALSE),VLOOKUP(tables_332100!C132,input_332100!A:H,8,FALSE))</f>
        <v>0</v>
      </c>
      <c r="P132" s="48">
        <f ca="1">O132/SUM(O:O)</f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input_332100!A$2</f>
        <v>332100</v>
      </c>
      <c r="B133" s="6">
        <v>257</v>
      </c>
      <c r="C133" s="7" t="str">
        <f>D133&amp;J133&amp;E133&amp;F133&amp;G133</f>
        <v>Premium4</v>
      </c>
      <c r="D133" s="7" t="str">
        <f>IF(I133="PremiumSS",I133,IF(I133="PremiumSSS",I133,IF(I133="PremiumW",I133,"Premium")))</f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7">
        <f ca="1">IFERROR(VLOOKUP(B133,input_332100!L:R,7,FALSE),VLOOKUP(tables_332100!C133,input_332100!A:H,8,FALSE))</f>
        <v>30039</v>
      </c>
      <c r="P133" s="48">
        <f ca="1">O133/SUM(O:O)</f>
        <v>1.193918918918919E-2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input_332100!A$2</f>
        <v>332100</v>
      </c>
      <c r="B134" s="6">
        <v>258</v>
      </c>
      <c r="C134" s="7" t="str">
        <f>D134&amp;J134&amp;E134&amp;F134&amp;G134</f>
        <v>Premium5</v>
      </c>
      <c r="D134" s="7" t="str">
        <f>IF(I134="PremiumSS",I134,IF(I134="PremiumSSS",I134,IF(I134="PremiumW",I134,"Premium")))</f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7">
        <f ca="1">IFERROR(VLOOKUP(B134,input_332100!L:R,7,FALSE),VLOOKUP(tables_332100!C134,input_332100!A:H,8,FALSE))</f>
        <v>1581</v>
      </c>
      <c r="P134" s="48">
        <f ca="1">O134/SUM(O:O)</f>
        <v>6.283783783783784E-4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input_332100!A$2</f>
        <v>332100</v>
      </c>
      <c r="B135" s="6">
        <v>259</v>
      </c>
      <c r="C135" s="7" t="str">
        <f>D135&amp;J135&amp;E135&amp;F135&amp;G135</f>
        <v>Premium3</v>
      </c>
      <c r="D135" s="7" t="str">
        <f>IF(I135="PremiumSS",I135,IF(I135="PremiumSSS",I135,IF(I135="PremiumW",I135,"Premium")))</f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7">
        <f ca="1">IFERROR(VLOOKUP(B135,input_332100!L:R,7,FALSE),VLOOKUP(tables_332100!C135,input_332100!A:H,8,FALSE))</f>
        <v>0</v>
      </c>
      <c r="P135" s="48">
        <f ca="1">O135/SUM(O:O)</f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input_332100!A$2</f>
        <v>332100</v>
      </c>
      <c r="B136" s="8">
        <v>260</v>
      </c>
      <c r="C136" s="7" t="str">
        <f>D136&amp;J136&amp;E136&amp;F136&amp;G136</f>
        <v>Premium4</v>
      </c>
      <c r="D136" s="7" t="str">
        <f>IF(I136="PremiumSS",I136,IF(I136="PremiumSSS",I136,IF(I136="PremiumW",I136,"Premium")))</f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7">
        <f ca="1">IFERROR(VLOOKUP(B136,input_332100!L:R,7,FALSE),VLOOKUP(tables_332100!C136,input_332100!A:H,8,FALSE))</f>
        <v>30039</v>
      </c>
      <c r="P136" s="48">
        <f ca="1">O136/SUM(O:O)</f>
        <v>1.193918918918919E-2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input_332100!A$2</f>
        <v>332100</v>
      </c>
      <c r="B137" s="8">
        <v>261</v>
      </c>
      <c r="C137" s="7" t="str">
        <f>D137&amp;J137&amp;E137&amp;F137&amp;G137</f>
        <v>Premium5</v>
      </c>
      <c r="D137" s="7" t="str">
        <f>IF(I137="PremiumSS",I137,IF(I137="PremiumSSS",I137,IF(I137="PremiumW",I137,"Premium")))</f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7">
        <f ca="1">IFERROR(VLOOKUP(B137,input_332100!L:R,7,FALSE),VLOOKUP(tables_332100!C137,input_332100!A:H,8,FALSE))</f>
        <v>1581</v>
      </c>
      <c r="P137" s="48">
        <f ca="1">O137/SUM(O:O)</f>
        <v>6.283783783783784E-4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input_332100!A$2</f>
        <v>332100</v>
      </c>
      <c r="B138" s="6">
        <v>320</v>
      </c>
      <c r="C138" s="7" t="str">
        <f>D138&amp;J138&amp;E138&amp;F138&amp;G138</f>
        <v>PremiumSS4</v>
      </c>
      <c r="D138" s="7" t="str">
        <f>IF(I138="PremiumSS",I138,IF(I138="PremiumSSS",I138,IF(I138="PremiumW",I138,"Premium")))</f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7">
        <f ca="1">IFERROR(VLOOKUP(B138,input_332100!L:R,7,FALSE),VLOOKUP(tables_332100!C138,input_332100!A:H,8,FALSE))</f>
        <v>4218</v>
      </c>
      <c r="P138" s="48">
        <f ca="1">O138/SUM(O:O)</f>
        <v>1.676470588235294E-3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input_332100!A$2</f>
        <v>332100</v>
      </c>
      <c r="B139" s="6">
        <v>321</v>
      </c>
      <c r="C139" s="7" t="str">
        <f>D139&amp;J139&amp;E139&amp;F139&amp;G139</f>
        <v>PremiumSS5</v>
      </c>
      <c r="D139" s="7" t="str">
        <f>IF(I139="PremiumSS",I139,IF(I139="PremiumSSS",I139,IF(I139="PremiumW",I139,"Premium")))</f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7">
        <f ca="1">IFERROR(VLOOKUP(B139,input_332100!L:R,7,FALSE),VLOOKUP(tables_332100!C139,input_332100!A:H,8,FALSE))</f>
        <v>222</v>
      </c>
      <c r="P139" s="48">
        <f ca="1">O139/SUM(O:O)</f>
        <v>8.8235294117647065E-5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input_332100!A$2</f>
        <v>332100</v>
      </c>
      <c r="B140" s="6">
        <v>322</v>
      </c>
      <c r="C140" s="7" t="str">
        <f>D140&amp;J140&amp;E140&amp;F140&amp;G140</f>
        <v>PremiumSS4</v>
      </c>
      <c r="D140" s="7" t="str">
        <f>IF(I140="PremiumSS",I140,IF(I140="PremiumSSS",I140,IF(I140="PremiumW",I140,"Premium")))</f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7">
        <f ca="1">IFERROR(VLOOKUP(B140,input_332100!L:R,7,FALSE),VLOOKUP(tables_332100!C140,input_332100!A:H,8,FALSE))</f>
        <v>4218</v>
      </c>
      <c r="P140" s="48">
        <f ca="1">O140/SUM(O:O)</f>
        <v>1.676470588235294E-3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input_332100!A$2</f>
        <v>332100</v>
      </c>
      <c r="B141" s="6">
        <v>323</v>
      </c>
      <c r="C141" s="7" t="str">
        <f>D141&amp;J141&amp;E141&amp;F141&amp;G141</f>
        <v>PremiumSS5</v>
      </c>
      <c r="D141" s="7" t="str">
        <f>IF(I141="PremiumSS",I141,IF(I141="PremiumSSS",I141,IF(I141="PremiumW",I141,"Premium")))</f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7">
        <f ca="1">IFERROR(VLOOKUP(B141,input_332100!L:R,7,FALSE),VLOOKUP(tables_332100!C141,input_332100!A:H,8,FALSE))</f>
        <v>222</v>
      </c>
      <c r="P141" s="48">
        <f ca="1">O141/SUM(O:O)</f>
        <v>8.8235294117647065E-5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input_332100!A$2</f>
        <v>332100</v>
      </c>
      <c r="B142" s="6">
        <v>324</v>
      </c>
      <c r="C142" s="7" t="str">
        <f>D142&amp;J142&amp;E142&amp;F142&amp;G142</f>
        <v>PremiumSS4</v>
      </c>
      <c r="D142" s="7" t="str">
        <f>IF(I142="PremiumSS",I142,IF(I142="PremiumSSS",I142,IF(I142="PremiumW",I142,"Premium")))</f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7">
        <f ca="1">IFERROR(VLOOKUP(B142,input_332100!L:R,7,FALSE),VLOOKUP(tables_332100!C142,input_332100!A:H,8,FALSE))</f>
        <v>4218</v>
      </c>
      <c r="P142" s="48">
        <f ca="1">O142/SUM(O:O)</f>
        <v>1.676470588235294E-3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input_332100!A$2</f>
        <v>332100</v>
      </c>
      <c r="B143" s="6">
        <v>325</v>
      </c>
      <c r="C143" s="7" t="str">
        <f>D143&amp;J143&amp;E143&amp;F143&amp;G143</f>
        <v>PremiumSS5</v>
      </c>
      <c r="D143" s="7" t="str">
        <f>IF(I143="PremiumSS",I143,IF(I143="PremiumSSS",I143,IF(I143="PremiumW",I143,"Premium")))</f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7">
        <f ca="1">IFERROR(VLOOKUP(B143,input_332100!L:R,7,FALSE),VLOOKUP(tables_332100!C143,input_332100!A:H,8,FALSE))</f>
        <v>222</v>
      </c>
      <c r="P143" s="48">
        <f ca="1">O143/SUM(O:O)</f>
        <v>8.8235294117647065E-5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input_332100!A$2</f>
        <v>332100</v>
      </c>
      <c r="B144" s="6">
        <v>326</v>
      </c>
      <c r="C144" s="7" t="str">
        <f>D144&amp;J144&amp;E144&amp;F144&amp;G144</f>
        <v>PremiumSS4</v>
      </c>
      <c r="D144" s="7" t="str">
        <f>IF(I144="PremiumSS",I144,IF(I144="PremiumSSS",I144,IF(I144="PremiumW",I144,"Premium")))</f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7">
        <f ca="1">IFERROR(VLOOKUP(B144,input_332100!L:R,7,FALSE),VLOOKUP(tables_332100!C144,input_332100!A:H,8,FALSE))</f>
        <v>4218</v>
      </c>
      <c r="P144" s="48">
        <f ca="1">O144/SUM(O:O)</f>
        <v>1.676470588235294E-3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input_332100!A$2</f>
        <v>332100</v>
      </c>
      <c r="B145" s="6">
        <v>327</v>
      </c>
      <c r="C145" s="7" t="str">
        <f>D145&amp;J145&amp;E145&amp;F145&amp;G145</f>
        <v>PremiumSS5</v>
      </c>
      <c r="D145" s="7" t="str">
        <f>IF(I145="PremiumSS",I145,IF(I145="PremiumSSS",I145,IF(I145="PremiumW",I145,"Premium")))</f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7">
        <f ca="1">IFERROR(VLOOKUP(B145,input_332100!L:R,7,FALSE),VLOOKUP(tables_332100!C145,input_332100!A:H,8,FALSE))</f>
        <v>222</v>
      </c>
      <c r="P145" s="48">
        <f ca="1">O145/SUM(O:O)</f>
        <v>8.8235294117647065E-5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input_332100!A$2</f>
        <v>332100</v>
      </c>
      <c r="B146" s="6">
        <v>380</v>
      </c>
      <c r="C146" s="7" t="str">
        <f>D146&amp;J146&amp;E146&amp;F146&amp;G146</f>
        <v>Premium3</v>
      </c>
      <c r="D146" s="7" t="str">
        <f>IF(I146="PremiumSS",I146,IF(I146="PremiumSSS",I146,IF(I146="PremiumW",I146,"Premium")))</f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7">
        <f ca="1">IFERROR(VLOOKUP(B146,input_332100!L:R,7,FALSE),VLOOKUP(tables_332100!C146,input_332100!A:H,8,FALSE))</f>
        <v>0</v>
      </c>
      <c r="P146" s="48">
        <f ca="1">O146/SUM(O:O)</f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input_332100!A$2</f>
        <v>332100</v>
      </c>
      <c r="B147" s="6">
        <v>381</v>
      </c>
      <c r="C147" s="7" t="str">
        <f>D147&amp;J147&amp;E147&amp;F147&amp;G147</f>
        <v>Premium4</v>
      </c>
      <c r="D147" s="7" t="str">
        <f>IF(I147="PremiumSS",I147,IF(I147="PremiumSSS",I147,IF(I147="PremiumW",I147,"Premium")))</f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7">
        <f ca="1">IFERROR(VLOOKUP(B147,input_332100!L:R,7,FALSE),VLOOKUP(tables_332100!C147,input_332100!A:H,8,FALSE))</f>
        <v>30039</v>
      </c>
      <c r="P147" s="48">
        <f ca="1">O147/SUM(O:O)</f>
        <v>1.193918918918919E-2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input_332100!A$2</f>
        <v>332100</v>
      </c>
      <c r="B148" s="6">
        <v>382</v>
      </c>
      <c r="C148" s="7" t="str">
        <f>D148&amp;J148&amp;E148&amp;F148&amp;G148</f>
        <v>Premium5</v>
      </c>
      <c r="D148" s="7" t="str">
        <f>IF(I148="PremiumSS",I148,IF(I148="PremiumSSS",I148,IF(I148="PremiumW",I148,"Premium")))</f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7">
        <f ca="1">IFERROR(VLOOKUP(B148,input_332100!L:R,7,FALSE),VLOOKUP(tables_332100!C148,input_332100!A:H,8,FALSE))</f>
        <v>1581</v>
      </c>
      <c r="P148" s="48">
        <f ca="1">O148/SUM(O:O)</f>
        <v>6.283783783783784E-4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input_332100!A$2</f>
        <v>332100</v>
      </c>
      <c r="B149" s="6">
        <v>383</v>
      </c>
      <c r="C149" s="7" t="str">
        <f>D149&amp;J149&amp;E149&amp;F149&amp;G149</f>
        <v>PremiumSS4</v>
      </c>
      <c r="D149" s="7" t="str">
        <f>IF(I149="PremiumSS",I149,IF(I149="PremiumSSS",I149,IF(I149="PremiumW",I149,"Premium")))</f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7">
        <f ca="1">IFERROR(VLOOKUP(B149,input_332100!L:R,7,FALSE),VLOOKUP(tables_332100!C149,input_332100!A:H,8,FALSE))</f>
        <v>4218</v>
      </c>
      <c r="P149" s="48">
        <f ca="1">O149/SUM(O:O)</f>
        <v>1.676470588235294E-3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input_332100!A$2</f>
        <v>332100</v>
      </c>
      <c r="B150" s="6">
        <v>384</v>
      </c>
      <c r="C150" s="7" t="str">
        <f>D150&amp;J150&amp;E150&amp;F150&amp;G150</f>
        <v>PremiumSS5</v>
      </c>
      <c r="D150" s="7" t="str">
        <f>IF(I150="PremiumSS",I150,IF(I150="PremiumSSS",I150,IF(I150="PremiumW",I150,"Premium")))</f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7">
        <f ca="1">IFERROR(VLOOKUP(B150,input_332100!L:R,7,FALSE),VLOOKUP(tables_332100!C150,input_332100!A:H,8,FALSE))</f>
        <v>222</v>
      </c>
      <c r="P150" s="48">
        <f ca="1">O150/SUM(O:O)</f>
        <v>8.8235294117647065E-5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input_332100!A$2</f>
        <v>332100</v>
      </c>
      <c r="B151" s="6">
        <v>385</v>
      </c>
      <c r="C151" s="7" t="str">
        <f>D151&amp;J151&amp;E151&amp;F151&amp;G151</f>
        <v>PremiumSS4</v>
      </c>
      <c r="D151" s="7" t="str">
        <f>IF(I151="PremiumSS",I151,IF(I151="PremiumSSS",I151,IF(I151="PremiumW",I151,"Premium")))</f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7">
        <f ca="1">IFERROR(VLOOKUP(B151,input_332100!L:R,7,FALSE),VLOOKUP(tables_332100!C151,input_332100!A:H,8,FALSE))</f>
        <v>4218</v>
      </c>
      <c r="P151" s="48">
        <f ca="1">O151/SUM(O:O)</f>
        <v>1.676470588235294E-3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input_332100!A$2</f>
        <v>332100</v>
      </c>
      <c r="B152" s="6">
        <v>386</v>
      </c>
      <c r="C152" s="7" t="str">
        <f>D152&amp;J152&amp;E152&amp;F152&amp;G152</f>
        <v>PremiumSS5</v>
      </c>
      <c r="D152" s="7" t="str">
        <f>IF(I152="PremiumSS",I152,IF(I152="PremiumSSS",I152,IF(I152="PremiumW",I152,"Premium")))</f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7">
        <f ca="1">IFERROR(VLOOKUP(B152,input_332100!L:R,7,FALSE),VLOOKUP(tables_332100!C152,input_332100!A:H,8,FALSE))</f>
        <v>222</v>
      </c>
      <c r="P152" s="48">
        <f ca="1">O152/SUM(O:O)</f>
        <v>8.8235294117647065E-5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input_332100!A$2</f>
        <v>332100</v>
      </c>
      <c r="B153" s="6">
        <v>387</v>
      </c>
      <c r="C153" s="7" t="str">
        <f>D153&amp;J153&amp;E153&amp;F153&amp;G153</f>
        <v>Premium3</v>
      </c>
      <c r="D153" s="7" t="str">
        <f>IF(I153="PremiumSS",I153,IF(I153="PremiumSSS",I153,IF(I153="PremiumW",I153,"Premium")))</f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7">
        <f ca="1">IFERROR(VLOOKUP(B153,input_332100!L:R,7,FALSE),VLOOKUP(tables_332100!C153,input_332100!A:H,8,FALSE))</f>
        <v>0</v>
      </c>
      <c r="P153" s="48">
        <f ca="1">O153/SUM(O:O)</f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input_332100!A$2</f>
        <v>332100</v>
      </c>
      <c r="B154" s="6">
        <v>388</v>
      </c>
      <c r="C154" s="7" t="str">
        <f>D154&amp;J154&amp;E154&amp;F154&amp;G154</f>
        <v>Premium4</v>
      </c>
      <c r="D154" s="7" t="str">
        <f>IF(I154="PremiumSS",I154,IF(I154="PremiumSSS",I154,IF(I154="PremiumW",I154,"Premium")))</f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7">
        <f ca="1">IFERROR(VLOOKUP(B154,input_332100!L:R,7,FALSE),VLOOKUP(tables_332100!C154,input_332100!A:H,8,FALSE))</f>
        <v>30039</v>
      </c>
      <c r="P154" s="48">
        <f ca="1">O154/SUM(O:O)</f>
        <v>1.193918918918919E-2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input_332100!A$2</f>
        <v>332100</v>
      </c>
      <c r="B155" s="6">
        <v>389</v>
      </c>
      <c r="C155" s="7" t="str">
        <f>D155&amp;J155&amp;E155&amp;F155&amp;G155</f>
        <v>Premium5</v>
      </c>
      <c r="D155" s="7" t="str">
        <f>IF(I155="PremiumSS",I155,IF(I155="PremiumSSS",I155,IF(I155="PremiumW",I155,"Premium")))</f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7">
        <f ca="1">IFERROR(VLOOKUP(B155,input_332100!L:R,7,FALSE),VLOOKUP(tables_332100!C155,input_332100!A:H,8,FALSE))</f>
        <v>1581</v>
      </c>
      <c r="P155" s="48">
        <f ca="1">O155/SUM(O:O)</f>
        <v>6.283783783783784E-4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input_332100!A$2</f>
        <v>332100</v>
      </c>
      <c r="B156" s="6">
        <v>390</v>
      </c>
      <c r="C156" s="7" t="str">
        <f>D156&amp;J156&amp;E156&amp;F156&amp;G156</f>
        <v>PremiumSS4</v>
      </c>
      <c r="D156" s="7" t="str">
        <f>IF(I156="PremiumSS",I156,IF(I156="PremiumSSS",I156,IF(I156="PremiumW",I156,"Premium")))</f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7">
        <f ca="1">IFERROR(VLOOKUP(B156,input_332100!L:R,7,FALSE),VLOOKUP(tables_332100!C156,input_332100!A:H,8,FALSE))</f>
        <v>4218</v>
      </c>
      <c r="P156" s="48">
        <f ca="1">O156/SUM(O:O)</f>
        <v>1.676470588235294E-3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input_332100!A$2</f>
        <v>332100</v>
      </c>
      <c r="B157" s="6">
        <v>391</v>
      </c>
      <c r="C157" s="7" t="str">
        <f>D157&amp;J157&amp;E157&amp;F157&amp;G157</f>
        <v>PremiumSS5</v>
      </c>
      <c r="D157" s="7" t="str">
        <f>IF(I157="PremiumSS",I157,IF(I157="PremiumSSS",I157,IF(I157="PremiumW",I157,"Premium")))</f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7">
        <f ca="1">IFERROR(VLOOKUP(B157,input_332100!L:R,7,FALSE),VLOOKUP(tables_332100!C157,input_332100!A:H,8,FALSE))</f>
        <v>222</v>
      </c>
      <c r="P157" s="48">
        <f ca="1">O157/SUM(O:O)</f>
        <v>8.8235294117647065E-5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input_332100!A$2</f>
        <v>332100</v>
      </c>
      <c r="B158" s="6">
        <v>392</v>
      </c>
      <c r="C158" s="7" t="str">
        <f>D158&amp;J158&amp;E158&amp;F158&amp;G158</f>
        <v>Premium3</v>
      </c>
      <c r="D158" s="7" t="str">
        <f>IF(I158="PremiumSS",I158,IF(I158="PremiumSSS",I158,IF(I158="PremiumW",I158,"Premium")))</f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7">
        <f ca="1">IFERROR(VLOOKUP(B158,input_332100!L:R,7,FALSE),VLOOKUP(tables_332100!C158,input_332100!A:H,8,FALSE))</f>
        <v>0</v>
      </c>
      <c r="P158" s="48">
        <f ca="1">O158/SUM(O:O)</f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input_332100!A$2</f>
        <v>332100</v>
      </c>
      <c r="B159" s="6">
        <v>393</v>
      </c>
      <c r="C159" s="7" t="str">
        <f>D159&amp;J159&amp;E159&amp;F159&amp;G159</f>
        <v>Premium4</v>
      </c>
      <c r="D159" s="7" t="str">
        <f>IF(I159="PremiumSS",I159,IF(I159="PremiumSSS",I159,IF(I159="PremiumW",I159,"Premium")))</f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7">
        <f ca="1">IFERROR(VLOOKUP(B159,input_332100!L:R,7,FALSE),VLOOKUP(tables_332100!C159,input_332100!A:H,8,FALSE))</f>
        <v>30039</v>
      </c>
      <c r="P159" s="48">
        <f ca="1">O159/SUM(O:O)</f>
        <v>1.193918918918919E-2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input_332100!A$2</f>
        <v>332100</v>
      </c>
      <c r="B160" s="6">
        <v>394</v>
      </c>
      <c r="C160" s="7" t="str">
        <f>D160&amp;J160&amp;E160&amp;F160&amp;G160</f>
        <v>Premium5</v>
      </c>
      <c r="D160" s="7" t="str">
        <f>IF(I160="PremiumSS",I160,IF(I160="PremiumSSS",I160,IF(I160="PremiumW",I160,"Premium")))</f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7">
        <f ca="1">IFERROR(VLOOKUP(B160,input_332100!L:R,7,FALSE),VLOOKUP(tables_332100!C160,input_332100!A:H,8,FALSE))</f>
        <v>1581</v>
      </c>
      <c r="P160" s="48">
        <f ca="1">O160/SUM(O:O)</f>
        <v>6.283783783783784E-4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input_332100!A$2</f>
        <v>332100</v>
      </c>
      <c r="B161" s="6">
        <v>395</v>
      </c>
      <c r="C161" s="7" t="str">
        <f>D161&amp;J161&amp;E161&amp;F161&amp;G161</f>
        <v>Premium3</v>
      </c>
      <c r="D161" s="7" t="str">
        <f>IF(I161="PremiumSS",I161,IF(I161="PremiumSSS",I161,IF(I161="PremiumW",I161,"Premium")))</f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7">
        <f ca="1">IFERROR(VLOOKUP(B161,input_332100!L:R,7,FALSE),VLOOKUP(tables_332100!C161,input_332100!A:H,8,FALSE))</f>
        <v>0</v>
      </c>
      <c r="P161" s="48">
        <f ca="1">O161/SUM(O:O)</f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input_332100!A$2</f>
        <v>332100</v>
      </c>
      <c r="B162" s="6">
        <v>396</v>
      </c>
      <c r="C162" s="7" t="str">
        <f>D162&amp;J162&amp;E162&amp;F162&amp;G162</f>
        <v>Premium4</v>
      </c>
      <c r="D162" s="7" t="str">
        <f>IF(I162="PremiumSS",I162,IF(I162="PremiumSSS",I162,IF(I162="PremiumW",I162,"Premium")))</f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7">
        <f ca="1">IFERROR(VLOOKUP(B162,input_332100!L:R,7,FALSE),VLOOKUP(tables_332100!C162,input_332100!A:H,8,FALSE))</f>
        <v>30039</v>
      </c>
      <c r="P162" s="48">
        <f ca="1">O162/SUM(O:O)</f>
        <v>1.193918918918919E-2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input_332100!A$2</f>
        <v>332100</v>
      </c>
      <c r="B163" s="6">
        <v>397</v>
      </c>
      <c r="C163" s="7" t="str">
        <f>D163&amp;J163&amp;E163&amp;F163&amp;G163</f>
        <v>Premium5</v>
      </c>
      <c r="D163" s="7" t="str">
        <f>IF(I163="PremiumSS",I163,IF(I163="PremiumSSS",I163,IF(I163="PremiumW",I163,"Premium")))</f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7">
        <f ca="1">IFERROR(VLOOKUP(B163,input_332100!L:R,7,FALSE),VLOOKUP(tables_332100!C163,input_332100!A:H,8,FALSE))</f>
        <v>1581</v>
      </c>
      <c r="P163" s="48">
        <f ca="1">O163/SUM(O:O)</f>
        <v>6.283783783783784E-4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input_332100!A$2</f>
        <v>332100</v>
      </c>
      <c r="B164" s="6">
        <v>398</v>
      </c>
      <c r="C164" s="7" t="str">
        <f>D164&amp;J164&amp;E164&amp;F164&amp;G164</f>
        <v>PremiumSS4</v>
      </c>
      <c r="D164" s="7" t="str">
        <f>IF(I164="PremiumSS",I164,IF(I164="PremiumSSS",I164,IF(I164="PremiumW",I164,"Premium")))</f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7">
        <f ca="1">IFERROR(VLOOKUP(B164,input_332100!L:R,7,FALSE),VLOOKUP(tables_332100!C164,input_332100!A:H,8,FALSE))</f>
        <v>4218</v>
      </c>
      <c r="P164" s="48">
        <f ca="1">O164/SUM(O:O)</f>
        <v>1.676470588235294E-3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input_332100!A$2</f>
        <v>332100</v>
      </c>
      <c r="B165" s="6">
        <v>399</v>
      </c>
      <c r="C165" s="7" t="str">
        <f>D165&amp;J165&amp;E165&amp;F165&amp;G165</f>
        <v>PremiumSS5</v>
      </c>
      <c r="D165" s="7" t="str">
        <f>IF(I165="PremiumSS",I165,IF(I165="PremiumSSS",I165,IF(I165="PremiumW",I165,"Premium")))</f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7">
        <f ca="1">IFERROR(VLOOKUP(B165,input_332100!L:R,7,FALSE),VLOOKUP(tables_332100!C165,input_332100!A:H,8,FALSE))</f>
        <v>222</v>
      </c>
      <c r="P165" s="48">
        <f ca="1">O165/SUM(O:O)</f>
        <v>8.8235294117647065E-5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input_332100!A$2</f>
        <v>332100</v>
      </c>
      <c r="B166" s="6">
        <v>400</v>
      </c>
      <c r="C166" s="7" t="str">
        <f>D166&amp;J166&amp;E166&amp;F166&amp;G166</f>
        <v>Premium3</v>
      </c>
      <c r="D166" s="7" t="str">
        <f>IF(I166="PremiumSS",I166,IF(I166="PremiumSSS",I166,IF(I166="PremiumW",I166,"Premium")))</f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7">
        <f ca="1">IFERROR(VLOOKUP(B166,input_332100!L:R,7,FALSE),VLOOKUP(tables_332100!C166,input_332100!A:H,8,FALSE))</f>
        <v>0</v>
      </c>
      <c r="P166" s="48">
        <f ca="1">O166/SUM(O:O)</f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input_332100!A$2</f>
        <v>332100</v>
      </c>
      <c r="B167" s="6">
        <v>401</v>
      </c>
      <c r="C167" s="7" t="str">
        <f>D167&amp;J167&amp;E167&amp;F167&amp;G167</f>
        <v>Premium4</v>
      </c>
      <c r="D167" s="7" t="str">
        <f>IF(I167="PremiumSS",I167,IF(I167="PremiumSSS",I167,IF(I167="PremiumW",I167,"Premium")))</f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7">
        <f ca="1">IFERROR(VLOOKUP(B167,input_332100!L:R,7,FALSE),VLOOKUP(tables_332100!C167,input_332100!A:H,8,FALSE))</f>
        <v>30039</v>
      </c>
      <c r="P167" s="48">
        <f ca="1">O167/SUM(O:O)</f>
        <v>1.193918918918919E-2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input_332100!A$2</f>
        <v>332100</v>
      </c>
      <c r="B168" s="6">
        <v>402</v>
      </c>
      <c r="C168" s="7" t="str">
        <f>D168&amp;J168&amp;E168&amp;F168&amp;G168</f>
        <v>Premium5</v>
      </c>
      <c r="D168" s="7" t="str">
        <f>IF(I168="PremiumSS",I168,IF(I168="PremiumSSS",I168,IF(I168="PremiumW",I168,"Premium")))</f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7">
        <f ca="1">IFERROR(VLOOKUP(B168,input_332100!L:R,7,FALSE),VLOOKUP(tables_332100!C168,input_332100!A:H,8,FALSE))</f>
        <v>1581</v>
      </c>
      <c r="P168" s="48">
        <f ca="1">O168/SUM(O:O)</f>
        <v>6.283783783783784E-4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input_332100!A$2</f>
        <v>332100</v>
      </c>
      <c r="B169" s="6">
        <v>403</v>
      </c>
      <c r="C169" s="7" t="str">
        <f>D169&amp;J169&amp;E169&amp;F169&amp;G169</f>
        <v>PremiumSS4</v>
      </c>
      <c r="D169" s="7" t="str">
        <f>IF(I169="PremiumSS",I169,IF(I169="PremiumSSS",I169,IF(I169="PremiumW",I169,"Premium")))</f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7">
        <f ca="1">IFERROR(VLOOKUP(B169,input_332100!L:R,7,FALSE),VLOOKUP(tables_332100!C169,input_332100!A:H,8,FALSE))</f>
        <v>4218</v>
      </c>
      <c r="P169" s="48">
        <f ca="1">O169/SUM(O:O)</f>
        <v>1.676470588235294E-3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input_332100!A$2</f>
        <v>332100</v>
      </c>
      <c r="B170" s="6">
        <v>404</v>
      </c>
      <c r="C170" s="7" t="str">
        <f>D170&amp;J170&amp;E170&amp;F170&amp;G170</f>
        <v>PremiumSS5</v>
      </c>
      <c r="D170" s="7" t="str">
        <f>IF(I170="PremiumSS",I170,IF(I170="PremiumSSS",I170,IF(I170="PremiumW",I170,"Premium")))</f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7">
        <f ca="1">IFERROR(VLOOKUP(B170,input_332100!L:R,7,FALSE),VLOOKUP(tables_332100!C170,input_332100!A:H,8,FALSE))</f>
        <v>222</v>
      </c>
      <c r="P170" s="48">
        <f ca="1">O170/SUM(O:O)</f>
        <v>8.8235294117647065E-5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input_332100!A$2</f>
        <v>332100</v>
      </c>
      <c r="B171" s="6">
        <v>405</v>
      </c>
      <c r="C171" s="7" t="str">
        <f>D171&amp;J171&amp;E171&amp;F171&amp;G171</f>
        <v>Premium3</v>
      </c>
      <c r="D171" s="7" t="str">
        <f>IF(I171="PremiumSS",I171,IF(I171="PremiumSSS",I171,IF(I171="PremiumW",I171,"Premium")))</f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7">
        <f ca="1">IFERROR(VLOOKUP(B171,input_332100!L:R,7,FALSE),VLOOKUP(tables_332100!C171,input_332100!A:H,8,FALSE))</f>
        <v>0</v>
      </c>
      <c r="P171" s="48">
        <f ca="1">O171/SUM(O:O)</f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input_332100!A$2</f>
        <v>332100</v>
      </c>
      <c r="B172" s="6">
        <v>406</v>
      </c>
      <c r="C172" s="7" t="str">
        <f>D172&amp;J172&amp;E172&amp;F172&amp;G172</f>
        <v>Premium4</v>
      </c>
      <c r="D172" s="7" t="str">
        <f>IF(I172="PremiumSS",I172,IF(I172="PremiumSSS",I172,IF(I172="PremiumW",I172,"Premium")))</f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7">
        <f ca="1">IFERROR(VLOOKUP(B172,input_332100!L:R,7,FALSE),VLOOKUP(tables_332100!C172,input_332100!A:H,8,FALSE))</f>
        <v>30039</v>
      </c>
      <c r="P172" s="48">
        <f ca="1">O172/SUM(O:O)</f>
        <v>1.193918918918919E-2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input_332100!A$2</f>
        <v>332100</v>
      </c>
      <c r="B173" s="6">
        <v>407</v>
      </c>
      <c r="C173" s="7" t="str">
        <f>D173&amp;J173&amp;E173&amp;F173&amp;G173</f>
        <v>Premium5</v>
      </c>
      <c r="D173" s="7" t="str">
        <f>IF(I173="PremiumSS",I173,IF(I173="PremiumSSS",I173,IF(I173="PremiumW",I173,"Premium")))</f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7">
        <f ca="1">IFERROR(VLOOKUP(B173,input_332100!L:R,7,FALSE),VLOOKUP(tables_332100!C173,input_332100!A:H,8,FALSE))</f>
        <v>1581</v>
      </c>
      <c r="P173" s="48">
        <f ca="1">O173/SUM(O:O)</f>
        <v>6.283783783783784E-4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input_332100!A$2</f>
        <v>332100</v>
      </c>
      <c r="B174" s="6">
        <v>408</v>
      </c>
      <c r="C174" s="7" t="str">
        <f>D174&amp;J174&amp;E174&amp;F174&amp;G174</f>
        <v>PremiumSS4</v>
      </c>
      <c r="D174" s="7" t="str">
        <f>IF(I174="PremiumSS",I174,IF(I174="PremiumSSS",I174,IF(I174="PremiumW",I174,"Premium")))</f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7">
        <f ca="1">IFERROR(VLOOKUP(B174,input_332100!L:R,7,FALSE),VLOOKUP(tables_332100!C174,input_332100!A:H,8,FALSE))</f>
        <v>4218</v>
      </c>
      <c r="P174" s="48">
        <f ca="1">O174/SUM(O:O)</f>
        <v>1.676470588235294E-3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input_332100!A$2</f>
        <v>332100</v>
      </c>
      <c r="B175" s="6">
        <v>409</v>
      </c>
      <c r="C175" s="7" t="str">
        <f>D175&amp;J175&amp;E175&amp;F175&amp;G175</f>
        <v>PremiumSS5</v>
      </c>
      <c r="D175" s="7" t="str">
        <f>IF(I175="PremiumSS",I175,IF(I175="PremiumSSS",I175,IF(I175="PremiumW",I175,"Premium")))</f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7">
        <f ca="1">IFERROR(VLOOKUP(B175,input_332100!L:R,7,FALSE),VLOOKUP(tables_332100!C175,input_332100!A:H,8,FALSE))</f>
        <v>222</v>
      </c>
      <c r="P175" s="48">
        <f ca="1">O175/SUM(O:O)</f>
        <v>8.8235294117647065E-5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input_332100!A$2</f>
        <v>332100</v>
      </c>
      <c r="B176" s="6">
        <v>434</v>
      </c>
      <c r="C176" s="7" t="str">
        <f>D176&amp;J176&amp;E176&amp;F176&amp;G176</f>
        <v>PremiumSS4</v>
      </c>
      <c r="D176" s="7" t="str">
        <f>IF(I176="PremiumSS",I176,IF(I176="PremiumSSS",I176,IF(I176="PremiumW",I176,"Premium")))</f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7">
        <f ca="1">IFERROR(VLOOKUP(B176,input_332100!L:R,7,FALSE),VLOOKUP(tables_332100!C176,input_332100!A:H,8,FALSE))</f>
        <v>4218</v>
      </c>
      <c r="P176" s="48">
        <f ca="1">O176/SUM(O:O)</f>
        <v>1.676470588235294E-3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input_332100!A$2</f>
        <v>332100</v>
      </c>
      <c r="B177" s="6">
        <v>435</v>
      </c>
      <c r="C177" s="7" t="str">
        <f>D177&amp;J177&amp;E177&amp;F177&amp;G177</f>
        <v>PremiumSS5</v>
      </c>
      <c r="D177" s="7" t="str">
        <f>IF(I177="PremiumSS",I177,IF(I177="PremiumSSS",I177,IF(I177="PremiumW",I177,"Premium")))</f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7">
        <f ca="1">IFERROR(VLOOKUP(B177,input_332100!L:R,7,FALSE),VLOOKUP(tables_332100!C177,input_332100!A:H,8,FALSE))</f>
        <v>222</v>
      </c>
      <c r="P177" s="48">
        <f ca="1">O177/SUM(O:O)</f>
        <v>8.8235294117647065E-5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input_332100!A$2</f>
        <v>332100</v>
      </c>
      <c r="B178" s="6">
        <v>436</v>
      </c>
      <c r="C178" s="7" t="str">
        <f>D178&amp;J178&amp;E178&amp;F178&amp;G178</f>
        <v>Premium3</v>
      </c>
      <c r="D178" s="7" t="str">
        <f>IF(I178="PremiumSS",I178,IF(I178="PremiumSSS",I178,IF(I178="PremiumW",I178,"Premium")))</f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7">
        <f ca="1">IFERROR(VLOOKUP(B178,input_332100!L:R,7,FALSE),VLOOKUP(tables_332100!C178,input_332100!A:H,8,FALSE))</f>
        <v>0</v>
      </c>
      <c r="P178" s="48">
        <f ca="1">O178/SUM(O:O)</f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input_332100!A$2</f>
        <v>332100</v>
      </c>
      <c r="B179" s="6">
        <v>437</v>
      </c>
      <c r="C179" s="7" t="str">
        <f>D179&amp;J179&amp;E179&amp;F179&amp;G179</f>
        <v>Premium4</v>
      </c>
      <c r="D179" s="7" t="str">
        <f>IF(I179="PremiumSS",I179,IF(I179="PremiumSSS",I179,IF(I179="PremiumW",I179,"Premium")))</f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7">
        <f ca="1">IFERROR(VLOOKUP(B179,input_332100!L:R,7,FALSE),VLOOKUP(tables_332100!C179,input_332100!A:H,8,FALSE))</f>
        <v>30039</v>
      </c>
      <c r="P179" s="48">
        <f ca="1">O179/SUM(O:O)</f>
        <v>1.193918918918919E-2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input_332100!A$2</f>
        <v>332100</v>
      </c>
      <c r="B180" s="6">
        <v>438</v>
      </c>
      <c r="C180" s="7" t="str">
        <f>D180&amp;J180&amp;E180&amp;F180&amp;G180</f>
        <v>Premium5</v>
      </c>
      <c r="D180" s="7" t="str">
        <f>IF(I180="PremiumSS",I180,IF(I180="PremiumSSS",I180,IF(I180="PremiumW",I180,"Premium")))</f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7">
        <f ca="1">IFERROR(VLOOKUP(B180,input_332100!L:R,7,FALSE),VLOOKUP(tables_332100!C180,input_332100!A:H,8,FALSE))</f>
        <v>1581</v>
      </c>
      <c r="P180" s="48">
        <f ca="1">O180/SUM(O:O)</f>
        <v>6.283783783783784E-4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input_332100!A$2</f>
        <v>332100</v>
      </c>
      <c r="B181" s="6">
        <v>439</v>
      </c>
      <c r="C181" s="7" t="str">
        <f>D181&amp;J181&amp;E181&amp;F181&amp;G181</f>
        <v>Premium3</v>
      </c>
      <c r="D181" s="7" t="str">
        <f>IF(I181="PremiumSS",I181,IF(I181="PremiumSSS",I181,IF(I181="PremiumW",I181,"Premium")))</f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7">
        <f ca="1">IFERROR(VLOOKUP(B181,input_332100!L:R,7,FALSE),VLOOKUP(tables_332100!C181,input_332100!A:H,8,FALSE))</f>
        <v>0</v>
      </c>
      <c r="P181" s="48">
        <f ca="1">O181/SUM(O:O)</f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input_332100!A$2</f>
        <v>332100</v>
      </c>
      <c r="B182" s="6">
        <v>440</v>
      </c>
      <c r="C182" s="7" t="str">
        <f>D182&amp;J182&amp;E182&amp;F182&amp;G182</f>
        <v>Premium4</v>
      </c>
      <c r="D182" s="7" t="str">
        <f>IF(I182="PremiumSS",I182,IF(I182="PremiumSSS",I182,IF(I182="PremiumW",I182,"Premium")))</f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7">
        <f ca="1">IFERROR(VLOOKUP(B182,input_332100!L:R,7,FALSE),VLOOKUP(tables_332100!C182,input_332100!A:H,8,FALSE))</f>
        <v>30039</v>
      </c>
      <c r="P182" s="48">
        <f ca="1">O182/SUM(O:O)</f>
        <v>1.193918918918919E-2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input_332100!A$2</f>
        <v>332100</v>
      </c>
      <c r="B183" s="6">
        <v>441</v>
      </c>
      <c r="C183" s="7" t="str">
        <f>D183&amp;J183&amp;E183&amp;F183&amp;G183</f>
        <v>Premium5</v>
      </c>
      <c r="D183" s="7" t="str">
        <f>IF(I183="PremiumSS",I183,IF(I183="PremiumSSS",I183,IF(I183="PremiumW",I183,"Premium")))</f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7">
        <f ca="1">IFERROR(VLOOKUP(B183,input_332100!L:R,7,FALSE),VLOOKUP(tables_332100!C183,input_332100!A:H,8,FALSE))</f>
        <v>1581</v>
      </c>
      <c r="P183" s="48">
        <f ca="1">O183/SUM(O:O)</f>
        <v>6.283783783783784E-4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input_332100!A$2</f>
        <v>332100</v>
      </c>
      <c r="B184" s="6">
        <v>442</v>
      </c>
      <c r="C184" s="7" t="str">
        <f>D184&amp;J184&amp;E184&amp;F184&amp;G184</f>
        <v>PremiumSS4</v>
      </c>
      <c r="D184" s="7" t="str">
        <f>IF(I184="PremiumSS",I184,IF(I184="PremiumSSS",I184,IF(I184="PremiumW",I184,"Premium")))</f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7">
        <f ca="1">IFERROR(VLOOKUP(B184,input_332100!L:R,7,FALSE),VLOOKUP(tables_332100!C184,input_332100!A:H,8,FALSE))</f>
        <v>4218</v>
      </c>
      <c r="P184" s="48">
        <f ca="1">O184/SUM(O:O)</f>
        <v>1.676470588235294E-3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input_332100!A$2</f>
        <v>332100</v>
      </c>
      <c r="B185" s="6">
        <v>443</v>
      </c>
      <c r="C185" s="7" t="str">
        <f>D185&amp;J185&amp;E185&amp;F185&amp;G185</f>
        <v>PremiumSS5</v>
      </c>
      <c r="D185" s="7" t="str">
        <f>IF(I185="PremiumSS",I185,IF(I185="PremiumSSS",I185,IF(I185="PremiumW",I185,"Premium")))</f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7">
        <f ca="1">IFERROR(VLOOKUP(B185,input_332100!L:R,7,FALSE),VLOOKUP(tables_332100!C185,input_332100!A:H,8,FALSE))</f>
        <v>222</v>
      </c>
      <c r="P185" s="48">
        <f ca="1">O185/SUM(O:O)</f>
        <v>8.8235294117647065E-5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input_332100!A$2</f>
        <v>332100</v>
      </c>
      <c r="B186" s="8">
        <v>462</v>
      </c>
      <c r="C186" s="7" t="str">
        <f>D186&amp;J186&amp;E186&amp;F186&amp;G186</f>
        <v>Premium3</v>
      </c>
      <c r="D186" s="7" t="str">
        <f>IF(I186="PremiumSS",I186,IF(I186="PremiumSSS",I186,IF(I186="PremiumW",I186,"Premium")))</f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7">
        <f ca="1">IFERROR(VLOOKUP(B186,input_332100!L:R,7,FALSE),VLOOKUP(tables_332100!C186,input_332100!A:H,8,FALSE))</f>
        <v>0</v>
      </c>
      <c r="P186" s="48">
        <f ca="1">O186/SUM(O:O)</f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input_332100!A$2</f>
        <v>332100</v>
      </c>
      <c r="B187" s="8">
        <v>463</v>
      </c>
      <c r="C187" s="7" t="str">
        <f>D187&amp;J187&amp;E187&amp;F187&amp;G187</f>
        <v>Premium4</v>
      </c>
      <c r="D187" s="7" t="str">
        <f>IF(I187="PremiumSS",I187,IF(I187="PremiumSSS",I187,IF(I187="PremiumW",I187,"Premium")))</f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7">
        <f ca="1">IFERROR(VLOOKUP(B187,input_332100!L:R,7,FALSE),VLOOKUP(tables_332100!C187,input_332100!A:H,8,FALSE))</f>
        <v>30039</v>
      </c>
      <c r="P187" s="48">
        <f ca="1">O187/SUM(O:O)</f>
        <v>1.193918918918919E-2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input_332100!A$2</f>
        <v>332100</v>
      </c>
      <c r="B188" s="8">
        <v>464</v>
      </c>
      <c r="C188" s="7" t="str">
        <f>D188&amp;J188&amp;E188&amp;F188&amp;G188</f>
        <v>Premium5</v>
      </c>
      <c r="D188" s="7" t="str">
        <f>IF(I188="PremiumSS",I188,IF(I188="PremiumSSS",I188,IF(I188="PremiumW",I188,"Premium")))</f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7">
        <f ca="1">IFERROR(VLOOKUP(B188,input_332100!L:R,7,FALSE),VLOOKUP(tables_332100!C188,input_332100!A:H,8,FALSE))</f>
        <v>1581</v>
      </c>
      <c r="P188" s="48">
        <f ca="1">O188/SUM(O:O)</f>
        <v>6.283783783783784E-4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input_332100!A$2</f>
        <v>332100</v>
      </c>
      <c r="B189" s="8">
        <v>465</v>
      </c>
      <c r="C189" s="7" t="str">
        <f>D189&amp;J189&amp;E189&amp;F189&amp;G189</f>
        <v>PremiumSS4</v>
      </c>
      <c r="D189" s="7" t="str">
        <f>IF(I189="PremiumSS",I189,IF(I189="PremiumSSS",I189,IF(I189="PremiumW",I189,"Premium")))</f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7">
        <f ca="1">IFERROR(VLOOKUP(B189,input_332100!L:R,7,FALSE),VLOOKUP(tables_332100!C189,input_332100!A:H,8,FALSE))</f>
        <v>4218</v>
      </c>
      <c r="P189" s="48">
        <f ca="1">O189/SUM(O:O)</f>
        <v>1.676470588235294E-3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input_332100!A$2</f>
        <v>332100</v>
      </c>
      <c r="B190" s="6">
        <v>466</v>
      </c>
      <c r="C190" s="7" t="str">
        <f>D190&amp;J190&amp;E190&amp;F190&amp;G190</f>
        <v>PremiumSS5</v>
      </c>
      <c r="D190" s="7" t="str">
        <f>IF(I190="PremiumSS",I190,IF(I190="PremiumSSS",I190,IF(I190="PremiumW",I190,"Premium")))</f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7">
        <f ca="1">IFERROR(VLOOKUP(B190,input_332100!L:R,7,FALSE),VLOOKUP(tables_332100!C190,input_332100!A:H,8,FALSE))</f>
        <v>222</v>
      </c>
      <c r="P190" s="48">
        <f ca="1">O190/SUM(O:O)</f>
        <v>8.8235294117647065E-5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input_332100!A$2</f>
        <v>332100</v>
      </c>
      <c r="B191" s="6">
        <v>467</v>
      </c>
      <c r="C191" s="7" t="str">
        <f>D191&amp;J191&amp;E191&amp;F191&amp;G191</f>
        <v>PremiumSS4</v>
      </c>
      <c r="D191" s="7" t="str">
        <f>IF(I191="PremiumSS",I191,IF(I191="PremiumSSS",I191,IF(I191="PremiumW",I191,"Premium")))</f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7">
        <f ca="1">IFERROR(VLOOKUP(B191,input_332100!L:R,7,FALSE),VLOOKUP(tables_332100!C191,input_332100!A:H,8,FALSE))</f>
        <v>4218</v>
      </c>
      <c r="P191" s="48">
        <f ca="1">O191/SUM(O:O)</f>
        <v>1.676470588235294E-3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input_332100!A$2</f>
        <v>332100</v>
      </c>
      <c r="B192" s="6">
        <v>468</v>
      </c>
      <c r="C192" s="7" t="str">
        <f>D192&amp;J192&amp;E192&amp;F192&amp;G192</f>
        <v>PremiumSS5</v>
      </c>
      <c r="D192" s="7" t="str">
        <f>IF(I192="PremiumSS",I192,IF(I192="PremiumSSS",I192,IF(I192="PremiumW",I192,"Premium")))</f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7">
        <f ca="1">IFERROR(VLOOKUP(B192,input_332100!L:R,7,FALSE),VLOOKUP(tables_332100!C192,input_332100!A:H,8,FALSE))</f>
        <v>222</v>
      </c>
      <c r="P192" s="48">
        <f ca="1">O192/SUM(O:O)</f>
        <v>8.8235294117647065E-5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input_332100!A$2</f>
        <v>332100</v>
      </c>
      <c r="B193" s="6">
        <v>469</v>
      </c>
      <c r="C193" s="7" t="str">
        <f>D193&amp;J193&amp;E193&amp;F193&amp;G193</f>
        <v>Premium3</v>
      </c>
      <c r="D193" s="7" t="str">
        <f>IF(I193="PremiumSS",I193,IF(I193="PremiumSSS",I193,IF(I193="PremiumW",I193,"Premium")))</f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7">
        <f ca="1">IFERROR(VLOOKUP(B193,input_332100!L:R,7,FALSE),VLOOKUP(tables_332100!C193,input_332100!A:H,8,FALSE))</f>
        <v>0</v>
      </c>
      <c r="P193" s="48">
        <f ca="1">O193/SUM(O:O)</f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input_332100!A$2</f>
        <v>332100</v>
      </c>
      <c r="B194" s="6">
        <v>470</v>
      </c>
      <c r="C194" s="7" t="str">
        <f>D194&amp;J194&amp;E194&amp;F194&amp;G194</f>
        <v>Premium4</v>
      </c>
      <c r="D194" s="7" t="str">
        <f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7">
        <f ca="1">IFERROR(VLOOKUP(B194,input_332100!L:R,7,FALSE),VLOOKUP(tables_332100!C194,input_332100!A:H,8,FALSE))</f>
        <v>30039</v>
      </c>
      <c r="P194" s="48">
        <f ca="1">O194/SUM(O:O)</f>
        <v>1.193918918918919E-2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input_332100!A$2</f>
        <v>332100</v>
      </c>
      <c r="B195" s="6">
        <v>471</v>
      </c>
      <c r="C195" s="7" t="str">
        <f>D195&amp;J195&amp;E195&amp;F195&amp;G195</f>
        <v>Premium5</v>
      </c>
      <c r="D195" s="7" t="str">
        <f>IF(I195="PremiumSS",I195,IF(I195="PremiumSSS",I195,IF(I195="PremiumW",I195,"Premium")))</f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7">
        <f ca="1">IFERROR(VLOOKUP(B195,input_332100!L:R,7,FALSE),VLOOKUP(tables_332100!C195,input_332100!A:H,8,FALSE))</f>
        <v>1581</v>
      </c>
      <c r="P195" s="48">
        <f ca="1">O195/SUM(O:O)</f>
        <v>6.283783783783784E-4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input_332100!A$2</f>
        <v>332100</v>
      </c>
      <c r="B196" s="6">
        <v>474</v>
      </c>
      <c r="C196" s="7" t="str">
        <f>D196&amp;J196&amp;E196&amp;F196&amp;G196</f>
        <v>PremiumSS4</v>
      </c>
      <c r="D196" s="7" t="str">
        <f>IF(I196="PremiumSS",I196,IF(I196="PremiumSSS",I196,IF(I196="PremiumW",I196,"Premium")))</f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7">
        <f ca="1">IFERROR(VLOOKUP(B196,input_332100!L:R,7,FALSE),VLOOKUP(tables_332100!C196,input_332100!A:H,8,FALSE))</f>
        <v>4218</v>
      </c>
      <c r="P196" s="48">
        <f ca="1">O196/SUM(O:O)</f>
        <v>1.676470588235294E-3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input_332100!A$2</f>
        <v>332100</v>
      </c>
      <c r="B197" s="6">
        <v>475</v>
      </c>
      <c r="C197" s="7" t="str">
        <f>D197&amp;J197&amp;E197&amp;F197&amp;G197</f>
        <v>PremiumSS5</v>
      </c>
      <c r="D197" s="7" t="str">
        <f>IF(I197="PremiumSS",I197,IF(I197="PremiumSSS",I197,IF(I197="PremiumW",I197,"Premium")))</f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7">
        <f ca="1">IFERROR(VLOOKUP(B197,input_332100!L:R,7,FALSE),VLOOKUP(tables_332100!C197,input_332100!A:H,8,FALSE))</f>
        <v>222</v>
      </c>
      <c r="P197" s="48">
        <f ca="1">O197/SUM(O:O)</f>
        <v>8.8235294117647065E-5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input_332100!A$2</f>
        <v>332100</v>
      </c>
      <c r="B198" s="6">
        <v>476</v>
      </c>
      <c r="C198" s="7" t="str">
        <f>D198&amp;J198&amp;E198&amp;F198&amp;G198</f>
        <v>Premium3</v>
      </c>
      <c r="D198" s="7" t="str">
        <f>IF(I198="PremiumSS",I198,IF(I198="PremiumSSS",I198,IF(I198="PremiumW",I198,"Premium")))</f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7">
        <f ca="1">IFERROR(VLOOKUP(B198,input_332100!L:R,7,FALSE),VLOOKUP(tables_332100!C198,input_332100!A:H,8,FALSE))</f>
        <v>0</v>
      </c>
      <c r="P198" s="48">
        <f ca="1">O198/SUM(O:O)</f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input_332100!A$2</f>
        <v>332100</v>
      </c>
      <c r="B199" s="6">
        <v>477</v>
      </c>
      <c r="C199" s="7" t="str">
        <f>D199&amp;J199&amp;E199&amp;F199&amp;G199</f>
        <v>Premium4</v>
      </c>
      <c r="D199" s="7" t="str">
        <f>IF(I199="PremiumSS",I199,IF(I199="PremiumSSS",I199,IF(I199="PremiumW",I199,"Premium")))</f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7">
        <f ca="1">IFERROR(VLOOKUP(B199,input_332100!L:R,7,FALSE),VLOOKUP(tables_332100!C199,input_332100!A:H,8,FALSE))</f>
        <v>30039</v>
      </c>
      <c r="P199" s="48">
        <f ca="1">O199/SUM(O:O)</f>
        <v>1.193918918918919E-2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input_332100!A$2</f>
        <v>332100</v>
      </c>
      <c r="B200" s="6">
        <v>478</v>
      </c>
      <c r="C200" s="7" t="str">
        <f>D200&amp;J200&amp;E200&amp;F200&amp;G200</f>
        <v>Premium5</v>
      </c>
      <c r="D200" s="7" t="str">
        <f>IF(I200="PremiumSS",I200,IF(I200="PremiumSSS",I200,IF(I200="PremiumW",I200,"Premium")))</f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7">
        <f ca="1">IFERROR(VLOOKUP(B200,input_332100!L:R,7,FALSE),VLOOKUP(tables_332100!C200,input_332100!A:H,8,FALSE))</f>
        <v>1581</v>
      </c>
      <c r="P200" s="48">
        <f ca="1">O200/SUM(O:O)</f>
        <v>6.283783783783784E-4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input_332100!A$2</f>
        <v>332100</v>
      </c>
      <c r="B201" s="6">
        <v>479</v>
      </c>
      <c r="C201" s="7" t="str">
        <f>D201&amp;J201&amp;E201&amp;F201&amp;G201</f>
        <v>PremiumSS4</v>
      </c>
      <c r="D201" s="7" t="str">
        <f>IF(I201="PremiumSS",I201,IF(I201="PremiumSSS",I201,IF(I201="PremiumW",I201,"Premium")))</f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7">
        <f ca="1">IFERROR(VLOOKUP(B201,input_332100!L:R,7,FALSE),VLOOKUP(tables_332100!C201,input_332100!A:H,8,FALSE))</f>
        <v>4218</v>
      </c>
      <c r="P201" s="48">
        <f ca="1">O201/SUM(O:O)</f>
        <v>1.676470588235294E-3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input_332100!A$2</f>
        <v>332100</v>
      </c>
      <c r="B202" s="6">
        <v>480</v>
      </c>
      <c r="C202" s="7" t="str">
        <f>D202&amp;J202&amp;E202&amp;F202&amp;G202</f>
        <v>PremiumSS5</v>
      </c>
      <c r="D202" s="7" t="str">
        <f>IF(I202="PremiumSS",I202,IF(I202="PremiumSSS",I202,IF(I202="PremiumW",I202,"Premium")))</f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7">
        <f ca="1">IFERROR(VLOOKUP(B202,input_332100!L:R,7,FALSE),VLOOKUP(tables_332100!C202,input_332100!A:H,8,FALSE))</f>
        <v>222</v>
      </c>
      <c r="P202" s="48">
        <f ca="1">O202/SUM(O:O)</f>
        <v>8.8235294117647065E-5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input_332100!A$2</f>
        <v>332100</v>
      </c>
      <c r="B203" s="6">
        <v>481</v>
      </c>
      <c r="C203" s="7" t="str">
        <f>D203&amp;J203&amp;E203&amp;F203&amp;G203</f>
        <v>Premium3</v>
      </c>
      <c r="D203" s="7" t="str">
        <f>IF(I203="PremiumSS",I203,IF(I203="PremiumSSS",I203,IF(I203="PremiumW",I203,"Premium")))</f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7">
        <f ca="1">IFERROR(VLOOKUP(B203,input_332100!L:R,7,FALSE),VLOOKUP(tables_332100!C203,input_332100!A:H,8,FALSE))</f>
        <v>0</v>
      </c>
      <c r="P203" s="48">
        <f ca="1">O203/SUM(O:O)</f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input_332100!A$2</f>
        <v>332100</v>
      </c>
      <c r="B204" s="6">
        <v>482</v>
      </c>
      <c r="C204" s="7" t="str">
        <f>D204&amp;J204&amp;E204&amp;F204&amp;G204</f>
        <v>Premium4</v>
      </c>
      <c r="D204" s="7" t="str">
        <f>IF(I204="PremiumSS",I204,IF(I204="PremiumSSS",I204,IF(I204="PremiumW",I204,"Premium")))</f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7">
        <f ca="1">IFERROR(VLOOKUP(B204,input_332100!L:R,7,FALSE),VLOOKUP(tables_332100!C204,input_332100!A:H,8,FALSE))</f>
        <v>30039</v>
      </c>
      <c r="P204" s="48">
        <f ca="1">O204/SUM(O:O)</f>
        <v>1.193918918918919E-2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input_332100!A$2</f>
        <v>332100</v>
      </c>
      <c r="B205" s="6">
        <v>483</v>
      </c>
      <c r="C205" s="7" t="str">
        <f>D205&amp;J205&amp;E205&amp;F205&amp;G205</f>
        <v>Premium5</v>
      </c>
      <c r="D205" s="7" t="str">
        <f>IF(I205="PremiumSS",I205,IF(I205="PremiumSSS",I205,IF(I205="PremiumW",I205,"Premium")))</f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7">
        <f ca="1">IFERROR(VLOOKUP(B205,input_332100!L:R,7,FALSE),VLOOKUP(tables_332100!C205,input_332100!A:H,8,FALSE))</f>
        <v>1581</v>
      </c>
      <c r="P205" s="48">
        <f ca="1">O205/SUM(O:O)</f>
        <v>6.283783783783784E-4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input_332100!A$2</f>
        <v>332100</v>
      </c>
      <c r="B206" s="6">
        <v>492</v>
      </c>
      <c r="C206" s="7" t="str">
        <f>D206&amp;J206&amp;E206&amp;F206&amp;G206</f>
        <v>PremiumSS4</v>
      </c>
      <c r="D206" s="7" t="str">
        <f>IF(I206="PremiumSS",I206,IF(I206="PremiumSSS",I206,IF(I206="PremiumW",I206,"Premium")))</f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7">
        <f ca="1">IFERROR(VLOOKUP(B206,input_332100!L:R,7,FALSE),VLOOKUP(tables_332100!C206,input_332100!A:H,8,FALSE))</f>
        <v>4218</v>
      </c>
      <c r="P206" s="48">
        <f ca="1">O206/SUM(O:O)</f>
        <v>1.676470588235294E-3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input_332100!A$2</f>
        <v>332100</v>
      </c>
      <c r="B207" s="6">
        <v>493</v>
      </c>
      <c r="C207" s="7" t="str">
        <f>D207&amp;J207&amp;E207&amp;F207&amp;G207</f>
        <v>PremiumSS5</v>
      </c>
      <c r="D207" s="7" t="str">
        <f>IF(I207="PremiumSS",I207,IF(I207="PremiumSSS",I207,IF(I207="PremiumW",I207,"Premium")))</f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7">
        <f ca="1">IFERROR(VLOOKUP(B207,input_332100!L:R,7,FALSE),VLOOKUP(tables_332100!C207,input_332100!A:H,8,FALSE))</f>
        <v>222</v>
      </c>
      <c r="P207" s="48">
        <f ca="1">O207/SUM(O:O)</f>
        <v>8.8235294117647065E-5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input_332100!A$2</f>
        <v>332100</v>
      </c>
      <c r="B208" s="6">
        <v>494</v>
      </c>
      <c r="C208" s="7" t="str">
        <f>D208&amp;J208&amp;E208&amp;F208&amp;G208</f>
        <v>PremiumSS4</v>
      </c>
      <c r="D208" s="7" t="str">
        <f>IF(I208="PremiumSS",I208,IF(I208="PremiumSSS",I208,IF(I208="PremiumW",I208,"Premium")))</f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7">
        <f ca="1">IFERROR(VLOOKUP(B208,input_332100!L:R,7,FALSE),VLOOKUP(tables_332100!C208,input_332100!A:H,8,FALSE))</f>
        <v>4218</v>
      </c>
      <c r="P208" s="48">
        <f ca="1">O208/SUM(O:O)</f>
        <v>1.676470588235294E-3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input_332100!A$2</f>
        <v>332100</v>
      </c>
      <c r="B209" s="6">
        <v>495</v>
      </c>
      <c r="C209" s="7" t="str">
        <f>D209&amp;J209&amp;E209&amp;F209&amp;G209</f>
        <v>PremiumSS5</v>
      </c>
      <c r="D209" s="7" t="str">
        <f>IF(I209="PremiumSS",I209,IF(I209="PremiumSSS",I209,IF(I209="PremiumW",I209,"Premium")))</f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7">
        <f ca="1">IFERROR(VLOOKUP(B209,input_332100!L:R,7,FALSE),VLOOKUP(tables_332100!C209,input_332100!A:H,8,FALSE))</f>
        <v>222</v>
      </c>
      <c r="P209" s="48">
        <f ca="1">O209/SUM(O:O)</f>
        <v>8.8235294117647065E-5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input_332100!A$2</f>
        <v>332100</v>
      </c>
      <c r="B210" s="6">
        <v>496</v>
      </c>
      <c r="C210" s="7" t="str">
        <f>D210&amp;J210&amp;E210&amp;F210&amp;G210</f>
        <v>Premium3</v>
      </c>
      <c r="D210" s="7" t="str">
        <f>IF(I210="PremiumSS",I210,IF(I210="PremiumSSS",I210,IF(I210="PremiumW",I210,"Premium")))</f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7">
        <f ca="1">IFERROR(VLOOKUP(B210,input_332100!L:R,7,FALSE),VLOOKUP(tables_332100!C210,input_332100!A:H,8,FALSE))</f>
        <v>0</v>
      </c>
      <c r="P210" s="48">
        <f ca="1">O210/SUM(O:O)</f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input_332100!A$2</f>
        <v>332100</v>
      </c>
      <c r="B211" s="6">
        <v>497</v>
      </c>
      <c r="C211" s="7" t="str">
        <f>D211&amp;J211&amp;E211&amp;F211&amp;G211</f>
        <v>Premium4</v>
      </c>
      <c r="D211" s="7" t="str">
        <f>IF(I211="PremiumSS",I211,IF(I211="PremiumSSS",I211,IF(I211="PremiumW",I211,"Premium")))</f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7">
        <f ca="1">IFERROR(VLOOKUP(B211,input_332100!L:R,7,FALSE),VLOOKUP(tables_332100!C211,input_332100!A:H,8,FALSE))</f>
        <v>30039</v>
      </c>
      <c r="P211" s="48">
        <f ca="1">O211/SUM(O:O)</f>
        <v>1.193918918918919E-2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input_332100!A$2</f>
        <v>332100</v>
      </c>
      <c r="B212" s="6">
        <v>498</v>
      </c>
      <c r="C212" s="7" t="str">
        <f>D212&amp;J212&amp;E212&amp;F212&amp;G212</f>
        <v>Premium5</v>
      </c>
      <c r="D212" s="7" t="str">
        <f>IF(I212="PremiumSS",I212,IF(I212="PremiumSSS",I212,IF(I212="PremiumW",I212,"Premium")))</f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7">
        <f ca="1">IFERROR(VLOOKUP(B212,input_332100!L:R,7,FALSE),VLOOKUP(tables_332100!C212,input_332100!A:H,8,FALSE))</f>
        <v>1581</v>
      </c>
      <c r="P212" s="48">
        <f ca="1">O212/SUM(O:O)</f>
        <v>6.283783783783784E-4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input_332100!A$2</f>
        <v>332100</v>
      </c>
      <c r="B213" s="6">
        <v>499</v>
      </c>
      <c r="C213" s="7" t="str">
        <f>D213&amp;J213&amp;E213&amp;F213&amp;G213</f>
        <v>PremiumSS4</v>
      </c>
      <c r="D213" s="7" t="str">
        <f>IF(I213="PremiumSS",I213,IF(I213="PremiumSSS",I213,IF(I213="PremiumW",I213,"Premium")))</f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7">
        <f ca="1">IFERROR(VLOOKUP(B213,input_332100!L:R,7,FALSE),VLOOKUP(tables_332100!C213,input_332100!A:H,8,FALSE))</f>
        <v>4218</v>
      </c>
      <c r="P213" s="48">
        <f ca="1">O213/SUM(O:O)</f>
        <v>1.676470588235294E-3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input_332100!A$2</f>
        <v>332100</v>
      </c>
      <c r="B214" s="6">
        <v>500</v>
      </c>
      <c r="C214" s="7" t="str">
        <f>D214&amp;J214&amp;E214&amp;F214&amp;G214</f>
        <v>PremiumSS5</v>
      </c>
      <c r="D214" s="7" t="str">
        <f>IF(I214="PremiumSS",I214,IF(I214="PremiumSSS",I214,IF(I214="PremiumW",I214,"Premium")))</f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7">
        <f ca="1">IFERROR(VLOOKUP(B214,input_332100!L:R,7,FALSE),VLOOKUP(tables_332100!C214,input_332100!A:H,8,FALSE))</f>
        <v>222</v>
      </c>
      <c r="P214" s="48">
        <f ca="1">O214/SUM(O:O)</f>
        <v>8.8235294117647065E-5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input_332100!A$2</f>
        <v>332100</v>
      </c>
      <c r="B215" s="6">
        <v>586</v>
      </c>
      <c r="C215" s="7" t="str">
        <f>D215&amp;J215&amp;E215&amp;F215&amp;G215</f>
        <v>PremiumSS4</v>
      </c>
      <c r="D215" s="7" t="str">
        <f>IF(I215="PremiumSS",I215,IF(I215="PremiumSSS",I215,IF(I215="PremiumW",I215,"Premium")))</f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7">
        <f ca="1">IFERROR(VLOOKUP(B215,input_332100!L:R,7,FALSE),VLOOKUP(tables_332100!C215,input_332100!A:H,8,FALSE))</f>
        <v>4218</v>
      </c>
      <c r="P215" s="48">
        <f ca="1">O215/SUM(O:O)</f>
        <v>1.676470588235294E-3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input_332100!A$2</f>
        <v>332100</v>
      </c>
      <c r="B216" s="6">
        <v>587</v>
      </c>
      <c r="C216" s="7" t="str">
        <f>D216&amp;J216&amp;E216&amp;F216&amp;G216</f>
        <v>PremiumSS5</v>
      </c>
      <c r="D216" s="7" t="str">
        <f>IF(I216="PremiumSS",I216,IF(I216="PremiumSSS",I216,IF(I216="PremiumW",I216,"Premium")))</f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7">
        <f ca="1">IFERROR(VLOOKUP(B216,input_332100!L:R,7,FALSE),VLOOKUP(tables_332100!C216,input_332100!A:H,8,FALSE))</f>
        <v>222</v>
      </c>
      <c r="P216" s="48">
        <f ca="1">O216/SUM(O:O)</f>
        <v>8.8235294117647065E-5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input_332100!A$2</f>
        <v>332100</v>
      </c>
      <c r="B217" s="6">
        <v>588</v>
      </c>
      <c r="C217" s="7" t="str">
        <f>D217&amp;J217&amp;E217&amp;F217&amp;G217</f>
        <v>Premium3</v>
      </c>
      <c r="D217" s="7" t="str">
        <f>IF(I217="PremiumSS",I217,IF(I217="PremiumSSS",I217,IF(I217="PremiumW",I217,"Premium")))</f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7">
        <f ca="1">IFERROR(VLOOKUP(B217,input_332100!L:R,7,FALSE),VLOOKUP(tables_332100!C217,input_332100!A:H,8,FALSE))</f>
        <v>0</v>
      </c>
      <c r="P217" s="48">
        <f ca="1">O217/SUM(O:O)</f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input_332100!A$2</f>
        <v>332100</v>
      </c>
      <c r="B218" s="6">
        <v>589</v>
      </c>
      <c r="C218" s="7" t="str">
        <f>D218&amp;J218&amp;E218&amp;F218&amp;G218</f>
        <v>Premium4</v>
      </c>
      <c r="D218" s="7" t="str">
        <f>IF(I218="PremiumSS",I218,IF(I218="PremiumSSS",I218,IF(I218="PremiumW",I218,"Premium")))</f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7">
        <f ca="1">IFERROR(VLOOKUP(B218,input_332100!L:R,7,FALSE),VLOOKUP(tables_332100!C218,input_332100!A:H,8,FALSE))</f>
        <v>30039</v>
      </c>
      <c r="P218" s="48">
        <f ca="1">O218/SUM(O:O)</f>
        <v>1.193918918918919E-2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input_332100!A$2</f>
        <v>332100</v>
      </c>
      <c r="B219" s="6">
        <v>590</v>
      </c>
      <c r="C219" s="7" t="str">
        <f>D219&amp;J219&amp;E219&amp;F219&amp;G219</f>
        <v>Premium5</v>
      </c>
      <c r="D219" s="7" t="str">
        <f>IF(I219="PremiumSS",I219,IF(I219="PremiumSSS",I219,IF(I219="PremiumW",I219,"Premium")))</f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7">
        <f ca="1">IFERROR(VLOOKUP(B219,input_332100!L:R,7,FALSE),VLOOKUP(tables_332100!C219,input_332100!A:H,8,FALSE))</f>
        <v>1581</v>
      </c>
      <c r="P219" s="48">
        <f ca="1">O219/SUM(O:O)</f>
        <v>6.283783783783784E-4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input_332100!A$2</f>
        <v>332100</v>
      </c>
      <c r="B220" s="6">
        <v>591</v>
      </c>
      <c r="C220" s="7" t="str">
        <f>D220&amp;J220&amp;E220&amp;F220&amp;G220</f>
        <v>Premium3</v>
      </c>
      <c r="D220" s="7" t="str">
        <f>IF(I220="PremiumSS",I220,IF(I220="PremiumSSS",I220,IF(I220="PremiumW",I220,"Premium")))</f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7">
        <f ca="1">IFERROR(VLOOKUP(B220,input_332100!L:R,7,FALSE),VLOOKUP(tables_332100!C220,input_332100!A:H,8,FALSE))</f>
        <v>0</v>
      </c>
      <c r="P220" s="48">
        <f ca="1">O220/SUM(O:O)</f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input_332100!A$2</f>
        <v>332100</v>
      </c>
      <c r="B221" s="6">
        <v>592</v>
      </c>
      <c r="C221" s="7" t="str">
        <f>D221&amp;J221&amp;E221&amp;F221&amp;G221</f>
        <v>Premium4</v>
      </c>
      <c r="D221" s="7" t="str">
        <f>IF(I221="PremiumSS",I221,IF(I221="PremiumSSS",I221,IF(I221="PremiumW",I221,"Premium")))</f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7">
        <f ca="1">IFERROR(VLOOKUP(B221,input_332100!L:R,7,FALSE),VLOOKUP(tables_332100!C221,input_332100!A:H,8,FALSE))</f>
        <v>30039</v>
      </c>
      <c r="P221" s="48">
        <f ca="1">O221/SUM(O:O)</f>
        <v>1.193918918918919E-2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input_332100!A$2</f>
        <v>332100</v>
      </c>
      <c r="B222" s="6">
        <v>593</v>
      </c>
      <c r="C222" s="7" t="str">
        <f>D222&amp;J222&amp;E222&amp;F222&amp;G222</f>
        <v>Premium5</v>
      </c>
      <c r="D222" s="7" t="str">
        <f>IF(I222="PremiumSS",I222,IF(I222="PremiumSSS",I222,IF(I222="PremiumW",I222,"Premium")))</f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7">
        <f ca="1">IFERROR(VLOOKUP(B222,input_332100!L:R,7,FALSE),VLOOKUP(tables_332100!C222,input_332100!A:H,8,FALSE))</f>
        <v>1581</v>
      </c>
      <c r="P222" s="48">
        <f ca="1">O222/SUM(O:O)</f>
        <v>6.283783783783784E-4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input_332100!A$2</f>
        <v>332100</v>
      </c>
      <c r="B223" s="6">
        <v>594</v>
      </c>
      <c r="C223" s="7" t="str">
        <f>D223&amp;J223&amp;E223&amp;F223&amp;G223</f>
        <v>PremiumSS4</v>
      </c>
      <c r="D223" s="7" t="str">
        <f>IF(I223="PremiumSS",I223,IF(I223="PremiumSSS",I223,IF(I223="PremiumW",I223,"Premium")))</f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7">
        <f ca="1">IFERROR(VLOOKUP(B223,input_332100!L:R,7,FALSE),VLOOKUP(tables_332100!C223,input_332100!A:H,8,FALSE))</f>
        <v>4218</v>
      </c>
      <c r="P223" s="48">
        <f ca="1">O223/SUM(O:O)</f>
        <v>1.676470588235294E-3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input_332100!A$2</f>
        <v>332100</v>
      </c>
      <c r="B224" s="6">
        <v>595</v>
      </c>
      <c r="C224" s="7" t="str">
        <f>D224&amp;J224&amp;E224&amp;F224&amp;G224</f>
        <v>PremiumSS5</v>
      </c>
      <c r="D224" s="7" t="str">
        <f>IF(I224="PremiumSS",I224,IF(I224="PremiumSSS",I224,IF(I224="PremiumW",I224,"Premium")))</f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7">
        <f ca="1">IFERROR(VLOOKUP(B224,input_332100!L:R,7,FALSE),VLOOKUP(tables_332100!C224,input_332100!A:H,8,FALSE))</f>
        <v>222</v>
      </c>
      <c r="P224" s="48">
        <f ca="1">O224/SUM(O:O)</f>
        <v>8.8235294117647065E-5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input_332100!A$2</f>
        <v>332100</v>
      </c>
      <c r="B225" s="6">
        <v>596</v>
      </c>
      <c r="C225" s="7" t="str">
        <f>D225&amp;J225&amp;E225&amp;F225&amp;G225</f>
        <v>Premium3</v>
      </c>
      <c r="D225" s="7" t="str">
        <f>IF(I225="PremiumSS",I225,IF(I225="PremiumSSS",I225,IF(I225="PremiumW",I225,"Premium")))</f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7">
        <f ca="1">IFERROR(VLOOKUP(B225,input_332100!L:R,7,FALSE),VLOOKUP(tables_332100!C225,input_332100!A:H,8,FALSE))</f>
        <v>0</v>
      </c>
      <c r="P225" s="48">
        <f ca="1">O225/SUM(O:O)</f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input_332100!A$2</f>
        <v>332100</v>
      </c>
      <c r="B226" s="6">
        <v>597</v>
      </c>
      <c r="C226" s="7" t="str">
        <f>D226&amp;J226&amp;E226&amp;F226&amp;G226</f>
        <v>Premium4</v>
      </c>
      <c r="D226" s="7" t="str">
        <f>IF(I226="PremiumSS",I226,IF(I226="PremiumSSS",I226,IF(I226="PremiumW",I226,"Premium")))</f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7">
        <f ca="1">IFERROR(VLOOKUP(B226,input_332100!L:R,7,FALSE),VLOOKUP(tables_332100!C226,input_332100!A:H,8,FALSE))</f>
        <v>30039</v>
      </c>
      <c r="P226" s="48">
        <f ca="1">O226/SUM(O:O)</f>
        <v>1.193918918918919E-2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input_332100!A$2</f>
        <v>332100</v>
      </c>
      <c r="B227" s="6">
        <v>598</v>
      </c>
      <c r="C227" s="7" t="str">
        <f>D227&amp;J227&amp;E227&amp;F227&amp;G227</f>
        <v>Premium5</v>
      </c>
      <c r="D227" s="7" t="str">
        <f>IF(I227="PremiumSS",I227,IF(I227="PremiumSSS",I227,IF(I227="PremiumW",I227,"Premium")))</f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7">
        <f ca="1">IFERROR(VLOOKUP(B227,input_332100!L:R,7,FALSE),VLOOKUP(tables_332100!C227,input_332100!A:H,8,FALSE))</f>
        <v>1581</v>
      </c>
      <c r="P227" s="48">
        <f ca="1">O227/SUM(O:O)</f>
        <v>6.283783783783784E-4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input_332100!A$2</f>
        <v>332100</v>
      </c>
      <c r="B228" s="6">
        <v>599</v>
      </c>
      <c r="C228" s="7" t="str">
        <f>D228&amp;J228&amp;E228&amp;F228&amp;G228</f>
        <v>Premium3</v>
      </c>
      <c r="D228" s="7" t="str">
        <f>IF(I228="PremiumSS",I228,IF(I228="PremiumSSS",I228,IF(I228="PremiumW",I228,"Premium")))</f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7">
        <f ca="1">IFERROR(VLOOKUP(B228,input_332100!L:R,7,FALSE),VLOOKUP(tables_332100!C228,input_332100!A:H,8,FALSE))</f>
        <v>0</v>
      </c>
      <c r="P228" s="48">
        <f ca="1">O228/SUM(O:O)</f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input_332100!A$2</f>
        <v>332100</v>
      </c>
      <c r="B229" s="6">
        <v>600</v>
      </c>
      <c r="C229" s="7" t="str">
        <f>D229&amp;J229&amp;E229&amp;F229&amp;G229</f>
        <v>Premium4</v>
      </c>
      <c r="D229" s="7" t="str">
        <f>IF(I229="PremiumSS",I229,IF(I229="PremiumSSS",I229,IF(I229="PremiumW",I229,"Premium")))</f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7">
        <f ca="1">IFERROR(VLOOKUP(B229,input_332100!L:R,7,FALSE),VLOOKUP(tables_332100!C229,input_332100!A:H,8,FALSE))</f>
        <v>30039</v>
      </c>
      <c r="P229" s="48">
        <f ca="1">O229/SUM(O:O)</f>
        <v>1.193918918918919E-2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input_332100!A$2</f>
        <v>332100</v>
      </c>
      <c r="B230" s="6">
        <v>601</v>
      </c>
      <c r="C230" s="7" t="str">
        <f>D230&amp;J230&amp;E230&amp;F230&amp;G230</f>
        <v>Premium5</v>
      </c>
      <c r="D230" s="7" t="str">
        <f>IF(I230="PremiumSS",I230,IF(I230="PremiumSSS",I230,IF(I230="PremiumW",I230,"Premium")))</f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7">
        <f ca="1">IFERROR(VLOOKUP(B230,input_332100!L:R,7,FALSE),VLOOKUP(tables_332100!C230,input_332100!A:H,8,FALSE))</f>
        <v>1581</v>
      </c>
      <c r="P230" s="48">
        <f ca="1">O230/SUM(O:O)</f>
        <v>6.283783783783784E-4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input_332100!A$2</f>
        <v>332100</v>
      </c>
      <c r="B231" s="6">
        <v>602</v>
      </c>
      <c r="C231" s="7" t="str">
        <f>D231&amp;J231&amp;E231&amp;F231&amp;G231</f>
        <v>PremiumSS4</v>
      </c>
      <c r="D231" s="7" t="str">
        <f>IF(I231="PremiumSS",I231,IF(I231="PremiumSSS",I231,IF(I231="PremiumW",I231,"Premium")))</f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7">
        <f ca="1">IFERROR(VLOOKUP(B231,input_332100!L:R,7,FALSE),VLOOKUP(tables_332100!C231,input_332100!A:H,8,FALSE))</f>
        <v>4218</v>
      </c>
      <c r="P231" s="48">
        <f ca="1">O231/SUM(O:O)</f>
        <v>1.676470588235294E-3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input_332100!A$2</f>
        <v>332100</v>
      </c>
      <c r="B232" s="6">
        <v>603</v>
      </c>
      <c r="C232" s="7" t="str">
        <f>D232&amp;J232&amp;E232&amp;F232&amp;G232</f>
        <v>PremiumSS5</v>
      </c>
      <c r="D232" s="7" t="str">
        <f>IF(I232="PremiumSS",I232,IF(I232="PremiumSSS",I232,IF(I232="PremiumW",I232,"Premium")))</f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7">
        <f ca="1">IFERROR(VLOOKUP(B232,input_332100!L:R,7,FALSE),VLOOKUP(tables_332100!C232,input_332100!A:H,8,FALSE))</f>
        <v>222</v>
      </c>
      <c r="P232" s="48">
        <f ca="1">O232/SUM(O:O)</f>
        <v>8.8235294117647065E-5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input_332100!A$2</f>
        <v>332100</v>
      </c>
      <c r="B233" s="6">
        <v>604</v>
      </c>
      <c r="C233" s="7" t="str">
        <f>D233&amp;J233&amp;E233&amp;F233&amp;G233</f>
        <v>Premium3</v>
      </c>
      <c r="D233" s="7" t="str">
        <f>IF(I233="PremiumSS",I233,IF(I233="PremiumSSS",I233,IF(I233="PremiumW",I233,"Premium")))</f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7">
        <f ca="1">IFERROR(VLOOKUP(B233,input_332100!L:R,7,FALSE),VLOOKUP(tables_332100!C233,input_332100!A:H,8,FALSE))</f>
        <v>0</v>
      </c>
      <c r="P233" s="48">
        <f ca="1">O233/SUM(O:O)</f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input_332100!A$2</f>
        <v>332100</v>
      </c>
      <c r="B234" s="6">
        <v>605</v>
      </c>
      <c r="C234" s="7" t="str">
        <f>D234&amp;J234&amp;E234&amp;F234&amp;G234</f>
        <v>Premium4</v>
      </c>
      <c r="D234" s="7" t="str">
        <f>IF(I234="PremiumSS",I234,IF(I234="PremiumSSS",I234,IF(I234="PremiumW",I234,"Premium")))</f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7">
        <f ca="1">IFERROR(VLOOKUP(B234,input_332100!L:R,7,FALSE),VLOOKUP(tables_332100!C234,input_332100!A:H,8,FALSE))</f>
        <v>30039</v>
      </c>
      <c r="P234" s="48">
        <f ca="1">O234/SUM(O:O)</f>
        <v>1.193918918918919E-2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input_332100!A$2</f>
        <v>332100</v>
      </c>
      <c r="B235" s="6">
        <v>606</v>
      </c>
      <c r="C235" s="7" t="str">
        <f>D235&amp;J235&amp;E235&amp;F235&amp;G235</f>
        <v>Premium5</v>
      </c>
      <c r="D235" s="7" t="str">
        <f>IF(I235="PremiumSS",I235,IF(I235="PremiumSSS",I235,IF(I235="PremiumW",I235,"Premium")))</f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7">
        <f ca="1">IFERROR(VLOOKUP(B235,input_332100!L:R,7,FALSE),VLOOKUP(tables_332100!C235,input_332100!A:H,8,FALSE))</f>
        <v>1581</v>
      </c>
      <c r="P235" s="48">
        <f ca="1">O235/SUM(O:O)</f>
        <v>6.283783783783784E-4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input_332100!A$2</f>
        <v>332100</v>
      </c>
      <c r="B236" s="6">
        <v>658</v>
      </c>
      <c r="C236" s="7" t="str">
        <f>D236&amp;J236&amp;E236&amp;F236&amp;G236</f>
        <v>PremiumSS4</v>
      </c>
      <c r="D236" s="7" t="str">
        <f>IF(I236="PremiumSS",I236,IF(I236="PremiumSSS",I236,IF(I236="PremiumW",I236,"Premium")))</f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7">
        <f ca="1">IFERROR(VLOOKUP(B236,input_332100!L:R,7,FALSE),VLOOKUP(tables_332100!C236,input_332100!A:H,8,FALSE))</f>
        <v>4218</v>
      </c>
      <c r="P236" s="48">
        <f ca="1">O236/SUM(O:O)</f>
        <v>1.676470588235294E-3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input_332100!A$2</f>
        <v>332100</v>
      </c>
      <c r="B237" s="6">
        <v>659</v>
      </c>
      <c r="C237" s="7" t="str">
        <f>D237&amp;J237&amp;E237&amp;F237&amp;G237</f>
        <v>PremiumSS5</v>
      </c>
      <c r="D237" s="7" t="str">
        <f>IF(I237="PremiumSS",I237,IF(I237="PremiumSSS",I237,IF(I237="PremiumW",I237,"Premium")))</f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7">
        <f ca="1">IFERROR(VLOOKUP(B237,input_332100!L:R,7,FALSE),VLOOKUP(tables_332100!C237,input_332100!A:H,8,FALSE))</f>
        <v>222</v>
      </c>
      <c r="P237" s="48">
        <f ca="1">O237/SUM(O:O)</f>
        <v>8.8235294117647065E-5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input_332100!A$2</f>
        <v>332100</v>
      </c>
      <c r="B238" s="6">
        <v>660</v>
      </c>
      <c r="C238" s="7" t="str">
        <f>D238&amp;J238&amp;E238&amp;F238&amp;G238</f>
        <v>PremiumSS4</v>
      </c>
      <c r="D238" s="7" t="str">
        <f>IF(I238="PremiumSS",I238,IF(I238="PremiumSSS",I238,IF(I238="PremiumW",I238,"Premium")))</f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7">
        <f ca="1">IFERROR(VLOOKUP(B238,input_332100!L:R,7,FALSE),VLOOKUP(tables_332100!C238,input_332100!A:H,8,FALSE))</f>
        <v>4218</v>
      </c>
      <c r="P238" s="48">
        <f ca="1">O238/SUM(O:O)</f>
        <v>1.676470588235294E-3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input_332100!A$2</f>
        <v>332100</v>
      </c>
      <c r="B239" s="6">
        <v>661</v>
      </c>
      <c r="C239" s="7" t="str">
        <f>D239&amp;J239&amp;E239&amp;F239&amp;G239</f>
        <v>PremiumSS5</v>
      </c>
      <c r="D239" s="7" t="str">
        <f>IF(I239="PremiumSS",I239,IF(I239="PremiumSSS",I239,IF(I239="PremiumW",I239,"Premium")))</f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7">
        <f ca="1">IFERROR(VLOOKUP(B239,input_332100!L:R,7,FALSE),VLOOKUP(tables_332100!C239,input_332100!A:H,8,FALSE))</f>
        <v>222</v>
      </c>
      <c r="P239" s="48">
        <f ca="1">O239/SUM(O:O)</f>
        <v>8.8235294117647065E-5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input_332100!A$2</f>
        <v>332100</v>
      </c>
      <c r="B240" s="6">
        <v>662</v>
      </c>
      <c r="C240" s="7" t="str">
        <f>D240&amp;J240&amp;E240&amp;F240&amp;G240</f>
        <v>Premium3</v>
      </c>
      <c r="D240" s="7" t="str">
        <f>IF(I240="PremiumSS",I240,IF(I240="PremiumSSS",I240,IF(I240="PremiumW",I240,"Premium")))</f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7">
        <f ca="1">IFERROR(VLOOKUP(B240,input_332100!L:R,7,FALSE),VLOOKUP(tables_332100!C240,input_332100!A:H,8,FALSE))</f>
        <v>0</v>
      </c>
      <c r="P240" s="48">
        <f ca="1">O240/SUM(O:O)</f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input_332100!A$2</f>
        <v>332100</v>
      </c>
      <c r="B241" s="6">
        <v>663</v>
      </c>
      <c r="C241" s="7" t="str">
        <f>D241&amp;J241&amp;E241&amp;F241&amp;G241</f>
        <v>Premium4</v>
      </c>
      <c r="D241" s="7" t="str">
        <f>IF(I241="PremiumSS",I241,IF(I241="PremiumSSS",I241,IF(I241="PremiumW",I241,"Premium")))</f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7">
        <f ca="1">IFERROR(VLOOKUP(B241,input_332100!L:R,7,FALSE),VLOOKUP(tables_332100!C241,input_332100!A:H,8,FALSE))</f>
        <v>30039</v>
      </c>
      <c r="P241" s="48">
        <f ca="1">O241/SUM(O:O)</f>
        <v>1.193918918918919E-2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input_332100!A$2</f>
        <v>332100</v>
      </c>
      <c r="B242" s="6">
        <v>664</v>
      </c>
      <c r="C242" s="7" t="str">
        <f>D242&amp;J242&amp;E242&amp;F242&amp;G242</f>
        <v>Premium5</v>
      </c>
      <c r="D242" s="7" t="str">
        <f>IF(I242="PremiumSS",I242,IF(I242="PremiumSSS",I242,IF(I242="PremiumW",I242,"Premium")))</f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7">
        <f ca="1">IFERROR(VLOOKUP(B242,input_332100!L:R,7,FALSE),VLOOKUP(tables_332100!C242,input_332100!A:H,8,FALSE))</f>
        <v>1581</v>
      </c>
      <c r="P242" s="48">
        <f ca="1">O242/SUM(O:O)</f>
        <v>6.283783783783784E-4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input_332100!A$2</f>
        <v>332100</v>
      </c>
      <c r="B243" s="6">
        <v>665</v>
      </c>
      <c r="C243" s="7" t="str">
        <f>D243&amp;J243&amp;E243&amp;F243&amp;G243</f>
        <v>Premium3</v>
      </c>
      <c r="D243" s="7" t="str">
        <f>IF(I243="PremiumSS",I243,IF(I243="PremiumSSS",I243,IF(I243="PremiumW",I243,"Premium")))</f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7">
        <f ca="1">IFERROR(VLOOKUP(B243,input_332100!L:R,7,FALSE),VLOOKUP(tables_332100!C243,input_332100!A:H,8,FALSE))</f>
        <v>0</v>
      </c>
      <c r="P243" s="48">
        <f ca="1">O243/SUM(O:O)</f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input_332100!A$2</f>
        <v>332100</v>
      </c>
      <c r="B244" s="6">
        <v>666</v>
      </c>
      <c r="C244" s="7" t="str">
        <f>D244&amp;J244&amp;E244&amp;F244&amp;G244</f>
        <v>Premium4</v>
      </c>
      <c r="D244" s="7" t="str">
        <f>IF(I244="PremiumSS",I244,IF(I244="PremiumSSS",I244,IF(I244="PremiumW",I244,"Premium")))</f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7">
        <f ca="1">IFERROR(VLOOKUP(B244,input_332100!L:R,7,FALSE),VLOOKUP(tables_332100!C244,input_332100!A:H,8,FALSE))</f>
        <v>30039</v>
      </c>
      <c r="P244" s="48">
        <f ca="1">O244/SUM(O:O)</f>
        <v>1.193918918918919E-2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input_332100!A$2</f>
        <v>332100</v>
      </c>
      <c r="B245" s="6">
        <v>667</v>
      </c>
      <c r="C245" s="7" t="str">
        <f>D245&amp;J245&amp;E245&amp;F245&amp;G245</f>
        <v>Premium5</v>
      </c>
      <c r="D245" s="7" t="str">
        <f>IF(I245="PremiumSS",I245,IF(I245="PremiumSSS",I245,IF(I245="PremiumW",I245,"Premium")))</f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7">
        <f ca="1">IFERROR(VLOOKUP(B245,input_332100!L:R,7,FALSE),VLOOKUP(tables_332100!C245,input_332100!A:H,8,FALSE))</f>
        <v>1581</v>
      </c>
      <c r="P245" s="48">
        <f ca="1">O245/SUM(O:O)</f>
        <v>6.283783783783784E-4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input_332100!A$2</f>
        <v>332100</v>
      </c>
      <c r="B246" s="62">
        <v>668</v>
      </c>
      <c r="C246" s="7" t="str">
        <f>D246&amp;J246&amp;E246&amp;F246&amp;G246</f>
        <v>Premium3</v>
      </c>
      <c r="D246" s="7" t="str">
        <f>IF(I246="PremiumSS",I246,IF(I246="PremiumSSS",I246,IF(I246="PremiumW",I246,"Premium")))</f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7">
        <f ca="1">IFERROR(VLOOKUP(B246,input_332100!L:R,7,FALSE),VLOOKUP(tables_332100!C246,input_332100!A:H,8,FALSE))</f>
        <v>0</v>
      </c>
      <c r="P246" s="48">
        <f ca="1">O246/SUM(O:O)</f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input_332100!A$2</f>
        <v>332100</v>
      </c>
      <c r="B247" s="62">
        <v>669</v>
      </c>
      <c r="C247" s="7" t="str">
        <f>D247&amp;J247&amp;E247&amp;F247&amp;G247</f>
        <v>Premium4</v>
      </c>
      <c r="D247" s="7" t="str">
        <f>IF(I247="PremiumSS",I247,IF(I247="PremiumSSS",I247,IF(I247="PremiumW",I247,"Premium")))</f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7">
        <f ca="1">IFERROR(VLOOKUP(B247,input_332100!L:R,7,FALSE),VLOOKUP(tables_332100!C247,input_332100!A:H,8,FALSE))</f>
        <v>30039</v>
      </c>
      <c r="P247" s="48">
        <f ca="1">O247/SUM(O:O)</f>
        <v>1.193918918918919E-2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input_332100!A$2</f>
        <v>332100</v>
      </c>
      <c r="B248" s="62">
        <v>670</v>
      </c>
      <c r="C248" s="7" t="str">
        <f>D248&amp;J248&amp;E248&amp;F248&amp;G248</f>
        <v>Premium5</v>
      </c>
      <c r="D248" s="7" t="str">
        <f>IF(I248="PremiumSS",I248,IF(I248="PremiumSSS",I248,IF(I248="PremiumW",I248,"Premium")))</f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7">
        <f ca="1">IFERROR(VLOOKUP(B248,input_332100!L:R,7,FALSE),VLOOKUP(tables_332100!C248,input_332100!A:H,8,FALSE))</f>
        <v>1581</v>
      </c>
      <c r="P248" s="48">
        <f ca="1">O248/SUM(O:O)</f>
        <v>6.283783783783784E-4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input_332100!A$2</f>
        <v>332100</v>
      </c>
      <c r="B249" s="62">
        <v>671</v>
      </c>
      <c r="C249" s="7" t="str">
        <f>D249&amp;J249&amp;E249&amp;F249&amp;G249</f>
        <v>Premium3</v>
      </c>
      <c r="D249" s="7" t="str">
        <f>IF(I249="PremiumSS",I249,IF(I249="PremiumSSS",I249,IF(I249="PremiumW",I249,"Premium")))</f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7">
        <f ca="1">IFERROR(VLOOKUP(B249,input_332100!L:R,7,FALSE),VLOOKUP(tables_332100!C249,input_332100!A:H,8,FALSE))</f>
        <v>0</v>
      </c>
      <c r="P249" s="48">
        <f ca="1">O249/SUM(O:O)</f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input_332100!A$2</f>
        <v>332100</v>
      </c>
      <c r="B250" s="62">
        <v>672</v>
      </c>
      <c r="C250" s="7" t="str">
        <f>D250&amp;J250&amp;E250&amp;F250&amp;G250</f>
        <v>Premium4</v>
      </c>
      <c r="D250" s="7" t="str">
        <f>IF(I250="PremiumSS",I250,IF(I250="PremiumSSS",I250,IF(I250="PremiumW",I250,"Premium")))</f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7">
        <f ca="1">IFERROR(VLOOKUP(B250,input_332100!L:R,7,FALSE),VLOOKUP(tables_332100!C250,input_332100!A:H,8,FALSE))</f>
        <v>30039</v>
      </c>
      <c r="P250" s="48">
        <f ca="1">O250/SUM(O:O)</f>
        <v>1.193918918918919E-2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input_332100!A$2</f>
        <v>332100</v>
      </c>
      <c r="B251" s="62">
        <v>673</v>
      </c>
      <c r="C251" s="7" t="str">
        <f>D251&amp;J251&amp;E251&amp;F251&amp;G251</f>
        <v>Premium5</v>
      </c>
      <c r="D251" s="7" t="str">
        <f>IF(I251="PremiumSS",I251,IF(I251="PremiumSSS",I251,IF(I251="PremiumW",I251,"Premium")))</f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7">
        <f ca="1">IFERROR(VLOOKUP(B251,input_332100!L:R,7,FALSE),VLOOKUP(tables_332100!C251,input_332100!A:H,8,FALSE))</f>
        <v>1581</v>
      </c>
      <c r="P251" s="48">
        <f ca="1">O251/SUM(O:O)</f>
        <v>6.283783783783784E-4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input_332100!A$2</f>
        <v>332100</v>
      </c>
      <c r="B252" s="62">
        <v>674</v>
      </c>
      <c r="C252" s="7" t="str">
        <f>D252&amp;J252&amp;E252&amp;F252&amp;G252</f>
        <v>PremiumSS4</v>
      </c>
      <c r="D252" s="7" t="str">
        <f>IF(I252="PremiumSS",I252,IF(I252="PremiumSSS",I252,IF(I252="PremiumW",I252,"Premium")))</f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7">
        <f ca="1">IFERROR(VLOOKUP(B252,input_332100!L:R,7,FALSE),VLOOKUP(tables_332100!C252,input_332100!A:H,8,FALSE))</f>
        <v>4218</v>
      </c>
      <c r="P252" s="48">
        <f ca="1">O252/SUM(O:O)</f>
        <v>1.676470588235294E-3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input_332100!A$2</f>
        <v>332100</v>
      </c>
      <c r="B253" s="62">
        <v>675</v>
      </c>
      <c r="C253" s="7" t="str">
        <f>D253&amp;J253&amp;E253&amp;F253&amp;G253</f>
        <v>PremiumSS5</v>
      </c>
      <c r="D253" s="7" t="str">
        <f>IF(I253="PremiumSS",I253,IF(I253="PremiumSSS",I253,IF(I253="PremiumW",I253,"Premium")))</f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7">
        <f ca="1">IFERROR(VLOOKUP(B253,input_332100!L:R,7,FALSE),VLOOKUP(tables_332100!C253,input_332100!A:H,8,FALSE))</f>
        <v>222</v>
      </c>
      <c r="P253" s="48">
        <f ca="1">O253/SUM(O:O)</f>
        <v>8.8235294117647065E-5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input_332100!A$2</f>
        <v>332100</v>
      </c>
      <c r="B254" s="62">
        <v>676</v>
      </c>
      <c r="C254" s="7" t="str">
        <f>D254&amp;J254&amp;E254&amp;F254&amp;G254</f>
        <v>PremiumSS4</v>
      </c>
      <c r="D254" s="7" t="str">
        <f>IF(I254="PremiumSS",I254,IF(I254="PremiumSSS",I254,IF(I254="PremiumW",I254,"Premium")))</f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7">
        <f ca="1">IFERROR(VLOOKUP(B254,input_332100!L:R,7,FALSE),VLOOKUP(tables_332100!C254,input_332100!A:H,8,FALSE))</f>
        <v>4218</v>
      </c>
      <c r="P254" s="48">
        <f ca="1">O254/SUM(O:O)</f>
        <v>1.676470588235294E-3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input_332100!A$2</f>
        <v>332100</v>
      </c>
      <c r="B255" s="62">
        <v>677</v>
      </c>
      <c r="C255" s="7" t="str">
        <f>D255&amp;J255&amp;E255&amp;F255&amp;G255</f>
        <v>PremiumSS5</v>
      </c>
      <c r="D255" s="7" t="str">
        <f>IF(I255="PremiumSS",I255,IF(I255="PremiumSSS",I255,IF(I255="PremiumW",I255,"Premium")))</f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7">
        <f ca="1">IFERROR(VLOOKUP(B255,input_332100!L:R,7,FALSE),VLOOKUP(tables_332100!C255,input_332100!A:H,8,FALSE))</f>
        <v>222</v>
      </c>
      <c r="P255" s="48">
        <f ca="1">O255/SUM(O:O)</f>
        <v>8.8235294117647065E-5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input_332100!A$2</f>
        <v>332100</v>
      </c>
      <c r="B256" s="62">
        <v>728</v>
      </c>
      <c r="C256" s="7" t="str">
        <f>D256&amp;J256&amp;E256&amp;F256&amp;G256</f>
        <v>Premium4R3less</v>
      </c>
      <c r="D256" s="7" t="str">
        <f>IF(I256="PremiumSS",I256,IF(I256="PremiumSSS",I256,IF(I256="PremiumW",I256,"Premium")))</f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7">
        <f ca="1">IFERROR(VLOOKUP(B256,input_332100!L:R,7,FALSE),VLOOKUP(tables_332100!C256,input_332100!A:H,8,FALSE))</f>
        <v>17818</v>
      </c>
      <c r="P256" s="48">
        <f ca="1">O256/SUM(O:O)</f>
        <v>7.0818759936406997E-3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input_332100!A$2</f>
        <v>332100</v>
      </c>
      <c r="B257" s="62">
        <v>729</v>
      </c>
      <c r="C257" s="7" t="str">
        <f>D257&amp;J257&amp;E257&amp;F257&amp;G257</f>
        <v>Premium5R3less</v>
      </c>
      <c r="D257" s="7" t="str">
        <f>IF(I257="PremiumSS",I257,IF(I257="PremiumSSS",I257,IF(I257="PremiumW",I257,"Premium")))</f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7">
        <f ca="1">IFERROR(VLOOKUP(B257,input_332100!L:R,7,FALSE),VLOOKUP(tables_332100!C257,input_332100!A:H,8,FALSE))</f>
        <v>13802</v>
      </c>
      <c r="P257" s="48">
        <f ca="1">O257/SUM(O:O)</f>
        <v>5.4856915739268678E-3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input_332100!A$2</f>
        <v>332100</v>
      </c>
      <c r="B258" s="62">
        <v>730</v>
      </c>
      <c r="C258" s="7" t="str">
        <f>D258&amp;J258&amp;E258&amp;F258&amp;G258</f>
        <v>Premium4R3less</v>
      </c>
      <c r="D258" s="7" t="str">
        <f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7">
        <f ca="1">IFERROR(VLOOKUP(B258,input_332100!L:R,7,FALSE),VLOOKUP(tables_332100!C258,input_332100!A:H,8,FALSE))</f>
        <v>17818</v>
      </c>
      <c r="P258" s="48">
        <f ca="1">O258/SUM(O:O)</f>
        <v>7.0818759936406997E-3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input_332100!A$2</f>
        <v>332100</v>
      </c>
      <c r="B259" s="62">
        <v>731</v>
      </c>
      <c r="C259" s="7" t="str">
        <f>D259&amp;J259&amp;E259&amp;F259&amp;G259</f>
        <v>Premium5R3less</v>
      </c>
      <c r="D259" s="7" t="str">
        <f>IF(I259="PremiumSS",I259,IF(I259="PremiumSSS",I259,IF(I259="PremiumW",I259,"Premium")))</f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7">
        <f ca="1">IFERROR(VLOOKUP(B259,input_332100!L:R,7,FALSE),VLOOKUP(tables_332100!C259,input_332100!A:H,8,FALSE))</f>
        <v>13802</v>
      </c>
      <c r="P259" s="48">
        <f ca="1">O259/SUM(O:O)</f>
        <v>5.4856915739268678E-3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input_332100!A$2</f>
        <v>332100</v>
      </c>
      <c r="B260" s="62">
        <v>732</v>
      </c>
      <c r="C260" s="7" t="str">
        <f>D260&amp;J260&amp;E260&amp;F260&amp;G260</f>
        <v>PremiumSS5R5only</v>
      </c>
      <c r="D260" s="7" t="str">
        <f>IF(I260="PremiumSS",I260,IF(I260="PremiumSSS",I260,IF(I260="PremiumW",I260,"Premium")))</f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7">
        <f ca="1">IFERROR(VLOOKUP(B260,input_332100!L:R,7,FALSE),VLOOKUP(tables_332100!C260,input_332100!A:H,8,FALSE))</f>
        <v>4440</v>
      </c>
      <c r="P260" s="48">
        <f ca="1">O260/SUM(O:O)</f>
        <v>1.7647058823529412E-3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input_332100!A$2</f>
        <v>332100</v>
      </c>
      <c r="B261" s="62">
        <v>734</v>
      </c>
      <c r="C261" s="7" t="str">
        <f>D261&amp;J261&amp;E261&amp;F261&amp;G261</f>
        <v>PremiumSS5R5only</v>
      </c>
      <c r="D261" s="7" t="str">
        <f>IF(I261="PremiumSS",I261,IF(I261="PremiumSSS",I261,IF(I261="PremiumW",I261,"Premium")))</f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7">
        <f ca="1">IFERROR(VLOOKUP(B261,input_332100!L:R,7,FALSE),VLOOKUP(tables_332100!C261,input_332100!A:H,8,FALSE))</f>
        <v>4440</v>
      </c>
      <c r="P261" s="48">
        <f ca="1">O261/SUM(O:O)</f>
        <v>1.7647058823529412E-3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input_332100!A$2</f>
        <v>332100</v>
      </c>
      <c r="B262" s="62">
        <v>770</v>
      </c>
      <c r="C262" s="7" t="str">
        <f>D262&amp;J262&amp;E262&amp;F262&amp;G262</f>
        <v>PremiumSS4</v>
      </c>
      <c r="D262" s="7" t="str">
        <f>IF(I262="PremiumSS",I262,IF(I262="PremiumSSS",I262,IF(I262="PremiumW",I262,"Premium")))</f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7">
        <f ca="1">IFERROR(VLOOKUP(B262,input_332100!L:R,7,FALSE),VLOOKUP(tables_332100!C262,input_332100!A:H,8,FALSE))</f>
        <v>4218</v>
      </c>
      <c r="P262" s="48">
        <f ca="1">O262/SUM(O:O)</f>
        <v>1.676470588235294E-3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input_332100!A$2</f>
        <v>332100</v>
      </c>
      <c r="B263" s="62">
        <v>771</v>
      </c>
      <c r="C263" s="7" t="str">
        <f>D263&amp;J263&amp;E263&amp;F263&amp;G263</f>
        <v>PremiumSS5</v>
      </c>
      <c r="D263" s="7" t="str">
        <f>IF(I263="PremiumSS",I263,IF(I263="PremiumSSS",I263,IF(I263="PremiumW",I263,"Premium")))</f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7">
        <f ca="1">IFERROR(VLOOKUP(B263,input_332100!L:R,7,FALSE),VLOOKUP(tables_332100!C263,input_332100!A:H,8,FALSE))</f>
        <v>222</v>
      </c>
      <c r="P263" s="48">
        <f ca="1">O263/SUM(O:O)</f>
        <v>8.8235294117647065E-5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input_332100!A$2</f>
        <v>332100</v>
      </c>
      <c r="B264" s="62">
        <v>772</v>
      </c>
      <c r="C264" s="7" t="str">
        <f>D264&amp;J264&amp;E264&amp;F264&amp;G264</f>
        <v>PremiumSS4</v>
      </c>
      <c r="D264" s="7" t="str">
        <f>IF(I264="PremiumSS",I264,IF(I264="PremiumSSS",I264,IF(I264="PremiumW",I264,"Premium")))</f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7">
        <f ca="1">IFERROR(VLOOKUP(B264,input_332100!L:R,7,FALSE),VLOOKUP(tables_332100!C264,input_332100!A:H,8,FALSE))</f>
        <v>4218</v>
      </c>
      <c r="P264" s="48">
        <f ca="1">O264/SUM(O:O)</f>
        <v>1.676470588235294E-3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input_332100!A$2</f>
        <v>332100</v>
      </c>
      <c r="B265" s="62">
        <v>773</v>
      </c>
      <c r="C265" s="7" t="str">
        <f>D265&amp;J265&amp;E265&amp;F265&amp;G265</f>
        <v>PremiumSS5</v>
      </c>
      <c r="D265" s="7" t="str">
        <f>IF(I265="PremiumSS",I265,IF(I265="PremiumSSS",I265,IF(I265="PremiumW",I265,"Premium")))</f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7">
        <f ca="1">IFERROR(VLOOKUP(B265,input_332100!L:R,7,FALSE),VLOOKUP(tables_332100!C265,input_332100!A:H,8,FALSE))</f>
        <v>222</v>
      </c>
      <c r="P265" s="48">
        <f ca="1">O265/SUM(O:O)</f>
        <v>8.8235294117647065E-5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input_332100!A$2</f>
        <v>332100</v>
      </c>
      <c r="B266" s="62">
        <v>774</v>
      </c>
      <c r="C266" s="7" t="str">
        <f>D266&amp;J266&amp;E266&amp;F266&amp;G266</f>
        <v>Premium3</v>
      </c>
      <c r="D266" s="7" t="str">
        <f>IF(I266="PremiumSS",I266,IF(I266="PremiumSSS",I266,IF(I266="PremiumW",I266,"Premium")))</f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7">
        <f ca="1">IFERROR(VLOOKUP(B266,input_332100!L:R,7,FALSE),VLOOKUP(tables_332100!C266,input_332100!A:H,8,FALSE))</f>
        <v>0</v>
      </c>
      <c r="P266" s="48">
        <f ca="1">O266/SUM(O:O)</f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input_332100!A$2</f>
        <v>332100</v>
      </c>
      <c r="B267" s="62">
        <v>775</v>
      </c>
      <c r="C267" s="7" t="str">
        <f>D267&amp;J267&amp;E267&amp;F267&amp;G267</f>
        <v>Premium4</v>
      </c>
      <c r="D267" s="7" t="str">
        <f>IF(I267="PremiumSS",I267,IF(I267="PremiumSSS",I267,IF(I267="PremiumW",I267,"Premium")))</f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7">
        <f ca="1">IFERROR(VLOOKUP(B267,input_332100!L:R,7,FALSE),VLOOKUP(tables_332100!C267,input_332100!A:H,8,FALSE))</f>
        <v>30039</v>
      </c>
      <c r="P267" s="48">
        <f ca="1">O267/SUM(O:O)</f>
        <v>1.193918918918919E-2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input_332100!A$2</f>
        <v>332100</v>
      </c>
      <c r="B268" s="62">
        <v>776</v>
      </c>
      <c r="C268" s="7" t="str">
        <f>D268&amp;J268&amp;E268&amp;F268&amp;G268</f>
        <v>Premium5</v>
      </c>
      <c r="D268" s="7" t="str">
        <f>IF(I268="PremiumSS",I268,IF(I268="PremiumSSS",I268,IF(I268="PremiumW",I268,"Premium")))</f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7">
        <f ca="1">IFERROR(VLOOKUP(B268,input_332100!L:R,7,FALSE),VLOOKUP(tables_332100!C268,input_332100!A:H,8,FALSE))</f>
        <v>1581</v>
      </c>
      <c r="P268" s="48">
        <f ca="1">O268/SUM(O:O)</f>
        <v>6.283783783783784E-4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input_332100!A$2</f>
        <v>332100</v>
      </c>
      <c r="B269" s="62">
        <v>777</v>
      </c>
      <c r="C269" s="7" t="str">
        <f>D269&amp;J269&amp;E269&amp;F269&amp;G269</f>
        <v>Premium3</v>
      </c>
      <c r="D269" s="7" t="str">
        <f>IF(I269="PremiumSS",I269,IF(I269="PremiumSSS",I269,IF(I269="PremiumW",I269,"Premium")))</f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7">
        <f ca="1">IFERROR(VLOOKUP(B269,input_332100!L:R,7,FALSE),VLOOKUP(tables_332100!C269,input_332100!A:H,8,FALSE))</f>
        <v>0</v>
      </c>
      <c r="P269" s="48">
        <f ca="1">O269/SUM(O:O)</f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input_332100!A$2</f>
        <v>332100</v>
      </c>
      <c r="B270" s="62">
        <v>778</v>
      </c>
      <c r="C270" s="7" t="str">
        <f>D270&amp;J270&amp;E270&amp;F270&amp;G270</f>
        <v>Premium4</v>
      </c>
      <c r="D270" s="7" t="str">
        <f>IF(I270="PremiumSS",I270,IF(I270="PremiumSSS",I270,IF(I270="PremiumW",I270,"Premium")))</f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7">
        <f ca="1">IFERROR(VLOOKUP(B270,input_332100!L:R,7,FALSE),VLOOKUP(tables_332100!C270,input_332100!A:H,8,FALSE))</f>
        <v>30039</v>
      </c>
      <c r="P270" s="48">
        <f ca="1">O270/SUM(O:O)</f>
        <v>1.193918918918919E-2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input_332100!A$2</f>
        <v>332100</v>
      </c>
      <c r="B271" s="62">
        <v>779</v>
      </c>
      <c r="C271" s="7" t="str">
        <f>D271&amp;J271&amp;E271&amp;F271&amp;G271</f>
        <v>Premium5</v>
      </c>
      <c r="D271" s="7" t="str">
        <f>IF(I271="PremiumSS",I271,IF(I271="PremiumSSS",I271,IF(I271="PremiumW",I271,"Premium")))</f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7">
        <f ca="1">IFERROR(VLOOKUP(B271,input_332100!L:R,7,FALSE),VLOOKUP(tables_332100!C271,input_332100!A:H,8,FALSE))</f>
        <v>1581</v>
      </c>
      <c r="P271" s="48">
        <f ca="1">O271/SUM(O:O)</f>
        <v>6.283783783783784E-4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input_332100!A$2</f>
        <v>332100</v>
      </c>
      <c r="B272" s="62">
        <v>688</v>
      </c>
      <c r="C272" s="7" t="str">
        <f t="shared" ref="C272:C274" si="0">D272&amp;J272&amp;E272&amp;F272&amp;G272</f>
        <v>PremiumSSS4R3less</v>
      </c>
      <c r="D272" s="7" t="str">
        <f t="shared" ref="D272:D274" si="1">IF(I272="PremiumSS",I272,IF(I272="PremiumSSS",I272,IF(I272="PremiumW",I272,"Premium")))</f>
        <v>PremiumSSS</v>
      </c>
      <c r="E272" s="7" t="str">
        <f>IF(COUNTIF('R6追加前'!A:A,B272)=0,IF(I272="PremiumSS","R5only","R3less"),"")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ユークリッド</v>
      </c>
      <c r="I272" s="7" t="str">
        <f>VLOOKUP(B272,[1]characters!$A:$J,10,FALSE)</f>
        <v>PremiumSSS</v>
      </c>
      <c r="J272" s="7">
        <f>VLOOKUP(B272,[1]characters!$A:$I,9,FALSE)</f>
        <v>4</v>
      </c>
      <c r="K272" s="7" t="str">
        <f>VLOOKUP(B272,[1]characters!$A:$H,8,FALSE)</f>
        <v>blue</v>
      </c>
      <c r="L272" s="7" t="str">
        <f>VLOOKUP(B272,[1]characters!$A:$K,11,FALSE)</f>
        <v>balance</v>
      </c>
      <c r="M272" s="7" t="str">
        <f>VLOOKUP(B272,[1]characters!$A:$M,13,FALSE)</f>
        <v>human</v>
      </c>
      <c r="N272" s="7" t="str">
        <f>VLOOKUP(B272,[1]characters!$A:$G,7,FALSE)</f>
        <v>女性</v>
      </c>
      <c r="O272" s="47">
        <f>IFERROR(VLOOKUP(B272,input_332100!L:R,7,FALSE),VLOOKUP(tables_332100!C272,input_332100!A:H,8,FALSE))</f>
        <v>2516</v>
      </c>
      <c r="P272" s="48">
        <f t="shared" ref="P272" ca="1" si="2">O272/SUM(O:O)</f>
        <v>1E-3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input_332100!A$2</f>
        <v>332100</v>
      </c>
      <c r="B273" s="62">
        <v>689</v>
      </c>
      <c r="C273" s="7" t="str">
        <f t="shared" si="0"/>
        <v>PremiumSSS5R3less</v>
      </c>
      <c r="D273" s="7" t="str">
        <f t="shared" si="1"/>
        <v>PremiumSSS</v>
      </c>
      <c r="E273" s="7" t="str">
        <f>IF(COUNTIF('R6追加前'!A:A,B273)=0,IF(I273="PremiumSS","R5only","R3less"),"")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根原論理 ユークリッド</v>
      </c>
      <c r="I273" s="7" t="str">
        <f>VLOOKUP(B273,[1]characters!$A:$J,10,FALSE)</f>
        <v>PremiumSSS</v>
      </c>
      <c r="J273" s="7">
        <f>VLOOKUP(B273,[1]characters!$A:$I,9,FALSE)</f>
        <v>5</v>
      </c>
      <c r="K273" s="7" t="str">
        <f>VLOOKUP(B273,[1]characters!$A:$H,8,FALSE)</f>
        <v>blue</v>
      </c>
      <c r="L273" s="7" t="str">
        <f>VLOOKUP(B273,[1]characters!$A:$K,11,FALSE)</f>
        <v>balance</v>
      </c>
      <c r="M273" s="7" t="str">
        <f>VLOOKUP(B273,[1]characters!$A:$M,13,FALSE)</f>
        <v>human</v>
      </c>
      <c r="N273" s="7" t="str">
        <f>VLOOKUP(B273,[1]characters!$A:$G,7,FALSE)</f>
        <v>女性</v>
      </c>
      <c r="O273" s="47">
        <f>IFERROR(VLOOKUP(B273,input_332100!L:R,7,FALSE),VLOOKUP(tables_332100!C273,input_332100!A:H,8,FALSE))</f>
        <v>10064</v>
      </c>
      <c r="P273" s="48">
        <f ca="1">O273/SUM(O:O)</f>
        <v>4.0000000000000001E-3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input_332100!A$2</f>
        <v>332100</v>
      </c>
      <c r="B274" s="62">
        <v>870</v>
      </c>
      <c r="C274" s="7" t="str">
        <f t="shared" si="0"/>
        <v>PremiumSSS5R3less</v>
      </c>
      <c r="D274" s="7" t="str">
        <f t="shared" si="1"/>
        <v>PremiumSSS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フロイト</v>
      </c>
      <c r="I274" s="7" t="str">
        <f>VLOOKUP(B274,[1]characters!$A:$J,10,FALSE)</f>
        <v>PremiumSSS</v>
      </c>
      <c r="J274" s="7">
        <f>VLOOKUP(B274,[1]characters!$A:$I,9,FALSE)</f>
        <v>5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academia</v>
      </c>
      <c r="N274" s="7" t="str">
        <f>VLOOKUP(B274,[1]characters!$A:$G,7,FALSE)</f>
        <v>男性</v>
      </c>
      <c r="O274" s="47">
        <f>IFERROR(VLOOKUP(B274,input_332100!L:R,7,FALSE),VLOOKUP(tables_332100!C274,input_332100!A:H,8,FALSE))</f>
        <v>12580</v>
      </c>
      <c r="P274" s="48">
        <f ca="1">O274/SUM(O:O)</f>
        <v>5.0000000000000001E-3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</sheetData>
  <phoneticPr fontId="16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theme="5"/>
  </sheetPr>
  <dimension ref="A1:V48"/>
  <sheetViews>
    <sheetView workbookViewId="0">
      <selection activeCell="I12" sqref="I12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50" t="s">
        <v>86</v>
      </c>
      <c r="B1" s="50"/>
      <c r="L1" s="40" t="s">
        <v>64</v>
      </c>
      <c r="M1" s="40"/>
      <c r="U1" t="s">
        <v>64</v>
      </c>
    </row>
    <row r="2" spans="1:22" x14ac:dyDescent="0.15">
      <c r="A2" t="str">
        <f ca="1">RIGHT(RIGHT(CELL("filename",A2),LEN(CELL("filename",A2))-FIND("]",CELL("filename",A2))),6)</f>
        <v>332100</v>
      </c>
      <c r="L2" s="34" t="s">
        <v>1</v>
      </c>
      <c r="M2" s="39" t="s">
        <v>68</v>
      </c>
      <c r="N2" s="34" t="s">
        <v>66</v>
      </c>
      <c r="O2" s="39" t="s">
        <v>69</v>
      </c>
      <c r="P2" s="39" t="s">
        <v>70</v>
      </c>
      <c r="Q2" s="39" t="s">
        <v>67</v>
      </c>
      <c r="R2" s="46" t="s">
        <v>76</v>
      </c>
      <c r="U2" s="34" t="s">
        <v>199</v>
      </c>
      <c r="V2" s="56">
        <f>SUMIF(Q:Q,U2,N:N)</f>
        <v>0</v>
      </c>
    </row>
    <row r="3" spans="1:22" x14ac:dyDescent="0.15">
      <c r="H3" s="75" t="s">
        <v>221</v>
      </c>
      <c r="L3" s="62">
        <v>688</v>
      </c>
      <c r="M3" s="39" t="str">
        <f>VLOOKUP(L3,[1]characters!$A:$C,3,FALSE)</f>
        <v>ユークリッド</v>
      </c>
      <c r="N3" s="65">
        <v>0</v>
      </c>
      <c r="O3" s="39">
        <f>VLOOKUP(L3,[1]characters!$A:$I,9,FALSE)</f>
        <v>4</v>
      </c>
      <c r="P3" s="39" t="str">
        <f>VLOOKUP(L3,[1]characters!$A:$J,10,FALSE)</f>
        <v>PremiumSSS</v>
      </c>
      <c r="Q3" s="39" t="str">
        <f>VLOOKUP(L3,tables_settle_332100!B:C,2,FALSE)</f>
        <v>PremiumSSS4R3less</v>
      </c>
      <c r="R3" s="64">
        <f t="shared" ref="R3:R20" si="0">N3*A$36</f>
        <v>0</v>
      </c>
      <c r="S3">
        <v>190</v>
      </c>
      <c r="U3" s="34" t="s">
        <v>200</v>
      </c>
      <c r="V3" s="56">
        <f t="shared" ref="V3:V16" si="1">SUMIF(Q:Q,U3,N:N)</f>
        <v>0</v>
      </c>
    </row>
    <row r="4" spans="1:22" x14ac:dyDescent="0.15">
      <c r="A4" s="36" t="s">
        <v>55</v>
      </c>
      <c r="B4" s="36"/>
      <c r="D4" t="s">
        <v>209</v>
      </c>
      <c r="F4" t="s">
        <v>212</v>
      </c>
      <c r="H4" t="s">
        <v>219</v>
      </c>
      <c r="I4" t="s">
        <v>220</v>
      </c>
      <c r="L4" s="62">
        <v>689</v>
      </c>
      <c r="M4" s="39" t="str">
        <f>VLOOKUP(L4,[1]characters!$A:$C,3,FALSE)</f>
        <v>根原論理 ユークリッド</v>
      </c>
      <c r="N4" s="65">
        <v>5.0000000000000001E-3</v>
      </c>
      <c r="O4" s="39">
        <f>VLOOKUP(L4,[1]characters!$A:$I,9,FALSE)</f>
        <v>5</v>
      </c>
      <c r="P4" s="39" t="str">
        <f>VLOOKUP(L4,[1]characters!$A:$J,10,FALSE)</f>
        <v>PremiumSSS</v>
      </c>
      <c r="Q4" s="39" t="str">
        <f>VLOOKUP(L4,tables_settle_332100!B:C,2,FALSE)</f>
        <v>PremiumSSS5R3less</v>
      </c>
      <c r="R4" s="64">
        <f t="shared" si="0"/>
        <v>9180</v>
      </c>
      <c r="S4">
        <v>191</v>
      </c>
      <c r="U4" s="34" t="s">
        <v>102</v>
      </c>
      <c r="V4" s="56">
        <f t="shared" si="1"/>
        <v>0</v>
      </c>
    </row>
    <row r="5" spans="1:22" x14ac:dyDescent="0.15">
      <c r="A5" s="34" t="s">
        <v>71</v>
      </c>
      <c r="B5" s="74">
        <f>1-B6-B7-B8</f>
        <v>0</v>
      </c>
      <c r="D5" t="s">
        <v>210</v>
      </c>
      <c r="E5" s="45">
        <f>(B11-H5)/(F5-I5)</f>
        <v>1.764705882352941E-3</v>
      </c>
      <c r="F5">
        <f>(COUNTIF(tables_settle_332100!C:C,input_settle_332100!A26)+COUNTIF(tables_settle_332100!C:C,input_settle_332100!A28)+COUNTIF(tables_settle_332100!C:C,input_settle_332100!A29))</f>
        <v>34</v>
      </c>
      <c r="H5" s="76">
        <v>0</v>
      </c>
      <c r="I5" s="31">
        <v>0</v>
      </c>
      <c r="L5" s="62">
        <v>870</v>
      </c>
      <c r="M5" s="39" t="str">
        <f>VLOOKUP(L5,[1]characters!$A:$C,3,FALSE)</f>
        <v>フロイト</v>
      </c>
      <c r="N5" s="65">
        <v>5.0000000000000001E-3</v>
      </c>
      <c r="O5" s="39">
        <f>VLOOKUP(L5,[1]characters!$A:$I,9,FALSE)</f>
        <v>5</v>
      </c>
      <c r="P5" s="39" t="str">
        <f>VLOOKUP(L5,[1]characters!$A:$J,10,FALSE)</f>
        <v>PremiumSSS</v>
      </c>
      <c r="Q5" s="39" t="str">
        <f>VLOOKUP(L5,tables_settle_332100!B:C,2,FALSE)</f>
        <v>PremiumSSS5R3less</v>
      </c>
      <c r="R5" s="64">
        <f>N5*A$36</f>
        <v>9180</v>
      </c>
      <c r="S5">
        <v>192</v>
      </c>
      <c r="U5" s="34" t="s">
        <v>103</v>
      </c>
      <c r="V5" s="56">
        <f t="shared" si="1"/>
        <v>0</v>
      </c>
    </row>
    <row r="6" spans="1:22" x14ac:dyDescent="0.15">
      <c r="A6" s="34" t="s">
        <v>72</v>
      </c>
      <c r="B6" s="74">
        <v>0</v>
      </c>
      <c r="D6" t="s">
        <v>211</v>
      </c>
      <c r="E6" s="80">
        <f>(B10-H6)/(F6-I6)</f>
        <v>1.7222222222222222E-2</v>
      </c>
      <c r="F6">
        <f>(COUNTIF(tables_settle_332100!C:C,input_settle_332100!A20)+COUNTIF(tables_settle_332100!C:C,input_settle_332100!A22))</f>
        <v>54</v>
      </c>
      <c r="H6" s="76">
        <v>0</v>
      </c>
      <c r="I6" s="31">
        <v>0</v>
      </c>
      <c r="M6" s="39" t="e">
        <f>VLOOKUP(L6,[1]characters!$A:$C,3,FALSE)</f>
        <v>#N/A</v>
      </c>
      <c r="N6" s="65"/>
      <c r="O6" s="39" t="e">
        <f>VLOOKUP(L6,[1]characters!$A:$I,9,FALSE)</f>
        <v>#N/A</v>
      </c>
      <c r="P6" s="39" t="e">
        <f>VLOOKUP(L6,[1]characters!$A:$J,10,FALSE)</f>
        <v>#N/A</v>
      </c>
      <c r="Q6" s="39" t="e">
        <f>VLOOKUP(L6,tables_settle_332100!B:C,2,FALSE)</f>
        <v>#N/A</v>
      </c>
      <c r="R6" s="64">
        <f t="shared" si="0"/>
        <v>0</v>
      </c>
      <c r="S6">
        <v>596</v>
      </c>
      <c r="U6" s="34" t="s">
        <v>104</v>
      </c>
      <c r="V6" s="56">
        <f t="shared" si="1"/>
        <v>0</v>
      </c>
    </row>
    <row r="7" spans="1:22" x14ac:dyDescent="0.15">
      <c r="A7" s="34" t="s">
        <v>73</v>
      </c>
      <c r="B7" s="74">
        <v>1</v>
      </c>
      <c r="M7" s="39" t="e">
        <f>VLOOKUP(L7,[1]characters!$A:$C,3,FALSE)</f>
        <v>#N/A</v>
      </c>
      <c r="N7" s="65"/>
      <c r="O7" s="39" t="e">
        <f>VLOOKUP(L7,[1]characters!$A:$I,9,FALSE)</f>
        <v>#N/A</v>
      </c>
      <c r="P7" s="39" t="e">
        <f>VLOOKUP(L7,[1]characters!$A:$J,10,FALSE)</f>
        <v>#N/A</v>
      </c>
      <c r="Q7" s="39" t="e">
        <f>VLOOKUP(L7,tables_settle_332100!B:C,2,FALSE)</f>
        <v>#N/A</v>
      </c>
      <c r="R7" s="64">
        <f t="shared" si="0"/>
        <v>0</v>
      </c>
      <c r="S7">
        <v>597</v>
      </c>
      <c r="U7" s="34" t="s">
        <v>205</v>
      </c>
      <c r="V7" s="56">
        <f t="shared" si="1"/>
        <v>0</v>
      </c>
    </row>
    <row r="8" spans="1:22" x14ac:dyDescent="0.15">
      <c r="A8" s="59"/>
      <c r="B8" s="73"/>
      <c r="M8" s="39" t="e">
        <f>VLOOKUP(L8,[1]characters!$A:$C,3,FALSE)</f>
        <v>#N/A</v>
      </c>
      <c r="N8" s="65"/>
      <c r="O8" s="39" t="e">
        <f>VLOOKUP(L8,[1]characters!$A:$I,9,FALSE)</f>
        <v>#N/A</v>
      </c>
      <c r="P8" s="39" t="e">
        <f>VLOOKUP(L8,[1]characters!$A:$J,10,FALSE)</f>
        <v>#N/A</v>
      </c>
      <c r="Q8" s="39" t="e">
        <f>VLOOKUP(L8,tables_settle_332100!B:C,2,FALSE)</f>
        <v>#N/A</v>
      </c>
      <c r="R8" s="64">
        <f t="shared" si="0"/>
        <v>0</v>
      </c>
      <c r="S8">
        <v>598</v>
      </c>
      <c r="U8" s="34" t="s">
        <v>206</v>
      </c>
      <c r="V8" s="56">
        <f t="shared" si="1"/>
        <v>0</v>
      </c>
    </row>
    <row r="9" spans="1:22" x14ac:dyDescent="0.15">
      <c r="A9" s="37" t="s">
        <v>56</v>
      </c>
      <c r="B9" s="37"/>
      <c r="M9" s="39" t="e">
        <f>VLOOKUP(L9,[1]characters!$A:$C,3,FALSE)</f>
        <v>#N/A</v>
      </c>
      <c r="N9" s="65"/>
      <c r="O9" s="39" t="e">
        <f>VLOOKUP(L9,[1]characters!$A:$I,9,FALSE)</f>
        <v>#N/A</v>
      </c>
      <c r="P9" s="39" t="e">
        <f>VLOOKUP(L9,[1]characters!$A:$J,10,FALSE)</f>
        <v>#N/A</v>
      </c>
      <c r="Q9" s="39" t="e">
        <f>VLOOKUP(L9,tables_settle_332100!B:C,2,FALSE)</f>
        <v>#N/A</v>
      </c>
      <c r="R9" s="64">
        <f t="shared" si="0"/>
        <v>0</v>
      </c>
      <c r="S9">
        <v>390</v>
      </c>
      <c r="U9" s="34" t="s">
        <v>202</v>
      </c>
      <c r="V9" s="56">
        <f t="shared" si="1"/>
        <v>0</v>
      </c>
    </row>
    <row r="10" spans="1:22" x14ac:dyDescent="0.15">
      <c r="A10" s="34" t="s">
        <v>101</v>
      </c>
      <c r="B10" s="74">
        <f>1-B11-B12-B8</f>
        <v>0.92999999999999994</v>
      </c>
      <c r="C10" t="s">
        <v>218</v>
      </c>
      <c r="M10" s="39" t="e">
        <f>VLOOKUP(L10,[1]characters!$A:$C,3,FALSE)</f>
        <v>#N/A</v>
      </c>
      <c r="N10" s="65"/>
      <c r="O10" s="39" t="e">
        <f>VLOOKUP(L10,[1]characters!$A:$I,9,FALSE)</f>
        <v>#N/A</v>
      </c>
      <c r="P10" s="39" t="e">
        <f>VLOOKUP(L10,[1]characters!$A:$J,10,FALSE)</f>
        <v>#N/A</v>
      </c>
      <c r="Q10" s="39" t="e">
        <f>VLOOKUP(L10,tables_settle_332100!B:C,2,FALSE)</f>
        <v>#N/A</v>
      </c>
      <c r="R10" s="64">
        <f t="shared" si="0"/>
        <v>0</v>
      </c>
      <c r="S10">
        <v>391</v>
      </c>
      <c r="U10" s="34" t="s">
        <v>203</v>
      </c>
      <c r="V10" s="56">
        <f t="shared" si="1"/>
        <v>0</v>
      </c>
    </row>
    <row r="11" spans="1:22" x14ac:dyDescent="0.15">
      <c r="A11" s="34" t="s">
        <v>58</v>
      </c>
      <c r="B11" s="81">
        <v>0.06</v>
      </c>
      <c r="C11" t="s">
        <v>223</v>
      </c>
      <c r="M11" s="39" t="e">
        <f>VLOOKUP(L11,[1]characters!$A:$C,3,FALSE)</f>
        <v>#N/A</v>
      </c>
      <c r="N11" s="65"/>
      <c r="O11" s="39" t="e">
        <f>VLOOKUP(L11,[1]characters!$A:$I,9,FALSE)</f>
        <v>#N/A</v>
      </c>
      <c r="P11" s="39" t="e">
        <f>VLOOKUP(L11,[1]characters!$A:$J,10,FALSE)</f>
        <v>#N/A</v>
      </c>
      <c r="Q11" s="39" t="e">
        <f>VLOOKUP(L11,tables_settle_332100!B:C,2,FALSE)</f>
        <v>#N/A</v>
      </c>
      <c r="R11" s="64">
        <f t="shared" si="0"/>
        <v>0</v>
      </c>
      <c r="S11">
        <v>811</v>
      </c>
      <c r="U11" s="34" t="s">
        <v>204</v>
      </c>
      <c r="V11" s="56">
        <f t="shared" si="1"/>
        <v>0</v>
      </c>
    </row>
    <row r="12" spans="1:22" x14ac:dyDescent="0.15">
      <c r="A12" s="34" t="s">
        <v>57</v>
      </c>
      <c r="B12" s="35">
        <v>0.01</v>
      </c>
      <c r="M12" s="39" t="e">
        <f>VLOOKUP(L12,[1]characters!$A:$C,3,FALSE)</f>
        <v>#N/A</v>
      </c>
      <c r="N12" s="65"/>
      <c r="O12" s="39" t="e">
        <f>VLOOKUP(L12,[1]characters!$A:$I,9,FALSE)</f>
        <v>#N/A</v>
      </c>
      <c r="P12" s="39" t="e">
        <f>VLOOKUP(L12,[1]characters!$A:$J,10,FALSE)</f>
        <v>#N/A</v>
      </c>
      <c r="Q12" s="39" t="e">
        <f>VLOOKUP(L12,tables_settle_332100!B:C,2,FALSE)</f>
        <v>#N/A</v>
      </c>
      <c r="R12" s="64">
        <f t="shared" si="0"/>
        <v>0</v>
      </c>
      <c r="S12">
        <v>496</v>
      </c>
      <c r="U12" s="34" t="s">
        <v>112</v>
      </c>
      <c r="V12" s="56">
        <f t="shared" si="1"/>
        <v>0</v>
      </c>
    </row>
    <row r="13" spans="1:22" x14ac:dyDescent="0.15">
      <c r="M13" s="39" t="e">
        <f>VLOOKUP(L13,[1]characters!$A:$C,3,FALSE)</f>
        <v>#N/A</v>
      </c>
      <c r="N13" s="65"/>
      <c r="O13" s="39" t="e">
        <f>VLOOKUP(L13,[1]characters!$A:$I,9,FALSE)</f>
        <v>#N/A</v>
      </c>
      <c r="P13" s="39" t="e">
        <f>VLOOKUP(L13,[1]characters!$A:$J,10,FALSE)</f>
        <v>#N/A</v>
      </c>
      <c r="Q13" s="39" t="e">
        <f>VLOOKUP(L13,tables_settle_332100!B:C,2,FALSE)</f>
        <v>#N/A</v>
      </c>
      <c r="R13" s="64">
        <f t="shared" si="0"/>
        <v>0</v>
      </c>
      <c r="S13">
        <v>497</v>
      </c>
      <c r="U13" s="34" t="s">
        <v>113</v>
      </c>
      <c r="V13" s="56">
        <f t="shared" si="1"/>
        <v>0</v>
      </c>
    </row>
    <row r="14" spans="1:22" x14ac:dyDescent="0.15">
      <c r="M14" s="39" t="e">
        <f>VLOOKUP(L14,[1]characters!$A:$C,3,FALSE)</f>
        <v>#N/A</v>
      </c>
      <c r="N14" s="65"/>
      <c r="O14" s="39" t="e">
        <f>VLOOKUP(L14,[1]characters!$A:$I,9,FALSE)</f>
        <v>#N/A</v>
      </c>
      <c r="P14" s="39" t="e">
        <f>VLOOKUP(L14,[1]characters!$A:$J,10,FALSE)</f>
        <v>#N/A</v>
      </c>
      <c r="Q14" s="39" t="e">
        <f>VLOOKUP(L14,tables_settle_332100!B:C,2,FALSE)</f>
        <v>#N/A</v>
      </c>
      <c r="R14" s="64">
        <f t="shared" si="0"/>
        <v>0</v>
      </c>
      <c r="S14">
        <v>498</v>
      </c>
      <c r="U14" s="34" t="s">
        <v>208</v>
      </c>
      <c r="V14" s="56">
        <f t="shared" si="1"/>
        <v>0</v>
      </c>
    </row>
    <row r="15" spans="1:22" x14ac:dyDescent="0.15">
      <c r="A15" s="38" t="s">
        <v>60</v>
      </c>
      <c r="B15" s="38"/>
      <c r="C15" t="s">
        <v>87</v>
      </c>
      <c r="M15" s="39" t="e">
        <f>VLOOKUP(L15,[1]characters!$A:$C,3,FALSE)</f>
        <v>#N/A</v>
      </c>
      <c r="N15" s="65"/>
      <c r="O15" s="39" t="e">
        <f>VLOOKUP(L15,[1]characters!$A:$I,9,FALSE)</f>
        <v>#N/A</v>
      </c>
      <c r="P15" s="39" t="e">
        <f>VLOOKUP(L15,[1]characters!$A:$J,10,FALSE)</f>
        <v>#N/A</v>
      </c>
      <c r="Q15" s="39" t="e">
        <f>VLOOKUP(L15,tables_settle_332100!B:C,2,FALSE)</f>
        <v>#N/A</v>
      </c>
      <c r="R15" s="64">
        <f t="shared" si="0"/>
        <v>0</v>
      </c>
      <c r="S15">
        <v>395</v>
      </c>
      <c r="U15" s="34" t="s">
        <v>207</v>
      </c>
      <c r="V15" s="56">
        <f t="shared" si="1"/>
        <v>0</v>
      </c>
    </row>
    <row r="16" spans="1:22" x14ac:dyDescent="0.15">
      <c r="A16" s="34" t="s">
        <v>63</v>
      </c>
      <c r="B16" s="34" t="s">
        <v>201</v>
      </c>
      <c r="C16" s="39" t="s">
        <v>64</v>
      </c>
      <c r="D16" s="39" t="s">
        <v>65</v>
      </c>
      <c r="E16" t="s">
        <v>75</v>
      </c>
      <c r="F16" t="s">
        <v>74</v>
      </c>
      <c r="G16" t="s">
        <v>77</v>
      </c>
      <c r="H16" t="s">
        <v>222</v>
      </c>
      <c r="I16" t="s">
        <v>78</v>
      </c>
      <c r="J16" t="s">
        <v>81</v>
      </c>
      <c r="M16" s="39" t="e">
        <f>VLOOKUP(L16,[1]characters!$A:$C,3,FALSE)</f>
        <v>#N/A</v>
      </c>
      <c r="N16" s="65"/>
      <c r="O16" s="39" t="e">
        <f>VLOOKUP(L16,[1]characters!$A:$I,9,FALSE)</f>
        <v>#N/A</v>
      </c>
      <c r="P16" s="39" t="e">
        <f>VLOOKUP(L16,[1]characters!$A:$J,10,FALSE)</f>
        <v>#N/A</v>
      </c>
      <c r="Q16" s="39" t="e">
        <f>VLOOKUP(L16,tables_settle_332100!B:C,2,FALSE)</f>
        <v>#N/A</v>
      </c>
      <c r="R16" s="64">
        <f t="shared" si="0"/>
        <v>0</v>
      </c>
      <c r="S16">
        <v>396</v>
      </c>
      <c r="U16" s="34" t="s">
        <v>114</v>
      </c>
      <c r="V16" s="56">
        <f t="shared" si="1"/>
        <v>0</v>
      </c>
    </row>
    <row r="17" spans="1:19" x14ac:dyDescent="0.15">
      <c r="A17" s="34" t="s">
        <v>199</v>
      </c>
      <c r="B17" s="82">
        <v>0</v>
      </c>
      <c r="C17" s="77">
        <f t="shared" ref="C17:C31" si="2">SUMIF(Q:Q,A17,N:N)</f>
        <v>0</v>
      </c>
      <c r="D17" s="78">
        <f t="shared" ref="D17:D32" si="3">B17-C17</f>
        <v>0</v>
      </c>
      <c r="E17">
        <f>COUNTIF(tables_settle_332100!C:C,input_settle_332100!A17)-COUNTIF(Q:Q,A17)</f>
        <v>20</v>
      </c>
      <c r="F17" s="45">
        <f>IFERROR(B17/E17,0)</f>
        <v>0</v>
      </c>
      <c r="G17">
        <f>A$36*B17</f>
        <v>0</v>
      </c>
      <c r="H17">
        <f t="shared" ref="H17:H31" si="4">IFERROR(ROUND(G17/E17,5),0)</f>
        <v>0</v>
      </c>
      <c r="I17">
        <f t="shared" ref="I17:I31" si="5">MOD(H17,1)</f>
        <v>0</v>
      </c>
      <c r="J17">
        <f t="shared" ref="J17:J31" si="6">IFERROR(1/I17,1)</f>
        <v>1</v>
      </c>
      <c r="M17" s="39" t="e">
        <f>VLOOKUP(L17,[1]characters!$A:$C,3,FALSE)</f>
        <v>#N/A</v>
      </c>
      <c r="N17" s="65"/>
      <c r="O17" s="39" t="e">
        <f>VLOOKUP(L17,[1]characters!$A:$I,9,FALSE)</f>
        <v>#N/A</v>
      </c>
      <c r="P17" s="39" t="e">
        <f>VLOOKUP(L17,[1]characters!$A:$J,10,FALSE)</f>
        <v>#N/A</v>
      </c>
      <c r="Q17" s="39" t="e">
        <f>VLOOKUP(L17,tables_settle_332100!B:C,2,FALSE)</f>
        <v>#N/A</v>
      </c>
      <c r="R17" s="64">
        <f t="shared" si="0"/>
        <v>0</v>
      </c>
      <c r="S17">
        <v>397</v>
      </c>
    </row>
    <row r="18" spans="1:19" x14ac:dyDescent="0.15">
      <c r="A18" s="34" t="s">
        <v>200</v>
      </c>
      <c r="B18" s="82">
        <v>0</v>
      </c>
      <c r="C18" s="77">
        <f t="shared" si="2"/>
        <v>0</v>
      </c>
      <c r="D18" s="78">
        <f t="shared" si="3"/>
        <v>0</v>
      </c>
      <c r="E18">
        <f>COUNTIF(tables_settle_332100!C:C,input_settle_332100!A18)-COUNTIF(Q:Q,A18)</f>
        <v>20</v>
      </c>
      <c r="F18" s="45">
        <f t="shared" ref="F18:F31" si="7">IFERROR(B18/E18,0)</f>
        <v>0</v>
      </c>
      <c r="G18">
        <f t="shared" ref="G18:G31" si="8">A$36*B18</f>
        <v>0</v>
      </c>
      <c r="H18">
        <f t="shared" si="4"/>
        <v>0</v>
      </c>
      <c r="I18">
        <f t="shared" si="5"/>
        <v>0</v>
      </c>
      <c r="J18">
        <f t="shared" si="6"/>
        <v>1</v>
      </c>
      <c r="M18" s="39" t="e">
        <f>VLOOKUP(L18,[1]characters!$A:$C,3,FALSE)</f>
        <v>#N/A</v>
      </c>
      <c r="N18" s="65"/>
      <c r="O18" s="39" t="e">
        <f>VLOOKUP(L18,[1]characters!$A:$I,9,FALSE)</f>
        <v>#N/A</v>
      </c>
      <c r="P18" s="39" t="e">
        <f>VLOOKUP(L18,[1]characters!$A:$J,10,FALSE)</f>
        <v>#N/A</v>
      </c>
      <c r="Q18" s="39" t="e">
        <f>VLOOKUP(L18,tables_settle_332100!B:C,2,FALSE)</f>
        <v>#N/A</v>
      </c>
      <c r="R18" s="64">
        <f t="shared" si="0"/>
        <v>0</v>
      </c>
      <c r="S18">
        <v>324</v>
      </c>
    </row>
    <row r="19" spans="1:19" x14ac:dyDescent="0.15">
      <c r="A19" s="34" t="s">
        <v>102</v>
      </c>
      <c r="B19" s="82">
        <v>0</v>
      </c>
      <c r="C19" s="77">
        <f t="shared" si="2"/>
        <v>0</v>
      </c>
      <c r="D19" s="78">
        <f t="shared" si="3"/>
        <v>0</v>
      </c>
      <c r="E19">
        <f>COUNTIF(tables_settle_332100!C:C,input_settle_332100!A19)-COUNTIF(Q:Q,A19)</f>
        <v>52</v>
      </c>
      <c r="F19" s="45">
        <f t="shared" si="7"/>
        <v>0</v>
      </c>
      <c r="G19">
        <f t="shared" si="8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9" t="e">
        <f>VLOOKUP(L19,[1]characters!$A:$C,3,FALSE)</f>
        <v>#N/A</v>
      </c>
      <c r="N19" s="65"/>
      <c r="O19" s="39" t="e">
        <f>VLOOKUP(L19,[1]characters!$A:$I,9,FALSE)</f>
        <v>#N/A</v>
      </c>
      <c r="P19" s="39" t="e">
        <f>VLOOKUP(L19,[1]characters!$A:$J,10,FALSE)</f>
        <v>#N/A</v>
      </c>
      <c r="Q19" s="39" t="e">
        <f>VLOOKUP(L19,tables_settle_332100!B:C,2,FALSE)</f>
        <v>#N/A</v>
      </c>
      <c r="R19" s="64">
        <f t="shared" si="0"/>
        <v>0</v>
      </c>
      <c r="S19">
        <v>325</v>
      </c>
    </row>
    <row r="20" spans="1:19" x14ac:dyDescent="0.15">
      <c r="A20" s="34" t="s">
        <v>103</v>
      </c>
      <c r="B20" s="82">
        <v>0</v>
      </c>
      <c r="C20" s="77">
        <f t="shared" si="2"/>
        <v>0</v>
      </c>
      <c r="D20" s="78">
        <f t="shared" si="3"/>
        <v>0</v>
      </c>
      <c r="E20">
        <f>COUNTIF(tables_settle_332100!C:C,input_settle_332100!A20)-COUNTIF(Q:Q,A20)</f>
        <v>52</v>
      </c>
      <c r="F20" s="45">
        <f t="shared" si="7"/>
        <v>0</v>
      </c>
      <c r="G20">
        <f t="shared" si="8"/>
        <v>0</v>
      </c>
      <c r="H20">
        <f t="shared" si="4"/>
        <v>0</v>
      </c>
      <c r="I20">
        <f t="shared" si="5"/>
        <v>0</v>
      </c>
      <c r="J20">
        <f t="shared" si="6"/>
        <v>1</v>
      </c>
      <c r="M20" s="39" t="e">
        <f>VLOOKUP(L20,[1]characters!$A:$C,3,FALSE)</f>
        <v>#N/A</v>
      </c>
      <c r="N20" s="65"/>
      <c r="O20" s="39" t="e">
        <f>VLOOKUP(L20,[1]characters!$A:$I,9,FALSE)</f>
        <v>#N/A</v>
      </c>
      <c r="P20" s="39" t="e">
        <f>VLOOKUP(L20,[1]characters!$A:$J,10,FALSE)</f>
        <v>#N/A</v>
      </c>
      <c r="Q20" s="39" t="e">
        <f>VLOOKUP(L20,tables_settle_332100!B:C,2,FALSE)</f>
        <v>#N/A</v>
      </c>
      <c r="R20" s="64">
        <f t="shared" si="0"/>
        <v>0</v>
      </c>
      <c r="S20">
        <v>809</v>
      </c>
    </row>
    <row r="21" spans="1:19" x14ac:dyDescent="0.15">
      <c r="A21" s="34" t="s">
        <v>104</v>
      </c>
      <c r="B21" s="58">
        <f>E$6*E21*B7</f>
        <v>0.89555555555555555</v>
      </c>
      <c r="C21" s="77">
        <f t="shared" si="2"/>
        <v>0</v>
      </c>
      <c r="D21" s="78">
        <f t="shared" si="3"/>
        <v>0.89555555555555555</v>
      </c>
      <c r="E21">
        <f>COUNTIF(tables_settle_332100!C:C,input_settle_332100!A21)-COUNTIF(Q:Q,A21)</f>
        <v>52</v>
      </c>
      <c r="F21" s="45">
        <f>IFERROR(B21/E21,0)</f>
        <v>1.7222222222222222E-2</v>
      </c>
      <c r="G21">
        <f t="shared" si="8"/>
        <v>1644240</v>
      </c>
      <c r="H21">
        <f t="shared" si="4"/>
        <v>31620</v>
      </c>
      <c r="I21">
        <f t="shared" si="5"/>
        <v>0</v>
      </c>
      <c r="J21">
        <f t="shared" si="6"/>
        <v>1</v>
      </c>
      <c r="L21" s="59"/>
      <c r="M21" s="59"/>
      <c r="N21" s="60"/>
      <c r="O21" s="59"/>
      <c r="P21" s="59"/>
      <c r="Q21" s="59"/>
      <c r="R21" s="61"/>
    </row>
    <row r="22" spans="1:19" x14ac:dyDescent="0.15">
      <c r="A22" s="34" t="s">
        <v>205</v>
      </c>
      <c r="B22" s="82">
        <v>0</v>
      </c>
      <c r="C22" s="77">
        <f t="shared" si="2"/>
        <v>0</v>
      </c>
      <c r="D22" s="78">
        <f t="shared" si="3"/>
        <v>0</v>
      </c>
      <c r="E22">
        <f>COUNTIF(tables_settle_332100!C:C,input_settle_332100!A22)-COUNTIF(Q:Q,A22)</f>
        <v>2</v>
      </c>
      <c r="F22" s="45">
        <f t="shared" si="7"/>
        <v>0</v>
      </c>
      <c r="G22">
        <f t="shared" si="8"/>
        <v>0</v>
      </c>
      <c r="H22">
        <f t="shared" si="4"/>
        <v>0</v>
      </c>
      <c r="I22">
        <f t="shared" si="5"/>
        <v>0</v>
      </c>
      <c r="J22">
        <f t="shared" si="6"/>
        <v>1</v>
      </c>
      <c r="L22" s="59"/>
      <c r="M22" s="59"/>
      <c r="N22" s="60"/>
      <c r="O22" s="59"/>
      <c r="P22" s="59"/>
      <c r="Q22" s="59"/>
      <c r="R22" s="61"/>
    </row>
    <row r="23" spans="1:19" x14ac:dyDescent="0.15">
      <c r="A23" s="34" t="s">
        <v>206</v>
      </c>
      <c r="B23" s="58">
        <f>E$6*E23*B7</f>
        <v>3.4444444444444444E-2</v>
      </c>
      <c r="C23" s="77">
        <f t="shared" si="2"/>
        <v>0</v>
      </c>
      <c r="D23" s="78">
        <f t="shared" si="3"/>
        <v>3.4444444444444444E-2</v>
      </c>
      <c r="E23">
        <f>COUNTIF(tables_settle_332100!C:C,input_settle_332100!A23)-COUNTIF(Q:Q,A23)</f>
        <v>2</v>
      </c>
      <c r="F23" s="45">
        <f>IFERROR(B23/E23,0)</f>
        <v>1.7222222222222222E-2</v>
      </c>
      <c r="G23">
        <f t="shared" si="8"/>
        <v>63240</v>
      </c>
      <c r="H23">
        <f t="shared" si="4"/>
        <v>31620</v>
      </c>
      <c r="I23">
        <f t="shared" si="5"/>
        <v>0</v>
      </c>
      <c r="J23">
        <f t="shared" si="6"/>
        <v>1</v>
      </c>
      <c r="L23" s="59"/>
      <c r="M23" s="59"/>
      <c r="N23" s="60"/>
      <c r="O23" s="59"/>
      <c r="P23" s="59"/>
      <c r="Q23" s="59"/>
      <c r="R23" s="61"/>
    </row>
    <row r="24" spans="1:19" x14ac:dyDescent="0.15">
      <c r="A24" s="34" t="s">
        <v>202</v>
      </c>
      <c r="B24" s="82">
        <v>0</v>
      </c>
      <c r="C24" s="77">
        <f t="shared" si="2"/>
        <v>0</v>
      </c>
      <c r="D24" s="78">
        <f t="shared" si="3"/>
        <v>0</v>
      </c>
      <c r="E24">
        <f>COUNTIF(tables_settle_332100!C:C,input_settle_332100!A24)-COUNTIF(Q:Q,A24)</f>
        <v>4</v>
      </c>
      <c r="F24" s="45">
        <f t="shared" si="7"/>
        <v>0</v>
      </c>
      <c r="G24">
        <f t="shared" si="8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59"/>
      <c r="M24" s="59"/>
      <c r="N24" s="60"/>
      <c r="O24" s="59"/>
      <c r="P24" s="59"/>
      <c r="Q24" s="59"/>
      <c r="R24" s="61"/>
    </row>
    <row r="25" spans="1:19" x14ac:dyDescent="0.15">
      <c r="A25" s="34" t="s">
        <v>203</v>
      </c>
      <c r="B25" s="82">
        <v>0</v>
      </c>
      <c r="C25" s="77">
        <f t="shared" si="2"/>
        <v>0</v>
      </c>
      <c r="D25" s="78">
        <f t="shared" si="3"/>
        <v>0</v>
      </c>
      <c r="E25">
        <f>COUNTIF(tables_settle_332100!C:C,input_settle_332100!A25)-COUNTIF(Q:Q,A25)</f>
        <v>4</v>
      </c>
      <c r="F25" s="45">
        <f t="shared" si="7"/>
        <v>0</v>
      </c>
      <c r="G25">
        <f t="shared" si="8"/>
        <v>0</v>
      </c>
      <c r="H25">
        <f t="shared" si="4"/>
        <v>0</v>
      </c>
      <c r="I25">
        <f t="shared" si="5"/>
        <v>0</v>
      </c>
      <c r="J25">
        <f t="shared" si="6"/>
        <v>1</v>
      </c>
      <c r="L25" s="59"/>
      <c r="M25" s="59"/>
      <c r="N25" s="60"/>
      <c r="O25" s="59"/>
      <c r="P25" s="59"/>
      <c r="Q25" s="59"/>
      <c r="R25" s="61"/>
    </row>
    <row r="26" spans="1:19" x14ac:dyDescent="0.15">
      <c r="A26" s="34" t="s">
        <v>204</v>
      </c>
      <c r="B26" s="58">
        <f>E$5*B7*E26</f>
        <v>7.0588235294117641E-3</v>
      </c>
      <c r="C26" s="77">
        <f t="shared" si="2"/>
        <v>0</v>
      </c>
      <c r="D26" s="78">
        <f t="shared" si="3"/>
        <v>7.0588235294117641E-3</v>
      </c>
      <c r="E26">
        <f>COUNTIF(tables_settle_332100!C:C,input_settle_332100!A26)-COUNTIF(Q:Q,A26)</f>
        <v>4</v>
      </c>
      <c r="F26" s="45">
        <f t="shared" si="7"/>
        <v>1.764705882352941E-3</v>
      </c>
      <c r="G26">
        <f t="shared" si="8"/>
        <v>12959.999999999998</v>
      </c>
      <c r="H26">
        <f t="shared" si="4"/>
        <v>3240</v>
      </c>
      <c r="I26">
        <f t="shared" si="5"/>
        <v>0</v>
      </c>
      <c r="J26">
        <f t="shared" si="6"/>
        <v>1</v>
      </c>
      <c r="L26" s="59"/>
      <c r="M26" s="59"/>
      <c r="N26" s="60"/>
      <c r="O26" s="59"/>
      <c r="P26" s="59"/>
      <c r="Q26" s="59"/>
      <c r="R26" s="61"/>
    </row>
    <row r="27" spans="1:19" x14ac:dyDescent="0.15">
      <c r="A27" s="34" t="s">
        <v>112</v>
      </c>
      <c r="B27" s="82">
        <v>0</v>
      </c>
      <c r="C27" s="77">
        <f t="shared" si="2"/>
        <v>0</v>
      </c>
      <c r="D27" s="78">
        <f t="shared" si="3"/>
        <v>0</v>
      </c>
      <c r="E27">
        <f>COUNTIF(tables_settle_332100!C:C,input_settle_332100!A27)-COUNTIF(Q:Q,A27)</f>
        <v>28</v>
      </c>
      <c r="F27" s="45">
        <f>IFERROR(B27/E27,0)</f>
        <v>0</v>
      </c>
      <c r="G27">
        <f t="shared" si="8"/>
        <v>0</v>
      </c>
      <c r="H27">
        <f t="shared" si="4"/>
        <v>0</v>
      </c>
      <c r="I27">
        <f t="shared" si="5"/>
        <v>0</v>
      </c>
      <c r="J27">
        <f t="shared" si="6"/>
        <v>1</v>
      </c>
      <c r="L27" s="59"/>
      <c r="M27" s="59"/>
      <c r="N27" s="60"/>
      <c r="O27" s="59"/>
      <c r="P27" s="59"/>
      <c r="Q27" s="59"/>
      <c r="R27" s="61"/>
    </row>
    <row r="28" spans="1:19" x14ac:dyDescent="0.15">
      <c r="A28" s="34" t="s">
        <v>113</v>
      </c>
      <c r="B28" s="58">
        <f>E$5*E28*B7</f>
        <v>4.9411764705882349E-2</v>
      </c>
      <c r="C28" s="77">
        <f t="shared" si="2"/>
        <v>0</v>
      </c>
      <c r="D28" s="78">
        <f t="shared" si="3"/>
        <v>4.9411764705882349E-2</v>
      </c>
      <c r="E28">
        <f>COUNTIF(tables_settle_332100!C:C,input_settle_332100!A28)-COUNTIF(Q:Q,A28)</f>
        <v>28</v>
      </c>
      <c r="F28" s="45">
        <f t="shared" si="7"/>
        <v>1.764705882352941E-3</v>
      </c>
      <c r="G28">
        <f t="shared" si="8"/>
        <v>90720</v>
      </c>
      <c r="H28">
        <f t="shared" si="4"/>
        <v>3240</v>
      </c>
      <c r="I28">
        <f t="shared" si="5"/>
        <v>0</v>
      </c>
      <c r="J28">
        <f t="shared" si="6"/>
        <v>1</v>
      </c>
      <c r="L28" s="59"/>
      <c r="M28" s="59"/>
      <c r="N28" s="60"/>
      <c r="O28" s="59"/>
      <c r="P28" s="59"/>
      <c r="Q28" s="59"/>
      <c r="R28" s="61"/>
    </row>
    <row r="29" spans="1:19" x14ac:dyDescent="0.15">
      <c r="A29" s="34" t="s">
        <v>208</v>
      </c>
      <c r="B29" s="58">
        <f>E5*COUNTIF(tables_settle_332100!C:C,input_settle_332100!A29)</f>
        <v>3.529411764705882E-3</v>
      </c>
      <c r="C29" s="77">
        <f t="shared" si="2"/>
        <v>0</v>
      </c>
      <c r="D29" s="78">
        <f t="shared" si="3"/>
        <v>3.529411764705882E-3</v>
      </c>
      <c r="E29">
        <f>COUNTIF(tables_settle_332100!C:C,input_settle_332100!A29)-COUNTIF(Q:Q,A29)</f>
        <v>2</v>
      </c>
      <c r="F29" s="45">
        <f t="shared" si="7"/>
        <v>1.764705882352941E-3</v>
      </c>
      <c r="G29">
        <f t="shared" si="8"/>
        <v>6479.9999999999991</v>
      </c>
      <c r="H29">
        <f t="shared" si="4"/>
        <v>3240</v>
      </c>
      <c r="I29">
        <f t="shared" si="5"/>
        <v>0</v>
      </c>
      <c r="J29">
        <f t="shared" si="6"/>
        <v>1</v>
      </c>
      <c r="L29" s="59"/>
      <c r="M29" s="59"/>
      <c r="N29" s="60"/>
      <c r="O29" s="59"/>
      <c r="P29" s="59"/>
      <c r="Q29" s="59"/>
      <c r="R29" s="61"/>
    </row>
    <row r="30" spans="1:19" x14ac:dyDescent="0.15">
      <c r="A30" s="34" t="s">
        <v>207</v>
      </c>
      <c r="B30" s="58">
        <v>0</v>
      </c>
      <c r="C30" s="77">
        <f t="shared" si="2"/>
        <v>0</v>
      </c>
      <c r="D30" s="78">
        <f t="shared" si="3"/>
        <v>0</v>
      </c>
      <c r="E30">
        <f>COUNTIF(tables_settle_332100!C:C,input_settle_332100!A30)-COUNTIF(Q:Q,A30)</f>
        <v>0</v>
      </c>
      <c r="F30" s="45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9"/>
      <c r="M30" s="59"/>
      <c r="N30" s="60"/>
      <c r="O30" s="59"/>
      <c r="P30" s="59"/>
      <c r="Q30" s="59"/>
      <c r="R30" s="61"/>
    </row>
    <row r="31" spans="1:19" x14ac:dyDescent="0.15">
      <c r="A31" s="34" t="s">
        <v>114</v>
      </c>
      <c r="B31" s="58">
        <v>0</v>
      </c>
      <c r="C31" s="77">
        <f t="shared" si="2"/>
        <v>0</v>
      </c>
      <c r="D31" s="78">
        <f t="shared" si="3"/>
        <v>0</v>
      </c>
      <c r="E31">
        <f>COUNTIF(tables_settle_332100!C:C,input_settle_332100!A31)-COUNTIF(Q:Q,A31)</f>
        <v>0</v>
      </c>
      <c r="F31" s="45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9"/>
      <c r="M31" s="59"/>
      <c r="N31" s="60"/>
      <c r="O31" s="59"/>
      <c r="P31" s="59"/>
      <c r="Q31" s="59"/>
      <c r="R31" s="61"/>
    </row>
    <row r="32" spans="1:19" x14ac:dyDescent="0.15">
      <c r="A32" s="41" t="s">
        <v>62</v>
      </c>
      <c r="B32" s="42">
        <f>SUM(B17:B31)</f>
        <v>0.99</v>
      </c>
      <c r="C32" s="43">
        <f>SUM(C19:C31)</f>
        <v>0</v>
      </c>
      <c r="D32" s="44">
        <f t="shared" si="3"/>
        <v>0.99</v>
      </c>
      <c r="L32" s="59"/>
      <c r="M32" s="59"/>
      <c r="N32" s="59"/>
      <c r="O32" s="59"/>
      <c r="P32" s="59"/>
      <c r="Q32" s="59"/>
      <c r="R32" s="61"/>
    </row>
    <row r="35" spans="1:7" x14ac:dyDescent="0.15">
      <c r="A35" t="s">
        <v>76</v>
      </c>
    </row>
    <row r="36" spans="1:7" x14ac:dyDescent="0.15">
      <c r="A36" s="31">
        <f>LCM(F5-I5,F6-I6)*1000*2</f>
        <v>1836000</v>
      </c>
    </row>
    <row r="38" spans="1:7" x14ac:dyDescent="0.15">
      <c r="A38" s="49" t="s">
        <v>80</v>
      </c>
    </row>
    <row r="39" spans="1:7" x14ac:dyDescent="0.15">
      <c r="A39" s="34" t="s">
        <v>63</v>
      </c>
      <c r="B39" t="s">
        <v>77</v>
      </c>
      <c r="C39" t="s">
        <v>105</v>
      </c>
      <c r="E39" t="s">
        <v>106</v>
      </c>
      <c r="F39" t="s">
        <v>217</v>
      </c>
      <c r="G39" t="s">
        <v>66</v>
      </c>
    </row>
    <row r="40" spans="1:7" x14ac:dyDescent="0.15">
      <c r="A40" s="34" t="s">
        <v>109</v>
      </c>
      <c r="B40">
        <f ca="1">SUMIF(tables_settle_332100!C:C,input_settle_332100!A40,tables_settle_332100!O:O)</f>
        <v>0</v>
      </c>
      <c r="C40" s="56">
        <f t="shared" ref="C40:C46" ca="1" si="9">B40/B$47</f>
        <v>0</v>
      </c>
      <c r="E40">
        <v>3</v>
      </c>
      <c r="F40">
        <f ca="1">SUMIF(tables_settle_332100!J:J,input_settle_332100!E40,tables_settle_332100!O:O)</f>
        <v>0</v>
      </c>
      <c r="G40">
        <f ca="1">F40/A36</f>
        <v>0</v>
      </c>
    </row>
    <row r="41" spans="1:7" x14ac:dyDescent="0.15">
      <c r="A41" s="34" t="s">
        <v>110</v>
      </c>
      <c r="B41">
        <f ca="1">SUMIF(tables_settle_332100!C:C,input_settle_332100!A41,tables_settle_332100!O:O)</f>
        <v>0</v>
      </c>
      <c r="C41" s="56">
        <f t="shared" ca="1" si="9"/>
        <v>0</v>
      </c>
      <c r="E41">
        <v>4</v>
      </c>
      <c r="F41">
        <f ca="1">SUMIF(tables_settle_332100!J:J,input_settle_332100!E41,tables_settle_332100!O:O)</f>
        <v>0</v>
      </c>
      <c r="G41">
        <f ca="1">F41/A36</f>
        <v>0</v>
      </c>
    </row>
    <row r="42" spans="1:7" x14ac:dyDescent="0.15">
      <c r="A42" s="34" t="s">
        <v>115</v>
      </c>
      <c r="B42">
        <f ca="1">SUMIF(tables_settle_332100!C:C,input_settle_332100!A42,tables_settle_332100!O:O)</f>
        <v>0</v>
      </c>
      <c r="C42" s="56">
        <f t="shared" ca="1" si="9"/>
        <v>0</v>
      </c>
      <c r="E42">
        <v>5</v>
      </c>
      <c r="F42">
        <f ca="1">SUMIF(tables_settle_332100!J:J,input_settle_332100!E42,tables_settle_332100!O:O)</f>
        <v>1836000</v>
      </c>
      <c r="G42">
        <f ca="1">F42/A36</f>
        <v>1</v>
      </c>
    </row>
    <row r="43" spans="1:7" x14ac:dyDescent="0.15">
      <c r="A43" s="34" t="s">
        <v>116</v>
      </c>
      <c r="B43">
        <f>SUMIF(tables_settle_332100!C:C,input_settle_332100!A43,tables_settle_332100!O:O)</f>
        <v>0</v>
      </c>
      <c r="C43" s="56">
        <f t="shared" ca="1" si="9"/>
        <v>0</v>
      </c>
      <c r="F43" s="57"/>
    </row>
    <row r="44" spans="1:7" x14ac:dyDescent="0.15">
      <c r="A44" s="34" t="s">
        <v>111</v>
      </c>
      <c r="B44">
        <f ca="1">SUMIF(tables_settle_332100!C:C,input_settle_332100!A44,tables_settle_332100!O:O)</f>
        <v>1644240</v>
      </c>
      <c r="C44" s="56">
        <f t="shared" ca="1" si="9"/>
        <v>0.94771061004288282</v>
      </c>
      <c r="E44" t="s">
        <v>56</v>
      </c>
      <c r="F44" s="57"/>
    </row>
    <row r="45" spans="1:7" x14ac:dyDescent="0.15">
      <c r="A45" s="34" t="s">
        <v>117</v>
      </c>
      <c r="B45">
        <f ca="1">SUMIF(tables_settle_332100!C:C,input_settle_332100!A45,tables_settle_332100!O:O)</f>
        <v>90720</v>
      </c>
      <c r="C45" s="56">
        <f t="shared" ca="1" si="9"/>
        <v>5.2289389957117169E-2</v>
      </c>
      <c r="E45" t="s">
        <v>213</v>
      </c>
      <c r="F45" s="57">
        <f ca="1">SUMIF(tables_settle_332100!I:I,input_settle_332100!E45,tables_settle_332100!P:P)</f>
        <v>8.1000000000000003E-2</v>
      </c>
    </row>
    <row r="46" spans="1:7" x14ac:dyDescent="0.15">
      <c r="A46" s="34" t="s">
        <v>118</v>
      </c>
      <c r="B46">
        <f>SUMIF(tables_settle_332100!C:C,input_settle_332100!A46,tables_settle_332100!O:O)</f>
        <v>0</v>
      </c>
      <c r="C46" s="56">
        <f t="shared" ca="1" si="9"/>
        <v>0</v>
      </c>
      <c r="E46" t="s">
        <v>214</v>
      </c>
      <c r="F46" s="57">
        <f ca="1">SUMIF(tables_settle_332100!I:I,input_settle_332100!E46,tables_settle_332100!P:P)</f>
        <v>0.29807189542483659</v>
      </c>
    </row>
    <row r="47" spans="1:7" x14ac:dyDescent="0.15">
      <c r="A47" s="41" t="s">
        <v>62</v>
      </c>
      <c r="B47">
        <f ca="1">SUM(B40:B46)</f>
        <v>1734960</v>
      </c>
      <c r="C47" s="57">
        <f ca="1">SUM(C40:C46)</f>
        <v>1</v>
      </c>
      <c r="E47" t="s">
        <v>215</v>
      </c>
      <c r="F47" s="57">
        <f ca="1">SUMIF(tables_settle_332100!I:I,input_settle_332100!E47,tables_settle_332100!P:P)</f>
        <v>0.6389869281045758</v>
      </c>
    </row>
    <row r="48" spans="1:7" x14ac:dyDescent="0.15">
      <c r="E48" t="s">
        <v>216</v>
      </c>
      <c r="F48" s="57">
        <f ca="1">SUMIF(tables_settle_332100!I:I,input_settle_332100!E48,tables_settle_332100!P:P)</f>
        <v>5.2941176470588221E-2</v>
      </c>
    </row>
  </sheetData>
  <phoneticPr fontId="16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>
    <tabColor rgb="FF0000FF"/>
    <outlinePr summaryBelow="0" summaryRight="0"/>
  </sheetPr>
  <dimension ref="A1:V274"/>
  <sheetViews>
    <sheetView showGridLines="0" zoomScale="75" zoomScaleNormal="75" zoomScalePageLayoutView="75" workbookViewId="0">
      <pane ySplit="1" topLeftCell="A2" activePane="bottomLeft" state="frozen"/>
      <selection activeCell="F31" sqref="F31"/>
      <selection pane="bottomLeft" activeCell="F31" sqref="F3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1</v>
      </c>
      <c r="C1" s="3" t="s">
        <v>31</v>
      </c>
      <c r="D1" s="3" t="s">
        <v>100</v>
      </c>
      <c r="E1" s="3" t="s">
        <v>197</v>
      </c>
      <c r="F1" s="3" t="s">
        <v>198</v>
      </c>
      <c r="G1" s="3" t="s">
        <v>108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2</v>
      </c>
      <c r="P1" s="3" t="s">
        <v>66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input_settle_332100!A$2</f>
        <v>332100</v>
      </c>
      <c r="B2" s="6">
        <v>126</v>
      </c>
      <c r="C2" s="7" t="str">
        <f>D2&amp;J2&amp;E2&amp;F2&amp;G2</f>
        <v>PremiumW3</v>
      </c>
      <c r="D2" s="7" t="str">
        <f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7">
        <f ca="1">IFERROR(VLOOKUP(B2,input_settle_332100!L:R,7,FALSE),VLOOKUP(tables_settle_332100!C2,input_settle_332100!A:H,8,FALSE))</f>
        <v>0</v>
      </c>
      <c r="P2" s="48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input_settle_332100!A$2</f>
        <v>332100</v>
      </c>
      <c r="B3" s="6">
        <v>127</v>
      </c>
      <c r="C3" s="7" t="str">
        <f>D3&amp;J3&amp;E3&amp;F3&amp;G3</f>
        <v>PremiumW4</v>
      </c>
      <c r="D3" s="7" t="str">
        <f>IF(I3="PremiumSS",I3,IF(I3="PremiumSSS",I3,IF(I3="PremiumW",I3,"Premium")))</f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7">
        <f ca="1">IFERROR(VLOOKUP(B3,input_settle_332100!L:R,7,FALSE),VLOOKUP(tables_settle_332100!C3,input_settle_332100!A:H,8,FALSE))</f>
        <v>0</v>
      </c>
      <c r="P3" s="48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input_settle_332100!A$2</f>
        <v>332100</v>
      </c>
      <c r="B4" s="6">
        <v>128</v>
      </c>
      <c r="C4" s="7" t="str">
        <f>D4&amp;J4&amp;E4&amp;F4&amp;G4</f>
        <v>PremiumW3</v>
      </c>
      <c r="D4" s="7" t="str">
        <f>IF(I4="PremiumSS",I4,IF(I4="PremiumSSS",I4,IF(I4="PremiumW",I4,"Premium")))</f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7">
        <f ca="1">IFERROR(VLOOKUP(B4,input_settle_332100!L:R,7,FALSE),VLOOKUP(tables_settle_332100!C4,input_settle_332100!A:H,8,FALSE))</f>
        <v>0</v>
      </c>
      <c r="P4" s="48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input_settle_332100!A$2</f>
        <v>332100</v>
      </c>
      <c r="B5" s="6">
        <v>129</v>
      </c>
      <c r="C5" s="7" t="str">
        <f>D5&amp;J5&amp;E5&amp;F5&amp;G5</f>
        <v>PremiumW4</v>
      </c>
      <c r="D5" s="7" t="str">
        <f>IF(I5="PremiumSS",I5,IF(I5="PremiumSSS",I5,IF(I5="PremiumW",I5,"Premium")))</f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7">
        <f ca="1">IFERROR(VLOOKUP(B5,input_settle_332100!L:R,7,FALSE),VLOOKUP(tables_settle_332100!C5,input_settle_332100!A:H,8,FALSE))</f>
        <v>0</v>
      </c>
      <c r="P5" s="48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input_settle_332100!A$2</f>
        <v>332100</v>
      </c>
      <c r="B6" s="6">
        <v>130</v>
      </c>
      <c r="C6" s="7" t="str">
        <f>D6&amp;J6&amp;E6&amp;F6&amp;G6</f>
        <v>PremiumW3</v>
      </c>
      <c r="D6" s="7" t="str">
        <f>IF(I6="PremiumSS",I6,IF(I6="PremiumSSS",I6,IF(I6="PremiumW",I6,"Premium")))</f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7">
        <f ca="1">IFERROR(VLOOKUP(B6,input_settle_332100!L:R,7,FALSE),VLOOKUP(tables_settle_332100!C6,input_settle_332100!A:H,8,FALSE))</f>
        <v>0</v>
      </c>
      <c r="P6" s="48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input_settle_332100!A$2</f>
        <v>332100</v>
      </c>
      <c r="B7" s="6">
        <v>131</v>
      </c>
      <c r="C7" s="7" t="str">
        <f>D7&amp;J7&amp;E7&amp;F7&amp;G7</f>
        <v>PremiumW4</v>
      </c>
      <c r="D7" s="7" t="str">
        <f>IF(I7="PremiumSS",I7,IF(I7="PremiumSSS",I7,IF(I7="PremiumW",I7,"Premium")))</f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7">
        <f ca="1">IFERROR(VLOOKUP(B7,input_settle_332100!L:R,7,FALSE),VLOOKUP(tables_settle_332100!C7,input_settle_332100!A:H,8,FALSE))</f>
        <v>0</v>
      </c>
      <c r="P7" s="48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input_settle_332100!A$2</f>
        <v>332100</v>
      </c>
      <c r="B8" s="6">
        <v>132</v>
      </c>
      <c r="C8" s="7" t="str">
        <f>D8&amp;J8&amp;E8&amp;F8&amp;G8</f>
        <v>PremiumW3</v>
      </c>
      <c r="D8" s="7" t="str">
        <f>IF(I8="PremiumSS",I8,IF(I8="PremiumSSS",I8,IF(I8="PremiumW",I8,"Premium")))</f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7">
        <f ca="1">IFERROR(VLOOKUP(B8,input_settle_332100!L:R,7,FALSE),VLOOKUP(tables_settle_332100!C8,input_settle_332100!A:H,8,FALSE))</f>
        <v>0</v>
      </c>
      <c r="P8" s="48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input_settle_332100!A$2</f>
        <v>332100</v>
      </c>
      <c r="B9" s="6">
        <v>133</v>
      </c>
      <c r="C9" s="7" t="str">
        <f>D9&amp;J9&amp;E9&amp;F9&amp;G9</f>
        <v>PremiumW4</v>
      </c>
      <c r="D9" s="7" t="str">
        <f>IF(I9="PremiumSS",I9,IF(I9="PremiumSSS",I9,IF(I9="PremiumW",I9,"Premium")))</f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7">
        <f ca="1">IFERROR(VLOOKUP(B9,input_settle_332100!L:R,7,FALSE),VLOOKUP(tables_settle_332100!C9,input_settle_332100!A:H,8,FALSE))</f>
        <v>0</v>
      </c>
      <c r="P9" s="48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input_settle_332100!A$2</f>
        <v>332100</v>
      </c>
      <c r="B10" s="6">
        <v>134</v>
      </c>
      <c r="C10" s="7" t="str">
        <f>D10&amp;J10&amp;E10&amp;F10&amp;G10</f>
        <v>PremiumW3</v>
      </c>
      <c r="D10" s="7" t="str">
        <f>IF(I10="PremiumSS",I10,IF(I10="PremiumSSS",I10,IF(I10="PremiumW",I10,"Premium")))</f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7">
        <f ca="1">IFERROR(VLOOKUP(B10,input_settle_332100!L:R,7,FALSE),VLOOKUP(tables_settle_332100!C10,input_settle_332100!A:H,8,FALSE))</f>
        <v>0</v>
      </c>
      <c r="P10" s="48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input_settle_332100!A$2</f>
        <v>332100</v>
      </c>
      <c r="B11" s="6">
        <v>135</v>
      </c>
      <c r="C11" s="7" t="str">
        <f>D11&amp;J11&amp;E11&amp;F11&amp;G11</f>
        <v>PremiumW4</v>
      </c>
      <c r="D11" s="7" t="str">
        <f>IF(I11="PremiumSS",I11,IF(I11="PremiumSSS",I11,IF(I11="PremiumW",I11,"Premium")))</f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7">
        <f ca="1">IFERROR(VLOOKUP(B11,input_settle_332100!L:R,7,FALSE),VLOOKUP(tables_settle_332100!C11,input_settle_332100!A:H,8,FALSE))</f>
        <v>0</v>
      </c>
      <c r="P11" s="48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input_settle_332100!A$2</f>
        <v>332100</v>
      </c>
      <c r="B12" s="8">
        <v>136</v>
      </c>
      <c r="C12" s="7" t="str">
        <f>D12&amp;J12&amp;E12&amp;F12&amp;G12</f>
        <v>PremiumW3</v>
      </c>
      <c r="D12" s="7" t="str">
        <f>IF(I12="PremiumSS",I12,IF(I12="PremiumSSS",I12,IF(I12="PremiumW",I12,"Premium")))</f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7">
        <f ca="1">IFERROR(VLOOKUP(B12,input_settle_332100!L:R,7,FALSE),VLOOKUP(tables_settle_332100!C12,input_settle_332100!A:H,8,FALSE))</f>
        <v>0</v>
      </c>
      <c r="P12" s="48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input_settle_332100!A$2</f>
        <v>332100</v>
      </c>
      <c r="B13" s="8">
        <v>137</v>
      </c>
      <c r="C13" s="7" t="str">
        <f>D13&amp;J13&amp;E13&amp;F13&amp;G13</f>
        <v>PremiumW4</v>
      </c>
      <c r="D13" s="7" t="str">
        <f>IF(I13="PremiumSS",I13,IF(I13="PremiumSSS",I13,IF(I13="PremiumW",I13,"Premium")))</f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7">
        <f ca="1">IFERROR(VLOOKUP(B13,input_settle_332100!L:R,7,FALSE),VLOOKUP(tables_settle_332100!C13,input_settle_332100!A:H,8,FALSE))</f>
        <v>0</v>
      </c>
      <c r="P13" s="48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input_settle_332100!A$2</f>
        <v>332100</v>
      </c>
      <c r="B14" s="6">
        <v>138</v>
      </c>
      <c r="C14" s="7" t="str">
        <f>D14&amp;J14&amp;E14&amp;F14&amp;G14</f>
        <v>PremiumW3</v>
      </c>
      <c r="D14" s="7" t="str">
        <f>IF(I14="PremiumSS",I14,IF(I14="PremiumSSS",I14,IF(I14="PremiumW",I14,"Premium")))</f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7">
        <f ca="1">IFERROR(VLOOKUP(B14,input_settle_332100!L:R,7,FALSE),VLOOKUP(tables_settle_332100!C14,input_settle_332100!A:H,8,FALSE))</f>
        <v>0</v>
      </c>
      <c r="P14" s="48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input_settle_332100!A$2</f>
        <v>332100</v>
      </c>
      <c r="B15" s="6">
        <v>139</v>
      </c>
      <c r="C15" s="7" t="str">
        <f>D15&amp;J15&amp;E15&amp;F15&amp;G15</f>
        <v>PremiumW4</v>
      </c>
      <c r="D15" s="7" t="str">
        <f>IF(I15="PremiumSS",I15,IF(I15="PremiumSSS",I15,IF(I15="PremiumW",I15,"Premium")))</f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7">
        <f ca="1">IFERROR(VLOOKUP(B15,input_settle_332100!L:R,7,FALSE),VLOOKUP(tables_settle_332100!C15,input_settle_332100!A:H,8,FALSE))</f>
        <v>0</v>
      </c>
      <c r="P15" s="48">
        <f ca="1">O15/SUM(O:O)</f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input_settle_332100!A$2</f>
        <v>332100</v>
      </c>
      <c r="B16" s="10">
        <v>140</v>
      </c>
      <c r="C16" s="7" t="str">
        <f>D16&amp;J16&amp;E16&amp;F16&amp;G16</f>
        <v>PremiumW3</v>
      </c>
      <c r="D16" s="7" t="str">
        <f>IF(I16="PremiumSS",I16,IF(I16="PremiumSSS",I16,IF(I16="PremiumW",I16,"Premium")))</f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7">
        <f ca="1">IFERROR(VLOOKUP(B16,input_settle_332100!L:R,7,FALSE),VLOOKUP(tables_settle_332100!C16,input_settle_332100!A:H,8,FALSE))</f>
        <v>0</v>
      </c>
      <c r="P16" s="48">
        <f ca="1">O16/SUM(O:O)</f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input_settle_332100!A$2</f>
        <v>332100</v>
      </c>
      <c r="B17" s="11">
        <v>141</v>
      </c>
      <c r="C17" s="7" t="str">
        <f>D17&amp;J17&amp;E17&amp;F17&amp;G17</f>
        <v>PremiumW4</v>
      </c>
      <c r="D17" s="7" t="str">
        <f>IF(I17="PremiumSS",I17,IF(I17="PremiumSSS",I17,IF(I17="PremiumW",I17,"Premium")))</f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7">
        <f ca="1">IFERROR(VLOOKUP(B17,input_settle_332100!L:R,7,FALSE),VLOOKUP(tables_settle_332100!C17,input_settle_332100!A:H,8,FALSE))</f>
        <v>0</v>
      </c>
      <c r="P17" s="48">
        <f ca="1">O17/SUM(O:O)</f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input_settle_332100!A$2</f>
        <v>332100</v>
      </c>
      <c r="B18" s="6">
        <v>142</v>
      </c>
      <c r="C18" s="7" t="str">
        <f>D18&amp;J18&amp;E18&amp;F18&amp;G18</f>
        <v>PremiumW3</v>
      </c>
      <c r="D18" s="7" t="str">
        <f>IF(I18="PremiumSS",I18,IF(I18="PremiumSSS",I18,IF(I18="PremiumW",I18,"Premium")))</f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7">
        <f ca="1">IFERROR(VLOOKUP(B18,input_settle_332100!L:R,7,FALSE),VLOOKUP(tables_settle_332100!C18,input_settle_332100!A:H,8,FALSE))</f>
        <v>0</v>
      </c>
      <c r="P18" s="48">
        <f ca="1">O18/SUM(O:O)</f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input_settle_332100!A$2</f>
        <v>332100</v>
      </c>
      <c r="B19" s="6">
        <v>143</v>
      </c>
      <c r="C19" s="7" t="str">
        <f>D19&amp;J19&amp;E19&amp;F19&amp;G19</f>
        <v>PremiumW4</v>
      </c>
      <c r="D19" s="7" t="str">
        <f>IF(I19="PremiumSS",I19,IF(I19="PremiumSSS",I19,IF(I19="PremiumW",I19,"Premium")))</f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7">
        <f ca="1">IFERROR(VLOOKUP(B19,input_settle_332100!L:R,7,FALSE),VLOOKUP(tables_settle_332100!C19,input_settle_332100!A:H,8,FALSE))</f>
        <v>0</v>
      </c>
      <c r="P19" s="48">
        <f ca="1">O19/SUM(O:O)</f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input_settle_332100!A$2</f>
        <v>332100</v>
      </c>
      <c r="B20" s="10">
        <v>144</v>
      </c>
      <c r="C20" s="7" t="str">
        <f>D20&amp;J20&amp;E20&amp;F20&amp;G20</f>
        <v>PremiumW3</v>
      </c>
      <c r="D20" s="7" t="str">
        <f>IF(I20="PremiumSS",I20,IF(I20="PremiumSSS",I20,IF(I20="PremiumW",I20,"Premium")))</f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7">
        <f ca="1">IFERROR(VLOOKUP(B20,input_settle_332100!L:R,7,FALSE),VLOOKUP(tables_settle_332100!C20,input_settle_332100!A:H,8,FALSE))</f>
        <v>0</v>
      </c>
      <c r="P20" s="48">
        <f ca="1">O20/SUM(O:O)</f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input_settle_332100!A$2</f>
        <v>332100</v>
      </c>
      <c r="B21" s="6">
        <v>145</v>
      </c>
      <c r="C21" s="7" t="str">
        <f>D21&amp;J21&amp;E21&amp;F21&amp;G21</f>
        <v>PremiumW4</v>
      </c>
      <c r="D21" s="7" t="str">
        <f>IF(I21="PremiumSS",I21,IF(I21="PremiumSSS",I21,IF(I21="PremiumW",I21,"Premium")))</f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7">
        <f ca="1">IFERROR(VLOOKUP(B21,input_settle_332100!L:R,7,FALSE),VLOOKUP(tables_settle_332100!C21,input_settle_332100!A:H,8,FALSE))</f>
        <v>0</v>
      </c>
      <c r="P21" s="48">
        <f ca="1">O21/SUM(O:O)</f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input_settle_332100!A$2</f>
        <v>332100</v>
      </c>
      <c r="B22" s="6">
        <v>146</v>
      </c>
      <c r="C22" s="7" t="str">
        <f>D22&amp;J22&amp;E22&amp;F22&amp;G22</f>
        <v>PremiumW3</v>
      </c>
      <c r="D22" s="7" t="str">
        <f>IF(I22="PremiumSS",I22,IF(I22="PremiumSSS",I22,IF(I22="PremiumW",I22,"Premium")))</f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7">
        <f ca="1">IFERROR(VLOOKUP(B22,input_settle_332100!L:R,7,FALSE),VLOOKUP(tables_settle_332100!C22,input_settle_332100!A:H,8,FALSE))</f>
        <v>0</v>
      </c>
      <c r="P22" s="48">
        <f ca="1">O22/SUM(O:O)</f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input_settle_332100!A$2</f>
        <v>332100</v>
      </c>
      <c r="B23" s="6">
        <v>147</v>
      </c>
      <c r="C23" s="7" t="str">
        <f>D23&amp;J23&amp;E23&amp;F23&amp;G23</f>
        <v>PremiumW4</v>
      </c>
      <c r="D23" s="7" t="str">
        <f>IF(I23="PremiumSS",I23,IF(I23="PremiumSSS",I23,IF(I23="PremiumW",I23,"Premium")))</f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7">
        <f ca="1">IFERROR(VLOOKUP(B23,input_settle_332100!L:R,7,FALSE),VLOOKUP(tables_settle_332100!C23,input_settle_332100!A:H,8,FALSE))</f>
        <v>0</v>
      </c>
      <c r="P23" s="48">
        <f ca="1">O23/SUM(O:O)</f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input_settle_332100!A$2</f>
        <v>332100</v>
      </c>
      <c r="B24" s="6">
        <v>148</v>
      </c>
      <c r="C24" s="7" t="str">
        <f>D24&amp;J24&amp;E24&amp;F24&amp;G24</f>
        <v>PremiumW3</v>
      </c>
      <c r="D24" s="7" t="str">
        <f>IF(I24="PremiumSS",I24,IF(I24="PremiumSSS",I24,IF(I24="PremiumW",I24,"Premium")))</f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7">
        <f ca="1">IFERROR(VLOOKUP(B24,input_settle_332100!L:R,7,FALSE),VLOOKUP(tables_settle_332100!C24,input_settle_332100!A:H,8,FALSE))</f>
        <v>0</v>
      </c>
      <c r="P24" s="48">
        <f ca="1">O24/SUM(O:O)</f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input_settle_332100!A$2</f>
        <v>332100</v>
      </c>
      <c r="B25" s="6">
        <v>149</v>
      </c>
      <c r="C25" s="7" t="str">
        <f>D25&amp;J25&amp;E25&amp;F25&amp;G25</f>
        <v>PremiumW4</v>
      </c>
      <c r="D25" s="7" t="str">
        <f>IF(I25="PremiumSS",I25,IF(I25="PremiumSSS",I25,IF(I25="PremiumW",I25,"Premium")))</f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7">
        <f ca="1">IFERROR(VLOOKUP(B25,input_settle_332100!L:R,7,FALSE),VLOOKUP(tables_settle_332100!C25,input_settle_332100!A:H,8,FALSE))</f>
        <v>0</v>
      </c>
      <c r="P25" s="48">
        <f ca="1">O25/SUM(O:O)</f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input_settle_332100!A$2</f>
        <v>332100</v>
      </c>
      <c r="B26" s="6">
        <v>150</v>
      </c>
      <c r="C26" s="7" t="str">
        <f>D26&amp;J26&amp;E26&amp;F26&amp;G26</f>
        <v>PremiumW3</v>
      </c>
      <c r="D26" s="7" t="str">
        <f>IF(I26="PremiumSS",I26,IF(I26="PremiumSSS",I26,IF(I26="PremiumW",I26,"Premium")))</f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7">
        <f ca="1">IFERROR(VLOOKUP(B26,input_settle_332100!L:R,7,FALSE),VLOOKUP(tables_settle_332100!C26,input_settle_332100!A:H,8,FALSE))</f>
        <v>0</v>
      </c>
      <c r="P26" s="48">
        <f ca="1">O26/SUM(O:O)</f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input_settle_332100!A$2</f>
        <v>332100</v>
      </c>
      <c r="B27" s="6">
        <v>151</v>
      </c>
      <c r="C27" s="7" t="str">
        <f>D27&amp;J27&amp;E27&amp;F27&amp;G27</f>
        <v>PremiumW4</v>
      </c>
      <c r="D27" s="7" t="str">
        <f>IF(I27="PremiumSS",I27,IF(I27="PremiumSSS",I27,IF(I27="PremiumW",I27,"Premium")))</f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7">
        <f ca="1">IFERROR(VLOOKUP(B27,input_settle_332100!L:R,7,FALSE),VLOOKUP(tables_settle_332100!C27,input_settle_332100!A:H,8,FALSE))</f>
        <v>0</v>
      </c>
      <c r="P27" s="48">
        <f ca="1">O27/SUM(O:O)</f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input_settle_332100!A$2</f>
        <v>332100</v>
      </c>
      <c r="B28" s="6">
        <v>152</v>
      </c>
      <c r="C28" s="7" t="str">
        <f>D28&amp;J28&amp;E28&amp;F28&amp;G28</f>
        <v>PremiumW3</v>
      </c>
      <c r="D28" s="7" t="str">
        <f>IF(I28="PremiumSS",I28,IF(I28="PremiumSSS",I28,IF(I28="PremiumW",I28,"Premium")))</f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7">
        <f ca="1">IFERROR(VLOOKUP(B28,input_settle_332100!L:R,7,FALSE),VLOOKUP(tables_settle_332100!C28,input_settle_332100!A:H,8,FALSE))</f>
        <v>0</v>
      </c>
      <c r="P28" s="48">
        <f ca="1">O28/SUM(O:O)</f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input_settle_332100!A$2</f>
        <v>332100</v>
      </c>
      <c r="B29" s="6">
        <v>153</v>
      </c>
      <c r="C29" s="7" t="str">
        <f>D29&amp;J29&amp;E29&amp;F29&amp;G29</f>
        <v>PremiumW4</v>
      </c>
      <c r="D29" s="7" t="str">
        <f>IF(I29="PremiumSS",I29,IF(I29="PremiumSSS",I29,IF(I29="PremiumW",I29,"Premium")))</f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7">
        <f ca="1">IFERROR(VLOOKUP(B29,input_settle_332100!L:R,7,FALSE),VLOOKUP(tables_settle_332100!C29,input_settle_332100!A:H,8,FALSE))</f>
        <v>0</v>
      </c>
      <c r="P29" s="48">
        <f ca="1">O29/SUM(O:O)</f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input_settle_332100!A$2</f>
        <v>332100</v>
      </c>
      <c r="B30" s="6">
        <v>154</v>
      </c>
      <c r="C30" s="7" t="str">
        <f>D30&amp;J30&amp;E30&amp;F30&amp;G30</f>
        <v>PremiumW3</v>
      </c>
      <c r="D30" s="7" t="str">
        <f>IF(I30="PremiumSS",I30,IF(I30="PremiumSSS",I30,IF(I30="PremiumW",I30,"Premium")))</f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7">
        <f ca="1">IFERROR(VLOOKUP(B30,input_settle_332100!L:R,7,FALSE),VLOOKUP(tables_settle_332100!C30,input_settle_332100!A:H,8,FALSE))</f>
        <v>0</v>
      </c>
      <c r="P30" s="48">
        <f ca="1">O30/SUM(O:O)</f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input_settle_332100!A$2</f>
        <v>332100</v>
      </c>
      <c r="B31" s="6">
        <v>155</v>
      </c>
      <c r="C31" s="7" t="str">
        <f>D31&amp;J31&amp;E31&amp;F31&amp;G31</f>
        <v>PremiumW4</v>
      </c>
      <c r="D31" s="7" t="str">
        <f>IF(I31="PremiumSS",I31,IF(I31="PremiumSSS",I31,IF(I31="PremiumW",I31,"Premium")))</f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7">
        <f ca="1">IFERROR(VLOOKUP(B31,input_settle_332100!L:R,7,FALSE),VLOOKUP(tables_settle_332100!C31,input_settle_332100!A:H,8,FALSE))</f>
        <v>0</v>
      </c>
      <c r="P31" s="48">
        <f ca="1">O31/SUM(O:O)</f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input_settle_332100!A$2</f>
        <v>332100</v>
      </c>
      <c r="B32" s="6">
        <v>156</v>
      </c>
      <c r="C32" s="7" t="str">
        <f>D32&amp;J32&amp;E32&amp;F32&amp;G32</f>
        <v>PremiumW3</v>
      </c>
      <c r="D32" s="7" t="str">
        <f>IF(I32="PremiumSS",I32,IF(I32="PremiumSSS",I32,IF(I32="PremiumW",I32,"Premium")))</f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7">
        <f ca="1">IFERROR(VLOOKUP(B32,input_settle_332100!L:R,7,FALSE),VLOOKUP(tables_settle_332100!C32,input_settle_332100!A:H,8,FALSE))</f>
        <v>0</v>
      </c>
      <c r="P32" s="48">
        <f ca="1">O32/SUM(O:O)</f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input_settle_332100!A$2</f>
        <v>332100</v>
      </c>
      <c r="B33" s="6">
        <v>157</v>
      </c>
      <c r="C33" s="7" t="str">
        <f>D33&amp;J33&amp;E33&amp;F33&amp;G33</f>
        <v>PremiumW4</v>
      </c>
      <c r="D33" s="7" t="str">
        <f>IF(I33="PremiumSS",I33,IF(I33="PremiumSSS",I33,IF(I33="PremiumW",I33,"Premium")))</f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7">
        <f ca="1">IFERROR(VLOOKUP(B33,input_settle_332100!L:R,7,FALSE),VLOOKUP(tables_settle_332100!C33,input_settle_332100!A:H,8,FALSE))</f>
        <v>0</v>
      </c>
      <c r="P33" s="48">
        <f ca="1">O33/SUM(O:O)</f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input_settle_332100!A$2</f>
        <v>332100</v>
      </c>
      <c r="B34" s="6">
        <v>158</v>
      </c>
      <c r="C34" s="7" t="str">
        <f>D34&amp;J34&amp;E34&amp;F34&amp;G34</f>
        <v>PremiumW3</v>
      </c>
      <c r="D34" s="7" t="str">
        <f>IF(I34="PremiumSS",I34,IF(I34="PremiumSSS",I34,IF(I34="PremiumW",I34,"Premium")))</f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7">
        <f ca="1">IFERROR(VLOOKUP(B34,input_settle_332100!L:R,7,FALSE),VLOOKUP(tables_settle_332100!C34,input_settle_332100!A:H,8,FALSE))</f>
        <v>0</v>
      </c>
      <c r="P34" s="48">
        <f ca="1">O34/SUM(O:O)</f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input_settle_332100!A$2</f>
        <v>332100</v>
      </c>
      <c r="B35" s="6">
        <v>159</v>
      </c>
      <c r="C35" s="7" t="str">
        <f>D35&amp;J35&amp;E35&amp;F35&amp;G35</f>
        <v>PremiumW4</v>
      </c>
      <c r="D35" s="7" t="str">
        <f>IF(I35="PremiumSS",I35,IF(I35="PremiumSSS",I35,IF(I35="PremiumW",I35,"Premium")))</f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7">
        <f ca="1">IFERROR(VLOOKUP(B35,input_settle_332100!L:R,7,FALSE),VLOOKUP(tables_settle_332100!C35,input_settle_332100!A:H,8,FALSE))</f>
        <v>0</v>
      </c>
      <c r="P35" s="48">
        <f ca="1">O35/SUM(O:O)</f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input_settle_332100!A$2</f>
        <v>332100</v>
      </c>
      <c r="B36" s="6">
        <v>160</v>
      </c>
      <c r="C36" s="7" t="str">
        <f>D36&amp;J36&amp;E36&amp;F36&amp;G36</f>
        <v>PremiumW3</v>
      </c>
      <c r="D36" s="7" t="str">
        <f>IF(I36="PremiumSS",I36,IF(I36="PremiumSSS",I36,IF(I36="PremiumW",I36,"Premium")))</f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7">
        <f ca="1">IFERROR(VLOOKUP(B36,input_settle_332100!L:R,7,FALSE),VLOOKUP(tables_settle_332100!C36,input_settle_332100!A:H,8,FALSE))</f>
        <v>0</v>
      </c>
      <c r="P36" s="48">
        <f ca="1">O36/SUM(O:O)</f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input_settle_332100!A$2</f>
        <v>332100</v>
      </c>
      <c r="B37" s="6">
        <v>161</v>
      </c>
      <c r="C37" s="7" t="str">
        <f>D37&amp;J37&amp;E37&amp;F37&amp;G37</f>
        <v>PremiumW4</v>
      </c>
      <c r="D37" s="7" t="str">
        <f>IF(I37="PremiumSS",I37,IF(I37="PremiumSSS",I37,IF(I37="PremiumW",I37,"Premium")))</f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7">
        <f ca="1">IFERROR(VLOOKUP(B37,input_settle_332100!L:R,7,FALSE),VLOOKUP(tables_settle_332100!C37,input_settle_332100!A:H,8,FALSE))</f>
        <v>0</v>
      </c>
      <c r="P37" s="48">
        <f ca="1">O37/SUM(O:O)</f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input_settle_332100!A$2</f>
        <v>332100</v>
      </c>
      <c r="B38" s="6">
        <v>162</v>
      </c>
      <c r="C38" s="7" t="str">
        <f>D38&amp;J38&amp;E38&amp;F38&amp;G38</f>
        <v>PremiumW3</v>
      </c>
      <c r="D38" s="7" t="str">
        <f>IF(I38="PremiumSS",I38,IF(I38="PremiumSSS",I38,IF(I38="PremiumW",I38,"Premium")))</f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7">
        <f ca="1">IFERROR(VLOOKUP(B38,input_settle_332100!L:R,7,FALSE),VLOOKUP(tables_settle_332100!C38,input_settle_332100!A:H,8,FALSE))</f>
        <v>0</v>
      </c>
      <c r="P38" s="48">
        <f ca="1">O38/SUM(O:O)</f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input_settle_332100!A$2</f>
        <v>332100</v>
      </c>
      <c r="B39" s="6">
        <v>163</v>
      </c>
      <c r="C39" s="7" t="str">
        <f>D39&amp;J39&amp;E39&amp;F39&amp;G39</f>
        <v>PremiumW4</v>
      </c>
      <c r="D39" s="7" t="str">
        <f>IF(I39="PremiumSS",I39,IF(I39="PremiumSSS",I39,IF(I39="PremiumW",I39,"Premium")))</f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7">
        <f ca="1">IFERROR(VLOOKUP(B39,input_settle_332100!L:R,7,FALSE),VLOOKUP(tables_settle_332100!C39,input_settle_332100!A:H,8,FALSE))</f>
        <v>0</v>
      </c>
      <c r="P39" s="48">
        <f ca="1">O39/SUM(O:O)</f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input_settle_332100!A$2</f>
        <v>332100</v>
      </c>
      <c r="B40" s="6">
        <v>164</v>
      </c>
      <c r="C40" s="7" t="str">
        <f>D40&amp;J40&amp;E40&amp;F40&amp;G40</f>
        <v>PremiumW3</v>
      </c>
      <c r="D40" s="7" t="str">
        <f>IF(I40="PremiumSS",I40,IF(I40="PremiumSSS",I40,IF(I40="PremiumW",I40,"Premium")))</f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7">
        <f ca="1">IFERROR(VLOOKUP(B40,input_settle_332100!L:R,7,FALSE),VLOOKUP(tables_settle_332100!C40,input_settle_332100!A:H,8,FALSE))</f>
        <v>0</v>
      </c>
      <c r="P40" s="48">
        <f ca="1">O40/SUM(O:O)</f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input_settle_332100!A$2</f>
        <v>332100</v>
      </c>
      <c r="B41" s="6">
        <v>165</v>
      </c>
      <c r="C41" s="7" t="str">
        <f>D41&amp;J41&amp;E41&amp;F41&amp;G41</f>
        <v>PremiumW4</v>
      </c>
      <c r="D41" s="7" t="str">
        <f>IF(I41="PremiumSS",I41,IF(I41="PremiumSSS",I41,IF(I41="PremiumW",I41,"Premium")))</f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7">
        <f ca="1">IFERROR(VLOOKUP(B41,input_settle_332100!L:R,7,FALSE),VLOOKUP(tables_settle_332100!C41,input_settle_332100!A:H,8,FALSE))</f>
        <v>0</v>
      </c>
      <c r="P41" s="48">
        <f ca="1">O41/SUM(O:O)</f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input_settle_332100!A$2</f>
        <v>332100</v>
      </c>
      <c r="B42" s="6">
        <v>166</v>
      </c>
      <c r="C42" s="7" t="str">
        <f>D42&amp;J42&amp;E42&amp;F42&amp;G42</f>
        <v>Premium3R6release</v>
      </c>
      <c r="D42" s="7" t="str">
        <f>IF(I42="PremiumSS",I42,IF(I42="PremiumSSS",I42,IF(I42="PremiumW",I42,"Premium")))</f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7">
        <f ca="1">IFERROR(VLOOKUP(B42,input_settle_332100!L:R,7,FALSE),VLOOKUP(tables_settle_332100!C42,input_settle_332100!A:H,8,FALSE))</f>
        <v>0</v>
      </c>
      <c r="P42" s="48">
        <f ca="1">O42/SUM(O:O)</f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input_settle_332100!A$2</f>
        <v>332100</v>
      </c>
      <c r="B43" s="6">
        <v>167</v>
      </c>
      <c r="C43" s="7" t="str">
        <f>D43&amp;J43&amp;E43&amp;F43&amp;G43</f>
        <v>Premium4R6release</v>
      </c>
      <c r="D43" s="7" t="str">
        <f>IF(I43="PremiumSS",I43,IF(I43="PremiumSSS",I43,IF(I43="PremiumW",I43,"Premium")))</f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7">
        <f ca="1">IFERROR(VLOOKUP(B43,input_settle_332100!L:R,7,FALSE),VLOOKUP(tables_settle_332100!C43,input_settle_332100!A:H,8,FALSE))</f>
        <v>0</v>
      </c>
      <c r="P43" s="48">
        <f ca="1">O43/SUM(O:O)</f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input_settle_332100!A$2</f>
        <v>332100</v>
      </c>
      <c r="B44" s="6">
        <v>168</v>
      </c>
      <c r="C44" s="7" t="str">
        <f>D44&amp;J44&amp;E44&amp;F44&amp;G44</f>
        <v>Premium5R6release</v>
      </c>
      <c r="D44" s="7" t="str">
        <f>IF(I44="PremiumSS",I44,IF(I44="PremiumSSS",I44,IF(I44="PremiumW",I44,"Premium")))</f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7">
        <f ca="1">IFERROR(VLOOKUP(B44,input_settle_332100!L:R,7,FALSE),VLOOKUP(tables_settle_332100!C44,input_settle_332100!A:H,8,FALSE))</f>
        <v>3240</v>
      </c>
      <c r="P44" s="48">
        <f ca="1">O44/SUM(O:O)</f>
        <v>1.7647058823529412E-3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input_settle_332100!A$2</f>
        <v>332100</v>
      </c>
      <c r="B45" s="6">
        <v>169</v>
      </c>
      <c r="C45" s="7" t="str">
        <f>D45&amp;J45&amp;E45&amp;F45&amp;G45</f>
        <v>Premium3R6release</v>
      </c>
      <c r="D45" s="7" t="str">
        <f>IF(I45="PremiumSS",I45,IF(I45="PremiumSSS",I45,IF(I45="PremiumW",I45,"Premium")))</f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7">
        <f ca="1">IFERROR(VLOOKUP(B45,input_settle_332100!L:R,7,FALSE),VLOOKUP(tables_settle_332100!C45,input_settle_332100!A:H,8,FALSE))</f>
        <v>0</v>
      </c>
      <c r="P45" s="48">
        <f ca="1">O45/SUM(O:O)</f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input_settle_332100!A$2</f>
        <v>332100</v>
      </c>
      <c r="B46" s="6">
        <v>170</v>
      </c>
      <c r="C46" s="7" t="str">
        <f>D46&amp;J46&amp;E46&amp;F46&amp;G46</f>
        <v>Premium4R6release</v>
      </c>
      <c r="D46" s="7" t="str">
        <f>IF(I46="PremiumSS",I46,IF(I46="PremiumSSS",I46,IF(I46="PremiumW",I46,"Premium")))</f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7">
        <f ca="1">IFERROR(VLOOKUP(B46,input_settle_332100!L:R,7,FALSE),VLOOKUP(tables_settle_332100!C46,input_settle_332100!A:H,8,FALSE))</f>
        <v>0</v>
      </c>
      <c r="P46" s="48">
        <f ca="1">O46/SUM(O:O)</f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input_settle_332100!A$2</f>
        <v>332100</v>
      </c>
      <c r="B47" s="6">
        <v>171</v>
      </c>
      <c r="C47" s="7" t="str">
        <f>D47&amp;J47&amp;E47&amp;F47&amp;G47</f>
        <v>Premium5R6release</v>
      </c>
      <c r="D47" s="7" t="str">
        <f>IF(I47="PremiumSS",I47,IF(I47="PremiumSSS",I47,IF(I47="PremiumW",I47,"Premium")))</f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7">
        <f ca="1">IFERROR(VLOOKUP(B47,input_settle_332100!L:R,7,FALSE),VLOOKUP(tables_settle_332100!C47,input_settle_332100!A:H,8,FALSE))</f>
        <v>3240</v>
      </c>
      <c r="P47" s="48">
        <f ca="1">O47/SUM(O:O)</f>
        <v>1.7647058823529412E-3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input_settle_332100!A$2</f>
        <v>332100</v>
      </c>
      <c r="B48" s="6">
        <v>172</v>
      </c>
      <c r="C48" s="7" t="str">
        <f>D48&amp;J48&amp;E48&amp;F48&amp;G48</f>
        <v>Premium3R6release</v>
      </c>
      <c r="D48" s="7" t="str">
        <f>IF(I48="PremiumSS",I48,IF(I48="PremiumSSS",I48,IF(I48="PremiumW",I48,"Premium")))</f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7">
        <f ca="1">IFERROR(VLOOKUP(B48,input_settle_332100!L:R,7,FALSE),VLOOKUP(tables_settle_332100!C48,input_settle_332100!A:H,8,FALSE))</f>
        <v>0</v>
      </c>
      <c r="P48" s="48">
        <f ca="1">O48/SUM(O:O)</f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input_settle_332100!A$2</f>
        <v>332100</v>
      </c>
      <c r="B49" s="6">
        <v>173</v>
      </c>
      <c r="C49" s="7" t="str">
        <f>D49&amp;J49&amp;E49&amp;F49&amp;G49</f>
        <v>Premium4R6release</v>
      </c>
      <c r="D49" s="7" t="str">
        <f>IF(I49="PremiumSS",I49,IF(I49="PremiumSSS",I49,IF(I49="PremiumW",I49,"Premium")))</f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7">
        <f ca="1">IFERROR(VLOOKUP(B49,input_settle_332100!L:R,7,FALSE),VLOOKUP(tables_settle_332100!C49,input_settle_332100!A:H,8,FALSE))</f>
        <v>0</v>
      </c>
      <c r="P49" s="48">
        <f ca="1">O49/SUM(O:O)</f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input_settle_332100!A$2</f>
        <v>332100</v>
      </c>
      <c r="B50" s="6">
        <v>174</v>
      </c>
      <c r="C50" s="7" t="str">
        <f>D50&amp;J50&amp;E50&amp;F50&amp;G50</f>
        <v>Premium5R6release</v>
      </c>
      <c r="D50" s="7" t="str">
        <f>IF(I50="PremiumSS",I50,IF(I50="PremiumSSS",I50,IF(I50="PremiumW",I50,"Premium")))</f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7">
        <f ca="1">IFERROR(VLOOKUP(B50,input_settle_332100!L:R,7,FALSE),VLOOKUP(tables_settle_332100!C50,input_settle_332100!A:H,8,FALSE))</f>
        <v>3240</v>
      </c>
      <c r="P50" s="48">
        <f ca="1">O50/SUM(O:O)</f>
        <v>1.7647058823529412E-3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input_settle_332100!A$2</f>
        <v>332100</v>
      </c>
      <c r="B51" s="6">
        <v>175</v>
      </c>
      <c r="C51" s="7" t="str">
        <f>D51&amp;J51&amp;E51&amp;F51&amp;G51</f>
        <v>Premium3</v>
      </c>
      <c r="D51" s="7" t="str">
        <f>IF(I51="PremiumSS",I51,IF(I51="PremiumSSS",I51,IF(I51="PremiumW",I51,"Premium")))</f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7">
        <f ca="1">IFERROR(VLOOKUP(B51,input_settle_332100!L:R,7,FALSE),VLOOKUP(tables_settle_332100!C51,input_settle_332100!A:H,8,FALSE))</f>
        <v>0</v>
      </c>
      <c r="P51" s="48">
        <f ca="1">O51/SUM(O:O)</f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input_settle_332100!A$2</f>
        <v>332100</v>
      </c>
      <c r="B52" s="6">
        <v>176</v>
      </c>
      <c r="C52" s="7" t="str">
        <f>D52&amp;J52&amp;E52&amp;F52&amp;G52</f>
        <v>Premium4</v>
      </c>
      <c r="D52" s="7" t="str">
        <f>IF(I52="PremiumSS",I52,IF(I52="PremiumSSS",I52,IF(I52="PremiumW",I52,"Premium")))</f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7">
        <f ca="1">IFERROR(VLOOKUP(B52,input_settle_332100!L:R,7,FALSE),VLOOKUP(tables_settle_332100!C52,input_settle_332100!A:H,8,FALSE))</f>
        <v>0</v>
      </c>
      <c r="P52" s="48">
        <f ca="1">O52/SUM(O:O)</f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input_settle_332100!A$2</f>
        <v>332100</v>
      </c>
      <c r="B53" s="6">
        <v>177</v>
      </c>
      <c r="C53" s="7" t="str">
        <f>D53&amp;J53&amp;E53&amp;F53&amp;G53</f>
        <v>Premium5</v>
      </c>
      <c r="D53" s="7" t="str">
        <f>IF(I53="PremiumSS",I53,IF(I53="PremiumSSS",I53,IF(I53="PremiumW",I53,"Premium")))</f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7">
        <f ca="1">IFERROR(VLOOKUP(B53,input_settle_332100!L:R,7,FALSE),VLOOKUP(tables_settle_332100!C53,input_settle_332100!A:H,8,FALSE))</f>
        <v>31620</v>
      </c>
      <c r="P53" s="48">
        <f ca="1">O53/SUM(O:O)</f>
        <v>1.7222222222222222E-2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input_settle_332100!A$2</f>
        <v>332100</v>
      </c>
      <c r="B54" s="6">
        <v>178</v>
      </c>
      <c r="C54" s="7" t="str">
        <f>D54&amp;J54&amp;E54&amp;F54&amp;G54</f>
        <v>Premium3</v>
      </c>
      <c r="D54" s="7" t="str">
        <f>IF(I54="PremiumSS",I54,IF(I54="PremiumSSS",I54,IF(I54="PremiumW",I54,"Premium")))</f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7">
        <f ca="1">IFERROR(VLOOKUP(B54,input_settle_332100!L:R,7,FALSE),VLOOKUP(tables_settle_332100!C54,input_settle_332100!A:H,8,FALSE))</f>
        <v>0</v>
      </c>
      <c r="P54" s="48">
        <f ca="1">O54/SUM(O:O)</f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input_settle_332100!A$2</f>
        <v>332100</v>
      </c>
      <c r="B55" s="6">
        <v>179</v>
      </c>
      <c r="C55" s="7" t="str">
        <f>D55&amp;J55&amp;E55&amp;F55&amp;G55</f>
        <v>Premium4</v>
      </c>
      <c r="D55" s="7" t="str">
        <f>IF(I55="PremiumSS",I55,IF(I55="PremiumSSS",I55,IF(I55="PremiumW",I55,"Premium")))</f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7">
        <f ca="1">IFERROR(VLOOKUP(B55,input_settle_332100!L:R,7,FALSE),VLOOKUP(tables_settle_332100!C55,input_settle_332100!A:H,8,FALSE))</f>
        <v>0</v>
      </c>
      <c r="P55" s="48">
        <f ca="1">O55/SUM(O:O)</f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input_settle_332100!A$2</f>
        <v>332100</v>
      </c>
      <c r="B56" s="6">
        <v>180</v>
      </c>
      <c r="C56" s="7" t="str">
        <f>D56&amp;J56&amp;E56&amp;F56&amp;G56</f>
        <v>Premium5</v>
      </c>
      <c r="D56" s="7" t="str">
        <f>IF(I56="PremiumSS",I56,IF(I56="PremiumSSS",I56,IF(I56="PremiumW",I56,"Premium")))</f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7">
        <f ca="1">IFERROR(VLOOKUP(B56,input_settle_332100!L:R,7,FALSE),VLOOKUP(tables_settle_332100!C56,input_settle_332100!A:H,8,FALSE))</f>
        <v>31620</v>
      </c>
      <c r="P56" s="48">
        <f ca="1">O56/SUM(O:O)</f>
        <v>1.7222222222222222E-2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input_settle_332100!A$2</f>
        <v>332100</v>
      </c>
      <c r="B57" s="6">
        <v>181</v>
      </c>
      <c r="C57" s="7" t="str">
        <f>D57&amp;J57&amp;E57&amp;F57&amp;G57</f>
        <v>Premium3</v>
      </c>
      <c r="D57" s="7" t="str">
        <f>IF(I57="PremiumSS",I57,IF(I57="PremiumSSS",I57,IF(I57="PremiumW",I57,"Premium")))</f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7">
        <f ca="1">IFERROR(VLOOKUP(B57,input_settle_332100!L:R,7,FALSE),VLOOKUP(tables_settle_332100!C57,input_settle_332100!A:H,8,FALSE))</f>
        <v>0</v>
      </c>
      <c r="P57" s="48">
        <f ca="1">O57/SUM(O:O)</f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input_settle_332100!A$2</f>
        <v>332100</v>
      </c>
      <c r="B58" s="6">
        <v>182</v>
      </c>
      <c r="C58" s="7" t="str">
        <f>D58&amp;J58&amp;E58&amp;F58&amp;G58</f>
        <v>Premium4</v>
      </c>
      <c r="D58" s="7" t="str">
        <f>IF(I58="PremiumSS",I58,IF(I58="PremiumSSS",I58,IF(I58="PremiumW",I58,"Premium")))</f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7">
        <f ca="1">IFERROR(VLOOKUP(B58,input_settle_332100!L:R,7,FALSE),VLOOKUP(tables_settle_332100!C58,input_settle_332100!A:H,8,FALSE))</f>
        <v>0</v>
      </c>
      <c r="P58" s="48">
        <f ca="1">O58/SUM(O:O)</f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input_settle_332100!A$2</f>
        <v>332100</v>
      </c>
      <c r="B59" s="6">
        <v>183</v>
      </c>
      <c r="C59" s="7" t="str">
        <f>D59&amp;J59&amp;E59&amp;F59&amp;G59</f>
        <v>Premium5</v>
      </c>
      <c r="D59" s="7" t="str">
        <f>IF(I59="PremiumSS",I59,IF(I59="PremiumSSS",I59,IF(I59="PremiumW",I59,"Premium")))</f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7">
        <f ca="1">IFERROR(VLOOKUP(B59,input_settle_332100!L:R,7,FALSE),VLOOKUP(tables_settle_332100!C59,input_settle_332100!A:H,8,FALSE))</f>
        <v>31620</v>
      </c>
      <c r="P59" s="48">
        <f ca="1">O59/SUM(O:O)</f>
        <v>1.7222222222222222E-2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input_settle_332100!A$2</f>
        <v>332100</v>
      </c>
      <c r="B60" s="6">
        <v>184</v>
      </c>
      <c r="C60" s="7" t="str">
        <f>D60&amp;J60&amp;E60&amp;F60&amp;G60</f>
        <v>Premium3</v>
      </c>
      <c r="D60" s="7" t="str">
        <f>IF(I60="PremiumSS",I60,IF(I60="PremiumSSS",I60,IF(I60="PremiumW",I60,"Premium")))</f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7">
        <f ca="1">IFERROR(VLOOKUP(B60,input_settle_332100!L:R,7,FALSE),VLOOKUP(tables_settle_332100!C60,input_settle_332100!A:H,8,FALSE))</f>
        <v>0</v>
      </c>
      <c r="P60" s="48">
        <f ca="1">O60/SUM(O:O)</f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input_settle_332100!A$2</f>
        <v>332100</v>
      </c>
      <c r="B61" s="6">
        <v>185</v>
      </c>
      <c r="C61" s="7" t="str">
        <f>D61&amp;J61&amp;E61&amp;F61&amp;G61</f>
        <v>Premium4</v>
      </c>
      <c r="D61" s="7" t="str">
        <f>IF(I61="PremiumSS",I61,IF(I61="PremiumSSS",I61,IF(I61="PremiumW",I61,"Premium")))</f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7">
        <f ca="1">IFERROR(VLOOKUP(B61,input_settle_332100!L:R,7,FALSE),VLOOKUP(tables_settle_332100!C61,input_settle_332100!A:H,8,FALSE))</f>
        <v>0</v>
      </c>
      <c r="P61" s="48">
        <f ca="1">O61/SUM(O:O)</f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input_settle_332100!A$2</f>
        <v>332100</v>
      </c>
      <c r="B62" s="8">
        <v>186</v>
      </c>
      <c r="C62" s="7" t="str">
        <f>D62&amp;J62&amp;E62&amp;F62&amp;G62</f>
        <v>Premium5</v>
      </c>
      <c r="D62" s="7" t="str">
        <f>IF(I62="PremiumSS",I62,IF(I62="PremiumSSS",I62,IF(I62="PremiumW",I62,"Premium")))</f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7">
        <f ca="1">IFERROR(VLOOKUP(B62,input_settle_332100!L:R,7,FALSE),VLOOKUP(tables_settle_332100!C62,input_settle_332100!A:H,8,FALSE))</f>
        <v>31620</v>
      </c>
      <c r="P62" s="48">
        <f ca="1">O62/SUM(O:O)</f>
        <v>1.7222222222222222E-2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input_settle_332100!A$2</f>
        <v>332100</v>
      </c>
      <c r="B63" s="8">
        <v>187</v>
      </c>
      <c r="C63" s="7" t="str">
        <f>D63&amp;J63&amp;E63&amp;F63&amp;G63</f>
        <v>Premium3</v>
      </c>
      <c r="D63" s="7" t="str">
        <f>IF(I63="PremiumSS",I63,IF(I63="PremiumSSS",I63,IF(I63="PremiumW",I63,"Premium")))</f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7">
        <f ca="1">IFERROR(VLOOKUP(B63,input_settle_332100!L:R,7,FALSE),VLOOKUP(tables_settle_332100!C63,input_settle_332100!A:H,8,FALSE))</f>
        <v>0</v>
      </c>
      <c r="P63" s="48">
        <f ca="1">O63/SUM(O:O)</f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input_settle_332100!A$2</f>
        <v>332100</v>
      </c>
      <c r="B64" s="8">
        <v>188</v>
      </c>
      <c r="C64" s="7" t="str">
        <f>D64&amp;J64&amp;E64&amp;F64&amp;G64</f>
        <v>Premium4</v>
      </c>
      <c r="D64" s="7" t="str">
        <f>IF(I64="PremiumSS",I64,IF(I64="PremiumSSS",I64,IF(I64="PremiumW",I64,"Premium")))</f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7">
        <f ca="1">IFERROR(VLOOKUP(B64,input_settle_332100!L:R,7,FALSE),VLOOKUP(tables_settle_332100!C64,input_settle_332100!A:H,8,FALSE))</f>
        <v>0</v>
      </c>
      <c r="P64" s="48">
        <f ca="1">O64/SUM(O:O)</f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input_settle_332100!A$2</f>
        <v>332100</v>
      </c>
      <c r="B65" s="8">
        <v>189</v>
      </c>
      <c r="C65" s="7" t="str">
        <f>D65&amp;J65&amp;E65&amp;F65&amp;G65</f>
        <v>Premium5</v>
      </c>
      <c r="D65" s="7" t="str">
        <f>IF(I65="PremiumSS",I65,IF(I65="PremiumSSS",I65,IF(I65="PremiumW",I65,"Premium")))</f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7">
        <f ca="1">IFERROR(VLOOKUP(B65,input_settle_332100!L:R,7,FALSE),VLOOKUP(tables_settle_332100!C65,input_settle_332100!A:H,8,FALSE))</f>
        <v>31620</v>
      </c>
      <c r="P65" s="48">
        <f ca="1">O65/SUM(O:O)</f>
        <v>1.7222222222222222E-2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input_settle_332100!A$2</f>
        <v>332100</v>
      </c>
      <c r="B66" s="6">
        <v>190</v>
      </c>
      <c r="C66" s="7" t="str">
        <f>D66&amp;J66&amp;E66&amp;F66&amp;G66</f>
        <v>Premium3</v>
      </c>
      <c r="D66" s="7" t="str">
        <f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7">
        <f ca="1">IFERROR(VLOOKUP(B66,input_settle_332100!L:R,7,FALSE),VLOOKUP(tables_settle_332100!C66,input_settle_332100!A:H,8,FALSE))</f>
        <v>0</v>
      </c>
      <c r="P66" s="48">
        <f ca="1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input_settle_332100!A$2</f>
        <v>332100</v>
      </c>
      <c r="B67" s="6">
        <v>191</v>
      </c>
      <c r="C67" s="7" t="str">
        <f>D67&amp;J67&amp;E67&amp;F67&amp;G67</f>
        <v>Premium4</v>
      </c>
      <c r="D67" s="7" t="str">
        <f>IF(I67="PremiumSS",I67,IF(I67="PremiumSSS",I67,IF(I67="PremiumW",I67,"Premium")))</f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7">
        <f ca="1">IFERROR(VLOOKUP(B67,input_settle_332100!L:R,7,FALSE),VLOOKUP(tables_settle_332100!C67,input_settle_332100!A:H,8,FALSE))</f>
        <v>0</v>
      </c>
      <c r="P67" s="48">
        <f ca="1">O67/SUM(O:O)</f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input_settle_332100!A$2</f>
        <v>332100</v>
      </c>
      <c r="B68" s="6">
        <v>192</v>
      </c>
      <c r="C68" s="7" t="str">
        <f>D68&amp;J68&amp;E68&amp;F68&amp;G68</f>
        <v>Premium5</v>
      </c>
      <c r="D68" s="7" t="str">
        <f>IF(I68="PremiumSS",I68,IF(I68="PremiumSSS",I68,IF(I68="PremiumW",I68,"Premium")))</f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7">
        <f ca="1">IFERROR(VLOOKUP(B68,input_settle_332100!L:R,7,FALSE),VLOOKUP(tables_settle_332100!C68,input_settle_332100!A:H,8,FALSE))</f>
        <v>31620</v>
      </c>
      <c r="P68" s="48">
        <f ca="1">O68/SUM(O:O)</f>
        <v>1.7222222222222222E-2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input_settle_332100!A$2</f>
        <v>332100</v>
      </c>
      <c r="B69" s="6">
        <v>193</v>
      </c>
      <c r="C69" s="7" t="str">
        <f>D69&amp;J69&amp;E69&amp;F69&amp;G69</f>
        <v>Premium3</v>
      </c>
      <c r="D69" s="7" t="str">
        <f>IF(I69="PremiumSS",I69,IF(I69="PremiumSSS",I69,IF(I69="PremiumW",I69,"Premium")))</f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7">
        <f ca="1">IFERROR(VLOOKUP(B69,input_settle_332100!L:R,7,FALSE),VLOOKUP(tables_settle_332100!C69,input_settle_332100!A:H,8,FALSE))</f>
        <v>0</v>
      </c>
      <c r="P69" s="48">
        <f ca="1">O69/SUM(O:O)</f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input_settle_332100!A$2</f>
        <v>332100</v>
      </c>
      <c r="B70" s="10">
        <v>194</v>
      </c>
      <c r="C70" s="7" t="str">
        <f>D70&amp;J70&amp;E70&amp;F70&amp;G70</f>
        <v>Premium4</v>
      </c>
      <c r="D70" s="7" t="str">
        <f>IF(I70="PremiumSS",I70,IF(I70="PremiumSSS",I70,IF(I70="PremiumW",I70,"Premium")))</f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7">
        <f ca="1">IFERROR(VLOOKUP(B70,input_settle_332100!L:R,7,FALSE),VLOOKUP(tables_settle_332100!C70,input_settle_332100!A:H,8,FALSE))</f>
        <v>0</v>
      </c>
      <c r="P70" s="48">
        <f ca="1">O70/SUM(O:O)</f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input_settle_332100!A$2</f>
        <v>332100</v>
      </c>
      <c r="B71" s="6">
        <v>195</v>
      </c>
      <c r="C71" s="7" t="str">
        <f>D71&amp;J71&amp;E71&amp;F71&amp;G71</f>
        <v>Premium5</v>
      </c>
      <c r="D71" s="7" t="str">
        <f>IF(I71="PremiumSS",I71,IF(I71="PremiumSSS",I71,IF(I71="PremiumW",I71,"Premium")))</f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7">
        <f ca="1">IFERROR(VLOOKUP(B71,input_settle_332100!L:R,7,FALSE),VLOOKUP(tables_settle_332100!C71,input_settle_332100!A:H,8,FALSE))</f>
        <v>31620</v>
      </c>
      <c r="P71" s="48">
        <f ca="1">O71/SUM(O:O)</f>
        <v>1.7222222222222222E-2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input_settle_332100!A$2</f>
        <v>332100</v>
      </c>
      <c r="B72" s="10">
        <v>196</v>
      </c>
      <c r="C72" s="7" t="str">
        <f>D72&amp;J72&amp;E72&amp;F72&amp;G72</f>
        <v>Premium3</v>
      </c>
      <c r="D72" s="7" t="str">
        <f>IF(I72="PremiumSS",I72,IF(I72="PremiumSSS",I72,IF(I72="PremiumW",I72,"Premium")))</f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7">
        <f ca="1">IFERROR(VLOOKUP(B72,input_settle_332100!L:R,7,FALSE),VLOOKUP(tables_settle_332100!C72,input_settle_332100!A:H,8,FALSE))</f>
        <v>0</v>
      </c>
      <c r="P72" s="48">
        <f ca="1">O72/SUM(O:O)</f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input_settle_332100!A$2</f>
        <v>332100</v>
      </c>
      <c r="B73" s="11">
        <v>197</v>
      </c>
      <c r="C73" s="7" t="str">
        <f>D73&amp;J73&amp;E73&amp;F73&amp;G73</f>
        <v>Premium4</v>
      </c>
      <c r="D73" s="7" t="str">
        <f>IF(I73="PremiumSS",I73,IF(I73="PremiumSSS",I73,IF(I73="PremiumW",I73,"Premium")))</f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7">
        <f ca="1">IFERROR(VLOOKUP(B73,input_settle_332100!L:R,7,FALSE),VLOOKUP(tables_settle_332100!C73,input_settle_332100!A:H,8,FALSE))</f>
        <v>0</v>
      </c>
      <c r="P73" s="48">
        <f ca="1">O73/SUM(O:O)</f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input_settle_332100!A$2</f>
        <v>332100</v>
      </c>
      <c r="B74" s="6">
        <v>198</v>
      </c>
      <c r="C74" s="7" t="str">
        <f>D74&amp;J74&amp;E74&amp;F74&amp;G74</f>
        <v>Premium5</v>
      </c>
      <c r="D74" s="7" t="str">
        <f>IF(I74="PremiumSS",I74,IF(I74="PremiumSSS",I74,IF(I74="PremiumW",I74,"Premium")))</f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7">
        <f ca="1">IFERROR(VLOOKUP(B74,input_settle_332100!L:R,7,FALSE),VLOOKUP(tables_settle_332100!C74,input_settle_332100!A:H,8,FALSE))</f>
        <v>31620</v>
      </c>
      <c r="P74" s="48">
        <f ca="1">O74/SUM(O:O)</f>
        <v>1.7222222222222222E-2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input_settle_332100!A$2</f>
        <v>332100</v>
      </c>
      <c r="B75" s="6">
        <v>199</v>
      </c>
      <c r="C75" s="7" t="str">
        <f>D75&amp;J75&amp;E75&amp;F75&amp;G75</f>
        <v>Premium3</v>
      </c>
      <c r="D75" s="7" t="str">
        <f>IF(I75="PremiumSS",I75,IF(I75="PremiumSSS",I75,IF(I75="PremiumW",I75,"Premium")))</f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7">
        <f ca="1">IFERROR(VLOOKUP(B75,input_settle_332100!L:R,7,FALSE),VLOOKUP(tables_settle_332100!C75,input_settle_332100!A:H,8,FALSE))</f>
        <v>0</v>
      </c>
      <c r="P75" s="48">
        <f ca="1">O75/SUM(O:O)</f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input_settle_332100!A$2</f>
        <v>332100</v>
      </c>
      <c r="B76" s="6">
        <v>200</v>
      </c>
      <c r="C76" s="7" t="str">
        <f>D76&amp;J76&amp;E76&amp;F76&amp;G76</f>
        <v>Premium4</v>
      </c>
      <c r="D76" s="7" t="str">
        <f>IF(I76="PremiumSS",I76,IF(I76="PremiumSSS",I76,IF(I76="PremiumW",I76,"Premium")))</f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7">
        <f ca="1">IFERROR(VLOOKUP(B76,input_settle_332100!L:R,7,FALSE),VLOOKUP(tables_settle_332100!C76,input_settle_332100!A:H,8,FALSE))</f>
        <v>0</v>
      </c>
      <c r="P76" s="48">
        <f ca="1">O76/SUM(O:O)</f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input_settle_332100!A$2</f>
        <v>332100</v>
      </c>
      <c r="B77" s="5">
        <v>201</v>
      </c>
      <c r="C77" s="7" t="str">
        <f>D77&amp;J77&amp;E77&amp;F77&amp;G77</f>
        <v>Premium5</v>
      </c>
      <c r="D77" s="7" t="str">
        <f>IF(I77="PremiumSS",I77,IF(I77="PremiumSSS",I77,IF(I77="PremiumW",I77,"Premium")))</f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7">
        <f ca="1">IFERROR(VLOOKUP(B77,input_settle_332100!L:R,7,FALSE),VLOOKUP(tables_settle_332100!C77,input_settle_332100!A:H,8,FALSE))</f>
        <v>31620</v>
      </c>
      <c r="P77" s="48">
        <f ca="1">O77/SUM(O:O)</f>
        <v>1.7222222222222222E-2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input_settle_332100!A$2</f>
        <v>332100</v>
      </c>
      <c r="B78" s="5">
        <v>202</v>
      </c>
      <c r="C78" s="7" t="str">
        <f>D78&amp;J78&amp;E78&amp;F78&amp;G78</f>
        <v>Premium3</v>
      </c>
      <c r="D78" s="7" t="str">
        <f>IF(I78="PremiumSS",I78,IF(I78="PremiumSSS",I78,IF(I78="PremiumW",I78,"Premium")))</f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7">
        <f ca="1">IFERROR(VLOOKUP(B78,input_settle_332100!L:R,7,FALSE),VLOOKUP(tables_settle_332100!C78,input_settle_332100!A:H,8,FALSE))</f>
        <v>0</v>
      </c>
      <c r="P78" s="48">
        <f ca="1">O78/SUM(O:O)</f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input_settle_332100!A$2</f>
        <v>332100</v>
      </c>
      <c r="B79" s="5">
        <v>203</v>
      </c>
      <c r="C79" s="7" t="str">
        <f>D79&amp;J79&amp;E79&amp;F79&amp;G79</f>
        <v>Premium4</v>
      </c>
      <c r="D79" s="7" t="str">
        <f>IF(I79="PremiumSS",I79,IF(I79="PremiumSSS",I79,IF(I79="PremiumW",I79,"Premium")))</f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7">
        <f ca="1">IFERROR(VLOOKUP(B79,input_settle_332100!L:R,7,FALSE),VLOOKUP(tables_settle_332100!C79,input_settle_332100!A:H,8,FALSE))</f>
        <v>0</v>
      </c>
      <c r="P79" s="48">
        <f ca="1">O79/SUM(O:O)</f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input_settle_332100!A$2</f>
        <v>332100</v>
      </c>
      <c r="B80" s="5">
        <v>204</v>
      </c>
      <c r="C80" s="7" t="str">
        <f>D80&amp;J80&amp;E80&amp;F80&amp;G80</f>
        <v>Premium5</v>
      </c>
      <c r="D80" s="7" t="str">
        <f>IF(I80="PremiumSS",I80,IF(I80="PremiumSSS",I80,IF(I80="PremiumW",I80,"Premium")))</f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7">
        <f ca="1">IFERROR(VLOOKUP(B80,input_settle_332100!L:R,7,FALSE),VLOOKUP(tables_settle_332100!C80,input_settle_332100!A:H,8,FALSE))</f>
        <v>31620</v>
      </c>
      <c r="P80" s="48">
        <f ca="1">O80/SUM(O:O)</f>
        <v>1.7222222222222222E-2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input_settle_332100!A$2</f>
        <v>332100</v>
      </c>
      <c r="B81" s="5">
        <v>205</v>
      </c>
      <c r="C81" s="7" t="str">
        <f>D81&amp;J81&amp;E81&amp;F81&amp;G81</f>
        <v>Premium3</v>
      </c>
      <c r="D81" s="7" t="str">
        <f>IF(I81="PremiumSS",I81,IF(I81="PremiumSSS",I81,IF(I81="PremiumW",I81,"Premium")))</f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7">
        <f ca="1">IFERROR(VLOOKUP(B81,input_settle_332100!L:R,7,FALSE),VLOOKUP(tables_settle_332100!C81,input_settle_332100!A:H,8,FALSE))</f>
        <v>0</v>
      </c>
      <c r="P81" s="48">
        <f ca="1">O81/SUM(O:O)</f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input_settle_332100!A$2</f>
        <v>332100</v>
      </c>
      <c r="B82" s="5">
        <v>206</v>
      </c>
      <c r="C82" s="7" t="str">
        <f>D82&amp;J82&amp;E82&amp;F82&amp;G82</f>
        <v>Premium4</v>
      </c>
      <c r="D82" s="7" t="str">
        <f>IF(I82="PremiumSS",I82,IF(I82="PremiumSSS",I82,IF(I82="PremiumW",I82,"Premium")))</f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7">
        <f ca="1">IFERROR(VLOOKUP(B82,input_settle_332100!L:R,7,FALSE),VLOOKUP(tables_settle_332100!C82,input_settle_332100!A:H,8,FALSE))</f>
        <v>0</v>
      </c>
      <c r="P82" s="48">
        <f ca="1">O82/SUM(O:O)</f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input_settle_332100!A$2</f>
        <v>332100</v>
      </c>
      <c r="B83" s="5">
        <v>207</v>
      </c>
      <c r="C83" s="7" t="str">
        <f>D83&amp;J83&amp;E83&amp;F83&amp;G83</f>
        <v>Premium5</v>
      </c>
      <c r="D83" s="7" t="str">
        <f>IF(I83="PremiumSS",I83,IF(I83="PremiumSSS",I83,IF(I83="PremiumW",I83,"Premium")))</f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7">
        <f ca="1">IFERROR(VLOOKUP(B83,input_settle_332100!L:R,7,FALSE),VLOOKUP(tables_settle_332100!C83,input_settle_332100!A:H,8,FALSE))</f>
        <v>31620</v>
      </c>
      <c r="P83" s="48">
        <f ca="1">O83/SUM(O:O)</f>
        <v>1.7222222222222222E-2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input_settle_332100!A$2</f>
        <v>332100</v>
      </c>
      <c r="B84" s="5">
        <v>208</v>
      </c>
      <c r="C84" s="7" t="str">
        <f>D84&amp;J84&amp;E84&amp;F84&amp;G84</f>
        <v>Premium3</v>
      </c>
      <c r="D84" s="7" t="str">
        <f>IF(I84="PremiumSS",I84,IF(I84="PremiumSSS",I84,IF(I84="PremiumW",I84,"Premium")))</f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7">
        <f ca="1">IFERROR(VLOOKUP(B84,input_settle_332100!L:R,7,FALSE),VLOOKUP(tables_settle_332100!C84,input_settle_332100!A:H,8,FALSE))</f>
        <v>0</v>
      </c>
      <c r="P84" s="48">
        <f ca="1">O84/SUM(O:O)</f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input_settle_332100!A$2</f>
        <v>332100</v>
      </c>
      <c r="B85" s="5">
        <v>209</v>
      </c>
      <c r="C85" s="7" t="str">
        <f>D85&amp;J85&amp;E85&amp;F85&amp;G85</f>
        <v>Premium4</v>
      </c>
      <c r="D85" s="7" t="str">
        <f>IF(I85="PremiumSS",I85,IF(I85="PremiumSSS",I85,IF(I85="PremiumW",I85,"Premium")))</f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7">
        <f ca="1">IFERROR(VLOOKUP(B85,input_settle_332100!L:R,7,FALSE),VLOOKUP(tables_settle_332100!C85,input_settle_332100!A:H,8,FALSE))</f>
        <v>0</v>
      </c>
      <c r="P85" s="48">
        <f ca="1">O85/SUM(O:O)</f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input_settle_332100!A$2</f>
        <v>332100</v>
      </c>
      <c r="B86" s="5">
        <v>210</v>
      </c>
      <c r="C86" s="7" t="str">
        <f>D86&amp;J86&amp;E86&amp;F86&amp;G86</f>
        <v>Premium5</v>
      </c>
      <c r="D86" s="7" t="str">
        <f>IF(I86="PremiumSS",I86,IF(I86="PremiumSSS",I86,IF(I86="PremiumW",I86,"Premium")))</f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7">
        <f ca="1">IFERROR(VLOOKUP(B86,input_settle_332100!L:R,7,FALSE),VLOOKUP(tables_settle_332100!C86,input_settle_332100!A:H,8,FALSE))</f>
        <v>31620</v>
      </c>
      <c r="P86" s="48">
        <f ca="1">O86/SUM(O:O)</f>
        <v>1.7222222222222222E-2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input_settle_332100!A$2</f>
        <v>332100</v>
      </c>
      <c r="B87" s="5">
        <v>211</v>
      </c>
      <c r="C87" s="7" t="str">
        <f>D87&amp;J87&amp;E87&amp;F87&amp;G87</f>
        <v>Premium3</v>
      </c>
      <c r="D87" s="7" t="str">
        <f>IF(I87="PremiumSS",I87,IF(I87="PremiumSSS",I87,IF(I87="PremiumW",I87,"Premium")))</f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7">
        <f ca="1">IFERROR(VLOOKUP(B87,input_settle_332100!L:R,7,FALSE),VLOOKUP(tables_settle_332100!C87,input_settle_332100!A:H,8,FALSE))</f>
        <v>0</v>
      </c>
      <c r="P87" s="48">
        <f ca="1">O87/SUM(O:O)</f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input_settle_332100!A$2</f>
        <v>332100</v>
      </c>
      <c r="B88" s="5">
        <v>212</v>
      </c>
      <c r="C88" s="7" t="str">
        <f>D88&amp;J88&amp;E88&amp;F88&amp;G88</f>
        <v>Premium4</v>
      </c>
      <c r="D88" s="7" t="str">
        <f>IF(I88="PremiumSS",I88,IF(I88="PremiumSSS",I88,IF(I88="PremiumW",I88,"Premium")))</f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7">
        <f ca="1">IFERROR(VLOOKUP(B88,input_settle_332100!L:R,7,FALSE),VLOOKUP(tables_settle_332100!C88,input_settle_332100!A:H,8,FALSE))</f>
        <v>0</v>
      </c>
      <c r="P88" s="48">
        <f ca="1">O88/SUM(O:O)</f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input_settle_332100!A$2</f>
        <v>332100</v>
      </c>
      <c r="B89" s="5">
        <v>213</v>
      </c>
      <c r="C89" s="7" t="str">
        <f>D89&amp;J89&amp;E89&amp;F89&amp;G89</f>
        <v>Premium5</v>
      </c>
      <c r="D89" s="7" t="str">
        <f>IF(I89="PremiumSS",I89,IF(I89="PremiumSSS",I89,IF(I89="PremiumW",I89,"Premium")))</f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7">
        <f ca="1">IFERROR(VLOOKUP(B89,input_settle_332100!L:R,7,FALSE),VLOOKUP(tables_settle_332100!C89,input_settle_332100!A:H,8,FALSE))</f>
        <v>31620</v>
      </c>
      <c r="P89" s="48">
        <f ca="1">O89/SUM(O:O)</f>
        <v>1.7222222222222222E-2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input_settle_332100!A$2</f>
        <v>332100</v>
      </c>
      <c r="B90" s="5">
        <v>214</v>
      </c>
      <c r="C90" s="7" t="str">
        <f>D90&amp;J90&amp;E90&amp;F90&amp;G90</f>
        <v>Premium3</v>
      </c>
      <c r="D90" s="7" t="str">
        <f>IF(I90="PremiumSS",I90,IF(I90="PremiumSSS",I90,IF(I90="PremiumW",I90,"Premium")))</f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7">
        <f ca="1">IFERROR(VLOOKUP(B90,input_settle_332100!L:R,7,FALSE),VLOOKUP(tables_settle_332100!C90,input_settle_332100!A:H,8,FALSE))</f>
        <v>0</v>
      </c>
      <c r="P90" s="48">
        <f ca="1">O90/SUM(O:O)</f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input_settle_332100!A$2</f>
        <v>332100</v>
      </c>
      <c r="B91" s="5">
        <v>215</v>
      </c>
      <c r="C91" s="7" t="str">
        <f>D91&amp;J91&amp;E91&amp;F91&amp;G91</f>
        <v>Premium4</v>
      </c>
      <c r="D91" s="7" t="str">
        <f>IF(I91="PremiumSS",I91,IF(I91="PremiumSSS",I91,IF(I91="PremiumW",I91,"Premium")))</f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7">
        <f ca="1">IFERROR(VLOOKUP(B91,input_settle_332100!L:R,7,FALSE),VLOOKUP(tables_settle_332100!C91,input_settle_332100!A:H,8,FALSE))</f>
        <v>0</v>
      </c>
      <c r="P91" s="48">
        <f ca="1">O91/SUM(O:O)</f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input_settle_332100!A$2</f>
        <v>332100</v>
      </c>
      <c r="B92" s="5">
        <v>216</v>
      </c>
      <c r="C92" s="7" t="str">
        <f>D92&amp;J92&amp;E92&amp;F92&amp;G92</f>
        <v>Premium5</v>
      </c>
      <c r="D92" s="7" t="str">
        <f>IF(I92="PremiumSS",I92,IF(I92="PremiumSSS",I92,IF(I92="PremiumW",I92,"Premium")))</f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7">
        <f ca="1">IFERROR(VLOOKUP(B92,input_settle_332100!L:R,7,FALSE),VLOOKUP(tables_settle_332100!C92,input_settle_332100!A:H,8,FALSE))</f>
        <v>31620</v>
      </c>
      <c r="P92" s="48">
        <f ca="1">O92/SUM(O:O)</f>
        <v>1.7222222222222222E-2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input_settle_332100!A$2</f>
        <v>332100</v>
      </c>
      <c r="B93" s="5">
        <v>217</v>
      </c>
      <c r="C93" s="7" t="str">
        <f>D93&amp;J93&amp;E93&amp;F93&amp;G93</f>
        <v>Premium3</v>
      </c>
      <c r="D93" s="7" t="str">
        <f>IF(I93="PremiumSS",I93,IF(I93="PremiumSSS",I93,IF(I93="PremiumW",I93,"Premium")))</f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7">
        <f ca="1">IFERROR(VLOOKUP(B93,input_settle_332100!L:R,7,FALSE),VLOOKUP(tables_settle_332100!C93,input_settle_332100!A:H,8,FALSE))</f>
        <v>0</v>
      </c>
      <c r="P93" s="48">
        <f ca="1">O93/SUM(O:O)</f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input_settle_332100!A$2</f>
        <v>332100</v>
      </c>
      <c r="B94" s="5">
        <v>218</v>
      </c>
      <c r="C94" s="7" t="str">
        <f>D94&amp;J94&amp;E94&amp;F94&amp;G94</f>
        <v>Premium4</v>
      </c>
      <c r="D94" s="7" t="str">
        <f>IF(I94="PremiumSS",I94,IF(I94="PremiumSSS",I94,IF(I94="PremiumW",I94,"Premium")))</f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7">
        <f ca="1">IFERROR(VLOOKUP(B94,input_settle_332100!L:R,7,FALSE),VLOOKUP(tables_settle_332100!C94,input_settle_332100!A:H,8,FALSE))</f>
        <v>0</v>
      </c>
      <c r="P94" s="48">
        <f ca="1">O94/SUM(O:O)</f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input_settle_332100!A$2</f>
        <v>332100</v>
      </c>
      <c r="B95" s="5">
        <v>219</v>
      </c>
      <c r="C95" s="7" t="str">
        <f>D95&amp;J95&amp;E95&amp;F95&amp;G95</f>
        <v>Premium5</v>
      </c>
      <c r="D95" s="7" t="str">
        <f>IF(I95="PremiumSS",I95,IF(I95="PremiumSSS",I95,IF(I95="PremiumW",I95,"Premium")))</f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7">
        <f ca="1">IFERROR(VLOOKUP(B95,input_settle_332100!L:R,7,FALSE),VLOOKUP(tables_settle_332100!C95,input_settle_332100!A:H,8,FALSE))</f>
        <v>31620</v>
      </c>
      <c r="P95" s="48">
        <f ca="1">O95/SUM(O:O)</f>
        <v>1.7222222222222222E-2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input_settle_332100!A$2</f>
        <v>332100</v>
      </c>
      <c r="B96" s="5">
        <v>220</v>
      </c>
      <c r="C96" s="7" t="str">
        <f>D96&amp;J96&amp;E96&amp;F96&amp;G96</f>
        <v>Premium3</v>
      </c>
      <c r="D96" s="7" t="str">
        <f>IF(I96="PremiumSS",I96,IF(I96="PremiumSSS",I96,IF(I96="PremiumW",I96,"Premium")))</f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7">
        <f ca="1">IFERROR(VLOOKUP(B96,input_settle_332100!L:R,7,FALSE),VLOOKUP(tables_settle_332100!C96,input_settle_332100!A:H,8,FALSE))</f>
        <v>0</v>
      </c>
      <c r="P96" s="48">
        <f ca="1">O96/SUM(O:O)</f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input_settle_332100!A$2</f>
        <v>332100</v>
      </c>
      <c r="B97" s="5">
        <v>221</v>
      </c>
      <c r="C97" s="7" t="str">
        <f>D97&amp;J97&amp;E97&amp;F97&amp;G97</f>
        <v>Premium4</v>
      </c>
      <c r="D97" s="7" t="str">
        <f>IF(I97="PremiumSS",I97,IF(I97="PremiumSSS",I97,IF(I97="PremiumW",I97,"Premium")))</f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7">
        <f ca="1">IFERROR(VLOOKUP(B97,input_settle_332100!L:R,7,FALSE),VLOOKUP(tables_settle_332100!C97,input_settle_332100!A:H,8,FALSE))</f>
        <v>0</v>
      </c>
      <c r="P97" s="48">
        <f ca="1">O97/SUM(O:O)</f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input_settle_332100!A$2</f>
        <v>332100</v>
      </c>
      <c r="B98" s="5">
        <v>222</v>
      </c>
      <c r="C98" s="7" t="str">
        <f>D98&amp;J98&amp;E98&amp;F98&amp;G98</f>
        <v>Premium5</v>
      </c>
      <c r="D98" s="7" t="str">
        <f>IF(I98="PremiumSS",I98,IF(I98="PremiumSSS",I98,IF(I98="PremiumW",I98,"Premium")))</f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7">
        <f ca="1">IFERROR(VLOOKUP(B98,input_settle_332100!L:R,7,FALSE),VLOOKUP(tables_settle_332100!C98,input_settle_332100!A:H,8,FALSE))</f>
        <v>31620</v>
      </c>
      <c r="P98" s="48">
        <f ca="1">O98/SUM(O:O)</f>
        <v>1.7222222222222222E-2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input_settle_332100!A$2</f>
        <v>332100</v>
      </c>
      <c r="B99" s="5">
        <v>223</v>
      </c>
      <c r="C99" s="7" t="str">
        <f>D99&amp;J99&amp;E99&amp;F99&amp;G99</f>
        <v>Premium3</v>
      </c>
      <c r="D99" s="7" t="str">
        <f>IF(I99="PremiumSS",I99,IF(I99="PremiumSSS",I99,IF(I99="PremiumW",I99,"Premium")))</f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7">
        <f ca="1">IFERROR(VLOOKUP(B99,input_settle_332100!L:R,7,FALSE),VLOOKUP(tables_settle_332100!C99,input_settle_332100!A:H,8,FALSE))</f>
        <v>0</v>
      </c>
      <c r="P99" s="48">
        <f ca="1">O99/SUM(O:O)</f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input_settle_332100!A$2</f>
        <v>332100</v>
      </c>
      <c r="B100" s="5">
        <v>224</v>
      </c>
      <c r="C100" s="7" t="str">
        <f>D100&amp;J100&amp;E100&amp;F100&amp;G100</f>
        <v>Premium4</v>
      </c>
      <c r="D100" s="7" t="str">
        <f>IF(I100="PremiumSS",I100,IF(I100="PremiumSSS",I100,IF(I100="PremiumW",I100,"Premium")))</f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7">
        <f ca="1">IFERROR(VLOOKUP(B100,input_settle_332100!L:R,7,FALSE),VLOOKUP(tables_settle_332100!C100,input_settle_332100!A:H,8,FALSE))</f>
        <v>0</v>
      </c>
      <c r="P100" s="48">
        <f ca="1">O100/SUM(O:O)</f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input_settle_332100!A$2</f>
        <v>332100</v>
      </c>
      <c r="B101" s="5">
        <v>225</v>
      </c>
      <c r="C101" s="7" t="str">
        <f>D101&amp;J101&amp;E101&amp;F101&amp;G101</f>
        <v>Premium5</v>
      </c>
      <c r="D101" s="7" t="str">
        <f>IF(I101="PremiumSS",I101,IF(I101="PremiumSSS",I101,IF(I101="PremiumW",I101,"Premium")))</f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7">
        <f ca="1">IFERROR(VLOOKUP(B101,input_settle_332100!L:R,7,FALSE),VLOOKUP(tables_settle_332100!C101,input_settle_332100!A:H,8,FALSE))</f>
        <v>31620</v>
      </c>
      <c r="P101" s="48">
        <f ca="1">O101/SUM(O:O)</f>
        <v>1.7222222222222222E-2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input_settle_332100!A$2</f>
        <v>332100</v>
      </c>
      <c r="B102" s="5">
        <v>226</v>
      </c>
      <c r="C102" s="7" t="str">
        <f>D102&amp;J102&amp;E102&amp;F102&amp;G102</f>
        <v>Premium3</v>
      </c>
      <c r="D102" s="7" t="str">
        <f>IF(I102="PremiumSS",I102,IF(I102="PremiumSSS",I102,IF(I102="PremiumW",I102,"Premium")))</f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7">
        <f ca="1">IFERROR(VLOOKUP(B102,input_settle_332100!L:R,7,FALSE),VLOOKUP(tables_settle_332100!C102,input_settle_332100!A:H,8,FALSE))</f>
        <v>0</v>
      </c>
      <c r="P102" s="48">
        <f ca="1">O102/SUM(O:O)</f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input_settle_332100!A$2</f>
        <v>332100</v>
      </c>
      <c r="B103" s="5">
        <v>227</v>
      </c>
      <c r="C103" s="7" t="str">
        <f>D103&amp;J103&amp;E103&amp;F103&amp;G103</f>
        <v>Premium4</v>
      </c>
      <c r="D103" s="7" t="str">
        <f>IF(I103="PremiumSS",I103,IF(I103="PremiumSSS",I103,IF(I103="PremiumW",I103,"Premium")))</f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7">
        <f ca="1">IFERROR(VLOOKUP(B103,input_settle_332100!L:R,7,FALSE),VLOOKUP(tables_settle_332100!C103,input_settle_332100!A:H,8,FALSE))</f>
        <v>0</v>
      </c>
      <c r="P103" s="48">
        <f ca="1">O103/SUM(O:O)</f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input_settle_332100!A$2</f>
        <v>332100</v>
      </c>
      <c r="B104" s="5">
        <v>228</v>
      </c>
      <c r="C104" s="7" t="str">
        <f>D104&amp;J104&amp;E104&amp;F104&amp;G104</f>
        <v>Premium5</v>
      </c>
      <c r="D104" s="7" t="str">
        <f>IF(I104="PremiumSS",I104,IF(I104="PremiumSSS",I104,IF(I104="PremiumW",I104,"Premium")))</f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7">
        <f ca="1">IFERROR(VLOOKUP(B104,input_settle_332100!L:R,7,FALSE),VLOOKUP(tables_settle_332100!C104,input_settle_332100!A:H,8,FALSE))</f>
        <v>31620</v>
      </c>
      <c r="P104" s="48">
        <f ca="1">O104/SUM(O:O)</f>
        <v>1.7222222222222222E-2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input_settle_332100!A$2</f>
        <v>332100</v>
      </c>
      <c r="B105" s="5">
        <v>229</v>
      </c>
      <c r="C105" s="7" t="str">
        <f>D105&amp;J105&amp;E105&amp;F105&amp;G105</f>
        <v>Premium3</v>
      </c>
      <c r="D105" s="7" t="str">
        <f>IF(I105="PremiumSS",I105,IF(I105="PremiumSSS",I105,IF(I105="PremiumW",I105,"Premium")))</f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7">
        <f ca="1">IFERROR(VLOOKUP(B105,input_settle_332100!L:R,7,FALSE),VLOOKUP(tables_settle_332100!C105,input_settle_332100!A:H,8,FALSE))</f>
        <v>0</v>
      </c>
      <c r="P105" s="48">
        <f ca="1">O105/SUM(O:O)</f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input_settle_332100!A$2</f>
        <v>332100</v>
      </c>
      <c r="B106" s="5">
        <v>230</v>
      </c>
      <c r="C106" s="7" t="str">
        <f>D106&amp;J106&amp;E106&amp;F106&amp;G106</f>
        <v>Premium4</v>
      </c>
      <c r="D106" s="7" t="str">
        <f>IF(I106="PremiumSS",I106,IF(I106="PremiumSSS",I106,IF(I106="PremiumW",I106,"Premium")))</f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7">
        <f ca="1">IFERROR(VLOOKUP(B106,input_settle_332100!L:R,7,FALSE),VLOOKUP(tables_settle_332100!C106,input_settle_332100!A:H,8,FALSE))</f>
        <v>0</v>
      </c>
      <c r="P106" s="48">
        <f ca="1">O106/SUM(O:O)</f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input_settle_332100!A$2</f>
        <v>332100</v>
      </c>
      <c r="B107" s="5">
        <v>231</v>
      </c>
      <c r="C107" s="7" t="str">
        <f>D107&amp;J107&amp;E107&amp;F107&amp;G107</f>
        <v>Premium5</v>
      </c>
      <c r="D107" s="7" t="str">
        <f>IF(I107="PremiumSS",I107,IF(I107="PremiumSSS",I107,IF(I107="PremiumW",I107,"Premium")))</f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7">
        <f ca="1">IFERROR(VLOOKUP(B107,input_settle_332100!L:R,7,FALSE),VLOOKUP(tables_settle_332100!C107,input_settle_332100!A:H,8,FALSE))</f>
        <v>31620</v>
      </c>
      <c r="P107" s="48">
        <f ca="1">O107/SUM(O:O)</f>
        <v>1.7222222222222222E-2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input_settle_332100!A$2</f>
        <v>332100</v>
      </c>
      <c r="B108" s="5">
        <v>232</v>
      </c>
      <c r="C108" s="7" t="str">
        <f>D108&amp;J108&amp;E108&amp;F108&amp;G108</f>
        <v>Premium3</v>
      </c>
      <c r="D108" s="7" t="str">
        <f>IF(I108="PremiumSS",I108,IF(I108="PremiumSSS",I108,IF(I108="PremiumW",I108,"Premium")))</f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7">
        <f ca="1">IFERROR(VLOOKUP(B108,input_settle_332100!L:R,7,FALSE),VLOOKUP(tables_settle_332100!C108,input_settle_332100!A:H,8,FALSE))</f>
        <v>0</v>
      </c>
      <c r="P108" s="48">
        <f ca="1">O108/SUM(O:O)</f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input_settle_332100!A$2</f>
        <v>332100</v>
      </c>
      <c r="B109" s="5">
        <v>233</v>
      </c>
      <c r="C109" s="7" t="str">
        <f>D109&amp;J109&amp;E109&amp;F109&amp;G109</f>
        <v>Premium4</v>
      </c>
      <c r="D109" s="7" t="str">
        <f>IF(I109="PremiumSS",I109,IF(I109="PremiumSSS",I109,IF(I109="PremiumW",I109,"Premium")))</f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7">
        <f ca="1">IFERROR(VLOOKUP(B109,input_settle_332100!L:R,7,FALSE),VLOOKUP(tables_settle_332100!C109,input_settle_332100!A:H,8,FALSE))</f>
        <v>0</v>
      </c>
      <c r="P109" s="48">
        <f ca="1">O109/SUM(O:O)</f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input_settle_332100!A$2</f>
        <v>332100</v>
      </c>
      <c r="B110" s="5">
        <v>234</v>
      </c>
      <c r="C110" s="7" t="str">
        <f>D110&amp;J110&amp;E110&amp;F110&amp;G110</f>
        <v>Premium5</v>
      </c>
      <c r="D110" s="7" t="str">
        <f>IF(I110="PremiumSS",I110,IF(I110="PremiumSSS",I110,IF(I110="PremiumW",I110,"Premium")))</f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7">
        <f ca="1">IFERROR(VLOOKUP(B110,input_settle_332100!L:R,7,FALSE),VLOOKUP(tables_settle_332100!C110,input_settle_332100!A:H,8,FALSE))</f>
        <v>31620</v>
      </c>
      <c r="P110" s="48">
        <f ca="1">O110/SUM(O:O)</f>
        <v>1.7222222222222222E-2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input_settle_332100!A$2</f>
        <v>332100</v>
      </c>
      <c r="B111" s="5">
        <v>235</v>
      </c>
      <c r="C111" s="7" t="str">
        <f>D111&amp;J111&amp;E111&amp;F111&amp;G111</f>
        <v>Premium3R6release</v>
      </c>
      <c r="D111" s="7" t="str">
        <f>IF(I111="PremiumSS",I111,IF(I111="PremiumSSS",I111,IF(I111="PremiumW",I111,"Premium")))</f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7">
        <f ca="1">IFERROR(VLOOKUP(B111,input_settle_332100!L:R,7,FALSE),VLOOKUP(tables_settle_332100!C111,input_settle_332100!A:H,8,FALSE))</f>
        <v>0</v>
      </c>
      <c r="P111" s="48">
        <f ca="1">O111/SUM(O:O)</f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input_settle_332100!A$2</f>
        <v>332100</v>
      </c>
      <c r="B112" s="5">
        <v>236</v>
      </c>
      <c r="C112" s="7" t="str">
        <f>D112&amp;J112&amp;E112&amp;F112&amp;G112</f>
        <v>Premium4R6release</v>
      </c>
      <c r="D112" s="7" t="str">
        <f>IF(I112="PremiumSS",I112,IF(I112="PremiumSSS",I112,IF(I112="PremiumW",I112,"Premium")))</f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7">
        <f ca="1">IFERROR(VLOOKUP(B112,input_settle_332100!L:R,7,FALSE),VLOOKUP(tables_settle_332100!C112,input_settle_332100!A:H,8,FALSE))</f>
        <v>0</v>
      </c>
      <c r="P112" s="48">
        <f ca="1">O112/SUM(O:O)</f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input_settle_332100!A$2</f>
        <v>332100</v>
      </c>
      <c r="B113" s="5">
        <v>237</v>
      </c>
      <c r="C113" s="7" t="str">
        <f>D113&amp;J113&amp;E113&amp;F113&amp;G113</f>
        <v>Premium5R6release</v>
      </c>
      <c r="D113" s="7" t="str">
        <f>IF(I113="PremiumSS",I113,IF(I113="PremiumSSS",I113,IF(I113="PremiumW",I113,"Premium")))</f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7">
        <f ca="1">IFERROR(VLOOKUP(B113,input_settle_332100!L:R,7,FALSE),VLOOKUP(tables_settle_332100!C113,input_settle_332100!A:H,8,FALSE))</f>
        <v>3240</v>
      </c>
      <c r="P113" s="48">
        <f ca="1">O113/SUM(O:O)</f>
        <v>1.7647058823529412E-3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input_settle_332100!A$2</f>
        <v>332100</v>
      </c>
      <c r="B114" s="5">
        <v>238</v>
      </c>
      <c r="C114" s="7" t="str">
        <f>D114&amp;J114&amp;E114&amp;F114&amp;G114</f>
        <v>Premium3</v>
      </c>
      <c r="D114" s="7" t="str">
        <f>IF(I114="PremiumSS",I114,IF(I114="PremiumSSS",I114,IF(I114="PremiumW",I114,"Premium")))</f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7">
        <f ca="1">IFERROR(VLOOKUP(B114,input_settle_332100!L:R,7,FALSE),VLOOKUP(tables_settle_332100!C114,input_settle_332100!A:H,8,FALSE))</f>
        <v>0</v>
      </c>
      <c r="P114" s="48">
        <f ca="1">O114/SUM(O:O)</f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input_settle_332100!A$2</f>
        <v>332100</v>
      </c>
      <c r="B115" s="5">
        <v>239</v>
      </c>
      <c r="C115" s="7" t="str">
        <f>D115&amp;J115&amp;E115&amp;F115&amp;G115</f>
        <v>Premium4</v>
      </c>
      <c r="D115" s="7" t="str">
        <f>IF(I115="PremiumSS",I115,IF(I115="PremiumSSS",I115,IF(I115="PremiumW",I115,"Premium")))</f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7">
        <f ca="1">IFERROR(VLOOKUP(B115,input_settle_332100!L:R,7,FALSE),VLOOKUP(tables_settle_332100!C115,input_settle_332100!A:H,8,FALSE))</f>
        <v>0</v>
      </c>
      <c r="P115" s="48">
        <f ca="1">O115/SUM(O:O)</f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input_settle_332100!A$2</f>
        <v>332100</v>
      </c>
      <c r="B116" s="5">
        <v>240</v>
      </c>
      <c r="C116" s="7" t="str">
        <f>D116&amp;J116&amp;E116&amp;F116&amp;G116</f>
        <v>Premium5</v>
      </c>
      <c r="D116" s="7" t="str">
        <f>IF(I116="PremiumSS",I116,IF(I116="PremiumSSS",I116,IF(I116="PremiumW",I116,"Premium")))</f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7">
        <f ca="1">IFERROR(VLOOKUP(B116,input_settle_332100!L:R,7,FALSE),VLOOKUP(tables_settle_332100!C116,input_settle_332100!A:H,8,FALSE))</f>
        <v>31620</v>
      </c>
      <c r="P116" s="48">
        <f ca="1">O116/SUM(O:O)</f>
        <v>1.7222222222222222E-2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input_settle_332100!A$2</f>
        <v>332100</v>
      </c>
      <c r="B117" s="5">
        <v>241</v>
      </c>
      <c r="C117" s="7" t="str">
        <f>D117&amp;J117&amp;E117&amp;F117&amp;G117</f>
        <v>Premium3</v>
      </c>
      <c r="D117" s="7" t="str">
        <f>IF(I117="PremiumSS",I117,IF(I117="PremiumSSS",I117,IF(I117="PremiumW",I117,"Premium")))</f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7">
        <f ca="1">IFERROR(VLOOKUP(B117,input_settle_332100!L:R,7,FALSE),VLOOKUP(tables_settle_332100!C117,input_settle_332100!A:H,8,FALSE))</f>
        <v>0</v>
      </c>
      <c r="P117" s="48">
        <f ca="1">O117/SUM(O:O)</f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input_settle_332100!A$2</f>
        <v>332100</v>
      </c>
      <c r="B118" s="5">
        <v>242</v>
      </c>
      <c r="C118" s="7" t="str">
        <f>D118&amp;J118&amp;E118&amp;F118&amp;G118</f>
        <v>Premium4</v>
      </c>
      <c r="D118" s="7" t="str">
        <f>IF(I118="PremiumSS",I118,IF(I118="PremiumSSS",I118,IF(I118="PremiumW",I118,"Premium")))</f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7">
        <f ca="1">IFERROR(VLOOKUP(B118,input_settle_332100!L:R,7,FALSE),VLOOKUP(tables_settle_332100!C118,input_settle_332100!A:H,8,FALSE))</f>
        <v>0</v>
      </c>
      <c r="P118" s="48">
        <f ca="1">O118/SUM(O:O)</f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input_settle_332100!A$2</f>
        <v>332100</v>
      </c>
      <c r="B119" s="5">
        <v>243</v>
      </c>
      <c r="C119" s="7" t="str">
        <f>D119&amp;J119&amp;E119&amp;F119&amp;G119</f>
        <v>Premium5</v>
      </c>
      <c r="D119" s="7" t="str">
        <f>IF(I119="PremiumSS",I119,IF(I119="PremiumSSS",I119,IF(I119="PremiumW",I119,"Premium")))</f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7">
        <f ca="1">IFERROR(VLOOKUP(B119,input_settle_332100!L:R,7,FALSE),VLOOKUP(tables_settle_332100!C119,input_settle_332100!A:H,8,FALSE))</f>
        <v>31620</v>
      </c>
      <c r="P119" s="48">
        <f ca="1">O119/SUM(O:O)</f>
        <v>1.7222222222222222E-2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input_settle_332100!A$2</f>
        <v>332100</v>
      </c>
      <c r="B120" s="5">
        <v>244</v>
      </c>
      <c r="C120" s="7" t="str">
        <f>D120&amp;J120&amp;E120&amp;F120&amp;G120</f>
        <v>Premium3</v>
      </c>
      <c r="D120" s="7" t="str">
        <f>IF(I120="PremiumSS",I120,IF(I120="PremiumSSS",I120,IF(I120="PremiumW",I120,"Premium")))</f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7">
        <f ca="1">IFERROR(VLOOKUP(B120,input_settle_332100!L:R,7,FALSE),VLOOKUP(tables_settle_332100!C120,input_settle_332100!A:H,8,FALSE))</f>
        <v>0</v>
      </c>
      <c r="P120" s="48">
        <f ca="1">O120/SUM(O:O)</f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input_settle_332100!A$2</f>
        <v>332100</v>
      </c>
      <c r="B121" s="5">
        <v>245</v>
      </c>
      <c r="C121" s="7" t="str">
        <f>D121&amp;J121&amp;E121&amp;F121&amp;G121</f>
        <v>Premium4</v>
      </c>
      <c r="D121" s="7" t="str">
        <f>IF(I121="PremiumSS",I121,IF(I121="PremiumSSS",I121,IF(I121="PremiumW",I121,"Premium")))</f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7">
        <f ca="1">IFERROR(VLOOKUP(B121,input_settle_332100!L:R,7,FALSE),VLOOKUP(tables_settle_332100!C121,input_settle_332100!A:H,8,FALSE))</f>
        <v>0</v>
      </c>
      <c r="P121" s="48">
        <f ca="1">O121/SUM(O:O)</f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input_settle_332100!A$2</f>
        <v>332100</v>
      </c>
      <c r="B122" s="5">
        <v>246</v>
      </c>
      <c r="C122" s="7" t="str">
        <f>D122&amp;J122&amp;E122&amp;F122&amp;G122</f>
        <v>Premium5</v>
      </c>
      <c r="D122" s="7" t="str">
        <f>IF(I122="PremiumSS",I122,IF(I122="PremiumSSS",I122,IF(I122="PremiumW",I122,"Premium")))</f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7">
        <f ca="1">IFERROR(VLOOKUP(B122,input_settle_332100!L:R,7,FALSE),VLOOKUP(tables_settle_332100!C122,input_settle_332100!A:H,8,FALSE))</f>
        <v>31620</v>
      </c>
      <c r="P122" s="48">
        <f ca="1">O122/SUM(O:O)</f>
        <v>1.7222222222222222E-2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input_settle_332100!A$2</f>
        <v>332100</v>
      </c>
      <c r="B123" s="5">
        <v>247</v>
      </c>
      <c r="C123" s="7" t="str">
        <f>D123&amp;J123&amp;E123&amp;F123&amp;G123</f>
        <v>Premium3</v>
      </c>
      <c r="D123" s="7" t="str">
        <f>IF(I123="PremiumSS",I123,IF(I123="PremiumSSS",I123,IF(I123="PremiumW",I123,"Premium")))</f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7">
        <f ca="1">IFERROR(VLOOKUP(B123,input_settle_332100!L:R,7,FALSE),VLOOKUP(tables_settle_332100!C123,input_settle_332100!A:H,8,FALSE))</f>
        <v>0</v>
      </c>
      <c r="P123" s="48">
        <f ca="1">O123/SUM(O:O)</f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input_settle_332100!A$2</f>
        <v>332100</v>
      </c>
      <c r="B124" s="5">
        <v>248</v>
      </c>
      <c r="C124" s="7" t="str">
        <f>D124&amp;J124&amp;E124&amp;F124&amp;G124</f>
        <v>Premium4</v>
      </c>
      <c r="D124" s="7" t="str">
        <f>IF(I124="PremiumSS",I124,IF(I124="PremiumSSS",I124,IF(I124="PremiumW",I124,"Premium")))</f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7">
        <f ca="1">IFERROR(VLOOKUP(B124,input_settle_332100!L:R,7,FALSE),VLOOKUP(tables_settle_332100!C124,input_settle_332100!A:H,8,FALSE))</f>
        <v>0</v>
      </c>
      <c r="P124" s="48">
        <f ca="1">O124/SUM(O:O)</f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input_settle_332100!A$2</f>
        <v>332100</v>
      </c>
      <c r="B125" s="6">
        <v>249</v>
      </c>
      <c r="C125" s="7" t="str">
        <f>D125&amp;J125&amp;E125&amp;F125&amp;G125</f>
        <v>Premium5</v>
      </c>
      <c r="D125" s="7" t="str">
        <f>IF(I125="PremiumSS",I125,IF(I125="PremiumSSS",I125,IF(I125="PremiumW",I125,"Premium")))</f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7">
        <f ca="1">IFERROR(VLOOKUP(B125,input_settle_332100!L:R,7,FALSE),VLOOKUP(tables_settle_332100!C125,input_settle_332100!A:H,8,FALSE))</f>
        <v>31620</v>
      </c>
      <c r="P125" s="48">
        <f ca="1">O125/SUM(O:O)</f>
        <v>1.7222222222222222E-2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input_settle_332100!A$2</f>
        <v>332100</v>
      </c>
      <c r="B126" s="6">
        <v>250</v>
      </c>
      <c r="C126" s="7" t="str">
        <f>D126&amp;J126&amp;E126&amp;F126&amp;G126</f>
        <v>Premium3</v>
      </c>
      <c r="D126" s="7" t="str">
        <f>IF(I126="PremiumSS",I126,IF(I126="PremiumSSS",I126,IF(I126="PremiumW",I126,"Premium")))</f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7">
        <f ca="1">IFERROR(VLOOKUP(B126,input_settle_332100!L:R,7,FALSE),VLOOKUP(tables_settle_332100!C126,input_settle_332100!A:H,8,FALSE))</f>
        <v>0</v>
      </c>
      <c r="P126" s="48">
        <f ca="1">O126/SUM(O:O)</f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input_settle_332100!A$2</f>
        <v>332100</v>
      </c>
      <c r="B127" s="6">
        <v>251</v>
      </c>
      <c r="C127" s="7" t="str">
        <f>D127&amp;J127&amp;E127&amp;F127&amp;G127</f>
        <v>Premium4</v>
      </c>
      <c r="D127" s="7" t="str">
        <f>IF(I127="PremiumSS",I127,IF(I127="PremiumSSS",I127,IF(I127="PremiumW",I127,"Premium")))</f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7">
        <f ca="1">IFERROR(VLOOKUP(B127,input_settle_332100!L:R,7,FALSE),VLOOKUP(tables_settle_332100!C127,input_settle_332100!A:H,8,FALSE))</f>
        <v>0</v>
      </c>
      <c r="P127" s="48">
        <f ca="1">O127/SUM(O:O)</f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input_settle_332100!A$2</f>
        <v>332100</v>
      </c>
      <c r="B128" s="6">
        <v>252</v>
      </c>
      <c r="C128" s="7" t="str">
        <f>D128&amp;J128&amp;E128&amp;F128&amp;G128</f>
        <v>Premium5</v>
      </c>
      <c r="D128" s="7" t="str">
        <f>IF(I128="PremiumSS",I128,IF(I128="PremiumSSS",I128,IF(I128="PremiumW",I128,"Premium")))</f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7">
        <f ca="1">IFERROR(VLOOKUP(B128,input_settle_332100!L:R,7,FALSE),VLOOKUP(tables_settle_332100!C128,input_settle_332100!A:H,8,FALSE))</f>
        <v>31620</v>
      </c>
      <c r="P128" s="48">
        <f ca="1">O128/SUM(O:O)</f>
        <v>1.7222222222222222E-2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input_settle_332100!A$2</f>
        <v>332100</v>
      </c>
      <c r="B129" s="6">
        <v>253</v>
      </c>
      <c r="C129" s="7" t="str">
        <f>D129&amp;J129&amp;E129&amp;F129&amp;G129</f>
        <v>Premium3</v>
      </c>
      <c r="D129" s="7" t="str">
        <f>IF(I129="PremiumSS",I129,IF(I129="PremiumSSS",I129,IF(I129="PremiumW",I129,"Premium")))</f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7">
        <f ca="1">IFERROR(VLOOKUP(B129,input_settle_332100!L:R,7,FALSE),VLOOKUP(tables_settle_332100!C129,input_settle_332100!A:H,8,FALSE))</f>
        <v>0</v>
      </c>
      <c r="P129" s="48">
        <f ca="1">O129/SUM(O:O)</f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input_settle_332100!A$2</f>
        <v>332100</v>
      </c>
      <c r="B130" s="6">
        <v>254</v>
      </c>
      <c r="C130" s="7" t="str">
        <f>D130&amp;J130&amp;E130&amp;F130&amp;G130</f>
        <v>Premium4</v>
      </c>
      <c r="D130" s="7" t="str">
        <f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7">
        <f ca="1">IFERROR(VLOOKUP(B130,input_settle_332100!L:R,7,FALSE),VLOOKUP(tables_settle_332100!C130,input_settle_332100!A:H,8,FALSE))</f>
        <v>0</v>
      </c>
      <c r="P130" s="48">
        <f ca="1">O130/SUM(O:O)</f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input_settle_332100!A$2</f>
        <v>332100</v>
      </c>
      <c r="B131" s="6">
        <v>255</v>
      </c>
      <c r="C131" s="7" t="str">
        <f>D131&amp;J131&amp;E131&amp;F131&amp;G131</f>
        <v>Premium5</v>
      </c>
      <c r="D131" s="7" t="str">
        <f>IF(I131="PremiumSS",I131,IF(I131="PremiumSSS",I131,IF(I131="PremiumW",I131,"Premium")))</f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7">
        <f ca="1">IFERROR(VLOOKUP(B131,input_settle_332100!L:R,7,FALSE),VLOOKUP(tables_settle_332100!C131,input_settle_332100!A:H,8,FALSE))</f>
        <v>31620</v>
      </c>
      <c r="P131" s="48">
        <f ca="1">O131/SUM(O:O)</f>
        <v>1.7222222222222222E-2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input_settle_332100!A$2</f>
        <v>332100</v>
      </c>
      <c r="B132" s="6">
        <v>256</v>
      </c>
      <c r="C132" s="7" t="str">
        <f>D132&amp;J132&amp;E132&amp;F132&amp;G132</f>
        <v>Premium3</v>
      </c>
      <c r="D132" s="7" t="str">
        <f>IF(I132="PremiumSS",I132,IF(I132="PremiumSSS",I132,IF(I132="PremiumW",I132,"Premium")))</f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7">
        <f ca="1">IFERROR(VLOOKUP(B132,input_settle_332100!L:R,7,FALSE),VLOOKUP(tables_settle_332100!C132,input_settle_332100!A:H,8,FALSE))</f>
        <v>0</v>
      </c>
      <c r="P132" s="48">
        <f ca="1">O132/SUM(O:O)</f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input_settle_332100!A$2</f>
        <v>332100</v>
      </c>
      <c r="B133" s="6">
        <v>257</v>
      </c>
      <c r="C133" s="7" t="str">
        <f>D133&amp;J133&amp;E133&amp;F133&amp;G133</f>
        <v>Premium4</v>
      </c>
      <c r="D133" s="7" t="str">
        <f>IF(I133="PremiumSS",I133,IF(I133="PremiumSSS",I133,IF(I133="PremiumW",I133,"Premium")))</f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7">
        <f ca="1">IFERROR(VLOOKUP(B133,input_settle_332100!L:R,7,FALSE),VLOOKUP(tables_settle_332100!C133,input_settle_332100!A:H,8,FALSE))</f>
        <v>0</v>
      </c>
      <c r="P133" s="48">
        <f ca="1">O133/SUM(O:O)</f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input_settle_332100!A$2</f>
        <v>332100</v>
      </c>
      <c r="B134" s="6">
        <v>258</v>
      </c>
      <c r="C134" s="7" t="str">
        <f>D134&amp;J134&amp;E134&amp;F134&amp;G134</f>
        <v>Premium5</v>
      </c>
      <c r="D134" s="7" t="str">
        <f>IF(I134="PremiumSS",I134,IF(I134="PremiumSSS",I134,IF(I134="PremiumW",I134,"Premium")))</f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7">
        <f ca="1">IFERROR(VLOOKUP(B134,input_settle_332100!L:R,7,FALSE),VLOOKUP(tables_settle_332100!C134,input_settle_332100!A:H,8,FALSE))</f>
        <v>31620</v>
      </c>
      <c r="P134" s="48">
        <f ca="1">O134/SUM(O:O)</f>
        <v>1.7222222222222222E-2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input_settle_332100!A$2</f>
        <v>332100</v>
      </c>
      <c r="B135" s="6">
        <v>259</v>
      </c>
      <c r="C135" s="7" t="str">
        <f>D135&amp;J135&amp;E135&amp;F135&amp;G135</f>
        <v>Premium3</v>
      </c>
      <c r="D135" s="7" t="str">
        <f>IF(I135="PremiumSS",I135,IF(I135="PremiumSSS",I135,IF(I135="PremiumW",I135,"Premium")))</f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7">
        <f ca="1">IFERROR(VLOOKUP(B135,input_settle_332100!L:R,7,FALSE),VLOOKUP(tables_settle_332100!C135,input_settle_332100!A:H,8,FALSE))</f>
        <v>0</v>
      </c>
      <c r="P135" s="48">
        <f ca="1">O135/SUM(O:O)</f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input_settle_332100!A$2</f>
        <v>332100</v>
      </c>
      <c r="B136" s="8">
        <v>260</v>
      </c>
      <c r="C136" s="7" t="str">
        <f>D136&amp;J136&amp;E136&amp;F136&amp;G136</f>
        <v>Premium4</v>
      </c>
      <c r="D136" s="7" t="str">
        <f>IF(I136="PremiumSS",I136,IF(I136="PremiumSSS",I136,IF(I136="PremiumW",I136,"Premium")))</f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7">
        <f ca="1">IFERROR(VLOOKUP(B136,input_settle_332100!L:R,7,FALSE),VLOOKUP(tables_settle_332100!C136,input_settle_332100!A:H,8,FALSE))</f>
        <v>0</v>
      </c>
      <c r="P136" s="48">
        <f ca="1">O136/SUM(O:O)</f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input_settle_332100!A$2</f>
        <v>332100</v>
      </c>
      <c r="B137" s="8">
        <v>261</v>
      </c>
      <c r="C137" s="7" t="str">
        <f>D137&amp;J137&amp;E137&amp;F137&amp;G137</f>
        <v>Premium5</v>
      </c>
      <c r="D137" s="7" t="str">
        <f>IF(I137="PremiumSS",I137,IF(I137="PremiumSSS",I137,IF(I137="PremiumW",I137,"Premium")))</f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7">
        <f ca="1">IFERROR(VLOOKUP(B137,input_settle_332100!L:R,7,FALSE),VLOOKUP(tables_settle_332100!C137,input_settle_332100!A:H,8,FALSE))</f>
        <v>31620</v>
      </c>
      <c r="P137" s="48">
        <f ca="1">O137/SUM(O:O)</f>
        <v>1.7222222222222222E-2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input_settle_332100!A$2</f>
        <v>332100</v>
      </c>
      <c r="B138" s="6">
        <v>320</v>
      </c>
      <c r="C138" s="7" t="str">
        <f>D138&amp;J138&amp;E138&amp;F138&amp;G138</f>
        <v>PremiumSS4</v>
      </c>
      <c r="D138" s="7" t="str">
        <f>IF(I138="PremiumSS",I138,IF(I138="PremiumSSS",I138,IF(I138="PremiumW",I138,"Premium")))</f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7">
        <f ca="1">IFERROR(VLOOKUP(B138,input_settle_332100!L:R,7,FALSE),VLOOKUP(tables_settle_332100!C138,input_settle_332100!A:H,8,FALSE))</f>
        <v>0</v>
      </c>
      <c r="P138" s="48">
        <f ca="1">O138/SUM(O:O)</f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input_settle_332100!A$2</f>
        <v>332100</v>
      </c>
      <c r="B139" s="6">
        <v>321</v>
      </c>
      <c r="C139" s="7" t="str">
        <f>D139&amp;J139&amp;E139&amp;F139&amp;G139</f>
        <v>PremiumSS5</v>
      </c>
      <c r="D139" s="7" t="str">
        <f>IF(I139="PremiumSS",I139,IF(I139="PremiumSSS",I139,IF(I139="PremiumW",I139,"Premium")))</f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7">
        <f ca="1">IFERROR(VLOOKUP(B139,input_settle_332100!L:R,7,FALSE),VLOOKUP(tables_settle_332100!C139,input_settle_332100!A:H,8,FALSE))</f>
        <v>3240</v>
      </c>
      <c r="P139" s="48">
        <f ca="1">O139/SUM(O:O)</f>
        <v>1.7647058823529412E-3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input_settle_332100!A$2</f>
        <v>332100</v>
      </c>
      <c r="B140" s="6">
        <v>322</v>
      </c>
      <c r="C140" s="7" t="str">
        <f>D140&amp;J140&amp;E140&amp;F140&amp;G140</f>
        <v>PremiumSS4</v>
      </c>
      <c r="D140" s="7" t="str">
        <f>IF(I140="PremiumSS",I140,IF(I140="PremiumSSS",I140,IF(I140="PremiumW",I140,"Premium")))</f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7">
        <f ca="1">IFERROR(VLOOKUP(B140,input_settle_332100!L:R,7,FALSE),VLOOKUP(tables_settle_332100!C140,input_settle_332100!A:H,8,FALSE))</f>
        <v>0</v>
      </c>
      <c r="P140" s="48">
        <f ca="1">O140/SUM(O:O)</f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input_settle_332100!A$2</f>
        <v>332100</v>
      </c>
      <c r="B141" s="6">
        <v>323</v>
      </c>
      <c r="C141" s="7" t="str">
        <f>D141&amp;J141&amp;E141&amp;F141&amp;G141</f>
        <v>PremiumSS5</v>
      </c>
      <c r="D141" s="7" t="str">
        <f>IF(I141="PremiumSS",I141,IF(I141="PremiumSSS",I141,IF(I141="PremiumW",I141,"Premium")))</f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7">
        <f ca="1">IFERROR(VLOOKUP(B141,input_settle_332100!L:R,7,FALSE),VLOOKUP(tables_settle_332100!C141,input_settle_332100!A:H,8,FALSE))</f>
        <v>3240</v>
      </c>
      <c r="P141" s="48">
        <f ca="1">O141/SUM(O:O)</f>
        <v>1.7647058823529412E-3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input_settle_332100!A$2</f>
        <v>332100</v>
      </c>
      <c r="B142" s="6">
        <v>324</v>
      </c>
      <c r="C142" s="7" t="str">
        <f>D142&amp;J142&amp;E142&amp;F142&amp;G142</f>
        <v>PremiumSS4</v>
      </c>
      <c r="D142" s="7" t="str">
        <f>IF(I142="PremiumSS",I142,IF(I142="PremiumSSS",I142,IF(I142="PremiumW",I142,"Premium")))</f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7">
        <f ca="1">IFERROR(VLOOKUP(B142,input_settle_332100!L:R,7,FALSE),VLOOKUP(tables_settle_332100!C142,input_settle_332100!A:H,8,FALSE))</f>
        <v>0</v>
      </c>
      <c r="P142" s="48">
        <f ca="1">O142/SUM(O:O)</f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input_settle_332100!A$2</f>
        <v>332100</v>
      </c>
      <c r="B143" s="6">
        <v>325</v>
      </c>
      <c r="C143" s="7" t="str">
        <f>D143&amp;J143&amp;E143&amp;F143&amp;G143</f>
        <v>PremiumSS5</v>
      </c>
      <c r="D143" s="7" t="str">
        <f>IF(I143="PremiumSS",I143,IF(I143="PremiumSSS",I143,IF(I143="PremiumW",I143,"Premium")))</f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7">
        <f ca="1">IFERROR(VLOOKUP(B143,input_settle_332100!L:R,7,FALSE),VLOOKUP(tables_settle_332100!C143,input_settle_332100!A:H,8,FALSE))</f>
        <v>3240</v>
      </c>
      <c r="P143" s="48">
        <f ca="1">O143/SUM(O:O)</f>
        <v>1.7647058823529412E-3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input_settle_332100!A$2</f>
        <v>332100</v>
      </c>
      <c r="B144" s="6">
        <v>326</v>
      </c>
      <c r="C144" s="7" t="str">
        <f>D144&amp;J144&amp;E144&amp;F144&amp;G144</f>
        <v>PremiumSS4</v>
      </c>
      <c r="D144" s="7" t="str">
        <f>IF(I144="PremiumSS",I144,IF(I144="PremiumSSS",I144,IF(I144="PremiumW",I144,"Premium")))</f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7">
        <f ca="1">IFERROR(VLOOKUP(B144,input_settle_332100!L:R,7,FALSE),VLOOKUP(tables_settle_332100!C144,input_settle_332100!A:H,8,FALSE))</f>
        <v>0</v>
      </c>
      <c r="P144" s="48">
        <f ca="1">O144/SUM(O:O)</f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input_settle_332100!A$2</f>
        <v>332100</v>
      </c>
      <c r="B145" s="6">
        <v>327</v>
      </c>
      <c r="C145" s="7" t="str">
        <f>D145&amp;J145&amp;E145&amp;F145&amp;G145</f>
        <v>PremiumSS5</v>
      </c>
      <c r="D145" s="7" t="str">
        <f>IF(I145="PremiumSS",I145,IF(I145="PremiumSSS",I145,IF(I145="PremiumW",I145,"Premium")))</f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7">
        <f ca="1">IFERROR(VLOOKUP(B145,input_settle_332100!L:R,7,FALSE),VLOOKUP(tables_settle_332100!C145,input_settle_332100!A:H,8,FALSE))</f>
        <v>3240</v>
      </c>
      <c r="P145" s="48">
        <f ca="1">O145/SUM(O:O)</f>
        <v>1.7647058823529412E-3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input_settle_332100!A$2</f>
        <v>332100</v>
      </c>
      <c r="B146" s="6">
        <v>380</v>
      </c>
      <c r="C146" s="7" t="str">
        <f>D146&amp;J146&amp;E146&amp;F146&amp;G146</f>
        <v>Premium3</v>
      </c>
      <c r="D146" s="7" t="str">
        <f>IF(I146="PremiumSS",I146,IF(I146="PremiumSSS",I146,IF(I146="PremiumW",I146,"Premium")))</f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7">
        <f ca="1">IFERROR(VLOOKUP(B146,input_settle_332100!L:R,7,FALSE),VLOOKUP(tables_settle_332100!C146,input_settle_332100!A:H,8,FALSE))</f>
        <v>0</v>
      </c>
      <c r="P146" s="48">
        <f ca="1">O146/SUM(O:O)</f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input_settle_332100!A$2</f>
        <v>332100</v>
      </c>
      <c r="B147" s="6">
        <v>381</v>
      </c>
      <c r="C147" s="7" t="str">
        <f>D147&amp;J147&amp;E147&amp;F147&amp;G147</f>
        <v>Premium4</v>
      </c>
      <c r="D147" s="7" t="str">
        <f>IF(I147="PremiumSS",I147,IF(I147="PremiumSSS",I147,IF(I147="PremiumW",I147,"Premium")))</f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7">
        <f ca="1">IFERROR(VLOOKUP(B147,input_settle_332100!L:R,7,FALSE),VLOOKUP(tables_settle_332100!C147,input_settle_332100!A:H,8,FALSE))</f>
        <v>0</v>
      </c>
      <c r="P147" s="48">
        <f ca="1">O147/SUM(O:O)</f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input_settle_332100!A$2</f>
        <v>332100</v>
      </c>
      <c r="B148" s="6">
        <v>382</v>
      </c>
      <c r="C148" s="7" t="str">
        <f>D148&amp;J148&amp;E148&amp;F148&amp;G148</f>
        <v>Premium5</v>
      </c>
      <c r="D148" s="7" t="str">
        <f>IF(I148="PremiumSS",I148,IF(I148="PremiumSSS",I148,IF(I148="PremiumW",I148,"Premium")))</f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7">
        <f ca="1">IFERROR(VLOOKUP(B148,input_settle_332100!L:R,7,FALSE),VLOOKUP(tables_settle_332100!C148,input_settle_332100!A:H,8,FALSE))</f>
        <v>31620</v>
      </c>
      <c r="P148" s="48">
        <f ca="1">O148/SUM(O:O)</f>
        <v>1.7222222222222222E-2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input_settle_332100!A$2</f>
        <v>332100</v>
      </c>
      <c r="B149" s="6">
        <v>383</v>
      </c>
      <c r="C149" s="7" t="str">
        <f>D149&amp;J149&amp;E149&amp;F149&amp;G149</f>
        <v>PremiumSS4</v>
      </c>
      <c r="D149" s="7" t="str">
        <f>IF(I149="PremiumSS",I149,IF(I149="PremiumSSS",I149,IF(I149="PremiumW",I149,"Premium")))</f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7">
        <f ca="1">IFERROR(VLOOKUP(B149,input_settle_332100!L:R,7,FALSE),VLOOKUP(tables_settle_332100!C149,input_settle_332100!A:H,8,FALSE))</f>
        <v>0</v>
      </c>
      <c r="P149" s="48">
        <f ca="1">O149/SUM(O:O)</f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input_settle_332100!A$2</f>
        <v>332100</v>
      </c>
      <c r="B150" s="6">
        <v>384</v>
      </c>
      <c r="C150" s="7" t="str">
        <f>D150&amp;J150&amp;E150&amp;F150&amp;G150</f>
        <v>PremiumSS5</v>
      </c>
      <c r="D150" s="7" t="str">
        <f>IF(I150="PremiumSS",I150,IF(I150="PremiumSSS",I150,IF(I150="PremiumW",I150,"Premium")))</f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7">
        <f ca="1">IFERROR(VLOOKUP(B150,input_settle_332100!L:R,7,FALSE),VLOOKUP(tables_settle_332100!C150,input_settle_332100!A:H,8,FALSE))</f>
        <v>3240</v>
      </c>
      <c r="P150" s="48">
        <f ca="1">O150/SUM(O:O)</f>
        <v>1.7647058823529412E-3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input_settle_332100!A$2</f>
        <v>332100</v>
      </c>
      <c r="B151" s="6">
        <v>385</v>
      </c>
      <c r="C151" s="7" t="str">
        <f>D151&amp;J151&amp;E151&amp;F151&amp;G151</f>
        <v>PremiumSS4</v>
      </c>
      <c r="D151" s="7" t="str">
        <f>IF(I151="PremiumSS",I151,IF(I151="PremiumSSS",I151,IF(I151="PremiumW",I151,"Premium")))</f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7">
        <f ca="1">IFERROR(VLOOKUP(B151,input_settle_332100!L:R,7,FALSE),VLOOKUP(tables_settle_332100!C151,input_settle_332100!A:H,8,FALSE))</f>
        <v>0</v>
      </c>
      <c r="P151" s="48">
        <f ca="1">O151/SUM(O:O)</f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input_settle_332100!A$2</f>
        <v>332100</v>
      </c>
      <c r="B152" s="6">
        <v>386</v>
      </c>
      <c r="C152" s="7" t="str">
        <f>D152&amp;J152&amp;E152&amp;F152&amp;G152</f>
        <v>PremiumSS5</v>
      </c>
      <c r="D152" s="7" t="str">
        <f>IF(I152="PremiumSS",I152,IF(I152="PremiumSSS",I152,IF(I152="PremiumW",I152,"Premium")))</f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7">
        <f ca="1">IFERROR(VLOOKUP(B152,input_settle_332100!L:R,7,FALSE),VLOOKUP(tables_settle_332100!C152,input_settle_332100!A:H,8,FALSE))</f>
        <v>3240</v>
      </c>
      <c r="P152" s="48">
        <f ca="1">O152/SUM(O:O)</f>
        <v>1.7647058823529412E-3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input_settle_332100!A$2</f>
        <v>332100</v>
      </c>
      <c r="B153" s="6">
        <v>387</v>
      </c>
      <c r="C153" s="7" t="str">
        <f>D153&amp;J153&amp;E153&amp;F153&amp;G153</f>
        <v>Premium3</v>
      </c>
      <c r="D153" s="7" t="str">
        <f>IF(I153="PremiumSS",I153,IF(I153="PremiumSSS",I153,IF(I153="PremiumW",I153,"Premium")))</f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7">
        <f ca="1">IFERROR(VLOOKUP(B153,input_settle_332100!L:R,7,FALSE),VLOOKUP(tables_settle_332100!C153,input_settle_332100!A:H,8,FALSE))</f>
        <v>0</v>
      </c>
      <c r="P153" s="48">
        <f ca="1">O153/SUM(O:O)</f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input_settle_332100!A$2</f>
        <v>332100</v>
      </c>
      <c r="B154" s="6">
        <v>388</v>
      </c>
      <c r="C154" s="7" t="str">
        <f>D154&amp;J154&amp;E154&amp;F154&amp;G154</f>
        <v>Premium4</v>
      </c>
      <c r="D154" s="7" t="str">
        <f>IF(I154="PremiumSS",I154,IF(I154="PremiumSSS",I154,IF(I154="PremiumW",I154,"Premium")))</f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7">
        <f ca="1">IFERROR(VLOOKUP(B154,input_settle_332100!L:R,7,FALSE),VLOOKUP(tables_settle_332100!C154,input_settle_332100!A:H,8,FALSE))</f>
        <v>0</v>
      </c>
      <c r="P154" s="48">
        <f ca="1">O154/SUM(O:O)</f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input_settle_332100!A$2</f>
        <v>332100</v>
      </c>
      <c r="B155" s="6">
        <v>389</v>
      </c>
      <c r="C155" s="7" t="str">
        <f>D155&amp;J155&amp;E155&amp;F155&amp;G155</f>
        <v>Premium5</v>
      </c>
      <c r="D155" s="7" t="str">
        <f>IF(I155="PremiumSS",I155,IF(I155="PremiumSSS",I155,IF(I155="PremiumW",I155,"Premium")))</f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7">
        <f ca="1">IFERROR(VLOOKUP(B155,input_settle_332100!L:R,7,FALSE),VLOOKUP(tables_settle_332100!C155,input_settle_332100!A:H,8,FALSE))</f>
        <v>31620</v>
      </c>
      <c r="P155" s="48">
        <f ca="1">O155/SUM(O:O)</f>
        <v>1.7222222222222222E-2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input_settle_332100!A$2</f>
        <v>332100</v>
      </c>
      <c r="B156" s="6">
        <v>390</v>
      </c>
      <c r="C156" s="7" t="str">
        <f>D156&amp;J156&amp;E156&amp;F156&amp;G156</f>
        <v>PremiumSS4</v>
      </c>
      <c r="D156" s="7" t="str">
        <f>IF(I156="PremiumSS",I156,IF(I156="PremiumSSS",I156,IF(I156="PremiumW",I156,"Premium")))</f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7">
        <f ca="1">IFERROR(VLOOKUP(B156,input_settle_332100!L:R,7,FALSE),VLOOKUP(tables_settle_332100!C156,input_settle_332100!A:H,8,FALSE))</f>
        <v>0</v>
      </c>
      <c r="P156" s="48">
        <f ca="1">O156/SUM(O:O)</f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input_settle_332100!A$2</f>
        <v>332100</v>
      </c>
      <c r="B157" s="6">
        <v>391</v>
      </c>
      <c r="C157" s="7" t="str">
        <f>D157&amp;J157&amp;E157&amp;F157&amp;G157</f>
        <v>PremiumSS5</v>
      </c>
      <c r="D157" s="7" t="str">
        <f>IF(I157="PremiumSS",I157,IF(I157="PremiumSSS",I157,IF(I157="PremiumW",I157,"Premium")))</f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7">
        <f ca="1">IFERROR(VLOOKUP(B157,input_settle_332100!L:R,7,FALSE),VLOOKUP(tables_settle_332100!C157,input_settle_332100!A:H,8,FALSE))</f>
        <v>3240</v>
      </c>
      <c r="P157" s="48">
        <f ca="1">O157/SUM(O:O)</f>
        <v>1.7647058823529412E-3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input_settle_332100!A$2</f>
        <v>332100</v>
      </c>
      <c r="B158" s="6">
        <v>392</v>
      </c>
      <c r="C158" s="7" t="str">
        <f>D158&amp;J158&amp;E158&amp;F158&amp;G158</f>
        <v>Premium3</v>
      </c>
      <c r="D158" s="7" t="str">
        <f>IF(I158="PremiumSS",I158,IF(I158="PremiumSSS",I158,IF(I158="PremiumW",I158,"Premium")))</f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7">
        <f ca="1">IFERROR(VLOOKUP(B158,input_settle_332100!L:R,7,FALSE),VLOOKUP(tables_settle_332100!C158,input_settle_332100!A:H,8,FALSE))</f>
        <v>0</v>
      </c>
      <c r="P158" s="48">
        <f ca="1">O158/SUM(O:O)</f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input_settle_332100!A$2</f>
        <v>332100</v>
      </c>
      <c r="B159" s="6">
        <v>393</v>
      </c>
      <c r="C159" s="7" t="str">
        <f>D159&amp;J159&amp;E159&amp;F159&amp;G159</f>
        <v>Premium4</v>
      </c>
      <c r="D159" s="7" t="str">
        <f>IF(I159="PremiumSS",I159,IF(I159="PremiumSSS",I159,IF(I159="PremiumW",I159,"Premium")))</f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7">
        <f ca="1">IFERROR(VLOOKUP(B159,input_settle_332100!L:R,7,FALSE),VLOOKUP(tables_settle_332100!C159,input_settle_332100!A:H,8,FALSE))</f>
        <v>0</v>
      </c>
      <c r="P159" s="48">
        <f ca="1">O159/SUM(O:O)</f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input_settle_332100!A$2</f>
        <v>332100</v>
      </c>
      <c r="B160" s="6">
        <v>394</v>
      </c>
      <c r="C160" s="7" t="str">
        <f>D160&amp;J160&amp;E160&amp;F160&amp;G160</f>
        <v>Premium5</v>
      </c>
      <c r="D160" s="7" t="str">
        <f>IF(I160="PremiumSS",I160,IF(I160="PremiumSSS",I160,IF(I160="PremiumW",I160,"Premium")))</f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7">
        <f ca="1">IFERROR(VLOOKUP(B160,input_settle_332100!L:R,7,FALSE),VLOOKUP(tables_settle_332100!C160,input_settle_332100!A:H,8,FALSE))</f>
        <v>31620</v>
      </c>
      <c r="P160" s="48">
        <f ca="1">O160/SUM(O:O)</f>
        <v>1.7222222222222222E-2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input_settle_332100!A$2</f>
        <v>332100</v>
      </c>
      <c r="B161" s="6">
        <v>395</v>
      </c>
      <c r="C161" s="7" t="str">
        <f>D161&amp;J161&amp;E161&amp;F161&amp;G161</f>
        <v>Premium3</v>
      </c>
      <c r="D161" s="7" t="str">
        <f>IF(I161="PremiumSS",I161,IF(I161="PremiumSSS",I161,IF(I161="PremiumW",I161,"Premium")))</f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7">
        <f ca="1">IFERROR(VLOOKUP(B161,input_settle_332100!L:R,7,FALSE),VLOOKUP(tables_settle_332100!C161,input_settle_332100!A:H,8,FALSE))</f>
        <v>0</v>
      </c>
      <c r="P161" s="48">
        <f ca="1">O161/SUM(O:O)</f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input_settle_332100!A$2</f>
        <v>332100</v>
      </c>
      <c r="B162" s="6">
        <v>396</v>
      </c>
      <c r="C162" s="7" t="str">
        <f>D162&amp;J162&amp;E162&amp;F162&amp;G162</f>
        <v>Premium4</v>
      </c>
      <c r="D162" s="7" t="str">
        <f>IF(I162="PremiumSS",I162,IF(I162="PremiumSSS",I162,IF(I162="PremiumW",I162,"Premium")))</f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7">
        <f ca="1">IFERROR(VLOOKUP(B162,input_settle_332100!L:R,7,FALSE),VLOOKUP(tables_settle_332100!C162,input_settle_332100!A:H,8,FALSE))</f>
        <v>0</v>
      </c>
      <c r="P162" s="48">
        <f ca="1">O162/SUM(O:O)</f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input_settle_332100!A$2</f>
        <v>332100</v>
      </c>
      <c r="B163" s="6">
        <v>397</v>
      </c>
      <c r="C163" s="7" t="str">
        <f>D163&amp;J163&amp;E163&amp;F163&amp;G163</f>
        <v>Premium5</v>
      </c>
      <c r="D163" s="7" t="str">
        <f>IF(I163="PremiumSS",I163,IF(I163="PremiumSSS",I163,IF(I163="PremiumW",I163,"Premium")))</f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7">
        <f ca="1">IFERROR(VLOOKUP(B163,input_settle_332100!L:R,7,FALSE),VLOOKUP(tables_settle_332100!C163,input_settle_332100!A:H,8,FALSE))</f>
        <v>31620</v>
      </c>
      <c r="P163" s="48">
        <f ca="1">O163/SUM(O:O)</f>
        <v>1.7222222222222222E-2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input_settle_332100!A$2</f>
        <v>332100</v>
      </c>
      <c r="B164" s="6">
        <v>398</v>
      </c>
      <c r="C164" s="7" t="str">
        <f>D164&amp;J164&amp;E164&amp;F164&amp;G164</f>
        <v>PremiumSS4</v>
      </c>
      <c r="D164" s="7" t="str">
        <f>IF(I164="PremiumSS",I164,IF(I164="PremiumSSS",I164,IF(I164="PremiumW",I164,"Premium")))</f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7">
        <f ca="1">IFERROR(VLOOKUP(B164,input_settle_332100!L:R,7,FALSE),VLOOKUP(tables_settle_332100!C164,input_settle_332100!A:H,8,FALSE))</f>
        <v>0</v>
      </c>
      <c r="P164" s="48">
        <f ca="1">O164/SUM(O:O)</f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input_settle_332100!A$2</f>
        <v>332100</v>
      </c>
      <c r="B165" s="6">
        <v>399</v>
      </c>
      <c r="C165" s="7" t="str">
        <f>D165&amp;J165&amp;E165&amp;F165&amp;G165</f>
        <v>PremiumSS5</v>
      </c>
      <c r="D165" s="7" t="str">
        <f>IF(I165="PremiumSS",I165,IF(I165="PremiumSSS",I165,IF(I165="PremiumW",I165,"Premium")))</f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7">
        <f ca="1">IFERROR(VLOOKUP(B165,input_settle_332100!L:R,7,FALSE),VLOOKUP(tables_settle_332100!C165,input_settle_332100!A:H,8,FALSE))</f>
        <v>3240</v>
      </c>
      <c r="P165" s="48">
        <f ca="1">O165/SUM(O:O)</f>
        <v>1.7647058823529412E-3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input_settle_332100!A$2</f>
        <v>332100</v>
      </c>
      <c r="B166" s="6">
        <v>400</v>
      </c>
      <c r="C166" s="7" t="str">
        <f>D166&amp;J166&amp;E166&amp;F166&amp;G166</f>
        <v>Premium3</v>
      </c>
      <c r="D166" s="7" t="str">
        <f>IF(I166="PremiumSS",I166,IF(I166="PremiumSSS",I166,IF(I166="PremiumW",I166,"Premium")))</f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7">
        <f ca="1">IFERROR(VLOOKUP(B166,input_settle_332100!L:R,7,FALSE),VLOOKUP(tables_settle_332100!C166,input_settle_332100!A:H,8,FALSE))</f>
        <v>0</v>
      </c>
      <c r="P166" s="48">
        <f ca="1">O166/SUM(O:O)</f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input_settle_332100!A$2</f>
        <v>332100</v>
      </c>
      <c r="B167" s="6">
        <v>401</v>
      </c>
      <c r="C167" s="7" t="str">
        <f>D167&amp;J167&amp;E167&amp;F167&amp;G167</f>
        <v>Premium4</v>
      </c>
      <c r="D167" s="7" t="str">
        <f>IF(I167="PremiumSS",I167,IF(I167="PremiumSSS",I167,IF(I167="PremiumW",I167,"Premium")))</f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7">
        <f ca="1">IFERROR(VLOOKUP(B167,input_settle_332100!L:R,7,FALSE),VLOOKUP(tables_settle_332100!C167,input_settle_332100!A:H,8,FALSE))</f>
        <v>0</v>
      </c>
      <c r="P167" s="48">
        <f ca="1">O167/SUM(O:O)</f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input_settle_332100!A$2</f>
        <v>332100</v>
      </c>
      <c r="B168" s="6">
        <v>402</v>
      </c>
      <c r="C168" s="7" t="str">
        <f>D168&amp;J168&amp;E168&amp;F168&amp;G168</f>
        <v>Premium5</v>
      </c>
      <c r="D168" s="7" t="str">
        <f>IF(I168="PremiumSS",I168,IF(I168="PremiumSSS",I168,IF(I168="PremiumW",I168,"Premium")))</f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7">
        <f ca="1">IFERROR(VLOOKUP(B168,input_settle_332100!L:R,7,FALSE),VLOOKUP(tables_settle_332100!C168,input_settle_332100!A:H,8,FALSE))</f>
        <v>31620</v>
      </c>
      <c r="P168" s="48">
        <f ca="1">O168/SUM(O:O)</f>
        <v>1.7222222222222222E-2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input_settle_332100!A$2</f>
        <v>332100</v>
      </c>
      <c r="B169" s="6">
        <v>403</v>
      </c>
      <c r="C169" s="7" t="str">
        <f>D169&amp;J169&amp;E169&amp;F169&amp;G169</f>
        <v>PremiumSS4</v>
      </c>
      <c r="D169" s="7" t="str">
        <f>IF(I169="PremiumSS",I169,IF(I169="PremiumSSS",I169,IF(I169="PremiumW",I169,"Premium")))</f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7">
        <f ca="1">IFERROR(VLOOKUP(B169,input_settle_332100!L:R,7,FALSE),VLOOKUP(tables_settle_332100!C169,input_settle_332100!A:H,8,FALSE))</f>
        <v>0</v>
      </c>
      <c r="P169" s="48">
        <f ca="1">O169/SUM(O:O)</f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input_settle_332100!A$2</f>
        <v>332100</v>
      </c>
      <c r="B170" s="6">
        <v>404</v>
      </c>
      <c r="C170" s="7" t="str">
        <f>D170&amp;J170&amp;E170&amp;F170&amp;G170</f>
        <v>PremiumSS5</v>
      </c>
      <c r="D170" s="7" t="str">
        <f>IF(I170="PremiumSS",I170,IF(I170="PremiumSSS",I170,IF(I170="PremiumW",I170,"Premium")))</f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7">
        <f ca="1">IFERROR(VLOOKUP(B170,input_settle_332100!L:R,7,FALSE),VLOOKUP(tables_settle_332100!C170,input_settle_332100!A:H,8,FALSE))</f>
        <v>3240</v>
      </c>
      <c r="P170" s="48">
        <f ca="1">O170/SUM(O:O)</f>
        <v>1.7647058823529412E-3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input_settle_332100!A$2</f>
        <v>332100</v>
      </c>
      <c r="B171" s="6">
        <v>405</v>
      </c>
      <c r="C171" s="7" t="str">
        <f>D171&amp;J171&amp;E171&amp;F171&amp;G171</f>
        <v>Premium3</v>
      </c>
      <c r="D171" s="7" t="str">
        <f>IF(I171="PremiumSS",I171,IF(I171="PremiumSSS",I171,IF(I171="PremiumW",I171,"Premium")))</f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7">
        <f ca="1">IFERROR(VLOOKUP(B171,input_settle_332100!L:R,7,FALSE),VLOOKUP(tables_settle_332100!C171,input_settle_332100!A:H,8,FALSE))</f>
        <v>0</v>
      </c>
      <c r="P171" s="48">
        <f ca="1">O171/SUM(O:O)</f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input_settle_332100!A$2</f>
        <v>332100</v>
      </c>
      <c r="B172" s="6">
        <v>406</v>
      </c>
      <c r="C172" s="7" t="str">
        <f>D172&amp;J172&amp;E172&amp;F172&amp;G172</f>
        <v>Premium4</v>
      </c>
      <c r="D172" s="7" t="str">
        <f>IF(I172="PremiumSS",I172,IF(I172="PremiumSSS",I172,IF(I172="PremiumW",I172,"Premium")))</f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7">
        <f ca="1">IFERROR(VLOOKUP(B172,input_settle_332100!L:R,7,FALSE),VLOOKUP(tables_settle_332100!C172,input_settle_332100!A:H,8,FALSE))</f>
        <v>0</v>
      </c>
      <c r="P172" s="48">
        <f ca="1">O172/SUM(O:O)</f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input_settle_332100!A$2</f>
        <v>332100</v>
      </c>
      <c r="B173" s="6">
        <v>407</v>
      </c>
      <c r="C173" s="7" t="str">
        <f>D173&amp;J173&amp;E173&amp;F173&amp;G173</f>
        <v>Premium5</v>
      </c>
      <c r="D173" s="7" t="str">
        <f>IF(I173="PremiumSS",I173,IF(I173="PremiumSSS",I173,IF(I173="PremiumW",I173,"Premium")))</f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7">
        <f ca="1">IFERROR(VLOOKUP(B173,input_settle_332100!L:R,7,FALSE),VLOOKUP(tables_settle_332100!C173,input_settle_332100!A:H,8,FALSE))</f>
        <v>31620</v>
      </c>
      <c r="P173" s="48">
        <f ca="1">O173/SUM(O:O)</f>
        <v>1.7222222222222222E-2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input_settle_332100!A$2</f>
        <v>332100</v>
      </c>
      <c r="B174" s="6">
        <v>408</v>
      </c>
      <c r="C174" s="7" t="str">
        <f>D174&amp;J174&amp;E174&amp;F174&amp;G174</f>
        <v>PremiumSS4</v>
      </c>
      <c r="D174" s="7" t="str">
        <f>IF(I174="PremiumSS",I174,IF(I174="PremiumSSS",I174,IF(I174="PremiumW",I174,"Premium")))</f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7">
        <f ca="1">IFERROR(VLOOKUP(B174,input_settle_332100!L:R,7,FALSE),VLOOKUP(tables_settle_332100!C174,input_settle_332100!A:H,8,FALSE))</f>
        <v>0</v>
      </c>
      <c r="P174" s="48">
        <f ca="1">O174/SUM(O:O)</f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input_settle_332100!A$2</f>
        <v>332100</v>
      </c>
      <c r="B175" s="6">
        <v>409</v>
      </c>
      <c r="C175" s="7" t="str">
        <f>D175&amp;J175&amp;E175&amp;F175&amp;G175</f>
        <v>PremiumSS5</v>
      </c>
      <c r="D175" s="7" t="str">
        <f>IF(I175="PremiumSS",I175,IF(I175="PremiumSSS",I175,IF(I175="PremiumW",I175,"Premium")))</f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7">
        <f ca="1">IFERROR(VLOOKUP(B175,input_settle_332100!L:R,7,FALSE),VLOOKUP(tables_settle_332100!C175,input_settle_332100!A:H,8,FALSE))</f>
        <v>3240</v>
      </c>
      <c r="P175" s="48">
        <f ca="1">O175/SUM(O:O)</f>
        <v>1.7647058823529412E-3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input_settle_332100!A$2</f>
        <v>332100</v>
      </c>
      <c r="B176" s="6">
        <v>434</v>
      </c>
      <c r="C176" s="7" t="str">
        <f>D176&amp;J176&amp;E176&amp;F176&amp;G176</f>
        <v>PremiumSS4</v>
      </c>
      <c r="D176" s="7" t="str">
        <f>IF(I176="PremiumSS",I176,IF(I176="PremiumSSS",I176,IF(I176="PremiumW",I176,"Premium")))</f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7">
        <f ca="1">IFERROR(VLOOKUP(B176,input_settle_332100!L:R,7,FALSE),VLOOKUP(tables_settle_332100!C176,input_settle_332100!A:H,8,FALSE))</f>
        <v>0</v>
      </c>
      <c r="P176" s="48">
        <f ca="1">O176/SUM(O:O)</f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input_settle_332100!A$2</f>
        <v>332100</v>
      </c>
      <c r="B177" s="6">
        <v>435</v>
      </c>
      <c r="C177" s="7" t="str">
        <f>D177&amp;J177&amp;E177&amp;F177&amp;G177</f>
        <v>PremiumSS5</v>
      </c>
      <c r="D177" s="7" t="str">
        <f>IF(I177="PremiumSS",I177,IF(I177="PremiumSSS",I177,IF(I177="PremiumW",I177,"Premium")))</f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7">
        <f ca="1">IFERROR(VLOOKUP(B177,input_settle_332100!L:R,7,FALSE),VLOOKUP(tables_settle_332100!C177,input_settle_332100!A:H,8,FALSE))</f>
        <v>3240</v>
      </c>
      <c r="P177" s="48">
        <f ca="1">O177/SUM(O:O)</f>
        <v>1.7647058823529412E-3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input_settle_332100!A$2</f>
        <v>332100</v>
      </c>
      <c r="B178" s="6">
        <v>436</v>
      </c>
      <c r="C178" s="7" t="str">
        <f>D178&amp;J178&amp;E178&amp;F178&amp;G178</f>
        <v>Premium3</v>
      </c>
      <c r="D178" s="7" t="str">
        <f>IF(I178="PremiumSS",I178,IF(I178="PremiumSSS",I178,IF(I178="PremiumW",I178,"Premium")))</f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7">
        <f ca="1">IFERROR(VLOOKUP(B178,input_settle_332100!L:R,7,FALSE),VLOOKUP(tables_settle_332100!C178,input_settle_332100!A:H,8,FALSE))</f>
        <v>0</v>
      </c>
      <c r="P178" s="48">
        <f ca="1">O178/SUM(O:O)</f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input_settle_332100!A$2</f>
        <v>332100</v>
      </c>
      <c r="B179" s="6">
        <v>437</v>
      </c>
      <c r="C179" s="7" t="str">
        <f>D179&amp;J179&amp;E179&amp;F179&amp;G179</f>
        <v>Premium4</v>
      </c>
      <c r="D179" s="7" t="str">
        <f>IF(I179="PremiumSS",I179,IF(I179="PremiumSSS",I179,IF(I179="PremiumW",I179,"Premium")))</f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7">
        <f ca="1">IFERROR(VLOOKUP(B179,input_settle_332100!L:R,7,FALSE),VLOOKUP(tables_settle_332100!C179,input_settle_332100!A:H,8,FALSE))</f>
        <v>0</v>
      </c>
      <c r="P179" s="48">
        <f ca="1">O179/SUM(O:O)</f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input_settle_332100!A$2</f>
        <v>332100</v>
      </c>
      <c r="B180" s="6">
        <v>438</v>
      </c>
      <c r="C180" s="7" t="str">
        <f>D180&amp;J180&amp;E180&amp;F180&amp;G180</f>
        <v>Premium5</v>
      </c>
      <c r="D180" s="7" t="str">
        <f>IF(I180="PremiumSS",I180,IF(I180="PremiumSSS",I180,IF(I180="PremiumW",I180,"Premium")))</f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7">
        <f ca="1">IFERROR(VLOOKUP(B180,input_settle_332100!L:R,7,FALSE),VLOOKUP(tables_settle_332100!C180,input_settle_332100!A:H,8,FALSE))</f>
        <v>31620</v>
      </c>
      <c r="P180" s="48">
        <f ca="1">O180/SUM(O:O)</f>
        <v>1.7222222222222222E-2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input_settle_332100!A$2</f>
        <v>332100</v>
      </c>
      <c r="B181" s="6">
        <v>439</v>
      </c>
      <c r="C181" s="7" t="str">
        <f>D181&amp;J181&amp;E181&amp;F181&amp;G181</f>
        <v>Premium3</v>
      </c>
      <c r="D181" s="7" t="str">
        <f>IF(I181="PremiumSS",I181,IF(I181="PremiumSSS",I181,IF(I181="PremiumW",I181,"Premium")))</f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7">
        <f ca="1">IFERROR(VLOOKUP(B181,input_settle_332100!L:R,7,FALSE),VLOOKUP(tables_settle_332100!C181,input_settle_332100!A:H,8,FALSE))</f>
        <v>0</v>
      </c>
      <c r="P181" s="48">
        <f ca="1">O181/SUM(O:O)</f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input_settle_332100!A$2</f>
        <v>332100</v>
      </c>
      <c r="B182" s="6">
        <v>440</v>
      </c>
      <c r="C182" s="7" t="str">
        <f>D182&amp;J182&amp;E182&amp;F182&amp;G182</f>
        <v>Premium4</v>
      </c>
      <c r="D182" s="7" t="str">
        <f>IF(I182="PremiumSS",I182,IF(I182="PremiumSSS",I182,IF(I182="PremiumW",I182,"Premium")))</f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7">
        <f ca="1">IFERROR(VLOOKUP(B182,input_settle_332100!L:R,7,FALSE),VLOOKUP(tables_settle_332100!C182,input_settle_332100!A:H,8,FALSE))</f>
        <v>0</v>
      </c>
      <c r="P182" s="48">
        <f ca="1">O182/SUM(O:O)</f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input_settle_332100!A$2</f>
        <v>332100</v>
      </c>
      <c r="B183" s="6">
        <v>441</v>
      </c>
      <c r="C183" s="7" t="str">
        <f>D183&amp;J183&amp;E183&amp;F183&amp;G183</f>
        <v>Premium5</v>
      </c>
      <c r="D183" s="7" t="str">
        <f>IF(I183="PremiumSS",I183,IF(I183="PremiumSSS",I183,IF(I183="PremiumW",I183,"Premium")))</f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7">
        <f ca="1">IFERROR(VLOOKUP(B183,input_settle_332100!L:R,7,FALSE),VLOOKUP(tables_settle_332100!C183,input_settle_332100!A:H,8,FALSE))</f>
        <v>31620</v>
      </c>
      <c r="P183" s="48">
        <f ca="1">O183/SUM(O:O)</f>
        <v>1.7222222222222222E-2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input_settle_332100!A$2</f>
        <v>332100</v>
      </c>
      <c r="B184" s="6">
        <v>442</v>
      </c>
      <c r="C184" s="7" t="str">
        <f>D184&amp;J184&amp;E184&amp;F184&amp;G184</f>
        <v>PremiumSS4</v>
      </c>
      <c r="D184" s="7" t="str">
        <f>IF(I184="PremiumSS",I184,IF(I184="PremiumSSS",I184,IF(I184="PremiumW",I184,"Premium")))</f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7">
        <f ca="1">IFERROR(VLOOKUP(B184,input_settle_332100!L:R,7,FALSE),VLOOKUP(tables_settle_332100!C184,input_settle_332100!A:H,8,FALSE))</f>
        <v>0</v>
      </c>
      <c r="P184" s="48">
        <f ca="1">O184/SUM(O:O)</f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input_settle_332100!A$2</f>
        <v>332100</v>
      </c>
      <c r="B185" s="6">
        <v>443</v>
      </c>
      <c r="C185" s="7" t="str">
        <f>D185&amp;J185&amp;E185&amp;F185&amp;G185</f>
        <v>PremiumSS5</v>
      </c>
      <c r="D185" s="7" t="str">
        <f>IF(I185="PremiumSS",I185,IF(I185="PremiumSSS",I185,IF(I185="PremiumW",I185,"Premium")))</f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7">
        <f ca="1">IFERROR(VLOOKUP(B185,input_settle_332100!L:R,7,FALSE),VLOOKUP(tables_settle_332100!C185,input_settle_332100!A:H,8,FALSE))</f>
        <v>3240</v>
      </c>
      <c r="P185" s="48">
        <f ca="1">O185/SUM(O:O)</f>
        <v>1.7647058823529412E-3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input_settle_332100!A$2</f>
        <v>332100</v>
      </c>
      <c r="B186" s="8">
        <v>462</v>
      </c>
      <c r="C186" s="7" t="str">
        <f>D186&amp;J186&amp;E186&amp;F186&amp;G186</f>
        <v>Premium3</v>
      </c>
      <c r="D186" s="7" t="str">
        <f>IF(I186="PremiumSS",I186,IF(I186="PremiumSSS",I186,IF(I186="PremiumW",I186,"Premium")))</f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7">
        <f ca="1">IFERROR(VLOOKUP(B186,input_settle_332100!L:R,7,FALSE),VLOOKUP(tables_settle_332100!C186,input_settle_332100!A:H,8,FALSE))</f>
        <v>0</v>
      </c>
      <c r="P186" s="48">
        <f ca="1">O186/SUM(O:O)</f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input_settle_332100!A$2</f>
        <v>332100</v>
      </c>
      <c r="B187" s="8">
        <v>463</v>
      </c>
      <c r="C187" s="7" t="str">
        <f>D187&amp;J187&amp;E187&amp;F187&amp;G187</f>
        <v>Premium4</v>
      </c>
      <c r="D187" s="7" t="str">
        <f>IF(I187="PremiumSS",I187,IF(I187="PremiumSSS",I187,IF(I187="PremiumW",I187,"Premium")))</f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7">
        <f ca="1">IFERROR(VLOOKUP(B187,input_settle_332100!L:R,7,FALSE),VLOOKUP(tables_settle_332100!C187,input_settle_332100!A:H,8,FALSE))</f>
        <v>0</v>
      </c>
      <c r="P187" s="48">
        <f ca="1">O187/SUM(O:O)</f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input_settle_332100!A$2</f>
        <v>332100</v>
      </c>
      <c r="B188" s="8">
        <v>464</v>
      </c>
      <c r="C188" s="7" t="str">
        <f>D188&amp;J188&amp;E188&amp;F188&amp;G188</f>
        <v>Premium5</v>
      </c>
      <c r="D188" s="7" t="str">
        <f>IF(I188="PremiumSS",I188,IF(I188="PremiumSSS",I188,IF(I188="PremiumW",I188,"Premium")))</f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7">
        <f ca="1">IFERROR(VLOOKUP(B188,input_settle_332100!L:R,7,FALSE),VLOOKUP(tables_settle_332100!C188,input_settle_332100!A:H,8,FALSE))</f>
        <v>31620</v>
      </c>
      <c r="P188" s="48">
        <f ca="1">O188/SUM(O:O)</f>
        <v>1.7222222222222222E-2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input_settle_332100!A$2</f>
        <v>332100</v>
      </c>
      <c r="B189" s="8">
        <v>465</v>
      </c>
      <c r="C189" s="7" t="str">
        <f>D189&amp;J189&amp;E189&amp;F189&amp;G189</f>
        <v>PremiumSS4</v>
      </c>
      <c r="D189" s="7" t="str">
        <f>IF(I189="PremiumSS",I189,IF(I189="PremiumSSS",I189,IF(I189="PremiumW",I189,"Premium")))</f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7">
        <f ca="1">IFERROR(VLOOKUP(B189,input_settle_332100!L:R,7,FALSE),VLOOKUP(tables_settle_332100!C189,input_settle_332100!A:H,8,FALSE))</f>
        <v>0</v>
      </c>
      <c r="P189" s="48">
        <f ca="1">O189/SUM(O:O)</f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input_settle_332100!A$2</f>
        <v>332100</v>
      </c>
      <c r="B190" s="6">
        <v>466</v>
      </c>
      <c r="C190" s="7" t="str">
        <f>D190&amp;J190&amp;E190&amp;F190&amp;G190</f>
        <v>PremiumSS5</v>
      </c>
      <c r="D190" s="7" t="str">
        <f>IF(I190="PremiumSS",I190,IF(I190="PremiumSSS",I190,IF(I190="PremiumW",I190,"Premium")))</f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7">
        <f ca="1">IFERROR(VLOOKUP(B190,input_settle_332100!L:R,7,FALSE),VLOOKUP(tables_settle_332100!C190,input_settle_332100!A:H,8,FALSE))</f>
        <v>3240</v>
      </c>
      <c r="P190" s="48">
        <f ca="1">O190/SUM(O:O)</f>
        <v>1.7647058823529412E-3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input_settle_332100!A$2</f>
        <v>332100</v>
      </c>
      <c r="B191" s="6">
        <v>467</v>
      </c>
      <c r="C191" s="7" t="str">
        <f>D191&amp;J191&amp;E191&amp;F191&amp;G191</f>
        <v>PremiumSS4</v>
      </c>
      <c r="D191" s="7" t="str">
        <f>IF(I191="PremiumSS",I191,IF(I191="PremiumSSS",I191,IF(I191="PremiumW",I191,"Premium")))</f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7">
        <f ca="1">IFERROR(VLOOKUP(B191,input_settle_332100!L:R,7,FALSE),VLOOKUP(tables_settle_332100!C191,input_settle_332100!A:H,8,FALSE))</f>
        <v>0</v>
      </c>
      <c r="P191" s="48">
        <f ca="1">O191/SUM(O:O)</f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input_settle_332100!A$2</f>
        <v>332100</v>
      </c>
      <c r="B192" s="6">
        <v>468</v>
      </c>
      <c r="C192" s="7" t="str">
        <f>D192&amp;J192&amp;E192&amp;F192&amp;G192</f>
        <v>PremiumSS5</v>
      </c>
      <c r="D192" s="7" t="str">
        <f>IF(I192="PremiumSS",I192,IF(I192="PremiumSSS",I192,IF(I192="PremiumW",I192,"Premium")))</f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7">
        <f ca="1">IFERROR(VLOOKUP(B192,input_settle_332100!L:R,7,FALSE),VLOOKUP(tables_settle_332100!C192,input_settle_332100!A:H,8,FALSE))</f>
        <v>3240</v>
      </c>
      <c r="P192" s="48">
        <f ca="1">O192/SUM(O:O)</f>
        <v>1.7647058823529412E-3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input_settle_332100!A$2</f>
        <v>332100</v>
      </c>
      <c r="B193" s="6">
        <v>469</v>
      </c>
      <c r="C193" s="7" t="str">
        <f>D193&amp;J193&amp;E193&amp;F193&amp;G193</f>
        <v>Premium3</v>
      </c>
      <c r="D193" s="7" t="str">
        <f>IF(I193="PremiumSS",I193,IF(I193="PremiumSSS",I193,IF(I193="PremiumW",I193,"Premium")))</f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7">
        <f ca="1">IFERROR(VLOOKUP(B193,input_settle_332100!L:R,7,FALSE),VLOOKUP(tables_settle_332100!C193,input_settle_332100!A:H,8,FALSE))</f>
        <v>0</v>
      </c>
      <c r="P193" s="48">
        <f ca="1">O193/SUM(O:O)</f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input_settle_332100!A$2</f>
        <v>332100</v>
      </c>
      <c r="B194" s="6">
        <v>470</v>
      </c>
      <c r="C194" s="7" t="str">
        <f>D194&amp;J194&amp;E194&amp;F194&amp;G194</f>
        <v>Premium4</v>
      </c>
      <c r="D194" s="7" t="str">
        <f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7">
        <f ca="1">IFERROR(VLOOKUP(B194,input_settle_332100!L:R,7,FALSE),VLOOKUP(tables_settle_332100!C194,input_settle_332100!A:H,8,FALSE))</f>
        <v>0</v>
      </c>
      <c r="P194" s="48">
        <f ca="1">O194/SUM(O:O)</f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input_settle_332100!A$2</f>
        <v>332100</v>
      </c>
      <c r="B195" s="6">
        <v>471</v>
      </c>
      <c r="C195" s="7" t="str">
        <f>D195&amp;J195&amp;E195&amp;F195&amp;G195</f>
        <v>Premium5</v>
      </c>
      <c r="D195" s="7" t="str">
        <f>IF(I195="PremiumSS",I195,IF(I195="PremiumSSS",I195,IF(I195="PremiumW",I195,"Premium")))</f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7">
        <f ca="1">IFERROR(VLOOKUP(B195,input_settle_332100!L:R,7,FALSE),VLOOKUP(tables_settle_332100!C195,input_settle_332100!A:H,8,FALSE))</f>
        <v>31620</v>
      </c>
      <c r="P195" s="48">
        <f ca="1">O195/SUM(O:O)</f>
        <v>1.7222222222222222E-2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input_settle_332100!A$2</f>
        <v>332100</v>
      </c>
      <c r="B196" s="6">
        <v>474</v>
      </c>
      <c r="C196" s="7" t="str">
        <f>D196&amp;J196&amp;E196&amp;F196&amp;G196</f>
        <v>PremiumSS4</v>
      </c>
      <c r="D196" s="7" t="str">
        <f>IF(I196="PremiumSS",I196,IF(I196="PremiumSSS",I196,IF(I196="PremiumW",I196,"Premium")))</f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7">
        <f ca="1">IFERROR(VLOOKUP(B196,input_settle_332100!L:R,7,FALSE),VLOOKUP(tables_settle_332100!C196,input_settle_332100!A:H,8,FALSE))</f>
        <v>0</v>
      </c>
      <c r="P196" s="48">
        <f ca="1">O196/SUM(O:O)</f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input_settle_332100!A$2</f>
        <v>332100</v>
      </c>
      <c r="B197" s="6">
        <v>475</v>
      </c>
      <c r="C197" s="7" t="str">
        <f>D197&amp;J197&amp;E197&amp;F197&amp;G197</f>
        <v>PremiumSS5</v>
      </c>
      <c r="D197" s="7" t="str">
        <f>IF(I197="PremiumSS",I197,IF(I197="PremiumSSS",I197,IF(I197="PremiumW",I197,"Premium")))</f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7">
        <f ca="1">IFERROR(VLOOKUP(B197,input_settle_332100!L:R,7,FALSE),VLOOKUP(tables_settle_332100!C197,input_settle_332100!A:H,8,FALSE))</f>
        <v>3240</v>
      </c>
      <c r="P197" s="48">
        <f ca="1">O197/SUM(O:O)</f>
        <v>1.7647058823529412E-3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input_settle_332100!A$2</f>
        <v>332100</v>
      </c>
      <c r="B198" s="6">
        <v>476</v>
      </c>
      <c r="C198" s="7" t="str">
        <f>D198&amp;J198&amp;E198&amp;F198&amp;G198</f>
        <v>Premium3</v>
      </c>
      <c r="D198" s="7" t="str">
        <f>IF(I198="PremiumSS",I198,IF(I198="PremiumSSS",I198,IF(I198="PremiumW",I198,"Premium")))</f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7">
        <f ca="1">IFERROR(VLOOKUP(B198,input_settle_332100!L:R,7,FALSE),VLOOKUP(tables_settle_332100!C198,input_settle_332100!A:H,8,FALSE))</f>
        <v>0</v>
      </c>
      <c r="P198" s="48">
        <f ca="1">O198/SUM(O:O)</f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input_settle_332100!A$2</f>
        <v>332100</v>
      </c>
      <c r="B199" s="6">
        <v>477</v>
      </c>
      <c r="C199" s="7" t="str">
        <f>D199&amp;J199&amp;E199&amp;F199&amp;G199</f>
        <v>Premium4</v>
      </c>
      <c r="D199" s="7" t="str">
        <f>IF(I199="PremiumSS",I199,IF(I199="PremiumSSS",I199,IF(I199="PremiumW",I199,"Premium")))</f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7">
        <f ca="1">IFERROR(VLOOKUP(B199,input_settle_332100!L:R,7,FALSE),VLOOKUP(tables_settle_332100!C199,input_settle_332100!A:H,8,FALSE))</f>
        <v>0</v>
      </c>
      <c r="P199" s="48">
        <f ca="1">O199/SUM(O:O)</f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input_settle_332100!A$2</f>
        <v>332100</v>
      </c>
      <c r="B200" s="6">
        <v>478</v>
      </c>
      <c r="C200" s="7" t="str">
        <f>D200&amp;J200&amp;E200&amp;F200&amp;G200</f>
        <v>Premium5</v>
      </c>
      <c r="D200" s="7" t="str">
        <f>IF(I200="PremiumSS",I200,IF(I200="PremiumSSS",I200,IF(I200="PremiumW",I200,"Premium")))</f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7">
        <f ca="1">IFERROR(VLOOKUP(B200,input_settle_332100!L:R,7,FALSE),VLOOKUP(tables_settle_332100!C200,input_settle_332100!A:H,8,FALSE))</f>
        <v>31620</v>
      </c>
      <c r="P200" s="48">
        <f ca="1">O200/SUM(O:O)</f>
        <v>1.7222222222222222E-2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input_settle_332100!A$2</f>
        <v>332100</v>
      </c>
      <c r="B201" s="6">
        <v>479</v>
      </c>
      <c r="C201" s="7" t="str">
        <f>D201&amp;J201&amp;E201&amp;F201&amp;G201</f>
        <v>PremiumSS4</v>
      </c>
      <c r="D201" s="7" t="str">
        <f>IF(I201="PremiumSS",I201,IF(I201="PremiumSSS",I201,IF(I201="PremiumW",I201,"Premium")))</f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7">
        <f ca="1">IFERROR(VLOOKUP(B201,input_settle_332100!L:R,7,FALSE),VLOOKUP(tables_settle_332100!C201,input_settle_332100!A:H,8,FALSE))</f>
        <v>0</v>
      </c>
      <c r="P201" s="48">
        <f ca="1">O201/SUM(O:O)</f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input_settle_332100!A$2</f>
        <v>332100</v>
      </c>
      <c r="B202" s="6">
        <v>480</v>
      </c>
      <c r="C202" s="7" t="str">
        <f>D202&amp;J202&amp;E202&amp;F202&amp;G202</f>
        <v>PremiumSS5</v>
      </c>
      <c r="D202" s="7" t="str">
        <f>IF(I202="PremiumSS",I202,IF(I202="PremiumSSS",I202,IF(I202="PremiumW",I202,"Premium")))</f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7">
        <f ca="1">IFERROR(VLOOKUP(B202,input_settle_332100!L:R,7,FALSE),VLOOKUP(tables_settle_332100!C202,input_settle_332100!A:H,8,FALSE))</f>
        <v>3240</v>
      </c>
      <c r="P202" s="48">
        <f ca="1">O202/SUM(O:O)</f>
        <v>1.7647058823529412E-3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input_settle_332100!A$2</f>
        <v>332100</v>
      </c>
      <c r="B203" s="6">
        <v>481</v>
      </c>
      <c r="C203" s="7" t="str">
        <f>D203&amp;J203&amp;E203&amp;F203&amp;G203</f>
        <v>Premium3</v>
      </c>
      <c r="D203" s="7" t="str">
        <f>IF(I203="PremiumSS",I203,IF(I203="PremiumSSS",I203,IF(I203="PremiumW",I203,"Premium")))</f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7">
        <f ca="1">IFERROR(VLOOKUP(B203,input_settle_332100!L:R,7,FALSE),VLOOKUP(tables_settle_332100!C203,input_settle_332100!A:H,8,FALSE))</f>
        <v>0</v>
      </c>
      <c r="P203" s="48">
        <f ca="1">O203/SUM(O:O)</f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input_settle_332100!A$2</f>
        <v>332100</v>
      </c>
      <c r="B204" s="6">
        <v>482</v>
      </c>
      <c r="C204" s="7" t="str">
        <f>D204&amp;J204&amp;E204&amp;F204&amp;G204</f>
        <v>Premium4</v>
      </c>
      <c r="D204" s="7" t="str">
        <f>IF(I204="PremiumSS",I204,IF(I204="PremiumSSS",I204,IF(I204="PremiumW",I204,"Premium")))</f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7">
        <f ca="1">IFERROR(VLOOKUP(B204,input_settle_332100!L:R,7,FALSE),VLOOKUP(tables_settle_332100!C204,input_settle_332100!A:H,8,FALSE))</f>
        <v>0</v>
      </c>
      <c r="P204" s="48">
        <f ca="1">O204/SUM(O:O)</f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input_settle_332100!A$2</f>
        <v>332100</v>
      </c>
      <c r="B205" s="6">
        <v>483</v>
      </c>
      <c r="C205" s="7" t="str">
        <f>D205&amp;J205&amp;E205&amp;F205&amp;G205</f>
        <v>Premium5</v>
      </c>
      <c r="D205" s="7" t="str">
        <f>IF(I205="PremiumSS",I205,IF(I205="PremiumSSS",I205,IF(I205="PremiumW",I205,"Premium")))</f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7">
        <f ca="1">IFERROR(VLOOKUP(B205,input_settle_332100!L:R,7,FALSE),VLOOKUP(tables_settle_332100!C205,input_settle_332100!A:H,8,FALSE))</f>
        <v>31620</v>
      </c>
      <c r="P205" s="48">
        <f ca="1">O205/SUM(O:O)</f>
        <v>1.7222222222222222E-2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input_settle_332100!A$2</f>
        <v>332100</v>
      </c>
      <c r="B206" s="6">
        <v>492</v>
      </c>
      <c r="C206" s="7" t="str">
        <f>D206&amp;J206&amp;E206&amp;F206&amp;G206</f>
        <v>PremiumSS4</v>
      </c>
      <c r="D206" s="7" t="str">
        <f>IF(I206="PremiumSS",I206,IF(I206="PremiumSSS",I206,IF(I206="PremiumW",I206,"Premium")))</f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7">
        <f ca="1">IFERROR(VLOOKUP(B206,input_settle_332100!L:R,7,FALSE),VLOOKUP(tables_settle_332100!C206,input_settle_332100!A:H,8,FALSE))</f>
        <v>0</v>
      </c>
      <c r="P206" s="48">
        <f ca="1">O206/SUM(O:O)</f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input_settle_332100!A$2</f>
        <v>332100</v>
      </c>
      <c r="B207" s="6">
        <v>493</v>
      </c>
      <c r="C207" s="7" t="str">
        <f>D207&amp;J207&amp;E207&amp;F207&amp;G207</f>
        <v>PremiumSS5</v>
      </c>
      <c r="D207" s="7" t="str">
        <f>IF(I207="PremiumSS",I207,IF(I207="PremiumSSS",I207,IF(I207="PremiumW",I207,"Premium")))</f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7">
        <f ca="1">IFERROR(VLOOKUP(B207,input_settle_332100!L:R,7,FALSE),VLOOKUP(tables_settle_332100!C207,input_settle_332100!A:H,8,FALSE))</f>
        <v>3240</v>
      </c>
      <c r="P207" s="48">
        <f ca="1">O207/SUM(O:O)</f>
        <v>1.7647058823529412E-3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input_settle_332100!A$2</f>
        <v>332100</v>
      </c>
      <c r="B208" s="6">
        <v>494</v>
      </c>
      <c r="C208" s="7" t="str">
        <f>D208&amp;J208&amp;E208&amp;F208&amp;G208</f>
        <v>PremiumSS4</v>
      </c>
      <c r="D208" s="7" t="str">
        <f>IF(I208="PremiumSS",I208,IF(I208="PremiumSSS",I208,IF(I208="PremiumW",I208,"Premium")))</f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7">
        <f ca="1">IFERROR(VLOOKUP(B208,input_settle_332100!L:R,7,FALSE),VLOOKUP(tables_settle_332100!C208,input_settle_332100!A:H,8,FALSE))</f>
        <v>0</v>
      </c>
      <c r="P208" s="48">
        <f ca="1">O208/SUM(O:O)</f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input_settle_332100!A$2</f>
        <v>332100</v>
      </c>
      <c r="B209" s="6">
        <v>495</v>
      </c>
      <c r="C209" s="7" t="str">
        <f>D209&amp;J209&amp;E209&amp;F209&amp;G209</f>
        <v>PremiumSS5</v>
      </c>
      <c r="D209" s="7" t="str">
        <f>IF(I209="PremiumSS",I209,IF(I209="PremiumSSS",I209,IF(I209="PremiumW",I209,"Premium")))</f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7">
        <f ca="1">IFERROR(VLOOKUP(B209,input_settle_332100!L:R,7,FALSE),VLOOKUP(tables_settle_332100!C209,input_settle_332100!A:H,8,FALSE))</f>
        <v>3240</v>
      </c>
      <c r="P209" s="48">
        <f ca="1">O209/SUM(O:O)</f>
        <v>1.7647058823529412E-3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input_settle_332100!A$2</f>
        <v>332100</v>
      </c>
      <c r="B210" s="6">
        <v>496</v>
      </c>
      <c r="C210" s="7" t="str">
        <f>D210&amp;J210&amp;E210&amp;F210&amp;G210</f>
        <v>Premium3</v>
      </c>
      <c r="D210" s="7" t="str">
        <f>IF(I210="PremiumSS",I210,IF(I210="PremiumSSS",I210,IF(I210="PremiumW",I210,"Premium")))</f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7">
        <f ca="1">IFERROR(VLOOKUP(B210,input_settle_332100!L:R,7,FALSE),VLOOKUP(tables_settle_332100!C210,input_settle_332100!A:H,8,FALSE))</f>
        <v>0</v>
      </c>
      <c r="P210" s="48">
        <f ca="1">O210/SUM(O:O)</f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input_settle_332100!A$2</f>
        <v>332100</v>
      </c>
      <c r="B211" s="6">
        <v>497</v>
      </c>
      <c r="C211" s="7" t="str">
        <f>D211&amp;J211&amp;E211&amp;F211&amp;G211</f>
        <v>Premium4</v>
      </c>
      <c r="D211" s="7" t="str">
        <f>IF(I211="PremiumSS",I211,IF(I211="PremiumSSS",I211,IF(I211="PremiumW",I211,"Premium")))</f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7">
        <f ca="1">IFERROR(VLOOKUP(B211,input_settle_332100!L:R,7,FALSE),VLOOKUP(tables_settle_332100!C211,input_settle_332100!A:H,8,FALSE))</f>
        <v>0</v>
      </c>
      <c r="P211" s="48">
        <f ca="1">O211/SUM(O:O)</f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input_settle_332100!A$2</f>
        <v>332100</v>
      </c>
      <c r="B212" s="6">
        <v>498</v>
      </c>
      <c r="C212" s="7" t="str">
        <f>D212&amp;J212&amp;E212&amp;F212&amp;G212</f>
        <v>Premium5</v>
      </c>
      <c r="D212" s="7" t="str">
        <f>IF(I212="PremiumSS",I212,IF(I212="PremiumSSS",I212,IF(I212="PremiumW",I212,"Premium")))</f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7">
        <f ca="1">IFERROR(VLOOKUP(B212,input_settle_332100!L:R,7,FALSE),VLOOKUP(tables_settle_332100!C212,input_settle_332100!A:H,8,FALSE))</f>
        <v>31620</v>
      </c>
      <c r="P212" s="48">
        <f ca="1">O212/SUM(O:O)</f>
        <v>1.7222222222222222E-2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input_settle_332100!A$2</f>
        <v>332100</v>
      </c>
      <c r="B213" s="6">
        <v>499</v>
      </c>
      <c r="C213" s="7" t="str">
        <f>D213&amp;J213&amp;E213&amp;F213&amp;G213</f>
        <v>PremiumSS4</v>
      </c>
      <c r="D213" s="7" t="str">
        <f>IF(I213="PremiumSS",I213,IF(I213="PremiumSSS",I213,IF(I213="PremiumW",I213,"Premium")))</f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7">
        <f ca="1">IFERROR(VLOOKUP(B213,input_settle_332100!L:R,7,FALSE),VLOOKUP(tables_settle_332100!C213,input_settle_332100!A:H,8,FALSE))</f>
        <v>0</v>
      </c>
      <c r="P213" s="48">
        <f ca="1">O213/SUM(O:O)</f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input_settle_332100!A$2</f>
        <v>332100</v>
      </c>
      <c r="B214" s="6">
        <v>500</v>
      </c>
      <c r="C214" s="7" t="str">
        <f>D214&amp;J214&amp;E214&amp;F214&amp;G214</f>
        <v>PremiumSS5</v>
      </c>
      <c r="D214" s="7" t="str">
        <f>IF(I214="PremiumSS",I214,IF(I214="PremiumSSS",I214,IF(I214="PremiumW",I214,"Premium")))</f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7">
        <f ca="1">IFERROR(VLOOKUP(B214,input_settle_332100!L:R,7,FALSE),VLOOKUP(tables_settle_332100!C214,input_settle_332100!A:H,8,FALSE))</f>
        <v>3240</v>
      </c>
      <c r="P214" s="48">
        <f ca="1">O214/SUM(O:O)</f>
        <v>1.7647058823529412E-3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input_settle_332100!A$2</f>
        <v>332100</v>
      </c>
      <c r="B215" s="6">
        <v>586</v>
      </c>
      <c r="C215" s="7" t="str">
        <f>D215&amp;J215&amp;E215&amp;F215&amp;G215</f>
        <v>PremiumSS4</v>
      </c>
      <c r="D215" s="7" t="str">
        <f>IF(I215="PremiumSS",I215,IF(I215="PremiumSSS",I215,IF(I215="PremiumW",I215,"Premium")))</f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7">
        <f ca="1">IFERROR(VLOOKUP(B215,input_settle_332100!L:R,7,FALSE),VLOOKUP(tables_settle_332100!C215,input_settle_332100!A:H,8,FALSE))</f>
        <v>0</v>
      </c>
      <c r="P215" s="48">
        <f ca="1">O215/SUM(O:O)</f>
        <v>0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input_settle_332100!A$2</f>
        <v>332100</v>
      </c>
      <c r="B216" s="6">
        <v>587</v>
      </c>
      <c r="C216" s="7" t="str">
        <f>D216&amp;J216&amp;E216&amp;F216&amp;G216</f>
        <v>PremiumSS5</v>
      </c>
      <c r="D216" s="7" t="str">
        <f>IF(I216="PremiumSS",I216,IF(I216="PremiumSSS",I216,IF(I216="PremiumW",I216,"Premium")))</f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7">
        <f ca="1">IFERROR(VLOOKUP(B216,input_settle_332100!L:R,7,FALSE),VLOOKUP(tables_settle_332100!C216,input_settle_332100!A:H,8,FALSE))</f>
        <v>3240</v>
      </c>
      <c r="P216" s="48">
        <f ca="1">O216/SUM(O:O)</f>
        <v>1.7647058823529412E-3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input_settle_332100!A$2</f>
        <v>332100</v>
      </c>
      <c r="B217" s="6">
        <v>588</v>
      </c>
      <c r="C217" s="7" t="str">
        <f>D217&amp;J217&amp;E217&amp;F217&amp;G217</f>
        <v>Premium3</v>
      </c>
      <c r="D217" s="7" t="str">
        <f>IF(I217="PremiumSS",I217,IF(I217="PremiumSSS",I217,IF(I217="PremiumW",I217,"Premium")))</f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7">
        <f ca="1">IFERROR(VLOOKUP(B217,input_settle_332100!L:R,7,FALSE),VLOOKUP(tables_settle_332100!C217,input_settle_332100!A:H,8,FALSE))</f>
        <v>0</v>
      </c>
      <c r="P217" s="48">
        <f ca="1">O217/SUM(O:O)</f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input_settle_332100!A$2</f>
        <v>332100</v>
      </c>
      <c r="B218" s="6">
        <v>589</v>
      </c>
      <c r="C218" s="7" t="str">
        <f>D218&amp;J218&amp;E218&amp;F218&amp;G218</f>
        <v>Premium4</v>
      </c>
      <c r="D218" s="7" t="str">
        <f>IF(I218="PremiumSS",I218,IF(I218="PremiumSSS",I218,IF(I218="PremiumW",I218,"Premium")))</f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7">
        <f ca="1">IFERROR(VLOOKUP(B218,input_settle_332100!L:R,7,FALSE),VLOOKUP(tables_settle_332100!C218,input_settle_332100!A:H,8,FALSE))</f>
        <v>0</v>
      </c>
      <c r="P218" s="48">
        <f ca="1">O218/SUM(O:O)</f>
        <v>0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input_settle_332100!A$2</f>
        <v>332100</v>
      </c>
      <c r="B219" s="6">
        <v>590</v>
      </c>
      <c r="C219" s="7" t="str">
        <f>D219&amp;J219&amp;E219&amp;F219&amp;G219</f>
        <v>Premium5</v>
      </c>
      <c r="D219" s="7" t="str">
        <f>IF(I219="PremiumSS",I219,IF(I219="PremiumSSS",I219,IF(I219="PremiumW",I219,"Premium")))</f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7">
        <f ca="1">IFERROR(VLOOKUP(B219,input_settle_332100!L:R,7,FALSE),VLOOKUP(tables_settle_332100!C219,input_settle_332100!A:H,8,FALSE))</f>
        <v>31620</v>
      </c>
      <c r="P219" s="48">
        <f ca="1">O219/SUM(O:O)</f>
        <v>1.7222222222222222E-2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input_settle_332100!A$2</f>
        <v>332100</v>
      </c>
      <c r="B220" s="6">
        <v>591</v>
      </c>
      <c r="C220" s="7" t="str">
        <f>D220&amp;J220&amp;E220&amp;F220&amp;G220</f>
        <v>Premium3</v>
      </c>
      <c r="D220" s="7" t="str">
        <f>IF(I220="PremiumSS",I220,IF(I220="PremiumSSS",I220,IF(I220="PremiumW",I220,"Premium")))</f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7">
        <f ca="1">IFERROR(VLOOKUP(B220,input_settle_332100!L:R,7,FALSE),VLOOKUP(tables_settle_332100!C220,input_settle_332100!A:H,8,FALSE))</f>
        <v>0</v>
      </c>
      <c r="P220" s="48">
        <f ca="1">O220/SUM(O:O)</f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input_settle_332100!A$2</f>
        <v>332100</v>
      </c>
      <c r="B221" s="6">
        <v>592</v>
      </c>
      <c r="C221" s="7" t="str">
        <f>D221&amp;J221&amp;E221&amp;F221&amp;G221</f>
        <v>Premium4</v>
      </c>
      <c r="D221" s="7" t="str">
        <f>IF(I221="PremiumSS",I221,IF(I221="PremiumSSS",I221,IF(I221="PremiumW",I221,"Premium")))</f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7">
        <f ca="1">IFERROR(VLOOKUP(B221,input_settle_332100!L:R,7,FALSE),VLOOKUP(tables_settle_332100!C221,input_settle_332100!A:H,8,FALSE))</f>
        <v>0</v>
      </c>
      <c r="P221" s="48">
        <f ca="1">O221/SUM(O:O)</f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input_settle_332100!A$2</f>
        <v>332100</v>
      </c>
      <c r="B222" s="6">
        <v>593</v>
      </c>
      <c r="C222" s="7" t="str">
        <f>D222&amp;J222&amp;E222&amp;F222&amp;G222</f>
        <v>Premium5</v>
      </c>
      <c r="D222" s="7" t="str">
        <f>IF(I222="PremiumSS",I222,IF(I222="PremiumSSS",I222,IF(I222="PremiumW",I222,"Premium")))</f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7">
        <f ca="1">IFERROR(VLOOKUP(B222,input_settle_332100!L:R,7,FALSE),VLOOKUP(tables_settle_332100!C222,input_settle_332100!A:H,8,FALSE))</f>
        <v>31620</v>
      </c>
      <c r="P222" s="48">
        <f ca="1">O222/SUM(O:O)</f>
        <v>1.7222222222222222E-2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input_settle_332100!A$2</f>
        <v>332100</v>
      </c>
      <c r="B223" s="6">
        <v>594</v>
      </c>
      <c r="C223" s="7" t="str">
        <f>D223&amp;J223&amp;E223&amp;F223&amp;G223</f>
        <v>PremiumSS4</v>
      </c>
      <c r="D223" s="7" t="str">
        <f>IF(I223="PremiumSS",I223,IF(I223="PremiumSSS",I223,IF(I223="PremiumW",I223,"Premium")))</f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7">
        <f ca="1">IFERROR(VLOOKUP(B223,input_settle_332100!L:R,7,FALSE),VLOOKUP(tables_settle_332100!C223,input_settle_332100!A:H,8,FALSE))</f>
        <v>0</v>
      </c>
      <c r="P223" s="48">
        <f ca="1">O223/SUM(O:O)</f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input_settle_332100!A$2</f>
        <v>332100</v>
      </c>
      <c r="B224" s="6">
        <v>595</v>
      </c>
      <c r="C224" s="7" t="str">
        <f>D224&amp;J224&amp;E224&amp;F224&amp;G224</f>
        <v>PremiumSS5</v>
      </c>
      <c r="D224" s="7" t="str">
        <f>IF(I224="PremiumSS",I224,IF(I224="PremiumSSS",I224,IF(I224="PremiumW",I224,"Premium")))</f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7">
        <f ca="1">IFERROR(VLOOKUP(B224,input_settle_332100!L:R,7,FALSE),VLOOKUP(tables_settle_332100!C224,input_settle_332100!A:H,8,FALSE))</f>
        <v>3240</v>
      </c>
      <c r="P224" s="48">
        <f ca="1">O224/SUM(O:O)</f>
        <v>1.7647058823529412E-3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input_settle_332100!A$2</f>
        <v>332100</v>
      </c>
      <c r="B225" s="6">
        <v>596</v>
      </c>
      <c r="C225" s="7" t="str">
        <f>D225&amp;J225&amp;E225&amp;F225&amp;G225</f>
        <v>Premium3</v>
      </c>
      <c r="D225" s="7" t="str">
        <f>IF(I225="PremiumSS",I225,IF(I225="PremiumSSS",I225,IF(I225="PremiumW",I225,"Premium")))</f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7">
        <f ca="1">IFERROR(VLOOKUP(B225,input_settle_332100!L:R,7,FALSE),VLOOKUP(tables_settle_332100!C225,input_settle_332100!A:H,8,FALSE))</f>
        <v>0</v>
      </c>
      <c r="P225" s="48">
        <f ca="1">O225/SUM(O:O)</f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input_settle_332100!A$2</f>
        <v>332100</v>
      </c>
      <c r="B226" s="6">
        <v>597</v>
      </c>
      <c r="C226" s="7" t="str">
        <f>D226&amp;J226&amp;E226&amp;F226&amp;G226</f>
        <v>Premium4</v>
      </c>
      <c r="D226" s="7" t="str">
        <f>IF(I226="PremiumSS",I226,IF(I226="PremiumSSS",I226,IF(I226="PremiumW",I226,"Premium")))</f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7">
        <f ca="1">IFERROR(VLOOKUP(B226,input_settle_332100!L:R,7,FALSE),VLOOKUP(tables_settle_332100!C226,input_settle_332100!A:H,8,FALSE))</f>
        <v>0</v>
      </c>
      <c r="P226" s="48">
        <f ca="1">O226/SUM(O:O)</f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input_settle_332100!A$2</f>
        <v>332100</v>
      </c>
      <c r="B227" s="6">
        <v>598</v>
      </c>
      <c r="C227" s="7" t="str">
        <f>D227&amp;J227&amp;E227&amp;F227&amp;G227</f>
        <v>Premium5</v>
      </c>
      <c r="D227" s="7" t="str">
        <f>IF(I227="PremiumSS",I227,IF(I227="PremiumSSS",I227,IF(I227="PremiumW",I227,"Premium")))</f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7">
        <f ca="1">IFERROR(VLOOKUP(B227,input_settle_332100!L:R,7,FALSE),VLOOKUP(tables_settle_332100!C227,input_settle_332100!A:H,8,FALSE))</f>
        <v>31620</v>
      </c>
      <c r="P227" s="48">
        <f ca="1">O227/SUM(O:O)</f>
        <v>1.7222222222222222E-2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input_settle_332100!A$2</f>
        <v>332100</v>
      </c>
      <c r="B228" s="6">
        <v>599</v>
      </c>
      <c r="C228" s="7" t="str">
        <f>D228&amp;J228&amp;E228&amp;F228&amp;G228</f>
        <v>Premium3</v>
      </c>
      <c r="D228" s="7" t="str">
        <f>IF(I228="PremiumSS",I228,IF(I228="PremiumSSS",I228,IF(I228="PremiumW",I228,"Premium")))</f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7">
        <f ca="1">IFERROR(VLOOKUP(B228,input_settle_332100!L:R,7,FALSE),VLOOKUP(tables_settle_332100!C228,input_settle_332100!A:H,8,FALSE))</f>
        <v>0</v>
      </c>
      <c r="P228" s="48">
        <f ca="1">O228/SUM(O:O)</f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input_settle_332100!A$2</f>
        <v>332100</v>
      </c>
      <c r="B229" s="6">
        <v>600</v>
      </c>
      <c r="C229" s="7" t="str">
        <f>D229&amp;J229&amp;E229&amp;F229&amp;G229</f>
        <v>Premium4</v>
      </c>
      <c r="D229" s="7" t="str">
        <f>IF(I229="PremiumSS",I229,IF(I229="PremiumSSS",I229,IF(I229="PremiumW",I229,"Premium")))</f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7">
        <f ca="1">IFERROR(VLOOKUP(B229,input_settle_332100!L:R,7,FALSE),VLOOKUP(tables_settle_332100!C229,input_settle_332100!A:H,8,FALSE))</f>
        <v>0</v>
      </c>
      <c r="P229" s="48">
        <f ca="1">O229/SUM(O:O)</f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input_settle_332100!A$2</f>
        <v>332100</v>
      </c>
      <c r="B230" s="6">
        <v>601</v>
      </c>
      <c r="C230" s="7" t="str">
        <f>D230&amp;J230&amp;E230&amp;F230&amp;G230</f>
        <v>Premium5</v>
      </c>
      <c r="D230" s="7" t="str">
        <f>IF(I230="PremiumSS",I230,IF(I230="PremiumSSS",I230,IF(I230="PremiumW",I230,"Premium")))</f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7">
        <f ca="1">IFERROR(VLOOKUP(B230,input_settle_332100!L:R,7,FALSE),VLOOKUP(tables_settle_332100!C230,input_settle_332100!A:H,8,FALSE))</f>
        <v>31620</v>
      </c>
      <c r="P230" s="48">
        <f ca="1">O230/SUM(O:O)</f>
        <v>1.7222222222222222E-2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input_settle_332100!A$2</f>
        <v>332100</v>
      </c>
      <c r="B231" s="6">
        <v>602</v>
      </c>
      <c r="C231" s="7" t="str">
        <f>D231&amp;J231&amp;E231&amp;F231&amp;G231</f>
        <v>PremiumSS4</v>
      </c>
      <c r="D231" s="7" t="str">
        <f>IF(I231="PremiumSS",I231,IF(I231="PremiumSSS",I231,IF(I231="PremiumW",I231,"Premium")))</f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7">
        <f ca="1">IFERROR(VLOOKUP(B231,input_settle_332100!L:R,7,FALSE),VLOOKUP(tables_settle_332100!C231,input_settle_332100!A:H,8,FALSE))</f>
        <v>0</v>
      </c>
      <c r="P231" s="48">
        <f ca="1">O231/SUM(O:O)</f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input_settle_332100!A$2</f>
        <v>332100</v>
      </c>
      <c r="B232" s="6">
        <v>603</v>
      </c>
      <c r="C232" s="7" t="str">
        <f>D232&amp;J232&amp;E232&amp;F232&amp;G232</f>
        <v>PremiumSS5</v>
      </c>
      <c r="D232" s="7" t="str">
        <f>IF(I232="PremiumSS",I232,IF(I232="PremiumSSS",I232,IF(I232="PremiumW",I232,"Premium")))</f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7">
        <f ca="1">IFERROR(VLOOKUP(B232,input_settle_332100!L:R,7,FALSE),VLOOKUP(tables_settle_332100!C232,input_settle_332100!A:H,8,FALSE))</f>
        <v>3240</v>
      </c>
      <c r="P232" s="48">
        <f ca="1">O232/SUM(O:O)</f>
        <v>1.7647058823529412E-3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input_settle_332100!A$2</f>
        <v>332100</v>
      </c>
      <c r="B233" s="6">
        <v>604</v>
      </c>
      <c r="C233" s="7" t="str">
        <f>D233&amp;J233&amp;E233&amp;F233&amp;G233</f>
        <v>Premium3</v>
      </c>
      <c r="D233" s="7" t="str">
        <f>IF(I233="PremiumSS",I233,IF(I233="PremiumSSS",I233,IF(I233="PremiumW",I233,"Premium")))</f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7">
        <f ca="1">IFERROR(VLOOKUP(B233,input_settle_332100!L:R,7,FALSE),VLOOKUP(tables_settle_332100!C233,input_settle_332100!A:H,8,FALSE))</f>
        <v>0</v>
      </c>
      <c r="P233" s="48">
        <f ca="1">O233/SUM(O:O)</f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input_settle_332100!A$2</f>
        <v>332100</v>
      </c>
      <c r="B234" s="6">
        <v>605</v>
      </c>
      <c r="C234" s="7" t="str">
        <f>D234&amp;J234&amp;E234&amp;F234&amp;G234</f>
        <v>Premium4</v>
      </c>
      <c r="D234" s="7" t="str">
        <f>IF(I234="PremiumSS",I234,IF(I234="PremiumSSS",I234,IF(I234="PremiumW",I234,"Premium")))</f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7">
        <f ca="1">IFERROR(VLOOKUP(B234,input_settle_332100!L:R,7,FALSE),VLOOKUP(tables_settle_332100!C234,input_settle_332100!A:H,8,FALSE))</f>
        <v>0</v>
      </c>
      <c r="P234" s="48">
        <f ca="1">O234/SUM(O:O)</f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input_settle_332100!A$2</f>
        <v>332100</v>
      </c>
      <c r="B235" s="6">
        <v>606</v>
      </c>
      <c r="C235" s="7" t="str">
        <f>D235&amp;J235&amp;E235&amp;F235&amp;G235</f>
        <v>Premium5</v>
      </c>
      <c r="D235" s="7" t="str">
        <f>IF(I235="PremiumSS",I235,IF(I235="PremiumSSS",I235,IF(I235="PremiumW",I235,"Premium")))</f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7">
        <f ca="1">IFERROR(VLOOKUP(B235,input_settle_332100!L:R,7,FALSE),VLOOKUP(tables_settle_332100!C235,input_settle_332100!A:H,8,FALSE))</f>
        <v>31620</v>
      </c>
      <c r="P235" s="48">
        <f ca="1">O235/SUM(O:O)</f>
        <v>1.7222222222222222E-2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input_settle_332100!A$2</f>
        <v>332100</v>
      </c>
      <c r="B236" s="6">
        <v>658</v>
      </c>
      <c r="C236" s="7" t="str">
        <f>D236&amp;J236&amp;E236&amp;F236&amp;G236</f>
        <v>PremiumSS4</v>
      </c>
      <c r="D236" s="7" t="str">
        <f>IF(I236="PremiumSS",I236,IF(I236="PremiumSSS",I236,IF(I236="PremiumW",I236,"Premium")))</f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7">
        <f ca="1">IFERROR(VLOOKUP(B236,input_settle_332100!L:R,7,FALSE),VLOOKUP(tables_settle_332100!C236,input_settle_332100!A:H,8,FALSE))</f>
        <v>0</v>
      </c>
      <c r="P236" s="48">
        <f ca="1">O236/SUM(O:O)</f>
        <v>0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input_settle_332100!A$2</f>
        <v>332100</v>
      </c>
      <c r="B237" s="6">
        <v>659</v>
      </c>
      <c r="C237" s="7" t="str">
        <f>D237&amp;J237&amp;E237&amp;F237&amp;G237</f>
        <v>PremiumSS5</v>
      </c>
      <c r="D237" s="7" t="str">
        <f>IF(I237="PremiumSS",I237,IF(I237="PremiumSSS",I237,IF(I237="PremiumW",I237,"Premium")))</f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7">
        <f ca="1">IFERROR(VLOOKUP(B237,input_settle_332100!L:R,7,FALSE),VLOOKUP(tables_settle_332100!C237,input_settle_332100!A:H,8,FALSE))</f>
        <v>3240</v>
      </c>
      <c r="P237" s="48">
        <f ca="1">O237/SUM(O:O)</f>
        <v>1.7647058823529412E-3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input_settle_332100!A$2</f>
        <v>332100</v>
      </c>
      <c r="B238" s="6">
        <v>660</v>
      </c>
      <c r="C238" s="7" t="str">
        <f>D238&amp;J238&amp;E238&amp;F238&amp;G238</f>
        <v>PremiumSS4</v>
      </c>
      <c r="D238" s="7" t="str">
        <f>IF(I238="PremiumSS",I238,IF(I238="PremiumSSS",I238,IF(I238="PremiumW",I238,"Premium")))</f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7">
        <f ca="1">IFERROR(VLOOKUP(B238,input_settle_332100!L:R,7,FALSE),VLOOKUP(tables_settle_332100!C238,input_settle_332100!A:H,8,FALSE))</f>
        <v>0</v>
      </c>
      <c r="P238" s="48">
        <f ca="1">O238/SUM(O:O)</f>
        <v>0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input_settle_332100!A$2</f>
        <v>332100</v>
      </c>
      <c r="B239" s="6">
        <v>661</v>
      </c>
      <c r="C239" s="7" t="str">
        <f>D239&amp;J239&amp;E239&amp;F239&amp;G239</f>
        <v>PremiumSS5</v>
      </c>
      <c r="D239" s="7" t="str">
        <f>IF(I239="PremiumSS",I239,IF(I239="PremiumSSS",I239,IF(I239="PremiumW",I239,"Premium")))</f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7">
        <f ca="1">IFERROR(VLOOKUP(B239,input_settle_332100!L:R,7,FALSE),VLOOKUP(tables_settle_332100!C239,input_settle_332100!A:H,8,FALSE))</f>
        <v>3240</v>
      </c>
      <c r="P239" s="48">
        <f ca="1">O239/SUM(O:O)</f>
        <v>1.7647058823529412E-3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input_settle_332100!A$2</f>
        <v>332100</v>
      </c>
      <c r="B240" s="6">
        <v>662</v>
      </c>
      <c r="C240" s="7" t="str">
        <f>D240&amp;J240&amp;E240&amp;F240&amp;G240</f>
        <v>Premium3</v>
      </c>
      <c r="D240" s="7" t="str">
        <f>IF(I240="PremiumSS",I240,IF(I240="PremiumSSS",I240,IF(I240="PremiumW",I240,"Premium")))</f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7">
        <f ca="1">IFERROR(VLOOKUP(B240,input_settle_332100!L:R,7,FALSE),VLOOKUP(tables_settle_332100!C240,input_settle_332100!A:H,8,FALSE))</f>
        <v>0</v>
      </c>
      <c r="P240" s="48">
        <f ca="1">O240/SUM(O:O)</f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input_settle_332100!A$2</f>
        <v>332100</v>
      </c>
      <c r="B241" s="6">
        <v>663</v>
      </c>
      <c r="C241" s="7" t="str">
        <f>D241&amp;J241&amp;E241&amp;F241&amp;G241</f>
        <v>Premium4</v>
      </c>
      <c r="D241" s="7" t="str">
        <f>IF(I241="PremiumSS",I241,IF(I241="PremiumSSS",I241,IF(I241="PremiumW",I241,"Premium")))</f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7">
        <f ca="1">IFERROR(VLOOKUP(B241,input_settle_332100!L:R,7,FALSE),VLOOKUP(tables_settle_332100!C241,input_settle_332100!A:H,8,FALSE))</f>
        <v>0</v>
      </c>
      <c r="P241" s="48">
        <f ca="1">O241/SUM(O:O)</f>
        <v>0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input_settle_332100!A$2</f>
        <v>332100</v>
      </c>
      <c r="B242" s="6">
        <v>664</v>
      </c>
      <c r="C242" s="7" t="str">
        <f>D242&amp;J242&amp;E242&amp;F242&amp;G242</f>
        <v>Premium5</v>
      </c>
      <c r="D242" s="7" t="str">
        <f>IF(I242="PremiumSS",I242,IF(I242="PremiumSSS",I242,IF(I242="PremiumW",I242,"Premium")))</f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7">
        <f ca="1">IFERROR(VLOOKUP(B242,input_settle_332100!L:R,7,FALSE),VLOOKUP(tables_settle_332100!C242,input_settle_332100!A:H,8,FALSE))</f>
        <v>31620</v>
      </c>
      <c r="P242" s="48">
        <f ca="1">O242/SUM(O:O)</f>
        <v>1.7222222222222222E-2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input_settle_332100!A$2</f>
        <v>332100</v>
      </c>
      <c r="B243" s="6">
        <v>665</v>
      </c>
      <c r="C243" s="7" t="str">
        <f>D243&amp;J243&amp;E243&amp;F243&amp;G243</f>
        <v>Premium3</v>
      </c>
      <c r="D243" s="7" t="str">
        <f>IF(I243="PremiumSS",I243,IF(I243="PremiumSSS",I243,IF(I243="PremiumW",I243,"Premium")))</f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7">
        <f ca="1">IFERROR(VLOOKUP(B243,input_settle_332100!L:R,7,FALSE),VLOOKUP(tables_settle_332100!C243,input_settle_332100!A:H,8,FALSE))</f>
        <v>0</v>
      </c>
      <c r="P243" s="48">
        <f ca="1">O243/SUM(O:O)</f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input_settle_332100!A$2</f>
        <v>332100</v>
      </c>
      <c r="B244" s="6">
        <v>666</v>
      </c>
      <c r="C244" s="7" t="str">
        <f>D244&amp;J244&amp;E244&amp;F244&amp;G244</f>
        <v>Premium4</v>
      </c>
      <c r="D244" s="7" t="str">
        <f>IF(I244="PremiumSS",I244,IF(I244="PremiumSSS",I244,IF(I244="PremiumW",I244,"Premium")))</f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7">
        <f ca="1">IFERROR(VLOOKUP(B244,input_settle_332100!L:R,7,FALSE),VLOOKUP(tables_settle_332100!C244,input_settle_332100!A:H,8,FALSE))</f>
        <v>0</v>
      </c>
      <c r="P244" s="48">
        <f ca="1">O244/SUM(O:O)</f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input_settle_332100!A$2</f>
        <v>332100</v>
      </c>
      <c r="B245" s="6">
        <v>667</v>
      </c>
      <c r="C245" s="7" t="str">
        <f>D245&amp;J245&amp;E245&amp;F245&amp;G245</f>
        <v>Premium5</v>
      </c>
      <c r="D245" s="7" t="str">
        <f>IF(I245="PremiumSS",I245,IF(I245="PremiumSSS",I245,IF(I245="PremiumW",I245,"Premium")))</f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7">
        <f ca="1">IFERROR(VLOOKUP(B245,input_settle_332100!L:R,7,FALSE),VLOOKUP(tables_settle_332100!C245,input_settle_332100!A:H,8,FALSE))</f>
        <v>31620</v>
      </c>
      <c r="P245" s="48">
        <f ca="1">O245/SUM(O:O)</f>
        <v>1.7222222222222222E-2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input_settle_332100!A$2</f>
        <v>332100</v>
      </c>
      <c r="B246" s="62">
        <v>668</v>
      </c>
      <c r="C246" s="7" t="str">
        <f>D246&amp;J246&amp;E246&amp;F246&amp;G246</f>
        <v>Premium3</v>
      </c>
      <c r="D246" s="7" t="str">
        <f>IF(I246="PremiumSS",I246,IF(I246="PremiumSSS",I246,IF(I246="PremiumW",I246,"Premium")))</f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7">
        <f ca="1">IFERROR(VLOOKUP(B246,input_settle_332100!L:R,7,FALSE),VLOOKUP(tables_settle_332100!C246,input_settle_332100!A:H,8,FALSE))</f>
        <v>0</v>
      </c>
      <c r="P246" s="48">
        <f ca="1">O246/SUM(O:O)</f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input_settle_332100!A$2</f>
        <v>332100</v>
      </c>
      <c r="B247" s="62">
        <v>669</v>
      </c>
      <c r="C247" s="7" t="str">
        <f>D247&amp;J247&amp;E247&amp;F247&amp;G247</f>
        <v>Premium4</v>
      </c>
      <c r="D247" s="7" t="str">
        <f>IF(I247="PremiumSS",I247,IF(I247="PremiumSSS",I247,IF(I247="PremiumW",I247,"Premium")))</f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7">
        <f ca="1">IFERROR(VLOOKUP(B247,input_settle_332100!L:R,7,FALSE),VLOOKUP(tables_settle_332100!C247,input_settle_332100!A:H,8,FALSE))</f>
        <v>0</v>
      </c>
      <c r="P247" s="48">
        <f ca="1">O247/SUM(O:O)</f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input_settle_332100!A$2</f>
        <v>332100</v>
      </c>
      <c r="B248" s="62">
        <v>670</v>
      </c>
      <c r="C248" s="7" t="str">
        <f>D248&amp;J248&amp;E248&amp;F248&amp;G248</f>
        <v>Premium5</v>
      </c>
      <c r="D248" s="7" t="str">
        <f>IF(I248="PremiumSS",I248,IF(I248="PremiumSSS",I248,IF(I248="PremiumW",I248,"Premium")))</f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7">
        <f ca="1">IFERROR(VLOOKUP(B248,input_settle_332100!L:R,7,FALSE),VLOOKUP(tables_settle_332100!C248,input_settle_332100!A:H,8,FALSE))</f>
        <v>31620</v>
      </c>
      <c r="P248" s="48">
        <f ca="1">O248/SUM(O:O)</f>
        <v>1.7222222222222222E-2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input_settle_332100!A$2</f>
        <v>332100</v>
      </c>
      <c r="B249" s="62">
        <v>671</v>
      </c>
      <c r="C249" s="7" t="str">
        <f>D249&amp;J249&amp;E249&amp;F249&amp;G249</f>
        <v>Premium3</v>
      </c>
      <c r="D249" s="7" t="str">
        <f>IF(I249="PremiumSS",I249,IF(I249="PremiumSSS",I249,IF(I249="PremiumW",I249,"Premium")))</f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7">
        <f ca="1">IFERROR(VLOOKUP(B249,input_settle_332100!L:R,7,FALSE),VLOOKUP(tables_settle_332100!C249,input_settle_332100!A:H,8,FALSE))</f>
        <v>0</v>
      </c>
      <c r="P249" s="48">
        <f ca="1">O249/SUM(O:O)</f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input_settle_332100!A$2</f>
        <v>332100</v>
      </c>
      <c r="B250" s="62">
        <v>672</v>
      </c>
      <c r="C250" s="7" t="str">
        <f>D250&amp;J250&amp;E250&amp;F250&amp;G250</f>
        <v>Premium4</v>
      </c>
      <c r="D250" s="7" t="str">
        <f>IF(I250="PremiumSS",I250,IF(I250="PremiumSSS",I250,IF(I250="PremiumW",I250,"Premium")))</f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7">
        <f ca="1">IFERROR(VLOOKUP(B250,input_settle_332100!L:R,7,FALSE),VLOOKUP(tables_settle_332100!C250,input_settle_332100!A:H,8,FALSE))</f>
        <v>0</v>
      </c>
      <c r="P250" s="48">
        <f ca="1">O250/SUM(O:O)</f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input_settle_332100!A$2</f>
        <v>332100</v>
      </c>
      <c r="B251" s="62">
        <v>673</v>
      </c>
      <c r="C251" s="7" t="str">
        <f>D251&amp;J251&amp;E251&amp;F251&amp;G251</f>
        <v>Premium5</v>
      </c>
      <c r="D251" s="7" t="str">
        <f>IF(I251="PremiumSS",I251,IF(I251="PremiumSSS",I251,IF(I251="PremiumW",I251,"Premium")))</f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7">
        <f ca="1">IFERROR(VLOOKUP(B251,input_settle_332100!L:R,7,FALSE),VLOOKUP(tables_settle_332100!C251,input_settle_332100!A:H,8,FALSE))</f>
        <v>31620</v>
      </c>
      <c r="P251" s="48">
        <f ca="1">O251/SUM(O:O)</f>
        <v>1.7222222222222222E-2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input_settle_332100!A$2</f>
        <v>332100</v>
      </c>
      <c r="B252" s="62">
        <v>674</v>
      </c>
      <c r="C252" s="7" t="str">
        <f>D252&amp;J252&amp;E252&amp;F252&amp;G252</f>
        <v>PremiumSS4</v>
      </c>
      <c r="D252" s="7" t="str">
        <f>IF(I252="PremiumSS",I252,IF(I252="PremiumSSS",I252,IF(I252="PremiumW",I252,"Premium")))</f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7">
        <f ca="1">IFERROR(VLOOKUP(B252,input_settle_332100!L:R,7,FALSE),VLOOKUP(tables_settle_332100!C252,input_settle_332100!A:H,8,FALSE))</f>
        <v>0</v>
      </c>
      <c r="P252" s="48">
        <f ca="1">O252/SUM(O:O)</f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input_settle_332100!A$2</f>
        <v>332100</v>
      </c>
      <c r="B253" s="62">
        <v>675</v>
      </c>
      <c r="C253" s="7" t="str">
        <f>D253&amp;J253&amp;E253&amp;F253&amp;G253</f>
        <v>PremiumSS5</v>
      </c>
      <c r="D253" s="7" t="str">
        <f>IF(I253="PremiumSS",I253,IF(I253="PremiumSSS",I253,IF(I253="PremiumW",I253,"Premium")))</f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7">
        <f ca="1">IFERROR(VLOOKUP(B253,input_settle_332100!L:R,7,FALSE),VLOOKUP(tables_settle_332100!C253,input_settle_332100!A:H,8,FALSE))</f>
        <v>3240</v>
      </c>
      <c r="P253" s="48">
        <f ca="1">O253/SUM(O:O)</f>
        <v>1.7647058823529412E-3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input_settle_332100!A$2</f>
        <v>332100</v>
      </c>
      <c r="B254" s="62">
        <v>676</v>
      </c>
      <c r="C254" s="7" t="str">
        <f>D254&amp;J254&amp;E254&amp;F254&amp;G254</f>
        <v>PremiumSS4</v>
      </c>
      <c r="D254" s="7" t="str">
        <f>IF(I254="PremiumSS",I254,IF(I254="PremiumSSS",I254,IF(I254="PremiumW",I254,"Premium")))</f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7">
        <f ca="1">IFERROR(VLOOKUP(B254,input_settle_332100!L:R,7,FALSE),VLOOKUP(tables_settle_332100!C254,input_settle_332100!A:H,8,FALSE))</f>
        <v>0</v>
      </c>
      <c r="P254" s="48">
        <f ca="1">O254/SUM(O:O)</f>
        <v>0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input_settle_332100!A$2</f>
        <v>332100</v>
      </c>
      <c r="B255" s="62">
        <v>677</v>
      </c>
      <c r="C255" s="7" t="str">
        <f>D255&amp;J255&amp;E255&amp;F255&amp;G255</f>
        <v>PremiumSS5</v>
      </c>
      <c r="D255" s="7" t="str">
        <f>IF(I255="PremiumSS",I255,IF(I255="PremiumSSS",I255,IF(I255="PremiumW",I255,"Premium")))</f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7">
        <f ca="1">IFERROR(VLOOKUP(B255,input_settle_332100!L:R,7,FALSE),VLOOKUP(tables_settle_332100!C255,input_settle_332100!A:H,8,FALSE))</f>
        <v>3240</v>
      </c>
      <c r="P255" s="48">
        <f ca="1">O255/SUM(O:O)</f>
        <v>1.7647058823529412E-3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input_settle_332100!A$2</f>
        <v>332100</v>
      </c>
      <c r="B256" s="62">
        <v>728</v>
      </c>
      <c r="C256" s="7" t="str">
        <f>D256&amp;J256&amp;E256&amp;F256&amp;G256</f>
        <v>Premium4R3less</v>
      </c>
      <c r="D256" s="7" t="str">
        <f>IF(I256="PremiumSS",I256,IF(I256="PremiumSSS",I256,IF(I256="PremiumW",I256,"Premium")))</f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7">
        <f ca="1">IFERROR(VLOOKUP(B256,input_settle_332100!L:R,7,FALSE),VLOOKUP(tables_settle_332100!C256,input_settle_332100!A:H,8,FALSE))</f>
        <v>0</v>
      </c>
      <c r="P256" s="48">
        <f ca="1">O256/SUM(O:O)</f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input_settle_332100!A$2</f>
        <v>332100</v>
      </c>
      <c r="B257" s="62">
        <v>729</v>
      </c>
      <c r="C257" s="7" t="str">
        <f>D257&amp;J257&amp;E257&amp;F257&amp;G257</f>
        <v>Premium5R3less</v>
      </c>
      <c r="D257" s="7" t="str">
        <f>IF(I257="PremiumSS",I257,IF(I257="PremiumSSS",I257,IF(I257="PremiumW",I257,"Premium")))</f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7">
        <f ca="1">IFERROR(VLOOKUP(B257,input_settle_332100!L:R,7,FALSE),VLOOKUP(tables_settle_332100!C257,input_settle_332100!A:H,8,FALSE))</f>
        <v>31620</v>
      </c>
      <c r="P257" s="48">
        <f ca="1">O257/SUM(O:O)</f>
        <v>1.7222222222222222E-2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input_settle_332100!A$2</f>
        <v>332100</v>
      </c>
      <c r="B258" s="62">
        <v>730</v>
      </c>
      <c r="C258" s="7" t="str">
        <f>D258&amp;J258&amp;E258&amp;F258&amp;G258</f>
        <v>Premium4R3less</v>
      </c>
      <c r="D258" s="7" t="str">
        <f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7">
        <f ca="1">IFERROR(VLOOKUP(B258,input_settle_332100!L:R,7,FALSE),VLOOKUP(tables_settle_332100!C258,input_settle_332100!A:H,8,FALSE))</f>
        <v>0</v>
      </c>
      <c r="P258" s="48">
        <f ca="1">O258/SUM(O:O)</f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input_settle_332100!A$2</f>
        <v>332100</v>
      </c>
      <c r="B259" s="62">
        <v>731</v>
      </c>
      <c r="C259" s="7" t="str">
        <f>D259&amp;J259&amp;E259&amp;F259&amp;G259</f>
        <v>Premium5R3less</v>
      </c>
      <c r="D259" s="7" t="str">
        <f>IF(I259="PremiumSS",I259,IF(I259="PremiumSSS",I259,IF(I259="PremiumW",I259,"Premium")))</f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7">
        <f ca="1">IFERROR(VLOOKUP(B259,input_settle_332100!L:R,7,FALSE),VLOOKUP(tables_settle_332100!C259,input_settle_332100!A:H,8,FALSE))</f>
        <v>31620</v>
      </c>
      <c r="P259" s="48">
        <f ca="1">O259/SUM(O:O)</f>
        <v>1.7222222222222222E-2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input_settle_332100!A$2</f>
        <v>332100</v>
      </c>
      <c r="B260" s="62">
        <v>732</v>
      </c>
      <c r="C260" s="7" t="str">
        <f>D260&amp;J260&amp;E260&amp;F260&amp;G260</f>
        <v>PremiumSS5R5only</v>
      </c>
      <c r="D260" s="7" t="str">
        <f>IF(I260="PremiumSS",I260,IF(I260="PremiumSSS",I260,IF(I260="PremiumW",I260,"Premium")))</f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7">
        <f ca="1">IFERROR(VLOOKUP(B260,input_settle_332100!L:R,7,FALSE),VLOOKUP(tables_settle_332100!C260,input_settle_332100!A:H,8,FALSE))</f>
        <v>3240</v>
      </c>
      <c r="P260" s="48">
        <f ca="1">O260/SUM(O:O)</f>
        <v>1.7647058823529412E-3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input_settle_332100!A$2</f>
        <v>332100</v>
      </c>
      <c r="B261" s="62">
        <v>734</v>
      </c>
      <c r="C261" s="7" t="str">
        <f>D261&amp;J261&amp;E261&amp;F261&amp;G261</f>
        <v>PremiumSS5R5only</v>
      </c>
      <c r="D261" s="7" t="str">
        <f>IF(I261="PremiumSS",I261,IF(I261="PremiumSSS",I261,IF(I261="PremiumW",I261,"Premium")))</f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7">
        <f ca="1">IFERROR(VLOOKUP(B261,input_settle_332100!L:R,7,FALSE),VLOOKUP(tables_settle_332100!C261,input_settle_332100!A:H,8,FALSE))</f>
        <v>3240</v>
      </c>
      <c r="P261" s="48">
        <f ca="1">O261/SUM(O:O)</f>
        <v>1.7647058823529412E-3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input_settle_332100!A$2</f>
        <v>332100</v>
      </c>
      <c r="B262" s="62">
        <v>770</v>
      </c>
      <c r="C262" s="7" t="str">
        <f>D262&amp;J262&amp;E262&amp;F262&amp;G262</f>
        <v>PremiumSS4</v>
      </c>
      <c r="D262" s="7" t="str">
        <f>IF(I262="PremiumSS",I262,IF(I262="PremiumSSS",I262,IF(I262="PremiumW",I262,"Premium")))</f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7">
        <f ca="1">IFERROR(VLOOKUP(B262,input_settle_332100!L:R,7,FALSE),VLOOKUP(tables_settle_332100!C262,input_settle_332100!A:H,8,FALSE))</f>
        <v>0</v>
      </c>
      <c r="P262" s="48">
        <f ca="1">O262/SUM(O:O)</f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input_settle_332100!A$2</f>
        <v>332100</v>
      </c>
      <c r="B263" s="62">
        <v>771</v>
      </c>
      <c r="C263" s="7" t="str">
        <f>D263&amp;J263&amp;E263&amp;F263&amp;G263</f>
        <v>PremiumSS5</v>
      </c>
      <c r="D263" s="7" t="str">
        <f>IF(I263="PremiumSS",I263,IF(I263="PremiumSSS",I263,IF(I263="PremiumW",I263,"Premium")))</f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7">
        <f ca="1">IFERROR(VLOOKUP(B263,input_settle_332100!L:R,7,FALSE),VLOOKUP(tables_settle_332100!C263,input_settle_332100!A:H,8,FALSE))</f>
        <v>3240</v>
      </c>
      <c r="P263" s="48">
        <f ca="1">O263/SUM(O:O)</f>
        <v>1.7647058823529412E-3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input_settle_332100!A$2</f>
        <v>332100</v>
      </c>
      <c r="B264" s="62">
        <v>772</v>
      </c>
      <c r="C264" s="7" t="str">
        <f>D264&amp;J264&amp;E264&amp;F264&amp;G264</f>
        <v>PremiumSS4</v>
      </c>
      <c r="D264" s="7" t="str">
        <f>IF(I264="PremiumSS",I264,IF(I264="PremiumSSS",I264,IF(I264="PremiumW",I264,"Premium")))</f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7">
        <f ca="1">IFERROR(VLOOKUP(B264,input_settle_332100!L:R,7,FALSE),VLOOKUP(tables_settle_332100!C264,input_settle_332100!A:H,8,FALSE))</f>
        <v>0</v>
      </c>
      <c r="P264" s="48">
        <f ca="1">O264/SUM(O:O)</f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input_settle_332100!A$2</f>
        <v>332100</v>
      </c>
      <c r="B265" s="62">
        <v>773</v>
      </c>
      <c r="C265" s="7" t="str">
        <f>D265&amp;J265&amp;E265&amp;F265&amp;G265</f>
        <v>PremiumSS5</v>
      </c>
      <c r="D265" s="7" t="str">
        <f>IF(I265="PremiumSS",I265,IF(I265="PremiumSSS",I265,IF(I265="PremiumW",I265,"Premium")))</f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7">
        <f ca="1">IFERROR(VLOOKUP(B265,input_settle_332100!L:R,7,FALSE),VLOOKUP(tables_settle_332100!C265,input_settle_332100!A:H,8,FALSE))</f>
        <v>3240</v>
      </c>
      <c r="P265" s="48">
        <f ca="1">O265/SUM(O:O)</f>
        <v>1.7647058823529412E-3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input_settle_332100!A$2</f>
        <v>332100</v>
      </c>
      <c r="B266" s="62">
        <v>774</v>
      </c>
      <c r="C266" s="7" t="str">
        <f>D266&amp;J266&amp;E266&amp;F266&amp;G266</f>
        <v>Premium3</v>
      </c>
      <c r="D266" s="7" t="str">
        <f>IF(I266="PremiumSS",I266,IF(I266="PremiumSSS",I266,IF(I266="PremiumW",I266,"Premium")))</f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7">
        <f ca="1">IFERROR(VLOOKUP(B266,input_settle_332100!L:R,7,FALSE),VLOOKUP(tables_settle_332100!C266,input_settle_332100!A:H,8,FALSE))</f>
        <v>0</v>
      </c>
      <c r="P266" s="48">
        <f ca="1">O266/SUM(O:O)</f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input_settle_332100!A$2</f>
        <v>332100</v>
      </c>
      <c r="B267" s="62">
        <v>775</v>
      </c>
      <c r="C267" s="7" t="str">
        <f>D267&amp;J267&amp;E267&amp;F267&amp;G267</f>
        <v>Premium4</v>
      </c>
      <c r="D267" s="7" t="str">
        <f>IF(I267="PremiumSS",I267,IF(I267="PremiumSSS",I267,IF(I267="PremiumW",I267,"Premium")))</f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7">
        <f ca="1">IFERROR(VLOOKUP(B267,input_settle_332100!L:R,7,FALSE),VLOOKUP(tables_settle_332100!C267,input_settle_332100!A:H,8,FALSE))</f>
        <v>0</v>
      </c>
      <c r="P267" s="48">
        <f ca="1">O267/SUM(O:O)</f>
        <v>0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input_settle_332100!A$2</f>
        <v>332100</v>
      </c>
      <c r="B268" s="62">
        <v>776</v>
      </c>
      <c r="C268" s="7" t="str">
        <f>D268&amp;J268&amp;E268&amp;F268&amp;G268</f>
        <v>Premium5</v>
      </c>
      <c r="D268" s="7" t="str">
        <f>IF(I268="PremiumSS",I268,IF(I268="PremiumSSS",I268,IF(I268="PremiumW",I268,"Premium")))</f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7">
        <f ca="1">IFERROR(VLOOKUP(B268,input_settle_332100!L:R,7,FALSE),VLOOKUP(tables_settle_332100!C268,input_settle_332100!A:H,8,FALSE))</f>
        <v>31620</v>
      </c>
      <c r="P268" s="48">
        <f ca="1">O268/SUM(O:O)</f>
        <v>1.7222222222222222E-2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input_settle_332100!A$2</f>
        <v>332100</v>
      </c>
      <c r="B269" s="62">
        <v>777</v>
      </c>
      <c r="C269" s="7" t="str">
        <f>D269&amp;J269&amp;E269&amp;F269&amp;G269</f>
        <v>Premium3</v>
      </c>
      <c r="D269" s="7" t="str">
        <f>IF(I269="PremiumSS",I269,IF(I269="PremiumSSS",I269,IF(I269="PremiumW",I269,"Premium")))</f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7">
        <f ca="1">IFERROR(VLOOKUP(B269,input_settle_332100!L:R,7,FALSE),VLOOKUP(tables_settle_332100!C269,input_settle_332100!A:H,8,FALSE))</f>
        <v>0</v>
      </c>
      <c r="P269" s="48">
        <f ca="1">O269/SUM(O:O)</f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input_settle_332100!A$2</f>
        <v>332100</v>
      </c>
      <c r="B270" s="62">
        <v>778</v>
      </c>
      <c r="C270" s="7" t="str">
        <f>D270&amp;J270&amp;E270&amp;F270&amp;G270</f>
        <v>Premium4</v>
      </c>
      <c r="D270" s="7" t="str">
        <f>IF(I270="PremiumSS",I270,IF(I270="PremiumSSS",I270,IF(I270="PremiumW",I270,"Premium")))</f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7">
        <f ca="1">IFERROR(VLOOKUP(B270,input_settle_332100!L:R,7,FALSE),VLOOKUP(tables_settle_332100!C270,input_settle_332100!A:H,8,FALSE))</f>
        <v>0</v>
      </c>
      <c r="P270" s="48">
        <f ca="1">O270/SUM(O:O)</f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input_settle_332100!A$2</f>
        <v>332100</v>
      </c>
      <c r="B271" s="62">
        <v>779</v>
      </c>
      <c r="C271" s="7" t="str">
        <f>D271&amp;J271&amp;E271&amp;F271&amp;G271</f>
        <v>Premium5</v>
      </c>
      <c r="D271" s="7" t="str">
        <f>IF(I271="PremiumSS",I271,IF(I271="PremiumSSS",I271,IF(I271="PremiumW",I271,"Premium")))</f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7">
        <f ca="1">IFERROR(VLOOKUP(B271,input_settle_332100!L:R,7,FALSE),VLOOKUP(tables_settle_332100!C271,input_settle_332100!A:H,8,FALSE))</f>
        <v>31620</v>
      </c>
      <c r="P271" s="48">
        <f ca="1">O271/SUM(O:O)</f>
        <v>1.7222222222222222E-2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input_settle_332100!A$2</f>
        <v>332100</v>
      </c>
      <c r="B272" s="62">
        <v>688</v>
      </c>
      <c r="C272" s="7" t="str">
        <f t="shared" ref="C272:C274" si="0">D272&amp;J272&amp;E272&amp;F272&amp;G272</f>
        <v>PremiumSSS4R3less</v>
      </c>
      <c r="D272" s="7" t="str">
        <f t="shared" ref="D272:D274" si="1">IF(I272="PremiumSS",I272,IF(I272="PremiumSSS",I272,IF(I272="PremiumW",I272,"Premium")))</f>
        <v>PremiumSSS</v>
      </c>
      <c r="E272" s="7" t="str">
        <f>IF(COUNTIF('R6追加前'!A:A,B272)=0,IF(I272="PremiumSS","R5only","R3less"),"")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ユークリッド</v>
      </c>
      <c r="I272" s="7" t="str">
        <f>VLOOKUP(B272,[1]characters!$A:$J,10,FALSE)</f>
        <v>PremiumSSS</v>
      </c>
      <c r="J272" s="7">
        <f>VLOOKUP(B272,[1]characters!$A:$I,9,FALSE)</f>
        <v>4</v>
      </c>
      <c r="K272" s="7" t="str">
        <f>VLOOKUP(B272,[1]characters!$A:$H,8,FALSE)</f>
        <v>blue</v>
      </c>
      <c r="L272" s="7" t="str">
        <f>VLOOKUP(B272,[1]characters!$A:$K,11,FALSE)</f>
        <v>balance</v>
      </c>
      <c r="M272" s="7" t="str">
        <f>VLOOKUP(B272,[1]characters!$A:$M,13,FALSE)</f>
        <v>human</v>
      </c>
      <c r="N272" s="7" t="str">
        <f>VLOOKUP(B272,[1]characters!$A:$G,7,FALSE)</f>
        <v>女性</v>
      </c>
      <c r="O272" s="47">
        <f>IFERROR(VLOOKUP(B272,input_settle_332100!L:R,7,FALSE),VLOOKUP(tables_settle_332100!C272,input_settle_332100!A:H,8,FALSE))</f>
        <v>0</v>
      </c>
      <c r="P272" s="48">
        <f t="shared" ref="P272" ca="1" si="2">O272/SUM(O:O)</f>
        <v>0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input_settle_332100!A$2</f>
        <v>332100</v>
      </c>
      <c r="B273" s="62">
        <v>689</v>
      </c>
      <c r="C273" s="7" t="str">
        <f t="shared" si="0"/>
        <v>PremiumSSS5R3less</v>
      </c>
      <c r="D273" s="7" t="str">
        <f t="shared" si="1"/>
        <v>PremiumSSS</v>
      </c>
      <c r="E273" s="7" t="str">
        <f>IF(COUNTIF('R6追加前'!A:A,B273)=0,IF(I273="PremiumSS","R5only","R3less"),"")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根原論理 ユークリッド</v>
      </c>
      <c r="I273" s="7" t="str">
        <f>VLOOKUP(B273,[1]characters!$A:$J,10,FALSE)</f>
        <v>PremiumSSS</v>
      </c>
      <c r="J273" s="7">
        <f>VLOOKUP(B273,[1]characters!$A:$I,9,FALSE)</f>
        <v>5</v>
      </c>
      <c r="K273" s="7" t="str">
        <f>VLOOKUP(B273,[1]characters!$A:$H,8,FALSE)</f>
        <v>blue</v>
      </c>
      <c r="L273" s="7" t="str">
        <f>VLOOKUP(B273,[1]characters!$A:$K,11,FALSE)</f>
        <v>balance</v>
      </c>
      <c r="M273" s="7" t="str">
        <f>VLOOKUP(B273,[1]characters!$A:$M,13,FALSE)</f>
        <v>human</v>
      </c>
      <c r="N273" s="7" t="str">
        <f>VLOOKUP(B273,[1]characters!$A:$G,7,FALSE)</f>
        <v>女性</v>
      </c>
      <c r="O273" s="47">
        <f>IFERROR(VLOOKUP(B273,input_settle_332100!L:R,7,FALSE),VLOOKUP(tables_settle_332100!C273,input_settle_332100!A:H,8,FALSE))</f>
        <v>9180</v>
      </c>
      <c r="P273" s="48">
        <f ca="1">O273/SUM(O:O)</f>
        <v>5.0000000000000001E-3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input_settle_332100!A$2</f>
        <v>332100</v>
      </c>
      <c r="B274" s="62">
        <v>870</v>
      </c>
      <c r="C274" s="7" t="str">
        <f t="shared" si="0"/>
        <v>PremiumSSS5R3less</v>
      </c>
      <c r="D274" s="7" t="str">
        <f t="shared" si="1"/>
        <v>PremiumSSS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フロイト</v>
      </c>
      <c r="I274" s="7" t="str">
        <f>VLOOKUP(B274,[1]characters!$A:$J,10,FALSE)</f>
        <v>PremiumSSS</v>
      </c>
      <c r="J274" s="7">
        <f>VLOOKUP(B274,[1]characters!$A:$I,9,FALSE)</f>
        <v>5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academia</v>
      </c>
      <c r="N274" s="7" t="str">
        <f>VLOOKUP(B274,[1]characters!$A:$G,7,FALSE)</f>
        <v>男性</v>
      </c>
      <c r="O274" s="47">
        <f>IFERROR(VLOOKUP(B274,input_settle_332100!L:R,7,FALSE),VLOOKUP(tables_settle_332100!C274,input_settle_332100!A:H,8,FALSE))</f>
        <v>9180</v>
      </c>
      <c r="P274" s="48">
        <f ca="1">O274/SUM(O:O)</f>
        <v>5.0000000000000001E-3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</sheetData>
  <phoneticPr fontId="16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H10" sqref="H10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4" t="s">
        <v>92</v>
      </c>
      <c r="H1" s="54" t="s">
        <v>93</v>
      </c>
      <c r="I1" s="55" t="s">
        <v>94</v>
      </c>
      <c r="J1" s="55" t="s">
        <v>95</v>
      </c>
      <c r="K1" s="55" t="s">
        <v>96</v>
      </c>
      <c r="L1" s="55" t="s">
        <v>97</v>
      </c>
      <c r="M1" s="55" t="s">
        <v>98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1" t="s">
        <v>99</v>
      </c>
    </row>
  </sheetData>
  <autoFilter ref="A1:F1"/>
  <phoneticPr fontId="16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2">
        <v>668</v>
      </c>
      <c r="B246" s="7" t="str">
        <f>VLOOKUP(A246,[1]characters!$A:$C,3,FALSE)</f>
        <v>アグニ</v>
      </c>
    </row>
    <row r="247" spans="1:2" x14ac:dyDescent="0.15">
      <c r="A247" s="62">
        <v>669</v>
      </c>
      <c r="B247" s="7" t="str">
        <f>VLOOKUP(A247,[1]characters!$A:$C,3,FALSE)</f>
        <v>天地の仲界 アグニ</v>
      </c>
    </row>
    <row r="248" spans="1:2" x14ac:dyDescent="0.15">
      <c r="A248" s="62">
        <v>670</v>
      </c>
      <c r="B248" s="7" t="str">
        <f>VLOOKUP(A248,[1]characters!$A:$C,3,FALSE)</f>
        <v>陽天の噴煙 アグニ</v>
      </c>
    </row>
    <row r="249" spans="1:2" x14ac:dyDescent="0.15">
      <c r="A249" s="62">
        <v>671</v>
      </c>
      <c r="B249" s="7" t="str">
        <f>VLOOKUP(A249,[1]characters!$A:$C,3,FALSE)</f>
        <v>ハヌマーン</v>
      </c>
    </row>
    <row r="250" spans="1:2" x14ac:dyDescent="0.15">
      <c r="A250" s="62">
        <v>672</v>
      </c>
      <c r="B250" s="7" t="str">
        <f>VLOOKUP(A250,[1]characters!$A:$C,3,FALSE)</f>
        <v>西遊韋駄天 ハヌマーン</v>
      </c>
    </row>
    <row r="251" spans="1:2" x14ac:dyDescent="0.15">
      <c r="A251" s="62">
        <v>673</v>
      </c>
      <c r="B251" s="7" t="str">
        <f>VLOOKUP(A251,[1]characters!$A:$C,3,FALSE)</f>
        <v>変幻自在の猿王 ハヌマーン</v>
      </c>
    </row>
    <row r="252" spans="1:2" x14ac:dyDescent="0.15">
      <c r="A252" s="62">
        <v>674</v>
      </c>
      <c r="B252" s="7" t="str">
        <f>VLOOKUP(A252,[1]characters!$A:$C,3,FALSE)</f>
        <v>サラスヴァティ</v>
      </c>
    </row>
    <row r="253" spans="1:2" x14ac:dyDescent="0.15">
      <c r="A253" s="62">
        <v>675</v>
      </c>
      <c r="B253" s="7" t="str">
        <f>VLOOKUP(A253,[1]characters!$A:$C,3,FALSE)</f>
        <v>芸楽の奔流 サラスヴァティ</v>
      </c>
    </row>
    <row r="254" spans="1:2" x14ac:dyDescent="0.15">
      <c r="A254" s="62">
        <v>676</v>
      </c>
      <c r="B254" s="7" t="str">
        <f>VLOOKUP(A254,[1]characters!$A:$C,3,FALSE)</f>
        <v>ヴィシュヌ</v>
      </c>
    </row>
    <row r="255" spans="1:2" x14ac:dyDescent="0.15">
      <c r="A255" s="62">
        <v>677</v>
      </c>
      <c r="B255" s="7" t="str">
        <f>VLOOKUP(A255,[1]characters!$A:$C,3,FALSE)</f>
        <v>武遊闊歩 ヴィシュヌ</v>
      </c>
    </row>
    <row r="256" spans="1:2" x14ac:dyDescent="0.15">
      <c r="A256" s="62">
        <v>770</v>
      </c>
      <c r="B256" s="7" t="str">
        <f>VLOOKUP(A256,[1]characters!$A:$C,3,FALSE)</f>
        <v>ハヅル</v>
      </c>
    </row>
    <row r="257" spans="1:2" x14ac:dyDescent="0.15">
      <c r="A257" s="62">
        <v>771</v>
      </c>
      <c r="B257" s="7" t="str">
        <f>VLOOKUP(A257,[1]characters!$A:$C,3,FALSE)</f>
        <v>天織羽鶴 ハヅル</v>
      </c>
    </row>
    <row r="258" spans="1:2" x14ac:dyDescent="0.15">
      <c r="A258" s="62">
        <v>772</v>
      </c>
      <c r="B258" s="7" t="str">
        <f>VLOOKUP(A258,[1]characters!$A:$C,3,FALSE)</f>
        <v>イナバ</v>
      </c>
    </row>
    <row r="259" spans="1:2" x14ac:dyDescent="0.15">
      <c r="A259" s="62">
        <v>773</v>
      </c>
      <c r="B259" s="7" t="str">
        <f>VLOOKUP(A259,[1]characters!$A:$C,3,FALSE)</f>
        <v>浮跳天兎 イナバ</v>
      </c>
    </row>
    <row r="260" spans="1:2" x14ac:dyDescent="0.15">
      <c r="A260" s="62">
        <v>774</v>
      </c>
      <c r="B260" s="7" t="str">
        <f>VLOOKUP(A260,[1]characters!$A:$C,3,FALSE)</f>
        <v>ミズチ</v>
      </c>
    </row>
    <row r="261" spans="1:2" x14ac:dyDescent="0.15">
      <c r="A261" s="62">
        <v>775</v>
      </c>
      <c r="B261" s="7" t="str">
        <f>VLOOKUP(A261,[1]characters!$A:$C,3,FALSE)</f>
        <v>水底霊竜 ミズチ</v>
      </c>
    </row>
    <row r="262" spans="1:2" x14ac:dyDescent="0.15">
      <c r="A262" s="62">
        <v>776</v>
      </c>
      <c r="B262" s="7" t="str">
        <f>VLOOKUP(A262,[1]characters!$A:$C,3,FALSE)</f>
        <v>水竜底主 ミズチ</v>
      </c>
    </row>
    <row r="263" spans="1:2" x14ac:dyDescent="0.15">
      <c r="A263" s="62">
        <v>777</v>
      </c>
      <c r="B263" s="7" t="str">
        <f>VLOOKUP(A263,[1]characters!$A:$C,3,FALSE)</f>
        <v>ガメック</v>
      </c>
    </row>
    <row r="264" spans="1:2" x14ac:dyDescent="0.15">
      <c r="A264" s="62">
        <v>778</v>
      </c>
      <c r="B264" s="7" t="str">
        <f>VLOOKUP(A264,[1]characters!$A:$C,3,FALSE)</f>
        <v>一亀懸明 ガメック</v>
      </c>
    </row>
    <row r="265" spans="1:2" x14ac:dyDescent="0.15">
      <c r="A265" s="62">
        <v>779</v>
      </c>
      <c r="B265" s="7" t="str">
        <f>VLOOKUP(A265,[1]characters!$A:$C,3,FALSE)</f>
        <v>頑堅咬亀 ガメック</v>
      </c>
    </row>
    <row r="266" spans="1:2" x14ac:dyDescent="0.15">
      <c r="A266" s="62">
        <v>779</v>
      </c>
      <c r="B266" s="7" t="str">
        <f>VLOOKUP(A266,[1]characters!$A:$C,3,FALSE)</f>
        <v>頑堅咬亀 ガメック</v>
      </c>
    </row>
  </sheetData>
  <phoneticPr fontId="16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40" t="s">
        <v>64</v>
      </c>
      <c r="B1" s="40"/>
    </row>
    <row r="2" spans="1:2" x14ac:dyDescent="0.15">
      <c r="A2" s="34" t="s">
        <v>1</v>
      </c>
      <c r="B2" s="39" t="s">
        <v>68</v>
      </c>
    </row>
    <row r="3" spans="1:2" x14ac:dyDescent="0.15">
      <c r="A3" s="6">
        <v>166</v>
      </c>
      <c r="B3" s="39" t="str">
        <f>VLOOKUP(A3,[1]characters!$A:$C,3,FALSE)</f>
        <v>ベリアル</v>
      </c>
    </row>
    <row r="4" spans="1:2" x14ac:dyDescent="0.15">
      <c r="A4" s="6">
        <v>167</v>
      </c>
      <c r="B4" s="39" t="str">
        <f>VLOOKUP(A4,[1]characters!$A:$C,3,FALSE)</f>
        <v>逆徒 ベリアル</v>
      </c>
    </row>
    <row r="5" spans="1:2" x14ac:dyDescent="0.15">
      <c r="A5" s="6">
        <v>168</v>
      </c>
      <c r="B5" s="39" t="str">
        <f>VLOOKUP(A5,[1]characters!$A:$C,3,FALSE)</f>
        <v>猛進の大逆者 ベリアル</v>
      </c>
    </row>
    <row r="6" spans="1:2" x14ac:dyDescent="0.15">
      <c r="A6" s="34">
        <v>169</v>
      </c>
      <c r="B6" s="39" t="str">
        <f>VLOOKUP(A6,[1]characters!$A:$C,3,FALSE)</f>
        <v>オセ</v>
      </c>
    </row>
    <row r="7" spans="1:2" x14ac:dyDescent="0.15">
      <c r="A7" s="34">
        <v>170</v>
      </c>
      <c r="B7" s="39" t="str">
        <f>VLOOKUP(A7,[1]characters!$A:$C,3,FALSE)</f>
        <v>識徒 オセ</v>
      </c>
    </row>
    <row r="8" spans="1:2" x14ac:dyDescent="0.15">
      <c r="A8" s="34">
        <v>171</v>
      </c>
      <c r="B8" s="39" t="str">
        <f>VLOOKUP(A8,[1]characters!$A:$C,3,FALSE)</f>
        <v>精解の預知者 オセ</v>
      </c>
    </row>
    <row r="9" spans="1:2" x14ac:dyDescent="0.15">
      <c r="A9" s="34">
        <v>172</v>
      </c>
      <c r="B9" s="39" t="str">
        <f>VLOOKUP(A9,[1]characters!$A:$C,3,FALSE)</f>
        <v>フォルネウス</v>
      </c>
    </row>
    <row r="10" spans="1:2" x14ac:dyDescent="0.15">
      <c r="A10" s="34">
        <v>173</v>
      </c>
      <c r="B10" s="39" t="str">
        <f>VLOOKUP(A10,[1]characters!$A:$C,3,FALSE)</f>
        <v>公爵 フォルネウス</v>
      </c>
    </row>
    <row r="11" spans="1:2" x14ac:dyDescent="0.15">
      <c r="A11" s="34">
        <v>174</v>
      </c>
      <c r="B11" s="39" t="str">
        <f>VLOOKUP(A11,[1]characters!$A:$C,3,FALSE)</f>
        <v>偽愛の大公爵 フォルネウス</v>
      </c>
    </row>
    <row r="12" spans="1:2" x14ac:dyDescent="0.15">
      <c r="A12" s="34">
        <v>235</v>
      </c>
      <c r="B12" s="39" t="str">
        <f>VLOOKUP(A12,[1]characters!$A:$C,3,FALSE)</f>
        <v>イザナミ</v>
      </c>
    </row>
    <row r="13" spans="1:2" x14ac:dyDescent="0.15">
      <c r="A13" s="34">
        <v>236</v>
      </c>
      <c r="B13" s="39" t="str">
        <f>VLOOKUP(A13,[1]characters!$A:$C,3,FALSE)</f>
        <v>神産 イザナミ</v>
      </c>
    </row>
    <row r="14" spans="1:2" x14ac:dyDescent="0.15">
      <c r="A14" s="34">
        <v>237</v>
      </c>
      <c r="B14" s="39" t="str">
        <f>VLOOKUP(A14,[1]characters!$A:$C,3,FALSE)</f>
        <v>森羅万象の神母 イザナミ</v>
      </c>
    </row>
  </sheetData>
  <phoneticPr fontId="1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確率の考え方</vt:lpstr>
      <vt:lpstr>Sheet1</vt:lpstr>
      <vt:lpstr>output</vt:lpstr>
      <vt:lpstr>input_332010</vt:lpstr>
      <vt:lpstr>tables_332010</vt:lpstr>
      <vt:lpstr>input_332100</vt:lpstr>
      <vt:lpstr>tables_332100</vt:lpstr>
      <vt:lpstr>input_settle_332100</vt:lpstr>
      <vt:lpstr>tables_settle_332100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2016-04-27T08:21:01Z</dcterms:modified>
</cp:coreProperties>
</file>