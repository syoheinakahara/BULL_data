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960" yWindow="720" windowWidth="33840" windowHeight="180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" i="9" l="1"/>
  <c r="D36" i="9"/>
  <c r="E36" i="9"/>
  <c r="G36" i="9"/>
  <c r="H36" i="9"/>
  <c r="I36" i="9"/>
  <c r="J36" i="9"/>
  <c r="K36" i="9"/>
  <c r="L36" i="9"/>
  <c r="M36" i="9"/>
  <c r="N36" i="9"/>
  <c r="J34" i="11"/>
  <c r="O36" i="9"/>
  <c r="A34" i="9"/>
  <c r="D34" i="9"/>
  <c r="E34" i="9"/>
  <c r="G34" i="9"/>
  <c r="H34" i="9"/>
  <c r="I34" i="9"/>
  <c r="J34" i="9"/>
  <c r="K34" i="9"/>
  <c r="L34" i="9"/>
  <c r="M34" i="9"/>
  <c r="N34" i="9"/>
  <c r="J32" i="11"/>
  <c r="O34" i="9"/>
  <c r="A32" i="9"/>
  <c r="D32" i="9"/>
  <c r="E32" i="9"/>
  <c r="G32" i="9"/>
  <c r="H32" i="9"/>
  <c r="I32" i="9"/>
  <c r="J32" i="9"/>
  <c r="K32" i="9"/>
  <c r="L32" i="9"/>
  <c r="M32" i="9"/>
  <c r="N32" i="9"/>
  <c r="J30" i="11"/>
  <c r="O32" i="9"/>
  <c r="A31" i="9"/>
  <c r="D31" i="9"/>
  <c r="E31" i="9"/>
  <c r="G31" i="9"/>
  <c r="H31" i="9"/>
  <c r="I31" i="9"/>
  <c r="J31" i="9"/>
  <c r="K31" i="9"/>
  <c r="L31" i="9"/>
  <c r="M31" i="9"/>
  <c r="N31" i="9"/>
  <c r="J29" i="11"/>
  <c r="O31" i="9"/>
  <c r="A29" i="9"/>
  <c r="D29" i="9"/>
  <c r="E29" i="9"/>
  <c r="G29" i="9"/>
  <c r="H29" i="9"/>
  <c r="I29" i="9"/>
  <c r="J29" i="9"/>
  <c r="K29" i="9"/>
  <c r="L29" i="9"/>
  <c r="M29" i="9"/>
  <c r="N29" i="9"/>
  <c r="J27" i="11"/>
  <c r="O29" i="9"/>
  <c r="A27" i="9"/>
  <c r="D27" i="9"/>
  <c r="E27" i="9"/>
  <c r="G27" i="9"/>
  <c r="H27" i="9"/>
  <c r="I27" i="9"/>
  <c r="J27" i="9"/>
  <c r="K27" i="9"/>
  <c r="L27" i="9"/>
  <c r="M27" i="9"/>
  <c r="N27" i="9"/>
  <c r="J25" i="11"/>
  <c r="O27" i="9"/>
  <c r="A25" i="9"/>
  <c r="D25" i="9"/>
  <c r="E25" i="9"/>
  <c r="G25" i="9"/>
  <c r="H25" i="9"/>
  <c r="I25" i="9"/>
  <c r="J25" i="9"/>
  <c r="K25" i="9"/>
  <c r="L25" i="9"/>
  <c r="M25" i="9"/>
  <c r="N25" i="9"/>
  <c r="J23" i="11"/>
  <c r="O25" i="9"/>
  <c r="A23" i="9"/>
  <c r="D23" i="9"/>
  <c r="E23" i="9"/>
  <c r="G23" i="9"/>
  <c r="H23" i="9"/>
  <c r="I23" i="9"/>
  <c r="J23" i="9"/>
  <c r="K23" i="9"/>
  <c r="L23" i="9"/>
  <c r="M23" i="9"/>
  <c r="N23" i="9"/>
  <c r="J21" i="11"/>
  <c r="O23" i="9"/>
  <c r="K34" i="11"/>
  <c r="K32" i="11"/>
  <c r="K30" i="11"/>
  <c r="K29" i="11"/>
  <c r="K27" i="11"/>
  <c r="K25" i="11"/>
  <c r="K23" i="11"/>
  <c r="K21" i="11"/>
  <c r="D40" i="9"/>
  <c r="E40" i="9"/>
  <c r="D41" i="9"/>
  <c r="E41" i="9"/>
  <c r="D42" i="9"/>
  <c r="E42" i="9"/>
  <c r="D43" i="9"/>
  <c r="E43" i="9"/>
  <c r="D44" i="9"/>
  <c r="E44" i="9"/>
  <c r="D45" i="9"/>
  <c r="E45" i="9"/>
  <c r="D46" i="9"/>
  <c r="E46" i="9"/>
  <c r="D47" i="9"/>
  <c r="E47" i="9"/>
  <c r="D48" i="9"/>
  <c r="E48" i="9"/>
  <c r="D49" i="9"/>
  <c r="E49" i="9"/>
  <c r="D50" i="9"/>
  <c r="E50" i="9"/>
  <c r="D51" i="9"/>
  <c r="E51" i="9"/>
  <c r="D38" i="9"/>
  <c r="E38" i="9"/>
  <c r="D39" i="9"/>
  <c r="E39" i="9"/>
  <c r="A44" i="9"/>
  <c r="A45" i="9"/>
  <c r="A46" i="9"/>
  <c r="A47" i="9"/>
  <c r="A48" i="9"/>
  <c r="A49" i="9"/>
  <c r="A50" i="9"/>
  <c r="J36" i="11"/>
  <c r="K36" i="11"/>
  <c r="J37" i="11"/>
  <c r="K37" i="11"/>
  <c r="J38" i="11"/>
  <c r="K38" i="11"/>
  <c r="J39" i="11"/>
  <c r="K39" i="11"/>
  <c r="J40" i="11"/>
  <c r="K40" i="11"/>
  <c r="J41" i="11"/>
  <c r="K41" i="11"/>
  <c r="J42" i="11"/>
  <c r="K42" i="11"/>
  <c r="J43" i="11"/>
  <c r="K43" i="11"/>
  <c r="J44" i="11"/>
  <c r="K44" i="11"/>
  <c r="J45" i="11"/>
  <c r="K45" i="11"/>
  <c r="J46" i="11"/>
  <c r="K46" i="11"/>
  <c r="J47" i="11"/>
  <c r="K47" i="11"/>
  <c r="J48" i="11"/>
  <c r="K48" i="11"/>
  <c r="J49" i="11"/>
  <c r="K49" i="11"/>
  <c r="K35" i="11"/>
  <c r="J35" i="11"/>
  <c r="J22" i="11"/>
  <c r="K22" i="11"/>
  <c r="J24" i="11"/>
  <c r="K24" i="11"/>
  <c r="J26" i="11"/>
  <c r="K26" i="11"/>
  <c r="J28" i="11"/>
  <c r="K28" i="11"/>
  <c r="J31" i="11"/>
  <c r="K31" i="11"/>
  <c r="J33" i="11"/>
  <c r="K33" i="11"/>
  <c r="K20" i="11"/>
  <c r="J20" i="11"/>
  <c r="A38" i="9"/>
  <c r="G38" i="9"/>
  <c r="H38" i="9"/>
  <c r="I38" i="9"/>
  <c r="J38" i="9"/>
  <c r="K38" i="9"/>
  <c r="L38" i="9"/>
  <c r="M38" i="9"/>
  <c r="N38" i="9"/>
  <c r="O38" i="9"/>
  <c r="A39" i="9"/>
  <c r="G39" i="9"/>
  <c r="H39" i="9"/>
  <c r="I39" i="9"/>
  <c r="J39" i="9"/>
  <c r="K39" i="9"/>
  <c r="L39" i="9"/>
  <c r="M39" i="9"/>
  <c r="N39" i="9"/>
  <c r="O39" i="9"/>
  <c r="A40" i="9"/>
  <c r="G40" i="9"/>
  <c r="H40" i="9"/>
  <c r="I40" i="9"/>
  <c r="J40" i="9"/>
  <c r="K40" i="9"/>
  <c r="L40" i="9"/>
  <c r="M40" i="9"/>
  <c r="N40" i="9"/>
  <c r="O40" i="9"/>
  <c r="A41" i="9"/>
  <c r="G41" i="9"/>
  <c r="H41" i="9"/>
  <c r="I41" i="9"/>
  <c r="J41" i="9"/>
  <c r="K41" i="9"/>
  <c r="L41" i="9"/>
  <c r="M41" i="9"/>
  <c r="N41" i="9"/>
  <c r="O41" i="9"/>
  <c r="A42" i="9"/>
  <c r="G42" i="9"/>
  <c r="H42" i="9"/>
  <c r="I42" i="9"/>
  <c r="J42" i="9"/>
  <c r="K42" i="9"/>
  <c r="L42" i="9"/>
  <c r="M42" i="9"/>
  <c r="N42" i="9"/>
  <c r="O42" i="9"/>
  <c r="A43" i="9"/>
  <c r="G43" i="9"/>
  <c r="H43" i="9"/>
  <c r="I43" i="9"/>
  <c r="J43" i="9"/>
  <c r="K43" i="9"/>
  <c r="L43" i="9"/>
  <c r="M43" i="9"/>
  <c r="N43" i="9"/>
  <c r="O43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G46" i="9"/>
  <c r="H46" i="9"/>
  <c r="I46" i="9"/>
  <c r="J46" i="9"/>
  <c r="K46" i="9"/>
  <c r="L46" i="9"/>
  <c r="M46" i="9"/>
  <c r="N46" i="9"/>
  <c r="O46" i="9"/>
  <c r="G47" i="9"/>
  <c r="H47" i="9"/>
  <c r="I47" i="9"/>
  <c r="J47" i="9"/>
  <c r="K47" i="9"/>
  <c r="L47" i="9"/>
  <c r="M47" i="9"/>
  <c r="N47" i="9"/>
  <c r="O47" i="9"/>
  <c r="G48" i="9"/>
  <c r="H48" i="9"/>
  <c r="I48" i="9"/>
  <c r="J48" i="9"/>
  <c r="K48" i="9"/>
  <c r="L48" i="9"/>
  <c r="M48" i="9"/>
  <c r="N48" i="9"/>
  <c r="O48" i="9"/>
  <c r="G49" i="9"/>
  <c r="H49" i="9"/>
  <c r="I49" i="9"/>
  <c r="J49" i="9"/>
  <c r="K49" i="9"/>
  <c r="L49" i="9"/>
  <c r="M49" i="9"/>
  <c r="N49" i="9"/>
  <c r="O49" i="9"/>
  <c r="G50" i="9"/>
  <c r="H50" i="9"/>
  <c r="I50" i="9"/>
  <c r="J50" i="9"/>
  <c r="K50" i="9"/>
  <c r="L50" i="9"/>
  <c r="M50" i="9"/>
  <c r="N50" i="9"/>
  <c r="O50" i="9"/>
  <c r="A51" i="9"/>
  <c r="G51" i="9"/>
  <c r="H51" i="9"/>
  <c r="I51" i="9"/>
  <c r="J51" i="9"/>
  <c r="K51" i="9"/>
  <c r="L51" i="9"/>
  <c r="M51" i="9"/>
  <c r="N51" i="9"/>
  <c r="O51" i="9"/>
  <c r="O37" i="9"/>
  <c r="N37" i="9"/>
  <c r="M37" i="9"/>
  <c r="L37" i="9"/>
  <c r="K37" i="9"/>
  <c r="J37" i="9"/>
  <c r="I37" i="9"/>
  <c r="H37" i="9"/>
  <c r="G37" i="9"/>
  <c r="E37" i="9"/>
  <c r="D37" i="9"/>
  <c r="A37" i="9"/>
  <c r="A24" i="9"/>
  <c r="D24" i="9"/>
  <c r="E24" i="9"/>
  <c r="G24" i="9"/>
  <c r="H24" i="9"/>
  <c r="I24" i="9"/>
  <c r="J24" i="9"/>
  <c r="K24" i="9"/>
  <c r="L24" i="9"/>
  <c r="M24" i="9"/>
  <c r="N24" i="9"/>
  <c r="O24" i="9"/>
  <c r="A26" i="9"/>
  <c r="D26" i="9"/>
  <c r="E26" i="9"/>
  <c r="G26" i="9"/>
  <c r="H26" i="9"/>
  <c r="I26" i="9"/>
  <c r="J26" i="9"/>
  <c r="K26" i="9"/>
  <c r="L26" i="9"/>
  <c r="M26" i="9"/>
  <c r="N26" i="9"/>
  <c r="O26" i="9"/>
  <c r="A28" i="9"/>
  <c r="D28" i="9"/>
  <c r="E28" i="9"/>
  <c r="G28" i="9"/>
  <c r="H28" i="9"/>
  <c r="I28" i="9"/>
  <c r="J28" i="9"/>
  <c r="K28" i="9"/>
  <c r="L28" i="9"/>
  <c r="M28" i="9"/>
  <c r="N28" i="9"/>
  <c r="O28" i="9"/>
  <c r="A30" i="9"/>
  <c r="D30" i="9"/>
  <c r="E30" i="9"/>
  <c r="G30" i="9"/>
  <c r="H30" i="9"/>
  <c r="I30" i="9"/>
  <c r="J30" i="9"/>
  <c r="K30" i="9"/>
  <c r="L30" i="9"/>
  <c r="M30" i="9"/>
  <c r="N30" i="9"/>
  <c r="O30" i="9"/>
  <c r="A33" i="9"/>
  <c r="D33" i="9"/>
  <c r="E33" i="9"/>
  <c r="G33" i="9"/>
  <c r="H33" i="9"/>
  <c r="I33" i="9"/>
  <c r="J33" i="9"/>
  <c r="K33" i="9"/>
  <c r="L33" i="9"/>
  <c r="M33" i="9"/>
  <c r="N33" i="9"/>
  <c r="O33" i="9"/>
  <c r="A35" i="9"/>
  <c r="D35" i="9"/>
  <c r="E35" i="9"/>
  <c r="G35" i="9"/>
  <c r="H35" i="9"/>
  <c r="I35" i="9"/>
  <c r="J35" i="9"/>
  <c r="K35" i="9"/>
  <c r="L35" i="9"/>
  <c r="M35" i="9"/>
  <c r="N35" i="9"/>
  <c r="O35" i="9"/>
  <c r="O22" i="9"/>
  <c r="N22" i="9"/>
  <c r="M22" i="9"/>
  <c r="L22" i="9"/>
  <c r="K22" i="9"/>
  <c r="J22" i="9"/>
  <c r="I22" i="9"/>
  <c r="H22" i="9"/>
  <c r="G22" i="9"/>
  <c r="E22" i="9"/>
  <c r="D22" i="9"/>
  <c r="A22" i="9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AC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AC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AC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AC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AC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AC35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AC29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AC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AC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AC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AC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AC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AC28" i="10"/>
  <c r="AC22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A6" i="22"/>
  <c r="C6" i="22"/>
  <c r="D6" i="22"/>
  <c r="F6" i="22"/>
  <c r="G6" i="22"/>
  <c r="N6" i="22"/>
  <c r="A3" i="22"/>
  <c r="C3" i="22"/>
  <c r="D3" i="22"/>
  <c r="F3" i="22"/>
  <c r="G3" i="22"/>
  <c r="N3" i="22"/>
  <c r="A4" i="22"/>
  <c r="C4" i="22"/>
  <c r="D4" i="22"/>
  <c r="F4" i="22"/>
  <c r="G4" i="22"/>
  <c r="N4" i="22"/>
  <c r="A5" i="22"/>
  <c r="C5" i="22"/>
  <c r="D5" i="22"/>
  <c r="F5" i="22"/>
  <c r="G5" i="22"/>
  <c r="N5" i="22"/>
  <c r="A3" i="18"/>
  <c r="A4" i="18"/>
  <c r="A5" i="18"/>
  <c r="A6" i="18"/>
  <c r="A7" i="18"/>
  <c r="C3" i="18"/>
  <c r="D3" i="18"/>
  <c r="C4" i="18"/>
  <c r="D4" i="18"/>
  <c r="C5" i="18"/>
  <c r="D5" i="18"/>
  <c r="C6" i="18"/>
  <c r="D6" i="18"/>
  <c r="C7" i="18"/>
  <c r="D7" i="18"/>
  <c r="O3" i="21"/>
  <c r="O4" i="21"/>
  <c r="O5" i="21"/>
  <c r="O6" i="21"/>
  <c r="O7" i="21"/>
  <c r="O8" i="21"/>
  <c r="O9" i="21"/>
  <c r="O10" i="21"/>
  <c r="O11" i="21"/>
  <c r="O12" i="21"/>
  <c r="O13" i="21"/>
  <c r="O14" i="21"/>
  <c r="O2" i="21"/>
  <c r="B3" i="21"/>
  <c r="C3" i="21"/>
  <c r="D3" i="21"/>
  <c r="F3" i="21"/>
  <c r="G3" i="21"/>
  <c r="I3" i="21"/>
  <c r="B4" i="21"/>
  <c r="C4" i="21"/>
  <c r="D4" i="21"/>
  <c r="F4" i="21"/>
  <c r="G4" i="21"/>
  <c r="I4" i="21"/>
  <c r="B5" i="21"/>
  <c r="C5" i="21"/>
  <c r="D5" i="21"/>
  <c r="F5" i="21"/>
  <c r="G5" i="21"/>
  <c r="I5" i="21"/>
  <c r="B6" i="21"/>
  <c r="C6" i="21"/>
  <c r="D6" i="21"/>
  <c r="F6" i="21"/>
  <c r="G6" i="21"/>
  <c r="I6" i="21"/>
  <c r="B7" i="21"/>
  <c r="C7" i="21"/>
  <c r="D7" i="21"/>
  <c r="F7" i="21"/>
  <c r="G7" i="21"/>
  <c r="I7" i="21"/>
  <c r="B8" i="21"/>
  <c r="C8" i="21"/>
  <c r="D8" i="21"/>
  <c r="F8" i="21"/>
  <c r="G8" i="21"/>
  <c r="I8" i="21"/>
  <c r="B9" i="21"/>
  <c r="C9" i="21"/>
  <c r="D9" i="21"/>
  <c r="F9" i="21"/>
  <c r="G9" i="21"/>
  <c r="I9" i="21"/>
  <c r="B10" i="21"/>
  <c r="C10" i="21"/>
  <c r="D10" i="21"/>
  <c r="F10" i="21"/>
  <c r="G10" i="21"/>
  <c r="I10" i="21"/>
  <c r="B11" i="21"/>
  <c r="C11" i="21"/>
  <c r="D11" i="21"/>
  <c r="F11" i="21"/>
  <c r="G11" i="21"/>
  <c r="I11" i="21"/>
  <c r="B12" i="21"/>
  <c r="C12" i="21"/>
  <c r="D12" i="21"/>
  <c r="F12" i="21"/>
  <c r="G12" i="21"/>
  <c r="I12" i="21"/>
  <c r="B13" i="21"/>
  <c r="C13" i="21"/>
  <c r="D13" i="21"/>
  <c r="F13" i="21"/>
  <c r="G13" i="21"/>
  <c r="I13" i="21"/>
  <c r="B14" i="21"/>
  <c r="C14" i="21"/>
  <c r="D14" i="21"/>
  <c r="F14" i="21"/>
  <c r="G14" i="21"/>
  <c r="I14" i="2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" i="10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G3" i="10"/>
  <c r="H3" i="10"/>
  <c r="I3" i="10"/>
  <c r="J3" i="10"/>
  <c r="K3" i="10"/>
  <c r="L3" i="10"/>
  <c r="M3" i="10"/>
  <c r="M12" i="10"/>
  <c r="M21" i="10"/>
  <c r="N21" i="10"/>
  <c r="Q21" i="10"/>
  <c r="P21" i="10"/>
  <c r="R21" i="10"/>
  <c r="O21" i="10"/>
  <c r="S21" i="10"/>
  <c r="N12" i="10"/>
  <c r="Q12" i="10"/>
  <c r="P12" i="10"/>
  <c r="R12" i="10"/>
  <c r="O12" i="10"/>
  <c r="S12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3" i="10"/>
  <c r="N13" i="10"/>
  <c r="Q13" i="10"/>
  <c r="P13" i="10"/>
  <c r="R13" i="10"/>
  <c r="O13" i="10"/>
  <c r="S13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4" i="10"/>
  <c r="N14" i="10"/>
  <c r="Q14" i="10"/>
  <c r="P14" i="10"/>
  <c r="R14" i="10"/>
  <c r="O14" i="10"/>
  <c r="S14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5" i="10"/>
  <c r="N15" i="10"/>
  <c r="Q15" i="10"/>
  <c r="P15" i="10"/>
  <c r="R15" i="10"/>
  <c r="O15" i="10"/>
  <c r="S15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6" i="10"/>
  <c r="N16" i="10"/>
  <c r="Q16" i="10"/>
  <c r="P16" i="10"/>
  <c r="R16" i="10"/>
  <c r="O16" i="10"/>
  <c r="S16" i="10"/>
  <c r="N8" i="10"/>
  <c r="O8" i="10"/>
  <c r="P8" i="10"/>
  <c r="Q8" i="10"/>
  <c r="R8" i="10"/>
  <c r="S8" i="10"/>
  <c r="T8" i="10"/>
  <c r="U8" i="10"/>
  <c r="V8" i="10"/>
  <c r="W8" i="10"/>
  <c r="X8" i="10"/>
  <c r="Y8" i="10"/>
  <c r="M17" i="10"/>
  <c r="N17" i="10"/>
  <c r="Q17" i="10"/>
  <c r="P17" i="10"/>
  <c r="R17" i="10"/>
  <c r="O17" i="10"/>
  <c r="S17" i="10"/>
  <c r="G9" i="10"/>
  <c r="H9" i="10"/>
  <c r="I9" i="10"/>
  <c r="J9" i="10"/>
  <c r="K9" i="10"/>
  <c r="L9" i="10"/>
  <c r="M9" i="10"/>
  <c r="M18" i="10"/>
  <c r="N18" i="10"/>
  <c r="Q18" i="10"/>
  <c r="P18" i="10"/>
  <c r="R18" i="10"/>
  <c r="O18" i="10"/>
  <c r="S18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19" i="10"/>
  <c r="N19" i="10"/>
  <c r="Q19" i="10"/>
  <c r="P19" i="10"/>
  <c r="R19" i="10"/>
  <c r="O19" i="10"/>
  <c r="S19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0" i="10"/>
  <c r="N20" i="10"/>
  <c r="Q20" i="10"/>
  <c r="P20" i="10"/>
  <c r="R20" i="10"/>
  <c r="O20" i="10"/>
  <c r="S20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C3" i="1"/>
  <c r="A3" i="1"/>
  <c r="D3" i="1"/>
  <c r="E3" i="1"/>
  <c r="F3" i="1"/>
  <c r="H3" i="1"/>
  <c r="G2" i="2"/>
  <c r="A2" i="2"/>
  <c r="G3" i="2"/>
  <c r="A3" i="2"/>
  <c r="G4" i="2"/>
  <c r="A4" i="2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C4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C5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C6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C7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H2" i="1"/>
  <c r="B3" i="2"/>
  <c r="D3" i="2"/>
  <c r="E3" i="2"/>
  <c r="H3" i="2"/>
  <c r="B4" i="2"/>
  <c r="D4" i="2"/>
  <c r="E4" i="2"/>
  <c r="H4" i="2"/>
  <c r="W2" i="7"/>
  <c r="U2" i="7"/>
  <c r="V2" i="1"/>
  <c r="T2" i="1"/>
  <c r="E13" i="16"/>
  <c r="N2" i="22"/>
  <c r="G2" i="22"/>
  <c r="F2" i="22"/>
  <c r="D2" i="22"/>
  <c r="C2" i="22"/>
  <c r="A2" i="22"/>
  <c r="B2" i="21"/>
  <c r="I2" i="21"/>
  <c r="G2" i="21"/>
  <c r="F2" i="21"/>
  <c r="D2" i="21"/>
  <c r="C2" i="21"/>
  <c r="E12" i="16"/>
  <c r="E11" i="16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AA2" i="7"/>
  <c r="E9" i="16"/>
  <c r="Z2" i="7"/>
  <c r="Y2" i="7"/>
  <c r="X2" i="1"/>
  <c r="R2" i="7"/>
  <c r="Q2" i="7"/>
  <c r="P2" i="7"/>
  <c r="O2" i="7"/>
  <c r="N2" i="7"/>
  <c r="AD2" i="1"/>
  <c r="AG2" i="1"/>
  <c r="AF2" i="1"/>
  <c r="AE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<sst xmlns="http://schemas.openxmlformats.org/spreadsheetml/2006/main" count="832" uniqueCount="363">
  <si>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</si>
  <si>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</si>
  <si>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</si>
  <si>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</si>
  <si>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</si>
  <si>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</si>
  <si>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</si>
  <si>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</si>
  <si>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</si>
  <si>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</si>
  <si>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</si>
  <si>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</si>
  <si>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</si>
  <si>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</si>
  <si>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</si>
  <si>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</si>
  <si>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</si>
  <si>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</si>
  <si>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</si>
  <si>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</si>
  <si>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</si>
  <si>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</si>
  <si>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</si>
  <si>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</si>
  <si>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</si>
  <si>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</si>
  <si>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</si>
  <si>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</si>
  <si>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</si>
  <si>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</si>
  <si>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</si>
  <si>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</si>
  <si>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</si>
  <si>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</si>
  <si>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</si>
  <si>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</si>
  <si>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</si>
  <si>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</si>
  <si>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</si>
  <si>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</si>
  <si>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</si>
  <si>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</si>
  <si>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</si>
  <si>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</si>
  <si>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</si>
  <si>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</si>
  <si>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</si>
  <si>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</si>
  <si>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</si>
  <si>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</si>
  <si>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</si>
  <si>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</si>
  <si>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</si>
  <si>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</si>
  <si>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</si>
  <si>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</si>
  <si>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</si>
  <si>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</si>
  <si>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</si>
  <si>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</si>
  <si>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</si>
  <si>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</si>
  <si>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</si>
  <si>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</si>
  <si>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</si>
  <si>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</si>
  <si>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</si>
  <si>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</si>
  <si>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</si>
  <si>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</si>
  <si>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</si>
  <si>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</si>
  <si>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</si>
  <si>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</si>
  <si>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</si>
  <si>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</si>
  <si>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</si>
  <si>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</si>
  <si>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</si>
  <si>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</si>
  <si>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</si>
  <si>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</si>
  <si>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</si>
  <si>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</si>
  <si>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</si>
  <si>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</si>
  <si>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</si>
  <si>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</si>
  <si>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</si>
  <si>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</si>
  <si>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</si>
  <si>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</si>
  <si>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</si>
  <si>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</si>
  <si>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</si>
  <si>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</si>
  <si>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</si>
  <si>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</si>
  <si>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</si>
  <si>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</si>
  <si>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</si>
  <si>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</si>
  <si>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</si>
  <si>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</si>
  <si>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</si>
  <si>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.tmp</t>
    <phoneticPr fontId="5"/>
  </si>
  <si>
    <t>floors</t>
    <phoneticPr fontId="5"/>
  </si>
  <si>
    <t>enemy_habitats</t>
    <phoneticPr fontId="5"/>
  </si>
  <si>
    <t>enemy_habitat_S</t>
    <phoneticPr fontId="5"/>
  </si>
  <si>
    <t>enemy_skill_sets</t>
    <phoneticPr fontId="5"/>
  </si>
  <si>
    <t>.tmp</t>
    <phoneticPr fontId="5"/>
  </si>
  <si>
    <t>enemy_skills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</si>
  <si>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</si>
  <si>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</si>
  <si>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</si>
  <si>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</si>
  <si>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</si>
  <si>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</si>
  <si>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</si>
  <si>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</si>
  <si>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</si>
  <si>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</si>
  <si>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</si>
  <si>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</si>
  <si>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</si>
  <si>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</si>
  <si>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</si>
  <si>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</si>
  <si>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</si>
  <si>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</si>
  <si>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</si>
  <si>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</si>
  <si>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</si>
  <si>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</si>
  <si>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</si>
  <si>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</si>
  <si>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</si>
  <si>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</si>
  <si>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</si>
  <si>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</si>
  <si>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</si>
  <si>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</si>
  <si>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</si>
  <si>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</si>
  <si>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</si>
  <si>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</si>
  <si>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</si>
  <si>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</si>
  <si>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</si>
  <si>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</si>
  <si>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</si>
  <si>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</si>
  <si>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</si>
  <si>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</si>
  <si>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</si>
  <si>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</si>
  <si>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</si>
  <si>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</si>
  <si>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</si>
  <si>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</si>
  <si>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</si>
  <si>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</si>
  <si>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</si>
  <si>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</si>
  <si>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</si>
  <si>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</si>
  <si>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</si>
  <si>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</si>
  <si>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</si>
  <si>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</si>
  <si>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</si>
  <si>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</si>
  <si>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</si>
  <si>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</si>
  <si>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</si>
  <si>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</si>
  <si>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</si>
  <si>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</si>
  <si>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</si>
  <si>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</si>
  <si>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</si>
  <si>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</si>
  <si>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</si>
  <si>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</si>
  <si>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</si>
  <si>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</si>
  <si>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</si>
  <si>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</si>
  <si>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</si>
  <si>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</si>
  <si>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</si>
  <si>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</si>
  <si>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</si>
  <si>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</si>
  <si>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</si>
  <si>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</si>
  <si>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</si>
  <si>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</si>
  <si>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</si>
  <si>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</si>
  <si>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</si>
  <si>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</si>
  <si>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</si>
  <si>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</si>
  <si>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</si>
  <si>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</si>
  <si>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</si>
  <si>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</si>
  <si>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</si>
  <si>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</si>
  <si>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</si>
  <si>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</si>
  <si>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</si>
  <si>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</si>
  <si>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</si>
  <si>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</si>
  <si>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</si>
  <si>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</si>
  <si>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</si>
  <si>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</si>
  <si>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</si>
  <si>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</si>
  <si>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</si>
  <si>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</si>
  <si>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</si>
  <si>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</si>
  <si>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</si>
  <si>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</si>
  <si>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</si>
  <si>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</si>
  <si>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</si>
  <si>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</si>
  <si>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</si>
  <si>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</si>
  <si>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</si>
  <si>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</si>
  <si>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</si>
  <si>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</si>
  <si>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</si>
  <si>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</si>
  <si>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</si>
  <si>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</si>
  <si>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</si>
  <si>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floors_</t>
    <phoneticPr fontId="5"/>
  </si>
  <si>
    <t>39012_2</t>
    <phoneticPr fontId="5"/>
  </si>
  <si>
    <t>enemy_habitats_</t>
    <phoneticPr fontId="5"/>
  </si>
  <si>
    <t>enemy_habitat_S_</t>
    <phoneticPr fontId="5"/>
  </si>
  <si>
    <t>enemy_skill_sets_</t>
    <phoneticPr fontId="5"/>
  </si>
  <si>
    <t>enemy_skills_tmp_</t>
    <phoneticPr fontId="5"/>
  </si>
  <si>
    <t>enemy_skills_i18n_</t>
    <phoneticPr fontId="5"/>
  </si>
  <si>
    <t>enemy_skill_triggers_</t>
    <phoneticPr fontId="5"/>
  </si>
  <si>
    <t>stage_bug_bonuses_</t>
    <phoneticPr fontId="5"/>
  </si>
  <si>
    <t>stage_hints_data_c_</t>
    <phoneticPr fontId="5"/>
  </si>
  <si>
    <t>ja</t>
    <phoneticPr fontId="5"/>
  </si>
  <si>
    <t>かみつく</t>
    <phoneticPr fontId="5"/>
  </si>
  <si>
    <t>クリティカル！</t>
  </si>
  <si>
    <t>とびつく</t>
    <phoneticPr fontId="5"/>
  </si>
  <si>
    <t>単体攻撃</t>
  </si>
  <si>
    <t>2ターン赤パネル無効</t>
    <phoneticPr fontId="5"/>
  </si>
  <si>
    <t>クリティカル！</t>
    <phoneticPr fontId="5"/>
  </si>
  <si>
    <t>レッドエリミネーション</t>
    <phoneticPr fontId="5"/>
  </si>
  <si>
    <t>戦士の誇り</t>
    <rPh sb="0" eb="2">
      <t>センシ</t>
    </rPh>
    <rPh sb="3" eb="4">
      <t>ホコリ</t>
    </rPh>
    <phoneticPr fontId="5"/>
  </si>
  <si>
    <t>ja</t>
    <phoneticPr fontId="5"/>
  </si>
  <si>
    <t>しなる触腕</t>
    <rPh sb="3" eb="5">
      <t>ｓｙ</t>
    </rPh>
    <phoneticPr fontId="5"/>
  </si>
  <si>
    <t>脚がとても長い…</t>
  </si>
  <si>
    <t>バランスを崩して崩れ落ちた…</t>
    <rPh sb="5" eb="6">
      <t>クズｓ</t>
    </rPh>
    <rPh sb="8" eb="9">
      <t>クズｒ</t>
    </rPh>
    <rPh sb="10" eb="11">
      <t>オチ</t>
    </rPh>
    <phoneticPr fontId="5"/>
  </si>
  <si>
    <t>null</t>
    <phoneticPr fontId="5"/>
  </si>
  <si>
    <t>null</t>
    <phoneticPr fontId="5"/>
  </si>
  <si>
    <t>にゃんこの一言</t>
  </si>
  <si>
    <t>無謀なことをやってみたら
勇気が出ることもあるにゃ。</t>
    <phoneticPr fontId="5"/>
  </si>
  <si>
    <t>何事も感謝の気持ちが大切にゃ。</t>
    <phoneticPr fontId="5"/>
  </si>
  <si>
    <t>泣きたいときは泣けばいい。
逃げたいときは逃げればいい。
人はそんなに強い生き物じゃないにゃ。</t>
    <phoneticPr fontId="5"/>
  </si>
  <si>
    <t>ハングリーであれ。バカであれ。</t>
    <phoneticPr fontId="5"/>
  </si>
  <si>
    <t>便利すぎるコミュニケーション手段が
いつのまにか逃げ場所を奪っているにゃ。</t>
    <phoneticPr fontId="5"/>
  </si>
  <si>
    <t>あえて空気を読まず行動しているときが
一番空気を読めているときにゃ。</t>
    <phoneticPr fontId="5"/>
  </si>
  <si>
    <t>にゃんこの脅威</t>
  </si>
  <si>
    <t>可愛らしいネコの様な外見をしてるけど
うっかり頭の上に乗せちゃダメにゃ！
アバター権限を奪取される可能性があるにゃ</t>
    <phoneticPr fontId="5"/>
  </si>
  <si>
    <t>攻略のヒント</t>
  </si>
  <si>
    <t>ネコがときどき放つクリティカル攻撃は
通常攻撃よりも格段に強力にゃ！
油断してると痛い目にあうにゃ！</t>
    <phoneticPr fontId="5"/>
  </si>
  <si>
    <t>タンクネコに守られている間は
攻撃がほとんど効かないにゃ
ターゲット指定を活用するにゃ！</t>
    <phoneticPr fontId="5"/>
  </si>
  <si>
    <t>細長い脚から繰り出す単体攻撃が
キモネコの特徴にゃ！
種族Unknownには深々と
突き刺さるので気をつけるにゃ！</t>
    <phoneticPr fontId="5"/>
  </si>
  <si>
    <t>バトルアクス</t>
    <phoneticPr fontId="5"/>
  </si>
  <si>
    <t>[表示しない]</t>
    <rPh sb="1" eb="3">
      <t>ヒョ</t>
    </rPh>
    <phoneticPr fontId="5"/>
  </si>
  <si>
    <t>[effect:enemy_message, val1:1.2, val2:1.2],[effect:critical, val:1.5, animation:enemy_critical]</t>
    <phoneticPr fontId="5"/>
  </si>
  <si>
    <t>[effect:enemy_message, val1:1.2, val2:1.2],[effect:rush, count:1, val:0.75]</t>
    <phoneticPr fontId="5"/>
  </si>
  <si>
    <t>[effect:enemy_message, val1:1.2, val2:0.0]</t>
    <phoneticPr fontId="5"/>
  </si>
  <si>
    <t>[effect:enemy_message, val1:1.3, val2:0.0]</t>
    <phoneticPr fontId="5"/>
  </si>
  <si>
    <t>[effect:enemy_message, val1:1.6, val2:0.0]</t>
    <phoneticPr fontId="5"/>
  </si>
  <si>
    <t>[effect:enemy_message, val1:1.7, val2:0.0]</t>
    <phoneticPr fontId="5"/>
  </si>
  <si>
    <t>item</t>
  </si>
  <si>
    <t>unit</t>
  </si>
  <si>
    <t>item</t>
    <phoneticPr fontId="5"/>
  </si>
  <si>
    <t>full_member</t>
    <phoneticPr fontId="5"/>
  </si>
  <si>
    <t>赤属性のユニットに大ダメージ</t>
    <phoneticPr fontId="5"/>
  </si>
  <si>
    <t>種族Unknownのユニットに大ダメージ</t>
    <phoneticPr fontId="5"/>
  </si>
  <si>
    <t>[effect:enemy_message, val1:1.2, val2:2.0],[effect:damage_anti_tribe, target:unit_one, tribe:unknown, val1:2.5, val2:1]</t>
    <phoneticPr fontId="5"/>
  </si>
  <si>
    <t xml:space="preserve">[effect:enemy_message, val1:1.2, val2:1.4],[effect:damage_anti_color, target:unit_one, color:red, val1:1.5, val2:0.8]    </t>
    <phoneticPr fontId="5"/>
  </si>
  <si>
    <t>ときにはプライドを
捨ててみるのもいいにゃ。</t>
    <phoneticPr fontId="5"/>
  </si>
  <si>
    <t>何事も一生懸命な人ほど魅力があるにゃ。
笑顔も、涙も、怒りも、
全力でやってみるにゃ！</t>
    <phoneticPr fontId="5"/>
  </si>
  <si>
    <t>ja</t>
    <phoneticPr fontId="5"/>
  </si>
  <si>
    <t>キモネコは
脚を巧みに動かしている</t>
    <phoneticPr fontId="5"/>
  </si>
  <si>
    <t>長い脚を絡ませずに
上手に歩いている</t>
    <phoneticPr fontId="5"/>
  </si>
  <si>
    <t>レッドイレイザー</t>
    <phoneticPr fontId="5"/>
  </si>
  <si>
    <t>こちらに
方向転換しようとしている</t>
    <phoneticPr fontId="5"/>
  </si>
  <si>
    <t>バトルネコはクリティカル発生率が高く
通常攻撃力も高めにゃ！
早めに撃破できるかが勝負にゃ！</t>
    <phoneticPr fontId="5"/>
  </si>
  <si>
    <t>じわじわと
接近してくる</t>
    <phoneticPr fontId="5"/>
  </si>
  <si>
    <t>あくびを
している</t>
    <phoneticPr fontId="5"/>
  </si>
  <si>
    <t>ネコを
守っている</t>
    <rPh sb="4" eb="5">
      <t>マモｔ</t>
    </rPh>
    <phoneticPr fontId="5"/>
  </si>
  <si>
    <t>タンクネコは
動かなくなった</t>
    <rPh sb="7" eb="8">
      <t>ウゴカナクナッタ</t>
    </rPh>
    <phoneticPr fontId="5"/>
  </si>
  <si>
    <t>味方を
守っている</t>
    <rPh sb="0" eb="2">
      <t>ミカタ</t>
    </rPh>
    <rPh sb="4" eb="5">
      <t>マモｔ</t>
    </rPh>
    <phoneticPr fontId="5"/>
  </si>
  <si>
    <t>敵全体の全ての効果を解除+
1ターン敵全体にスキルバインド</t>
    <rPh sb="0" eb="3">
      <t>テキゼンタイ</t>
    </rPh>
    <rPh sb="18" eb="21">
      <t>テキゼンタイ</t>
    </rPh>
    <phoneticPr fontId="5"/>
  </si>
  <si>
    <t>[effect:enemy_message, val1:1.2, val2:0.0]</t>
    <phoneticPr fontId="5"/>
  </si>
  <si>
    <t>[effect:enemy_message, val1:1.3, val2:0.0]</t>
    <phoneticPr fontId="5"/>
  </si>
  <si>
    <t>[effect:enemy_message, val1:1.9, val2:0.0]</t>
    <phoneticPr fontId="5"/>
  </si>
  <si>
    <t>たたく</t>
    <phoneticPr fontId="5"/>
  </si>
  <si>
    <t>乙女の電撃、受けて立つにゃー</t>
    <rPh sb="0" eb="2">
      <t>オトm</t>
    </rPh>
    <rPh sb="6" eb="7">
      <t>ウk</t>
    </rPh>
    <phoneticPr fontId="5"/>
  </si>
  <si>
    <t>[effect:enemy_message, val1:1.6, val2:0.0]</t>
    <phoneticPr fontId="5"/>
  </si>
  <si>
    <t>[effect:enemy_message, val1:2.0, val2:0.0]</t>
    <phoneticPr fontId="5"/>
  </si>
  <si>
    <t>[effect:enemy_message, val1:1.4, val2:0.0]</t>
    <phoneticPr fontId="5"/>
  </si>
  <si>
    <t>[effect:enemy_message, val1:2.0, val2:0.0]</t>
    <phoneticPr fontId="5"/>
  </si>
  <si>
    <t>[effect:enemy_message, val1:1.7, val2:0.0]</t>
    <phoneticPr fontId="5"/>
  </si>
  <si>
    <t>[effect:enemy_message, val1:1.9, val2:0.0]</t>
    <phoneticPr fontId="5"/>
  </si>
  <si>
    <t>遠距離攻撃には勝てんにゃー</t>
    <rPh sb="0" eb="5">
      <t>エンキョr</t>
    </rPh>
    <rPh sb="7" eb="8">
      <t>カt</t>
    </rPh>
    <phoneticPr fontId="5"/>
  </si>
  <si>
    <t>雷には物理では勝てんかったにゃー</t>
    <rPh sb="0" eb="1">
      <t>イカヅチニハ</t>
    </rPh>
    <rPh sb="3" eb="5">
      <t>ブツr</t>
    </rPh>
    <phoneticPr fontId="5"/>
  </si>
  <si>
    <t>美の極みにゃ…美しかったにゃー</t>
    <rPh sb="0" eb="1">
      <t>ビノキw</t>
    </rPh>
    <rPh sb="7" eb="8">
      <t>ウツクs</t>
    </rPh>
    <phoneticPr fontId="5"/>
  </si>
  <si>
    <t>槍の方が長くて強かったにゃー…</t>
    <rPh sb="0" eb="1">
      <t>ヤリn</t>
    </rPh>
    <rPh sb="4" eb="5">
      <t>ナガクテツヨ</t>
    </rPh>
    <phoneticPr fontId="5"/>
  </si>
  <si>
    <t>逆に古代兵器の力にびっくりしたにゃー</t>
    <rPh sb="0" eb="1">
      <t>ギャクニコダイヘイキn</t>
    </rPh>
    <phoneticPr fontId="5"/>
  </si>
  <si>
    <t>注射の針の方が鋭く痛かったにゃー…</t>
    <rPh sb="0" eb="2">
      <t>チュ</t>
    </rPh>
    <rPh sb="7" eb="8">
      <t>スルドk</t>
    </rPh>
    <rPh sb="9" eb="10">
      <t>イタカッt</t>
    </rPh>
    <phoneticPr fontId="5"/>
  </si>
  <si>
    <t>[effect:enemy_message, val1:2.4, val2:0.0]</t>
    <phoneticPr fontId="5"/>
  </si>
  <si>
    <t>[effect:enemy_message, val1:1.8, val2:0.0]</t>
    <phoneticPr fontId="5"/>
  </si>
  <si>
    <t>[effect:enemy_message, val1:2.1, val2:0.0]</t>
    <phoneticPr fontId="5"/>
  </si>
  <si>
    <t>[effect:enemy_message, val1:2.3, val2:0.0]</t>
    <phoneticPr fontId="5"/>
  </si>
  <si>
    <t>[effect:enemy_message, val1:2.2, val2:0.0]</t>
    <phoneticPr fontId="5"/>
  </si>
  <si>
    <t>1537  キャットマンダディ</t>
  </si>
  <si>
    <t>1538  キャットマンダーク</t>
  </si>
  <si>
    <t>1541  美女神アフロディーテ</t>
  </si>
  <si>
    <t>1542  メガロディーテ</t>
  </si>
  <si>
    <t>1539  雷神のサンディア</t>
  </si>
  <si>
    <t>1540  雷神のサンディアβ</t>
  </si>
  <si>
    <t>1533  ネコエステ</t>
  </si>
  <si>
    <t>1534  ネコジェンヌ</t>
  </si>
  <si>
    <t>1510  ネコヴァルキリー</t>
  </si>
  <si>
    <t>1511  ネコヴァルキリー･真</t>
  </si>
  <si>
    <t>1512  ネコヴァルキリー･聖</t>
  </si>
  <si>
    <t>1523  ネコムート</t>
  </si>
  <si>
    <t>1524  狂乱のネコムート</t>
  </si>
  <si>
    <t>1535  ねこナース</t>
  </si>
  <si>
    <t>1536  ハートフルねこナース</t>
  </si>
  <si>
    <t>長い脚で器用に歩いてくる！</t>
    <rPh sb="0" eb="1">
      <t>ナｇ</t>
    </rPh>
    <rPh sb="2" eb="3">
      <t>asi</t>
    </rPh>
    <rPh sb="4" eb="6">
      <t>キヨ</t>
    </rPh>
    <rPh sb="7" eb="8">
      <t>アル</t>
    </rPh>
    <phoneticPr fontId="5"/>
  </si>
  <si>
    <t>ヒーローもこの脚には勝てんにゃー</t>
    <rPh sb="7" eb="8">
      <t>アシ</t>
    </rPh>
    <phoneticPr fontId="5"/>
  </si>
  <si>
    <t>その弓とこの脚、どちらが勝つか勝負にゃー</t>
    <rPh sb="6" eb="7">
      <t>アシ</t>
    </rPh>
    <rPh sb="12" eb="13">
      <t>カt</t>
    </rPh>
    <phoneticPr fontId="5"/>
  </si>
  <si>
    <t>この美しい脚とコラボレーションするにゃー</t>
    <rPh sb="2" eb="3">
      <t>ウツクs</t>
    </rPh>
    <rPh sb="5" eb="6">
      <t>アシ</t>
    </rPh>
    <phoneticPr fontId="5"/>
  </si>
  <si>
    <t>その槍も脚のリーチには勝てんにゃー</t>
    <rPh sb="4" eb="5">
      <t>アシ</t>
    </rPh>
    <phoneticPr fontId="5"/>
  </si>
  <si>
    <t>古代兵器もこの脚にはびっくりするにゃー</t>
    <rPh sb="0" eb="4">
      <t>コダ</t>
    </rPh>
    <rPh sb="7" eb="8">
      <t>アシ</t>
    </rPh>
    <phoneticPr fontId="5"/>
  </si>
  <si>
    <t>その注射の針と同じくこの脚も鋭いにゃー</t>
    <rPh sb="2" eb="4">
      <t>ソノチュ</t>
    </rPh>
    <rPh sb="12" eb="13">
      <t>アシ</t>
    </rPh>
    <rPh sb="14" eb="15">
      <t>スルド</t>
    </rPh>
    <phoneticPr fontId="5"/>
  </si>
  <si>
    <t>ヒーローにこの脚は通用しなかったにゃー</t>
    <rPh sb="7" eb="8">
      <t>アシ</t>
    </rPh>
    <rPh sb="9" eb="11">
      <t>ツウヨ</t>
    </rPh>
    <phoneticPr fontId="5"/>
  </si>
  <si>
    <t>無防備に
突撃してくる</t>
    <rPh sb="5" eb="7">
      <t>トツゲキ</t>
    </rPh>
    <phoneticPr fontId="5"/>
  </si>
  <si>
    <t>[effect:enemy_message, val1:1.2, val2:1.2],[effect:dis_panel, target:block_red, turn:2, animation:enemy_dis_red]</t>
    <phoneticPr fontId="5"/>
  </si>
  <si>
    <t>[effect:enemy_message, val1:1.2, val2:0.0]</t>
    <phoneticPr fontId="5"/>
  </si>
  <si>
    <t>[effect:enemy_message, val1:1.2, val2:1.2],[effect:critical, val:1.3, animation:enemy_critical]</t>
    <phoneticPr fontId="5"/>
  </si>
  <si>
    <t>ネコの防御力激烈UP+
敵全体にスリープ耐性&amp;スキルバインド耐性</t>
    <phoneticPr fontId="5"/>
  </si>
  <si>
    <t>[effect:enemy_message, val1:1.2, val2:3.1],[effect:enhance_enemy,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</si>
  <si>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>[effect:enemy_message, val1:1.2, val2:2.8],[effect:remove_enhancement, target:enemy_all, target_effect:all, target_type:all, animation:frozen_wave_unit],[effect:hungup, target:enemy_all, turn:1, rate:1, animation:hungup02]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</si>
</sst>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\(0\)"/>
    <numFmt numFmtId="177" formatCode="0.0"/>
    <numFmt numFmtId="178" formatCode="0.000"/>
    <numFmt numFmtId="179" formatCode="0.000_);[Red]\(0.000\)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0.8"/>
      <color rgb="FF000000"/>
      <name val="HiraKakuPro-W3"/>
      <family val="2"/>
    </font>
    <font>
      <sz val="1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ck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ck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0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1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76" fontId="4" fillId="0" borderId="23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8" fontId="8" fillId="0" borderId="4" xfId="0" applyNumberFormat="1" applyFont="1" applyBorder="1" applyAlignment="1">
      <alignment vertical="center"/>
    </xf>
    <xf numFmtId="0" fontId="8" fillId="0" borderId="26" xfId="0" applyFont="1" applyBorder="1" applyAlignment="1">
      <alignment vertical="center"/>
    </xf>
    <xf numFmtId="178" fontId="8" fillId="0" borderId="26" xfId="0" applyNumberFormat="1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178" fontId="8" fillId="0" borderId="28" xfId="0" applyNumberFormat="1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179" fontId="8" fillId="0" borderId="28" xfId="0" applyNumberFormat="1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0" fillId="0" borderId="7" xfId="0" applyFont="1" applyFill="1" applyBorder="1"/>
    <xf numFmtId="0" fontId="52" fillId="0" borderId="7" xfId="0" applyFont="1" applyBorder="1"/>
    <xf numFmtId="0" fontId="16" fillId="13" borderId="7" xfId="0" applyFont="1" applyFill="1" applyBorder="1" applyAlignment="1">
      <alignment vertical="center"/>
    </xf>
    <xf numFmtId="0" fontId="0" fillId="0" borderId="7" xfId="0" applyFont="1" applyFill="1" applyBorder="1" applyAlignment="1">
      <alignment horizontal="left" vertical="center" wrapText="1"/>
    </xf>
    <xf numFmtId="0" fontId="0" fillId="0" borderId="7" xfId="0" applyFont="1" applyBorder="1"/>
    <xf numFmtId="0" fontId="0" fillId="0" borderId="7" xfId="0" applyFont="1" applyFill="1" applyBorder="1" applyAlignment="1">
      <alignment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53" fillId="36" borderId="7" xfId="0" applyFont="1" applyFill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7" fillId="0" borderId="7" xfId="0" applyFont="1" applyBorder="1" applyAlignment="1">
      <alignment vertical="center" wrapText="1"/>
    </xf>
    <xf numFmtId="0" fontId="27" fillId="0" borderId="7" xfId="0" applyFont="1" applyFill="1" applyBorder="1" applyAlignment="1">
      <alignment vertical="center"/>
    </xf>
    <xf numFmtId="0" fontId="51" fillId="13" borderId="7" xfId="0" applyFont="1" applyFill="1" applyBorder="1" applyAlignment="1">
      <alignment vertical="center" wrapText="1"/>
    </xf>
    <xf numFmtId="0" fontId="0" fillId="0" borderId="7" xfId="0" applyFont="1" applyBorder="1" applyAlignment="1">
      <alignment wrapText="1"/>
    </xf>
    <xf numFmtId="0" fontId="27" fillId="37" borderId="7" xfId="0" applyFont="1" applyFill="1" applyBorder="1"/>
    <xf numFmtId="0" fontId="27" fillId="6" borderId="7" xfId="0" applyFont="1" applyFill="1" applyBorder="1"/>
    <xf numFmtId="0" fontId="16" fillId="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48012</v>
          </cell>
        </row>
        <row r="246">
          <cell r="A246">
            <v>48501</v>
          </cell>
        </row>
        <row r="247">
          <cell r="A247">
            <v>48502</v>
          </cell>
        </row>
        <row r="248">
          <cell r="A248">
            <v>48701</v>
          </cell>
        </row>
        <row r="249">
          <cell r="A249">
            <v>41001</v>
          </cell>
        </row>
        <row r="250">
          <cell r="A250">
            <v>41002</v>
          </cell>
        </row>
        <row r="251">
          <cell r="A251">
            <v>41003</v>
          </cell>
        </row>
        <row r="252">
          <cell r="A252">
            <v>41004</v>
          </cell>
        </row>
        <row r="253">
          <cell r="A253">
            <v>41005</v>
          </cell>
        </row>
        <row r="254">
          <cell r="A254">
            <v>41006</v>
          </cell>
        </row>
        <row r="255">
          <cell r="A255">
            <v>41007</v>
          </cell>
        </row>
        <row r="256">
          <cell r="A256">
            <v>41008</v>
          </cell>
        </row>
        <row r="257">
          <cell r="A257">
            <v>41009</v>
          </cell>
        </row>
        <row r="258">
          <cell r="A258">
            <v>41010</v>
          </cell>
        </row>
        <row r="259">
          <cell r="A259">
            <v>41011</v>
          </cell>
        </row>
        <row r="260">
          <cell r="A260">
            <v>41012</v>
          </cell>
        </row>
        <row r="261">
          <cell r="A261">
            <v>41013</v>
          </cell>
        </row>
        <row r="262">
          <cell r="A262">
            <v>41014</v>
          </cell>
        </row>
        <row r="263">
          <cell r="A263">
            <v>41015</v>
          </cell>
        </row>
        <row r="264">
          <cell r="A264">
            <v>47001</v>
          </cell>
        </row>
        <row r="265">
          <cell r="A265">
            <v>47002</v>
          </cell>
        </row>
        <row r="266">
          <cell r="A266">
            <v>47003</v>
          </cell>
        </row>
        <row r="267">
          <cell r="A267">
            <v>47004</v>
          </cell>
        </row>
        <row r="268">
          <cell r="A268">
            <v>47005</v>
          </cell>
        </row>
        <row r="269">
          <cell r="A269">
            <v>47006</v>
          </cell>
        </row>
        <row r="270">
          <cell r="A270">
            <v>47007</v>
          </cell>
        </row>
        <row r="271">
          <cell r="A271">
            <v>47008</v>
          </cell>
        </row>
        <row r="272">
          <cell r="A272">
            <v>47009</v>
          </cell>
        </row>
        <row r="273">
          <cell r="A273">
            <v>47010</v>
          </cell>
        </row>
        <row r="274">
          <cell r="A274">
            <v>47011</v>
          </cell>
        </row>
        <row r="275">
          <cell r="A275">
            <v>47012</v>
          </cell>
        </row>
        <row r="276">
          <cell r="A276">
            <v>49001</v>
          </cell>
        </row>
        <row r="277">
          <cell r="A277">
            <v>49002</v>
          </cell>
        </row>
        <row r="278">
          <cell r="A278">
            <v>49003</v>
          </cell>
        </row>
        <row r="279">
          <cell r="A279">
            <v>49004</v>
          </cell>
        </row>
        <row r="280">
          <cell r="A280">
            <v>49005</v>
          </cell>
        </row>
        <row r="281">
          <cell r="A281">
            <v>49006</v>
          </cell>
        </row>
        <row r="282">
          <cell r="A282">
            <v>49007</v>
          </cell>
        </row>
        <row r="283">
          <cell r="A283">
            <v>49008</v>
          </cell>
        </row>
        <row r="284">
          <cell r="A284">
            <v>49009</v>
          </cell>
        </row>
        <row r="285">
          <cell r="A285">
            <v>49010</v>
          </cell>
        </row>
        <row r="286">
          <cell r="A286">
            <v>49011</v>
          </cell>
        </row>
        <row r="287">
          <cell r="A287">
            <v>49012</v>
          </cell>
        </row>
        <row r="288">
          <cell r="A288">
            <v>49013</v>
          </cell>
        </row>
        <row r="289">
          <cell r="A289">
            <v>49014</v>
          </cell>
        </row>
        <row r="290">
          <cell r="A290">
            <v>49015</v>
          </cell>
        </row>
        <row r="291">
          <cell r="A291">
            <v>50001</v>
          </cell>
        </row>
        <row r="292">
          <cell r="A292">
            <v>50002</v>
          </cell>
        </row>
        <row r="293">
          <cell r="A293">
            <v>50003</v>
          </cell>
        </row>
        <row r="294">
          <cell r="A294">
            <v>50004</v>
          </cell>
        </row>
        <row r="295">
          <cell r="A295">
            <v>50005</v>
          </cell>
        </row>
        <row r="296">
          <cell r="A296">
            <v>50006</v>
          </cell>
        </row>
        <row r="297">
          <cell r="A297">
            <v>50007</v>
          </cell>
        </row>
        <row r="298">
          <cell r="A298">
            <v>50008</v>
          </cell>
        </row>
        <row r="299">
          <cell r="A299">
            <v>50009</v>
          </cell>
        </row>
        <row r="300">
          <cell r="A300">
            <v>50010</v>
          </cell>
        </row>
        <row r="301">
          <cell r="A301">
            <v>50011</v>
          </cell>
        </row>
        <row r="302">
          <cell r="A302">
            <v>50012</v>
          </cell>
        </row>
        <row r="303">
          <cell r="A303">
            <v>50013</v>
          </cell>
        </row>
        <row r="304">
          <cell r="A304">
            <v>50014</v>
          </cell>
        </row>
        <row r="305">
          <cell r="A305">
            <v>51001</v>
          </cell>
        </row>
        <row r="306">
          <cell r="A306">
            <v>51002</v>
          </cell>
        </row>
        <row r="307">
          <cell r="A307">
            <v>58001</v>
          </cell>
        </row>
        <row r="308">
          <cell r="A308">
            <v>59001</v>
          </cell>
        </row>
        <row r="309">
          <cell r="A309">
            <v>59002</v>
          </cell>
        </row>
        <row r="310">
          <cell r="A310">
            <v>60001</v>
          </cell>
        </row>
        <row r="311">
          <cell r="A311">
            <v>60002</v>
          </cell>
        </row>
        <row r="312">
          <cell r="A312">
            <v>60003</v>
          </cell>
        </row>
        <row r="313">
          <cell r="A313">
            <v>60004</v>
          </cell>
        </row>
        <row r="314">
          <cell r="A314">
            <v>60005</v>
          </cell>
        </row>
        <row r="315">
          <cell r="A315">
            <v>60006</v>
          </cell>
        </row>
        <row r="316">
          <cell r="A316">
            <v>60007</v>
          </cell>
        </row>
        <row r="317">
          <cell r="A317">
            <v>60010</v>
          </cell>
        </row>
        <row r="318">
          <cell r="A318">
            <v>60011</v>
          </cell>
        </row>
        <row r="319">
          <cell r="A319">
            <v>61011</v>
          </cell>
        </row>
        <row r="320">
          <cell r="A320">
            <v>60012</v>
          </cell>
        </row>
        <row r="321">
          <cell r="A321">
            <v>60013</v>
          </cell>
        </row>
        <row r="322">
          <cell r="A322">
            <v>60014</v>
          </cell>
        </row>
        <row r="323">
          <cell r="A323">
            <v>60015</v>
          </cell>
        </row>
        <row r="324">
          <cell r="A324">
            <v>60016</v>
          </cell>
        </row>
        <row r="325">
          <cell r="A325">
            <v>60017</v>
          </cell>
        </row>
        <row r="326">
          <cell r="A326">
            <v>60018</v>
          </cell>
        </row>
        <row r="327">
          <cell r="A327">
            <v>60019</v>
          </cell>
        </row>
        <row r="328">
          <cell r="A328">
            <v>60020</v>
          </cell>
        </row>
        <row r="329">
          <cell r="A329">
            <v>60025</v>
          </cell>
        </row>
        <row r="330">
          <cell r="A330">
            <v>60026</v>
          </cell>
        </row>
        <row r="331">
          <cell r="A331">
            <v>60027</v>
          </cell>
        </row>
        <row r="332">
          <cell r="A332">
            <v>60028</v>
          </cell>
        </row>
        <row r="333">
          <cell r="A333">
            <v>65525</v>
          </cell>
        </row>
        <row r="334">
          <cell r="A334">
            <v>65526</v>
          </cell>
        </row>
        <row r="335">
          <cell r="A335">
            <v>65527</v>
          </cell>
        </row>
        <row r="336">
          <cell r="A336">
            <v>65528</v>
          </cell>
        </row>
        <row r="337">
          <cell r="A337">
            <v>65529</v>
          </cell>
        </row>
        <row r="338">
          <cell r="A338">
            <v>65530</v>
          </cell>
        </row>
        <row r="339">
          <cell r="A339">
            <v>65531</v>
          </cell>
        </row>
        <row r="340">
          <cell r="A340">
            <v>65532</v>
          </cell>
        </row>
        <row r="341">
          <cell r="A341">
            <v>65533</v>
          </cell>
        </row>
        <row r="342">
          <cell r="A342">
            <v>65534</v>
          </cell>
        </row>
        <row r="343">
          <cell r="A343">
            <v>65535</v>
          </cell>
        </row>
        <row r="344">
          <cell r="A344">
            <v>60021</v>
          </cell>
        </row>
        <row r="345">
          <cell r="A345">
            <v>60022</v>
          </cell>
        </row>
        <row r="346">
          <cell r="A346">
            <v>60023</v>
          </cell>
        </row>
        <row r="347">
          <cell r="A34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47012_1</v>
          </cell>
        </row>
        <row r="852">
          <cell r="A852" t="str">
            <v>47012_2</v>
          </cell>
        </row>
        <row r="853">
          <cell r="A853" t="str">
            <v>48001_1</v>
          </cell>
        </row>
        <row r="854">
          <cell r="A854" t="str">
            <v>48002_1</v>
          </cell>
        </row>
        <row r="855">
          <cell r="A855" t="str">
            <v>48002_2</v>
          </cell>
        </row>
        <row r="856">
          <cell r="A856" t="str">
            <v>48002_3</v>
          </cell>
        </row>
        <row r="857">
          <cell r="A857" t="str">
            <v>48003_1</v>
          </cell>
        </row>
        <row r="858">
          <cell r="A858" t="str">
            <v>48003_2</v>
          </cell>
        </row>
        <row r="859">
          <cell r="A859" t="str">
            <v>48004_1</v>
          </cell>
        </row>
        <row r="860">
          <cell r="A860" t="str">
            <v>48004_2</v>
          </cell>
        </row>
        <row r="861">
          <cell r="A861" t="str">
            <v>48005_1</v>
          </cell>
        </row>
        <row r="862">
          <cell r="A862" t="str">
            <v>48005_2</v>
          </cell>
        </row>
        <row r="863">
          <cell r="A863" t="str">
            <v>48006_1</v>
          </cell>
        </row>
        <row r="864">
          <cell r="A864" t="str">
            <v>48006_2</v>
          </cell>
        </row>
        <row r="865">
          <cell r="A865" t="str">
            <v>48007_1</v>
          </cell>
        </row>
        <row r="866">
          <cell r="A866" t="str">
            <v>48007_2</v>
          </cell>
        </row>
        <row r="867">
          <cell r="A867" t="str">
            <v>48008_1</v>
          </cell>
        </row>
        <row r="868">
          <cell r="A868" t="str">
            <v>48008_2</v>
          </cell>
        </row>
        <row r="869">
          <cell r="A869" t="str">
            <v>48009_1</v>
          </cell>
        </row>
        <row r="870">
          <cell r="A870" t="str">
            <v>48009_2</v>
          </cell>
        </row>
        <row r="871">
          <cell r="A871" t="str">
            <v>48010_1</v>
          </cell>
        </row>
        <row r="872">
          <cell r="A872" t="str">
            <v>48011_1</v>
          </cell>
        </row>
        <row r="873">
          <cell r="A873" t="str">
            <v>48011_2</v>
          </cell>
        </row>
        <row r="874">
          <cell r="A874" t="str">
            <v>48012_1</v>
          </cell>
        </row>
        <row r="875">
          <cell r="A875" t="str">
            <v>48012_2</v>
          </cell>
        </row>
        <row r="876">
          <cell r="A876" t="str">
            <v>48501_1</v>
          </cell>
        </row>
        <row r="877">
          <cell r="A877" t="str">
            <v>48501_2</v>
          </cell>
        </row>
        <row r="878">
          <cell r="A878" t="str">
            <v>48502_1</v>
          </cell>
        </row>
        <row r="879">
          <cell r="A879" t="str">
            <v>48502_2</v>
          </cell>
        </row>
        <row r="880">
          <cell r="A880" t="str">
            <v>48701_1</v>
          </cell>
        </row>
        <row r="881">
          <cell r="A881" t="str">
            <v>48701_2</v>
          </cell>
        </row>
        <row r="882">
          <cell r="A882" t="str">
            <v>49001_1</v>
          </cell>
        </row>
        <row r="883">
          <cell r="A883" t="str">
            <v>49002_1</v>
          </cell>
        </row>
        <row r="884">
          <cell r="A884" t="str">
            <v>49002_2</v>
          </cell>
        </row>
        <row r="885">
          <cell r="A885" t="str">
            <v>49003_1</v>
          </cell>
        </row>
        <row r="886">
          <cell r="A886" t="str">
            <v>49003_2</v>
          </cell>
        </row>
        <row r="887">
          <cell r="A887" t="str">
            <v>49004_1</v>
          </cell>
        </row>
        <row r="888">
          <cell r="A888" t="str">
            <v>49004_2</v>
          </cell>
        </row>
        <row r="889">
          <cell r="A889" t="str">
            <v>49004_3</v>
          </cell>
        </row>
        <row r="890">
          <cell r="A890" t="str">
            <v>49005_1</v>
          </cell>
        </row>
        <row r="891">
          <cell r="A891" t="str">
            <v>49006_1</v>
          </cell>
        </row>
        <row r="892">
          <cell r="A892" t="str">
            <v>49006_2</v>
          </cell>
        </row>
        <row r="893">
          <cell r="A893" t="str">
            <v>49007_1</v>
          </cell>
        </row>
        <row r="894">
          <cell r="A894" t="str">
            <v>49007_2</v>
          </cell>
        </row>
        <row r="895">
          <cell r="A895" t="str">
            <v>49007_3</v>
          </cell>
        </row>
        <row r="896">
          <cell r="A896" t="str">
            <v>49008_1</v>
          </cell>
        </row>
        <row r="897">
          <cell r="A897" t="str">
            <v>49009_1</v>
          </cell>
        </row>
        <row r="898">
          <cell r="A898" t="str">
            <v>49010_1</v>
          </cell>
        </row>
        <row r="899">
          <cell r="A899" t="str">
            <v>49011_1</v>
          </cell>
        </row>
        <row r="900">
          <cell r="A900" t="str">
            <v>49012_1</v>
          </cell>
        </row>
        <row r="901">
          <cell r="A901" t="str">
            <v>49013_1</v>
          </cell>
        </row>
        <row r="902">
          <cell r="A902" t="str">
            <v>49014_1</v>
          </cell>
        </row>
        <row r="903">
          <cell r="A903" t="str">
            <v>49014_2</v>
          </cell>
        </row>
        <row r="904">
          <cell r="A904" t="str">
            <v>49015_1</v>
          </cell>
        </row>
        <row r="905">
          <cell r="A905" t="str">
            <v>49015_2</v>
          </cell>
        </row>
        <row r="906">
          <cell r="A906" t="str">
            <v>49015_3</v>
          </cell>
        </row>
        <row r="907">
          <cell r="A907" t="str">
            <v>50001_1</v>
          </cell>
        </row>
        <row r="908">
          <cell r="A908" t="str">
            <v>50002_1</v>
          </cell>
        </row>
        <row r="909">
          <cell r="A909" t="str">
            <v>50003_1</v>
          </cell>
        </row>
        <row r="910">
          <cell r="A910" t="str">
            <v>50004_1</v>
          </cell>
        </row>
        <row r="911">
          <cell r="A911" t="str">
            <v>50005_1</v>
          </cell>
        </row>
        <row r="912">
          <cell r="A912" t="str">
            <v>50006_1</v>
          </cell>
        </row>
        <row r="913">
          <cell r="A913" t="str">
            <v>50007_1</v>
          </cell>
        </row>
        <row r="914">
          <cell r="A914" t="str">
            <v>50008_1</v>
          </cell>
        </row>
        <row r="915">
          <cell r="A915" t="str">
            <v>50009_1</v>
          </cell>
        </row>
        <row r="916">
          <cell r="A916" t="str">
            <v>50010_1</v>
          </cell>
        </row>
        <row r="917">
          <cell r="A917" t="str">
            <v>50011_1</v>
          </cell>
        </row>
        <row r="918">
          <cell r="A918" t="str">
            <v>50012_1</v>
          </cell>
        </row>
        <row r="919">
          <cell r="A919" t="str">
            <v>50013_1</v>
          </cell>
        </row>
        <row r="920">
          <cell r="A920" t="str">
            <v>50014_1</v>
          </cell>
        </row>
        <row r="921">
          <cell r="A921" t="str">
            <v>51001_1</v>
          </cell>
        </row>
        <row r="922">
          <cell r="A922" t="str">
            <v>51002_1</v>
          </cell>
        </row>
        <row r="923">
          <cell r="A923" t="str">
            <v>58001_1</v>
          </cell>
        </row>
        <row r="924">
          <cell r="A924" t="str">
            <v>59001_1</v>
          </cell>
        </row>
        <row r="925">
          <cell r="A925" t="str">
            <v>59002_1</v>
          </cell>
        </row>
        <row r="926">
          <cell r="A926" t="str">
            <v>60001_1</v>
          </cell>
        </row>
        <row r="927">
          <cell r="A927" t="str">
            <v>60002_1</v>
          </cell>
        </row>
        <row r="928">
          <cell r="A928" t="str">
            <v>60002_2</v>
          </cell>
        </row>
        <row r="929">
          <cell r="A929" t="str">
            <v>60003_1</v>
          </cell>
        </row>
        <row r="930">
          <cell r="A930" t="str">
            <v>60003_2</v>
          </cell>
        </row>
        <row r="931">
          <cell r="A931" t="str">
            <v>60003_3</v>
          </cell>
        </row>
        <row r="932">
          <cell r="A932" t="str">
            <v>60004_1</v>
          </cell>
        </row>
        <row r="933">
          <cell r="A933" t="str">
            <v>60005_1</v>
          </cell>
        </row>
        <row r="934">
          <cell r="A934" t="str">
            <v>60006_1</v>
          </cell>
        </row>
        <row r="935">
          <cell r="A935" t="str">
            <v>60006_2</v>
          </cell>
        </row>
        <row r="936">
          <cell r="A936" t="str">
            <v>60006_3</v>
          </cell>
        </row>
        <row r="937">
          <cell r="A937" t="str">
            <v>60007_1</v>
          </cell>
        </row>
        <row r="938">
          <cell r="A938" t="str">
            <v>60007_2</v>
          </cell>
        </row>
        <row r="939">
          <cell r="A939" t="str">
            <v>60007_3</v>
          </cell>
        </row>
        <row r="940">
          <cell r="A940" t="str">
            <v>60010_1</v>
          </cell>
        </row>
        <row r="941">
          <cell r="A941" t="str">
            <v>60011_1</v>
          </cell>
        </row>
        <row r="942">
          <cell r="A942" t="str">
            <v>60011_2</v>
          </cell>
        </row>
        <row r="943">
          <cell r="A943" t="str">
            <v>60012_1</v>
          </cell>
        </row>
        <row r="944">
          <cell r="A944" t="str">
            <v>60013_1</v>
          </cell>
        </row>
        <row r="945">
          <cell r="A945" t="str">
            <v>60013_2</v>
          </cell>
        </row>
        <row r="946">
          <cell r="A946" t="str">
            <v>60013_3</v>
          </cell>
        </row>
        <row r="947">
          <cell r="A947" t="str">
            <v>60014_1</v>
          </cell>
        </row>
        <row r="948">
          <cell r="A948" t="str">
            <v>60015_1</v>
          </cell>
        </row>
        <row r="949">
          <cell r="A949" t="str">
            <v>60016_1</v>
          </cell>
        </row>
        <row r="950">
          <cell r="A950" t="str">
            <v>60017_1</v>
          </cell>
        </row>
        <row r="951">
          <cell r="A951" t="str">
            <v>60018_1</v>
          </cell>
        </row>
        <row r="952">
          <cell r="A952" t="str">
            <v>60019_1</v>
          </cell>
        </row>
        <row r="953">
          <cell r="A953" t="str">
            <v>60020_1</v>
          </cell>
        </row>
        <row r="954">
          <cell r="A954" t="str">
            <v>60021_3</v>
          </cell>
        </row>
        <row r="955">
          <cell r="A955" t="str">
            <v>60022_3</v>
          </cell>
        </row>
        <row r="956">
          <cell r="A956" t="str">
            <v>60023_3</v>
          </cell>
        </row>
        <row r="957">
          <cell r="A957" t="str">
            <v>60024_3</v>
          </cell>
        </row>
        <row r="958">
          <cell r="A958" t="str">
            <v>60025_1</v>
          </cell>
        </row>
        <row r="959">
          <cell r="A959" t="str">
            <v>60026_1</v>
          </cell>
        </row>
        <row r="960">
          <cell r="A960" t="str">
            <v>61011_1</v>
          </cell>
        </row>
        <row r="961">
          <cell r="A961" t="str">
            <v>60027_1</v>
          </cell>
        </row>
        <row r="962">
          <cell r="A962" t="str">
            <v>60028_1</v>
          </cell>
        </row>
        <row r="963">
          <cell r="A963" t="str">
            <v>65525_1</v>
          </cell>
        </row>
        <row r="964">
          <cell r="A964" t="str">
            <v>65526_1</v>
          </cell>
        </row>
        <row r="965">
          <cell r="A965" t="str">
            <v>65526_2</v>
          </cell>
        </row>
        <row r="966">
          <cell r="A966" t="str">
            <v>65527_1</v>
          </cell>
        </row>
        <row r="967">
          <cell r="A967" t="str">
            <v>65528_1</v>
          </cell>
        </row>
        <row r="968">
          <cell r="A968" t="str">
            <v>65529_1</v>
          </cell>
        </row>
        <row r="969">
          <cell r="A969" t="str">
            <v>65530_1</v>
          </cell>
        </row>
        <row r="970">
          <cell r="A970" t="str">
            <v>65531_1</v>
          </cell>
        </row>
        <row r="971">
          <cell r="A971" t="str">
            <v>65531_2</v>
          </cell>
        </row>
        <row r="972">
          <cell r="A972" t="str">
            <v>65532_1</v>
          </cell>
        </row>
        <row r="973">
          <cell r="A973" t="str">
            <v>65532_2</v>
          </cell>
        </row>
        <row r="974">
          <cell r="A974" t="str">
            <v>65533_1</v>
          </cell>
        </row>
        <row r="975">
          <cell r="A975" t="str">
            <v>65533_2</v>
          </cell>
        </row>
        <row r="976">
          <cell r="A976" t="str">
            <v>65534_1</v>
          </cell>
        </row>
        <row r="977">
          <cell r="A977" t="str">
            <v>65534_2</v>
          </cell>
        </row>
        <row r="978">
          <cell r="A978" t="str">
            <v>65535_1</v>
          </cell>
        </row>
        <row r="979">
          <cell r="A979" t="str">
            <v>65535_2</v>
          </cell>
        </row>
        <row r="980">
          <cell r="A980" t="str">
            <v>65535_3</v>
          </cell>
        </row>
        <row r="981">
          <cell r="A981" t="str">
            <v>65535_4</v>
          </cell>
        </row>
        <row r="982">
          <cell r="A982" t="str">
            <v>65535_5</v>
          </cell>
        </row>
        <row r="983">
          <cell r="A983" t="str">
            <v>65535_6</v>
          </cell>
        </row>
        <row r="984">
          <cell r="A984" t="str">
            <v>65535_7</v>
          </cell>
        </row>
        <row r="985">
          <cell r="A985" t="str">
            <v>65535_8</v>
          </cell>
        </row>
        <row r="986">
          <cell r="A986" t="str">
            <v>65535_9</v>
          </cell>
        </row>
        <row r="987">
          <cell r="A98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1488</v>
          </cell>
        </row>
        <row r="1427">
          <cell r="A1427">
            <v>1489</v>
          </cell>
        </row>
        <row r="1428">
          <cell r="A1428">
            <v>1495</v>
          </cell>
        </row>
        <row r="1429">
          <cell r="A1429">
            <v>1496</v>
          </cell>
        </row>
        <row r="1430">
          <cell r="A1430">
            <v>1497</v>
          </cell>
        </row>
        <row r="1431">
          <cell r="A1431">
            <v>1498</v>
          </cell>
        </row>
        <row r="1432">
          <cell r="A1432">
            <v>1499</v>
          </cell>
        </row>
        <row r="1433">
          <cell r="A1433">
            <v>1500</v>
          </cell>
        </row>
        <row r="1434">
          <cell r="A1434">
            <v>1501</v>
          </cell>
        </row>
        <row r="1435">
          <cell r="A1435">
            <v>1502</v>
          </cell>
        </row>
        <row r="1436">
          <cell r="A1436">
            <v>1503</v>
          </cell>
        </row>
        <row r="1437">
          <cell r="A1437">
            <v>1504</v>
          </cell>
        </row>
        <row r="1438">
          <cell r="A1438">
            <v>1505</v>
          </cell>
        </row>
        <row r="1439">
          <cell r="A1439">
            <v>1506</v>
          </cell>
        </row>
        <row r="1440">
          <cell r="A1440">
            <v>1507</v>
          </cell>
        </row>
        <row r="1441">
          <cell r="A1441">
            <v>1508</v>
          </cell>
        </row>
        <row r="1442">
          <cell r="A1442">
            <v>1509</v>
          </cell>
        </row>
        <row r="1443">
          <cell r="A1443">
            <v>1510</v>
          </cell>
        </row>
        <row r="1444">
          <cell r="A1444">
            <v>1511</v>
          </cell>
        </row>
        <row r="1445">
          <cell r="A1445">
            <v>1512</v>
          </cell>
        </row>
        <row r="1446">
          <cell r="A1446">
            <v>1513</v>
          </cell>
        </row>
        <row r="1447">
          <cell r="A1447">
            <v>1514</v>
          </cell>
        </row>
        <row r="1448">
          <cell r="A1448">
            <v>1515</v>
          </cell>
        </row>
        <row r="1449">
          <cell r="A1449">
            <v>1516</v>
          </cell>
        </row>
        <row r="1450">
          <cell r="A1450">
            <v>1517</v>
          </cell>
        </row>
        <row r="1451">
          <cell r="A1451">
            <v>1518</v>
          </cell>
        </row>
        <row r="1452">
          <cell r="A1452">
            <v>1519</v>
          </cell>
        </row>
        <row r="1453">
          <cell r="A1453">
            <v>1520</v>
          </cell>
        </row>
        <row r="1454">
          <cell r="A1454">
            <v>1521</v>
          </cell>
        </row>
        <row r="1455">
          <cell r="A1455">
            <v>1522</v>
          </cell>
        </row>
        <row r="1456">
          <cell r="A1456">
            <v>1523</v>
          </cell>
        </row>
        <row r="1457">
          <cell r="A1457">
            <v>1524</v>
          </cell>
        </row>
        <row r="1458">
          <cell r="A1458">
            <v>1525</v>
          </cell>
        </row>
        <row r="1459">
          <cell r="A1459">
            <v>1526</v>
          </cell>
        </row>
        <row r="1460">
          <cell r="A1460">
            <v>1527</v>
          </cell>
        </row>
        <row r="1461">
          <cell r="A1461">
            <v>1528</v>
          </cell>
        </row>
        <row r="1462">
          <cell r="A1462">
            <v>1529</v>
          </cell>
        </row>
        <row r="1463">
          <cell r="A1463">
            <v>1530</v>
          </cell>
        </row>
        <row r="1464">
          <cell r="A1464">
            <v>1531</v>
          </cell>
        </row>
        <row r="1465">
          <cell r="A1465">
            <v>1532</v>
          </cell>
        </row>
        <row r="1466">
          <cell r="A1466">
            <v>1533</v>
          </cell>
        </row>
        <row r="1467">
          <cell r="A1467">
            <v>1534</v>
          </cell>
        </row>
        <row r="1468">
          <cell r="A1468">
            <v>1535</v>
          </cell>
        </row>
        <row r="1469">
          <cell r="A1469">
            <v>1536</v>
          </cell>
        </row>
        <row r="1470">
          <cell r="A1470">
            <v>1537</v>
          </cell>
        </row>
        <row r="1471">
          <cell r="A1471">
            <v>1538</v>
          </cell>
        </row>
        <row r="1472">
          <cell r="A1472">
            <v>1539</v>
          </cell>
        </row>
        <row r="1473">
          <cell r="A1473">
            <v>1540</v>
          </cell>
        </row>
        <row r="1474">
          <cell r="A1474">
            <v>1541</v>
          </cell>
        </row>
        <row r="1475">
          <cell r="A1475">
            <v>1542</v>
          </cell>
        </row>
        <row r="1476">
          <cell r="A1476">
            <v>1543</v>
          </cell>
        </row>
        <row r="1477">
          <cell r="A1477">
            <v>1544</v>
          </cell>
        </row>
        <row r="1478">
          <cell r="A1478">
            <v>1545</v>
          </cell>
        </row>
        <row r="1479">
          <cell r="A1479">
            <v>1546</v>
          </cell>
        </row>
        <row r="1480">
          <cell r="A1480">
            <v>1547</v>
          </cell>
        </row>
        <row r="1481">
          <cell r="A1481">
            <v>1548</v>
          </cell>
        </row>
        <row r="1482">
          <cell r="A1482">
            <v>1549</v>
          </cell>
        </row>
        <row r="1483">
          <cell r="A1483">
            <v>1550</v>
          </cell>
        </row>
        <row r="1484">
          <cell r="A1484">
            <v>5001</v>
          </cell>
        </row>
        <row r="1485">
          <cell r="A1485">
            <v>5002</v>
          </cell>
        </row>
        <row r="1486">
          <cell r="A1486">
            <v>5003</v>
          </cell>
        </row>
        <row r="1487">
          <cell r="A1487">
            <v>5004</v>
          </cell>
        </row>
        <row r="1488">
          <cell r="A1488">
            <v>5005</v>
          </cell>
        </row>
        <row r="1489">
          <cell r="A1489">
            <v>5006</v>
          </cell>
        </row>
        <row r="1490">
          <cell r="A1490">
            <v>5007</v>
          </cell>
        </row>
        <row r="1491">
          <cell r="A1491">
            <v>5008</v>
          </cell>
        </row>
        <row r="1492">
          <cell r="A1492">
            <v>6001</v>
          </cell>
        </row>
        <row r="1493">
          <cell r="A1493">
            <v>6002</v>
          </cell>
        </row>
        <row r="1494">
          <cell r="A1494">
            <v>6003</v>
          </cell>
        </row>
        <row r="1495">
          <cell r="A1495">
            <v>6004</v>
          </cell>
        </row>
        <row r="1496">
          <cell r="A1496">
            <v>6005</v>
          </cell>
        </row>
        <row r="1497">
          <cell r="A1497">
            <v>6006</v>
          </cell>
        </row>
        <row r="1498">
          <cell r="A1498">
            <v>6007</v>
          </cell>
        </row>
        <row r="1499">
          <cell r="A1499">
            <v>6008</v>
          </cell>
        </row>
        <row r="1500">
          <cell r="A1500">
            <v>6009</v>
          </cell>
        </row>
        <row r="1501">
          <cell r="A1501">
            <v>6010</v>
          </cell>
        </row>
        <row r="1502">
          <cell r="A1502">
            <v>6011</v>
          </cell>
        </row>
        <row r="1503">
          <cell r="A1503">
            <v>6012</v>
          </cell>
        </row>
        <row r="1504">
          <cell r="A1504">
            <v>6013</v>
          </cell>
        </row>
        <row r="1505">
          <cell r="A1505">
            <v>6014</v>
          </cell>
        </row>
        <row r="1506">
          <cell r="A1506">
            <v>6015</v>
          </cell>
        </row>
        <row r="1507">
          <cell r="A1507">
            <v>6016</v>
          </cell>
        </row>
        <row r="1508">
          <cell r="A1508">
            <v>6017</v>
          </cell>
        </row>
        <row r="1509">
          <cell r="A1509">
            <v>6018</v>
          </cell>
        </row>
        <row r="1510">
          <cell r="A1510">
            <v>6019</v>
          </cell>
        </row>
        <row r="1511">
          <cell r="A1511">
            <v>6020</v>
          </cell>
        </row>
        <row r="1512">
          <cell r="A1512">
            <v>8001</v>
          </cell>
        </row>
        <row r="1513">
          <cell r="A1513">
            <v>8002</v>
          </cell>
        </row>
        <row r="1514">
          <cell r="A1514">
            <v>8003</v>
          </cell>
        </row>
        <row r="1515">
          <cell r="A1515">
            <v>8004</v>
          </cell>
        </row>
        <row r="1516">
          <cell r="A1516">
            <v>8005</v>
          </cell>
        </row>
        <row r="1517">
          <cell r="A1517">
            <v>8006</v>
          </cell>
        </row>
        <row r="1518">
          <cell r="A1518">
            <v>8007</v>
          </cell>
        </row>
        <row r="1519">
          <cell r="A1519">
            <v>8008</v>
          </cell>
        </row>
        <row r="1520">
          <cell r="A1520">
            <v>8009</v>
          </cell>
        </row>
        <row r="1521">
          <cell r="A1521">
            <v>8010</v>
          </cell>
        </row>
        <row r="1522">
          <cell r="A1522">
            <v>8011</v>
          </cell>
        </row>
        <row r="1523">
          <cell r="A1523">
            <v>8012</v>
          </cell>
        </row>
        <row r="1524">
          <cell r="A1524">
            <v>8013</v>
          </cell>
        </row>
        <row r="1525">
          <cell r="A1525">
            <v>8014</v>
          </cell>
        </row>
        <row r="1526">
          <cell r="A1526">
            <v>8015</v>
          </cell>
        </row>
        <row r="1527">
          <cell r="A1527">
            <v>8016</v>
          </cell>
        </row>
        <row r="1528">
          <cell r="A1528">
            <v>8017</v>
          </cell>
        </row>
        <row r="1529">
          <cell r="A1529">
            <v>8018</v>
          </cell>
        </row>
        <row r="1530">
          <cell r="A1530">
            <v>8019</v>
          </cell>
        </row>
        <row r="1531">
          <cell r="A1531">
            <v>8020</v>
          </cell>
        </row>
        <row r="1532">
          <cell r="A1532">
            <v>8021</v>
          </cell>
        </row>
        <row r="1533">
          <cell r="A1533">
            <v>8022</v>
          </cell>
        </row>
        <row r="1534">
          <cell r="A1534">
            <v>8023</v>
          </cell>
        </row>
        <row r="1535">
          <cell r="A1535">
            <v>8024</v>
          </cell>
        </row>
        <row r="1536">
          <cell r="A1536">
            <v>8025</v>
          </cell>
        </row>
        <row r="1537">
          <cell r="A1537">
            <v>8026</v>
          </cell>
        </row>
        <row r="1538">
          <cell r="A1538">
            <v>8027</v>
          </cell>
        </row>
        <row r="1539">
          <cell r="A1539">
            <v>8028</v>
          </cell>
        </row>
        <row r="1540">
          <cell r="A1540">
            <v>8029</v>
          </cell>
        </row>
        <row r="1541">
          <cell r="A1541">
            <v>8030</v>
          </cell>
        </row>
        <row r="1542">
          <cell r="A1542">
            <v>8031</v>
          </cell>
        </row>
        <row r="1543">
          <cell r="A1543">
            <v>8032</v>
          </cell>
        </row>
        <row r="1544">
          <cell r="A1544">
            <v>8033</v>
          </cell>
        </row>
        <row r="1545">
          <cell r="A1545">
            <v>8034</v>
          </cell>
        </row>
        <row r="1546">
          <cell r="A1546">
            <v>8035</v>
          </cell>
        </row>
        <row r="1547">
          <cell r="A1547">
            <v>8036</v>
          </cell>
        </row>
        <row r="1548">
          <cell r="A1548">
            <v>8037</v>
          </cell>
        </row>
        <row r="1549">
          <cell r="A1549">
            <v>8038</v>
          </cell>
        </row>
        <row r="1550">
          <cell r="A1550">
            <v>8039</v>
          </cell>
        </row>
        <row r="1551">
          <cell r="A1551">
            <v>8040</v>
          </cell>
        </row>
        <row r="1552">
          <cell r="A1552">
            <v>8041</v>
          </cell>
        </row>
        <row r="1553">
          <cell r="A1553">
            <v>8042</v>
          </cell>
        </row>
        <row r="1554">
          <cell r="A1554">
            <v>8043</v>
          </cell>
        </row>
        <row r="1555">
          <cell r="A1555">
            <v>8044</v>
          </cell>
        </row>
        <row r="1556">
          <cell r="A1556">
            <v>8045</v>
          </cell>
        </row>
        <row r="1557">
          <cell r="A1557">
            <v>8046</v>
          </cell>
        </row>
        <row r="1558">
          <cell r="A1558">
            <v>8047</v>
          </cell>
        </row>
        <row r="1559">
          <cell r="A1559">
            <v>8048</v>
          </cell>
        </row>
        <row r="1560">
          <cell r="A1560">
            <v>8049</v>
          </cell>
        </row>
        <row r="1561">
          <cell r="A1561">
            <v>8050</v>
          </cell>
        </row>
        <row r="1562">
          <cell r="A1562">
            <v>8051</v>
          </cell>
        </row>
        <row r="1563">
          <cell r="A1563">
            <v>8052</v>
          </cell>
        </row>
        <row r="1564">
          <cell r="A1564">
            <v>8053</v>
          </cell>
        </row>
        <row r="1565">
          <cell r="A1565">
            <v>8054</v>
          </cell>
        </row>
        <row r="1566">
          <cell r="A1566">
            <v>8055</v>
          </cell>
        </row>
        <row r="1567">
          <cell r="A1567">
            <v>8056</v>
          </cell>
        </row>
        <row r="1568">
          <cell r="A1568">
            <v>8057</v>
          </cell>
        </row>
        <row r="1569">
          <cell r="A1569">
            <v>8058</v>
          </cell>
        </row>
        <row r="1570">
          <cell r="A1570">
            <v>8059</v>
          </cell>
        </row>
        <row r="1571">
          <cell r="A1571">
            <v>8060</v>
          </cell>
        </row>
        <row r="1572">
          <cell r="A1572">
            <v>8061</v>
          </cell>
        </row>
        <row r="1573">
          <cell r="A1573">
            <v>8062</v>
          </cell>
        </row>
        <row r="1574">
          <cell r="A1574">
            <v>8063</v>
          </cell>
        </row>
        <row r="1575">
          <cell r="A1575">
            <v>8064</v>
          </cell>
        </row>
        <row r="1576">
          <cell r="A1576">
            <v>8065</v>
          </cell>
        </row>
        <row r="1577">
          <cell r="A1577">
            <v>8066</v>
          </cell>
        </row>
        <row r="1578">
          <cell r="A1578">
            <v>8067</v>
          </cell>
        </row>
        <row r="1579">
          <cell r="A1579">
            <v>8068</v>
          </cell>
        </row>
        <row r="1580">
          <cell r="A1580">
            <v>8069</v>
          </cell>
        </row>
        <row r="1581">
          <cell r="A1581">
            <v>8070</v>
          </cell>
        </row>
        <row r="1582">
          <cell r="A1582">
            <v>8071</v>
          </cell>
        </row>
        <row r="1583">
          <cell r="A1583">
            <v>8072</v>
          </cell>
        </row>
        <row r="1584">
          <cell r="A1584">
            <v>8073</v>
          </cell>
        </row>
        <row r="1585">
          <cell r="A1585">
            <v>8074</v>
          </cell>
        </row>
        <row r="1586">
          <cell r="A1586">
            <v>8075</v>
          </cell>
        </row>
        <row r="1587">
          <cell r="A1587">
            <v>8076</v>
          </cell>
        </row>
        <row r="1588">
          <cell r="A1588">
            <v>8077</v>
          </cell>
        </row>
        <row r="1589">
          <cell r="A1589">
            <v>8078</v>
          </cell>
        </row>
        <row r="1590">
          <cell r="A1590">
            <v>8079</v>
          </cell>
        </row>
        <row r="1591">
          <cell r="A1591">
            <v>8080</v>
          </cell>
        </row>
        <row r="1592">
          <cell r="A1592">
            <v>8081</v>
          </cell>
        </row>
        <row r="1593">
          <cell r="A1593">
            <v>8082</v>
          </cell>
        </row>
        <row r="1594">
          <cell r="A1594">
            <v>8083</v>
          </cell>
        </row>
        <row r="1595">
          <cell r="A1595">
            <v>8084</v>
          </cell>
        </row>
        <row r="1596">
          <cell r="A1596">
            <v>8087</v>
          </cell>
        </row>
        <row r="1597">
          <cell r="A1597">
            <v>8088</v>
          </cell>
        </row>
        <row r="1598">
          <cell r="A1598">
            <v>8089</v>
          </cell>
        </row>
        <row r="1599">
          <cell r="A1599">
            <v>8090</v>
          </cell>
        </row>
        <row r="1600">
          <cell r="A1600">
            <v>8095</v>
          </cell>
        </row>
        <row r="1601">
          <cell r="A1601">
            <v>8096</v>
          </cell>
        </row>
        <row r="1602">
          <cell r="A1602">
            <v>8097</v>
          </cell>
        </row>
        <row r="1603">
          <cell r="A1603">
            <v>8098</v>
          </cell>
        </row>
        <row r="1604">
          <cell r="A1604">
            <v>8099</v>
          </cell>
        </row>
        <row r="1605">
          <cell r="A1605">
            <v>9001</v>
          </cell>
        </row>
        <row r="1606">
          <cell r="A1606">
            <v>9002</v>
          </cell>
        </row>
        <row r="1607">
          <cell r="A1607">
            <v>9003</v>
          </cell>
        </row>
        <row r="1608">
          <cell r="A1608">
            <v>9004</v>
          </cell>
        </row>
        <row r="1609">
          <cell r="A1609">
            <v>10001</v>
          </cell>
        </row>
        <row r="1610">
          <cell r="A1610">
            <v>10002</v>
          </cell>
        </row>
        <row r="1611">
          <cell r="A1611">
            <v>10003</v>
          </cell>
        </row>
        <row r="1612">
          <cell r="A1612">
            <v>10004</v>
          </cell>
        </row>
        <row r="1613">
          <cell r="A1613">
            <v>10005</v>
          </cell>
        </row>
        <row r="1614">
          <cell r="A1614">
            <v>10006</v>
          </cell>
        </row>
        <row r="1615">
          <cell r="A1615">
            <v>10007</v>
          </cell>
        </row>
        <row r="1616">
          <cell r="A1616">
            <v>10008</v>
          </cell>
        </row>
        <row r="1617">
          <cell r="A1617">
            <v>10009</v>
          </cell>
        </row>
        <row r="1618">
          <cell r="A1618">
            <v>10010</v>
          </cell>
        </row>
        <row r="1619">
          <cell r="A1619">
            <v>10011</v>
          </cell>
        </row>
        <row r="1620">
          <cell r="A1620">
            <v>10012</v>
          </cell>
        </row>
        <row r="1621">
          <cell r="A1621">
            <v>10013</v>
          </cell>
        </row>
        <row r="1622">
          <cell r="A1622">
            <v>10014</v>
          </cell>
        </row>
        <row r="1623">
          <cell r="A1623">
            <v>10015</v>
          </cell>
        </row>
        <row r="1624">
          <cell r="A1624">
            <v>10016</v>
          </cell>
        </row>
        <row r="1625">
          <cell r="A1625">
            <v>10017</v>
          </cell>
        </row>
        <row r="1626">
          <cell r="A1626">
            <v>10018</v>
          </cell>
        </row>
        <row r="1627">
          <cell r="A1627">
            <v>10019</v>
          </cell>
        </row>
        <row r="1628">
          <cell r="A1628">
            <v>10020</v>
          </cell>
        </row>
        <row r="1629">
          <cell r="A1629">
            <v>10021</v>
          </cell>
        </row>
        <row r="1630">
          <cell r="A1630">
            <v>10022</v>
          </cell>
        </row>
        <row r="1631">
          <cell r="A1631">
            <v>10023</v>
          </cell>
        </row>
        <row r="1632">
          <cell r="A1632">
            <v>10024</v>
          </cell>
        </row>
        <row r="1633">
          <cell r="A1633">
            <v>10025</v>
          </cell>
        </row>
        <row r="1634">
          <cell r="A1634">
            <v>10026</v>
          </cell>
        </row>
        <row r="1635">
          <cell r="A1635">
            <v>10027</v>
          </cell>
        </row>
        <row r="1636">
          <cell r="A1636">
            <v>10028</v>
          </cell>
        </row>
        <row r="1637">
          <cell r="A1637">
            <v>10029</v>
          </cell>
        </row>
        <row r="1638">
          <cell r="A1638">
            <v>10030</v>
          </cell>
        </row>
        <row r="1639">
          <cell r="A1639">
            <v>10031</v>
          </cell>
        </row>
        <row r="1640">
          <cell r="A1640">
            <v>10032</v>
          </cell>
        </row>
        <row r="1641">
          <cell r="A1641">
            <v>10033</v>
          </cell>
        </row>
        <row r="1642">
          <cell r="A1642">
            <v>10034</v>
          </cell>
        </row>
        <row r="1643">
          <cell r="A1643">
            <v>10035</v>
          </cell>
        </row>
        <row r="1644">
          <cell r="A1644">
            <v>10036</v>
          </cell>
        </row>
        <row r="1645">
          <cell r="A1645">
            <v>10037</v>
          </cell>
        </row>
        <row r="1646">
          <cell r="A1646">
            <v>10038</v>
          </cell>
        </row>
        <row r="1647">
          <cell r="A1647">
            <v>10039</v>
          </cell>
        </row>
        <row r="1648">
          <cell r="A1648">
            <v>10040</v>
          </cell>
        </row>
        <row r="1649">
          <cell r="A1649">
            <v>10041</v>
          </cell>
        </row>
        <row r="1650">
          <cell r="A1650">
            <v>10042</v>
          </cell>
        </row>
        <row r="1651">
          <cell r="A1651">
            <v>10043</v>
          </cell>
        </row>
        <row r="1652">
          <cell r="A1652">
            <v>10044</v>
          </cell>
        </row>
        <row r="1653">
          <cell r="A1653">
            <v>10045</v>
          </cell>
        </row>
        <row r="1654">
          <cell r="A1654">
            <v>10046</v>
          </cell>
        </row>
        <row r="1655">
          <cell r="A1655">
            <v>10047</v>
          </cell>
        </row>
        <row r="1656">
          <cell r="A1656">
            <v>10048</v>
          </cell>
        </row>
        <row r="1657">
          <cell r="A1657">
            <v>10049</v>
          </cell>
        </row>
        <row r="1658">
          <cell r="A1658">
            <v>10050</v>
          </cell>
        </row>
        <row r="1659">
          <cell r="A1659">
            <v>10051</v>
          </cell>
        </row>
        <row r="1660">
          <cell r="A1660">
            <v>10052</v>
          </cell>
        </row>
        <row r="1661">
          <cell r="A1661">
            <v>10053</v>
          </cell>
        </row>
        <row r="1662">
          <cell r="A1662">
            <v>10054</v>
          </cell>
        </row>
        <row r="1663">
          <cell r="A1663">
            <v>10055</v>
          </cell>
        </row>
        <row r="1664">
          <cell r="A1664">
            <v>10056</v>
          </cell>
        </row>
        <row r="1665">
          <cell r="A1665">
            <v>10057</v>
          </cell>
        </row>
        <row r="1666">
          <cell r="A1666">
            <v>10058</v>
          </cell>
        </row>
        <row r="1667">
          <cell r="A1667">
            <v>10059</v>
          </cell>
        </row>
        <row r="1668">
          <cell r="A1668">
            <v>10060</v>
          </cell>
        </row>
        <row r="1669">
          <cell r="A1669">
            <v>10061</v>
          </cell>
        </row>
        <row r="1670">
          <cell r="A1670">
            <v>10062</v>
          </cell>
        </row>
        <row r="1671">
          <cell r="A1671">
            <v>10063</v>
          </cell>
        </row>
        <row r="1672">
          <cell r="A1672">
            <v>10064</v>
          </cell>
        </row>
        <row r="1673">
          <cell r="A1673">
            <v>10065</v>
          </cell>
        </row>
        <row r="1674">
          <cell r="A1674">
            <v>10066</v>
          </cell>
        </row>
        <row r="1675">
          <cell r="A1675">
            <v>10067</v>
          </cell>
        </row>
        <row r="1676">
          <cell r="A1676">
            <v>10068</v>
          </cell>
        </row>
        <row r="1677">
          <cell r="A1677">
            <v>10069</v>
          </cell>
        </row>
        <row r="1678">
          <cell r="A1678">
            <v>10070</v>
          </cell>
        </row>
        <row r="1679">
          <cell r="A1679">
            <v>10071</v>
          </cell>
        </row>
        <row r="1680">
          <cell r="A1680">
            <v>10072</v>
          </cell>
        </row>
        <row r="1681">
          <cell r="A1681">
            <v>10073</v>
          </cell>
        </row>
        <row r="1682">
          <cell r="A1682">
            <v>10074</v>
          </cell>
        </row>
        <row r="1683">
          <cell r="A1683">
            <v>10075</v>
          </cell>
        </row>
        <row r="1684">
          <cell r="A1684">
            <v>10076</v>
          </cell>
        </row>
        <row r="1685">
          <cell r="A1685">
            <v>10077</v>
          </cell>
        </row>
        <row r="1686">
          <cell r="A1686">
            <v>10078</v>
          </cell>
        </row>
        <row r="1687">
          <cell r="A1687">
            <v>10079</v>
          </cell>
        </row>
        <row r="1688">
          <cell r="A1688">
            <v>10080</v>
          </cell>
        </row>
        <row r="1689">
          <cell r="A1689">
            <v>10081</v>
          </cell>
        </row>
        <row r="1690">
          <cell r="A1690">
            <v>10082</v>
          </cell>
        </row>
        <row r="1691">
          <cell r="A1691">
            <v>10083</v>
          </cell>
        </row>
        <row r="1692">
          <cell r="A1692">
            <v>10084</v>
          </cell>
        </row>
        <row r="1693">
          <cell r="A1693">
            <v>10085</v>
          </cell>
        </row>
        <row r="1694">
          <cell r="A1694">
            <v>10086</v>
          </cell>
        </row>
        <row r="1695">
          <cell r="A1695">
            <v>10087</v>
          </cell>
        </row>
        <row r="1696">
          <cell r="A1696">
            <v>10088</v>
          </cell>
        </row>
        <row r="1697">
          <cell r="A1697">
            <v>10089</v>
          </cell>
        </row>
        <row r="1698">
          <cell r="A1698">
            <v>10090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4" sqref="H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121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242</v>
      </c>
      <c r="B2" s="55" t="s">
        <v>243</v>
      </c>
      <c r="C2" s="60" t="s">
        <v>244</v>
      </c>
      <c r="D2" s="55" t="s">
        <v>105</v>
      </c>
      <c r="E2" s="54" t="str">
        <f>B2&amp;C2&amp;D2</f>
        <v>floors_39012_2.tmp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242</v>
      </c>
      <c r="B3" s="55" t="s">
        <v>245</v>
      </c>
      <c r="C3" s="60" t="s">
        <v>244</v>
      </c>
      <c r="D3" s="55" t="s">
        <v>105</v>
      </c>
      <c r="E3" s="54" t="str">
        <f>B3&amp;C3&amp;D3</f>
        <v>enemy_habitats_39012_2.tmp</v>
      </c>
      <c r="F3" s="55" t="s">
        <v>107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167</v>
      </c>
    </row>
    <row r="4" spans="1:30" x14ac:dyDescent="0.15">
      <c r="A4" s="59" t="s">
        <v>176</v>
      </c>
      <c r="B4" s="55" t="s">
        <v>246</v>
      </c>
      <c r="C4" s="60" t="s">
        <v>244</v>
      </c>
      <c r="D4" s="55" t="s">
        <v>105</v>
      </c>
      <c r="E4" s="54" t="str">
        <f>B4&amp;C4&amp;D4</f>
        <v>enemy_habitat_S_39012_2.tmp</v>
      </c>
      <c r="F4" s="55" t="s">
        <v>108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242</v>
      </c>
      <c r="B5" s="55" t="s">
        <v>247</v>
      </c>
      <c r="C5" s="60" t="s">
        <v>244</v>
      </c>
      <c r="D5" s="55" t="s">
        <v>105</v>
      </c>
      <c r="E5" s="54" t="str">
        <f>B5&amp;C5&amp;D5</f>
        <v>enemy_skill_sets_39012_2.tmp</v>
      </c>
      <c r="F5" s="55" t="s">
        <v>109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242</v>
      </c>
      <c r="B6" s="55" t="s">
        <v>248</v>
      </c>
      <c r="C6" s="60" t="s">
        <v>244</v>
      </c>
      <c r="D6" s="55" t="s">
        <v>110</v>
      </c>
      <c r="E6" s="54" t="str">
        <f t="shared" ref="E6:E10" si="0">B6&amp;C6&amp;D6</f>
        <v>enemy_skills_tmp_39012_2.tmp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242</v>
      </c>
      <c r="B7" s="55" t="s">
        <v>249</v>
      </c>
      <c r="C7" s="60" t="s">
        <v>244</v>
      </c>
      <c r="D7" s="55" t="s">
        <v>105</v>
      </c>
      <c r="E7" s="54" t="str">
        <f>B7&amp;C7&amp;D7</f>
        <v>enemy_skills_i18n_39012_2.tmp</v>
      </c>
      <c r="F7" s="55" t="s">
        <v>111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242</v>
      </c>
      <c r="B8" s="55" t="s">
        <v>250</v>
      </c>
      <c r="C8" s="60" t="s">
        <v>244</v>
      </c>
      <c r="D8" s="55" t="s">
        <v>112</v>
      </c>
      <c r="E8" s="54" t="str">
        <f t="shared" si="0"/>
        <v>enemy_skill_triggers_39012_2.tmp</v>
      </c>
      <c r="F8" s="55" t="s">
        <v>113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114</v>
      </c>
      <c r="L8" s="56" t="s">
        <v>97</v>
      </c>
      <c r="M8" s="56" t="s">
        <v>115</v>
      </c>
      <c r="N8" s="56" t="s">
        <v>116</v>
      </c>
      <c r="O8" s="56" t="s">
        <v>117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242</v>
      </c>
      <c r="B9" s="65" t="s">
        <v>251</v>
      </c>
      <c r="C9" s="60" t="s">
        <v>244</v>
      </c>
      <c r="D9" s="65" t="s">
        <v>161</v>
      </c>
      <c r="E9" s="66" t="str">
        <f t="shared" si="0"/>
        <v>stage_bug_bonuses_39012_2.tmp</v>
      </c>
      <c r="F9" s="65" t="s">
        <v>162</v>
      </c>
      <c r="G9" s="62" t="s">
        <v>141</v>
      </c>
      <c r="H9" s="62" t="s">
        <v>163</v>
      </c>
      <c r="I9" s="62" t="s">
        <v>164</v>
      </c>
      <c r="J9" s="64" t="s">
        <v>165</v>
      </c>
      <c r="K9" s="62" t="s">
        <v>166</v>
      </c>
      <c r="L9" s="62" t="s">
        <v>147</v>
      </c>
      <c r="M9" s="62" t="s">
        <v>148</v>
      </c>
      <c r="N9" s="62" t="s">
        <v>149</v>
      </c>
      <c r="O9" s="62" t="s">
        <v>150</v>
      </c>
      <c r="P9" s="62" t="s">
        <v>151</v>
      </c>
      <c r="Q9" s="62" t="s">
        <v>152</v>
      </c>
      <c r="R9" s="62" t="s">
        <v>153</v>
      </c>
      <c r="S9" s="62" t="s">
        <v>154</v>
      </c>
      <c r="T9" s="62" t="s">
        <v>155</v>
      </c>
      <c r="U9" s="62" t="s">
        <v>156</v>
      </c>
      <c r="V9" s="62" t="s">
        <v>157</v>
      </c>
      <c r="W9" s="62" t="s">
        <v>158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176</v>
      </c>
      <c r="B10" s="65" t="s">
        <v>252</v>
      </c>
      <c r="C10" s="60" t="s">
        <v>244</v>
      </c>
      <c r="D10" s="65" t="s">
        <v>169</v>
      </c>
      <c r="E10" s="66" t="str">
        <f t="shared" si="0"/>
        <v>stage_hints_data_c_39012_2.tmp</v>
      </c>
      <c r="F10" s="65" t="s">
        <v>197</v>
      </c>
      <c r="G10" s="71" t="s">
        <v>170</v>
      </c>
      <c r="H10" s="71" t="s">
        <v>163</v>
      </c>
      <c r="I10" s="72" t="s">
        <v>171</v>
      </c>
      <c r="J10" s="64" t="s">
        <v>172</v>
      </c>
      <c r="K10" s="64" t="s">
        <v>173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59" t="s">
        <v>242</v>
      </c>
      <c r="B11" s="65" t="s">
        <v>190</v>
      </c>
      <c r="C11" s="60" t="s">
        <v>244</v>
      </c>
      <c r="D11" s="65" t="s">
        <v>161</v>
      </c>
      <c r="E11" s="66" t="str">
        <f t="shared" ref="E11:E13" si="1">B11&amp;C11&amp;D11</f>
        <v>stage_hints_data_f_39012_2.tmp</v>
      </c>
      <c r="F11" s="65" t="s">
        <v>198</v>
      </c>
      <c r="G11" s="71" t="s">
        <v>170</v>
      </c>
      <c r="H11" s="71" t="s">
        <v>163</v>
      </c>
      <c r="I11" s="72" t="s">
        <v>171</v>
      </c>
      <c r="J11" s="64" t="s">
        <v>172</v>
      </c>
      <c r="K11" s="64" t="s">
        <v>173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59" t="s">
        <v>242</v>
      </c>
      <c r="B12" s="65" t="s">
        <v>191</v>
      </c>
      <c r="C12" s="60" t="s">
        <v>244</v>
      </c>
      <c r="D12" s="65" t="s">
        <v>161</v>
      </c>
      <c r="E12" s="66" t="str">
        <f t="shared" si="1"/>
        <v>stage_hints_i18n_39012_2.tmp</v>
      </c>
      <c r="F12" s="65" t="s">
        <v>199</v>
      </c>
      <c r="G12" s="72" t="s">
        <v>192</v>
      </c>
      <c r="H12" s="90" t="s">
        <v>193</v>
      </c>
      <c r="I12" s="71" t="s">
        <v>194</v>
      </c>
      <c r="J12" s="98" t="s">
        <v>195</v>
      </c>
      <c r="K12" s="64" t="s">
        <v>196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59" t="s">
        <v>242</v>
      </c>
      <c r="B13" s="65" t="s">
        <v>239</v>
      </c>
      <c r="C13" s="60" t="s">
        <v>244</v>
      </c>
      <c r="D13" s="65" t="s">
        <v>220</v>
      </c>
      <c r="E13" s="66" t="str">
        <f t="shared" si="1"/>
        <v>stage_bonuses_39012_2.tmp</v>
      </c>
      <c r="F13" s="65" t="s">
        <v>219</v>
      </c>
      <c r="G13" s="71" t="s">
        <v>221</v>
      </c>
      <c r="H13" s="71" t="s">
        <v>222</v>
      </c>
      <c r="I13" s="71" t="s">
        <v>223</v>
      </c>
      <c r="J13" s="71" t="s">
        <v>224</v>
      </c>
      <c r="K13" s="71" t="s">
        <v>225</v>
      </c>
      <c r="L13" s="71" t="s">
        <v>226</v>
      </c>
      <c r="M13" s="71" t="s">
        <v>227</v>
      </c>
      <c r="N13" s="71" t="s">
        <v>228</v>
      </c>
      <c r="O13" s="71" t="s">
        <v>229</v>
      </c>
      <c r="P13" s="71" t="s">
        <v>230</v>
      </c>
      <c r="Q13" s="71" t="s">
        <v>231</v>
      </c>
      <c r="R13" s="71" t="s">
        <v>232</v>
      </c>
      <c r="S13" s="71" t="s">
        <v>233</v>
      </c>
      <c r="T13" s="71" t="s">
        <v>234</v>
      </c>
      <c r="U13" s="71" t="s">
        <v>235</v>
      </c>
      <c r="V13" s="71" t="s">
        <v>236</v>
      </c>
      <c r="W13" s="71" t="s">
        <v>237</v>
      </c>
      <c r="X13" s="71" t="s">
        <v>238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H9" sqref="H9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39012_2-1</v>
      </c>
      <c r="B2" s="15" t="str">
        <f>IF(COUNTIF(enemy_habitats!$H:$H,A2),"OK","NG")</f>
        <v>OK</v>
      </c>
      <c r="C2" s="102">
        <v>39012</v>
      </c>
      <c r="D2" s="11" t="str">
        <f ca="1">VLOOKUP($C2,OFFSET([2]quests!$A$1,0,0,COUNTA([2]quests!$A:$A),MATCH(D$1,[2]quests!$1:$1,0)-MATCH($C$1,[2]quests!$1:$1,0)+1),MATCH(D$1,[2]quests!$1:$1,0)-MATCH($C$1,[2]quests!$1:$1,0)+1,FALSE)</f>
        <v>侵略！？にゃんこ軍団現る！</v>
      </c>
      <c r="E2" s="17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103">
        <v>2</v>
      </c>
      <c r="G2" s="22" t="str">
        <f>C2&amp;"_"&amp;F2</f>
        <v>39012_2</v>
      </c>
      <c r="H2" s="14" t="str">
        <f ca="1">VLOOKUP($G2,OFFSET([2]stages!$A$1,0,0,COUNTA([2]stages!$A:$A),MATCH(H$1,[2]stages!$2:$2,0)-MATCH($G$1,[2]stages!$2:$2,0)+1),MATCH(H$1,[2]stages!$2:$2,0)-MATCH($G$1,[2]stages!$2:$2,0)+1,FALSE)</f>
        <v>【中級】侵略！？にゃんこ軍団現る！</v>
      </c>
      <c r="I2" s="103">
        <v>1</v>
      </c>
      <c r="J2" s="37">
        <v>45</v>
      </c>
      <c r="K2" s="37">
        <v>45</v>
      </c>
    </row>
    <row r="3" spans="1:11" ht="21" customHeight="1" x14ac:dyDescent="0.15">
      <c r="A3" s="15" t="str">
        <f t="shared" ref="A3:A4" si="0">G3&amp;"-"&amp;I3</f>
        <v>39012_2-2</v>
      </c>
      <c r="B3" s="15" t="str">
        <f>IF(COUNTIF(enemy_habitats!$H:$H,A3),"OK","NG")</f>
        <v>OK</v>
      </c>
      <c r="C3" s="102">
        <v>39012</v>
      </c>
      <c r="D3" s="11" t="str">
        <f ca="1">VLOOKUP($C3,OFFSET([2]quests!$A$1,0,0,COUNTA([2]quests!$A:$A),MATCH(D$1,[2]quests!$1:$1,0)-MATCH($C$1,[2]quests!$1:$1,0)+1),MATCH(D$1,[2]quests!$1:$1,0)-MATCH($C$1,[2]quests!$1:$1,0)+1,FALSE)</f>
        <v>侵略！？にゃんこ軍団現る！</v>
      </c>
      <c r="E3" s="17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103">
        <v>2</v>
      </c>
      <c r="G3" s="22" t="str">
        <f t="shared" ref="G3:G4" si="1">C3&amp;"_"&amp;F3</f>
        <v>39012_2</v>
      </c>
      <c r="H3" s="14" t="str">
        <f ca="1">VLOOKUP($G3,OFFSET([2]stages!$A$1,0,0,COUNTA([2]stages!$A:$A),MATCH(H$1,[2]stages!$2:$2,0)-MATCH($G$1,[2]stages!$2:$2,0)+1),MATCH(H$1,[2]stages!$2:$2,0)-MATCH($G$1,[2]stages!$2:$2,0)+1,FALSE)</f>
        <v>【中級】侵略！？にゃんこ軍団現る！</v>
      </c>
      <c r="I3" s="103">
        <v>2</v>
      </c>
      <c r="J3" s="37">
        <v>45</v>
      </c>
      <c r="K3" s="37">
        <v>45</v>
      </c>
    </row>
    <row r="4" spans="1:11" ht="21" customHeight="1" x14ac:dyDescent="0.15">
      <c r="A4" s="15" t="str">
        <f t="shared" si="0"/>
        <v>39012_2-3</v>
      </c>
      <c r="B4" s="15" t="str">
        <f>IF(COUNTIF(enemy_habitats!$H:$H,A4),"OK","NG")</f>
        <v>OK</v>
      </c>
      <c r="C4" s="102">
        <v>39012</v>
      </c>
      <c r="D4" s="11" t="str">
        <f ca="1">VLOOKUP($C4,OFFSET([2]quests!$A$1,0,0,COUNTA([2]quests!$A:$A),MATCH(D$1,[2]quests!$1:$1,0)-MATCH($C$1,[2]quests!$1:$1,0)+1),MATCH(D$1,[2]quests!$1:$1,0)-MATCH($C$1,[2]quests!$1:$1,0)+1,FALSE)</f>
        <v>侵略！？にゃんこ軍団現る！</v>
      </c>
      <c r="E4" s="17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103">
        <v>2</v>
      </c>
      <c r="G4" s="22" t="str">
        <f t="shared" si="1"/>
        <v>39012_2</v>
      </c>
      <c r="H4" s="14" t="str">
        <f ca="1">VLOOKUP($G4,OFFSET([2]stages!$A$1,0,0,COUNTA([2]stages!$A:$A),MATCH(H$1,[2]stages!$2:$2,0)-MATCH($G$1,[2]stages!$2:$2,0)+1),MATCH(H$1,[2]stages!$2:$2,0)-MATCH($G$1,[2]stages!$2:$2,0)+1,FALSE)</f>
        <v>【中級】侵略！？にゃんこ軍団現る！</v>
      </c>
      <c r="I4" s="103">
        <v>3</v>
      </c>
      <c r="J4" s="37">
        <v>55</v>
      </c>
      <c r="K4" s="37">
        <v>55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J6" sqref="AJ6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9" t="s">
        <v>240</v>
      </c>
      <c r="U1" s="25" t="s">
        <v>50</v>
      </c>
      <c r="V1" s="99" t="s">
        <v>241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168</v>
      </c>
    </row>
    <row r="2" spans="1:42" ht="21" customHeight="1" x14ac:dyDescent="0.15">
      <c r="A2" s="15" t="str">
        <f ca="1">B2&amp;"_"&amp;C2&amp;"-"&amp;G2&amp;"/"&amp;L2&amp;"&lt;lv"&amp;R2&amp;"&gt;s"&amp;AC2</f>
        <v>39012_2-1/1504&lt;lv20&gt;s3</v>
      </c>
      <c r="B2" s="21">
        <v>39012</v>
      </c>
      <c r="C2" s="103">
        <v>2</v>
      </c>
      <c r="D2" s="2" t="str">
        <f>B2&amp;"_"&amp;C2</f>
        <v>39012_2</v>
      </c>
      <c r="E2" s="4" t="str">
        <f ca="1">VLOOKUP($B2,OFFSET([2]quests!$A$1,0,0,COUNTA([2]quests!$A:$A),MATCH(E$1,[2]quests!$1:$1,0)-MATCH($B$1,[2]quests!$1:$1,0)+1),MATCH(E$1,[2]quests!$1:$1,0)-MATCH($B$1,[2]quests!$1:$1,0)+1,FALSE)</f>
        <v>侵略！？にゃんこ軍団現る！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【中級】侵略！？にゃんこ軍団現る！</v>
      </c>
      <c r="G2" s="103">
        <v>1</v>
      </c>
      <c r="H2" s="14" t="str">
        <f>B2&amp;"_"&amp;C2&amp;"-"&amp;G2</f>
        <v>39012_2-1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7" t="s">
        <v>53</v>
      </c>
      <c r="L2" s="108">
        <v>1504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ネコ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20</v>
      </c>
      <c r="S2" s="111">
        <v>0.5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111">
        <v>0.45400000000000001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39012201</v>
      </c>
      <c r="Z2" s="6">
        <v>2</v>
      </c>
      <c r="AA2" s="6">
        <v>100</v>
      </c>
      <c r="AB2" s="6">
        <v>0</v>
      </c>
      <c r="AC2" s="16">
        <f ca="1">VLOOKUP($L2,OFFSET([3]enemies!$A$1,0,0,COUNTA([3]enemies!$A:$A),MATCH(AC$1,[3]enemies!$1:$1,0)-MATCH($L$1,[3]enemies!$1:$1,0)+1),MATCH(AC$1,[3]enemies!$1:$1,0)-MATCH($L$1,[3]enemies!$1:$1,0)+1,FALSE)</f>
        <v>3</v>
      </c>
      <c r="AD2" s="23">
        <f>L2</f>
        <v>1504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ネコ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3">
        <f ca="1">AF2</f>
        <v>1</v>
      </c>
      <c r="AJ2" s="8">
        <v>35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thickBot="1" x14ac:dyDescent="0.2">
      <c r="A3" s="15" t="str">
        <f t="shared" ref="A3:A7" ca="1" si="0">B3&amp;"_"&amp;C3&amp;"-"&amp;G3&amp;"/"&amp;L3&amp;"&lt;lv"&amp;R3&amp;"&gt;s"&amp;AC3</f>
        <v>39012_2-1/1505&lt;lv20&gt;s3</v>
      </c>
      <c r="B3" s="104">
        <v>39012</v>
      </c>
      <c r="C3" s="105">
        <v>2</v>
      </c>
      <c r="D3" s="2" t="str">
        <f t="shared" ref="D3:D7" si="1">B3&amp;"_"&amp;C3</f>
        <v>39012_2</v>
      </c>
      <c r="E3" s="4" t="str">
        <f ca="1">VLOOKUP($B3,OFFSET([2]quests!$A$1,0,0,COUNTA([2]quests!$A:$A),MATCH(E$1,[2]quests!$1:$1,0)-MATCH($B$1,[2]quests!$1:$1,0)+1),MATCH(E$1,[2]quests!$1:$1,0)-MATCH($B$1,[2]quests!$1:$1,0)+1,FALSE)</f>
        <v>侵略！？にゃんこ軍団現る！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【中級】侵略！？にゃんこ軍団現る！</v>
      </c>
      <c r="G3" s="105">
        <v>1</v>
      </c>
      <c r="H3" s="14" t="str">
        <f t="shared" ref="H3:H7" si="2">B3&amp;"_"&amp;C3&amp;"-"&amp;G3</f>
        <v>39012_2-1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7" t="s">
        <v>53</v>
      </c>
      <c r="L3" s="109">
        <v>1505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タンクネコ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6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112">
        <v>20</v>
      </c>
      <c r="S3" s="113">
        <v>0.5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0</v>
      </c>
      <c r="U3" s="113">
        <v>0.44500000000000001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0</v>
      </c>
      <c r="W3" s="112">
        <v>500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39012202</v>
      </c>
      <c r="Z3" s="118">
        <v>1</v>
      </c>
      <c r="AA3" s="118">
        <v>100</v>
      </c>
      <c r="AB3" s="118">
        <v>1</v>
      </c>
      <c r="AC3" s="16">
        <f ca="1">VLOOKUP($L3,OFFSET([3]enemies!$A$1,0,0,COUNTA([3]enemies!$A:$A),MATCH(AC$1,[3]enemies!$1:$1,0)-MATCH($L$1,[3]enemies!$1:$1,0)+1),MATCH(AC$1,[3]enemies!$1:$1,0)-MATCH($L$1,[3]enemies!$1:$1,0)+1,FALSE)</f>
        <v>3</v>
      </c>
      <c r="AD3" s="23">
        <f t="shared" ref="AD3:AD7" si="3">L3</f>
        <v>1505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3">
        <f t="shared" ref="AI3:AI7" ca="1" si="4">AF3</f>
        <v>1</v>
      </c>
      <c r="AJ3" s="8">
        <v>100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thickTop="1" x14ac:dyDescent="0.15">
      <c r="A4" s="15" t="str">
        <f t="shared" ca="1" si="0"/>
        <v>39012_2-2/1504&lt;lv20&gt;s3</v>
      </c>
      <c r="B4" s="106">
        <v>39012</v>
      </c>
      <c r="C4" s="107">
        <v>2</v>
      </c>
      <c r="D4" s="2" t="str">
        <f t="shared" si="1"/>
        <v>39012_2</v>
      </c>
      <c r="E4" s="4" t="str">
        <f ca="1">VLOOKUP($B4,OFFSET([2]quests!$A$1,0,0,COUNTA([2]quests!$A:$A),MATCH(E$1,[2]quests!$1:$1,0)-MATCH($B$1,[2]quests!$1:$1,0)+1),MATCH(E$1,[2]quests!$1:$1,0)-MATCH($B$1,[2]quests!$1:$1,0)+1,FALSE)</f>
        <v>侵略！？にゃんこ軍団現る！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【中級】侵略！？にゃんこ軍団現る！</v>
      </c>
      <c r="G4" s="107">
        <v>2</v>
      </c>
      <c r="H4" s="14" t="str">
        <f t="shared" si="2"/>
        <v>39012_2-2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7" t="s">
        <v>53</v>
      </c>
      <c r="L4" s="110">
        <v>1504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ネコ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114">
        <v>20</v>
      </c>
      <c r="S4" s="115">
        <v>0.5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115">
        <v>0.45400000000000001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116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39012201</v>
      </c>
      <c r="Z4" s="119">
        <v>2</v>
      </c>
      <c r="AA4" s="119">
        <v>100</v>
      </c>
      <c r="AB4" s="119">
        <v>0</v>
      </c>
      <c r="AC4" s="16">
        <f ca="1">VLOOKUP($L4,OFFSET([3]enemies!$A$1,0,0,COUNTA([3]enemies!$A:$A),MATCH(AC$1,[3]enemies!$1:$1,0)-MATCH($L$1,[3]enemies!$1:$1,0)+1),MATCH(AC$1,[3]enemies!$1:$1,0)-MATCH($L$1,[3]enemies!$1:$1,0)+1,FALSE)</f>
        <v>3</v>
      </c>
      <c r="AD4" s="23">
        <f t="shared" si="3"/>
        <v>1504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ネコ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7">
        <v>1</v>
      </c>
      <c r="AI4" s="23">
        <f t="shared" ca="1" si="4"/>
        <v>1</v>
      </c>
      <c r="AJ4" s="8">
        <v>100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thickBot="1" x14ac:dyDescent="0.2">
      <c r="A5" s="15" t="str">
        <f t="shared" ca="1" si="0"/>
        <v>39012_2-2/1506&lt;lv20&gt;s3</v>
      </c>
      <c r="B5" s="104">
        <v>39012</v>
      </c>
      <c r="C5" s="105">
        <v>2</v>
      </c>
      <c r="D5" s="2" t="str">
        <f t="shared" si="1"/>
        <v>39012_2</v>
      </c>
      <c r="E5" s="4" t="str">
        <f ca="1">VLOOKUP($B5,OFFSET([2]quests!$A$1,0,0,COUNTA([2]quests!$A:$A),MATCH(E$1,[2]quests!$1:$1,0)-MATCH($B$1,[2]quests!$1:$1,0)+1),MATCH(E$1,[2]quests!$1:$1,0)-MATCH($B$1,[2]quests!$1:$1,0)+1,FALSE)</f>
        <v>侵略！？にゃんこ軍団現る！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【中級】侵略！？にゃんこ軍団現る！</v>
      </c>
      <c r="G5" s="105">
        <v>2</v>
      </c>
      <c r="H5" s="14" t="str">
        <f t="shared" si="2"/>
        <v>39012_2-2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7" t="s">
        <v>53</v>
      </c>
      <c r="L5" s="109">
        <v>1506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バトルネコ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112">
        <v>20</v>
      </c>
      <c r="S5" s="113">
        <v>0.6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0</v>
      </c>
      <c r="U5" s="113">
        <v>0.57399999999999995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112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39012203</v>
      </c>
      <c r="Z5" s="118">
        <v>1</v>
      </c>
      <c r="AA5" s="118">
        <v>100</v>
      </c>
      <c r="AB5" s="118">
        <v>1</v>
      </c>
      <c r="AC5" s="16">
        <f ca="1">VLOOKUP($L5,OFFSET([3]enemies!$A$1,0,0,COUNTA([3]enemies!$A:$A),MATCH(AC$1,[3]enemies!$1:$1,0)-MATCH($L$1,[3]enemies!$1:$1,0)+1),MATCH(AC$1,[3]enemies!$1:$1,0)-MATCH($L$1,[3]enemies!$1:$1,0)+1,FALSE)</f>
        <v>3</v>
      </c>
      <c r="AD5" s="23">
        <f t="shared" si="3"/>
        <v>1506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3">
        <f t="shared" ca="1" si="4"/>
        <v>2</v>
      </c>
      <c r="AJ5" s="8">
        <v>35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thickTop="1" x14ac:dyDescent="0.15">
      <c r="A6" s="15" t="str">
        <f t="shared" ca="1" si="0"/>
        <v>39012_2-3/1504&lt;lv20&gt;s3</v>
      </c>
      <c r="B6" s="106">
        <v>39012</v>
      </c>
      <c r="C6" s="107">
        <v>2</v>
      </c>
      <c r="D6" s="2" t="str">
        <f t="shared" si="1"/>
        <v>39012_2</v>
      </c>
      <c r="E6" s="4" t="str">
        <f ca="1">VLOOKUP($B6,OFFSET([2]quests!$A$1,0,0,COUNTA([2]quests!$A:$A),MATCH(E$1,[2]quests!$1:$1,0)-MATCH($B$1,[2]quests!$1:$1,0)+1),MATCH(E$1,[2]quests!$1:$1,0)-MATCH($B$1,[2]quests!$1:$1,0)+1,FALSE)</f>
        <v>侵略！？にゃんこ軍団現る！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【中級】侵略！？にゃんこ軍団現る！</v>
      </c>
      <c r="G6" s="107">
        <v>3</v>
      </c>
      <c r="H6" s="14" t="str">
        <f t="shared" si="2"/>
        <v>39012_2-3</v>
      </c>
      <c r="I6" s="4">
        <f ca="1">VLOOKUP($H6,OFFSET(floors!$A$1,0,0,COUNTA(floors!$A:$A),MATCH(I$1,floors!$1:$1,0)-MATCH($H$1,floors!$1:$1,0)+1),MATCH(I$1,floors!$1:$1,0)-MATCH($H$1,floors!$1:$1,0)+1,FALSE)</f>
        <v>55</v>
      </c>
      <c r="J6" s="4">
        <f ca="1">VLOOKUP($H6,OFFSET(floors!$A$1,0,0,COUNTA(floors!$A:$A),MATCH(J$1,floors!$1:$1,0)-MATCH($H$1,floors!$1:$1,0)+1),MATCH(J$1,floors!$1:$1,0)-MATCH($H$1,floors!$1:$1,0)+1,FALSE)</f>
        <v>55</v>
      </c>
      <c r="K6" s="37" t="s">
        <v>53</v>
      </c>
      <c r="L6" s="107">
        <v>1504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ネコ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116">
        <v>20</v>
      </c>
      <c r="S6" s="117">
        <v>0.5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115">
        <v>0.45400000000000001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116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39012201</v>
      </c>
      <c r="Z6" s="119">
        <v>2</v>
      </c>
      <c r="AA6" s="119">
        <v>100</v>
      </c>
      <c r="AB6" s="119">
        <v>0</v>
      </c>
      <c r="AC6" s="16">
        <f ca="1">VLOOKUP($L6,OFFSET([3]enemies!$A$1,0,0,COUNTA([3]enemies!$A:$A),MATCH(AC$1,[3]enemies!$1:$1,0)-MATCH($L$1,[3]enemies!$1:$1,0)+1),MATCH(AC$1,[3]enemies!$1:$1,0)-MATCH($L$1,[3]enemies!$1:$1,0)+1,FALSE)</f>
        <v>3</v>
      </c>
      <c r="AD6" s="23">
        <f t="shared" si="3"/>
        <v>1504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ネコ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7">
        <v>1</v>
      </c>
      <c r="AI6" s="23">
        <f t="shared" ca="1" si="4"/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ca="1" si="0"/>
        <v>39012_2-3/1507&lt;lv20&gt;s3</v>
      </c>
      <c r="B7" s="21">
        <v>39012</v>
      </c>
      <c r="C7" s="103">
        <v>2</v>
      </c>
      <c r="D7" s="2" t="str">
        <f t="shared" si="1"/>
        <v>39012_2</v>
      </c>
      <c r="E7" s="4" t="str">
        <f ca="1">VLOOKUP($B7,OFFSET([2]quests!$A$1,0,0,COUNTA([2]quests!$A:$A),MATCH(E$1,[2]quests!$1:$1,0)-MATCH($B$1,[2]quests!$1:$1,0)+1),MATCH(E$1,[2]quests!$1:$1,0)-MATCH($B$1,[2]quests!$1:$1,0)+1,FALSE)</f>
        <v>侵略！？にゃんこ軍団現る！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【中級】侵略！？にゃんこ軍団現る！</v>
      </c>
      <c r="G7" s="103">
        <v>3</v>
      </c>
      <c r="H7" s="14" t="str">
        <f t="shared" si="2"/>
        <v>39012_2-3</v>
      </c>
      <c r="I7" s="4">
        <f ca="1">VLOOKUP($H7,OFFSET(floors!$A$1,0,0,COUNTA(floors!$A:$A),MATCH(I$1,floors!$1:$1,0)-MATCH($H$1,floors!$1:$1,0)+1),MATCH(I$1,floors!$1:$1,0)-MATCH($H$1,floors!$1:$1,0)+1,FALSE)</f>
        <v>55</v>
      </c>
      <c r="J7" s="4">
        <f ca="1">VLOOKUP($H7,OFFSET(floors!$A$1,0,0,COUNTA(floors!$A:$A),MATCH(J$1,floors!$1:$1,0)-MATCH($H$1,floors!$1:$1,0)+1),MATCH(J$1,floors!$1:$1,0)-MATCH($H$1,floors!$1:$1,0)+1,FALSE)</f>
        <v>55</v>
      </c>
      <c r="K7" s="37" t="s">
        <v>53</v>
      </c>
      <c r="L7" s="108">
        <v>1507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キモネコ</v>
      </c>
      <c r="N7" s="16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6">
        <f ca="1">VLOOKUP($L7,OFFSET([3]enemies!$A$1,0,0,COUNTA([3]enemies!$A:$A),MATCH(Q$1,[3]enemies!$1:$1,0)-MATCH($L$1,[3]enemies!$1:$1,0)+1),MATCH(Q$1,[3]enemies!$1:$1,0)-MATCH($L$1,[3]enemies!$1:$1,0)+1,FALSE)</f>
        <v>25</v>
      </c>
      <c r="R7" s="5">
        <v>20</v>
      </c>
      <c r="S7" s="111">
        <v>0.89</v>
      </c>
      <c r="T7" s="10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11">
        <v>0.98</v>
      </c>
      <c r="V7" s="10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39012204</v>
      </c>
      <c r="Z7" s="6">
        <v>1</v>
      </c>
      <c r="AA7" s="6">
        <v>100</v>
      </c>
      <c r="AB7" s="6">
        <v>1</v>
      </c>
      <c r="AC7" s="16">
        <f ca="1">VLOOKUP($L7,OFFSET([3]enemies!$A$1,0,0,COUNTA([3]enemies!$A:$A),MATCH(AC$1,[3]enemies!$1:$1,0)-MATCH($L$1,[3]enemies!$1:$1,0)+1),MATCH(AC$1,[3]enemies!$1:$1,0)-MATCH($L$1,[3]enemies!$1:$1,0)+1,FALSE)</f>
        <v>3</v>
      </c>
      <c r="AD7" s="23">
        <f t="shared" si="3"/>
        <v>1507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3">
        <f t="shared" ca="1" si="4"/>
        <v>3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22" sqref="U2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9" t="s">
        <v>240</v>
      </c>
      <c r="V1" s="25" t="s">
        <v>50</v>
      </c>
      <c r="W1" s="99" t="s">
        <v>241</v>
      </c>
      <c r="X1" s="25" t="s">
        <v>52</v>
      </c>
      <c r="Y1" s="27" t="s">
        <v>120</v>
      </c>
      <c r="Z1" s="28" t="s">
        <v>119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65535_1-1/2&lt;lv1&gt;sq1st2</v>
      </c>
      <c r="B2" s="21">
        <v>65535</v>
      </c>
      <c r="C2" s="20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0">
        <v>1</v>
      </c>
      <c r="H2" s="14" t="str">
        <f>B2&amp;"_"&amp;C2&amp;"-"&amp;G2</f>
        <v>65535_1-1</v>
      </c>
      <c r="I2" s="4" t="e">
        <f ca="1">VLOOKUP($H2,OFFSET(floors!$A$1,0,0,COUNTA(floors!$A:$A),MATCH(I$1,floors!$1:$1,0)-MATCH($H$1,floors!$1:$1,0)+1),MATCH(I$1,floors!$1:$1,0)-MATCH($H$1,floors!$1:$1,0)+1,FALSE)</f>
        <v>#N/A</v>
      </c>
      <c r="J2" s="4" t="e">
        <f ca="1">VLOOKUP($H2,OFFSET(floors!$A$1,0,0,COUNTA(floors!$A:$A),MATCH(J$1,floors!$1:$1,0)-MATCH($H$1,floors!$1:$1,0)+1),MATCH(J$1,floors!$1:$1,0)-MATCH($H$1,floors!$1:$1,0)+1,FALSE)</f>
        <v>#N/A</v>
      </c>
      <c r="K2" s="37">
        <v>1</v>
      </c>
      <c r="L2" s="37">
        <v>2</v>
      </c>
      <c r="M2" s="19">
        <v>2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6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6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4">
        <v>1</v>
      </c>
      <c r="U2" s="10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4">
        <v>1</v>
      </c>
      <c r="W2" s="10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68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1"/>
  <sheetViews>
    <sheetView showGridLines="0" workbookViewId="0">
      <pane xSplit="5" ySplit="1" topLeftCell="F33" activePane="bottomRight" state="frozen"/>
      <selection pane="topRight"/>
      <selection pane="bottomLeft"/>
      <selection pane="bottomRight" activeCell="F37" sqref="F3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2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39012201_39012201</v>
      </c>
      <c r="B2" s="46">
        <v>39012201</v>
      </c>
      <c r="C2" s="46">
        <v>39012201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かみつく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6">
        <v>39012201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6"/>
      <c r="Q2" s="46"/>
      <c r="R2" s="46"/>
    </row>
    <row r="3" spans="1:18" ht="21" customHeight="1" x14ac:dyDescent="0.15">
      <c r="A3" s="38" t="str">
        <f t="shared" ref="A3:A21" si="1">B3&amp;"_"&amp;C3</f>
        <v>39012201_39012202</v>
      </c>
      <c r="B3" s="46">
        <v>39012201</v>
      </c>
      <c r="C3" s="46">
        <v>39012202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とびつく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" s="46">
        <v>39012202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39012201_39012203</v>
      </c>
      <c r="B4" s="46">
        <v>39012201</v>
      </c>
      <c r="C4" s="46">
        <v>39012203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じわじわと_x000D_接近してくる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46">
        <v>39012203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6"/>
      <c r="R4" s="46"/>
    </row>
    <row r="5" spans="1:18" ht="21" customHeight="1" x14ac:dyDescent="0.15">
      <c r="A5" s="38" t="str">
        <f t="shared" si="1"/>
        <v>39012201_39012204</v>
      </c>
      <c r="B5" s="46">
        <v>39012201</v>
      </c>
      <c r="C5" s="46">
        <v>39012204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あくびを_x000D_している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" s="46">
        <v>39012204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thickBot="1" x14ac:dyDescent="0.2">
      <c r="A6" s="38" t="str">
        <f t="shared" si="1"/>
        <v>39012201_39012234</v>
      </c>
      <c r="B6" s="120">
        <v>39012201</v>
      </c>
      <c r="C6" s="120">
        <v>39012234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6" s="120">
        <v>39012233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thickTop="1" x14ac:dyDescent="0.15">
      <c r="A7" s="38" t="str">
        <f t="shared" si="1"/>
        <v>39012202_39012205</v>
      </c>
      <c r="B7" s="121">
        <v>39012202</v>
      </c>
      <c r="C7" s="121">
        <v>39012205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" s="121">
        <v>39012205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39012202_39012206</v>
      </c>
      <c r="B8" s="46">
        <v>39012202</v>
      </c>
      <c r="C8" s="46">
        <v>39012206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46">
        <v>39012206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thickBot="1" x14ac:dyDescent="0.2">
      <c r="A9" s="38" t="str">
        <f t="shared" si="1"/>
        <v>39012202_39012208</v>
      </c>
      <c r="B9" s="46">
        <v>39012202</v>
      </c>
      <c r="C9" s="46">
        <v>39012208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ネコを_x000D_守っている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ネコの防御力激烈UP+_x000D_敵全体にスリープ耐性&amp;スキルバインド耐性</v>
      </c>
      <c r="F9" s="46">
        <v>39012208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thickTop="1" x14ac:dyDescent="0.15">
      <c r="A10" s="38" t="str">
        <f t="shared" si="1"/>
        <v>39012203_39012209</v>
      </c>
      <c r="B10" s="121">
        <v>39012203</v>
      </c>
      <c r="C10" s="121">
        <v>39012209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レッドイレイザー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10" s="121">
        <v>39012209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6"/>
      <c r="Q10" s="46"/>
      <c r="R10" s="46"/>
    </row>
    <row r="11" spans="1:18" ht="21" customHeight="1" x14ac:dyDescent="0.15">
      <c r="A11" s="38" t="str">
        <f t="shared" si="1"/>
        <v>39012203_39012210</v>
      </c>
      <c r="B11" s="46">
        <v>39012203</v>
      </c>
      <c r="C11" s="46">
        <v>39012210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6">
        <v>39012210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6"/>
      <c r="Q11" s="46"/>
      <c r="R11" s="46"/>
    </row>
    <row r="12" spans="1:18" ht="21" customHeight="1" x14ac:dyDescent="0.15">
      <c r="A12" s="38" t="str">
        <f t="shared" si="1"/>
        <v>39012203_39012211</v>
      </c>
      <c r="B12" s="46">
        <v>39012203</v>
      </c>
      <c r="C12" s="46">
        <v>39012211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レッドエリミネーション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12" s="46">
        <v>39012211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6"/>
      <c r="Q12" s="46"/>
      <c r="R12" s="46"/>
    </row>
    <row r="13" spans="1:18" ht="21" customHeight="1" thickBot="1" x14ac:dyDescent="0.2">
      <c r="A13" s="38" t="str">
        <f t="shared" si="1"/>
        <v>39012203_39012212</v>
      </c>
      <c r="B13" s="120">
        <v>39012203</v>
      </c>
      <c r="C13" s="120">
        <v>39012212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戦士の誇り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3" s="120">
        <v>39012212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thickTop="1" x14ac:dyDescent="0.15">
      <c r="A14" s="38" t="str">
        <f t="shared" si="1"/>
        <v>39012204_39012213</v>
      </c>
      <c r="B14" s="121">
        <v>39012204</v>
      </c>
      <c r="C14" s="121">
        <v>39012213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しなる触腕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種族Unknownのユニットに大ダメージ</v>
      </c>
      <c r="F14" s="121">
        <v>39012213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6"/>
      <c r="Q14" s="46"/>
      <c r="R14" s="46"/>
    </row>
    <row r="15" spans="1:18" ht="21" customHeight="1" x14ac:dyDescent="0.15">
      <c r="A15" s="38" t="str">
        <f t="shared" si="1"/>
        <v>39012204_39012214</v>
      </c>
      <c r="B15" s="46">
        <v>39012204</v>
      </c>
      <c r="C15" s="46">
        <v>39012214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たたく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5" s="46">
        <v>39012214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39012204_39012215</v>
      </c>
      <c r="B16" s="46">
        <v>39012204</v>
      </c>
      <c r="C16" s="46">
        <v>39012215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脚がとても長い…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" s="46">
        <v>39012215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6" s="46"/>
      <c r="Q16" s="46"/>
      <c r="R16" s="46"/>
    </row>
    <row r="17" spans="1:18" ht="21" customHeight="1" x14ac:dyDescent="0.15">
      <c r="A17" s="38" t="str">
        <f t="shared" si="1"/>
        <v>39012204_39012216</v>
      </c>
      <c r="B17" s="46">
        <v>39012204</v>
      </c>
      <c r="C17" s="46">
        <v>39012216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こちらに_x000D_方向転換しようとしている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" s="46">
        <v>39012216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7" s="46"/>
      <c r="Q17" s="46"/>
      <c r="R17" s="46"/>
    </row>
    <row r="18" spans="1:18" ht="21" customHeight="1" x14ac:dyDescent="0.15">
      <c r="A18" s="38" t="str">
        <f t="shared" si="1"/>
        <v>39012204_39012217</v>
      </c>
      <c r="B18" s="46">
        <v>39012204</v>
      </c>
      <c r="C18" s="46">
        <v>39012217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キモネコは_x000D_脚を巧みに動かしている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" s="46">
        <v>39012217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6"/>
      <c r="Q18" s="46"/>
      <c r="R18" s="46"/>
    </row>
    <row r="19" spans="1:18" ht="21" customHeight="1" x14ac:dyDescent="0.15">
      <c r="A19" s="38" t="str">
        <f t="shared" si="1"/>
        <v>39012204_39012218</v>
      </c>
      <c r="B19" s="46">
        <v>39012204</v>
      </c>
      <c r="C19" s="46">
        <v>39012218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長い脚を絡ませずに_x000D_上手に歩いている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" s="46">
        <v>39012218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39012204_39012219</v>
      </c>
      <c r="B20" s="46">
        <v>39012204</v>
      </c>
      <c r="C20" s="46">
        <v>39012219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長い脚で器用に歩いてくる！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" s="46">
        <v>39012208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39012204_39012220</v>
      </c>
      <c r="B21" s="46">
        <v>39012204</v>
      </c>
      <c r="C21" s="46">
        <v>39012220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バランスを崩して崩れ落ちた…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" s="46">
        <v>39012206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ref="A22" si="2">B22&amp;"_"&amp;C22</f>
        <v>39012204_39012221</v>
      </c>
      <c r="B22" s="46">
        <v>39012204</v>
      </c>
      <c r="C22" s="140">
        <v>39012221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ヒーローもこの脚には勝てんにゃー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" s="128">
        <v>39012219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ref="A23" si="3">B23&amp;"_"&amp;C23</f>
        <v>39012204_39012221</v>
      </c>
      <c r="B23" s="46">
        <v>39012204</v>
      </c>
      <c r="C23" s="140">
        <v>39012221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ヒーローもこの脚には勝てんにゃー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" s="128">
        <v>39012220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ref="A24:A37" si="4">B24&amp;"_"&amp;C24</f>
        <v>39012204_39012222</v>
      </c>
      <c r="B24" s="46">
        <v>39012204</v>
      </c>
      <c r="C24" s="140">
        <v>39012222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その弓とこの脚、どちらが勝つか勝負にゃー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" s="128">
        <v>39012221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ref="A25" si="5">B25&amp;"_"&amp;C25</f>
        <v>39012204_39012222</v>
      </c>
      <c r="B25" s="46">
        <v>39012204</v>
      </c>
      <c r="C25" s="140">
        <v>39012222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その弓とこの脚、どちらが勝つか勝負にゃー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" s="128">
        <v>39012222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4"/>
        <v>39012204_39012223</v>
      </c>
      <c r="B26" s="46">
        <v>39012204</v>
      </c>
      <c r="C26" s="140">
        <v>39012223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乙女の電撃、受けて立つにゃー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" s="128">
        <v>39012223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ref="A27" si="6">B27&amp;"_"&amp;C27</f>
        <v>39012204_39012223</v>
      </c>
      <c r="B27" s="46">
        <v>39012204</v>
      </c>
      <c r="C27" s="140">
        <v>39012223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乙女の電撃、受けて立つにゃー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" s="128">
        <v>39012224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4"/>
        <v>39012204_39012224</v>
      </c>
      <c r="B28" s="46">
        <v>39012204</v>
      </c>
      <c r="C28" s="140">
        <v>39012224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この美しい脚とコラボレーションするにゃー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" s="128">
        <v>39012225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ref="A29" si="7">B29&amp;"_"&amp;C29</f>
        <v>39012204_39012224</v>
      </c>
      <c r="B29" s="46">
        <v>39012204</v>
      </c>
      <c r="C29" s="140">
        <v>39012224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この美しい脚とコラボレーションするにゃー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" s="128">
        <v>39012226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4"/>
        <v>39012204_39012225</v>
      </c>
      <c r="B30" s="46">
        <v>39012204</v>
      </c>
      <c r="C30" s="140">
        <v>39012225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その槍も脚のリーチには勝てんにゃー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" s="128">
        <v>39012227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ref="A31" si="8">B31&amp;"_"&amp;C31</f>
        <v>39012204_39012225</v>
      </c>
      <c r="B31" s="46">
        <v>39012204</v>
      </c>
      <c r="C31" s="140">
        <v>39012225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その槍も脚のリーチには勝てんにゃー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" s="128">
        <v>39012228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ref="A32" si="9">B32&amp;"_"&amp;C32</f>
        <v>39012204_39012225</v>
      </c>
      <c r="B32" s="46">
        <v>39012204</v>
      </c>
      <c r="C32" s="140">
        <v>39012225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その槍も脚のリーチには勝てんにゃー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" s="128">
        <v>39012229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4"/>
        <v>39012204_39012226</v>
      </c>
      <c r="B33" s="46">
        <v>39012204</v>
      </c>
      <c r="C33" s="140">
        <v>39012226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古代兵器もこの脚にはびっくりするにゃー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" s="128">
        <v>39012230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ref="A34" si="10">B34&amp;"_"&amp;C34</f>
        <v>39012204_39012226</v>
      </c>
      <c r="B34" s="46">
        <v>39012204</v>
      </c>
      <c r="C34" s="140">
        <v>39012226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古代兵器もこの脚にはびっくりするにゃー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" s="128">
        <v>39012231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4"/>
        <v>39012204_39012227</v>
      </c>
      <c r="B35" s="46">
        <v>39012204</v>
      </c>
      <c r="C35" s="140">
        <v>39012227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その注射の針と同じくこの脚も鋭いにゃー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" s="128">
        <v>39012232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ref="A36" si="11">B36&amp;"_"&amp;C36</f>
        <v>39012204_39012227</v>
      </c>
      <c r="B36" s="46">
        <v>39012204</v>
      </c>
      <c r="C36" s="140">
        <v>39012227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その注射の針と同じくこの脚も鋭いにゃー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6" s="128">
        <v>39012234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4"/>
        <v>39012204_39012228</v>
      </c>
      <c r="B37" s="46">
        <v>39012204</v>
      </c>
      <c r="C37" s="141">
        <v>39012228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ヒーローにこの脚は通用しなかったにゃー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7" s="128">
        <v>39012235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125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>B38&amp;"_"&amp;C39</f>
        <v>39012204_39012229</v>
      </c>
      <c r="B38" s="46">
        <v>39012204</v>
      </c>
      <c r="C38" s="141">
        <v>39012228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ヒーローにこの脚は通用しなかったにゃー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8" s="128">
        <v>39012236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126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>B39&amp;"_"&amp;C41</f>
        <v>39012204_39012230</v>
      </c>
      <c r="B39" s="46">
        <v>39012204</v>
      </c>
      <c r="C39" s="141">
        <v>39012229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遠距離攻撃には勝てんにゃー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9" s="128">
        <v>39012237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>B40&amp;"_"&amp;C43</f>
        <v>39012204_39012231</v>
      </c>
      <c r="B40" s="46">
        <v>39012204</v>
      </c>
      <c r="C40" s="141">
        <v>39012229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遠距離攻撃には勝てんにゃー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0" s="128">
        <v>39012238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>B41&amp;"_"&amp;C45</f>
        <v>39012204_39012232</v>
      </c>
      <c r="B41" s="46">
        <v>39012204</v>
      </c>
      <c r="C41" s="141">
        <v>39012230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雷には物理では勝てんかったにゃー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" s="128">
        <v>39012239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>B42&amp;"_"&amp;C48</f>
        <v>39012204_39012233</v>
      </c>
      <c r="B42" s="46">
        <v>39012204</v>
      </c>
      <c r="C42" s="141">
        <v>39012230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雷には物理では勝てんかったにゃー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28">
        <v>39012240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>B43&amp;"_"&amp;C50</f>
        <v>39012204_39012235</v>
      </c>
      <c r="B43" s="46">
        <v>39012204</v>
      </c>
      <c r="C43" s="141">
        <v>39012231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美の極みにゃ…美しかったにゃー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" s="128">
        <v>39012241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ref="A44:A50" si="12">B44&amp;"_"&amp;C51</f>
        <v>39012204_39012235</v>
      </c>
      <c r="B44" s="46">
        <v>39012204</v>
      </c>
      <c r="C44" s="141">
        <v>39012231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美の極みにゃ…美しかったにゃー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" s="128">
        <v>39012242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12"/>
        <v>39012204_</v>
      </c>
      <c r="B45" s="46">
        <v>39012204</v>
      </c>
      <c r="C45" s="141">
        <v>39012232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槍の方が長くて強かったにゃー…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" s="128">
        <v>39012243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12"/>
        <v>39012204_</v>
      </c>
      <c r="B46" s="46">
        <v>39012204</v>
      </c>
      <c r="C46" s="141">
        <v>39012232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槍の方が長くて強かったにゃー…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" s="128">
        <v>39012244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12"/>
        <v>39012204_</v>
      </c>
      <c r="B47" s="46">
        <v>39012204</v>
      </c>
      <c r="C47" s="141">
        <v>39012232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槍の方が長くて強かったにゃー…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" s="128">
        <v>39012245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12"/>
        <v>39012204_</v>
      </c>
      <c r="B48" s="46">
        <v>39012204</v>
      </c>
      <c r="C48" s="141">
        <v>39012233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逆に古代兵器の力にびっくりしたにゃー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8" s="128">
        <v>39012246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123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12"/>
        <v>39012204_</v>
      </c>
      <c r="B49" s="46">
        <v>39012204</v>
      </c>
      <c r="C49" s="141">
        <v>39012233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逆に古代兵器の力にびっくりしたにゃー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" s="128">
        <v>39012247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124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12"/>
        <v>39012204_</v>
      </c>
      <c r="B50" s="46">
        <v>39012204</v>
      </c>
      <c r="C50" s="141">
        <v>39012235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注射の針の方が鋭く痛かったにゃー…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" s="128">
        <v>39012248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127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ref="A51" si="13">B51&amp;"_"&amp;C51</f>
        <v>39012204_39012235</v>
      </c>
      <c r="B51" s="46">
        <v>39012204</v>
      </c>
      <c r="C51" s="141">
        <v>39012235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注射の針の方が鋭く痛かったにゃー…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" s="128">
        <v>39012249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128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35"/>
  <sheetViews>
    <sheetView showGridLines="0" workbookViewId="0">
      <pane ySplit="1" topLeftCell="A6" activePane="bottomLeft" state="frozenSplit"/>
      <selection pane="bottomLeft" activeCell="F10" sqref="F10"/>
    </sheetView>
  </sheetViews>
  <sheetFormatPr baseColWidth="12" defaultColWidth="12.83203125" defaultRowHeight="14" outlineLevelCol="1" x14ac:dyDescent="0.15"/>
  <cols>
    <col min="1" max="1" width="12.83203125" style="48"/>
    <col min="2" max="2" width="57.5" style="48" customWidth="1"/>
    <col min="3" max="4" width="12.83203125" style="48"/>
    <col min="5" max="5" width="43.6640625" style="48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9" x14ac:dyDescent="0.15">
      <c r="A1" s="39" t="s">
        <v>79</v>
      </c>
      <c r="B1" s="39" t="s">
        <v>80</v>
      </c>
      <c r="C1" s="39" t="s">
        <v>81</v>
      </c>
      <c r="D1" s="39" t="s">
        <v>118</v>
      </c>
      <c r="E1" s="39" t="s">
        <v>82</v>
      </c>
      <c r="F1" s="39" t="s">
        <v>83</v>
      </c>
      <c r="G1" s="40" t="s">
        <v>123</v>
      </c>
      <c r="H1" s="40" t="s">
        <v>129</v>
      </c>
      <c r="I1" s="40" t="s">
        <v>131</v>
      </c>
      <c r="J1" s="40" t="s">
        <v>130</v>
      </c>
      <c r="K1" s="40" t="s">
        <v>132</v>
      </c>
      <c r="L1" s="40" t="s">
        <v>124</v>
      </c>
      <c r="M1" s="40" t="s">
        <v>122</v>
      </c>
      <c r="N1" s="40" t="s">
        <v>125</v>
      </c>
      <c r="O1" s="40" t="s">
        <v>133</v>
      </c>
      <c r="P1" s="40" t="s">
        <v>134</v>
      </c>
      <c r="Q1" s="40" t="s">
        <v>135</v>
      </c>
      <c r="R1" s="40" t="s">
        <v>136</v>
      </c>
      <c r="S1" s="40" t="s">
        <v>126</v>
      </c>
      <c r="T1" s="40" t="s">
        <v>127</v>
      </c>
      <c r="U1" s="40" t="s">
        <v>137</v>
      </c>
      <c r="V1" s="40" t="s">
        <v>138</v>
      </c>
      <c r="W1" s="40" t="s">
        <v>139</v>
      </c>
      <c r="X1" s="40" t="s">
        <v>140</v>
      </c>
      <c r="Y1" s="40" t="s">
        <v>128</v>
      </c>
      <c r="Z1" s="40" t="s">
        <v>76</v>
      </c>
      <c r="AA1" s="40" t="s">
        <v>77</v>
      </c>
      <c r="AB1" s="40" t="s">
        <v>78</v>
      </c>
    </row>
    <row r="2" spans="1:29" ht="28" x14ac:dyDescent="0.15">
      <c r="A2" s="46">
        <v>39012201</v>
      </c>
      <c r="B2" s="60" t="s">
        <v>283</v>
      </c>
      <c r="C2" s="49">
        <v>3</v>
      </c>
      <c r="D2" s="49" t="s">
        <v>253</v>
      </c>
      <c r="E2" s="122" t="s">
        <v>254</v>
      </c>
      <c r="F2" s="122" t="s">
        <v>255</v>
      </c>
      <c r="G2" s="61" t="str">
        <f>IFERROR(LEFT(B2,FIND("],",B2)),B2)</f>
        <v>[effect:enemy_message, val1:1.2, val2:1.2]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>IFERROR(RIGHT(B2,LEN(B2)-FIND("],",B2)-1),"none")</f>
        <v>[effect:critical, val:1.5, animation:enemy_critical]</v>
      </c>
      <c r="N2" s="47" t="str">
        <f>IFERROR(LEFT(M2,FIND("],",M2)+S11),M2)</f>
        <v>[effect:critical, val:1.5, animation:enemy_critical]</v>
      </c>
      <c r="O2" s="61">
        <f>FIND("effect:",N2)+7</f>
        <v>9</v>
      </c>
      <c r="P2" s="61">
        <f>IFERROR(FIND(",",N2),LEN(N2))</f>
        <v>17</v>
      </c>
      <c r="Q2" s="61" t="e">
        <f>FIND("target:",N2)+7</f>
        <v>#VALUE!</v>
      </c>
      <c r="R2" s="61">
        <f>FIND(",",N2,P2+1)</f>
        <v>26</v>
      </c>
      <c r="S2" s="61" t="str">
        <f>IFERROR(VLOOKUP(MID(N2,Q2,R2-Q2),[6]skilldef!$C:$D,2,FALSE),"-") &amp; " / " &amp; IFERROR(VLOOKUP(MID(N2,O2,P2-O2),[6]skilldef!$A:$B,2,FALSE),"-")</f>
        <v>- / 大攻撃</v>
      </c>
      <c r="T2" s="47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9"/>
      <c r="AA2" s="50"/>
      <c r="AB2" s="49"/>
      <c r="AC2" s="48">
        <f>COUNTIF(enemy_skill_sets!C:C,enemy_skills!A2)</f>
        <v>1</v>
      </c>
    </row>
    <row r="3" spans="1:29" ht="17" x14ac:dyDescent="0.2">
      <c r="A3" s="46">
        <v>39012202</v>
      </c>
      <c r="B3" s="60" t="s">
        <v>284</v>
      </c>
      <c r="C3" s="49">
        <v>3</v>
      </c>
      <c r="D3" s="49" t="s">
        <v>253</v>
      </c>
      <c r="E3" s="123" t="s">
        <v>256</v>
      </c>
      <c r="F3" s="123" t="s">
        <v>257</v>
      </c>
      <c r="G3" s="61" t="str">
        <f t="shared" ref="G3:G21" si="0">IFERROR(LEFT(B3,FIND("],",B3)),B3)</f>
        <v>[effect:enemy_message, val1:1.2, val2:1.2]</v>
      </c>
      <c r="H3" s="61">
        <f t="shared" ref="H3:H21" si="1">FIND("effect:",G3)+7</f>
        <v>9</v>
      </c>
      <c r="I3" s="61">
        <f t="shared" ref="I3:I21" si="2">IFERROR(FIND(",",G3),LEN(G3))</f>
        <v>22</v>
      </c>
      <c r="J3" s="61" t="e">
        <f t="shared" ref="J3:J21" si="3">FIND("target:",G3)+7</f>
        <v>#VALUE!</v>
      </c>
      <c r="K3" s="61">
        <f t="shared" ref="K3:K21" si="4">FIND(",",G3,I3+1)</f>
        <v>32</v>
      </c>
      <c r="L3" s="61" t="str">
        <f>IFERROR(VLOOKUP(MID(G3,J3,K3-J3),[6]skilldef!$C:$D,2,FALSE),"-") &amp; " / " &amp; IFERROR(VLOOKUP(MID(G3,H3,I3-H3),[6]skilldef!$A:$B,2,FALSE),"-")</f>
        <v>- / -</v>
      </c>
      <c r="M3" s="61" t="str">
        <f t="shared" ref="M3:M21" si="5">IFERROR(RIGHT(B3,LEN(B3)-FIND("],",B3)-1),"none")</f>
        <v>[effect:rush, count:1, val:0.75]</v>
      </c>
      <c r="N3" s="47" t="str">
        <f>IFERROR(LEFT(M3,FIND("],",M3)+S12),M3)</f>
        <v>[effect:rush, count:1, val:0.75]</v>
      </c>
      <c r="O3" s="61">
        <f t="shared" ref="O3:O21" si="6">FIND("effect:",N3)+7</f>
        <v>9</v>
      </c>
      <c r="P3" s="61">
        <f t="shared" ref="P3:P21" si="7">IFERROR(FIND(",",N3),LEN(N3))</f>
        <v>13</v>
      </c>
      <c r="Q3" s="61" t="e">
        <f t="shared" ref="Q3:Q21" si="8">FIND("target:",N3)+7</f>
        <v>#VALUE!</v>
      </c>
      <c r="R3" s="61">
        <f t="shared" ref="R3:R21" si="9">FIND(",",N3,P3+1)</f>
        <v>22</v>
      </c>
      <c r="S3" s="61" t="str">
        <f>IFERROR(VLOOKUP(MID(N3,Q3,R3-Q3),[6]skilldef!$C:$D,2,FALSE),"-") &amp; " / " &amp; IFERROR(VLOOKUP(MID(N3,O3,P3-O3),[6]skilldef!$A:$B,2,FALSE),"-")</f>
        <v>- / 連続攻撃</v>
      </c>
      <c r="T3" s="47" t="str">
        <f t="shared" ref="T3:T21" si="10">IFERROR(RIGHT(M3,LEN(M3)-FIND("],",M3)-1),"none")</f>
        <v>none</v>
      </c>
      <c r="U3" s="61" t="e">
        <f t="shared" ref="U3:U21" si="11">FIND("effect:",T3)+7</f>
        <v>#VALUE!</v>
      </c>
      <c r="V3" s="61">
        <f t="shared" ref="V3:V21" si="12">IFERROR(FIND(",",T3),LEN(T3))</f>
        <v>4</v>
      </c>
      <c r="W3" s="61" t="e">
        <f t="shared" ref="W3:W21" si="13">FIND("target:",T3)+7</f>
        <v>#VALUE!</v>
      </c>
      <c r="X3" s="61" t="e">
        <f t="shared" ref="X3:X21" si="14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9"/>
      <c r="AA3" s="50"/>
      <c r="AB3" s="49"/>
      <c r="AC3" s="48">
        <f>COUNTIF(enemy_skill_sets!C:C,enemy_skills!A3)</f>
        <v>1</v>
      </c>
    </row>
    <row r="4" spans="1:29" ht="30" x14ac:dyDescent="0.15">
      <c r="A4" s="46">
        <v>39012203</v>
      </c>
      <c r="B4" s="60" t="s">
        <v>285</v>
      </c>
      <c r="C4" s="49">
        <v>3</v>
      </c>
      <c r="D4" s="49" t="s">
        <v>253</v>
      </c>
      <c r="E4" s="127" t="s">
        <v>305</v>
      </c>
      <c r="F4" s="122" t="s">
        <v>282</v>
      </c>
      <c r="G4" s="61" t="str">
        <f t="shared" si="0"/>
        <v>[effect:enemy_message, val1:1.2, val2:0.0]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IFERROR(VLOOKUP(MID(G4,J4,K4-J4),[6]skilldef!$C:$D,2,FALSE),"-") &amp; " / " &amp; IFERROR(VLOOKUP(MID(G4,H4,I4-H4),[6]skilldef!$A:$B,2,FALSE),"-")</f>
        <v>- / -</v>
      </c>
      <c r="M4" s="61" t="str">
        <f t="shared" si="5"/>
        <v>none</v>
      </c>
      <c r="N4" s="47" t="str">
        <f>IFERROR(LEFT(M4,FIND("],",M4)+S13),M4)</f>
        <v>none</v>
      </c>
      <c r="O4" s="61" t="e">
        <f t="shared" si="6"/>
        <v>#VALUE!</v>
      </c>
      <c r="P4" s="61">
        <f t="shared" si="7"/>
        <v>4</v>
      </c>
      <c r="Q4" s="61" t="e">
        <f t="shared" si="8"/>
        <v>#VALUE!</v>
      </c>
      <c r="R4" s="61" t="e">
        <f t="shared" si="9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7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9"/>
      <c r="AA4" s="50"/>
      <c r="AB4" s="49"/>
      <c r="AC4" s="48">
        <f>COUNTIF(enemy_skill_sets!C:C,enemy_skills!A4)</f>
        <v>1</v>
      </c>
    </row>
    <row r="5" spans="1:29" ht="30" x14ac:dyDescent="0.15">
      <c r="A5" s="46">
        <v>39012204</v>
      </c>
      <c r="B5" s="60" t="s">
        <v>285</v>
      </c>
      <c r="C5" s="49">
        <v>3</v>
      </c>
      <c r="D5" s="49" t="s">
        <v>253</v>
      </c>
      <c r="E5" s="127" t="s">
        <v>306</v>
      </c>
      <c r="F5" s="122" t="s">
        <v>282</v>
      </c>
      <c r="G5" s="61" t="str">
        <f t="shared" si="0"/>
        <v>[effect:enemy_message, val1:1.2, val2:0.0]</v>
      </c>
      <c r="H5" s="61">
        <f t="shared" si="1"/>
        <v>9</v>
      </c>
      <c r="I5" s="61">
        <f t="shared" si="2"/>
        <v>22</v>
      </c>
      <c r="J5" s="61" t="e">
        <f t="shared" si="3"/>
        <v>#VALUE!</v>
      </c>
      <c r="K5" s="61">
        <f t="shared" si="4"/>
        <v>32</v>
      </c>
      <c r="L5" s="61" t="str">
        <f>IFERROR(VLOOKUP(MID(G5,J5,K5-J5),[6]skilldef!$C:$D,2,FALSE),"-") &amp; " / " &amp; IFERROR(VLOOKUP(MID(G5,H5,I5-H5),[6]skilldef!$A:$B,2,FALSE),"-")</f>
        <v>- / -</v>
      </c>
      <c r="M5" s="61" t="str">
        <f t="shared" si="5"/>
        <v>none</v>
      </c>
      <c r="N5" s="47" t="str">
        <f>IFERROR(LEFT(M5,FIND("],",M5)+#REF!),M5)</f>
        <v>none</v>
      </c>
      <c r="O5" s="61" t="e">
        <f t="shared" si="6"/>
        <v>#VALUE!</v>
      </c>
      <c r="P5" s="61">
        <f t="shared" si="7"/>
        <v>4</v>
      </c>
      <c r="Q5" s="61" t="e">
        <f t="shared" si="8"/>
        <v>#VALUE!</v>
      </c>
      <c r="R5" s="61" t="e">
        <f t="shared" si="9"/>
        <v>#VALUE!</v>
      </c>
      <c r="S5" s="61" t="str">
        <f>IFERROR(VLOOKUP(MID(N5,Q5,R5-Q5),[6]skilldef!$C:$D,2,FALSE),"-") &amp; " / " &amp; IFERROR(VLOOKUP(MID(N5,O5,P5-O5),[6]skilldef!$A:$B,2,FALSE),"-")</f>
        <v>- / -</v>
      </c>
      <c r="T5" s="47" t="str">
        <f t="shared" si="10"/>
        <v>none</v>
      </c>
      <c r="U5" s="61" t="e">
        <f t="shared" si="11"/>
        <v>#VALUE!</v>
      </c>
      <c r="V5" s="61">
        <f t="shared" si="12"/>
        <v>4</v>
      </c>
      <c r="W5" s="61" t="e">
        <f t="shared" si="13"/>
        <v>#VALUE!</v>
      </c>
      <c r="X5" s="61" t="e">
        <f t="shared" si="14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9"/>
      <c r="AA5" s="50"/>
      <c r="AB5" s="49"/>
      <c r="AC5" s="48">
        <f>COUNTIF(enemy_skill_sets!C:C,enemy_skills!A5)</f>
        <v>1</v>
      </c>
    </row>
    <row r="6" spans="1:29" ht="98" x14ac:dyDescent="0.15">
      <c r="A6" s="124">
        <v>39012234</v>
      </c>
      <c r="B6" s="60" t="s">
        <v>362</v>
      </c>
      <c r="C6" s="49">
        <v>3</v>
      </c>
      <c r="D6" s="49" t="s">
        <v>299</v>
      </c>
      <c r="E6" s="125" t="s">
        <v>356</v>
      </c>
      <c r="F6" s="127" t="s">
        <v>310</v>
      </c>
      <c r="G6" s="61" t="str">
        <f t="shared" si="0"/>
        <v>[effect:enemy_message, val1:1.2, val2:2.8]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32</v>
      </c>
      <c r="L6" s="61" t="str">
        <f>IFERROR(VLOOKUP(MID(G6,J6,K6-J6),[6]skilldef!$C:$D,2,FALSE),"-") &amp; " / " &amp; IFERROR(VLOOKUP(MID(G6,H6,I6-H6),[6]skilldef!$A:$B,2,FALSE),"-")</f>
        <v>- / -</v>
      </c>
      <c r="M6" s="61" t="str">
        <f t="shared" si="5"/>
        <v>[effect:remove_enhancement, target:enemy_all, target_effect:all, target_type:all, animation:frozen_wave_unit],[effect:hungup, target:enemy_all, turn:1, rate:1, animation:hungup02]</v>
      </c>
      <c r="N6" s="47" t="str">
        <f>IFERROR(LEFT(M6,FIND("],",M6)+S14),M6)</f>
        <v>[effect:remove_enhancement, target:enemy_all, target_effect:all, target_type:all, animation:frozen_wave_unit],[effect:hungup, target:enemy_all, turn:1, rate:1, animation:hungup02]</v>
      </c>
      <c r="O6" s="61">
        <f t="shared" si="6"/>
        <v>9</v>
      </c>
      <c r="P6" s="61">
        <f t="shared" si="7"/>
        <v>27</v>
      </c>
      <c r="Q6" s="61">
        <f t="shared" si="8"/>
        <v>36</v>
      </c>
      <c r="R6" s="61">
        <f t="shared" si="9"/>
        <v>45</v>
      </c>
      <c r="S6" s="61" t="str">
        <f>IFERROR(VLOOKUP(MID(N6,Q6,R6-Q6),[6]skilldef!$C:$D,2,FALSE),"-") &amp; " / " &amp; IFERROR(VLOOKUP(MID(N6,O6,P6-O6),[6]skilldef!$A:$B,2,FALSE),"-")</f>
        <v>敵全体に / -</v>
      </c>
      <c r="T6" s="47" t="str">
        <f t="shared" si="10"/>
        <v>[effect:hungup, target:enemy_all, turn:1, rate:1, animation:hungup02]</v>
      </c>
      <c r="U6" s="61">
        <f t="shared" si="11"/>
        <v>9</v>
      </c>
      <c r="V6" s="61">
        <f t="shared" si="12"/>
        <v>15</v>
      </c>
      <c r="W6" s="61">
        <f t="shared" si="13"/>
        <v>24</v>
      </c>
      <c r="X6" s="61">
        <f t="shared" si="14"/>
        <v>33</v>
      </c>
      <c r="Y6" s="61" t="str">
        <f>IFERROR(VLOOKUP(MID(T6,W6,X6-W6),[6]skilldef!$C:$D,2,FALSE),"-") &amp; " / " &amp; IFERROR(VLOOKUP(MID(T6,U6,V6-U6),[6]skilldef!$A:$B,2,FALSE),"-")</f>
        <v>敵全体に / ハングアップ</v>
      </c>
      <c r="Z6" s="49"/>
      <c r="AA6" s="50"/>
      <c r="AB6" s="49"/>
      <c r="AC6" s="48">
        <f>COUNTIF(enemy_skill_sets!C:C,enemy_skills!A6)</f>
        <v>1</v>
      </c>
    </row>
    <row r="7" spans="1:29" ht="30" x14ac:dyDescent="0.15">
      <c r="A7" s="46">
        <v>39012205</v>
      </c>
      <c r="B7" s="60" t="s">
        <v>311</v>
      </c>
      <c r="C7" s="49">
        <v>3</v>
      </c>
      <c r="D7" s="49" t="s">
        <v>253</v>
      </c>
      <c r="E7" s="137" t="s">
        <v>309</v>
      </c>
      <c r="F7" s="122" t="s">
        <v>282</v>
      </c>
      <c r="G7" s="61" t="str">
        <f t="shared" si="0"/>
        <v>[effect:enemy_message, val1:1.2, val2:0.0]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32</v>
      </c>
      <c r="L7" s="61" t="str">
        <f>IFERROR(VLOOKUP(MID(G7,J7,K7-J7),[6]skilldef!$C:$D,2,FALSE),"-") &amp; " / " &amp; IFERROR(VLOOKUP(MID(G7,H7,I7-H7),[6]skilldef!$A:$B,2,FALSE),"-")</f>
        <v>- / -</v>
      </c>
      <c r="M7" s="61" t="str">
        <f t="shared" si="5"/>
        <v>none</v>
      </c>
      <c r="N7" s="47" t="str">
        <f>IFERROR(LEFT(M7,FIND("],",M7)+S15),M7)</f>
        <v>none</v>
      </c>
      <c r="O7" s="61" t="e">
        <f t="shared" si="6"/>
        <v>#VALUE!</v>
      </c>
      <c r="P7" s="61">
        <f t="shared" si="7"/>
        <v>4</v>
      </c>
      <c r="Q7" s="61" t="e">
        <f t="shared" si="8"/>
        <v>#VALUE!</v>
      </c>
      <c r="R7" s="61" t="e">
        <f t="shared" si="9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7" t="str">
        <f t="shared" si="10"/>
        <v>none</v>
      </c>
      <c r="U7" s="61" t="e">
        <f t="shared" si="11"/>
        <v>#VALUE!</v>
      </c>
      <c r="V7" s="61">
        <f t="shared" si="12"/>
        <v>4</v>
      </c>
      <c r="W7" s="61" t="e">
        <f t="shared" si="13"/>
        <v>#VALUE!</v>
      </c>
      <c r="X7" s="61" t="e">
        <f t="shared" si="14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9"/>
      <c r="AA7" s="50"/>
      <c r="AB7" s="49"/>
      <c r="AC7" s="48">
        <f>COUNTIF(enemy_skill_sets!C:C,enemy_skills!A7)</f>
        <v>1</v>
      </c>
    </row>
    <row r="8" spans="1:29" ht="30" x14ac:dyDescent="0.15">
      <c r="A8" s="46">
        <v>39012206</v>
      </c>
      <c r="B8" s="60" t="s">
        <v>312</v>
      </c>
      <c r="C8" s="49">
        <v>3</v>
      </c>
      <c r="D8" s="49" t="s">
        <v>253</v>
      </c>
      <c r="E8" s="127" t="s">
        <v>308</v>
      </c>
      <c r="F8" s="122" t="s">
        <v>282</v>
      </c>
      <c r="G8" s="61" t="str">
        <f t="shared" si="0"/>
        <v>[effect:enemy_message, val1:1.3, val2:0.0]</v>
      </c>
      <c r="H8" s="61">
        <f t="shared" si="1"/>
        <v>9</v>
      </c>
      <c r="I8" s="61">
        <f t="shared" si="2"/>
        <v>22</v>
      </c>
      <c r="J8" s="61" t="e">
        <f t="shared" si="3"/>
        <v>#VALUE!</v>
      </c>
      <c r="K8" s="61">
        <f t="shared" si="4"/>
        <v>32</v>
      </c>
      <c r="L8" s="61" t="str">
        <f>IFERROR(VLOOKUP(MID(G8,J8,K8-J8),[6]skilldef!$C:$D,2,FALSE),"-") &amp; " / " &amp; IFERROR(VLOOKUP(MID(G8,H8,I8-H8),[6]skilldef!$A:$B,2,FALSE),"-")</f>
        <v>- / -</v>
      </c>
      <c r="M8" s="61" t="str">
        <f t="shared" si="5"/>
        <v>none</v>
      </c>
      <c r="N8" s="47" t="str">
        <f>IFERROR(LEFT(M8,FIND("],",M8)+S16),M8)</f>
        <v>none</v>
      </c>
      <c r="O8" s="61" t="e">
        <f t="shared" si="6"/>
        <v>#VALUE!</v>
      </c>
      <c r="P8" s="61">
        <f t="shared" si="7"/>
        <v>4</v>
      </c>
      <c r="Q8" s="61" t="e">
        <f t="shared" si="8"/>
        <v>#VALUE!</v>
      </c>
      <c r="R8" s="61" t="e">
        <f t="shared" si="9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7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9"/>
      <c r="AA8" s="50"/>
      <c r="AB8" s="49"/>
      <c r="AC8" s="48">
        <f>COUNTIF(enemy_skill_sets!C:C,enemy_skills!A8)</f>
        <v>1</v>
      </c>
    </row>
    <row r="9" spans="1:29" ht="168" x14ac:dyDescent="0.15">
      <c r="A9" s="46">
        <v>39012208</v>
      </c>
      <c r="B9" s="60" t="s">
        <v>361</v>
      </c>
      <c r="C9" s="49">
        <v>3</v>
      </c>
      <c r="D9" s="49" t="s">
        <v>253</v>
      </c>
      <c r="E9" s="137" t="s">
        <v>307</v>
      </c>
      <c r="F9" s="127" t="s">
        <v>360</v>
      </c>
      <c r="G9" s="61" t="str">
        <f t="shared" si="0"/>
        <v>[effect:enemy_message, val1:1.2, val2:3.1]</v>
      </c>
      <c r="H9" s="61">
        <f t="shared" si="1"/>
        <v>9</v>
      </c>
      <c r="I9" s="61">
        <f t="shared" si="2"/>
        <v>22</v>
      </c>
      <c r="J9" s="61" t="e">
        <f t="shared" si="3"/>
        <v>#VALUE!</v>
      </c>
      <c r="K9" s="61">
        <f t="shared" si="4"/>
        <v>32</v>
      </c>
      <c r="L9" s="61" t="str">
        <f>IFERROR(VLOOKUP(MID(G9,J9,K9-J9),[6]skilldef!$C:$D,2,FALSE),"-") &amp; " / " &amp; IFERROR(VLOOKUP(MID(G9,H9,I9-H9),[6]skilldef!$A:$B,2,FALSE),"-")</f>
        <v>- / -</v>
      </c>
      <c r="M9" s="61" t="str">
        <f t="shared" si="5"/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9" s="47" t="str">
        <f>IFERROR(LEFT(M9,FIND("],",M9)+S18),M9)</f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9" s="61">
        <f t="shared" si="6"/>
        <v>9</v>
      </c>
      <c r="P9" s="61">
        <f t="shared" si="7"/>
        <v>22</v>
      </c>
      <c r="Q9" s="61">
        <f t="shared" si="8"/>
        <v>31</v>
      </c>
      <c r="R9" s="61">
        <f t="shared" si="9"/>
        <v>40</v>
      </c>
      <c r="S9" s="61" t="str">
        <f>IFERROR(VLOOKUP(MID(N9,Q9,R9-Q9),[6]skilldef!$C:$D,2,FALSE),"-") &amp; " / " &amp; IFERROR(VLOOKUP(MID(N9,O9,P9-O9),[6]skilldef!$A:$B,2,FALSE),"-")</f>
        <v>赤の敵に / ステータス強化</v>
      </c>
      <c r="T9" s="47" t="str">
        <f t="shared" si="10"/>
        <v>[effect:tolerance, target:enemy_all, turn:-1, count:-1, tolerance_effect:sleep, animation:enemy_tolerance],[effect:tolerance, target:enemy_all, turn:-1, count:-1, tolerance_effect:hungup]</v>
      </c>
      <c r="U9" s="61">
        <f t="shared" si="11"/>
        <v>9</v>
      </c>
      <c r="V9" s="61">
        <f t="shared" si="12"/>
        <v>18</v>
      </c>
      <c r="W9" s="61">
        <f t="shared" si="13"/>
        <v>27</v>
      </c>
      <c r="X9" s="61">
        <f t="shared" si="14"/>
        <v>36</v>
      </c>
      <c r="Y9" s="61" t="str">
        <f>IFERROR(VLOOKUP(MID(T9,W9,X9-W9),[6]skilldef!$C:$D,2,FALSE),"-") &amp; " / " &amp; IFERROR(VLOOKUP(MID(T9,U9,V9-U9),[6]skilldef!$A:$B,2,FALSE),"-")</f>
        <v>敵全体に / 状態異常耐性</v>
      </c>
      <c r="Z9" s="49"/>
      <c r="AA9" s="50"/>
      <c r="AB9" s="49"/>
      <c r="AC9" s="48">
        <f>COUNTIF(enemy_skill_sets!C:C,enemy_skills!A9)</f>
        <v>1</v>
      </c>
    </row>
    <row r="10" spans="1:29" ht="42" x14ac:dyDescent="0.15">
      <c r="A10" s="46">
        <v>39012209</v>
      </c>
      <c r="B10" s="60" t="s">
        <v>357</v>
      </c>
      <c r="C10" s="49">
        <v>3</v>
      </c>
      <c r="D10" s="49" t="s">
        <v>253</v>
      </c>
      <c r="E10" s="126" t="s">
        <v>302</v>
      </c>
      <c r="F10" s="122" t="s">
        <v>258</v>
      </c>
      <c r="G10" s="61" t="str">
        <f t="shared" si="0"/>
        <v>[effect:enemy_message, val1:1.2, val2:1.2]</v>
      </c>
      <c r="H10" s="61">
        <f t="shared" si="1"/>
        <v>9</v>
      </c>
      <c r="I10" s="61">
        <f t="shared" si="2"/>
        <v>22</v>
      </c>
      <c r="J10" s="61" t="e">
        <f t="shared" si="3"/>
        <v>#VALUE!</v>
      </c>
      <c r="K10" s="61">
        <f t="shared" si="4"/>
        <v>32</v>
      </c>
      <c r="L10" s="61" t="str">
        <f>IFERROR(VLOOKUP(MID(G10,J10,K10-J10),[6]skilldef!$C:$D,2,FALSE),"-") &amp; " / " &amp; IFERROR(VLOOKUP(MID(G10,H10,I10-H10),[6]skilldef!$A:$B,2,FALSE),"-")</f>
        <v>- / -</v>
      </c>
      <c r="M10" s="61" t="str">
        <f t="shared" si="5"/>
        <v>[effect:dis_panel, target:block_red, turn:2, animation:enemy_dis_red]</v>
      </c>
      <c r="N10" s="47" t="str">
        <f>IFERROR(LEFT(M10,FIND("],",M10)+S19),M10)</f>
        <v>[effect:dis_panel, target:block_red, turn:2, animation:enemy_dis_red]</v>
      </c>
      <c r="O10" s="61">
        <f t="shared" si="6"/>
        <v>9</v>
      </c>
      <c r="P10" s="61">
        <f t="shared" si="7"/>
        <v>18</v>
      </c>
      <c r="Q10" s="61">
        <f t="shared" si="8"/>
        <v>27</v>
      </c>
      <c r="R10" s="61">
        <f t="shared" si="9"/>
        <v>36</v>
      </c>
      <c r="S10" s="61" t="str">
        <f>IFERROR(VLOOKUP(MID(N10,Q10,R10-Q10),[6]skilldef!$C:$D,2,FALSE),"-") &amp; " / " &amp; IFERROR(VLOOKUP(MID(N10,O10,P10-O10),[6]skilldef!$A:$B,2,FALSE),"-")</f>
        <v>赤パネルを / ディスパネル</v>
      </c>
      <c r="T10" s="47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9"/>
      <c r="AA10" s="50"/>
      <c r="AB10" s="49"/>
      <c r="AC10" s="48">
        <f>COUNTIF(enemy_skill_sets!C:C,enemy_skills!A10)</f>
        <v>1</v>
      </c>
    </row>
    <row r="11" spans="1:29" ht="28" x14ac:dyDescent="0.15">
      <c r="A11" s="46">
        <v>39012210</v>
      </c>
      <c r="B11" s="60" t="s">
        <v>359</v>
      </c>
      <c r="C11" s="49">
        <v>3</v>
      </c>
      <c r="D11" s="49" t="s">
        <v>253</v>
      </c>
      <c r="E11" s="126" t="s">
        <v>281</v>
      </c>
      <c r="F11" s="122" t="s">
        <v>259</v>
      </c>
      <c r="G11" s="61" t="str">
        <f t="shared" si="0"/>
        <v>[effect:enemy_message, val1:1.2, val2:1.2]</v>
      </c>
      <c r="H11" s="61">
        <f t="shared" si="1"/>
        <v>9</v>
      </c>
      <c r="I11" s="61">
        <f t="shared" si="2"/>
        <v>22</v>
      </c>
      <c r="J11" s="61" t="e">
        <f t="shared" si="3"/>
        <v>#VALUE!</v>
      </c>
      <c r="K11" s="61">
        <f t="shared" si="4"/>
        <v>32</v>
      </c>
      <c r="L11" s="61" t="str">
        <f>IFERROR(VLOOKUP(MID(G11,J11,K11-J11),[6]skilldef!$C:$D,2,FALSE),"-") &amp; " / " &amp; IFERROR(VLOOKUP(MID(G11,H11,I11-H11),[6]skilldef!$A:$B,2,FALSE),"-")</f>
        <v>- / -</v>
      </c>
      <c r="M11" s="61" t="str">
        <f t="shared" si="5"/>
        <v>[effect:critical, val:1.3, animation:enemy_critical]</v>
      </c>
      <c r="N11" s="47" t="str">
        <f>IFERROR(LEFT(M11,FIND("],",M11)+S20),M11)</f>
        <v>[effect:critical, val:1.3, animation:enemy_critical]</v>
      </c>
      <c r="O11" s="61">
        <f t="shared" si="6"/>
        <v>9</v>
      </c>
      <c r="P11" s="61">
        <f t="shared" si="7"/>
        <v>17</v>
      </c>
      <c r="Q11" s="61" t="e">
        <f t="shared" si="8"/>
        <v>#VALUE!</v>
      </c>
      <c r="R11" s="61">
        <f t="shared" si="9"/>
        <v>26</v>
      </c>
      <c r="S11" s="61" t="str">
        <f>IFERROR(VLOOKUP(MID(N11,Q11,R11-Q11),[6]skilldef!$C:$D,2,FALSE),"-") &amp; " / " &amp; IFERROR(VLOOKUP(MID(N11,O11,P11-O11),[6]skilldef!$A:$B,2,FALSE),"-")</f>
        <v>- / 大攻撃</v>
      </c>
      <c r="T11" s="47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9"/>
      <c r="AA11" s="50"/>
      <c r="AB11" s="49"/>
      <c r="AC11" s="48">
        <f>COUNTIF(enemy_skill_sets!C:C,enemy_skills!A11)</f>
        <v>1</v>
      </c>
    </row>
    <row r="12" spans="1:29" ht="42" x14ac:dyDescent="0.15">
      <c r="A12" s="46">
        <v>39012211</v>
      </c>
      <c r="B12" s="60" t="s">
        <v>296</v>
      </c>
      <c r="C12" s="49">
        <v>3</v>
      </c>
      <c r="D12" s="49" t="s">
        <v>253</v>
      </c>
      <c r="E12" s="126" t="s">
        <v>260</v>
      </c>
      <c r="F12" s="122" t="s">
        <v>293</v>
      </c>
      <c r="G12" s="61" t="str">
        <f t="shared" si="0"/>
        <v>[effect:enemy_message, val1:1.2, val2:1.4]</v>
      </c>
      <c r="H12" s="61">
        <f t="shared" si="1"/>
        <v>9</v>
      </c>
      <c r="I12" s="61">
        <f t="shared" si="2"/>
        <v>22</v>
      </c>
      <c r="J12" s="61" t="e">
        <f t="shared" si="3"/>
        <v>#VALUE!</v>
      </c>
      <c r="K12" s="61">
        <f t="shared" si="4"/>
        <v>32</v>
      </c>
      <c r="L12" s="61" t="str">
        <f>IFERROR(VLOOKUP(MID(G12,J12,K12-J12),[6]skilldef!$C:$D,2,FALSE),"-") &amp; " / " &amp; IFERROR(VLOOKUP(MID(G12,H12,I12-H12),[6]skilldef!$A:$B,2,FALSE),"-")</f>
        <v>- / -</v>
      </c>
      <c r="M12" s="61" t="str">
        <f t="shared" si="5"/>
        <v xml:space="preserve">[effect:damage_anti_color, target:unit_one, color:red, val1:1.5, val2:0.8]    </v>
      </c>
      <c r="N12" s="47" t="str">
        <f>IFERROR(LEFT(M12,FIND("],",M12)+S21),M12)</f>
        <v xml:space="preserve">[effect:damage_anti_color, target:unit_one, color:red, val1:1.5, val2:0.8]    </v>
      </c>
      <c r="O12" s="61">
        <f t="shared" si="6"/>
        <v>9</v>
      </c>
      <c r="P12" s="61">
        <f t="shared" si="7"/>
        <v>26</v>
      </c>
      <c r="Q12" s="61">
        <f t="shared" si="8"/>
        <v>35</v>
      </c>
      <c r="R12" s="61">
        <f t="shared" si="9"/>
        <v>43</v>
      </c>
      <c r="S12" s="61" t="str">
        <f>IFERROR(VLOOKUP(MID(N12,Q12,R12-Q12),[6]skilldef!$C:$D,2,FALSE),"-") &amp; " / " &amp; IFERROR(VLOOKUP(MID(N12,O12,P12-O12),[6]skilldef!$A:$B,2,FALSE),"-")</f>
        <v>味方単体に / 属性キラー</v>
      </c>
      <c r="T12" s="47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9"/>
      <c r="AA12" s="50"/>
      <c r="AB12" s="49"/>
      <c r="AC12" s="48">
        <f>COUNTIF(enemy_skill_sets!C:C,enemy_skills!A12)</f>
        <v>1</v>
      </c>
    </row>
    <row r="13" spans="1:29" ht="17" x14ac:dyDescent="0.2">
      <c r="A13" s="46">
        <v>39012212</v>
      </c>
      <c r="B13" s="60" t="s">
        <v>284</v>
      </c>
      <c r="C13" s="49">
        <v>3</v>
      </c>
      <c r="D13" s="49" t="s">
        <v>253</v>
      </c>
      <c r="E13" s="123" t="s">
        <v>261</v>
      </c>
      <c r="F13" s="123" t="s">
        <v>257</v>
      </c>
      <c r="G13" s="61" t="str">
        <f t="shared" si="0"/>
        <v>[effect:enemy_message, val1:1.2, val2:1.2]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32</v>
      </c>
      <c r="L13" s="61" t="str">
        <f>IFERROR(VLOOKUP(MID(G13,J13,K13-J13),[6]skilldef!$C:$D,2,FALSE),"-") &amp; " / " &amp; IFERROR(VLOOKUP(MID(G13,H13,I13-H13),[6]skilldef!$A:$B,2,FALSE),"-")</f>
        <v>- / -</v>
      </c>
      <c r="M13" s="61" t="str">
        <f t="shared" si="5"/>
        <v>[effect:rush, count:1, val:0.75]</v>
      </c>
      <c r="N13" s="47" t="str">
        <f>IFERROR(LEFT(M13,FIND("],",M13)+S22),M13)</f>
        <v>[effect:rush, count:1, val:0.75]</v>
      </c>
      <c r="O13" s="61">
        <f t="shared" si="6"/>
        <v>9</v>
      </c>
      <c r="P13" s="61">
        <f t="shared" si="7"/>
        <v>13</v>
      </c>
      <c r="Q13" s="61" t="e">
        <f t="shared" si="8"/>
        <v>#VALUE!</v>
      </c>
      <c r="R13" s="61">
        <f t="shared" si="9"/>
        <v>22</v>
      </c>
      <c r="S13" s="61" t="str">
        <f>IFERROR(VLOOKUP(MID(N13,Q13,R13-Q13),[6]skilldef!$C:$D,2,FALSE),"-") &amp; " / " &amp; IFERROR(VLOOKUP(MID(N13,O13,P13-O13),[6]skilldef!$A:$B,2,FALSE),"-")</f>
        <v>- / 連続攻撃</v>
      </c>
      <c r="T13" s="47" t="str">
        <f t="shared" si="10"/>
        <v>none</v>
      </c>
      <c r="U13" s="61" t="e">
        <f t="shared" si="11"/>
        <v>#VALUE!</v>
      </c>
      <c r="V13" s="61">
        <f t="shared" si="12"/>
        <v>4</v>
      </c>
      <c r="W13" s="61" t="e">
        <f t="shared" si="13"/>
        <v>#VALUE!</v>
      </c>
      <c r="X13" s="61" t="e">
        <f t="shared" si="14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9"/>
      <c r="AA13" s="50"/>
      <c r="AB13" s="49"/>
      <c r="AC13" s="48">
        <f>COUNTIF(enemy_skill_sets!C:C,enemy_skills!A13)</f>
        <v>1</v>
      </c>
    </row>
    <row r="14" spans="1:29" ht="42" x14ac:dyDescent="0.15">
      <c r="A14" s="46">
        <v>39012213</v>
      </c>
      <c r="B14" s="60" t="s">
        <v>295</v>
      </c>
      <c r="C14" s="49">
        <v>3</v>
      </c>
      <c r="D14" s="49" t="s">
        <v>262</v>
      </c>
      <c r="E14" s="122" t="s">
        <v>263</v>
      </c>
      <c r="F14" s="122" t="s">
        <v>294</v>
      </c>
      <c r="G14" s="61" t="str">
        <f t="shared" si="0"/>
        <v>[effect:enemy_message, val1:1.2, val2:2.0]</v>
      </c>
      <c r="H14" s="61">
        <f t="shared" si="1"/>
        <v>9</v>
      </c>
      <c r="I14" s="61">
        <f t="shared" si="2"/>
        <v>22</v>
      </c>
      <c r="J14" s="61" t="e">
        <f t="shared" si="3"/>
        <v>#VALUE!</v>
      </c>
      <c r="K14" s="61">
        <f t="shared" si="4"/>
        <v>32</v>
      </c>
      <c r="L14" s="61" t="str">
        <f>IFERROR(VLOOKUP(MID(G14,J14,K14-J14),[6]skilldef!$C:$D,2,FALSE),"-") &amp; " / " &amp; IFERROR(VLOOKUP(MID(G14,H14,I14-H14),[6]skilldef!$A:$B,2,FALSE),"-")</f>
        <v>- / -</v>
      </c>
      <c r="M14" s="61" t="str">
        <f t="shared" si="5"/>
        <v>[effect:damage_anti_tribe, target:unit_one, tribe:unknown, val1:2.5, val2:1]</v>
      </c>
      <c r="N14" s="47" t="str">
        <f t="shared" ref="N14:N21" si="15">IFERROR(LEFT(M14,FIND("],",M14)+S24),M14)</f>
        <v>[effect:damage_anti_tribe, target:unit_one, tribe:unknown, val1:2.5, val2:1]</v>
      </c>
      <c r="O14" s="61">
        <f t="shared" si="6"/>
        <v>9</v>
      </c>
      <c r="P14" s="61">
        <f t="shared" si="7"/>
        <v>26</v>
      </c>
      <c r="Q14" s="61">
        <f t="shared" si="8"/>
        <v>35</v>
      </c>
      <c r="R14" s="61">
        <f t="shared" si="9"/>
        <v>43</v>
      </c>
      <c r="S14" s="61" t="str">
        <f>IFERROR(VLOOKUP(MID(N14,Q14,R14-Q14),[6]skilldef!$C:$D,2,FALSE),"-") &amp; " / " &amp; IFERROR(VLOOKUP(MID(N14,O14,P14-O14),[6]skilldef!$A:$B,2,FALSE),"-")</f>
        <v>味方単体に / 種族キラー</v>
      </c>
      <c r="T14" s="47" t="str">
        <f t="shared" si="10"/>
        <v>none</v>
      </c>
      <c r="U14" s="61" t="e">
        <f t="shared" si="11"/>
        <v>#VALUE!</v>
      </c>
      <c r="V14" s="61">
        <f t="shared" si="12"/>
        <v>4</v>
      </c>
      <c r="W14" s="61" t="e">
        <f t="shared" si="13"/>
        <v>#VALUE!</v>
      </c>
      <c r="X14" s="61" t="e">
        <f t="shared" si="14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9"/>
      <c r="AA14" s="50"/>
      <c r="AB14" s="49"/>
      <c r="AC14" s="48">
        <f>COUNTIF(enemy_skill_sets!C:C,enemy_skills!A14)</f>
        <v>1</v>
      </c>
    </row>
    <row r="15" spans="1:29" ht="17" x14ac:dyDescent="0.2">
      <c r="A15" s="46">
        <v>39012214</v>
      </c>
      <c r="B15" s="60" t="s">
        <v>284</v>
      </c>
      <c r="C15" s="49">
        <v>3</v>
      </c>
      <c r="D15" s="49" t="s">
        <v>262</v>
      </c>
      <c r="E15" s="123" t="s">
        <v>314</v>
      </c>
      <c r="F15" s="123" t="s">
        <v>257</v>
      </c>
      <c r="G15" s="61" t="str">
        <f t="shared" si="0"/>
        <v>[effect:enemy_message, val1:1.2, val2:1.2]</v>
      </c>
      <c r="H15" s="61">
        <f t="shared" si="1"/>
        <v>9</v>
      </c>
      <c r="I15" s="61">
        <f t="shared" si="2"/>
        <v>22</v>
      </c>
      <c r="J15" s="61" t="e">
        <f t="shared" si="3"/>
        <v>#VALUE!</v>
      </c>
      <c r="K15" s="61">
        <f t="shared" si="4"/>
        <v>32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>[effect:rush, count:1, val:0.75]</v>
      </c>
      <c r="N15" s="47" t="str">
        <f t="shared" si="15"/>
        <v>[effect:rush, count:1, val:0.75]</v>
      </c>
      <c r="O15" s="61">
        <f t="shared" si="6"/>
        <v>9</v>
      </c>
      <c r="P15" s="61">
        <f t="shared" si="7"/>
        <v>13</v>
      </c>
      <c r="Q15" s="61" t="e">
        <f t="shared" si="8"/>
        <v>#VALUE!</v>
      </c>
      <c r="R15" s="61">
        <f t="shared" si="9"/>
        <v>22</v>
      </c>
      <c r="S15" s="61" t="str">
        <f>IFERROR(VLOOKUP(MID(N15,Q15,R15-Q15),[6]skilldef!$C:$D,2,FALSE),"-") &amp; " / " &amp; IFERROR(VLOOKUP(MID(N15,O15,P15-O15),[6]skilldef!$A:$B,2,FALSE),"-")</f>
        <v>- / 連続攻撃</v>
      </c>
      <c r="T15" s="47" t="str">
        <f t="shared" si="10"/>
        <v>none</v>
      </c>
      <c r="U15" s="61" t="e">
        <f t="shared" si="11"/>
        <v>#VALUE!</v>
      </c>
      <c r="V15" s="61">
        <f t="shared" si="12"/>
        <v>4</v>
      </c>
      <c r="W15" s="61" t="e">
        <f t="shared" si="13"/>
        <v>#VALUE!</v>
      </c>
      <c r="X15" s="61" t="e">
        <f t="shared" si="14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9"/>
      <c r="AA15" s="50"/>
      <c r="AB15" s="49"/>
      <c r="AC15" s="48">
        <f>COUNTIF(enemy_skill_sets!C:C,enemy_skills!A15)</f>
        <v>1</v>
      </c>
    </row>
    <row r="16" spans="1:29" ht="15" x14ac:dyDescent="0.15">
      <c r="A16" s="46">
        <v>39012215</v>
      </c>
      <c r="B16" s="60" t="s">
        <v>358</v>
      </c>
      <c r="C16" s="49">
        <v>3</v>
      </c>
      <c r="D16" s="49" t="s">
        <v>262</v>
      </c>
      <c r="E16" s="122" t="s">
        <v>264</v>
      </c>
      <c r="F16" s="122" t="s">
        <v>282</v>
      </c>
      <c r="G16" s="61" t="str">
        <f t="shared" si="0"/>
        <v>[effect:enemy_message, val1:1.2, val2:0.0]</v>
      </c>
      <c r="H16" s="61">
        <f t="shared" si="1"/>
        <v>9</v>
      </c>
      <c r="I16" s="61">
        <f t="shared" si="2"/>
        <v>22</v>
      </c>
      <c r="J16" s="61" t="e">
        <f t="shared" si="3"/>
        <v>#VALUE!</v>
      </c>
      <c r="K16" s="61">
        <f t="shared" si="4"/>
        <v>32</v>
      </c>
      <c r="L16" s="61" t="str">
        <f>IFERROR(VLOOKUP(MID(G16,J16,K16-J16),[6]skilldef!$C:$D,2,FALSE),"-") &amp; " / " &amp; IFERROR(VLOOKUP(MID(G16,H16,I16-H16),[6]skilldef!$A:$B,2,FALSE),"-")</f>
        <v>- / -</v>
      </c>
      <c r="M16" s="61" t="str">
        <f t="shared" si="5"/>
        <v>none</v>
      </c>
      <c r="N16" s="47" t="str">
        <f t="shared" si="15"/>
        <v>none</v>
      </c>
      <c r="O16" s="61" t="e">
        <f t="shared" si="6"/>
        <v>#VALUE!</v>
      </c>
      <c r="P16" s="61">
        <f t="shared" si="7"/>
        <v>4</v>
      </c>
      <c r="Q16" s="61" t="e">
        <f t="shared" si="8"/>
        <v>#VALUE!</v>
      </c>
      <c r="R16" s="61" t="e">
        <f t="shared" si="9"/>
        <v>#VALUE!</v>
      </c>
      <c r="S16" s="61" t="str">
        <f>IFERROR(VLOOKUP(MID(N16,Q16,R16-Q16),[6]skilldef!$C:$D,2,FALSE),"-") &amp; " / " &amp; IFERROR(VLOOKUP(MID(N16,O16,P16-O16),[6]skilldef!$A:$B,2,FALSE),"-")</f>
        <v>- / -</v>
      </c>
      <c r="T16" s="47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9"/>
      <c r="AA16" s="50"/>
      <c r="AB16" s="49"/>
      <c r="AC16" s="48">
        <f>COUNTIF(enemy_skill_sets!C:C,enemy_skills!A16)</f>
        <v>1</v>
      </c>
    </row>
    <row r="17" spans="1:29" ht="30" x14ac:dyDescent="0.15">
      <c r="A17" s="46">
        <v>39012216</v>
      </c>
      <c r="B17" s="60" t="s">
        <v>287</v>
      </c>
      <c r="C17" s="49">
        <v>3</v>
      </c>
      <c r="D17" s="49" t="s">
        <v>262</v>
      </c>
      <c r="E17" s="127" t="s">
        <v>303</v>
      </c>
      <c r="F17" s="122" t="s">
        <v>282</v>
      </c>
      <c r="G17" s="61" t="str">
        <f t="shared" si="0"/>
        <v>[effect:enemy_message, val1:1.6, val2:0.0]</v>
      </c>
      <c r="H17" s="61">
        <f t="shared" si="1"/>
        <v>9</v>
      </c>
      <c r="I17" s="61">
        <f t="shared" si="2"/>
        <v>22</v>
      </c>
      <c r="J17" s="61" t="e">
        <f t="shared" si="3"/>
        <v>#VALUE!</v>
      </c>
      <c r="K17" s="61">
        <f t="shared" si="4"/>
        <v>32</v>
      </c>
      <c r="L17" s="61" t="str">
        <f>IFERROR(VLOOKUP(MID(G17,J17,K17-J17),[6]skilldef!$C:$D,2,FALSE),"-") &amp; " / " &amp; IFERROR(VLOOKUP(MID(G17,H17,I17-H17),[6]skilldef!$A:$B,2,FALSE),"-")</f>
        <v>- / -</v>
      </c>
      <c r="M17" s="61" t="str">
        <f t="shared" si="5"/>
        <v>none</v>
      </c>
      <c r="N17" s="47" t="str">
        <f t="shared" si="15"/>
        <v>none</v>
      </c>
      <c r="O17" s="61" t="e">
        <f t="shared" si="6"/>
        <v>#VALUE!</v>
      </c>
      <c r="P17" s="61">
        <f t="shared" si="7"/>
        <v>4</v>
      </c>
      <c r="Q17" s="61" t="e">
        <f t="shared" si="8"/>
        <v>#VALUE!</v>
      </c>
      <c r="R17" s="61" t="e">
        <f t="shared" si="9"/>
        <v>#VALUE!</v>
      </c>
      <c r="S17" s="61" t="str">
        <f>IFERROR(VLOOKUP(MID(N17,Q17,R17-Q17),[6]skilldef!$C:$D,2,FALSE),"-") &amp; " / " &amp; IFERROR(VLOOKUP(MID(N17,O17,P17-O17),[6]skilldef!$A:$B,2,FALSE),"-")</f>
        <v>- / -</v>
      </c>
      <c r="T17" s="47" t="str">
        <f t="shared" si="10"/>
        <v>none</v>
      </c>
      <c r="U17" s="61" t="e">
        <f t="shared" si="11"/>
        <v>#VALUE!</v>
      </c>
      <c r="V17" s="61">
        <f t="shared" si="12"/>
        <v>4</v>
      </c>
      <c r="W17" s="61" t="e">
        <f t="shared" si="13"/>
        <v>#VALUE!</v>
      </c>
      <c r="X17" s="61" t="e">
        <f t="shared" si="14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9"/>
      <c r="AA17" s="50"/>
      <c r="AB17" s="49"/>
      <c r="AC17" s="48">
        <f>COUNTIF(enemy_skill_sets!C:C,enemy_skills!A17)</f>
        <v>1</v>
      </c>
    </row>
    <row r="18" spans="1:29" ht="30" x14ac:dyDescent="0.15">
      <c r="A18" s="46">
        <v>39012217</v>
      </c>
      <c r="B18" s="60" t="s">
        <v>287</v>
      </c>
      <c r="C18" s="49">
        <v>3</v>
      </c>
      <c r="D18" s="49" t="s">
        <v>262</v>
      </c>
      <c r="E18" s="127" t="s">
        <v>300</v>
      </c>
      <c r="F18" s="122" t="s">
        <v>282</v>
      </c>
      <c r="G18" s="61" t="str">
        <f t="shared" si="0"/>
        <v>[effect:enemy_message, val1:1.6, val2:0.0]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32</v>
      </c>
      <c r="L18" s="61" t="str">
        <f>IFERROR(VLOOKUP(MID(G18,J18,K18-J18),[6]skilldef!$C:$D,2,FALSE),"-") &amp; " / " &amp; IFERROR(VLOOKUP(MID(G18,H18,I18-H18),[6]skilldef!$A:$B,2,FALSE),"-")</f>
        <v>- / -</v>
      </c>
      <c r="M18" s="61" t="str">
        <f t="shared" si="5"/>
        <v>none</v>
      </c>
      <c r="N18" s="47" t="str">
        <f t="shared" si="15"/>
        <v>none</v>
      </c>
      <c r="O18" s="61" t="e">
        <f t="shared" si="6"/>
        <v>#VALUE!</v>
      </c>
      <c r="P18" s="61">
        <f t="shared" si="7"/>
        <v>4</v>
      </c>
      <c r="Q18" s="61" t="e">
        <f t="shared" si="8"/>
        <v>#VALUE!</v>
      </c>
      <c r="R18" s="61" t="e">
        <f t="shared" si="9"/>
        <v>#VALUE!</v>
      </c>
      <c r="S18" s="61" t="str">
        <f>IFERROR(VLOOKUP(MID(N18,Q18,R18-Q18),[6]skilldef!$C:$D,2,FALSE),"-") &amp; " / " &amp; IFERROR(VLOOKUP(MID(N18,O18,P18-O18),[6]skilldef!$A:$B,2,FALSE),"-")</f>
        <v>- / -</v>
      </c>
      <c r="T18" s="47" t="str">
        <f t="shared" si="10"/>
        <v>none</v>
      </c>
      <c r="U18" s="61" t="e">
        <f t="shared" si="11"/>
        <v>#VALUE!</v>
      </c>
      <c r="V18" s="61">
        <f t="shared" si="12"/>
        <v>4</v>
      </c>
      <c r="W18" s="61" t="e">
        <f t="shared" si="13"/>
        <v>#VALUE!</v>
      </c>
      <c r="X18" s="61" t="e">
        <f t="shared" si="14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9"/>
      <c r="AA18" s="50"/>
      <c r="AB18" s="49"/>
      <c r="AC18" s="48">
        <f>COUNTIF(enemy_skill_sets!C:C,enemy_skills!A18)</f>
        <v>1</v>
      </c>
    </row>
    <row r="19" spans="1:29" ht="30" x14ac:dyDescent="0.15">
      <c r="A19" s="46">
        <v>39012218</v>
      </c>
      <c r="B19" s="60" t="s">
        <v>288</v>
      </c>
      <c r="C19" s="49">
        <v>3</v>
      </c>
      <c r="D19" s="49" t="s">
        <v>262</v>
      </c>
      <c r="E19" s="127" t="s">
        <v>301</v>
      </c>
      <c r="F19" s="122" t="s">
        <v>282</v>
      </c>
      <c r="G19" s="61" t="str">
        <f t="shared" si="0"/>
        <v>[effect:enemy_message, val1:1.7, val2:0.0]</v>
      </c>
      <c r="H19" s="61">
        <f t="shared" si="1"/>
        <v>9</v>
      </c>
      <c r="I19" s="61">
        <f t="shared" si="2"/>
        <v>22</v>
      </c>
      <c r="J19" s="61" t="e">
        <f t="shared" si="3"/>
        <v>#VALUE!</v>
      </c>
      <c r="K19" s="61">
        <f t="shared" si="4"/>
        <v>32</v>
      </c>
      <c r="L19" s="61" t="str">
        <f>IFERROR(VLOOKUP(MID(G19,J19,K19-J19),[6]skilldef!$C:$D,2,FALSE),"-") &amp; " / " &amp; IFERROR(VLOOKUP(MID(G19,H19,I19-H19),[6]skilldef!$A:$B,2,FALSE),"-")</f>
        <v>- / -</v>
      </c>
      <c r="M19" s="61" t="str">
        <f t="shared" si="5"/>
        <v>none</v>
      </c>
      <c r="N19" s="47" t="str">
        <f t="shared" si="15"/>
        <v>none</v>
      </c>
      <c r="O19" s="61" t="e">
        <f t="shared" si="6"/>
        <v>#VALUE!</v>
      </c>
      <c r="P19" s="61">
        <f t="shared" si="7"/>
        <v>4</v>
      </c>
      <c r="Q19" s="61" t="e">
        <f t="shared" si="8"/>
        <v>#VALUE!</v>
      </c>
      <c r="R19" s="61" t="e">
        <f t="shared" si="9"/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7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9"/>
      <c r="AA19" s="50"/>
      <c r="AB19" s="49"/>
      <c r="AC19" s="48">
        <f>COUNTIF(enemy_skill_sets!C:C,enemy_skills!A19)</f>
        <v>1</v>
      </c>
    </row>
    <row r="20" spans="1:29" ht="15" x14ac:dyDescent="0.15">
      <c r="A20" s="46">
        <v>39012219</v>
      </c>
      <c r="B20" s="60" t="s">
        <v>286</v>
      </c>
      <c r="C20" s="49">
        <v>3</v>
      </c>
      <c r="D20" s="49" t="s">
        <v>262</v>
      </c>
      <c r="E20" s="122" t="s">
        <v>348</v>
      </c>
      <c r="F20" s="122" t="s">
        <v>282</v>
      </c>
      <c r="G20" s="61" t="str">
        <f t="shared" si="0"/>
        <v>[effect:enemy_message, val1:1.3, val2:0.0]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IFERROR(VLOOKUP(MID(G20,J20,K20-J20),[6]skilldef!$C:$D,2,FALSE),"-") &amp; " / " &amp; IFERROR(VLOOKUP(MID(G20,H20,I20-H20),[6]skilldef!$A:$B,2,FALSE),"-")</f>
        <v>- / -</v>
      </c>
      <c r="M20" s="61" t="str">
        <f t="shared" si="5"/>
        <v>none</v>
      </c>
      <c r="N20" s="47" t="str">
        <f t="shared" si="15"/>
        <v>none</v>
      </c>
      <c r="O20" s="61" t="e">
        <f t="shared" si="6"/>
        <v>#VALUE!</v>
      </c>
      <c r="P20" s="61">
        <f t="shared" si="7"/>
        <v>4</v>
      </c>
      <c r="Q20" s="61" t="e">
        <f t="shared" si="8"/>
        <v>#VALUE!</v>
      </c>
      <c r="R20" s="61" t="e">
        <f t="shared" si="9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7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9"/>
      <c r="AA20" s="50"/>
      <c r="AB20" s="49"/>
      <c r="AC20" s="48">
        <f>COUNTIF(enemy_skill_sets!C:C,enemy_skills!A20)</f>
        <v>1</v>
      </c>
    </row>
    <row r="21" spans="1:29" ht="15" x14ac:dyDescent="0.15">
      <c r="A21" s="46">
        <v>39012220</v>
      </c>
      <c r="B21" s="60" t="s">
        <v>313</v>
      </c>
      <c r="C21" s="49">
        <v>3</v>
      </c>
      <c r="D21" s="49" t="s">
        <v>262</v>
      </c>
      <c r="E21" s="122" t="s">
        <v>265</v>
      </c>
      <c r="F21" s="122" t="s">
        <v>282</v>
      </c>
      <c r="G21" s="61" t="str">
        <f t="shared" si="0"/>
        <v>[effect:enemy_message, val1:1.9, val2:0.0]</v>
      </c>
      <c r="H21" s="61">
        <f t="shared" si="1"/>
        <v>9</v>
      </c>
      <c r="I21" s="61">
        <f t="shared" si="2"/>
        <v>22</v>
      </c>
      <c r="J21" s="61" t="e">
        <f t="shared" si="3"/>
        <v>#VALUE!</v>
      </c>
      <c r="K21" s="61">
        <f t="shared" si="4"/>
        <v>32</v>
      </c>
      <c r="L21" s="61" t="str">
        <f>IFERROR(VLOOKUP(MID(G21,J21,K21-J21),[6]skilldef!$C:$D,2,FALSE),"-") &amp; " / " &amp; IFERROR(VLOOKUP(MID(G21,H21,I21-H21),[6]skilldef!$A:$B,2,FALSE),"-")</f>
        <v>- / -</v>
      </c>
      <c r="M21" s="61" t="str">
        <f t="shared" si="5"/>
        <v>none</v>
      </c>
      <c r="N21" s="47" t="str">
        <f t="shared" si="15"/>
        <v>none</v>
      </c>
      <c r="O21" s="61" t="e">
        <f t="shared" si="6"/>
        <v>#VALUE!</v>
      </c>
      <c r="P21" s="61">
        <f t="shared" si="7"/>
        <v>4</v>
      </c>
      <c r="Q21" s="61" t="e">
        <f t="shared" si="8"/>
        <v>#VALUE!</v>
      </c>
      <c r="R21" s="61" t="e">
        <f t="shared" si="9"/>
        <v>#VALUE!</v>
      </c>
      <c r="S21" s="61" t="str">
        <f>IFERROR(VLOOKUP(MID(N21,Q21,R21-Q21),[6]skilldef!$C:$D,2,FALSE),"-") &amp; " / " &amp; IFERROR(VLOOKUP(MID(N21,O21,P21-O21),[6]skilldef!$A:$B,2,FALSE),"-")</f>
        <v>- / -</v>
      </c>
      <c r="T21" s="47" t="str">
        <f t="shared" si="10"/>
        <v>none</v>
      </c>
      <c r="U21" s="61" t="e">
        <f t="shared" si="11"/>
        <v>#VALUE!</v>
      </c>
      <c r="V21" s="61">
        <f t="shared" si="12"/>
        <v>4</v>
      </c>
      <c r="W21" s="61" t="e">
        <f t="shared" si="13"/>
        <v>#VALUE!</v>
      </c>
      <c r="X21" s="61" t="e">
        <f t="shared" si="14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9"/>
      <c r="AA21" s="50"/>
      <c r="AB21" s="49"/>
      <c r="AC21" s="48">
        <f>COUNTIF(enemy_skill_sets!C:C,enemy_skills!A21)</f>
        <v>1</v>
      </c>
    </row>
    <row r="22" spans="1:29" ht="15" x14ac:dyDescent="0.15">
      <c r="A22" s="46">
        <v>39012221</v>
      </c>
      <c r="B22" s="60" t="s">
        <v>316</v>
      </c>
      <c r="C22" s="49">
        <v>3</v>
      </c>
      <c r="D22" s="49" t="s">
        <v>253</v>
      </c>
      <c r="E22" s="138" t="s">
        <v>349</v>
      </c>
      <c r="F22" s="122" t="s">
        <v>282</v>
      </c>
      <c r="G22" s="61" t="str">
        <f t="shared" ref="G22" si="16">IFERROR(LEFT(B22,FIND("],",B22)),B22)</f>
        <v>[effect:enemy_message, val1:1.6, val2:0.0]</v>
      </c>
      <c r="H22" s="61">
        <f t="shared" ref="H22" si="17">FIND("effect:",G22)+7</f>
        <v>9</v>
      </c>
      <c r="I22" s="61">
        <f t="shared" ref="I22" si="18">IFERROR(FIND(",",G22),LEN(G22))</f>
        <v>22</v>
      </c>
      <c r="J22" s="61" t="e">
        <f t="shared" ref="J22" si="19">FIND("target:",G22)+7</f>
        <v>#VALUE!</v>
      </c>
      <c r="K22" s="61">
        <f t="shared" ref="K22" si="20">FIND(",",G22,I22+1)</f>
        <v>32</v>
      </c>
      <c r="L22" s="61" t="str">
        <f>IFERROR(VLOOKUP(MID(G22,J22,K22-J22),[6]skilldef!$C:$D,2,FALSE),"-") &amp; " / " &amp; IFERROR(VLOOKUP(MID(G22,H22,I22-H22),[6]skilldef!$A:$B,2,FALSE),"-")</f>
        <v>- / -</v>
      </c>
      <c r="M22" s="61" t="str">
        <f t="shared" ref="M22" si="21">IFERROR(RIGHT(B22,LEN(B22)-FIND("],",B22)-1),"none")</f>
        <v>none</v>
      </c>
      <c r="N22" s="47" t="str">
        <f t="shared" ref="N22" si="22">IFERROR(LEFT(M22,FIND("],",M22)+S32),M22)</f>
        <v>none</v>
      </c>
      <c r="O22" s="61" t="e">
        <f t="shared" ref="O22" si="23">FIND("effect:",N22)+7</f>
        <v>#VALUE!</v>
      </c>
      <c r="P22" s="61">
        <f t="shared" ref="P22" si="24">IFERROR(FIND(",",N22),LEN(N22))</f>
        <v>4</v>
      </c>
      <c r="Q22" s="61" t="e">
        <f t="shared" ref="Q22" si="25">FIND("target:",N22)+7</f>
        <v>#VALUE!</v>
      </c>
      <c r="R22" s="61" t="e">
        <f t="shared" ref="R22" si="26">FIND(",",N22,P22+1)</f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7" t="str">
        <f t="shared" ref="T22" si="27">IFERROR(RIGHT(M22,LEN(M22)-FIND("],",M22)-1),"none")</f>
        <v>none</v>
      </c>
      <c r="U22" s="61" t="e">
        <f t="shared" ref="U22" si="28">FIND("effect:",T22)+7</f>
        <v>#VALUE!</v>
      </c>
      <c r="V22" s="61">
        <f t="shared" ref="V22" si="29">IFERROR(FIND(",",T22),LEN(T22))</f>
        <v>4</v>
      </c>
      <c r="W22" s="61" t="e">
        <f t="shared" ref="W22" si="30">FIND("target:",T22)+7</f>
        <v>#VALUE!</v>
      </c>
      <c r="X22" s="61" t="e">
        <f t="shared" ref="X22" si="31">FIND(",",T22,V22+1)</f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9"/>
      <c r="AA22" s="50"/>
      <c r="AB22" s="49"/>
      <c r="AC22" s="48">
        <f>COUNTIF(enemy_skill_sets!C:C,enemy_skills!A22)</f>
        <v>2</v>
      </c>
    </row>
    <row r="23" spans="1:29" ht="15" x14ac:dyDescent="0.15">
      <c r="A23" s="46">
        <v>39012222</v>
      </c>
      <c r="B23" s="60" t="s">
        <v>317</v>
      </c>
      <c r="C23" s="49">
        <v>3</v>
      </c>
      <c r="D23" s="49" t="s">
        <v>253</v>
      </c>
      <c r="E23" s="138" t="s">
        <v>350</v>
      </c>
      <c r="F23" s="122" t="s">
        <v>282</v>
      </c>
      <c r="G23" s="61" t="str">
        <f t="shared" ref="G23:G28" si="32">IFERROR(LEFT(B23,FIND("],",B23)),B23)</f>
        <v>[effect:enemy_message, val1:2.0, val2:0.0]</v>
      </c>
      <c r="H23" s="61">
        <f t="shared" ref="H23:H28" si="33">FIND("effect:",G23)+7</f>
        <v>9</v>
      </c>
      <c r="I23" s="61">
        <f t="shared" ref="I23:I28" si="34">IFERROR(FIND(",",G23),LEN(G23))</f>
        <v>22</v>
      </c>
      <c r="J23" s="61" t="e">
        <f t="shared" ref="J23:J28" si="35">FIND("target:",G23)+7</f>
        <v>#VALUE!</v>
      </c>
      <c r="K23" s="61">
        <f t="shared" ref="K23:K28" si="36">FIND(",",G23,I23+1)</f>
        <v>32</v>
      </c>
      <c r="L23" s="61" t="str">
        <f>IFERROR(VLOOKUP(MID(G23,J23,K23-J23),[6]skilldef!$C:$D,2,FALSE),"-") &amp; " / " &amp; IFERROR(VLOOKUP(MID(G23,H23,I23-H23),[6]skilldef!$A:$B,2,FALSE),"-")</f>
        <v>- / -</v>
      </c>
      <c r="M23" s="61" t="str">
        <f t="shared" ref="M23:M28" si="37">IFERROR(RIGHT(B23,LEN(B23)-FIND("],",B23)-1),"none")</f>
        <v>none</v>
      </c>
      <c r="N23" s="47" t="str">
        <f t="shared" ref="N23:N25" si="38">IFERROR(LEFT(M23,FIND("],",M23)+S33),M23)</f>
        <v>none</v>
      </c>
      <c r="O23" s="61" t="e">
        <f t="shared" ref="O23:O28" si="39">FIND("effect:",N23)+7</f>
        <v>#VALUE!</v>
      </c>
      <c r="P23" s="61">
        <f t="shared" ref="P23:P28" si="40">IFERROR(FIND(",",N23),LEN(N23))</f>
        <v>4</v>
      </c>
      <c r="Q23" s="61" t="e">
        <f t="shared" ref="Q23:Q28" si="41">FIND("target:",N23)+7</f>
        <v>#VALUE!</v>
      </c>
      <c r="R23" s="61" t="e">
        <f t="shared" ref="R23:R28" si="42">FIND(",",N23,P23+1)</f>
        <v>#VALUE!</v>
      </c>
      <c r="S23" s="61" t="str">
        <f>IFERROR(VLOOKUP(MID(N23,Q23,R23-Q23),[6]skilldef!$C:$D,2,FALSE),"-") &amp; " / " &amp; IFERROR(VLOOKUP(MID(N23,O23,P23-O23),[6]skilldef!$A:$B,2,FALSE),"-")</f>
        <v>- / -</v>
      </c>
      <c r="T23" s="47" t="str">
        <f t="shared" ref="T23:T28" si="43">IFERROR(RIGHT(M23,LEN(M23)-FIND("],",M23)-1),"none")</f>
        <v>none</v>
      </c>
      <c r="U23" s="61" t="e">
        <f t="shared" ref="U23:U28" si="44">FIND("effect:",T23)+7</f>
        <v>#VALUE!</v>
      </c>
      <c r="V23" s="61">
        <f t="shared" ref="V23:V28" si="45">IFERROR(FIND(",",T23),LEN(T23))</f>
        <v>4</v>
      </c>
      <c r="W23" s="61" t="e">
        <f t="shared" ref="W23:W28" si="46">FIND("target:",T23)+7</f>
        <v>#VALUE!</v>
      </c>
      <c r="X23" s="61" t="e">
        <f t="shared" ref="X23:X28" si="47">FIND(",",T23,V23+1)</f>
        <v>#VALUE!</v>
      </c>
      <c r="Y23" s="61" t="str">
        <f>IFERROR(VLOOKUP(MID(T23,W23,X23-W23),[6]skilldef!$C:$D,2,FALSE),"-") &amp; " / " &amp; IFERROR(VLOOKUP(MID(T23,U23,V23-U23),[6]skilldef!$A:$B,2,FALSE),"-")</f>
        <v>- / -</v>
      </c>
      <c r="Z23" s="49"/>
      <c r="AA23" s="50"/>
      <c r="AB23" s="49"/>
      <c r="AC23" s="48">
        <f>COUNTIF(enemy_skill_sets!C:C,enemy_skills!A23)</f>
        <v>2</v>
      </c>
    </row>
    <row r="24" spans="1:29" ht="15" x14ac:dyDescent="0.15">
      <c r="A24" s="46">
        <v>39012223</v>
      </c>
      <c r="B24" s="60" t="s">
        <v>318</v>
      </c>
      <c r="C24" s="49">
        <v>3</v>
      </c>
      <c r="D24" s="49" t="s">
        <v>253</v>
      </c>
      <c r="E24" s="138" t="s">
        <v>315</v>
      </c>
      <c r="F24" s="122" t="s">
        <v>282</v>
      </c>
      <c r="G24" s="61" t="str">
        <f t="shared" si="32"/>
        <v>[effect:enemy_message, val1:1.4, val2:0.0]</v>
      </c>
      <c r="H24" s="61">
        <f t="shared" si="33"/>
        <v>9</v>
      </c>
      <c r="I24" s="61">
        <f t="shared" si="34"/>
        <v>22</v>
      </c>
      <c r="J24" s="61" t="e">
        <f t="shared" si="35"/>
        <v>#VALUE!</v>
      </c>
      <c r="K24" s="61">
        <f t="shared" si="36"/>
        <v>32</v>
      </c>
      <c r="L24" s="61" t="str">
        <f>IFERROR(VLOOKUP(MID(G24,J24,K24-J24),[6]skilldef!$C:$D,2,FALSE),"-") &amp; " / " &amp; IFERROR(VLOOKUP(MID(G24,H24,I24-H24),[6]skilldef!$A:$B,2,FALSE),"-")</f>
        <v>- / -</v>
      </c>
      <c r="M24" s="61" t="str">
        <f t="shared" si="37"/>
        <v>none</v>
      </c>
      <c r="N24" s="47" t="str">
        <f t="shared" si="38"/>
        <v>none</v>
      </c>
      <c r="O24" s="61" t="e">
        <f t="shared" si="39"/>
        <v>#VALUE!</v>
      </c>
      <c r="P24" s="61">
        <f t="shared" si="40"/>
        <v>4</v>
      </c>
      <c r="Q24" s="61" t="e">
        <f t="shared" si="41"/>
        <v>#VALUE!</v>
      </c>
      <c r="R24" s="61" t="e">
        <f t="shared" si="42"/>
        <v>#VALUE!</v>
      </c>
      <c r="S24" s="61" t="str">
        <f>IFERROR(VLOOKUP(MID(N24,Q24,R24-Q24),[6]skilldef!$C:$D,2,FALSE),"-") &amp; " / " &amp; IFERROR(VLOOKUP(MID(N24,O24,P24-O24),[6]skilldef!$A:$B,2,FALSE),"-")</f>
        <v>- / -</v>
      </c>
      <c r="T24" s="47" t="str">
        <f t="shared" si="43"/>
        <v>none</v>
      </c>
      <c r="U24" s="61" t="e">
        <f t="shared" si="44"/>
        <v>#VALUE!</v>
      </c>
      <c r="V24" s="61">
        <f t="shared" si="45"/>
        <v>4</v>
      </c>
      <c r="W24" s="61" t="e">
        <f t="shared" si="46"/>
        <v>#VALUE!</v>
      </c>
      <c r="X24" s="61" t="e">
        <f t="shared" si="47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9"/>
      <c r="AA24" s="50"/>
      <c r="AB24" s="49"/>
      <c r="AC24" s="48">
        <f>COUNTIF(enemy_skill_sets!C:C,enemy_skills!A24)</f>
        <v>2</v>
      </c>
    </row>
    <row r="25" spans="1:29" ht="15" x14ac:dyDescent="0.15">
      <c r="A25" s="46">
        <v>39012224</v>
      </c>
      <c r="B25" s="60" t="s">
        <v>319</v>
      </c>
      <c r="C25" s="49">
        <v>3</v>
      </c>
      <c r="D25" s="49" t="s">
        <v>253</v>
      </c>
      <c r="E25" s="138" t="s">
        <v>351</v>
      </c>
      <c r="F25" s="122" t="s">
        <v>282</v>
      </c>
      <c r="G25" s="61" t="str">
        <f t="shared" si="32"/>
        <v>[effect:enemy_message, val1:2.0, val2:0.0]</v>
      </c>
      <c r="H25" s="61">
        <f t="shared" si="33"/>
        <v>9</v>
      </c>
      <c r="I25" s="61">
        <f t="shared" si="34"/>
        <v>22</v>
      </c>
      <c r="J25" s="61" t="e">
        <f t="shared" si="35"/>
        <v>#VALUE!</v>
      </c>
      <c r="K25" s="61">
        <f t="shared" si="36"/>
        <v>32</v>
      </c>
      <c r="L25" s="61" t="str">
        <f>IFERROR(VLOOKUP(MID(G25,J25,K25-J25),[6]skilldef!$C:$D,2,FALSE),"-") &amp; " / " &amp; IFERROR(VLOOKUP(MID(G25,H25,I25-H25),[6]skilldef!$A:$B,2,FALSE),"-")</f>
        <v>- / -</v>
      </c>
      <c r="M25" s="61" t="str">
        <f t="shared" si="37"/>
        <v>none</v>
      </c>
      <c r="N25" s="47" t="str">
        <f t="shared" si="38"/>
        <v>none</v>
      </c>
      <c r="O25" s="61" t="e">
        <f t="shared" si="39"/>
        <v>#VALUE!</v>
      </c>
      <c r="P25" s="61">
        <f t="shared" si="40"/>
        <v>4</v>
      </c>
      <c r="Q25" s="61" t="e">
        <f t="shared" si="41"/>
        <v>#VALUE!</v>
      </c>
      <c r="R25" s="61" t="e">
        <f t="shared" si="42"/>
        <v>#VALUE!</v>
      </c>
      <c r="S25" s="61" t="str">
        <f>IFERROR(VLOOKUP(MID(N25,Q25,R25-Q25),[6]skilldef!$C:$D,2,FALSE),"-") &amp; " / " &amp; IFERROR(VLOOKUP(MID(N25,O25,P25-O25),[6]skilldef!$A:$B,2,FALSE),"-")</f>
        <v>- / -</v>
      </c>
      <c r="T25" s="47" t="str">
        <f t="shared" si="43"/>
        <v>none</v>
      </c>
      <c r="U25" s="61" t="e">
        <f t="shared" si="44"/>
        <v>#VALUE!</v>
      </c>
      <c r="V25" s="61">
        <f t="shared" si="45"/>
        <v>4</v>
      </c>
      <c r="W25" s="61" t="e">
        <f t="shared" si="46"/>
        <v>#VALUE!</v>
      </c>
      <c r="X25" s="61" t="e">
        <f t="shared" si="47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9"/>
      <c r="AA25" s="50"/>
      <c r="AB25" s="49"/>
      <c r="AC25" s="48">
        <f>COUNTIF(enemy_skill_sets!C:C,enemy_skills!A25)</f>
        <v>2</v>
      </c>
    </row>
    <row r="26" spans="1:29" ht="15" x14ac:dyDescent="0.15">
      <c r="A26" s="46">
        <v>39012225</v>
      </c>
      <c r="B26" s="60" t="s">
        <v>320</v>
      </c>
      <c r="C26" s="49">
        <v>3</v>
      </c>
      <c r="D26" s="49" t="s">
        <v>253</v>
      </c>
      <c r="E26" s="138" t="s">
        <v>352</v>
      </c>
      <c r="F26" s="122" t="s">
        <v>282</v>
      </c>
      <c r="G26" s="61" t="str">
        <f t="shared" si="32"/>
        <v>[effect:enemy_message, val1:1.7, val2:0.0]</v>
      </c>
      <c r="H26" s="61">
        <f t="shared" si="33"/>
        <v>9</v>
      </c>
      <c r="I26" s="61">
        <f t="shared" si="34"/>
        <v>22</v>
      </c>
      <c r="J26" s="61" t="e">
        <f t="shared" si="35"/>
        <v>#VALUE!</v>
      </c>
      <c r="K26" s="61">
        <f t="shared" si="36"/>
        <v>32</v>
      </c>
      <c r="L26" s="61" t="str">
        <f>IFERROR(VLOOKUP(MID(G26,J26,K26-J26),[6]skilldef!$C:$D,2,FALSE),"-") &amp; " / " &amp; IFERROR(VLOOKUP(MID(G26,H26,I26-H26),[6]skilldef!$A:$B,2,FALSE),"-")</f>
        <v>- / -</v>
      </c>
      <c r="M26" s="61" t="str">
        <f t="shared" si="37"/>
        <v>none</v>
      </c>
      <c r="N26" s="47" t="str">
        <f>IFERROR(LEFT(M26,FIND("],",M26)+#REF!),M26)</f>
        <v>none</v>
      </c>
      <c r="O26" s="61" t="e">
        <f t="shared" si="39"/>
        <v>#VALUE!</v>
      </c>
      <c r="P26" s="61">
        <f t="shared" si="40"/>
        <v>4</v>
      </c>
      <c r="Q26" s="61" t="e">
        <f t="shared" si="41"/>
        <v>#VALUE!</v>
      </c>
      <c r="R26" s="61" t="e">
        <f t="shared" si="42"/>
        <v>#VALUE!</v>
      </c>
      <c r="S26" s="61" t="str">
        <f>IFERROR(VLOOKUP(MID(N26,Q26,R26-Q26),[6]skilldef!$C:$D,2,FALSE),"-") &amp; " / " &amp; IFERROR(VLOOKUP(MID(N26,O26,P26-O26),[6]skilldef!$A:$B,2,FALSE),"-")</f>
        <v>- / -</v>
      </c>
      <c r="T26" s="47" t="str">
        <f t="shared" si="43"/>
        <v>none</v>
      </c>
      <c r="U26" s="61" t="e">
        <f t="shared" si="44"/>
        <v>#VALUE!</v>
      </c>
      <c r="V26" s="61">
        <f t="shared" si="45"/>
        <v>4</v>
      </c>
      <c r="W26" s="61" t="e">
        <f t="shared" si="46"/>
        <v>#VALUE!</v>
      </c>
      <c r="X26" s="61" t="e">
        <f t="shared" si="47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9"/>
      <c r="AA26" s="50"/>
      <c r="AB26" s="49"/>
      <c r="AC26" s="48">
        <f>COUNTIF(enemy_skill_sets!C:C,enemy_skills!A26)</f>
        <v>3</v>
      </c>
    </row>
    <row r="27" spans="1:29" ht="15" x14ac:dyDescent="0.15">
      <c r="A27" s="46">
        <v>39012226</v>
      </c>
      <c r="B27" s="60" t="s">
        <v>313</v>
      </c>
      <c r="C27" s="49">
        <v>3</v>
      </c>
      <c r="D27" s="49" t="s">
        <v>253</v>
      </c>
      <c r="E27" s="138" t="s">
        <v>353</v>
      </c>
      <c r="F27" s="122" t="s">
        <v>282</v>
      </c>
      <c r="G27" s="61" t="str">
        <f t="shared" si="32"/>
        <v>[effect:enemy_message, val1:1.9, val2:0.0]</v>
      </c>
      <c r="H27" s="61">
        <f t="shared" si="33"/>
        <v>9</v>
      </c>
      <c r="I27" s="61">
        <f t="shared" si="34"/>
        <v>22</v>
      </c>
      <c r="J27" s="61" t="e">
        <f t="shared" si="35"/>
        <v>#VALUE!</v>
      </c>
      <c r="K27" s="61">
        <f t="shared" si="36"/>
        <v>32</v>
      </c>
      <c r="L27" s="61" t="str">
        <f>IFERROR(VLOOKUP(MID(G27,J27,K27-J27),[6]skilldef!$C:$D,2,FALSE),"-") &amp; " / " &amp; IFERROR(VLOOKUP(MID(G27,H27,I27-H27),[6]skilldef!$A:$B,2,FALSE),"-")</f>
        <v>- / -</v>
      </c>
      <c r="M27" s="61" t="str">
        <f t="shared" si="37"/>
        <v>none</v>
      </c>
      <c r="N27" s="47" t="str">
        <f>IFERROR(LEFT(M27,FIND("],",M27)+#REF!),M27)</f>
        <v>none</v>
      </c>
      <c r="O27" s="61" t="e">
        <f t="shared" si="39"/>
        <v>#VALUE!</v>
      </c>
      <c r="P27" s="61">
        <f t="shared" si="40"/>
        <v>4</v>
      </c>
      <c r="Q27" s="61" t="e">
        <f t="shared" si="41"/>
        <v>#VALUE!</v>
      </c>
      <c r="R27" s="61" t="e">
        <f t="shared" si="42"/>
        <v>#VALUE!</v>
      </c>
      <c r="S27" s="61" t="str">
        <f>IFERROR(VLOOKUP(MID(N27,Q27,R27-Q27),[6]skilldef!$C:$D,2,FALSE),"-") &amp; " / " &amp; IFERROR(VLOOKUP(MID(N27,O27,P27-O27),[6]skilldef!$A:$B,2,FALSE),"-")</f>
        <v>- / -</v>
      </c>
      <c r="T27" s="47" t="str">
        <f t="shared" si="43"/>
        <v>none</v>
      </c>
      <c r="U27" s="61" t="e">
        <f t="shared" si="44"/>
        <v>#VALUE!</v>
      </c>
      <c r="V27" s="61">
        <f t="shared" si="45"/>
        <v>4</v>
      </c>
      <c r="W27" s="61" t="e">
        <f t="shared" si="46"/>
        <v>#VALUE!</v>
      </c>
      <c r="X27" s="61" t="e">
        <f t="shared" si="47"/>
        <v>#VALUE!</v>
      </c>
      <c r="Y27" s="61" t="str">
        <f>IFERROR(VLOOKUP(MID(T27,W27,X27-W27),[6]skilldef!$C:$D,2,FALSE),"-") &amp; " / " &amp; IFERROR(VLOOKUP(MID(T27,U27,V27-U27),[6]skilldef!$A:$B,2,FALSE),"-")</f>
        <v>- / -</v>
      </c>
      <c r="Z27" s="49"/>
      <c r="AA27" s="50"/>
      <c r="AB27" s="49"/>
      <c r="AC27" s="48">
        <f>COUNTIF(enemy_skill_sets!C:C,enemy_skills!A27)</f>
        <v>2</v>
      </c>
    </row>
    <row r="28" spans="1:29" ht="15" x14ac:dyDescent="0.15">
      <c r="A28" s="46">
        <v>39012227</v>
      </c>
      <c r="B28" s="60" t="s">
        <v>321</v>
      </c>
      <c r="C28" s="49">
        <v>3</v>
      </c>
      <c r="D28" s="49" t="s">
        <v>253</v>
      </c>
      <c r="E28" s="138" t="s">
        <v>354</v>
      </c>
      <c r="F28" s="122" t="s">
        <v>282</v>
      </c>
      <c r="G28" s="61" t="str">
        <f t="shared" si="32"/>
        <v>[effect:enemy_message, val1:1.9, val2:0.0]</v>
      </c>
      <c r="H28" s="61">
        <f t="shared" si="33"/>
        <v>9</v>
      </c>
      <c r="I28" s="61">
        <f t="shared" si="34"/>
        <v>22</v>
      </c>
      <c r="J28" s="61" t="e">
        <f t="shared" si="35"/>
        <v>#VALUE!</v>
      </c>
      <c r="K28" s="61">
        <f t="shared" si="36"/>
        <v>32</v>
      </c>
      <c r="L28" s="61" t="str">
        <f>IFERROR(VLOOKUP(MID(G28,J28,K28-J28),[6]skilldef!$C:$D,2,FALSE),"-") &amp; " / " &amp; IFERROR(VLOOKUP(MID(G28,H28,I28-H28),[6]skilldef!$A:$B,2,FALSE),"-")</f>
        <v>- / -</v>
      </c>
      <c r="M28" s="61" t="str">
        <f t="shared" si="37"/>
        <v>none</v>
      </c>
      <c r="N28" s="47" t="str">
        <f>IFERROR(LEFT(M28,FIND("],",M28)+#REF!),M28)</f>
        <v>none</v>
      </c>
      <c r="O28" s="61" t="e">
        <f t="shared" si="39"/>
        <v>#VALUE!</v>
      </c>
      <c r="P28" s="61">
        <f t="shared" si="40"/>
        <v>4</v>
      </c>
      <c r="Q28" s="61" t="e">
        <f t="shared" si="41"/>
        <v>#VALUE!</v>
      </c>
      <c r="R28" s="61" t="e">
        <f t="shared" si="42"/>
        <v>#VALUE!</v>
      </c>
      <c r="S28" s="61" t="str">
        <f>IFERROR(VLOOKUP(MID(N28,Q28,R28-Q28),[6]skilldef!$C:$D,2,FALSE),"-") &amp; " / " &amp; IFERROR(VLOOKUP(MID(N28,O28,P28-O28),[6]skilldef!$A:$B,2,FALSE),"-")</f>
        <v>- / -</v>
      </c>
      <c r="T28" s="47" t="str">
        <f t="shared" si="43"/>
        <v>none</v>
      </c>
      <c r="U28" s="61" t="e">
        <f t="shared" si="44"/>
        <v>#VALUE!</v>
      </c>
      <c r="V28" s="61">
        <f t="shared" si="45"/>
        <v>4</v>
      </c>
      <c r="W28" s="61" t="e">
        <f t="shared" si="46"/>
        <v>#VALUE!</v>
      </c>
      <c r="X28" s="61" t="e">
        <f t="shared" si="47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9"/>
      <c r="AA28" s="50"/>
      <c r="AB28" s="49"/>
      <c r="AC28" s="48">
        <f>COUNTIF(enemy_skill_sets!C:C,enemy_skills!A28)</f>
        <v>2</v>
      </c>
    </row>
    <row r="29" spans="1:29" ht="15" x14ac:dyDescent="0.15">
      <c r="A29" s="46">
        <v>39012228</v>
      </c>
      <c r="B29" s="56" t="s">
        <v>328</v>
      </c>
      <c r="C29" s="49">
        <v>3</v>
      </c>
      <c r="D29" s="49" t="s">
        <v>253</v>
      </c>
      <c r="E29" s="139" t="s">
        <v>355</v>
      </c>
      <c r="F29" s="122" t="s">
        <v>282</v>
      </c>
      <c r="G29" s="61" t="str">
        <f t="shared" ref="G29" si="48">IFERROR(LEFT(B29,FIND("],",B29)),B29)</f>
        <v>[effect:enemy_message, val1:2.4, val2:0.0]</v>
      </c>
      <c r="H29" s="61">
        <f t="shared" ref="H29" si="49">FIND("effect:",G29)+7</f>
        <v>9</v>
      </c>
      <c r="I29" s="61">
        <f t="shared" ref="I29" si="50">IFERROR(FIND(",",G29),LEN(G29))</f>
        <v>22</v>
      </c>
      <c r="J29" s="61" t="e">
        <f t="shared" ref="J29" si="51">FIND("target:",G29)+7</f>
        <v>#VALUE!</v>
      </c>
      <c r="K29" s="61">
        <f t="shared" ref="K29" si="52">FIND(",",G29,I29+1)</f>
        <v>32</v>
      </c>
      <c r="L29" s="61" t="str">
        <f>IFERROR(VLOOKUP(MID(G29,J29,K29-J29),[6]skilldef!$C:$D,2,FALSE),"-") &amp; " / " &amp; IFERROR(VLOOKUP(MID(G29,H29,I29-H29),[6]skilldef!$A:$B,2,FALSE),"-")</f>
        <v>- / -</v>
      </c>
      <c r="M29" s="61" t="str">
        <f t="shared" ref="M29" si="53">IFERROR(RIGHT(B29,LEN(B29)-FIND("],",B29)-1),"none")</f>
        <v>none</v>
      </c>
      <c r="N29" s="47" t="str">
        <f>IFERROR(LEFT(M29,FIND("],",M29)+#REF!),M29)</f>
        <v>none</v>
      </c>
      <c r="O29" s="61" t="e">
        <f t="shared" ref="O29" si="54">FIND("effect:",N29)+7</f>
        <v>#VALUE!</v>
      </c>
      <c r="P29" s="61">
        <f t="shared" ref="P29" si="55">IFERROR(FIND(",",N29),LEN(N29))</f>
        <v>4</v>
      </c>
      <c r="Q29" s="61" t="e">
        <f t="shared" ref="Q29" si="56">FIND("target:",N29)+7</f>
        <v>#VALUE!</v>
      </c>
      <c r="R29" s="61" t="e">
        <f t="shared" ref="R29" si="57">FIND(",",N29,P29+1)</f>
        <v>#VALUE!</v>
      </c>
      <c r="S29" s="61" t="str">
        <f>IFERROR(VLOOKUP(MID(N29,Q29,R29-Q29),[6]skilldef!$C:$D,2,FALSE),"-") &amp; " / " &amp; IFERROR(VLOOKUP(MID(N29,O29,P29-O29),[6]skilldef!$A:$B,2,FALSE),"-")</f>
        <v>- / -</v>
      </c>
      <c r="T29" s="47" t="str">
        <f t="shared" ref="T29" si="58">IFERROR(RIGHT(M29,LEN(M29)-FIND("],",M29)-1),"none")</f>
        <v>none</v>
      </c>
      <c r="U29" s="61" t="e">
        <f t="shared" ref="U29" si="59">FIND("effect:",T29)+7</f>
        <v>#VALUE!</v>
      </c>
      <c r="V29" s="61">
        <f t="shared" ref="V29" si="60">IFERROR(FIND(",",T29),LEN(T29))</f>
        <v>4</v>
      </c>
      <c r="W29" s="61" t="e">
        <f t="shared" ref="W29" si="61">FIND("target:",T29)+7</f>
        <v>#VALUE!</v>
      </c>
      <c r="X29" s="61" t="e">
        <f t="shared" ref="X29" si="62">FIND(",",T29,V29+1)</f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9"/>
      <c r="AA29" s="50"/>
      <c r="AB29" s="49"/>
      <c r="AC29" s="48">
        <f>COUNTIF(enemy_skill_sets!C:C,enemy_skills!A29)</f>
        <v>2</v>
      </c>
    </row>
    <row r="30" spans="1:29" ht="15" x14ac:dyDescent="0.15">
      <c r="A30" s="46">
        <v>39012229</v>
      </c>
      <c r="B30" s="56" t="s">
        <v>329</v>
      </c>
      <c r="C30" s="49">
        <v>3</v>
      </c>
      <c r="D30" s="49" t="s">
        <v>253</v>
      </c>
      <c r="E30" s="139" t="s">
        <v>322</v>
      </c>
      <c r="F30" s="122" t="s">
        <v>282</v>
      </c>
      <c r="G30" s="61" t="str">
        <f t="shared" ref="G30:G35" si="63">IFERROR(LEFT(B30,FIND("],",B30)),B30)</f>
        <v>[effect:enemy_message, val1:1.8, val2:0.0]</v>
      </c>
      <c r="H30" s="61">
        <f t="shared" ref="H30:H35" si="64">FIND("effect:",G30)+7</f>
        <v>9</v>
      </c>
      <c r="I30" s="61">
        <f t="shared" ref="I30:I35" si="65">IFERROR(FIND(",",G30),LEN(G30))</f>
        <v>22</v>
      </c>
      <c r="J30" s="61" t="e">
        <f t="shared" ref="J30:J35" si="66">FIND("target:",G30)+7</f>
        <v>#VALUE!</v>
      </c>
      <c r="K30" s="61">
        <f t="shared" ref="K30:K35" si="67">FIND(",",G30,I30+1)</f>
        <v>32</v>
      </c>
      <c r="L30" s="61" t="str">
        <f>IFERROR(VLOOKUP(MID(G30,J30,K30-J30),[6]skilldef!$C:$D,2,FALSE),"-") &amp; " / " &amp; IFERROR(VLOOKUP(MID(G30,H30,I30-H30),[6]skilldef!$A:$B,2,FALSE),"-")</f>
        <v>- / -</v>
      </c>
      <c r="M30" s="61" t="str">
        <f t="shared" ref="M30:M35" si="68">IFERROR(RIGHT(B30,LEN(B30)-FIND("],",B30)-1),"none")</f>
        <v>none</v>
      </c>
      <c r="N30" s="47" t="str">
        <f>IFERROR(LEFT(M30,FIND("],",M30)+#REF!),M30)</f>
        <v>none</v>
      </c>
      <c r="O30" s="61" t="e">
        <f t="shared" ref="O30:O35" si="69">FIND("effect:",N30)+7</f>
        <v>#VALUE!</v>
      </c>
      <c r="P30" s="61">
        <f t="shared" ref="P30:P35" si="70">IFERROR(FIND(",",N30),LEN(N30))</f>
        <v>4</v>
      </c>
      <c r="Q30" s="61" t="e">
        <f t="shared" ref="Q30:Q35" si="71">FIND("target:",N30)+7</f>
        <v>#VALUE!</v>
      </c>
      <c r="R30" s="61" t="e">
        <f t="shared" ref="R30:R35" si="72">FIND(",",N30,P30+1)</f>
        <v>#VALUE!</v>
      </c>
      <c r="S30" s="61" t="str">
        <f>IFERROR(VLOOKUP(MID(N30,Q30,R30-Q30),[6]skilldef!$C:$D,2,FALSE),"-") &amp; " / " &amp; IFERROR(VLOOKUP(MID(N30,O30,P30-O30),[6]skilldef!$A:$B,2,FALSE),"-")</f>
        <v>- / -</v>
      </c>
      <c r="T30" s="47" t="str">
        <f t="shared" ref="T30:T35" si="73">IFERROR(RIGHT(M30,LEN(M30)-FIND("],",M30)-1),"none")</f>
        <v>none</v>
      </c>
      <c r="U30" s="61" t="e">
        <f t="shared" ref="U30:U35" si="74">FIND("effect:",T30)+7</f>
        <v>#VALUE!</v>
      </c>
      <c r="V30" s="61">
        <f t="shared" ref="V30:V35" si="75">IFERROR(FIND(",",T30),LEN(T30))</f>
        <v>4</v>
      </c>
      <c r="W30" s="61" t="e">
        <f t="shared" ref="W30:W35" si="76">FIND("target:",T30)+7</f>
        <v>#VALUE!</v>
      </c>
      <c r="X30" s="61" t="e">
        <f t="shared" ref="X30:X35" si="77">FIND(",",T30,V30+1)</f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9"/>
      <c r="AA30" s="50"/>
      <c r="AB30" s="49"/>
      <c r="AC30" s="48">
        <f>COUNTIF(enemy_skill_sets!C:C,enemy_skills!A30)</f>
        <v>2</v>
      </c>
    </row>
    <row r="31" spans="1:29" ht="15" x14ac:dyDescent="0.15">
      <c r="A31" s="46">
        <v>39012230</v>
      </c>
      <c r="B31" s="56" t="s">
        <v>330</v>
      </c>
      <c r="C31" s="49">
        <v>3</v>
      </c>
      <c r="D31" s="49" t="s">
        <v>253</v>
      </c>
      <c r="E31" s="139" t="s">
        <v>323</v>
      </c>
      <c r="F31" s="122" t="s">
        <v>282</v>
      </c>
      <c r="G31" s="61" t="str">
        <f t="shared" si="63"/>
        <v>[effect:enemy_message, val1:2.1, val2:0.0]</v>
      </c>
      <c r="H31" s="61">
        <f t="shared" si="64"/>
        <v>9</v>
      </c>
      <c r="I31" s="61">
        <f t="shared" si="65"/>
        <v>22</v>
      </c>
      <c r="J31" s="61" t="e">
        <f t="shared" si="66"/>
        <v>#VALUE!</v>
      </c>
      <c r="K31" s="61">
        <f t="shared" si="67"/>
        <v>32</v>
      </c>
      <c r="L31" s="61" t="str">
        <f>IFERROR(VLOOKUP(MID(G31,J31,K31-J31),[6]skilldef!$C:$D,2,FALSE),"-") &amp; " / " &amp; IFERROR(VLOOKUP(MID(G31,H31,I31-H31),[6]skilldef!$A:$B,2,FALSE),"-")</f>
        <v>- / -</v>
      </c>
      <c r="M31" s="61" t="str">
        <f t="shared" si="68"/>
        <v>none</v>
      </c>
      <c r="N31" s="47" t="str">
        <f>IFERROR(LEFT(M31,FIND("],",M31)+#REF!),M31)</f>
        <v>none</v>
      </c>
      <c r="O31" s="61" t="e">
        <f t="shared" si="69"/>
        <v>#VALUE!</v>
      </c>
      <c r="P31" s="61">
        <f t="shared" si="70"/>
        <v>4</v>
      </c>
      <c r="Q31" s="61" t="e">
        <f t="shared" si="71"/>
        <v>#VALUE!</v>
      </c>
      <c r="R31" s="61" t="e">
        <f t="shared" si="72"/>
        <v>#VALUE!</v>
      </c>
      <c r="S31" s="61" t="str">
        <f>IFERROR(VLOOKUP(MID(N31,Q31,R31-Q31),[6]skilldef!$C:$D,2,FALSE),"-") &amp; " / " &amp; IFERROR(VLOOKUP(MID(N31,O31,P31-O31),[6]skilldef!$A:$B,2,FALSE),"-")</f>
        <v>- / -</v>
      </c>
      <c r="T31" s="47" t="str">
        <f t="shared" si="73"/>
        <v>none</v>
      </c>
      <c r="U31" s="61" t="e">
        <f t="shared" si="74"/>
        <v>#VALUE!</v>
      </c>
      <c r="V31" s="61">
        <f t="shared" si="75"/>
        <v>4</v>
      </c>
      <c r="W31" s="61" t="e">
        <f t="shared" si="76"/>
        <v>#VALUE!</v>
      </c>
      <c r="X31" s="61" t="e">
        <f t="shared" si="77"/>
        <v>#VALUE!</v>
      </c>
      <c r="Y31" s="61" t="str">
        <f>IFERROR(VLOOKUP(MID(T31,W31,X31-W31),[6]skilldef!$C:$D,2,FALSE),"-") &amp; " / " &amp; IFERROR(VLOOKUP(MID(T31,U31,V31-U31),[6]skilldef!$A:$B,2,FALSE),"-")</f>
        <v>- / -</v>
      </c>
      <c r="Z31" s="49"/>
      <c r="AA31" s="50"/>
      <c r="AB31" s="49"/>
      <c r="AC31" s="48">
        <f>COUNTIF(enemy_skill_sets!C:C,enemy_skills!A31)</f>
        <v>2</v>
      </c>
    </row>
    <row r="32" spans="1:29" ht="15" x14ac:dyDescent="0.15">
      <c r="A32" s="46">
        <v>39012231</v>
      </c>
      <c r="B32" s="56" t="s">
        <v>317</v>
      </c>
      <c r="C32" s="49">
        <v>3</v>
      </c>
      <c r="D32" s="49" t="s">
        <v>253</v>
      </c>
      <c r="E32" s="139" t="s">
        <v>324</v>
      </c>
      <c r="F32" s="122" t="s">
        <v>282</v>
      </c>
      <c r="G32" s="61" t="str">
        <f t="shared" si="63"/>
        <v>[effect:enemy_message, val1:2.0, val2:0.0]</v>
      </c>
      <c r="H32" s="61">
        <f t="shared" si="64"/>
        <v>9</v>
      </c>
      <c r="I32" s="61">
        <f t="shared" si="65"/>
        <v>22</v>
      </c>
      <c r="J32" s="61" t="e">
        <f t="shared" si="66"/>
        <v>#VALUE!</v>
      </c>
      <c r="K32" s="61">
        <f t="shared" si="67"/>
        <v>32</v>
      </c>
      <c r="L32" s="61" t="str">
        <f>IFERROR(VLOOKUP(MID(G32,J32,K32-J32),[6]skilldef!$C:$D,2,FALSE),"-") &amp; " / " &amp; IFERROR(VLOOKUP(MID(G32,H32,I32-H32),[6]skilldef!$A:$B,2,FALSE),"-")</f>
        <v>- / -</v>
      </c>
      <c r="M32" s="61" t="str">
        <f t="shared" si="68"/>
        <v>none</v>
      </c>
      <c r="N32" s="47" t="str">
        <f>IFERROR(LEFT(M32,FIND("],",M32)+#REF!),M32)</f>
        <v>none</v>
      </c>
      <c r="O32" s="61" t="e">
        <f t="shared" si="69"/>
        <v>#VALUE!</v>
      </c>
      <c r="P32" s="61">
        <f t="shared" si="70"/>
        <v>4</v>
      </c>
      <c r="Q32" s="61" t="e">
        <f t="shared" si="71"/>
        <v>#VALUE!</v>
      </c>
      <c r="R32" s="61" t="e">
        <f t="shared" si="72"/>
        <v>#VALUE!</v>
      </c>
      <c r="S32" s="61" t="str">
        <f>IFERROR(VLOOKUP(MID(N32,Q32,R32-Q32),[6]skilldef!$C:$D,2,FALSE),"-") &amp; " / " &amp; IFERROR(VLOOKUP(MID(N32,O32,P32-O32),[6]skilldef!$A:$B,2,FALSE),"-")</f>
        <v>- / -</v>
      </c>
      <c r="T32" s="47" t="str">
        <f t="shared" si="73"/>
        <v>none</v>
      </c>
      <c r="U32" s="61" t="e">
        <f t="shared" si="74"/>
        <v>#VALUE!</v>
      </c>
      <c r="V32" s="61">
        <f t="shared" si="75"/>
        <v>4</v>
      </c>
      <c r="W32" s="61" t="e">
        <f t="shared" si="76"/>
        <v>#VALUE!</v>
      </c>
      <c r="X32" s="61" t="e">
        <f t="shared" si="77"/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9"/>
      <c r="AA32" s="50"/>
      <c r="AB32" s="49"/>
      <c r="AC32" s="48">
        <f>COUNTIF(enemy_skill_sets!C:C,enemy_skills!A32)</f>
        <v>2</v>
      </c>
    </row>
    <row r="33" spans="1:29" ht="15" x14ac:dyDescent="0.15">
      <c r="A33" s="46">
        <v>39012232</v>
      </c>
      <c r="B33" s="56" t="s">
        <v>317</v>
      </c>
      <c r="C33" s="49">
        <v>3</v>
      </c>
      <c r="D33" s="49" t="s">
        <v>253</v>
      </c>
      <c r="E33" s="139" t="s">
        <v>325</v>
      </c>
      <c r="F33" s="122" t="s">
        <v>282</v>
      </c>
      <c r="G33" s="61" t="str">
        <f t="shared" si="63"/>
        <v>[effect:enemy_message, val1:2.0, val2:0.0]</v>
      </c>
      <c r="H33" s="61">
        <f t="shared" si="64"/>
        <v>9</v>
      </c>
      <c r="I33" s="61">
        <f t="shared" si="65"/>
        <v>22</v>
      </c>
      <c r="J33" s="61" t="e">
        <f t="shared" si="66"/>
        <v>#VALUE!</v>
      </c>
      <c r="K33" s="61">
        <f t="shared" si="67"/>
        <v>32</v>
      </c>
      <c r="L33" s="61" t="str">
        <f>IFERROR(VLOOKUP(MID(G33,J33,K33-J33),[6]skilldef!$C:$D,2,FALSE),"-") &amp; " / " &amp; IFERROR(VLOOKUP(MID(G33,H33,I33-H33),[6]skilldef!$A:$B,2,FALSE),"-")</f>
        <v>- / -</v>
      </c>
      <c r="M33" s="61" t="str">
        <f t="shared" si="68"/>
        <v>none</v>
      </c>
      <c r="N33" s="47" t="str">
        <f>IFERROR(LEFT(M33,FIND("],",M33)+#REF!),M33)</f>
        <v>none</v>
      </c>
      <c r="O33" s="61" t="e">
        <f t="shared" si="69"/>
        <v>#VALUE!</v>
      </c>
      <c r="P33" s="61">
        <f t="shared" si="70"/>
        <v>4</v>
      </c>
      <c r="Q33" s="61" t="e">
        <f t="shared" si="71"/>
        <v>#VALUE!</v>
      </c>
      <c r="R33" s="61" t="e">
        <f t="shared" si="72"/>
        <v>#VALUE!</v>
      </c>
      <c r="S33" s="61" t="str">
        <f>IFERROR(VLOOKUP(MID(N33,Q33,R33-Q33),[6]skilldef!$C:$D,2,FALSE),"-") &amp; " / " &amp; IFERROR(VLOOKUP(MID(N33,O33,P33-O33),[6]skilldef!$A:$B,2,FALSE),"-")</f>
        <v>- / -</v>
      </c>
      <c r="T33" s="47" t="str">
        <f t="shared" si="73"/>
        <v>none</v>
      </c>
      <c r="U33" s="61" t="e">
        <f t="shared" si="74"/>
        <v>#VALUE!</v>
      </c>
      <c r="V33" s="61">
        <f t="shared" si="75"/>
        <v>4</v>
      </c>
      <c r="W33" s="61" t="e">
        <f t="shared" si="76"/>
        <v>#VALUE!</v>
      </c>
      <c r="X33" s="61" t="e">
        <f t="shared" si="77"/>
        <v>#VALUE!</v>
      </c>
      <c r="Y33" s="61" t="str">
        <f>IFERROR(VLOOKUP(MID(T33,W33,X33-W33),[6]skilldef!$C:$D,2,FALSE),"-") &amp; " / " &amp; IFERROR(VLOOKUP(MID(T33,U33,V33-U33),[6]skilldef!$A:$B,2,FALSE),"-")</f>
        <v>- / -</v>
      </c>
      <c r="Z33" s="49"/>
      <c r="AA33" s="50"/>
      <c r="AB33" s="49"/>
      <c r="AC33" s="48">
        <f>COUNTIF(enemy_skill_sets!C:C,enemy_skills!A33)</f>
        <v>3</v>
      </c>
    </row>
    <row r="34" spans="1:29" ht="15" x14ac:dyDescent="0.15">
      <c r="A34" s="46">
        <v>39012233</v>
      </c>
      <c r="B34" s="56" t="s">
        <v>331</v>
      </c>
      <c r="C34" s="49">
        <v>3</v>
      </c>
      <c r="D34" s="49" t="s">
        <v>253</v>
      </c>
      <c r="E34" s="139" t="s">
        <v>326</v>
      </c>
      <c r="F34" s="122" t="s">
        <v>282</v>
      </c>
      <c r="G34" s="61" t="str">
        <f t="shared" si="63"/>
        <v>[effect:enemy_message, val1:2.3, val2:0.0]</v>
      </c>
      <c r="H34" s="61">
        <f t="shared" si="64"/>
        <v>9</v>
      </c>
      <c r="I34" s="61">
        <f t="shared" si="65"/>
        <v>22</v>
      </c>
      <c r="J34" s="61" t="e">
        <f t="shared" si="66"/>
        <v>#VALUE!</v>
      </c>
      <c r="K34" s="61">
        <f t="shared" si="67"/>
        <v>32</v>
      </c>
      <c r="L34" s="61" t="str">
        <f>IFERROR(VLOOKUP(MID(G34,J34,K34-J34),[6]skilldef!$C:$D,2,FALSE),"-") &amp; " / " &amp; IFERROR(VLOOKUP(MID(G34,H34,I34-H34),[6]skilldef!$A:$B,2,FALSE),"-")</f>
        <v>- / -</v>
      </c>
      <c r="M34" s="61" t="str">
        <f t="shared" si="68"/>
        <v>none</v>
      </c>
      <c r="N34" s="47" t="str">
        <f>IFERROR(LEFT(M34,FIND("],",M34)+#REF!),M34)</f>
        <v>none</v>
      </c>
      <c r="O34" s="61" t="e">
        <f t="shared" si="69"/>
        <v>#VALUE!</v>
      </c>
      <c r="P34" s="61">
        <f t="shared" si="70"/>
        <v>4</v>
      </c>
      <c r="Q34" s="61" t="e">
        <f t="shared" si="71"/>
        <v>#VALUE!</v>
      </c>
      <c r="R34" s="61" t="e">
        <f t="shared" si="72"/>
        <v>#VALUE!</v>
      </c>
      <c r="S34" s="61" t="str">
        <f>IFERROR(VLOOKUP(MID(N34,Q34,R34-Q34),[6]skilldef!$C:$D,2,FALSE),"-") &amp; " / " &amp; IFERROR(VLOOKUP(MID(N34,O34,P34-O34),[6]skilldef!$A:$B,2,FALSE),"-")</f>
        <v>- / -</v>
      </c>
      <c r="T34" s="47" t="str">
        <f t="shared" si="73"/>
        <v>none</v>
      </c>
      <c r="U34" s="61" t="e">
        <f t="shared" si="74"/>
        <v>#VALUE!</v>
      </c>
      <c r="V34" s="61">
        <f t="shared" si="75"/>
        <v>4</v>
      </c>
      <c r="W34" s="61" t="e">
        <f t="shared" si="76"/>
        <v>#VALUE!</v>
      </c>
      <c r="X34" s="61" t="e">
        <f t="shared" si="77"/>
        <v>#VALUE!</v>
      </c>
      <c r="Y34" s="61" t="str">
        <f>IFERROR(VLOOKUP(MID(T34,W34,X34-W34),[6]skilldef!$C:$D,2,FALSE),"-") &amp; " / " &amp; IFERROR(VLOOKUP(MID(T34,U34,V34-U34),[6]skilldef!$A:$B,2,FALSE),"-")</f>
        <v>- / -</v>
      </c>
      <c r="Z34" s="49"/>
      <c r="AA34" s="50"/>
      <c r="AB34" s="49"/>
      <c r="AC34" s="48">
        <f>COUNTIF(enemy_skill_sets!C:C,enemy_skills!A34)</f>
        <v>2</v>
      </c>
    </row>
    <row r="35" spans="1:29" ht="15" x14ac:dyDescent="0.15">
      <c r="A35" s="46">
        <v>39012235</v>
      </c>
      <c r="B35" s="56" t="s">
        <v>332</v>
      </c>
      <c r="C35" s="49">
        <v>3</v>
      </c>
      <c r="D35" s="49" t="s">
        <v>253</v>
      </c>
      <c r="E35" s="139" t="s">
        <v>327</v>
      </c>
      <c r="F35" s="122" t="s">
        <v>282</v>
      </c>
      <c r="G35" s="61" t="str">
        <f t="shared" si="63"/>
        <v>[effect:enemy_message, val1:2.2, val2:0.0]</v>
      </c>
      <c r="H35" s="61">
        <f t="shared" si="64"/>
        <v>9</v>
      </c>
      <c r="I35" s="61">
        <f t="shared" si="65"/>
        <v>22</v>
      </c>
      <c r="J35" s="61" t="e">
        <f t="shared" si="66"/>
        <v>#VALUE!</v>
      </c>
      <c r="K35" s="61">
        <f t="shared" si="67"/>
        <v>32</v>
      </c>
      <c r="L35" s="61" t="str">
        <f>IFERROR(VLOOKUP(MID(G35,J35,K35-J35),[6]skilldef!$C:$D,2,FALSE),"-") &amp; " / " &amp; IFERROR(VLOOKUP(MID(G35,H35,I35-H35),[6]skilldef!$A:$B,2,FALSE),"-")</f>
        <v>- / -</v>
      </c>
      <c r="M35" s="61" t="str">
        <f t="shared" si="68"/>
        <v>none</v>
      </c>
      <c r="N35" s="47" t="str">
        <f>IFERROR(LEFT(M35,FIND("],",M35)+#REF!),M35)</f>
        <v>none</v>
      </c>
      <c r="O35" s="61" t="e">
        <f t="shared" si="69"/>
        <v>#VALUE!</v>
      </c>
      <c r="P35" s="61">
        <f t="shared" si="70"/>
        <v>4</v>
      </c>
      <c r="Q35" s="61" t="e">
        <f t="shared" si="71"/>
        <v>#VALUE!</v>
      </c>
      <c r="R35" s="61" t="e">
        <f t="shared" si="72"/>
        <v>#VALUE!</v>
      </c>
      <c r="S35" s="61" t="str">
        <f>IFERROR(VLOOKUP(MID(N35,Q35,R35-Q35),[6]skilldef!$C:$D,2,FALSE),"-") &amp; " / " &amp; IFERROR(VLOOKUP(MID(N35,O35,P35-O35),[6]skilldef!$A:$B,2,FALSE),"-")</f>
        <v>- / -</v>
      </c>
      <c r="T35" s="47" t="str">
        <f t="shared" si="73"/>
        <v>none</v>
      </c>
      <c r="U35" s="61" t="e">
        <f t="shared" si="74"/>
        <v>#VALUE!</v>
      </c>
      <c r="V35" s="61">
        <f t="shared" si="75"/>
        <v>4</v>
      </c>
      <c r="W35" s="61" t="e">
        <f t="shared" si="76"/>
        <v>#VALUE!</v>
      </c>
      <c r="X35" s="61" t="e">
        <f t="shared" si="77"/>
        <v>#VALUE!</v>
      </c>
      <c r="Y35" s="61" t="str">
        <f>IFERROR(VLOOKUP(MID(T35,W35,X35-W35),[6]skilldef!$C:$D,2,FALSE),"-") &amp; " / " &amp; IFERROR(VLOOKUP(MID(T35,U35,V35-U35),[6]skilldef!$A:$B,2,FALSE),"-")</f>
        <v>- / -</v>
      </c>
      <c r="Z35" s="49"/>
      <c r="AA35" s="50"/>
      <c r="AB35" s="49"/>
      <c r="AC35" s="48">
        <f>COUNTIF(enemy_skill_sets!C:C,enemy_skills!A35)</f>
        <v>2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49"/>
  <sheetViews>
    <sheetView showGridLines="0" workbookViewId="0">
      <pane ySplit="1" topLeftCell="A2" activePane="bottomLeft" state="frozenSplit"/>
      <selection pane="bottomLeft" activeCell="E52" sqref="E5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2" width="24.6640625" style="44" bestFit="1" customWidth="1"/>
    <col min="13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1" t="s">
        <v>71</v>
      </c>
      <c r="G1" s="51" t="s">
        <v>72</v>
      </c>
      <c r="H1" s="41" t="s">
        <v>73</v>
      </c>
      <c r="I1" s="41" t="s">
        <v>74</v>
      </c>
      <c r="J1" s="41" t="s">
        <v>75</v>
      </c>
      <c r="K1" s="52" t="s">
        <v>88</v>
      </c>
    </row>
    <row r="2" spans="1:11" ht="21" customHeight="1" x14ac:dyDescent="0.15">
      <c r="A2" s="128">
        <v>39012201</v>
      </c>
      <c r="B2" s="128">
        <v>0</v>
      </c>
      <c r="C2" s="128">
        <v>99</v>
      </c>
      <c r="D2" s="128">
        <v>30</v>
      </c>
      <c r="E2" s="128" t="s">
        <v>266</v>
      </c>
      <c r="F2" s="128" t="s">
        <v>266</v>
      </c>
      <c r="G2" s="128" t="s">
        <v>266</v>
      </c>
      <c r="H2" s="128">
        <v>2</v>
      </c>
      <c r="I2" s="128" t="s">
        <v>266</v>
      </c>
      <c r="J2" s="47">
        <f t="shared" ref="J2" si="0">D2</f>
        <v>30</v>
      </c>
      <c r="K2" s="38">
        <f>COUNTIF(enemy_skill_sets!F:F,enemy_skill_triggers!A2)</f>
        <v>1</v>
      </c>
    </row>
    <row r="3" spans="1:11" ht="21" customHeight="1" x14ac:dyDescent="0.15">
      <c r="A3" s="128">
        <v>39012202</v>
      </c>
      <c r="B3" s="128">
        <v>0</v>
      </c>
      <c r="C3" s="128">
        <v>98</v>
      </c>
      <c r="D3" s="128">
        <v>100</v>
      </c>
      <c r="E3" s="128" t="s">
        <v>266</v>
      </c>
      <c r="F3" s="128" t="s">
        <v>266</v>
      </c>
      <c r="G3" s="128" t="s">
        <v>266</v>
      </c>
      <c r="H3" s="128">
        <v>2</v>
      </c>
      <c r="I3" s="128" t="s">
        <v>266</v>
      </c>
      <c r="J3" s="47">
        <f t="shared" ref="J3:J19" si="1">D3</f>
        <v>100</v>
      </c>
      <c r="K3" s="38">
        <f>COUNTIF(enemy_skill_sets!F:F,enemy_skill_triggers!A3)</f>
        <v>1</v>
      </c>
    </row>
    <row r="4" spans="1:11" ht="21" customHeight="1" x14ac:dyDescent="0.15">
      <c r="A4" s="128">
        <v>39012203</v>
      </c>
      <c r="B4" s="128">
        <v>0</v>
      </c>
      <c r="C4" s="128">
        <v>97</v>
      </c>
      <c r="D4" s="128">
        <v>50</v>
      </c>
      <c r="E4" s="128" t="s">
        <v>266</v>
      </c>
      <c r="F4" s="128" t="s">
        <v>266</v>
      </c>
      <c r="G4" s="128" t="s">
        <v>266</v>
      </c>
      <c r="H4" s="128" t="s">
        <v>266</v>
      </c>
      <c r="I4" s="128" t="s">
        <v>266</v>
      </c>
      <c r="J4" s="47">
        <f t="shared" si="1"/>
        <v>50</v>
      </c>
      <c r="K4" s="38">
        <f>COUNTIF(enemy_skill_sets!F:F,enemy_skill_triggers!A4)</f>
        <v>1</v>
      </c>
    </row>
    <row r="5" spans="1:11" ht="21" customHeight="1" x14ac:dyDescent="0.15">
      <c r="A5" s="128">
        <v>39012204</v>
      </c>
      <c r="B5" s="128">
        <v>0</v>
      </c>
      <c r="C5" s="128">
        <v>96</v>
      </c>
      <c r="D5" s="128">
        <v>100</v>
      </c>
      <c r="E5" s="128" t="s">
        <v>266</v>
      </c>
      <c r="F5" s="128" t="s">
        <v>266</v>
      </c>
      <c r="G5" s="128" t="s">
        <v>266</v>
      </c>
      <c r="H5" s="128" t="s">
        <v>266</v>
      </c>
      <c r="I5" s="128" t="s">
        <v>266</v>
      </c>
      <c r="J5" s="47">
        <f t="shared" si="1"/>
        <v>100</v>
      </c>
      <c r="K5" s="38">
        <f>COUNTIF(enemy_skill_sets!F:F,enemy_skill_triggers!A5)</f>
        <v>1</v>
      </c>
    </row>
    <row r="6" spans="1:11" ht="21" customHeight="1" x14ac:dyDescent="0.15">
      <c r="A6" s="128">
        <v>39012205</v>
      </c>
      <c r="B6" s="129">
        <v>0</v>
      </c>
      <c r="C6" s="129">
        <v>97</v>
      </c>
      <c r="D6" s="129">
        <v>100</v>
      </c>
      <c r="E6" s="129" t="s">
        <v>53</v>
      </c>
      <c r="F6" s="129" t="s">
        <v>53</v>
      </c>
      <c r="G6" s="129" t="s">
        <v>53</v>
      </c>
      <c r="H6" s="129">
        <v>2</v>
      </c>
      <c r="I6" s="129" t="s">
        <v>53</v>
      </c>
      <c r="J6" s="47">
        <f t="shared" si="1"/>
        <v>100</v>
      </c>
      <c r="K6" s="38">
        <f>COUNTIF(enemy_skill_sets!F:F,enemy_skill_triggers!A6)</f>
        <v>1</v>
      </c>
    </row>
    <row r="7" spans="1:11" ht="21" customHeight="1" x14ac:dyDescent="0.15">
      <c r="A7" s="128">
        <v>39012206</v>
      </c>
      <c r="B7" s="129">
        <v>0</v>
      </c>
      <c r="C7" s="129">
        <v>99</v>
      </c>
      <c r="D7" s="129">
        <v>100</v>
      </c>
      <c r="E7" s="129" t="s">
        <v>53</v>
      </c>
      <c r="F7" s="129" t="s">
        <v>53</v>
      </c>
      <c r="G7" s="129">
        <v>0</v>
      </c>
      <c r="H7" s="129" t="s">
        <v>53</v>
      </c>
      <c r="I7" s="129">
        <v>0</v>
      </c>
      <c r="J7" s="47">
        <f t="shared" si="1"/>
        <v>100</v>
      </c>
      <c r="K7" s="38">
        <f>COUNTIF(enemy_skill_sets!F:F,enemy_skill_triggers!A7)</f>
        <v>2</v>
      </c>
    </row>
    <row r="8" spans="1:11" ht="21" customHeight="1" x14ac:dyDescent="0.15">
      <c r="A8" s="128">
        <v>39012208</v>
      </c>
      <c r="B8" s="129">
        <v>1</v>
      </c>
      <c r="C8" s="129">
        <v>100</v>
      </c>
      <c r="D8" s="129">
        <v>100</v>
      </c>
      <c r="E8" s="129" t="s">
        <v>53</v>
      </c>
      <c r="F8" s="129" t="s">
        <v>53</v>
      </c>
      <c r="G8" s="129">
        <v>1</v>
      </c>
      <c r="H8" s="129" t="s">
        <v>53</v>
      </c>
      <c r="I8" s="129" t="s">
        <v>53</v>
      </c>
      <c r="J8" s="47">
        <f t="shared" si="1"/>
        <v>100</v>
      </c>
      <c r="K8" s="38">
        <f>COUNTIF(enemy_skill_sets!F:F,enemy_skill_triggers!A8)</f>
        <v>2</v>
      </c>
    </row>
    <row r="9" spans="1:11" ht="21" customHeight="1" x14ac:dyDescent="0.15">
      <c r="A9" s="128">
        <v>39012209</v>
      </c>
      <c r="B9" s="130">
        <v>0</v>
      </c>
      <c r="C9" s="130">
        <v>99</v>
      </c>
      <c r="D9" s="130">
        <v>30</v>
      </c>
      <c r="E9" s="130" t="s">
        <v>266</v>
      </c>
      <c r="F9" s="130" t="s">
        <v>266</v>
      </c>
      <c r="G9" s="130" t="s">
        <v>266</v>
      </c>
      <c r="H9" s="130">
        <v>2</v>
      </c>
      <c r="I9" s="130" t="s">
        <v>266</v>
      </c>
      <c r="J9" s="47">
        <f t="shared" si="1"/>
        <v>30</v>
      </c>
      <c r="K9" s="38">
        <f>COUNTIF(enemy_skill_sets!F:F,enemy_skill_triggers!A9)</f>
        <v>1</v>
      </c>
    </row>
    <row r="10" spans="1:11" ht="21" customHeight="1" x14ac:dyDescent="0.15">
      <c r="A10" s="128">
        <v>39012210</v>
      </c>
      <c r="B10" s="130">
        <v>0</v>
      </c>
      <c r="C10" s="130">
        <v>100</v>
      </c>
      <c r="D10" s="130">
        <v>50</v>
      </c>
      <c r="E10" s="130" t="s">
        <v>266</v>
      </c>
      <c r="F10" s="130" t="s">
        <v>266</v>
      </c>
      <c r="G10" s="130" t="s">
        <v>266</v>
      </c>
      <c r="H10" s="130" t="s">
        <v>266</v>
      </c>
      <c r="I10" s="130" t="s">
        <v>266</v>
      </c>
      <c r="J10" s="47">
        <f t="shared" si="1"/>
        <v>50</v>
      </c>
      <c r="K10" s="38">
        <f>COUNTIF(enemy_skill_sets!F:F,enemy_skill_triggers!A10)</f>
        <v>1</v>
      </c>
    </row>
    <row r="11" spans="1:11" ht="21" customHeight="1" x14ac:dyDescent="0.15">
      <c r="A11" s="128">
        <v>39012211</v>
      </c>
      <c r="B11" s="130">
        <v>0</v>
      </c>
      <c r="C11" s="130">
        <v>98</v>
      </c>
      <c r="D11" s="130">
        <v>35</v>
      </c>
      <c r="E11" s="130" t="s">
        <v>266</v>
      </c>
      <c r="F11" s="130" t="s">
        <v>266</v>
      </c>
      <c r="G11" s="130" t="s">
        <v>266</v>
      </c>
      <c r="H11" s="130">
        <v>2</v>
      </c>
      <c r="I11" s="130" t="s">
        <v>266</v>
      </c>
      <c r="J11" s="47">
        <f t="shared" si="1"/>
        <v>35</v>
      </c>
      <c r="K11" s="38">
        <f>COUNTIF(enemy_skill_sets!F:F,enemy_skill_triggers!A11)</f>
        <v>1</v>
      </c>
    </row>
    <row r="12" spans="1:11" ht="21" customHeight="1" x14ac:dyDescent="0.15">
      <c r="A12" s="128">
        <v>39012212</v>
      </c>
      <c r="B12" s="130">
        <v>0</v>
      </c>
      <c r="C12" s="130">
        <v>97</v>
      </c>
      <c r="D12" s="130">
        <v>100</v>
      </c>
      <c r="E12" s="130" t="s">
        <v>266</v>
      </c>
      <c r="F12" s="130" t="s">
        <v>266</v>
      </c>
      <c r="G12" s="130" t="s">
        <v>266</v>
      </c>
      <c r="H12" s="130" t="s">
        <v>266</v>
      </c>
      <c r="I12" s="130" t="s">
        <v>266</v>
      </c>
      <c r="J12" s="47">
        <f t="shared" si="1"/>
        <v>100</v>
      </c>
      <c r="K12" s="38">
        <f>COUNTIF(enemy_skill_sets!F:F,enemy_skill_triggers!A12)</f>
        <v>1</v>
      </c>
    </row>
    <row r="13" spans="1:11" ht="21" customHeight="1" x14ac:dyDescent="0.15">
      <c r="A13" s="128">
        <v>39012213</v>
      </c>
      <c r="B13" s="131">
        <v>0</v>
      </c>
      <c r="C13" s="131">
        <v>98</v>
      </c>
      <c r="D13" s="131">
        <v>40</v>
      </c>
      <c r="E13" s="131" t="s">
        <v>53</v>
      </c>
      <c r="F13" s="131" t="s">
        <v>53</v>
      </c>
      <c r="G13" s="131" t="s">
        <v>53</v>
      </c>
      <c r="H13" s="131">
        <v>3</v>
      </c>
      <c r="I13" s="131" t="s">
        <v>53</v>
      </c>
      <c r="J13" s="47">
        <f t="shared" si="1"/>
        <v>40</v>
      </c>
      <c r="K13" s="38">
        <f>COUNTIF(enemy_skill_sets!F:F,enemy_skill_triggers!A13)</f>
        <v>1</v>
      </c>
    </row>
    <row r="14" spans="1:11" ht="21" customHeight="1" x14ac:dyDescent="0.15">
      <c r="A14" s="128">
        <v>39012214</v>
      </c>
      <c r="B14" s="131">
        <v>0</v>
      </c>
      <c r="C14" s="131">
        <v>97</v>
      </c>
      <c r="D14" s="131">
        <v>100</v>
      </c>
      <c r="E14" s="131" t="s">
        <v>53</v>
      </c>
      <c r="F14" s="131" t="s">
        <v>53</v>
      </c>
      <c r="G14" s="131" t="s">
        <v>53</v>
      </c>
      <c r="H14" s="131">
        <v>3</v>
      </c>
      <c r="I14" s="131" t="s">
        <v>53</v>
      </c>
      <c r="J14" s="47">
        <f t="shared" si="1"/>
        <v>100</v>
      </c>
      <c r="K14" s="38">
        <f>COUNTIF(enemy_skill_sets!F:F,enemy_skill_triggers!A14)</f>
        <v>1</v>
      </c>
    </row>
    <row r="15" spans="1:11" ht="21" customHeight="1" x14ac:dyDescent="0.15">
      <c r="A15" s="128">
        <v>39012215</v>
      </c>
      <c r="B15" s="131">
        <v>0</v>
      </c>
      <c r="C15" s="131">
        <v>96</v>
      </c>
      <c r="D15" s="131">
        <v>25</v>
      </c>
      <c r="E15" s="131" t="s">
        <v>53</v>
      </c>
      <c r="F15" s="131" t="s">
        <v>53</v>
      </c>
      <c r="G15" s="131" t="s">
        <v>53</v>
      </c>
      <c r="H15" s="131" t="s">
        <v>53</v>
      </c>
      <c r="I15" s="131" t="s">
        <v>53</v>
      </c>
      <c r="J15" s="47">
        <f t="shared" si="1"/>
        <v>25</v>
      </c>
      <c r="K15" s="38">
        <f>COUNTIF(enemy_skill_sets!F:F,enemy_skill_triggers!A15)</f>
        <v>1</v>
      </c>
    </row>
    <row r="16" spans="1:11" ht="21" customHeight="1" x14ac:dyDescent="0.15">
      <c r="A16" s="128">
        <v>39012216</v>
      </c>
      <c r="B16" s="131">
        <v>0</v>
      </c>
      <c r="C16" s="131">
        <v>95</v>
      </c>
      <c r="D16" s="131">
        <v>33</v>
      </c>
      <c r="E16" s="131" t="s">
        <v>53</v>
      </c>
      <c r="F16" s="131" t="s">
        <v>53</v>
      </c>
      <c r="G16" s="131" t="s">
        <v>53</v>
      </c>
      <c r="H16" s="131" t="s">
        <v>53</v>
      </c>
      <c r="I16" s="131" t="s">
        <v>53</v>
      </c>
      <c r="J16" s="47">
        <f t="shared" si="1"/>
        <v>33</v>
      </c>
      <c r="K16" s="38">
        <f>COUNTIF(enemy_skill_sets!F:F,enemy_skill_triggers!A16)</f>
        <v>1</v>
      </c>
    </row>
    <row r="17" spans="1:13" ht="21" customHeight="1" x14ac:dyDescent="0.15">
      <c r="A17" s="128">
        <v>39012217</v>
      </c>
      <c r="B17" s="131">
        <v>0</v>
      </c>
      <c r="C17" s="131">
        <v>94</v>
      </c>
      <c r="D17" s="131">
        <v>50</v>
      </c>
      <c r="E17" s="131" t="s">
        <v>53</v>
      </c>
      <c r="F17" s="131" t="s">
        <v>53</v>
      </c>
      <c r="G17" s="131" t="s">
        <v>53</v>
      </c>
      <c r="H17" s="131" t="s">
        <v>53</v>
      </c>
      <c r="I17" s="131" t="s">
        <v>53</v>
      </c>
      <c r="J17" s="47">
        <f t="shared" si="1"/>
        <v>50</v>
      </c>
      <c r="K17" s="38">
        <f>COUNTIF(enemy_skill_sets!F:F,enemy_skill_triggers!A17)</f>
        <v>1</v>
      </c>
    </row>
    <row r="18" spans="1:13" ht="21" customHeight="1" x14ac:dyDescent="0.15">
      <c r="A18" s="128">
        <v>39012218</v>
      </c>
      <c r="B18" s="131">
        <v>0</v>
      </c>
      <c r="C18" s="131">
        <v>93</v>
      </c>
      <c r="D18" s="131">
        <v>100</v>
      </c>
      <c r="E18" s="131" t="s">
        <v>53</v>
      </c>
      <c r="F18" s="131" t="s">
        <v>53</v>
      </c>
      <c r="G18" s="131" t="s">
        <v>53</v>
      </c>
      <c r="H18" s="131" t="s">
        <v>53</v>
      </c>
      <c r="I18" s="131" t="s">
        <v>53</v>
      </c>
      <c r="J18" s="47">
        <f t="shared" si="1"/>
        <v>100</v>
      </c>
      <c r="K18" s="38">
        <f>COUNTIF(enemy_skill_sets!F:F,enemy_skill_triggers!A18)</f>
        <v>1</v>
      </c>
    </row>
    <row r="19" spans="1:13" ht="21" customHeight="1" x14ac:dyDescent="0.15">
      <c r="A19" s="128">
        <v>39012233</v>
      </c>
      <c r="B19" s="132">
        <v>0</v>
      </c>
      <c r="C19" s="132">
        <v>100</v>
      </c>
      <c r="D19" s="132">
        <v>100</v>
      </c>
      <c r="E19" s="132" t="s">
        <v>267</v>
      </c>
      <c r="F19" s="132" t="s">
        <v>267</v>
      </c>
      <c r="G19" s="132">
        <v>1</v>
      </c>
      <c r="H19" s="132" t="s">
        <v>267</v>
      </c>
      <c r="I19" s="132">
        <v>1505</v>
      </c>
      <c r="J19" s="47">
        <f t="shared" si="1"/>
        <v>100</v>
      </c>
      <c r="K19" s="38">
        <f>COUNTIF(enemy_skill_sets!F:F,enemy_skill_triggers!A19)</f>
        <v>1</v>
      </c>
    </row>
    <row r="20" spans="1:13" ht="21" customHeight="1" x14ac:dyDescent="0.15">
      <c r="A20" s="128">
        <v>39012219</v>
      </c>
      <c r="B20" s="129">
        <v>1</v>
      </c>
      <c r="C20" s="142">
        <v>110</v>
      </c>
      <c r="D20" s="129">
        <v>100</v>
      </c>
      <c r="E20" s="129" t="s">
        <v>53</v>
      </c>
      <c r="F20" s="129" t="s">
        <v>53</v>
      </c>
      <c r="G20" s="129">
        <v>1</v>
      </c>
      <c r="H20" s="129" t="s">
        <v>53</v>
      </c>
      <c r="I20" s="129">
        <v>1537</v>
      </c>
      <c r="J20" s="47">
        <f t="shared" ref="J20" si="2">D20</f>
        <v>100</v>
      </c>
      <c r="K20" s="38">
        <f>COUNTIF(enemy_skill_sets!F:F,enemy_skill_triggers!A20)</f>
        <v>1</v>
      </c>
      <c r="L20" s="44" t="s">
        <v>333</v>
      </c>
      <c r="M20" s="44">
        <v>105</v>
      </c>
    </row>
    <row r="21" spans="1:13" ht="21" customHeight="1" x14ac:dyDescent="0.15">
      <c r="A21" s="128">
        <v>39012220</v>
      </c>
      <c r="B21" s="129">
        <v>1</v>
      </c>
      <c r="C21" s="142">
        <v>111</v>
      </c>
      <c r="D21" s="129">
        <v>100</v>
      </c>
      <c r="E21" s="129" t="s">
        <v>53</v>
      </c>
      <c r="F21" s="129" t="s">
        <v>53</v>
      </c>
      <c r="G21" s="129">
        <v>1</v>
      </c>
      <c r="H21" s="129" t="s">
        <v>53</v>
      </c>
      <c r="I21" s="129">
        <v>1538</v>
      </c>
      <c r="J21" s="47">
        <f t="shared" ref="J21" si="3">D21</f>
        <v>100</v>
      </c>
      <c r="K21" s="38">
        <f>COUNTIF(enemy_skill_sets!F:F,enemy_skill_triggers!A21)</f>
        <v>1</v>
      </c>
      <c r="L21" s="44" t="s">
        <v>334</v>
      </c>
      <c r="M21" s="44">
        <v>105</v>
      </c>
    </row>
    <row r="22" spans="1:13" ht="21" customHeight="1" x14ac:dyDescent="0.15">
      <c r="A22" s="128">
        <v>39012221</v>
      </c>
      <c r="B22" s="129">
        <v>1</v>
      </c>
      <c r="C22" s="142">
        <v>114</v>
      </c>
      <c r="D22" s="129">
        <v>100</v>
      </c>
      <c r="E22" s="129" t="s">
        <v>53</v>
      </c>
      <c r="F22" s="129" t="s">
        <v>53</v>
      </c>
      <c r="G22" s="129">
        <v>1</v>
      </c>
      <c r="H22" s="129" t="s">
        <v>53</v>
      </c>
      <c r="I22" s="129">
        <v>1541</v>
      </c>
      <c r="J22" s="47">
        <f t="shared" ref="J22:J35" si="4">D22</f>
        <v>100</v>
      </c>
      <c r="K22" s="38">
        <f>COUNTIF(enemy_skill_sets!F:F,enemy_skill_triggers!A22)</f>
        <v>1</v>
      </c>
      <c r="L22" s="44" t="s">
        <v>335</v>
      </c>
      <c r="M22" s="44">
        <v>107</v>
      </c>
    </row>
    <row r="23" spans="1:13" ht="21" customHeight="1" x14ac:dyDescent="0.15">
      <c r="A23" s="128">
        <v>39012222</v>
      </c>
      <c r="B23" s="129">
        <v>1</v>
      </c>
      <c r="C23" s="142">
        <v>115</v>
      </c>
      <c r="D23" s="129">
        <v>100</v>
      </c>
      <c r="E23" s="129" t="s">
        <v>53</v>
      </c>
      <c r="F23" s="129" t="s">
        <v>53</v>
      </c>
      <c r="G23" s="129">
        <v>1</v>
      </c>
      <c r="H23" s="129" t="s">
        <v>53</v>
      </c>
      <c r="I23" s="129">
        <v>1542</v>
      </c>
      <c r="J23" s="47">
        <f t="shared" ref="J23" si="5">D23</f>
        <v>100</v>
      </c>
      <c r="K23" s="38">
        <f>COUNTIF(enemy_skill_sets!F:F,enemy_skill_triggers!A23)</f>
        <v>1</v>
      </c>
      <c r="L23" s="44" t="s">
        <v>336</v>
      </c>
      <c r="M23" s="44">
        <v>107</v>
      </c>
    </row>
    <row r="24" spans="1:13" ht="21" customHeight="1" x14ac:dyDescent="0.15">
      <c r="A24" s="128">
        <v>39012223</v>
      </c>
      <c r="B24" s="129">
        <v>1</v>
      </c>
      <c r="C24" s="142">
        <v>106</v>
      </c>
      <c r="D24" s="129">
        <v>100</v>
      </c>
      <c r="E24" s="129" t="s">
        <v>53</v>
      </c>
      <c r="F24" s="129" t="s">
        <v>53</v>
      </c>
      <c r="G24" s="129">
        <v>1</v>
      </c>
      <c r="H24" s="129" t="s">
        <v>53</v>
      </c>
      <c r="I24" s="129">
        <v>1539</v>
      </c>
      <c r="J24" s="47">
        <f t="shared" si="4"/>
        <v>100</v>
      </c>
      <c r="K24" s="38">
        <f>COUNTIF(enemy_skill_sets!F:F,enemy_skill_triggers!A24)</f>
        <v>1</v>
      </c>
      <c r="L24" s="44" t="s">
        <v>337</v>
      </c>
      <c r="M24" s="44">
        <v>103</v>
      </c>
    </row>
    <row r="25" spans="1:13" ht="21" customHeight="1" x14ac:dyDescent="0.15">
      <c r="A25" s="128">
        <v>39012224</v>
      </c>
      <c r="B25" s="129">
        <v>1</v>
      </c>
      <c r="C25" s="142">
        <v>107</v>
      </c>
      <c r="D25" s="129">
        <v>100</v>
      </c>
      <c r="E25" s="129" t="s">
        <v>53</v>
      </c>
      <c r="F25" s="129" t="s">
        <v>53</v>
      </c>
      <c r="G25" s="129">
        <v>1</v>
      </c>
      <c r="H25" s="129" t="s">
        <v>53</v>
      </c>
      <c r="I25" s="129">
        <v>1540</v>
      </c>
      <c r="J25" s="47">
        <f t="shared" ref="J25" si="6">D25</f>
        <v>100</v>
      </c>
      <c r="K25" s="38">
        <f>COUNTIF(enemy_skill_sets!F:F,enemy_skill_triggers!A25)</f>
        <v>1</v>
      </c>
      <c r="L25" s="44" t="s">
        <v>338</v>
      </c>
      <c r="M25" s="44">
        <v>103</v>
      </c>
    </row>
    <row r="26" spans="1:13" ht="21" customHeight="1" x14ac:dyDescent="0.15">
      <c r="A26" s="128">
        <v>39012225</v>
      </c>
      <c r="B26" s="129">
        <v>1</v>
      </c>
      <c r="C26" s="142">
        <v>104</v>
      </c>
      <c r="D26" s="129">
        <v>100</v>
      </c>
      <c r="E26" s="129" t="s">
        <v>53</v>
      </c>
      <c r="F26" s="129" t="s">
        <v>53</v>
      </c>
      <c r="G26" s="129">
        <v>1</v>
      </c>
      <c r="H26" s="129" t="s">
        <v>53</v>
      </c>
      <c r="I26" s="129">
        <v>1533</v>
      </c>
      <c r="J26" s="47">
        <f t="shared" si="4"/>
        <v>100</v>
      </c>
      <c r="K26" s="38">
        <f>COUNTIF(enemy_skill_sets!F:F,enemy_skill_triggers!A26)</f>
        <v>1</v>
      </c>
      <c r="L26" s="44" t="s">
        <v>339</v>
      </c>
      <c r="M26" s="44">
        <v>102</v>
      </c>
    </row>
    <row r="27" spans="1:13" ht="21" customHeight="1" x14ac:dyDescent="0.15">
      <c r="A27" s="128">
        <v>39012226</v>
      </c>
      <c r="B27" s="129">
        <v>1</v>
      </c>
      <c r="C27" s="142">
        <v>105</v>
      </c>
      <c r="D27" s="129">
        <v>100</v>
      </c>
      <c r="E27" s="129" t="s">
        <v>53</v>
      </c>
      <c r="F27" s="129" t="s">
        <v>53</v>
      </c>
      <c r="G27" s="129">
        <v>1</v>
      </c>
      <c r="H27" s="129" t="s">
        <v>53</v>
      </c>
      <c r="I27" s="129">
        <v>1534</v>
      </c>
      <c r="J27" s="47">
        <f t="shared" ref="J27" si="7">D27</f>
        <v>100</v>
      </c>
      <c r="K27" s="38">
        <f>COUNTIF(enemy_skill_sets!F:F,enemy_skill_triggers!A27)</f>
        <v>1</v>
      </c>
      <c r="L27" s="44" t="s">
        <v>340</v>
      </c>
      <c r="M27" s="44">
        <v>102</v>
      </c>
    </row>
    <row r="28" spans="1:13" ht="21" customHeight="1" x14ac:dyDescent="0.15">
      <c r="A28" s="128">
        <v>39012227</v>
      </c>
      <c r="B28" s="129">
        <v>1</v>
      </c>
      <c r="C28" s="142">
        <v>101</v>
      </c>
      <c r="D28" s="129">
        <v>100</v>
      </c>
      <c r="E28" s="129" t="s">
        <v>53</v>
      </c>
      <c r="F28" s="129" t="s">
        <v>53</v>
      </c>
      <c r="G28" s="129">
        <v>1</v>
      </c>
      <c r="H28" s="129" t="s">
        <v>53</v>
      </c>
      <c r="I28" s="129">
        <v>1510</v>
      </c>
      <c r="J28" s="47">
        <f t="shared" si="4"/>
        <v>100</v>
      </c>
      <c r="K28" s="38">
        <f>COUNTIF(enemy_skill_sets!F:F,enemy_skill_triggers!A28)</f>
        <v>1</v>
      </c>
      <c r="L28" s="44" t="s">
        <v>341</v>
      </c>
      <c r="M28" s="44">
        <v>101</v>
      </c>
    </row>
    <row r="29" spans="1:13" ht="21" customHeight="1" x14ac:dyDescent="0.15">
      <c r="A29" s="128">
        <v>39012228</v>
      </c>
      <c r="B29" s="129">
        <v>1</v>
      </c>
      <c r="C29" s="142">
        <v>102</v>
      </c>
      <c r="D29" s="129">
        <v>100</v>
      </c>
      <c r="E29" s="129" t="s">
        <v>53</v>
      </c>
      <c r="F29" s="129" t="s">
        <v>53</v>
      </c>
      <c r="G29" s="129">
        <v>1</v>
      </c>
      <c r="H29" s="129" t="s">
        <v>53</v>
      </c>
      <c r="I29" s="129">
        <v>1511</v>
      </c>
      <c r="J29" s="47">
        <f t="shared" ref="J29" si="8">D29</f>
        <v>100</v>
      </c>
      <c r="K29" s="38">
        <f>COUNTIF(enemy_skill_sets!F:F,enemy_skill_triggers!A29)</f>
        <v>1</v>
      </c>
      <c r="L29" s="44" t="s">
        <v>342</v>
      </c>
      <c r="M29" s="44">
        <v>101</v>
      </c>
    </row>
    <row r="30" spans="1:13" ht="21" customHeight="1" x14ac:dyDescent="0.15">
      <c r="A30" s="128">
        <v>39012229</v>
      </c>
      <c r="B30" s="129">
        <v>1</v>
      </c>
      <c r="C30" s="142">
        <v>103</v>
      </c>
      <c r="D30" s="129">
        <v>100</v>
      </c>
      <c r="E30" s="129" t="s">
        <v>53</v>
      </c>
      <c r="F30" s="129" t="s">
        <v>53</v>
      </c>
      <c r="G30" s="129">
        <v>1</v>
      </c>
      <c r="H30" s="129" t="s">
        <v>53</v>
      </c>
      <c r="I30" s="129">
        <v>1512</v>
      </c>
      <c r="J30" s="47">
        <f t="shared" ref="J30" si="9">D30</f>
        <v>100</v>
      </c>
      <c r="K30" s="38">
        <f>COUNTIF(enemy_skill_sets!F:F,enemy_skill_triggers!A30)</f>
        <v>1</v>
      </c>
      <c r="L30" s="44" t="s">
        <v>343</v>
      </c>
      <c r="M30" s="44">
        <v>101</v>
      </c>
    </row>
    <row r="31" spans="1:13" ht="21" customHeight="1" x14ac:dyDescent="0.15">
      <c r="A31" s="128">
        <v>39012230</v>
      </c>
      <c r="B31" s="129">
        <v>1</v>
      </c>
      <c r="C31" s="142">
        <v>108</v>
      </c>
      <c r="D31" s="129">
        <v>100</v>
      </c>
      <c r="E31" s="129" t="s">
        <v>53</v>
      </c>
      <c r="F31" s="129" t="s">
        <v>53</v>
      </c>
      <c r="G31" s="129">
        <v>1</v>
      </c>
      <c r="H31" s="129" t="s">
        <v>53</v>
      </c>
      <c r="I31" s="129">
        <v>1523</v>
      </c>
      <c r="J31" s="47">
        <f t="shared" si="4"/>
        <v>100</v>
      </c>
      <c r="K31" s="38">
        <f>COUNTIF(enemy_skill_sets!F:F,enemy_skill_triggers!A31)</f>
        <v>1</v>
      </c>
      <c r="L31" s="44" t="s">
        <v>344</v>
      </c>
      <c r="M31" s="44">
        <v>104</v>
      </c>
    </row>
    <row r="32" spans="1:13" ht="21" customHeight="1" x14ac:dyDescent="0.15">
      <c r="A32" s="128">
        <v>39012231</v>
      </c>
      <c r="B32" s="129">
        <v>1</v>
      </c>
      <c r="C32" s="142">
        <v>109</v>
      </c>
      <c r="D32" s="129">
        <v>100</v>
      </c>
      <c r="E32" s="129" t="s">
        <v>53</v>
      </c>
      <c r="F32" s="129" t="s">
        <v>53</v>
      </c>
      <c r="G32" s="129">
        <v>1</v>
      </c>
      <c r="H32" s="129" t="s">
        <v>53</v>
      </c>
      <c r="I32" s="129">
        <v>1524</v>
      </c>
      <c r="J32" s="47">
        <f t="shared" ref="J32" si="10">D32</f>
        <v>100</v>
      </c>
      <c r="K32" s="38">
        <f>COUNTIF(enemy_skill_sets!F:F,enemy_skill_triggers!A32)</f>
        <v>1</v>
      </c>
      <c r="L32" s="44" t="s">
        <v>345</v>
      </c>
      <c r="M32" s="44">
        <v>104</v>
      </c>
    </row>
    <row r="33" spans="1:13" ht="21" customHeight="1" x14ac:dyDescent="0.15">
      <c r="A33" s="128">
        <v>39012232</v>
      </c>
      <c r="B33" s="129">
        <v>1</v>
      </c>
      <c r="C33" s="142">
        <v>112</v>
      </c>
      <c r="D33" s="129">
        <v>100</v>
      </c>
      <c r="E33" s="129" t="s">
        <v>53</v>
      </c>
      <c r="F33" s="129" t="s">
        <v>53</v>
      </c>
      <c r="G33" s="129">
        <v>1</v>
      </c>
      <c r="H33" s="129" t="s">
        <v>53</v>
      </c>
      <c r="I33" s="129">
        <v>1535</v>
      </c>
      <c r="J33" s="47">
        <f t="shared" si="4"/>
        <v>100</v>
      </c>
      <c r="K33" s="38">
        <f>COUNTIF(enemy_skill_sets!F:F,enemy_skill_triggers!A33)</f>
        <v>1</v>
      </c>
      <c r="L33" s="44" t="s">
        <v>346</v>
      </c>
      <c r="M33" s="44">
        <v>106</v>
      </c>
    </row>
    <row r="34" spans="1:13" ht="21" customHeight="1" x14ac:dyDescent="0.15">
      <c r="A34" s="128">
        <v>39012234</v>
      </c>
      <c r="B34" s="129">
        <v>1</v>
      </c>
      <c r="C34" s="142">
        <v>113</v>
      </c>
      <c r="D34" s="129">
        <v>100</v>
      </c>
      <c r="E34" s="129" t="s">
        <v>53</v>
      </c>
      <c r="F34" s="129" t="s">
        <v>53</v>
      </c>
      <c r="G34" s="129">
        <v>1</v>
      </c>
      <c r="H34" s="129" t="s">
        <v>53</v>
      </c>
      <c r="I34" s="129">
        <v>1536</v>
      </c>
      <c r="J34" s="47">
        <f t="shared" ref="J34" si="11">D34</f>
        <v>100</v>
      </c>
      <c r="K34" s="38">
        <f>COUNTIF(enemy_skill_sets!F:F,enemy_skill_triggers!A34)</f>
        <v>1</v>
      </c>
      <c r="L34" s="44" t="s">
        <v>347</v>
      </c>
      <c r="M34" s="44">
        <v>106</v>
      </c>
    </row>
    <row r="35" spans="1:13" ht="21" customHeight="1" x14ac:dyDescent="0.15">
      <c r="A35" s="128">
        <v>39012235</v>
      </c>
      <c r="B35" s="132">
        <v>0</v>
      </c>
      <c r="C35" s="132">
        <v>125</v>
      </c>
      <c r="D35" s="132">
        <v>100</v>
      </c>
      <c r="E35" s="132" t="s">
        <v>266</v>
      </c>
      <c r="F35" s="132" t="s">
        <v>266</v>
      </c>
      <c r="G35" s="132">
        <v>0</v>
      </c>
      <c r="H35" s="132" t="s">
        <v>266</v>
      </c>
      <c r="I35" s="132">
        <v>1537</v>
      </c>
      <c r="J35" s="47">
        <f t="shared" si="4"/>
        <v>100</v>
      </c>
      <c r="K35" s="38">
        <f>COUNTIF(enemy_skill_sets!F:F,enemy_skill_triggers!A35)</f>
        <v>1</v>
      </c>
      <c r="L35" s="44" t="s">
        <v>333</v>
      </c>
    </row>
    <row r="36" spans="1:13" ht="21" customHeight="1" x14ac:dyDescent="0.15">
      <c r="A36" s="128">
        <v>39012236</v>
      </c>
      <c r="B36" s="132">
        <v>0</v>
      </c>
      <c r="C36" s="132">
        <v>126</v>
      </c>
      <c r="D36" s="132">
        <v>100</v>
      </c>
      <c r="E36" s="132" t="s">
        <v>266</v>
      </c>
      <c r="F36" s="132" t="s">
        <v>266</v>
      </c>
      <c r="G36" s="132">
        <v>0</v>
      </c>
      <c r="H36" s="132" t="s">
        <v>266</v>
      </c>
      <c r="I36" s="132">
        <v>1538</v>
      </c>
      <c r="J36" s="47">
        <f t="shared" ref="J36:J49" si="12">D36</f>
        <v>100</v>
      </c>
      <c r="K36" s="38">
        <f>COUNTIF(enemy_skill_sets!F:F,enemy_skill_triggers!A36)</f>
        <v>1</v>
      </c>
      <c r="L36" s="44" t="s">
        <v>334</v>
      </c>
    </row>
    <row r="37" spans="1:13" ht="21" customHeight="1" x14ac:dyDescent="0.15">
      <c r="A37" s="128">
        <v>39012237</v>
      </c>
      <c r="B37" s="132">
        <v>0</v>
      </c>
      <c r="C37" s="132">
        <v>130</v>
      </c>
      <c r="D37" s="132">
        <v>100</v>
      </c>
      <c r="E37" s="132" t="s">
        <v>266</v>
      </c>
      <c r="F37" s="132" t="s">
        <v>266</v>
      </c>
      <c r="G37" s="132">
        <v>0</v>
      </c>
      <c r="H37" s="132" t="s">
        <v>266</v>
      </c>
      <c r="I37" s="132">
        <v>1541</v>
      </c>
      <c r="J37" s="47">
        <f t="shared" si="12"/>
        <v>100</v>
      </c>
      <c r="K37" s="38">
        <f>COUNTIF(enemy_skill_sets!F:F,enemy_skill_triggers!A37)</f>
        <v>1</v>
      </c>
      <c r="L37" s="44" t="s">
        <v>335</v>
      </c>
    </row>
    <row r="38" spans="1:13" ht="21" customHeight="1" x14ac:dyDescent="0.15">
      <c r="A38" s="128">
        <v>39012238</v>
      </c>
      <c r="B38" s="132">
        <v>0</v>
      </c>
      <c r="C38" s="132">
        <v>131</v>
      </c>
      <c r="D38" s="132">
        <v>100</v>
      </c>
      <c r="E38" s="132" t="s">
        <v>266</v>
      </c>
      <c r="F38" s="132" t="s">
        <v>266</v>
      </c>
      <c r="G38" s="132">
        <v>0</v>
      </c>
      <c r="H38" s="132" t="s">
        <v>266</v>
      </c>
      <c r="I38" s="132">
        <v>1542</v>
      </c>
      <c r="J38" s="47">
        <f t="shared" si="12"/>
        <v>100</v>
      </c>
      <c r="K38" s="38">
        <f>COUNTIF(enemy_skill_sets!F:F,enemy_skill_triggers!A38)</f>
        <v>1</v>
      </c>
      <c r="L38" s="44" t="s">
        <v>336</v>
      </c>
    </row>
    <row r="39" spans="1:13" ht="21" customHeight="1" x14ac:dyDescent="0.15">
      <c r="A39" s="128">
        <v>39012239</v>
      </c>
      <c r="B39" s="132">
        <v>0</v>
      </c>
      <c r="C39" s="132">
        <v>121</v>
      </c>
      <c r="D39" s="132">
        <v>100</v>
      </c>
      <c r="E39" s="132" t="s">
        <v>266</v>
      </c>
      <c r="F39" s="132" t="s">
        <v>266</v>
      </c>
      <c r="G39" s="132">
        <v>0</v>
      </c>
      <c r="H39" s="132" t="s">
        <v>266</v>
      </c>
      <c r="I39" s="132">
        <v>1539</v>
      </c>
      <c r="J39" s="47">
        <f t="shared" si="12"/>
        <v>100</v>
      </c>
      <c r="K39" s="38">
        <f>COUNTIF(enemy_skill_sets!F:F,enemy_skill_triggers!A39)</f>
        <v>1</v>
      </c>
      <c r="L39" s="44" t="s">
        <v>337</v>
      </c>
    </row>
    <row r="40" spans="1:13" ht="21" customHeight="1" x14ac:dyDescent="0.15">
      <c r="A40" s="128">
        <v>39012240</v>
      </c>
      <c r="B40" s="132">
        <v>0</v>
      </c>
      <c r="C40" s="132">
        <v>122</v>
      </c>
      <c r="D40" s="132">
        <v>100</v>
      </c>
      <c r="E40" s="132" t="s">
        <v>266</v>
      </c>
      <c r="F40" s="132" t="s">
        <v>266</v>
      </c>
      <c r="G40" s="132">
        <v>0</v>
      </c>
      <c r="H40" s="132" t="s">
        <v>266</v>
      </c>
      <c r="I40" s="132">
        <v>1540</v>
      </c>
      <c r="J40" s="47">
        <f t="shared" si="12"/>
        <v>100</v>
      </c>
      <c r="K40" s="38">
        <f>COUNTIF(enemy_skill_sets!F:F,enemy_skill_triggers!A40)</f>
        <v>1</v>
      </c>
      <c r="L40" s="44" t="s">
        <v>338</v>
      </c>
    </row>
    <row r="41" spans="1:13" ht="21" customHeight="1" x14ac:dyDescent="0.15">
      <c r="A41" s="128">
        <v>39012241</v>
      </c>
      <c r="B41" s="132">
        <v>0</v>
      </c>
      <c r="C41" s="132">
        <v>119</v>
      </c>
      <c r="D41" s="132">
        <v>100</v>
      </c>
      <c r="E41" s="132" t="s">
        <v>266</v>
      </c>
      <c r="F41" s="132" t="s">
        <v>266</v>
      </c>
      <c r="G41" s="132">
        <v>0</v>
      </c>
      <c r="H41" s="132" t="s">
        <v>266</v>
      </c>
      <c r="I41" s="132">
        <v>1533</v>
      </c>
      <c r="J41" s="47">
        <f t="shared" si="12"/>
        <v>100</v>
      </c>
      <c r="K41" s="38">
        <f>COUNTIF(enemy_skill_sets!F:F,enemy_skill_triggers!A41)</f>
        <v>1</v>
      </c>
      <c r="L41" s="44" t="s">
        <v>339</v>
      </c>
    </row>
    <row r="42" spans="1:13" ht="21" customHeight="1" x14ac:dyDescent="0.15">
      <c r="A42" s="128">
        <v>39012242</v>
      </c>
      <c r="B42" s="132">
        <v>0</v>
      </c>
      <c r="C42" s="132">
        <v>120</v>
      </c>
      <c r="D42" s="132">
        <v>100</v>
      </c>
      <c r="E42" s="132" t="s">
        <v>266</v>
      </c>
      <c r="F42" s="132" t="s">
        <v>266</v>
      </c>
      <c r="G42" s="132">
        <v>0</v>
      </c>
      <c r="H42" s="132" t="s">
        <v>266</v>
      </c>
      <c r="I42" s="132">
        <v>1534</v>
      </c>
      <c r="J42" s="47">
        <f t="shared" si="12"/>
        <v>100</v>
      </c>
      <c r="K42" s="38">
        <f>COUNTIF(enemy_skill_sets!F:F,enemy_skill_triggers!A42)</f>
        <v>1</v>
      </c>
      <c r="L42" s="44" t="s">
        <v>340</v>
      </c>
    </row>
    <row r="43" spans="1:13" ht="21" customHeight="1" x14ac:dyDescent="0.15">
      <c r="A43" s="128">
        <v>39012243</v>
      </c>
      <c r="B43" s="132">
        <v>0</v>
      </c>
      <c r="C43" s="132">
        <v>116</v>
      </c>
      <c r="D43" s="132">
        <v>100</v>
      </c>
      <c r="E43" s="132" t="s">
        <v>266</v>
      </c>
      <c r="F43" s="132" t="s">
        <v>266</v>
      </c>
      <c r="G43" s="132">
        <v>0</v>
      </c>
      <c r="H43" s="132" t="s">
        <v>266</v>
      </c>
      <c r="I43" s="132">
        <v>1510</v>
      </c>
      <c r="J43" s="47">
        <f t="shared" si="12"/>
        <v>100</v>
      </c>
      <c r="K43" s="38">
        <f>COUNTIF(enemy_skill_sets!F:F,enemy_skill_triggers!A43)</f>
        <v>1</v>
      </c>
      <c r="L43" s="44" t="s">
        <v>341</v>
      </c>
    </row>
    <row r="44" spans="1:13" ht="21" customHeight="1" x14ac:dyDescent="0.15">
      <c r="A44" s="128">
        <v>39012244</v>
      </c>
      <c r="B44" s="132">
        <v>0</v>
      </c>
      <c r="C44" s="132">
        <v>117</v>
      </c>
      <c r="D44" s="132">
        <v>100</v>
      </c>
      <c r="E44" s="132" t="s">
        <v>266</v>
      </c>
      <c r="F44" s="132" t="s">
        <v>266</v>
      </c>
      <c r="G44" s="132">
        <v>0</v>
      </c>
      <c r="H44" s="132" t="s">
        <v>266</v>
      </c>
      <c r="I44" s="132">
        <v>1511</v>
      </c>
      <c r="J44" s="47">
        <f t="shared" si="12"/>
        <v>100</v>
      </c>
      <c r="K44" s="38">
        <f>COUNTIF(enemy_skill_sets!F:F,enemy_skill_triggers!A44)</f>
        <v>1</v>
      </c>
      <c r="L44" s="44" t="s">
        <v>342</v>
      </c>
    </row>
    <row r="45" spans="1:13" ht="21" customHeight="1" x14ac:dyDescent="0.15">
      <c r="A45" s="128">
        <v>39012245</v>
      </c>
      <c r="B45" s="132">
        <v>0</v>
      </c>
      <c r="C45" s="132">
        <v>118</v>
      </c>
      <c r="D45" s="132">
        <v>100</v>
      </c>
      <c r="E45" s="132" t="s">
        <v>266</v>
      </c>
      <c r="F45" s="132" t="s">
        <v>266</v>
      </c>
      <c r="G45" s="132">
        <v>0</v>
      </c>
      <c r="H45" s="132" t="s">
        <v>266</v>
      </c>
      <c r="I45" s="132">
        <v>1512</v>
      </c>
      <c r="J45" s="47">
        <f t="shared" si="12"/>
        <v>100</v>
      </c>
      <c r="K45" s="38">
        <f>COUNTIF(enemy_skill_sets!F:F,enemy_skill_triggers!A45)</f>
        <v>1</v>
      </c>
      <c r="L45" s="44" t="s">
        <v>343</v>
      </c>
    </row>
    <row r="46" spans="1:13" ht="21" customHeight="1" x14ac:dyDescent="0.15">
      <c r="A46" s="128">
        <v>39012246</v>
      </c>
      <c r="B46" s="132">
        <v>0</v>
      </c>
      <c r="C46" s="132">
        <v>123</v>
      </c>
      <c r="D46" s="132">
        <v>100</v>
      </c>
      <c r="E46" s="132" t="s">
        <v>266</v>
      </c>
      <c r="F46" s="132" t="s">
        <v>266</v>
      </c>
      <c r="G46" s="132">
        <v>0</v>
      </c>
      <c r="H46" s="132" t="s">
        <v>266</v>
      </c>
      <c r="I46" s="132">
        <v>1523</v>
      </c>
      <c r="J46" s="47">
        <f t="shared" si="12"/>
        <v>100</v>
      </c>
      <c r="K46" s="38">
        <f>COUNTIF(enemy_skill_sets!F:F,enemy_skill_triggers!A46)</f>
        <v>1</v>
      </c>
      <c r="L46" s="44" t="s">
        <v>344</v>
      </c>
    </row>
    <row r="47" spans="1:13" ht="21" customHeight="1" x14ac:dyDescent="0.15">
      <c r="A47" s="128">
        <v>39012247</v>
      </c>
      <c r="B47" s="132">
        <v>0</v>
      </c>
      <c r="C47" s="132">
        <v>124</v>
      </c>
      <c r="D47" s="132">
        <v>100</v>
      </c>
      <c r="E47" s="132" t="s">
        <v>266</v>
      </c>
      <c r="F47" s="132" t="s">
        <v>266</v>
      </c>
      <c r="G47" s="132">
        <v>0</v>
      </c>
      <c r="H47" s="132" t="s">
        <v>266</v>
      </c>
      <c r="I47" s="132">
        <v>1524</v>
      </c>
      <c r="J47" s="47">
        <f t="shared" si="12"/>
        <v>100</v>
      </c>
      <c r="K47" s="38">
        <f>COUNTIF(enemy_skill_sets!F:F,enemy_skill_triggers!A47)</f>
        <v>1</v>
      </c>
      <c r="L47" s="44" t="s">
        <v>345</v>
      </c>
    </row>
    <row r="48" spans="1:13" ht="21" customHeight="1" x14ac:dyDescent="0.15">
      <c r="A48" s="128">
        <v>39012248</v>
      </c>
      <c r="B48" s="132">
        <v>0</v>
      </c>
      <c r="C48" s="132">
        <v>127</v>
      </c>
      <c r="D48" s="132">
        <v>100</v>
      </c>
      <c r="E48" s="132" t="s">
        <v>266</v>
      </c>
      <c r="F48" s="132" t="s">
        <v>266</v>
      </c>
      <c r="G48" s="132">
        <v>0</v>
      </c>
      <c r="H48" s="132" t="s">
        <v>266</v>
      </c>
      <c r="I48" s="132">
        <v>1535</v>
      </c>
      <c r="J48" s="47">
        <f t="shared" si="12"/>
        <v>100</v>
      </c>
      <c r="K48" s="38">
        <f>COUNTIF(enemy_skill_sets!F:F,enemy_skill_triggers!A48)</f>
        <v>1</v>
      </c>
      <c r="L48" s="44" t="s">
        <v>346</v>
      </c>
    </row>
    <row r="49" spans="1:12" ht="21" customHeight="1" x14ac:dyDescent="0.15">
      <c r="A49" s="128">
        <v>39012249</v>
      </c>
      <c r="B49" s="132">
        <v>0</v>
      </c>
      <c r="C49" s="132">
        <v>128</v>
      </c>
      <c r="D49" s="132">
        <v>100</v>
      </c>
      <c r="E49" s="132" t="s">
        <v>266</v>
      </c>
      <c r="F49" s="132" t="s">
        <v>266</v>
      </c>
      <c r="G49" s="132">
        <v>0</v>
      </c>
      <c r="H49" s="132" t="s">
        <v>266</v>
      </c>
      <c r="I49" s="132">
        <v>1536</v>
      </c>
      <c r="J49" s="47">
        <f t="shared" si="12"/>
        <v>100</v>
      </c>
      <c r="K49" s="38">
        <f>COUNTIF(enemy_skill_sets!F:F,enemy_skill_triggers!A49)</f>
        <v>1</v>
      </c>
      <c r="L49" s="44" t="s">
        <v>347</v>
      </c>
    </row>
  </sheetData>
  <autoFilter ref="A1:G1"/>
  <phoneticPr fontId="5"/>
  <conditionalFormatting sqref="K50:K1048576 K1:K19">
    <cfRule type="duplicateValues" dxfId="2" priority="3"/>
  </conditionalFormatting>
  <conditionalFormatting sqref="K20:K34">
    <cfRule type="duplicateValues" dxfId="1" priority="2"/>
  </conditionalFormatting>
  <conditionalFormatting sqref="K35:K49">
    <cfRule type="duplicateValues" dxfId="0" priority="7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7"/>
  <sheetViews>
    <sheetView workbookViewId="0">
      <selection activeCell="J31" sqref="J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141</v>
      </c>
      <c r="B1" s="62" t="s">
        <v>142</v>
      </c>
      <c r="C1" s="63" t="s">
        <v>143</v>
      </c>
      <c r="D1" s="70" t="s">
        <v>144</v>
      </c>
      <c r="E1" s="64" t="s">
        <v>145</v>
      </c>
      <c r="F1" s="62" t="s">
        <v>146</v>
      </c>
      <c r="G1" s="62" t="s">
        <v>147</v>
      </c>
      <c r="H1" s="62" t="s">
        <v>148</v>
      </c>
      <c r="I1" s="62" t="s">
        <v>149</v>
      </c>
      <c r="J1" s="62" t="s">
        <v>150</v>
      </c>
      <c r="K1" s="62" t="s">
        <v>151</v>
      </c>
      <c r="L1" s="62" t="s">
        <v>152</v>
      </c>
      <c r="M1" s="62" t="s">
        <v>153</v>
      </c>
      <c r="N1" s="62" t="s">
        <v>154</v>
      </c>
      <c r="O1" s="62" t="s">
        <v>155</v>
      </c>
      <c r="P1" s="62" t="s">
        <v>156</v>
      </c>
      <c r="Q1" s="62" t="s">
        <v>157</v>
      </c>
      <c r="R1" s="62" t="s">
        <v>158</v>
      </c>
    </row>
    <row r="2" spans="1:18" x14ac:dyDescent="0.15">
      <c r="A2" s="55">
        <f>floors!C2</f>
        <v>39012</v>
      </c>
      <c r="B2" s="55">
        <v>2</v>
      </c>
      <c r="C2" s="69" t="str">
        <f>A2&amp; "_"&amp;B2</f>
        <v>39012_2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7</v>
      </c>
      <c r="F2" s="55" t="s">
        <v>289</v>
      </c>
      <c r="G2" s="55">
        <v>704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60</v>
      </c>
      <c r="Q2" s="55" t="s">
        <v>159</v>
      </c>
      <c r="R2" s="55" t="s">
        <v>160</v>
      </c>
    </row>
    <row r="3" spans="1:18" x14ac:dyDescent="0.15">
      <c r="A3" s="55">
        <f>A2</f>
        <v>39012</v>
      </c>
      <c r="B3" s="55">
        <v>2</v>
      </c>
      <c r="C3" s="69" t="str">
        <f t="shared" ref="C3:C7" si="0">A3&amp; "_"&amp;B3</f>
        <v>39012_2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8</v>
      </c>
      <c r="F3" s="55" t="s">
        <v>290</v>
      </c>
      <c r="G3" s="55">
        <v>1507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470</v>
      </c>
      <c r="Q3" s="55" t="s">
        <v>159</v>
      </c>
      <c r="R3" s="55" t="s">
        <v>160</v>
      </c>
    </row>
    <row r="4" spans="1:18" x14ac:dyDescent="0.15">
      <c r="A4" s="55">
        <f t="shared" ref="A4:A7" si="1">A3</f>
        <v>39012</v>
      </c>
      <c r="B4" s="55">
        <v>2</v>
      </c>
      <c r="C4" s="69" t="str">
        <f t="shared" si="0"/>
        <v>39012_2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9</v>
      </c>
      <c r="F4" s="55" t="s">
        <v>290</v>
      </c>
      <c r="G4" s="55">
        <v>121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150</v>
      </c>
      <c r="Q4" s="55" t="s">
        <v>159</v>
      </c>
      <c r="R4" s="55" t="s">
        <v>160</v>
      </c>
    </row>
    <row r="5" spans="1:18" x14ac:dyDescent="0.15">
      <c r="A5" s="55">
        <f t="shared" si="1"/>
        <v>39012</v>
      </c>
      <c r="B5" s="55">
        <v>2</v>
      </c>
      <c r="C5" s="69" t="str">
        <f t="shared" si="0"/>
        <v>39012_2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10</v>
      </c>
      <c r="F5" s="55" t="s">
        <v>290</v>
      </c>
      <c r="G5" s="55">
        <v>122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150</v>
      </c>
      <c r="Q5" s="55" t="s">
        <v>159</v>
      </c>
      <c r="R5" s="55" t="s">
        <v>160</v>
      </c>
    </row>
    <row r="6" spans="1:18" x14ac:dyDescent="0.15">
      <c r="A6" s="55">
        <f t="shared" si="1"/>
        <v>39012</v>
      </c>
      <c r="B6" s="55">
        <v>2</v>
      </c>
      <c r="C6" s="69" t="str">
        <f t="shared" si="0"/>
        <v>39012_2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11</v>
      </c>
      <c r="F6" s="55" t="s">
        <v>290</v>
      </c>
      <c r="G6" s="55">
        <v>123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150</v>
      </c>
      <c r="Q6" s="55" t="s">
        <v>159</v>
      </c>
      <c r="R6" s="55" t="s">
        <v>160</v>
      </c>
    </row>
    <row r="7" spans="1:18" x14ac:dyDescent="0.15">
      <c r="A7" s="55">
        <f t="shared" si="1"/>
        <v>39012</v>
      </c>
      <c r="B7" s="55">
        <v>2</v>
      </c>
      <c r="C7" s="69" t="str">
        <f t="shared" si="0"/>
        <v>39012_2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12</v>
      </c>
      <c r="F7" s="55" t="s">
        <v>290</v>
      </c>
      <c r="G7" s="55">
        <v>125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20</v>
      </c>
      <c r="Q7" s="55" t="s">
        <v>159</v>
      </c>
      <c r="R7" s="55" t="s">
        <v>160</v>
      </c>
    </row>
  </sheetData>
  <phoneticPr fontId="5"/>
  <dataValidations count="1">
    <dataValidation type="list" allowBlank="1" showInputMessage="1" showErrorMessage="1" sqref="F2:F7">
      <formula1>"bit,link,polygon,unit,item"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3" sqref="L13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177</v>
      </c>
      <c r="B1" s="71" t="s">
        <v>178</v>
      </c>
      <c r="C1" s="75" t="s">
        <v>179</v>
      </c>
      <c r="D1" s="75" t="s">
        <v>33</v>
      </c>
      <c r="E1" s="71" t="s">
        <v>180</v>
      </c>
      <c r="F1" s="75" t="s">
        <v>181</v>
      </c>
      <c r="G1" s="75" t="s">
        <v>33</v>
      </c>
      <c r="H1" s="71" t="s">
        <v>182</v>
      </c>
      <c r="I1" s="88" t="s">
        <v>184</v>
      </c>
      <c r="J1" s="77" t="s">
        <v>118</v>
      </c>
      <c r="K1" s="76" t="s">
        <v>175</v>
      </c>
      <c r="L1" s="89" t="s">
        <v>174</v>
      </c>
      <c r="M1" s="78" t="s">
        <v>185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4"/>
  <sheetViews>
    <sheetView showGridLines="0" workbookViewId="0">
      <pane ySplit="1" topLeftCell="A2" activePane="bottomLeft" state="frozen"/>
      <selection pane="bottomLeft" activeCell="A14" sqref="A14:XFD1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8.33203125" customWidth="1"/>
    <col min="13" max="13" width="42.6640625" customWidth="1"/>
  </cols>
  <sheetData>
    <row r="1" spans="1:15" x14ac:dyDescent="0.15">
      <c r="A1" s="74" t="s">
        <v>177</v>
      </c>
      <c r="B1" s="71" t="s">
        <v>141</v>
      </c>
      <c r="C1" s="75" t="s">
        <v>179</v>
      </c>
      <c r="D1" s="75" t="s">
        <v>33</v>
      </c>
      <c r="E1" s="71" t="s">
        <v>180</v>
      </c>
      <c r="F1" s="75" t="s">
        <v>18</v>
      </c>
      <c r="G1" s="75" t="s">
        <v>33</v>
      </c>
      <c r="H1" s="71" t="s">
        <v>182</v>
      </c>
      <c r="I1" s="86" t="s">
        <v>183</v>
      </c>
      <c r="J1" s="88" t="s">
        <v>184</v>
      </c>
      <c r="K1" s="77" t="s">
        <v>118</v>
      </c>
      <c r="L1" s="76" t="s">
        <v>175</v>
      </c>
      <c r="M1" s="89" t="s">
        <v>174</v>
      </c>
      <c r="N1" s="78" t="s">
        <v>185</v>
      </c>
    </row>
    <row r="2" spans="1:15" ht="45" x14ac:dyDescent="0.15">
      <c r="A2" s="79" t="s">
        <v>186</v>
      </c>
      <c r="B2" s="80">
        <f>floors!$C$2</f>
        <v>39012</v>
      </c>
      <c r="C2" s="81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2">
        <v>1</v>
      </c>
      <c r="I2" s="87">
        <f>ROW()-1</f>
        <v>1</v>
      </c>
      <c r="J2" s="84">
        <v>39012201</v>
      </c>
      <c r="K2" s="82" t="s">
        <v>187</v>
      </c>
      <c r="L2" s="133" t="s">
        <v>277</v>
      </c>
      <c r="M2" s="134" t="s">
        <v>278</v>
      </c>
      <c r="N2" s="55" t="s">
        <v>188</v>
      </c>
      <c r="O2">
        <f>LEN(M2)</f>
        <v>50</v>
      </c>
    </row>
    <row r="3" spans="1:15" ht="45" x14ac:dyDescent="0.15">
      <c r="A3" s="79" t="s">
        <v>186</v>
      </c>
      <c r="B3" s="80">
        <f>floors!$C$2</f>
        <v>39012</v>
      </c>
      <c r="C3" s="81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2">
        <v>1</v>
      </c>
      <c r="I3" s="87">
        <f t="shared" ref="I3:I14" si="0">ROW()-1</f>
        <v>2</v>
      </c>
      <c r="J3" s="84">
        <v>39012202</v>
      </c>
      <c r="K3" s="82" t="s">
        <v>187</v>
      </c>
      <c r="L3" s="133" t="s">
        <v>277</v>
      </c>
      <c r="M3" s="134" t="s">
        <v>279</v>
      </c>
      <c r="N3" s="55" t="s">
        <v>188</v>
      </c>
      <c r="O3">
        <f t="shared" ref="O3:O14" si="1">LEN(M3)</f>
        <v>44</v>
      </c>
    </row>
    <row r="4" spans="1:15" ht="45" x14ac:dyDescent="0.15">
      <c r="A4" s="79" t="s">
        <v>186</v>
      </c>
      <c r="B4" s="80">
        <f>floors!$C$2</f>
        <v>39012</v>
      </c>
      <c r="C4" s="81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2">
        <v>2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2">
        <v>2</v>
      </c>
      <c r="I4" s="87">
        <f t="shared" si="0"/>
        <v>3</v>
      </c>
      <c r="J4" s="84">
        <v>39012203</v>
      </c>
      <c r="K4" s="82" t="s">
        <v>187</v>
      </c>
      <c r="L4" s="133" t="s">
        <v>277</v>
      </c>
      <c r="M4" s="134" t="s">
        <v>304</v>
      </c>
      <c r="N4" s="55" t="s">
        <v>188</v>
      </c>
      <c r="O4">
        <f t="shared" si="1"/>
        <v>46</v>
      </c>
    </row>
    <row r="5" spans="1:15" ht="60" x14ac:dyDescent="0.15">
      <c r="A5" s="79" t="s">
        <v>186</v>
      </c>
      <c r="B5" s="80">
        <f>floors!$C$2</f>
        <v>39012</v>
      </c>
      <c r="C5" s="81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2">
        <v>2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2">
        <v>3</v>
      </c>
      <c r="I5" s="87">
        <f t="shared" si="0"/>
        <v>4</v>
      </c>
      <c r="J5" s="84">
        <v>39012204</v>
      </c>
      <c r="K5" s="82" t="s">
        <v>187</v>
      </c>
      <c r="L5" s="133" t="s">
        <v>277</v>
      </c>
      <c r="M5" s="134" t="s">
        <v>280</v>
      </c>
      <c r="N5" s="55" t="s">
        <v>188</v>
      </c>
      <c r="O5">
        <f t="shared" si="1"/>
        <v>57</v>
      </c>
    </row>
    <row r="6" spans="1:15" ht="45" x14ac:dyDescent="0.15">
      <c r="A6" s="79" t="s">
        <v>189</v>
      </c>
      <c r="B6" s="80">
        <f>floors!$C$2</f>
        <v>39012</v>
      </c>
      <c r="C6" s="81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2">
        <v>2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2">
        <v>0</v>
      </c>
      <c r="I6" s="87">
        <f t="shared" si="0"/>
        <v>5</v>
      </c>
      <c r="J6" s="84">
        <v>39012205</v>
      </c>
      <c r="K6" s="82" t="s">
        <v>187</v>
      </c>
      <c r="L6" s="133" t="s">
        <v>268</v>
      </c>
      <c r="M6" s="134" t="s">
        <v>298</v>
      </c>
      <c r="N6" s="55" t="s">
        <v>188</v>
      </c>
      <c r="O6">
        <f t="shared" si="1"/>
        <v>43</v>
      </c>
    </row>
    <row r="7" spans="1:15" ht="30" x14ac:dyDescent="0.15">
      <c r="A7" s="79" t="s">
        <v>189</v>
      </c>
      <c r="B7" s="80">
        <f>floors!$C$2</f>
        <v>39012</v>
      </c>
      <c r="C7" s="81" t="str">
        <f ca="1">VLOOKUP($B7,OFFSET([2]quests!$A$1,0,0,COUNTA([2]quests!$A:$A),MATCH(C$1,[2]quests!$1:$1,0)-MATCH($B$1,[2]quests!$1:$1,0)+1),MATCH(C$1,[2]quests!$1:$1,0)-MATCH($B$1,[2]quests!$1:$1,0)+1,FALSE)</f>
        <v>侵略！？にゃんこ軍団現る！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2">
        <v>0</v>
      </c>
      <c r="I7" s="87">
        <f t="shared" si="0"/>
        <v>6</v>
      </c>
      <c r="J7" s="84">
        <v>39012206</v>
      </c>
      <c r="K7" s="82" t="s">
        <v>187</v>
      </c>
      <c r="L7" s="133" t="s">
        <v>268</v>
      </c>
      <c r="M7" s="134" t="s">
        <v>269</v>
      </c>
      <c r="N7" s="55" t="s">
        <v>188</v>
      </c>
      <c r="O7">
        <f t="shared" si="1"/>
        <v>26</v>
      </c>
    </row>
    <row r="8" spans="1:15" x14ac:dyDescent="0.15">
      <c r="A8" s="79" t="s">
        <v>189</v>
      </c>
      <c r="B8" s="80">
        <f>floors!$C$2</f>
        <v>39012</v>
      </c>
      <c r="C8" s="81" t="str">
        <f ca="1">VLOOKUP($B8,OFFSET([2]quests!$A$1,0,0,COUNTA([2]quests!$A:$A),MATCH(C$1,[2]quests!$1:$1,0)-MATCH($B$1,[2]quests!$1:$1,0)+1),MATCH(C$1,[2]quests!$1:$1,0)-MATCH($B$1,[2]quests!$1:$1,0)+1,FALSE)</f>
        <v>侵略！？にゃんこ軍団現る！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2">
        <v>0</v>
      </c>
      <c r="I8" s="87">
        <f t="shared" si="0"/>
        <v>7</v>
      </c>
      <c r="J8" s="84">
        <v>39012207</v>
      </c>
      <c r="K8" s="82" t="s">
        <v>187</v>
      </c>
      <c r="L8" s="133" t="s">
        <v>268</v>
      </c>
      <c r="M8" s="133" t="s">
        <v>270</v>
      </c>
      <c r="N8" s="55" t="s">
        <v>188</v>
      </c>
      <c r="O8">
        <f t="shared" si="1"/>
        <v>15</v>
      </c>
    </row>
    <row r="9" spans="1:15" ht="45" x14ac:dyDescent="0.15">
      <c r="A9" s="79" t="s">
        <v>189</v>
      </c>
      <c r="B9" s="80">
        <f>floors!$C$2</f>
        <v>39012</v>
      </c>
      <c r="C9" s="81" t="str">
        <f ca="1">VLOOKUP($B9,OFFSET([2]quests!$A$1,0,0,COUNTA([2]quests!$A:$A),MATCH(C$1,[2]quests!$1:$1,0)-MATCH($B$1,[2]quests!$1:$1,0)+1),MATCH(C$1,[2]quests!$1:$1,0)-MATCH($B$1,[2]quests!$1:$1,0)+1,FALSE)</f>
        <v>侵略！？にゃんこ軍団現る！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2">
        <v>0</v>
      </c>
      <c r="I9" s="87">
        <f t="shared" si="0"/>
        <v>8</v>
      </c>
      <c r="J9" s="84">
        <v>39012208</v>
      </c>
      <c r="K9" s="82" t="s">
        <v>187</v>
      </c>
      <c r="L9" s="133" t="s">
        <v>268</v>
      </c>
      <c r="M9" s="134" t="s">
        <v>271</v>
      </c>
      <c r="N9" s="55" t="s">
        <v>188</v>
      </c>
      <c r="O9">
        <f t="shared" si="1"/>
        <v>47</v>
      </c>
    </row>
    <row r="10" spans="1:15" x14ac:dyDescent="0.15">
      <c r="A10" s="79" t="s">
        <v>189</v>
      </c>
      <c r="B10" s="80">
        <f>floors!$C$2</f>
        <v>39012</v>
      </c>
      <c r="C10" s="81" t="str">
        <f ca="1">VLOOKUP($B10,OFFSET([2]quests!$A$1,0,0,COUNTA([2]quests!$A:$A),MATCH(C$1,[2]quests!$1:$1,0)-MATCH($B$1,[2]quests!$1:$1,0)+1),MATCH(C$1,[2]quests!$1:$1,0)-MATCH($B$1,[2]quests!$1:$1,0)+1,FALSE)</f>
        <v>侵略！？にゃんこ軍団現る！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2">
        <v>0</v>
      </c>
      <c r="I10" s="87">
        <f t="shared" si="0"/>
        <v>9</v>
      </c>
      <c r="J10" s="84">
        <v>39012209</v>
      </c>
      <c r="K10" s="82" t="s">
        <v>187</v>
      </c>
      <c r="L10" s="133" t="s">
        <v>268</v>
      </c>
      <c r="M10" s="133" t="s">
        <v>272</v>
      </c>
      <c r="N10" s="55" t="s">
        <v>188</v>
      </c>
      <c r="O10">
        <f t="shared" si="1"/>
        <v>15</v>
      </c>
    </row>
    <row r="11" spans="1:15" ht="30" x14ac:dyDescent="0.15">
      <c r="A11" s="79" t="s">
        <v>189</v>
      </c>
      <c r="B11" s="80">
        <f>floors!$C$2</f>
        <v>39012</v>
      </c>
      <c r="C11" s="81" t="str">
        <f ca="1">VLOOKUP($B11,OFFSET([2]quests!$A$1,0,0,COUNTA([2]quests!$A:$A),MATCH(C$1,[2]quests!$1:$1,0)-MATCH($B$1,[2]quests!$1:$1,0)+1),MATCH(C$1,[2]quests!$1:$1,0)-MATCH($B$1,[2]quests!$1:$1,0)+1,FALSE)</f>
        <v>侵略！？にゃんこ軍団現る！</v>
      </c>
      <c r="D11" s="81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2">
        <v>0</v>
      </c>
      <c r="I11" s="87">
        <f t="shared" si="0"/>
        <v>10</v>
      </c>
      <c r="J11" s="84">
        <v>39012210</v>
      </c>
      <c r="K11" s="82" t="s">
        <v>187</v>
      </c>
      <c r="L11" s="133" t="s">
        <v>268</v>
      </c>
      <c r="M11" s="134" t="s">
        <v>297</v>
      </c>
      <c r="N11" s="55" t="s">
        <v>188</v>
      </c>
      <c r="O11">
        <f t="shared" si="1"/>
        <v>22</v>
      </c>
    </row>
    <row r="12" spans="1:15" ht="30" x14ac:dyDescent="0.15">
      <c r="A12" s="79" t="s">
        <v>189</v>
      </c>
      <c r="B12" s="80">
        <f>floors!$C$2</f>
        <v>39012</v>
      </c>
      <c r="C12" s="81" t="str">
        <f ca="1">VLOOKUP($B12,OFFSET([2]quests!$A$1,0,0,COUNTA([2]quests!$A:$A),MATCH(C$1,[2]quests!$1:$1,0)-MATCH($B$1,[2]quests!$1:$1,0)+1),MATCH(C$1,[2]quests!$1:$1,0)-MATCH($B$1,[2]quests!$1:$1,0)+1,FALSE)</f>
        <v>侵略！？にゃんこ軍団現る！</v>
      </c>
      <c r="D12" s="81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2">
        <v>0</v>
      </c>
      <c r="I12" s="87">
        <f t="shared" si="0"/>
        <v>11</v>
      </c>
      <c r="J12" s="84">
        <v>39012211</v>
      </c>
      <c r="K12" s="82" t="s">
        <v>187</v>
      </c>
      <c r="L12" s="133" t="s">
        <v>268</v>
      </c>
      <c r="M12" s="134" t="s">
        <v>273</v>
      </c>
      <c r="N12" s="55" t="s">
        <v>188</v>
      </c>
      <c r="O12">
        <f t="shared" si="1"/>
        <v>37</v>
      </c>
    </row>
    <row r="13" spans="1:15" ht="30" x14ac:dyDescent="0.15">
      <c r="A13" s="79" t="s">
        <v>189</v>
      </c>
      <c r="B13" s="80">
        <f>floors!$C$2</f>
        <v>39012</v>
      </c>
      <c r="C13" s="81" t="str">
        <f ca="1">VLOOKUP($B13,OFFSET([2]quests!$A$1,0,0,COUNTA([2]quests!$A:$A),MATCH(C$1,[2]quests!$1:$1,0)-MATCH($B$1,[2]quests!$1:$1,0)+1),MATCH(C$1,[2]quests!$1:$1,0)-MATCH($B$1,[2]quests!$1:$1,0)+1,FALSE)</f>
        <v>侵略！？にゃんこ軍団現る！</v>
      </c>
      <c r="D13" s="81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2">
        <v>0</v>
      </c>
      <c r="I13" s="87">
        <f t="shared" si="0"/>
        <v>12</v>
      </c>
      <c r="J13" s="84">
        <v>39012212</v>
      </c>
      <c r="K13" s="82" t="s">
        <v>187</v>
      </c>
      <c r="L13" s="133" t="s">
        <v>268</v>
      </c>
      <c r="M13" s="134" t="s">
        <v>274</v>
      </c>
      <c r="N13" s="55" t="s">
        <v>188</v>
      </c>
      <c r="O13">
        <f t="shared" si="1"/>
        <v>34</v>
      </c>
    </row>
    <row r="14" spans="1:15" ht="45" x14ac:dyDescent="0.15">
      <c r="A14" s="79" t="s">
        <v>189</v>
      </c>
      <c r="B14" s="80">
        <f>floors!$C$2</f>
        <v>39012</v>
      </c>
      <c r="C14" s="81" t="str">
        <f ca="1">VLOOKUP($B14,OFFSET([2]quests!$A$1,0,0,COUNTA([2]quests!$A:$A),MATCH(C$1,[2]quests!$1:$1,0)-MATCH($B$1,[2]quests!$1:$1,0)+1),MATCH(C$1,[2]quests!$1:$1,0)-MATCH($B$1,[2]quests!$1:$1,0)+1,FALSE)</f>
        <v>侵略！？にゃんこ軍団現る！</v>
      </c>
      <c r="D14" s="81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2">
        <v>0</v>
      </c>
      <c r="I14" s="87">
        <f t="shared" si="0"/>
        <v>13</v>
      </c>
      <c r="J14" s="84">
        <v>39012213</v>
      </c>
      <c r="K14" s="82" t="s">
        <v>187</v>
      </c>
      <c r="L14" s="135" t="s">
        <v>275</v>
      </c>
      <c r="M14" s="136" t="s">
        <v>276</v>
      </c>
      <c r="N14" s="55" t="s">
        <v>188</v>
      </c>
      <c r="O14">
        <f t="shared" si="1"/>
        <v>57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6"/>
  <sheetViews>
    <sheetView showGridLines="0" workbookViewId="0">
      <pane ySplit="1" topLeftCell="A2" activePane="bottomLeft" state="frozen"/>
      <selection pane="bottomLeft" activeCell="G18" sqref="G1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200</v>
      </c>
      <c r="B1" s="92" t="s">
        <v>201</v>
      </c>
      <c r="C1" s="75" t="s">
        <v>202</v>
      </c>
      <c r="D1" s="75" t="s">
        <v>33</v>
      </c>
      <c r="E1" s="92" t="s">
        <v>203</v>
      </c>
      <c r="F1" s="75" t="s">
        <v>204</v>
      </c>
      <c r="G1" s="75" t="s">
        <v>33</v>
      </c>
      <c r="H1" s="92" t="s">
        <v>205</v>
      </c>
      <c r="I1" s="92" t="s">
        <v>206</v>
      </c>
      <c r="J1" s="92" t="s">
        <v>207</v>
      </c>
      <c r="K1" s="71" t="s">
        <v>208</v>
      </c>
      <c r="L1" s="71" t="s">
        <v>209</v>
      </c>
      <c r="M1" s="71" t="s">
        <v>147</v>
      </c>
      <c r="N1" s="75" t="s">
        <v>16</v>
      </c>
      <c r="O1" s="71" t="s">
        <v>210</v>
      </c>
      <c r="P1" s="71" t="s">
        <v>57</v>
      </c>
      <c r="Q1" s="71" t="s">
        <v>211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212</v>
      </c>
      <c r="X1" s="71" t="s">
        <v>213</v>
      </c>
    </row>
    <row r="2" spans="1:24" x14ac:dyDescent="0.15">
      <c r="A2" s="93" t="str">
        <f>B2&amp;"_"&amp;E2&amp;"_"&amp;H2&amp;"_"&amp;I2&amp;"_"&amp;J2</f>
        <v>39012_2_everyone_clear_4</v>
      </c>
      <c r="B2" s="80">
        <v>39012</v>
      </c>
      <c r="C2" s="81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3" t="s">
        <v>214</v>
      </c>
      <c r="I2" s="82" t="s">
        <v>215</v>
      </c>
      <c r="J2" s="82">
        <v>4</v>
      </c>
      <c r="K2" s="82">
        <v>500</v>
      </c>
      <c r="L2" s="82" t="s">
        <v>291</v>
      </c>
      <c r="M2" s="82">
        <v>704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5" t="s">
        <v>217</v>
      </c>
      <c r="X2" s="96" t="s">
        <v>218</v>
      </c>
    </row>
    <row r="3" spans="1:24" x14ac:dyDescent="0.15">
      <c r="A3" s="93" t="str">
        <f>B3&amp;"_"&amp;E3&amp;"_"&amp;H3&amp;"_"&amp;I3&amp;"_"&amp;J3</f>
        <v>39012_2_everyone_clear_5</v>
      </c>
      <c r="B3" s="80">
        <v>39012</v>
      </c>
      <c r="C3" s="81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3" t="s">
        <v>214</v>
      </c>
      <c r="I3" s="82" t="s">
        <v>215</v>
      </c>
      <c r="J3" s="82">
        <v>5</v>
      </c>
      <c r="K3" s="82">
        <v>500</v>
      </c>
      <c r="L3" s="82" t="s">
        <v>291</v>
      </c>
      <c r="M3" s="82">
        <v>704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2">
        <v>2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5" t="s">
        <v>217</v>
      </c>
      <c r="X3" s="96" t="s">
        <v>218</v>
      </c>
    </row>
    <row r="4" spans="1:24" x14ac:dyDescent="0.15">
      <c r="A4" s="93" t="str">
        <f t="shared" ref="A4:A5" si="0">B4&amp;"_"&amp;E4&amp;"_"&amp;H4&amp;"_"&amp;I4&amp;"_"&amp;J4</f>
        <v>39012_2_everyone_full_member_6</v>
      </c>
      <c r="B4" s="80">
        <v>39012</v>
      </c>
      <c r="C4" s="81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2">
        <v>2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3" t="s">
        <v>214</v>
      </c>
      <c r="I4" s="82" t="s">
        <v>292</v>
      </c>
      <c r="J4" s="82">
        <v>6</v>
      </c>
      <c r="K4" s="82">
        <v>400</v>
      </c>
      <c r="L4" s="82" t="s">
        <v>291</v>
      </c>
      <c r="M4" s="82">
        <v>704</v>
      </c>
      <c r="N4" s="94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82">
        <v>1</v>
      </c>
      <c r="P4" s="82">
        <v>1</v>
      </c>
      <c r="Q4" s="82">
        <v>1</v>
      </c>
      <c r="R4" s="82">
        <v>0</v>
      </c>
      <c r="S4" s="82">
        <v>0</v>
      </c>
      <c r="T4" s="82">
        <v>0</v>
      </c>
      <c r="U4" s="82">
        <v>0</v>
      </c>
      <c r="V4" s="82">
        <v>1</v>
      </c>
      <c r="W4" s="95" t="s">
        <v>217</v>
      </c>
      <c r="X4" s="96" t="s">
        <v>218</v>
      </c>
    </row>
    <row r="5" spans="1:24" x14ac:dyDescent="0.15">
      <c r="A5" s="93" t="str">
        <f t="shared" si="0"/>
        <v>39012_2_everyone_full_member_7</v>
      </c>
      <c r="B5" s="80">
        <v>39012</v>
      </c>
      <c r="C5" s="81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2">
        <v>2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3" t="s">
        <v>214</v>
      </c>
      <c r="I5" s="82" t="s">
        <v>292</v>
      </c>
      <c r="J5" s="82">
        <v>7</v>
      </c>
      <c r="K5" s="82">
        <v>100</v>
      </c>
      <c r="L5" s="82" t="s">
        <v>291</v>
      </c>
      <c r="M5" s="82">
        <v>704</v>
      </c>
      <c r="N5" s="94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82">
        <v>2</v>
      </c>
      <c r="P5" s="82">
        <v>1</v>
      </c>
      <c r="Q5" s="82">
        <v>1</v>
      </c>
      <c r="R5" s="82">
        <v>0</v>
      </c>
      <c r="S5" s="82">
        <v>0</v>
      </c>
      <c r="T5" s="82">
        <v>0</v>
      </c>
      <c r="U5" s="82">
        <v>0</v>
      </c>
      <c r="V5" s="82">
        <v>1</v>
      </c>
      <c r="W5" s="95" t="s">
        <v>217</v>
      </c>
      <c r="X5" s="96" t="s">
        <v>218</v>
      </c>
    </row>
    <row r="6" spans="1:24" x14ac:dyDescent="0.15">
      <c r="A6" s="93" t="str">
        <f t="shared" ref="A6" si="1">B6&amp;"_"&amp;E6&amp;"_"&amp;H6&amp;"_"&amp;I6&amp;"_"&amp;J6</f>
        <v>39012_2_everyone_full_member_8</v>
      </c>
      <c r="B6" s="80">
        <v>39012</v>
      </c>
      <c r="C6" s="81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2">
        <v>2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【中級】侵略！？にゃんこ軍団現る！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3" t="s">
        <v>214</v>
      </c>
      <c r="I6" s="82" t="s">
        <v>292</v>
      </c>
      <c r="J6" s="82">
        <v>8</v>
      </c>
      <c r="K6" s="82">
        <v>500</v>
      </c>
      <c r="L6" s="82" t="s">
        <v>216</v>
      </c>
      <c r="M6" s="82">
        <v>1507</v>
      </c>
      <c r="N6" s="94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キモネコ</v>
      </c>
      <c r="O6" s="82">
        <v>1</v>
      </c>
      <c r="P6" s="82">
        <v>1</v>
      </c>
      <c r="Q6" s="82">
        <v>1</v>
      </c>
      <c r="R6" s="82">
        <v>0</v>
      </c>
      <c r="S6" s="82">
        <v>0</v>
      </c>
      <c r="T6" s="82">
        <v>0</v>
      </c>
      <c r="U6" s="82">
        <v>0</v>
      </c>
      <c r="V6" s="82">
        <v>1</v>
      </c>
      <c r="W6" s="95" t="s">
        <v>217</v>
      </c>
      <c r="X6" s="96" t="s">
        <v>218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2017-03-21T07:08:47Z</dcterms:modified>
</cp:coreProperties>
</file>