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3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horimotokeita/BULL_data/master_excel/"/>
    </mc:Choice>
  </mc:AlternateContent>
  <bookViews>
    <workbookView xWindow="12660" yWindow="-21140" windowWidth="38400" windowHeight="21140" tabRatio="943" activeTab="3"/>
  </bookViews>
  <sheets>
    <sheet name="確率の考え方" sheetId="110" r:id="rId1"/>
    <sheet name="Sheet1" sheetId="107" r:id="rId2"/>
    <sheet name="output" sheetId="103" r:id="rId3"/>
    <sheet name="input_498010" sheetId="157" r:id="rId4"/>
    <sheet name="tables_498010" sheetId="158" r:id="rId5"/>
    <sheet name="input_498101" sheetId="164" r:id="rId6"/>
    <sheet name="tables_498101" sheetId="165" r:id="rId7"/>
    <sheet name="input_498104" sheetId="166" r:id="rId8"/>
    <sheet name="tables_498104" sheetId="167" r:id="rId9"/>
    <sheet name="input_498100" sheetId="153" r:id="rId10"/>
    <sheet name="tables_498100" sheetId="154" r:id="rId11"/>
    <sheet name="tables_settle_498101" sheetId="159" r:id="rId12"/>
    <sheet name="tables_settle_498102" sheetId="160" r:id="rId13"/>
    <sheet name="tables_settle_498103" sheetId="161" r:id="rId14"/>
    <sheet name="tables_settle_498104" sheetId="162" r:id="rId15"/>
    <sheet name="tables_settle_498105" sheetId="163" r:id="rId16"/>
    <sheet name="gacha_bonus_tables" sheetId="98" r:id="rId17"/>
    <sheet name="R6追加前" sheetId="111" r:id="rId18"/>
    <sheet name="R6開放" sheetId="112" r:id="rId19"/>
  </sheets>
  <externalReferences>
    <externalReference r:id="rId20"/>
  </externalReferences>
  <definedNames>
    <definedName name="_xlnm._FilterDatabase" localSheetId="16" hidden="1">gacha_bonus_tables!$A$1:$F$1</definedName>
    <definedName name="_xlnm._FilterDatabase" localSheetId="4" hidden="1">tables_498010!$A$1:$V$294</definedName>
    <definedName name="_xlnm._FilterDatabase" localSheetId="10" hidden="1">tables_498100!$A$1:$V$294</definedName>
    <definedName name="_xlnm._FilterDatabase" localSheetId="6" hidden="1">tables_498101!$A$1:$V$294</definedName>
    <definedName name="_xlnm._FilterDatabase" localSheetId="8" hidden="1">tables_498104!$A$1:$V$294</definedName>
    <definedName name="_xlnm._FilterDatabase" localSheetId="11" hidden="1">tables_settle_498101!$A$1:$V$1</definedName>
    <definedName name="_xlnm._FilterDatabase" localSheetId="12" hidden="1">tables_settle_498102!$A$1:$V$1</definedName>
    <definedName name="_xlnm._FilterDatabase" localSheetId="13" hidden="1">tables_settle_498103!$A$1:$V$1</definedName>
    <definedName name="_xlnm._FilterDatabase" localSheetId="14" hidden="1">tables_settle_498104!$A$1:$V$1</definedName>
    <definedName name="_xlnm._FilterDatabase" localSheetId="15" hidden="1">tables_settle_498105!$A$1:$V$1</definedName>
  </definedNames>
  <calcPr calcId="150001" calcOnSave="0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9" i="103" l="1"/>
  <c r="C10" i="103"/>
  <c r="E10" i="103"/>
  <c r="E9" i="103"/>
  <c r="I2" i="167"/>
  <c r="J2" i="167"/>
  <c r="D2" i="167"/>
  <c r="E2" i="167"/>
  <c r="C2" i="167"/>
  <c r="I3" i="167"/>
  <c r="J3" i="167"/>
  <c r="D3" i="167"/>
  <c r="E3" i="167"/>
  <c r="C3" i="167"/>
  <c r="I4" i="167"/>
  <c r="J4" i="167"/>
  <c r="D4" i="167"/>
  <c r="E4" i="167"/>
  <c r="C4" i="167"/>
  <c r="I5" i="167"/>
  <c r="J5" i="167"/>
  <c r="D5" i="167"/>
  <c r="E5" i="167"/>
  <c r="C5" i="167"/>
  <c r="I6" i="167"/>
  <c r="J6" i="167"/>
  <c r="D6" i="167"/>
  <c r="E6" i="167"/>
  <c r="C6" i="167"/>
  <c r="I7" i="167"/>
  <c r="J7" i="167"/>
  <c r="D7" i="167"/>
  <c r="E7" i="167"/>
  <c r="C7" i="167"/>
  <c r="I8" i="167"/>
  <c r="J8" i="167"/>
  <c r="D8" i="167"/>
  <c r="E8" i="167"/>
  <c r="C8" i="167"/>
  <c r="I9" i="167"/>
  <c r="J9" i="167"/>
  <c r="D9" i="167"/>
  <c r="E9" i="167"/>
  <c r="C9" i="167"/>
  <c r="I10" i="167"/>
  <c r="J10" i="167"/>
  <c r="D10" i="167"/>
  <c r="E10" i="167"/>
  <c r="C10" i="167"/>
  <c r="I11" i="167"/>
  <c r="J11" i="167"/>
  <c r="D11" i="167"/>
  <c r="E11" i="167"/>
  <c r="C11" i="167"/>
  <c r="I12" i="167"/>
  <c r="J12" i="167"/>
  <c r="D12" i="167"/>
  <c r="E12" i="167"/>
  <c r="C12" i="167"/>
  <c r="I13" i="167"/>
  <c r="J13" i="167"/>
  <c r="D13" i="167"/>
  <c r="E13" i="167"/>
  <c r="C13" i="167"/>
  <c r="I14" i="167"/>
  <c r="J14" i="167"/>
  <c r="D14" i="167"/>
  <c r="E14" i="167"/>
  <c r="C14" i="167"/>
  <c r="I15" i="167"/>
  <c r="J15" i="167"/>
  <c r="D15" i="167"/>
  <c r="E15" i="167"/>
  <c r="C15" i="167"/>
  <c r="I16" i="167"/>
  <c r="J16" i="167"/>
  <c r="D16" i="167"/>
  <c r="E16" i="167"/>
  <c r="C16" i="167"/>
  <c r="I17" i="167"/>
  <c r="J17" i="167"/>
  <c r="D17" i="167"/>
  <c r="E17" i="167"/>
  <c r="C17" i="167"/>
  <c r="I18" i="167"/>
  <c r="J18" i="167"/>
  <c r="D18" i="167"/>
  <c r="E18" i="167"/>
  <c r="C18" i="167"/>
  <c r="I19" i="167"/>
  <c r="J19" i="167"/>
  <c r="D19" i="167"/>
  <c r="E19" i="167"/>
  <c r="C19" i="167"/>
  <c r="I20" i="167"/>
  <c r="J20" i="167"/>
  <c r="D20" i="167"/>
  <c r="E20" i="167"/>
  <c r="C20" i="167"/>
  <c r="I21" i="167"/>
  <c r="J21" i="167"/>
  <c r="D21" i="167"/>
  <c r="E21" i="167"/>
  <c r="C21" i="167"/>
  <c r="I22" i="167"/>
  <c r="J22" i="167"/>
  <c r="D22" i="167"/>
  <c r="E22" i="167"/>
  <c r="C22" i="167"/>
  <c r="I23" i="167"/>
  <c r="J23" i="167"/>
  <c r="D23" i="167"/>
  <c r="E23" i="167"/>
  <c r="C23" i="167"/>
  <c r="I24" i="167"/>
  <c r="J24" i="167"/>
  <c r="D24" i="167"/>
  <c r="E24" i="167"/>
  <c r="C24" i="167"/>
  <c r="I25" i="167"/>
  <c r="J25" i="167"/>
  <c r="D25" i="167"/>
  <c r="E25" i="167"/>
  <c r="C25" i="167"/>
  <c r="I26" i="167"/>
  <c r="J26" i="167"/>
  <c r="D26" i="167"/>
  <c r="E26" i="167"/>
  <c r="C26" i="167"/>
  <c r="I27" i="167"/>
  <c r="J27" i="167"/>
  <c r="D27" i="167"/>
  <c r="E27" i="167"/>
  <c r="C27" i="167"/>
  <c r="I28" i="167"/>
  <c r="J28" i="167"/>
  <c r="D28" i="167"/>
  <c r="E28" i="167"/>
  <c r="C28" i="167"/>
  <c r="I29" i="167"/>
  <c r="J29" i="167"/>
  <c r="D29" i="167"/>
  <c r="E29" i="167"/>
  <c r="C29" i="167"/>
  <c r="I30" i="167"/>
  <c r="J30" i="167"/>
  <c r="D30" i="167"/>
  <c r="E30" i="167"/>
  <c r="C30" i="167"/>
  <c r="I31" i="167"/>
  <c r="J31" i="167"/>
  <c r="D31" i="167"/>
  <c r="E31" i="167"/>
  <c r="C31" i="167"/>
  <c r="I32" i="167"/>
  <c r="J32" i="167"/>
  <c r="D32" i="167"/>
  <c r="E32" i="167"/>
  <c r="C32" i="167"/>
  <c r="I33" i="167"/>
  <c r="J33" i="167"/>
  <c r="D33" i="167"/>
  <c r="E33" i="167"/>
  <c r="C33" i="167"/>
  <c r="I34" i="167"/>
  <c r="J34" i="167"/>
  <c r="D34" i="167"/>
  <c r="E34" i="167"/>
  <c r="C34" i="167"/>
  <c r="I35" i="167"/>
  <c r="J35" i="167"/>
  <c r="D35" i="167"/>
  <c r="E35" i="167"/>
  <c r="C35" i="167"/>
  <c r="I36" i="167"/>
  <c r="J36" i="167"/>
  <c r="D36" i="167"/>
  <c r="E36" i="167"/>
  <c r="C36" i="167"/>
  <c r="I37" i="167"/>
  <c r="J37" i="167"/>
  <c r="D37" i="167"/>
  <c r="E37" i="167"/>
  <c r="C37" i="167"/>
  <c r="I38" i="167"/>
  <c r="J38" i="167"/>
  <c r="D38" i="167"/>
  <c r="E38" i="167"/>
  <c r="C38" i="167"/>
  <c r="I39" i="167"/>
  <c r="J39" i="167"/>
  <c r="D39" i="167"/>
  <c r="E39" i="167"/>
  <c r="C39" i="167"/>
  <c r="I40" i="167"/>
  <c r="J40" i="167"/>
  <c r="D40" i="167"/>
  <c r="E40" i="167"/>
  <c r="C40" i="167"/>
  <c r="I41" i="167"/>
  <c r="J41" i="167"/>
  <c r="D41" i="167"/>
  <c r="E41" i="167"/>
  <c r="C41" i="167"/>
  <c r="I42" i="167"/>
  <c r="D42" i="167"/>
  <c r="J42" i="167"/>
  <c r="E42" i="167"/>
  <c r="C42" i="167"/>
  <c r="I43" i="167"/>
  <c r="D43" i="167"/>
  <c r="J43" i="167"/>
  <c r="E43" i="167"/>
  <c r="C43" i="167"/>
  <c r="I44" i="167"/>
  <c r="D44" i="167"/>
  <c r="J44" i="167"/>
  <c r="E44" i="167"/>
  <c r="C44" i="167"/>
  <c r="I45" i="167"/>
  <c r="D45" i="167"/>
  <c r="J45" i="167"/>
  <c r="E45" i="167"/>
  <c r="C45" i="167"/>
  <c r="I46" i="167"/>
  <c r="D46" i="167"/>
  <c r="J46" i="167"/>
  <c r="E46" i="167"/>
  <c r="C46" i="167"/>
  <c r="I47" i="167"/>
  <c r="D47" i="167"/>
  <c r="J47" i="167"/>
  <c r="E47" i="167"/>
  <c r="C47" i="167"/>
  <c r="I48" i="167"/>
  <c r="D48" i="167"/>
  <c r="J48" i="167"/>
  <c r="E48" i="167"/>
  <c r="C48" i="167"/>
  <c r="I49" i="167"/>
  <c r="D49" i="167"/>
  <c r="J49" i="167"/>
  <c r="E49" i="167"/>
  <c r="C49" i="167"/>
  <c r="I50" i="167"/>
  <c r="D50" i="167"/>
  <c r="J50" i="167"/>
  <c r="E50" i="167"/>
  <c r="C50" i="167"/>
  <c r="I51" i="167"/>
  <c r="D51" i="167"/>
  <c r="J51" i="167"/>
  <c r="E51" i="167"/>
  <c r="C51" i="167"/>
  <c r="I52" i="167"/>
  <c r="D52" i="167"/>
  <c r="J52" i="167"/>
  <c r="E52" i="167"/>
  <c r="C52" i="167"/>
  <c r="I53" i="167"/>
  <c r="D53" i="167"/>
  <c r="J53" i="167"/>
  <c r="E53" i="167"/>
  <c r="C53" i="167"/>
  <c r="I54" i="167"/>
  <c r="D54" i="167"/>
  <c r="J54" i="167"/>
  <c r="E54" i="167"/>
  <c r="C54" i="167"/>
  <c r="I55" i="167"/>
  <c r="D55" i="167"/>
  <c r="J55" i="167"/>
  <c r="E55" i="167"/>
  <c r="C55" i="167"/>
  <c r="I56" i="167"/>
  <c r="D56" i="167"/>
  <c r="J56" i="167"/>
  <c r="E56" i="167"/>
  <c r="C56" i="167"/>
  <c r="I57" i="167"/>
  <c r="D57" i="167"/>
  <c r="J57" i="167"/>
  <c r="E57" i="167"/>
  <c r="C57" i="167"/>
  <c r="I58" i="167"/>
  <c r="D58" i="167"/>
  <c r="J58" i="167"/>
  <c r="E58" i="167"/>
  <c r="C58" i="167"/>
  <c r="I59" i="167"/>
  <c r="D59" i="167"/>
  <c r="J59" i="167"/>
  <c r="E59" i="167"/>
  <c r="C59" i="167"/>
  <c r="I60" i="167"/>
  <c r="D60" i="167"/>
  <c r="J60" i="167"/>
  <c r="E60" i="167"/>
  <c r="C60" i="167"/>
  <c r="I61" i="167"/>
  <c r="D61" i="167"/>
  <c r="J61" i="167"/>
  <c r="E61" i="167"/>
  <c r="C61" i="167"/>
  <c r="I62" i="167"/>
  <c r="D62" i="167"/>
  <c r="J62" i="167"/>
  <c r="E62" i="167"/>
  <c r="C62" i="167"/>
  <c r="I63" i="167"/>
  <c r="D63" i="167"/>
  <c r="J63" i="167"/>
  <c r="E63" i="167"/>
  <c r="C63" i="167"/>
  <c r="I64" i="167"/>
  <c r="D64" i="167"/>
  <c r="J64" i="167"/>
  <c r="E64" i="167"/>
  <c r="C64" i="167"/>
  <c r="I65" i="167"/>
  <c r="D65" i="167"/>
  <c r="J65" i="167"/>
  <c r="E65" i="167"/>
  <c r="C65" i="167"/>
  <c r="I66" i="167"/>
  <c r="D66" i="167"/>
  <c r="J66" i="167"/>
  <c r="E66" i="167"/>
  <c r="C66" i="167"/>
  <c r="I67" i="167"/>
  <c r="D67" i="167"/>
  <c r="J67" i="167"/>
  <c r="E67" i="167"/>
  <c r="C67" i="167"/>
  <c r="I68" i="167"/>
  <c r="D68" i="167"/>
  <c r="J68" i="167"/>
  <c r="E68" i="167"/>
  <c r="C68" i="167"/>
  <c r="I69" i="167"/>
  <c r="D69" i="167"/>
  <c r="J69" i="167"/>
  <c r="E69" i="167"/>
  <c r="C69" i="167"/>
  <c r="I70" i="167"/>
  <c r="D70" i="167"/>
  <c r="J70" i="167"/>
  <c r="E70" i="167"/>
  <c r="C70" i="167"/>
  <c r="I71" i="167"/>
  <c r="D71" i="167"/>
  <c r="J71" i="167"/>
  <c r="E71" i="167"/>
  <c r="C71" i="167"/>
  <c r="I72" i="167"/>
  <c r="D72" i="167"/>
  <c r="J72" i="167"/>
  <c r="E72" i="167"/>
  <c r="C72" i="167"/>
  <c r="I73" i="167"/>
  <c r="D73" i="167"/>
  <c r="J73" i="167"/>
  <c r="E73" i="167"/>
  <c r="C73" i="167"/>
  <c r="I74" i="167"/>
  <c r="D74" i="167"/>
  <c r="J74" i="167"/>
  <c r="E74" i="167"/>
  <c r="C74" i="167"/>
  <c r="I75" i="167"/>
  <c r="D75" i="167"/>
  <c r="J75" i="167"/>
  <c r="E75" i="167"/>
  <c r="C75" i="167"/>
  <c r="I76" i="167"/>
  <c r="D76" i="167"/>
  <c r="J76" i="167"/>
  <c r="E76" i="167"/>
  <c r="C76" i="167"/>
  <c r="I77" i="167"/>
  <c r="D77" i="167"/>
  <c r="J77" i="167"/>
  <c r="E77" i="167"/>
  <c r="C77" i="167"/>
  <c r="I78" i="167"/>
  <c r="D78" i="167"/>
  <c r="J78" i="167"/>
  <c r="E78" i="167"/>
  <c r="C78" i="167"/>
  <c r="I79" i="167"/>
  <c r="D79" i="167"/>
  <c r="J79" i="167"/>
  <c r="E79" i="167"/>
  <c r="C79" i="167"/>
  <c r="I80" i="167"/>
  <c r="D80" i="167"/>
  <c r="J80" i="167"/>
  <c r="E80" i="167"/>
  <c r="C80" i="167"/>
  <c r="I81" i="167"/>
  <c r="D81" i="167"/>
  <c r="J81" i="167"/>
  <c r="E81" i="167"/>
  <c r="C81" i="167"/>
  <c r="I82" i="167"/>
  <c r="D82" i="167"/>
  <c r="J82" i="167"/>
  <c r="E82" i="167"/>
  <c r="C82" i="167"/>
  <c r="I83" i="167"/>
  <c r="D83" i="167"/>
  <c r="J83" i="167"/>
  <c r="E83" i="167"/>
  <c r="C83" i="167"/>
  <c r="I84" i="167"/>
  <c r="D84" i="167"/>
  <c r="J84" i="167"/>
  <c r="E84" i="167"/>
  <c r="C84" i="167"/>
  <c r="I85" i="167"/>
  <c r="D85" i="167"/>
  <c r="J85" i="167"/>
  <c r="E85" i="167"/>
  <c r="C85" i="167"/>
  <c r="I86" i="167"/>
  <c r="D86" i="167"/>
  <c r="J86" i="167"/>
  <c r="E86" i="167"/>
  <c r="C86" i="167"/>
  <c r="I87" i="167"/>
  <c r="D87" i="167"/>
  <c r="J87" i="167"/>
  <c r="E87" i="167"/>
  <c r="C87" i="167"/>
  <c r="I88" i="167"/>
  <c r="D88" i="167"/>
  <c r="J88" i="167"/>
  <c r="E88" i="167"/>
  <c r="C88" i="167"/>
  <c r="I89" i="167"/>
  <c r="D89" i="167"/>
  <c r="J89" i="167"/>
  <c r="E89" i="167"/>
  <c r="C89" i="167"/>
  <c r="I90" i="167"/>
  <c r="D90" i="167"/>
  <c r="J90" i="167"/>
  <c r="E90" i="167"/>
  <c r="C90" i="167"/>
  <c r="I91" i="167"/>
  <c r="D91" i="167"/>
  <c r="J91" i="167"/>
  <c r="E91" i="167"/>
  <c r="C91" i="167"/>
  <c r="I92" i="167"/>
  <c r="D92" i="167"/>
  <c r="J92" i="167"/>
  <c r="E92" i="167"/>
  <c r="C92" i="167"/>
  <c r="I93" i="167"/>
  <c r="D93" i="167"/>
  <c r="J93" i="167"/>
  <c r="E93" i="167"/>
  <c r="C93" i="167"/>
  <c r="I94" i="167"/>
  <c r="D94" i="167"/>
  <c r="J94" i="167"/>
  <c r="E94" i="167"/>
  <c r="C94" i="167"/>
  <c r="I95" i="167"/>
  <c r="D95" i="167"/>
  <c r="J95" i="167"/>
  <c r="E95" i="167"/>
  <c r="C95" i="167"/>
  <c r="I96" i="167"/>
  <c r="D96" i="167"/>
  <c r="J96" i="167"/>
  <c r="E96" i="167"/>
  <c r="C96" i="167"/>
  <c r="I97" i="167"/>
  <c r="D97" i="167"/>
  <c r="J97" i="167"/>
  <c r="E97" i="167"/>
  <c r="C97" i="167"/>
  <c r="I98" i="167"/>
  <c r="D98" i="167"/>
  <c r="J98" i="167"/>
  <c r="E98" i="167"/>
  <c r="C98" i="167"/>
  <c r="I99" i="167"/>
  <c r="D99" i="167"/>
  <c r="J99" i="167"/>
  <c r="E99" i="167"/>
  <c r="C99" i="167"/>
  <c r="I100" i="167"/>
  <c r="D100" i="167"/>
  <c r="J100" i="167"/>
  <c r="E100" i="167"/>
  <c r="C100" i="167"/>
  <c r="I101" i="167"/>
  <c r="D101" i="167"/>
  <c r="J101" i="167"/>
  <c r="E101" i="167"/>
  <c r="C101" i="167"/>
  <c r="I102" i="167"/>
  <c r="D102" i="167"/>
  <c r="J102" i="167"/>
  <c r="E102" i="167"/>
  <c r="C102" i="167"/>
  <c r="I103" i="167"/>
  <c r="D103" i="167"/>
  <c r="J103" i="167"/>
  <c r="E103" i="167"/>
  <c r="C103" i="167"/>
  <c r="I104" i="167"/>
  <c r="D104" i="167"/>
  <c r="J104" i="167"/>
  <c r="E104" i="167"/>
  <c r="C104" i="167"/>
  <c r="I105" i="167"/>
  <c r="D105" i="167"/>
  <c r="J105" i="167"/>
  <c r="E105" i="167"/>
  <c r="C105" i="167"/>
  <c r="I106" i="167"/>
  <c r="D106" i="167"/>
  <c r="J106" i="167"/>
  <c r="E106" i="167"/>
  <c r="C106" i="167"/>
  <c r="I107" i="167"/>
  <c r="D107" i="167"/>
  <c r="J107" i="167"/>
  <c r="E107" i="167"/>
  <c r="C107" i="167"/>
  <c r="I108" i="167"/>
  <c r="D108" i="167"/>
  <c r="J108" i="167"/>
  <c r="E108" i="167"/>
  <c r="C108" i="167"/>
  <c r="I109" i="167"/>
  <c r="D109" i="167"/>
  <c r="J109" i="167"/>
  <c r="E109" i="167"/>
  <c r="C109" i="167"/>
  <c r="I110" i="167"/>
  <c r="D110" i="167"/>
  <c r="J110" i="167"/>
  <c r="E110" i="167"/>
  <c r="C110" i="167"/>
  <c r="I111" i="167"/>
  <c r="D111" i="167"/>
  <c r="J111" i="167"/>
  <c r="E111" i="167"/>
  <c r="C111" i="167"/>
  <c r="I112" i="167"/>
  <c r="D112" i="167"/>
  <c r="J112" i="167"/>
  <c r="E112" i="167"/>
  <c r="C112" i="167"/>
  <c r="I113" i="167"/>
  <c r="D113" i="167"/>
  <c r="J113" i="167"/>
  <c r="E113" i="167"/>
  <c r="C113" i="167"/>
  <c r="I114" i="167"/>
  <c r="D114" i="167"/>
  <c r="J114" i="167"/>
  <c r="E114" i="167"/>
  <c r="C114" i="167"/>
  <c r="I115" i="167"/>
  <c r="D115" i="167"/>
  <c r="J115" i="167"/>
  <c r="E115" i="167"/>
  <c r="C115" i="167"/>
  <c r="I116" i="167"/>
  <c r="D116" i="167"/>
  <c r="J116" i="167"/>
  <c r="E116" i="167"/>
  <c r="C116" i="167"/>
  <c r="I117" i="167"/>
  <c r="D117" i="167"/>
  <c r="J117" i="167"/>
  <c r="E117" i="167"/>
  <c r="C117" i="167"/>
  <c r="I118" i="167"/>
  <c r="D118" i="167"/>
  <c r="J118" i="167"/>
  <c r="E118" i="167"/>
  <c r="C118" i="167"/>
  <c r="I119" i="167"/>
  <c r="D119" i="167"/>
  <c r="J119" i="167"/>
  <c r="E119" i="167"/>
  <c r="C119" i="167"/>
  <c r="I120" i="167"/>
  <c r="D120" i="167"/>
  <c r="J120" i="167"/>
  <c r="E120" i="167"/>
  <c r="C120" i="167"/>
  <c r="I121" i="167"/>
  <c r="D121" i="167"/>
  <c r="J121" i="167"/>
  <c r="E121" i="167"/>
  <c r="C121" i="167"/>
  <c r="I122" i="167"/>
  <c r="D122" i="167"/>
  <c r="J122" i="167"/>
  <c r="E122" i="167"/>
  <c r="C122" i="167"/>
  <c r="I123" i="167"/>
  <c r="D123" i="167"/>
  <c r="J123" i="167"/>
  <c r="E123" i="167"/>
  <c r="C123" i="167"/>
  <c r="I124" i="167"/>
  <c r="D124" i="167"/>
  <c r="J124" i="167"/>
  <c r="E124" i="167"/>
  <c r="C124" i="167"/>
  <c r="I125" i="167"/>
  <c r="D125" i="167"/>
  <c r="J125" i="167"/>
  <c r="E125" i="167"/>
  <c r="C125" i="167"/>
  <c r="I126" i="167"/>
  <c r="D126" i="167"/>
  <c r="J126" i="167"/>
  <c r="E126" i="167"/>
  <c r="C126" i="167"/>
  <c r="I127" i="167"/>
  <c r="D127" i="167"/>
  <c r="J127" i="167"/>
  <c r="E127" i="167"/>
  <c r="C127" i="167"/>
  <c r="I128" i="167"/>
  <c r="D128" i="167"/>
  <c r="J128" i="167"/>
  <c r="E128" i="167"/>
  <c r="C128" i="167"/>
  <c r="I129" i="167"/>
  <c r="D129" i="167"/>
  <c r="J129" i="167"/>
  <c r="E129" i="167"/>
  <c r="C129" i="167"/>
  <c r="I130" i="167"/>
  <c r="D130" i="167"/>
  <c r="J130" i="167"/>
  <c r="E130" i="167"/>
  <c r="C130" i="167"/>
  <c r="I131" i="167"/>
  <c r="D131" i="167"/>
  <c r="J131" i="167"/>
  <c r="E131" i="167"/>
  <c r="C131" i="167"/>
  <c r="I132" i="167"/>
  <c r="D132" i="167"/>
  <c r="J132" i="167"/>
  <c r="E132" i="167"/>
  <c r="C132" i="167"/>
  <c r="I133" i="167"/>
  <c r="D133" i="167"/>
  <c r="J133" i="167"/>
  <c r="E133" i="167"/>
  <c r="C133" i="167"/>
  <c r="I134" i="167"/>
  <c r="D134" i="167"/>
  <c r="J134" i="167"/>
  <c r="E134" i="167"/>
  <c r="C134" i="167"/>
  <c r="I135" i="167"/>
  <c r="D135" i="167"/>
  <c r="J135" i="167"/>
  <c r="E135" i="167"/>
  <c r="C135" i="167"/>
  <c r="I136" i="167"/>
  <c r="D136" i="167"/>
  <c r="J136" i="167"/>
  <c r="E136" i="167"/>
  <c r="C136" i="167"/>
  <c r="I137" i="167"/>
  <c r="D137" i="167"/>
  <c r="J137" i="167"/>
  <c r="E137" i="167"/>
  <c r="C137" i="167"/>
  <c r="I138" i="167"/>
  <c r="D138" i="167"/>
  <c r="J138" i="167"/>
  <c r="E138" i="167"/>
  <c r="C138" i="167"/>
  <c r="I139" i="167"/>
  <c r="D139" i="167"/>
  <c r="J139" i="167"/>
  <c r="E139" i="167"/>
  <c r="C139" i="167"/>
  <c r="I140" i="167"/>
  <c r="D140" i="167"/>
  <c r="J140" i="167"/>
  <c r="E140" i="167"/>
  <c r="C140" i="167"/>
  <c r="I141" i="167"/>
  <c r="D141" i="167"/>
  <c r="J141" i="167"/>
  <c r="E141" i="167"/>
  <c r="C141" i="167"/>
  <c r="I142" i="167"/>
  <c r="D142" i="167"/>
  <c r="J142" i="167"/>
  <c r="E142" i="167"/>
  <c r="C142" i="167"/>
  <c r="I143" i="167"/>
  <c r="D143" i="167"/>
  <c r="J143" i="167"/>
  <c r="E143" i="167"/>
  <c r="C143" i="167"/>
  <c r="I144" i="167"/>
  <c r="D144" i="167"/>
  <c r="J144" i="167"/>
  <c r="E144" i="167"/>
  <c r="C144" i="167"/>
  <c r="I145" i="167"/>
  <c r="D145" i="167"/>
  <c r="J145" i="167"/>
  <c r="E145" i="167"/>
  <c r="C145" i="167"/>
  <c r="I146" i="167"/>
  <c r="D146" i="167"/>
  <c r="J146" i="167"/>
  <c r="E146" i="167"/>
  <c r="C146" i="167"/>
  <c r="I147" i="167"/>
  <c r="D147" i="167"/>
  <c r="J147" i="167"/>
  <c r="E147" i="167"/>
  <c r="C147" i="167"/>
  <c r="I148" i="167"/>
  <c r="D148" i="167"/>
  <c r="J148" i="167"/>
  <c r="E148" i="167"/>
  <c r="C148" i="167"/>
  <c r="I149" i="167"/>
  <c r="D149" i="167"/>
  <c r="J149" i="167"/>
  <c r="E149" i="167"/>
  <c r="C149" i="167"/>
  <c r="I150" i="167"/>
  <c r="D150" i="167"/>
  <c r="J150" i="167"/>
  <c r="E150" i="167"/>
  <c r="C150" i="167"/>
  <c r="I151" i="167"/>
  <c r="D151" i="167"/>
  <c r="J151" i="167"/>
  <c r="E151" i="167"/>
  <c r="C151" i="167"/>
  <c r="I152" i="167"/>
  <c r="D152" i="167"/>
  <c r="J152" i="167"/>
  <c r="E152" i="167"/>
  <c r="C152" i="167"/>
  <c r="I153" i="167"/>
  <c r="D153" i="167"/>
  <c r="J153" i="167"/>
  <c r="E153" i="167"/>
  <c r="C153" i="167"/>
  <c r="I154" i="167"/>
  <c r="D154" i="167"/>
  <c r="J154" i="167"/>
  <c r="E154" i="167"/>
  <c r="C154" i="167"/>
  <c r="I155" i="167"/>
  <c r="D155" i="167"/>
  <c r="J155" i="167"/>
  <c r="E155" i="167"/>
  <c r="C155" i="167"/>
  <c r="I156" i="167"/>
  <c r="D156" i="167"/>
  <c r="J156" i="167"/>
  <c r="E156" i="167"/>
  <c r="C156" i="167"/>
  <c r="I157" i="167"/>
  <c r="D157" i="167"/>
  <c r="J157" i="167"/>
  <c r="E157" i="167"/>
  <c r="C157" i="167"/>
  <c r="I158" i="167"/>
  <c r="D158" i="167"/>
  <c r="J158" i="167"/>
  <c r="E158" i="167"/>
  <c r="C158" i="167"/>
  <c r="I159" i="167"/>
  <c r="D159" i="167"/>
  <c r="J159" i="167"/>
  <c r="E159" i="167"/>
  <c r="C159" i="167"/>
  <c r="I160" i="167"/>
  <c r="D160" i="167"/>
  <c r="J160" i="167"/>
  <c r="E160" i="167"/>
  <c r="C160" i="167"/>
  <c r="I161" i="167"/>
  <c r="D161" i="167"/>
  <c r="J161" i="167"/>
  <c r="E161" i="167"/>
  <c r="C161" i="167"/>
  <c r="I162" i="167"/>
  <c r="D162" i="167"/>
  <c r="J162" i="167"/>
  <c r="E162" i="167"/>
  <c r="C162" i="167"/>
  <c r="I163" i="167"/>
  <c r="D163" i="167"/>
  <c r="J163" i="167"/>
  <c r="E163" i="167"/>
  <c r="C163" i="167"/>
  <c r="I164" i="167"/>
  <c r="D164" i="167"/>
  <c r="J164" i="167"/>
  <c r="E164" i="167"/>
  <c r="C164" i="167"/>
  <c r="I165" i="167"/>
  <c r="D165" i="167"/>
  <c r="J165" i="167"/>
  <c r="E165" i="167"/>
  <c r="C165" i="167"/>
  <c r="I166" i="167"/>
  <c r="D166" i="167"/>
  <c r="J166" i="167"/>
  <c r="E166" i="167"/>
  <c r="C166" i="167"/>
  <c r="I167" i="167"/>
  <c r="D167" i="167"/>
  <c r="J167" i="167"/>
  <c r="E167" i="167"/>
  <c r="C167" i="167"/>
  <c r="I168" i="167"/>
  <c r="D168" i="167"/>
  <c r="J168" i="167"/>
  <c r="E168" i="167"/>
  <c r="C168" i="167"/>
  <c r="I169" i="167"/>
  <c r="D169" i="167"/>
  <c r="J169" i="167"/>
  <c r="E169" i="167"/>
  <c r="C169" i="167"/>
  <c r="I170" i="167"/>
  <c r="D170" i="167"/>
  <c r="J170" i="167"/>
  <c r="E170" i="167"/>
  <c r="C170" i="167"/>
  <c r="I171" i="167"/>
  <c r="D171" i="167"/>
  <c r="J171" i="167"/>
  <c r="E171" i="167"/>
  <c r="C171" i="167"/>
  <c r="I172" i="167"/>
  <c r="D172" i="167"/>
  <c r="J172" i="167"/>
  <c r="E172" i="167"/>
  <c r="C172" i="167"/>
  <c r="I173" i="167"/>
  <c r="D173" i="167"/>
  <c r="J173" i="167"/>
  <c r="E173" i="167"/>
  <c r="C173" i="167"/>
  <c r="I174" i="167"/>
  <c r="D174" i="167"/>
  <c r="J174" i="167"/>
  <c r="E174" i="167"/>
  <c r="C174" i="167"/>
  <c r="I175" i="167"/>
  <c r="D175" i="167"/>
  <c r="J175" i="167"/>
  <c r="E175" i="167"/>
  <c r="C175" i="167"/>
  <c r="I176" i="167"/>
  <c r="D176" i="167"/>
  <c r="J176" i="167"/>
  <c r="E176" i="167"/>
  <c r="C176" i="167"/>
  <c r="I177" i="167"/>
  <c r="D177" i="167"/>
  <c r="J177" i="167"/>
  <c r="E177" i="167"/>
  <c r="C177" i="167"/>
  <c r="I178" i="167"/>
  <c r="D178" i="167"/>
  <c r="J178" i="167"/>
  <c r="E178" i="167"/>
  <c r="C178" i="167"/>
  <c r="I179" i="167"/>
  <c r="D179" i="167"/>
  <c r="J179" i="167"/>
  <c r="E179" i="167"/>
  <c r="C179" i="167"/>
  <c r="I180" i="167"/>
  <c r="D180" i="167"/>
  <c r="J180" i="167"/>
  <c r="E180" i="167"/>
  <c r="C180" i="167"/>
  <c r="I181" i="167"/>
  <c r="D181" i="167"/>
  <c r="J181" i="167"/>
  <c r="E181" i="167"/>
  <c r="C181" i="167"/>
  <c r="I182" i="167"/>
  <c r="D182" i="167"/>
  <c r="J182" i="167"/>
  <c r="E182" i="167"/>
  <c r="C182" i="167"/>
  <c r="I183" i="167"/>
  <c r="D183" i="167"/>
  <c r="J183" i="167"/>
  <c r="E183" i="167"/>
  <c r="C183" i="167"/>
  <c r="I184" i="167"/>
  <c r="D184" i="167"/>
  <c r="J184" i="167"/>
  <c r="E184" i="167"/>
  <c r="C184" i="167"/>
  <c r="I185" i="167"/>
  <c r="D185" i="167"/>
  <c r="J185" i="167"/>
  <c r="E185" i="167"/>
  <c r="C185" i="167"/>
  <c r="I186" i="167"/>
  <c r="D186" i="167"/>
  <c r="J186" i="167"/>
  <c r="E186" i="167"/>
  <c r="C186" i="167"/>
  <c r="I187" i="167"/>
  <c r="D187" i="167"/>
  <c r="J187" i="167"/>
  <c r="E187" i="167"/>
  <c r="C187" i="167"/>
  <c r="I188" i="167"/>
  <c r="D188" i="167"/>
  <c r="J188" i="167"/>
  <c r="E188" i="167"/>
  <c r="C188" i="167"/>
  <c r="I189" i="167"/>
  <c r="D189" i="167"/>
  <c r="J189" i="167"/>
  <c r="E189" i="167"/>
  <c r="C189" i="167"/>
  <c r="I190" i="167"/>
  <c r="D190" i="167"/>
  <c r="J190" i="167"/>
  <c r="E190" i="167"/>
  <c r="C190" i="167"/>
  <c r="I191" i="167"/>
  <c r="D191" i="167"/>
  <c r="J191" i="167"/>
  <c r="E191" i="167"/>
  <c r="C191" i="167"/>
  <c r="I192" i="167"/>
  <c r="D192" i="167"/>
  <c r="J192" i="167"/>
  <c r="E192" i="167"/>
  <c r="C192" i="167"/>
  <c r="I193" i="167"/>
  <c r="D193" i="167"/>
  <c r="J193" i="167"/>
  <c r="E193" i="167"/>
  <c r="C193" i="167"/>
  <c r="I194" i="167"/>
  <c r="D194" i="167"/>
  <c r="J194" i="167"/>
  <c r="E194" i="167"/>
  <c r="C194" i="167"/>
  <c r="I195" i="167"/>
  <c r="D195" i="167"/>
  <c r="J195" i="167"/>
  <c r="E195" i="167"/>
  <c r="C195" i="167"/>
  <c r="I196" i="167"/>
  <c r="D196" i="167"/>
  <c r="J196" i="167"/>
  <c r="E196" i="167"/>
  <c r="C196" i="167"/>
  <c r="I197" i="167"/>
  <c r="D197" i="167"/>
  <c r="J197" i="167"/>
  <c r="E197" i="167"/>
  <c r="C197" i="167"/>
  <c r="I198" i="167"/>
  <c r="D198" i="167"/>
  <c r="J198" i="167"/>
  <c r="E198" i="167"/>
  <c r="C198" i="167"/>
  <c r="I199" i="167"/>
  <c r="D199" i="167"/>
  <c r="J199" i="167"/>
  <c r="E199" i="167"/>
  <c r="C199" i="167"/>
  <c r="I200" i="167"/>
  <c r="D200" i="167"/>
  <c r="J200" i="167"/>
  <c r="E200" i="167"/>
  <c r="C200" i="167"/>
  <c r="I201" i="167"/>
  <c r="D201" i="167"/>
  <c r="J201" i="167"/>
  <c r="E201" i="167"/>
  <c r="C201" i="167"/>
  <c r="I202" i="167"/>
  <c r="D202" i="167"/>
  <c r="J202" i="167"/>
  <c r="E202" i="167"/>
  <c r="C202" i="167"/>
  <c r="I203" i="167"/>
  <c r="D203" i="167"/>
  <c r="J203" i="167"/>
  <c r="E203" i="167"/>
  <c r="C203" i="167"/>
  <c r="I204" i="167"/>
  <c r="D204" i="167"/>
  <c r="J204" i="167"/>
  <c r="E204" i="167"/>
  <c r="C204" i="167"/>
  <c r="I205" i="167"/>
  <c r="D205" i="167"/>
  <c r="J205" i="167"/>
  <c r="E205" i="167"/>
  <c r="C205" i="167"/>
  <c r="I206" i="167"/>
  <c r="D206" i="167"/>
  <c r="J206" i="167"/>
  <c r="E206" i="167"/>
  <c r="C206" i="167"/>
  <c r="I207" i="167"/>
  <c r="D207" i="167"/>
  <c r="J207" i="167"/>
  <c r="E207" i="167"/>
  <c r="C207" i="167"/>
  <c r="I208" i="167"/>
  <c r="D208" i="167"/>
  <c r="J208" i="167"/>
  <c r="E208" i="167"/>
  <c r="C208" i="167"/>
  <c r="I209" i="167"/>
  <c r="D209" i="167"/>
  <c r="J209" i="167"/>
  <c r="E209" i="167"/>
  <c r="C209" i="167"/>
  <c r="I210" i="167"/>
  <c r="D210" i="167"/>
  <c r="J210" i="167"/>
  <c r="E210" i="167"/>
  <c r="C210" i="167"/>
  <c r="I211" i="167"/>
  <c r="D211" i="167"/>
  <c r="J211" i="167"/>
  <c r="E211" i="167"/>
  <c r="C211" i="167"/>
  <c r="I212" i="167"/>
  <c r="D212" i="167"/>
  <c r="J212" i="167"/>
  <c r="E212" i="167"/>
  <c r="C212" i="167"/>
  <c r="I213" i="167"/>
  <c r="D213" i="167"/>
  <c r="J213" i="167"/>
  <c r="E213" i="167"/>
  <c r="C213" i="167"/>
  <c r="I214" i="167"/>
  <c r="D214" i="167"/>
  <c r="J214" i="167"/>
  <c r="E214" i="167"/>
  <c r="C214" i="167"/>
  <c r="I215" i="167"/>
  <c r="J215" i="167"/>
  <c r="D215" i="167"/>
  <c r="E215" i="167"/>
  <c r="C215" i="167"/>
  <c r="I216" i="167"/>
  <c r="J216" i="167"/>
  <c r="D216" i="167"/>
  <c r="E216" i="167"/>
  <c r="C216" i="167"/>
  <c r="I217" i="167"/>
  <c r="J217" i="167"/>
  <c r="D217" i="167"/>
  <c r="E217" i="167"/>
  <c r="C217" i="167"/>
  <c r="I218" i="167"/>
  <c r="J218" i="167"/>
  <c r="D218" i="167"/>
  <c r="E218" i="167"/>
  <c r="C218" i="167"/>
  <c r="I219" i="167"/>
  <c r="J219" i="167"/>
  <c r="D219" i="167"/>
  <c r="E219" i="167"/>
  <c r="C219" i="167"/>
  <c r="I220" i="167"/>
  <c r="J220" i="167"/>
  <c r="D220" i="167"/>
  <c r="E220" i="167"/>
  <c r="C220" i="167"/>
  <c r="I221" i="167"/>
  <c r="D221" i="167"/>
  <c r="J221" i="167"/>
  <c r="E221" i="167"/>
  <c r="C221" i="167"/>
  <c r="I222" i="167"/>
  <c r="D222" i="167"/>
  <c r="J222" i="167"/>
  <c r="E222" i="167"/>
  <c r="C222" i="167"/>
  <c r="I223" i="167"/>
  <c r="D223" i="167"/>
  <c r="J223" i="167"/>
  <c r="E223" i="167"/>
  <c r="C223" i="167"/>
  <c r="I224" i="167"/>
  <c r="D224" i="167"/>
  <c r="J224" i="167"/>
  <c r="E224" i="167"/>
  <c r="C224" i="167"/>
  <c r="I225" i="167"/>
  <c r="D225" i="167"/>
  <c r="J225" i="167"/>
  <c r="E225" i="167"/>
  <c r="C225" i="167"/>
  <c r="I226" i="167"/>
  <c r="D226" i="167"/>
  <c r="J226" i="167"/>
  <c r="E226" i="167"/>
  <c r="C226" i="167"/>
  <c r="I227" i="167"/>
  <c r="D227" i="167"/>
  <c r="J227" i="167"/>
  <c r="E227" i="167"/>
  <c r="C227" i="167"/>
  <c r="I228" i="167"/>
  <c r="D228" i="167"/>
  <c r="J228" i="167"/>
  <c r="E228" i="167"/>
  <c r="C228" i="167"/>
  <c r="I229" i="167"/>
  <c r="D229" i="167"/>
  <c r="J229" i="167"/>
  <c r="E229" i="167"/>
  <c r="C229" i="167"/>
  <c r="I230" i="167"/>
  <c r="D230" i="167"/>
  <c r="J230" i="167"/>
  <c r="E230" i="167"/>
  <c r="C230" i="167"/>
  <c r="I231" i="167"/>
  <c r="D231" i="167"/>
  <c r="J231" i="167"/>
  <c r="E231" i="167"/>
  <c r="C231" i="167"/>
  <c r="I232" i="167"/>
  <c r="D232" i="167"/>
  <c r="J232" i="167"/>
  <c r="E232" i="167"/>
  <c r="C232" i="167"/>
  <c r="I233" i="167"/>
  <c r="D233" i="167"/>
  <c r="J233" i="167"/>
  <c r="E233" i="167"/>
  <c r="C233" i="167"/>
  <c r="I234" i="167"/>
  <c r="D234" i="167"/>
  <c r="J234" i="167"/>
  <c r="E234" i="167"/>
  <c r="C234" i="167"/>
  <c r="I235" i="167"/>
  <c r="D235" i="167"/>
  <c r="J235" i="167"/>
  <c r="E235" i="167"/>
  <c r="C235" i="167"/>
  <c r="I236" i="167"/>
  <c r="D236" i="167"/>
  <c r="J236" i="167"/>
  <c r="E236" i="167"/>
  <c r="C236" i="167"/>
  <c r="I237" i="167"/>
  <c r="D237" i="167"/>
  <c r="J237" i="167"/>
  <c r="E237" i="167"/>
  <c r="C237" i="167"/>
  <c r="I238" i="167"/>
  <c r="D238" i="167"/>
  <c r="J238" i="167"/>
  <c r="E238" i="167"/>
  <c r="C238" i="167"/>
  <c r="I239" i="167"/>
  <c r="D239" i="167"/>
  <c r="J239" i="167"/>
  <c r="E239" i="167"/>
  <c r="C239" i="167"/>
  <c r="I240" i="167"/>
  <c r="D240" i="167"/>
  <c r="J240" i="167"/>
  <c r="E240" i="167"/>
  <c r="C240" i="167"/>
  <c r="I241" i="167"/>
  <c r="D241" i="167"/>
  <c r="J241" i="167"/>
  <c r="E241" i="167"/>
  <c r="C241" i="167"/>
  <c r="I242" i="167"/>
  <c r="D242" i="167"/>
  <c r="J242" i="167"/>
  <c r="E242" i="167"/>
  <c r="C242" i="167"/>
  <c r="I243" i="167"/>
  <c r="D243" i="167"/>
  <c r="J243" i="167"/>
  <c r="E243" i="167"/>
  <c r="C243" i="167"/>
  <c r="I244" i="167"/>
  <c r="D244" i="167"/>
  <c r="J244" i="167"/>
  <c r="E244" i="167"/>
  <c r="C244" i="167"/>
  <c r="I245" i="167"/>
  <c r="D245" i="167"/>
  <c r="J245" i="167"/>
  <c r="E245" i="167"/>
  <c r="C245" i="167"/>
  <c r="I246" i="167"/>
  <c r="D246" i="167"/>
  <c r="J246" i="167"/>
  <c r="E246" i="167"/>
  <c r="C246" i="167"/>
  <c r="I247" i="167"/>
  <c r="D247" i="167"/>
  <c r="J247" i="167"/>
  <c r="E247" i="167"/>
  <c r="C247" i="167"/>
  <c r="I248" i="167"/>
  <c r="D248" i="167"/>
  <c r="J248" i="167"/>
  <c r="E248" i="167"/>
  <c r="C248" i="167"/>
  <c r="I249" i="167"/>
  <c r="D249" i="167"/>
  <c r="J249" i="167"/>
  <c r="E249" i="167"/>
  <c r="C249" i="167"/>
  <c r="I250" i="167"/>
  <c r="D250" i="167"/>
  <c r="J250" i="167"/>
  <c r="E250" i="167"/>
  <c r="C250" i="167"/>
  <c r="I251" i="167"/>
  <c r="D251" i="167"/>
  <c r="J251" i="167"/>
  <c r="E251" i="167"/>
  <c r="C251" i="167"/>
  <c r="I252" i="167"/>
  <c r="D252" i="167"/>
  <c r="J252" i="167"/>
  <c r="E252" i="167"/>
  <c r="C252" i="167"/>
  <c r="I253" i="167"/>
  <c r="D253" i="167"/>
  <c r="J253" i="167"/>
  <c r="E253" i="167"/>
  <c r="C253" i="167"/>
  <c r="I254" i="167"/>
  <c r="D254" i="167"/>
  <c r="J254" i="167"/>
  <c r="E254" i="167"/>
  <c r="C254" i="167"/>
  <c r="I255" i="167"/>
  <c r="D255" i="167"/>
  <c r="J255" i="167"/>
  <c r="E255" i="167"/>
  <c r="C255" i="167"/>
  <c r="I256" i="167"/>
  <c r="D256" i="167"/>
  <c r="J256" i="167"/>
  <c r="E256" i="167"/>
  <c r="C256" i="167"/>
  <c r="I257" i="167"/>
  <c r="D257" i="167"/>
  <c r="J257" i="167"/>
  <c r="E257" i="167"/>
  <c r="C257" i="167"/>
  <c r="I258" i="167"/>
  <c r="D258" i="167"/>
  <c r="J258" i="167"/>
  <c r="E258" i="167"/>
  <c r="C258" i="167"/>
  <c r="I259" i="167"/>
  <c r="D259" i="167"/>
  <c r="J259" i="167"/>
  <c r="E259" i="167"/>
  <c r="C259" i="167"/>
  <c r="I260" i="167"/>
  <c r="D260" i="167"/>
  <c r="J260" i="167"/>
  <c r="E260" i="167"/>
  <c r="C260" i="167"/>
  <c r="I261" i="167"/>
  <c r="D261" i="167"/>
  <c r="J261" i="167"/>
  <c r="E261" i="167"/>
  <c r="C261" i="167"/>
  <c r="I262" i="167"/>
  <c r="D262" i="167"/>
  <c r="J262" i="167"/>
  <c r="E262" i="167"/>
  <c r="C262" i="167"/>
  <c r="I263" i="167"/>
  <c r="D263" i="167"/>
  <c r="J263" i="167"/>
  <c r="E263" i="167"/>
  <c r="C263" i="167"/>
  <c r="I264" i="167"/>
  <c r="D264" i="167"/>
  <c r="J264" i="167"/>
  <c r="E264" i="167"/>
  <c r="C264" i="167"/>
  <c r="I265" i="167"/>
  <c r="D265" i="167"/>
  <c r="J265" i="167"/>
  <c r="E265" i="167"/>
  <c r="C265" i="167"/>
  <c r="I266" i="167"/>
  <c r="D266" i="167"/>
  <c r="J266" i="167"/>
  <c r="E266" i="167"/>
  <c r="C266" i="167"/>
  <c r="I267" i="167"/>
  <c r="D267" i="167"/>
  <c r="J267" i="167"/>
  <c r="E267" i="167"/>
  <c r="C267" i="167"/>
  <c r="I268" i="167"/>
  <c r="D268" i="167"/>
  <c r="J268" i="167"/>
  <c r="E268" i="167"/>
  <c r="C268" i="167"/>
  <c r="I269" i="167"/>
  <c r="D269" i="167"/>
  <c r="J269" i="167"/>
  <c r="E269" i="167"/>
  <c r="C269" i="167"/>
  <c r="I270" i="167"/>
  <c r="D270" i="167"/>
  <c r="J270" i="167"/>
  <c r="E270" i="167"/>
  <c r="C270" i="167"/>
  <c r="I271" i="167"/>
  <c r="D271" i="167"/>
  <c r="J271" i="167"/>
  <c r="E271" i="167"/>
  <c r="C271" i="167"/>
  <c r="I272" i="167"/>
  <c r="D272" i="167"/>
  <c r="J272" i="167"/>
  <c r="E272" i="167"/>
  <c r="C272" i="167"/>
  <c r="I273" i="167"/>
  <c r="D273" i="167"/>
  <c r="J273" i="167"/>
  <c r="E273" i="167"/>
  <c r="C273" i="167"/>
  <c r="I274" i="167"/>
  <c r="D274" i="167"/>
  <c r="J274" i="167"/>
  <c r="E274" i="167"/>
  <c r="C274" i="167"/>
  <c r="I275" i="167"/>
  <c r="D275" i="167"/>
  <c r="J275" i="167"/>
  <c r="E275" i="167"/>
  <c r="C275" i="167"/>
  <c r="I276" i="167"/>
  <c r="D276" i="167"/>
  <c r="J276" i="167"/>
  <c r="E276" i="167"/>
  <c r="C276" i="167"/>
  <c r="I277" i="167"/>
  <c r="D277" i="167"/>
  <c r="J277" i="167"/>
  <c r="E277" i="167"/>
  <c r="C277" i="167"/>
  <c r="I278" i="167"/>
  <c r="D278" i="167"/>
  <c r="J278" i="167"/>
  <c r="E278" i="167"/>
  <c r="C278" i="167"/>
  <c r="I279" i="167"/>
  <c r="D279" i="167"/>
  <c r="J279" i="167"/>
  <c r="E279" i="167"/>
  <c r="C279" i="167"/>
  <c r="I280" i="167"/>
  <c r="D280" i="167"/>
  <c r="J280" i="167"/>
  <c r="E280" i="167"/>
  <c r="C280" i="167"/>
  <c r="I281" i="167"/>
  <c r="D281" i="167"/>
  <c r="J281" i="167"/>
  <c r="E281" i="167"/>
  <c r="C281" i="167"/>
  <c r="I282" i="167"/>
  <c r="D282" i="167"/>
  <c r="J282" i="167"/>
  <c r="E282" i="167"/>
  <c r="C282" i="167"/>
  <c r="I283" i="167"/>
  <c r="D283" i="167"/>
  <c r="J283" i="167"/>
  <c r="E283" i="167"/>
  <c r="C283" i="167"/>
  <c r="I284" i="167"/>
  <c r="D284" i="167"/>
  <c r="J284" i="167"/>
  <c r="E284" i="167"/>
  <c r="C284" i="167"/>
  <c r="I285" i="167"/>
  <c r="D285" i="167"/>
  <c r="J285" i="167"/>
  <c r="E285" i="167"/>
  <c r="C285" i="167"/>
  <c r="I286" i="167"/>
  <c r="D286" i="167"/>
  <c r="J286" i="167"/>
  <c r="E286" i="167"/>
  <c r="C286" i="167"/>
  <c r="I287" i="167"/>
  <c r="D287" i="167"/>
  <c r="J287" i="167"/>
  <c r="E287" i="167"/>
  <c r="C287" i="167"/>
  <c r="I288" i="167"/>
  <c r="D288" i="167"/>
  <c r="J288" i="167"/>
  <c r="E288" i="167"/>
  <c r="C288" i="167"/>
  <c r="I289" i="167"/>
  <c r="D289" i="167"/>
  <c r="J289" i="167"/>
  <c r="E289" i="167"/>
  <c r="C289" i="167"/>
  <c r="I290" i="167"/>
  <c r="D290" i="167"/>
  <c r="J290" i="167"/>
  <c r="E290" i="167"/>
  <c r="C290" i="167"/>
  <c r="I291" i="167"/>
  <c r="D291" i="167"/>
  <c r="J291" i="167"/>
  <c r="E291" i="167"/>
  <c r="C291" i="167"/>
  <c r="I292" i="167"/>
  <c r="D292" i="167"/>
  <c r="J292" i="167"/>
  <c r="E292" i="167"/>
  <c r="C292" i="167"/>
  <c r="I293" i="167"/>
  <c r="D293" i="167"/>
  <c r="J293" i="167"/>
  <c r="E293" i="167"/>
  <c r="C293" i="167"/>
  <c r="I294" i="167"/>
  <c r="D294" i="167"/>
  <c r="J294" i="167"/>
  <c r="E294" i="167"/>
  <c r="C294" i="167"/>
  <c r="I295" i="167"/>
  <c r="D295" i="167"/>
  <c r="J295" i="167"/>
  <c r="E295" i="167"/>
  <c r="C295" i="167"/>
  <c r="I296" i="167"/>
  <c r="D296" i="167"/>
  <c r="J296" i="167"/>
  <c r="E296" i="167"/>
  <c r="C296" i="167"/>
  <c r="I297" i="167"/>
  <c r="D297" i="167"/>
  <c r="J297" i="167"/>
  <c r="E297" i="167"/>
  <c r="C297" i="167"/>
  <c r="I298" i="167"/>
  <c r="D298" i="167"/>
  <c r="J298" i="167"/>
  <c r="E298" i="167"/>
  <c r="C298" i="167"/>
  <c r="I299" i="167"/>
  <c r="D299" i="167"/>
  <c r="J299" i="167"/>
  <c r="E299" i="167"/>
  <c r="C299" i="167"/>
  <c r="I300" i="167"/>
  <c r="D300" i="167"/>
  <c r="J300" i="167"/>
  <c r="E300" i="167"/>
  <c r="C300" i="167"/>
  <c r="I301" i="167"/>
  <c r="D301" i="167"/>
  <c r="J301" i="167"/>
  <c r="E301" i="167"/>
  <c r="C301" i="167"/>
  <c r="I302" i="167"/>
  <c r="D302" i="167"/>
  <c r="J302" i="167"/>
  <c r="E302" i="167"/>
  <c r="C302" i="167"/>
  <c r="I303" i="167"/>
  <c r="D303" i="167"/>
  <c r="J303" i="167"/>
  <c r="E303" i="167"/>
  <c r="C303" i="167"/>
  <c r="I304" i="167"/>
  <c r="D304" i="167"/>
  <c r="J304" i="167"/>
  <c r="E304" i="167"/>
  <c r="C304" i="167"/>
  <c r="I305" i="167"/>
  <c r="D305" i="167"/>
  <c r="J305" i="167"/>
  <c r="E305" i="167"/>
  <c r="C305" i="167"/>
  <c r="I306" i="167"/>
  <c r="D306" i="167"/>
  <c r="J306" i="167"/>
  <c r="E306" i="167"/>
  <c r="C306" i="167"/>
  <c r="I307" i="167"/>
  <c r="D307" i="167"/>
  <c r="J307" i="167"/>
  <c r="E307" i="167"/>
  <c r="C307" i="167"/>
  <c r="I308" i="167"/>
  <c r="D308" i="167"/>
  <c r="J308" i="167"/>
  <c r="E308" i="167"/>
  <c r="C308" i="167"/>
  <c r="I309" i="167"/>
  <c r="D309" i="167"/>
  <c r="J309" i="167"/>
  <c r="E309" i="167"/>
  <c r="C309" i="167"/>
  <c r="I310" i="167"/>
  <c r="D310" i="167"/>
  <c r="J310" i="167"/>
  <c r="E310" i="167"/>
  <c r="C310" i="167"/>
  <c r="I311" i="167"/>
  <c r="D311" i="167"/>
  <c r="J311" i="167"/>
  <c r="E311" i="167"/>
  <c r="C311" i="167"/>
  <c r="I312" i="167"/>
  <c r="D312" i="167"/>
  <c r="J312" i="167"/>
  <c r="E312" i="167"/>
  <c r="C312" i="167"/>
  <c r="I313" i="167"/>
  <c r="D313" i="167"/>
  <c r="J313" i="167"/>
  <c r="E313" i="167"/>
  <c r="C313" i="167"/>
  <c r="I314" i="167"/>
  <c r="D314" i="167"/>
  <c r="J314" i="167"/>
  <c r="E314" i="167"/>
  <c r="C314" i="167"/>
  <c r="I315" i="167"/>
  <c r="D315" i="167"/>
  <c r="J315" i="167"/>
  <c r="E315" i="167"/>
  <c r="C315" i="167"/>
  <c r="I316" i="167"/>
  <c r="D316" i="167"/>
  <c r="J316" i="167"/>
  <c r="E316" i="167"/>
  <c r="C316" i="167"/>
  <c r="I317" i="167"/>
  <c r="D317" i="167"/>
  <c r="J317" i="167"/>
  <c r="E317" i="167"/>
  <c r="C317" i="167"/>
  <c r="I318" i="167"/>
  <c r="D318" i="167"/>
  <c r="J318" i="167"/>
  <c r="E318" i="167"/>
  <c r="C318" i="167"/>
  <c r="I319" i="167"/>
  <c r="D319" i="167"/>
  <c r="J319" i="167"/>
  <c r="E319" i="167"/>
  <c r="C319" i="167"/>
  <c r="I320" i="167"/>
  <c r="D320" i="167"/>
  <c r="J320" i="167"/>
  <c r="E320" i="167"/>
  <c r="C320" i="167"/>
  <c r="I321" i="167"/>
  <c r="D321" i="167"/>
  <c r="J321" i="167"/>
  <c r="E321" i="167"/>
  <c r="C321" i="167"/>
  <c r="I322" i="167"/>
  <c r="D322" i="167"/>
  <c r="J322" i="167"/>
  <c r="E322" i="167"/>
  <c r="C322" i="167"/>
  <c r="I323" i="167"/>
  <c r="D323" i="167"/>
  <c r="J323" i="167"/>
  <c r="E323" i="167"/>
  <c r="C323" i="167"/>
  <c r="I324" i="167"/>
  <c r="D324" i="167"/>
  <c r="J324" i="167"/>
  <c r="E324" i="167"/>
  <c r="C324" i="167"/>
  <c r="I325" i="167"/>
  <c r="D325" i="167"/>
  <c r="J325" i="167"/>
  <c r="E325" i="167"/>
  <c r="C325" i="167"/>
  <c r="I326" i="167"/>
  <c r="D326" i="167"/>
  <c r="J326" i="167"/>
  <c r="E326" i="167"/>
  <c r="C326" i="167"/>
  <c r="I327" i="167"/>
  <c r="D327" i="167"/>
  <c r="J327" i="167"/>
  <c r="E327" i="167"/>
  <c r="C327" i="167"/>
  <c r="I328" i="167"/>
  <c r="D328" i="167"/>
  <c r="J328" i="167"/>
  <c r="E328" i="167"/>
  <c r="C328" i="167"/>
  <c r="I329" i="167"/>
  <c r="D329" i="167"/>
  <c r="J329" i="167"/>
  <c r="E329" i="167"/>
  <c r="C329" i="167"/>
  <c r="I330" i="167"/>
  <c r="D330" i="167"/>
  <c r="J330" i="167"/>
  <c r="E330" i="167"/>
  <c r="C330" i="167"/>
  <c r="I331" i="167"/>
  <c r="D331" i="167"/>
  <c r="J331" i="167"/>
  <c r="E331" i="167"/>
  <c r="C331" i="167"/>
  <c r="I332" i="167"/>
  <c r="D332" i="167"/>
  <c r="J332" i="167"/>
  <c r="E332" i="167"/>
  <c r="C332" i="167"/>
  <c r="I333" i="167"/>
  <c r="D333" i="167"/>
  <c r="J333" i="167"/>
  <c r="E333" i="167"/>
  <c r="C333" i="167"/>
  <c r="I334" i="167"/>
  <c r="D334" i="167"/>
  <c r="J334" i="167"/>
  <c r="E334" i="167"/>
  <c r="C334" i="167"/>
  <c r="I335" i="167"/>
  <c r="D335" i="167"/>
  <c r="J335" i="167"/>
  <c r="E335" i="167"/>
  <c r="C335" i="167"/>
  <c r="I336" i="167"/>
  <c r="D336" i="167"/>
  <c r="J336" i="167"/>
  <c r="E336" i="167"/>
  <c r="C336" i="167"/>
  <c r="I337" i="167"/>
  <c r="D337" i="167"/>
  <c r="J337" i="167"/>
  <c r="E337" i="167"/>
  <c r="C337" i="167"/>
  <c r="I338" i="167"/>
  <c r="D338" i="167"/>
  <c r="J338" i="167"/>
  <c r="E338" i="167"/>
  <c r="C338" i="167"/>
  <c r="I339" i="167"/>
  <c r="D339" i="167"/>
  <c r="J339" i="167"/>
  <c r="E339" i="167"/>
  <c r="C339" i="167"/>
  <c r="I340" i="167"/>
  <c r="D340" i="167"/>
  <c r="J340" i="167"/>
  <c r="E340" i="167"/>
  <c r="C340" i="167"/>
  <c r="I341" i="167"/>
  <c r="D341" i="167"/>
  <c r="J341" i="167"/>
  <c r="E341" i="167"/>
  <c r="C341" i="167"/>
  <c r="I342" i="167"/>
  <c r="D342" i="167"/>
  <c r="J342" i="167"/>
  <c r="E342" i="167"/>
  <c r="C342" i="167"/>
  <c r="I343" i="167"/>
  <c r="D343" i="167"/>
  <c r="J343" i="167"/>
  <c r="E343" i="167"/>
  <c r="C343" i="167"/>
  <c r="I344" i="167"/>
  <c r="D344" i="167"/>
  <c r="J344" i="167"/>
  <c r="E344" i="167"/>
  <c r="C344" i="167"/>
  <c r="I345" i="167"/>
  <c r="D345" i="167"/>
  <c r="J345" i="167"/>
  <c r="E345" i="167"/>
  <c r="C345" i="167"/>
  <c r="I346" i="167"/>
  <c r="D346" i="167"/>
  <c r="J346" i="167"/>
  <c r="E346" i="167"/>
  <c r="C346" i="167"/>
  <c r="I347" i="167"/>
  <c r="D347" i="167"/>
  <c r="J347" i="167"/>
  <c r="E347" i="167"/>
  <c r="C347" i="167"/>
  <c r="I348" i="167"/>
  <c r="D348" i="167"/>
  <c r="J348" i="167"/>
  <c r="E348" i="167"/>
  <c r="C348" i="167"/>
  <c r="I349" i="167"/>
  <c r="D349" i="167"/>
  <c r="J349" i="167"/>
  <c r="E349" i="167"/>
  <c r="C349" i="167"/>
  <c r="I350" i="167"/>
  <c r="D350" i="167"/>
  <c r="J350" i="167"/>
  <c r="E350" i="167"/>
  <c r="C350" i="167"/>
  <c r="I351" i="167"/>
  <c r="D351" i="167"/>
  <c r="J351" i="167"/>
  <c r="E351" i="167"/>
  <c r="C351" i="167"/>
  <c r="F5" i="166"/>
  <c r="F6" i="166"/>
  <c r="A36" i="166"/>
  <c r="R8" i="166"/>
  <c r="O351" i="167"/>
  <c r="A2" i="166"/>
  <c r="A351" i="167"/>
  <c r="R7" i="166"/>
  <c r="O350" i="167"/>
  <c r="A350" i="167"/>
  <c r="R6" i="166"/>
  <c r="O349" i="167"/>
  <c r="A349" i="167"/>
  <c r="R5" i="166"/>
  <c r="O348" i="167"/>
  <c r="A348" i="167"/>
  <c r="R4" i="166"/>
  <c r="O347" i="167"/>
  <c r="A347" i="167"/>
  <c r="R3" i="166"/>
  <c r="O346" i="167"/>
  <c r="A346" i="167"/>
  <c r="Q3" i="166"/>
  <c r="Q4" i="166"/>
  <c r="Q5" i="166"/>
  <c r="Q6" i="166"/>
  <c r="Q7" i="166"/>
  <c r="Q8" i="166"/>
  <c r="Q9" i="166"/>
  <c r="Q10" i="166"/>
  <c r="Q11" i="166"/>
  <c r="Q12" i="166"/>
  <c r="Q13" i="166"/>
  <c r="Q14" i="166"/>
  <c r="Q15" i="166"/>
  <c r="Q16" i="166"/>
  <c r="Q17" i="166"/>
  <c r="Q18" i="166"/>
  <c r="Q19" i="166"/>
  <c r="Q20" i="166"/>
  <c r="E23" i="166"/>
  <c r="E6" i="166"/>
  <c r="B23" i="166"/>
  <c r="G23" i="166"/>
  <c r="H23" i="166"/>
  <c r="O345" i="167"/>
  <c r="A345" i="167"/>
  <c r="E22" i="166"/>
  <c r="B22" i="166"/>
  <c r="G22" i="166"/>
  <c r="H22" i="166"/>
  <c r="O344" i="167"/>
  <c r="A344" i="167"/>
  <c r="E5" i="166"/>
  <c r="E29" i="166"/>
  <c r="B29" i="166"/>
  <c r="G29" i="166"/>
  <c r="H29" i="166"/>
  <c r="O343" i="167"/>
  <c r="A343" i="167"/>
  <c r="O342" i="167"/>
  <c r="A342" i="167"/>
  <c r="O341" i="167"/>
  <c r="A341" i="167"/>
  <c r="O340" i="167"/>
  <c r="A340" i="167"/>
  <c r="O339" i="167"/>
  <c r="A339" i="167"/>
  <c r="O338" i="167"/>
  <c r="A338" i="167"/>
  <c r="O337" i="167"/>
  <c r="A337" i="167"/>
  <c r="O336" i="167"/>
  <c r="A336" i="167"/>
  <c r="O335" i="167"/>
  <c r="A335" i="167"/>
  <c r="O334" i="167"/>
  <c r="A334" i="167"/>
  <c r="O333" i="167"/>
  <c r="A333" i="167"/>
  <c r="O332" i="167"/>
  <c r="A332" i="167"/>
  <c r="O331" i="167"/>
  <c r="A331" i="167"/>
  <c r="O330" i="167"/>
  <c r="A330" i="167"/>
  <c r="O329" i="167"/>
  <c r="A329" i="167"/>
  <c r="O328" i="167"/>
  <c r="A328" i="167"/>
  <c r="O327" i="167"/>
  <c r="A327" i="167"/>
  <c r="O326" i="167"/>
  <c r="A326" i="167"/>
  <c r="O325" i="167"/>
  <c r="A325" i="167"/>
  <c r="O324" i="167"/>
  <c r="A324" i="167"/>
  <c r="O323" i="167"/>
  <c r="A323" i="167"/>
  <c r="O322" i="167"/>
  <c r="A322" i="167"/>
  <c r="O321" i="167"/>
  <c r="A321" i="167"/>
  <c r="O320" i="167"/>
  <c r="A320" i="167"/>
  <c r="O319" i="167"/>
  <c r="A319" i="167"/>
  <c r="O318" i="167"/>
  <c r="A318" i="167"/>
  <c r="O317" i="167"/>
  <c r="A317" i="167"/>
  <c r="O316" i="167"/>
  <c r="A316" i="167"/>
  <c r="O315" i="167"/>
  <c r="A315" i="167"/>
  <c r="O314" i="167"/>
  <c r="A314" i="167"/>
  <c r="O313" i="167"/>
  <c r="A313" i="167"/>
  <c r="O312" i="167"/>
  <c r="A312" i="167"/>
  <c r="O311" i="167"/>
  <c r="A311" i="167"/>
  <c r="O310" i="167"/>
  <c r="A310" i="167"/>
  <c r="O309" i="167"/>
  <c r="A309" i="167"/>
  <c r="O308" i="167"/>
  <c r="A308" i="167"/>
  <c r="O307" i="167"/>
  <c r="A307" i="167"/>
  <c r="O306" i="167"/>
  <c r="A306" i="167"/>
  <c r="O305" i="167"/>
  <c r="A305" i="167"/>
  <c r="O304" i="167"/>
  <c r="A304" i="167"/>
  <c r="O303" i="167"/>
  <c r="A303" i="167"/>
  <c r="O302" i="167"/>
  <c r="A302" i="167"/>
  <c r="O301" i="167"/>
  <c r="A301" i="167"/>
  <c r="O300" i="167"/>
  <c r="A300" i="167"/>
  <c r="O299" i="167"/>
  <c r="A299" i="167"/>
  <c r="O298" i="167"/>
  <c r="A298" i="167"/>
  <c r="O297" i="167"/>
  <c r="A297" i="167"/>
  <c r="O296" i="167"/>
  <c r="A296" i="167"/>
  <c r="O295" i="167"/>
  <c r="A295" i="167"/>
  <c r="O294" i="167"/>
  <c r="A294" i="167"/>
  <c r="O293" i="167"/>
  <c r="A293" i="167"/>
  <c r="O292" i="167"/>
  <c r="A292" i="167"/>
  <c r="O291" i="167"/>
  <c r="A291" i="167"/>
  <c r="O290" i="167"/>
  <c r="A290" i="167"/>
  <c r="O289" i="167"/>
  <c r="A289" i="167"/>
  <c r="O288" i="167"/>
  <c r="A288" i="167"/>
  <c r="O287" i="167"/>
  <c r="A287" i="167"/>
  <c r="O286" i="167"/>
  <c r="A286" i="167"/>
  <c r="O285" i="167"/>
  <c r="A285" i="167"/>
  <c r="O284" i="167"/>
  <c r="A284" i="167"/>
  <c r="E28" i="166"/>
  <c r="B28" i="166"/>
  <c r="E26" i="166"/>
  <c r="B26" i="166"/>
  <c r="B21" i="166"/>
  <c r="G21" i="166"/>
  <c r="E21" i="166"/>
  <c r="H21" i="166"/>
  <c r="O283" i="167"/>
  <c r="A283" i="167"/>
  <c r="E20" i="166"/>
  <c r="B20" i="166"/>
  <c r="G20" i="166"/>
  <c r="H20" i="166"/>
  <c r="O282" i="167"/>
  <c r="A282" i="167"/>
  <c r="E19" i="166"/>
  <c r="B19" i="166"/>
  <c r="G19" i="166"/>
  <c r="H19" i="166"/>
  <c r="O281" i="167"/>
  <c r="A281" i="167"/>
  <c r="O280" i="167"/>
  <c r="A280" i="167"/>
  <c r="O279" i="167"/>
  <c r="A279" i="167"/>
  <c r="O278" i="167"/>
  <c r="A278" i="167"/>
  <c r="G28" i="166"/>
  <c r="H28" i="166"/>
  <c r="O277" i="167"/>
  <c r="A277" i="167"/>
  <c r="E27" i="166"/>
  <c r="B27" i="166"/>
  <c r="G27" i="166"/>
  <c r="H27" i="166"/>
  <c r="O276" i="167"/>
  <c r="A276" i="167"/>
  <c r="O275" i="167"/>
  <c r="A275" i="167"/>
  <c r="O274" i="167"/>
  <c r="A274" i="167"/>
  <c r="O273" i="167"/>
  <c r="A273" i="167"/>
  <c r="O272" i="167"/>
  <c r="A272" i="167"/>
  <c r="O271" i="167"/>
  <c r="A271" i="167"/>
  <c r="O270" i="167"/>
  <c r="A270" i="167"/>
  <c r="O269" i="167"/>
  <c r="A269" i="167"/>
  <c r="O268" i="167"/>
  <c r="A268" i="167"/>
  <c r="O267" i="167"/>
  <c r="A267" i="167"/>
  <c r="O266" i="167"/>
  <c r="A266" i="167"/>
  <c r="O265" i="167"/>
  <c r="A265" i="167"/>
  <c r="O264" i="167"/>
  <c r="A264" i="167"/>
  <c r="O263" i="167"/>
  <c r="A263" i="167"/>
  <c r="O262" i="167"/>
  <c r="A262" i="167"/>
  <c r="O261" i="167"/>
  <c r="A261" i="167"/>
  <c r="O260" i="167"/>
  <c r="A260" i="167"/>
  <c r="O259" i="167"/>
  <c r="A259" i="167"/>
  <c r="O258" i="167"/>
  <c r="A258" i="167"/>
  <c r="O257" i="167"/>
  <c r="A257" i="167"/>
  <c r="O256" i="167"/>
  <c r="A256" i="167"/>
  <c r="O255" i="167"/>
  <c r="A255" i="167"/>
  <c r="O254" i="167"/>
  <c r="A254" i="167"/>
  <c r="O253" i="167"/>
  <c r="A253" i="167"/>
  <c r="O252" i="167"/>
  <c r="A252" i="167"/>
  <c r="O251" i="167"/>
  <c r="A251" i="167"/>
  <c r="O250" i="167"/>
  <c r="A250" i="167"/>
  <c r="O249" i="167"/>
  <c r="A249" i="167"/>
  <c r="O248" i="167"/>
  <c r="A248" i="167"/>
  <c r="O247" i="167"/>
  <c r="A247" i="167"/>
  <c r="O246" i="167"/>
  <c r="A246" i="167"/>
  <c r="O245" i="167"/>
  <c r="A245" i="167"/>
  <c r="O244" i="167"/>
  <c r="A244" i="167"/>
  <c r="O243" i="167"/>
  <c r="A243" i="167"/>
  <c r="O242" i="167"/>
  <c r="A242" i="167"/>
  <c r="O241" i="167"/>
  <c r="A241" i="167"/>
  <c r="O240" i="167"/>
  <c r="A240" i="167"/>
  <c r="O239" i="167"/>
  <c r="A239" i="167"/>
  <c r="O238" i="167"/>
  <c r="A238" i="167"/>
  <c r="O237" i="167"/>
  <c r="A237" i="167"/>
  <c r="O236" i="167"/>
  <c r="A236" i="167"/>
  <c r="O235" i="167"/>
  <c r="A235" i="167"/>
  <c r="O234" i="167"/>
  <c r="A234" i="167"/>
  <c r="O233" i="167"/>
  <c r="A233" i="167"/>
  <c r="O232" i="167"/>
  <c r="A232" i="167"/>
  <c r="O231" i="167"/>
  <c r="A231" i="167"/>
  <c r="O230" i="167"/>
  <c r="A230" i="167"/>
  <c r="O229" i="167"/>
  <c r="A229" i="167"/>
  <c r="O228" i="167"/>
  <c r="A228" i="167"/>
  <c r="O227" i="167"/>
  <c r="A227" i="167"/>
  <c r="O226" i="167"/>
  <c r="A226" i="167"/>
  <c r="O225" i="167"/>
  <c r="A225" i="167"/>
  <c r="O224" i="167"/>
  <c r="A224" i="167"/>
  <c r="O223" i="167"/>
  <c r="A223" i="167"/>
  <c r="O222" i="167"/>
  <c r="A222" i="167"/>
  <c r="O221" i="167"/>
  <c r="A221" i="167"/>
  <c r="O220" i="167"/>
  <c r="A220" i="167"/>
  <c r="O219" i="167"/>
  <c r="A219" i="167"/>
  <c r="O218" i="167"/>
  <c r="A218" i="167"/>
  <c r="O217" i="167"/>
  <c r="A217" i="167"/>
  <c r="O216" i="167"/>
  <c r="A216" i="167"/>
  <c r="O215" i="167"/>
  <c r="A215" i="167"/>
  <c r="O214" i="167"/>
  <c r="A214" i="167"/>
  <c r="O213" i="167"/>
  <c r="A213" i="167"/>
  <c r="O212" i="167"/>
  <c r="A212" i="167"/>
  <c r="O211" i="167"/>
  <c r="A211" i="167"/>
  <c r="O210" i="167"/>
  <c r="A210" i="167"/>
  <c r="O209" i="167"/>
  <c r="A209" i="167"/>
  <c r="O208" i="167"/>
  <c r="A208" i="167"/>
  <c r="O207" i="167"/>
  <c r="A207" i="167"/>
  <c r="O206" i="167"/>
  <c r="A206" i="167"/>
  <c r="O205" i="167"/>
  <c r="A205" i="167"/>
  <c r="O204" i="167"/>
  <c r="A204" i="167"/>
  <c r="O203" i="167"/>
  <c r="A203" i="167"/>
  <c r="O202" i="167"/>
  <c r="A202" i="167"/>
  <c r="O201" i="167"/>
  <c r="A201" i="167"/>
  <c r="O200" i="167"/>
  <c r="A200" i="167"/>
  <c r="O199" i="167"/>
  <c r="A199" i="167"/>
  <c r="O198" i="167"/>
  <c r="A198" i="167"/>
  <c r="O197" i="167"/>
  <c r="A197" i="167"/>
  <c r="O196" i="167"/>
  <c r="A196" i="167"/>
  <c r="O195" i="167"/>
  <c r="A195" i="167"/>
  <c r="O194" i="167"/>
  <c r="A194" i="167"/>
  <c r="O193" i="167"/>
  <c r="A193" i="167"/>
  <c r="O192" i="167"/>
  <c r="A192" i="167"/>
  <c r="O191" i="167"/>
  <c r="A191" i="167"/>
  <c r="O190" i="167"/>
  <c r="A190" i="167"/>
  <c r="O189" i="167"/>
  <c r="A189" i="167"/>
  <c r="O188" i="167"/>
  <c r="A188" i="167"/>
  <c r="O187" i="167"/>
  <c r="A187" i="167"/>
  <c r="O186" i="167"/>
  <c r="A186" i="167"/>
  <c r="O185" i="167"/>
  <c r="A185" i="167"/>
  <c r="O184" i="167"/>
  <c r="A184" i="167"/>
  <c r="O183" i="167"/>
  <c r="A183" i="167"/>
  <c r="O182" i="167"/>
  <c r="A182" i="167"/>
  <c r="O181" i="167"/>
  <c r="A181" i="167"/>
  <c r="O180" i="167"/>
  <c r="A180" i="167"/>
  <c r="O179" i="167"/>
  <c r="A179" i="167"/>
  <c r="O178" i="167"/>
  <c r="A178" i="167"/>
  <c r="O177" i="167"/>
  <c r="A177" i="167"/>
  <c r="O176" i="167"/>
  <c r="A176" i="167"/>
  <c r="O175" i="167"/>
  <c r="A175" i="167"/>
  <c r="O174" i="167"/>
  <c r="A174" i="167"/>
  <c r="O173" i="167"/>
  <c r="A173" i="167"/>
  <c r="O172" i="167"/>
  <c r="A172" i="167"/>
  <c r="O171" i="167"/>
  <c r="A171" i="167"/>
  <c r="O170" i="167"/>
  <c r="A170" i="167"/>
  <c r="O169" i="167"/>
  <c r="A169" i="167"/>
  <c r="O168" i="167"/>
  <c r="A168" i="167"/>
  <c r="O167" i="167"/>
  <c r="A167" i="167"/>
  <c r="O166" i="167"/>
  <c r="A166" i="167"/>
  <c r="O165" i="167"/>
  <c r="A165" i="167"/>
  <c r="O164" i="167"/>
  <c r="A164" i="167"/>
  <c r="O163" i="167"/>
  <c r="A163" i="167"/>
  <c r="O162" i="167"/>
  <c r="A162" i="167"/>
  <c r="O161" i="167"/>
  <c r="A161" i="167"/>
  <c r="O160" i="167"/>
  <c r="A160" i="167"/>
  <c r="O159" i="167"/>
  <c r="A159" i="167"/>
  <c r="O158" i="167"/>
  <c r="A158" i="167"/>
  <c r="O157" i="167"/>
  <c r="A157" i="167"/>
  <c r="O156" i="167"/>
  <c r="A156" i="167"/>
  <c r="O155" i="167"/>
  <c r="A155" i="167"/>
  <c r="O154" i="167"/>
  <c r="A154" i="167"/>
  <c r="O153" i="167"/>
  <c r="A153" i="167"/>
  <c r="O152" i="167"/>
  <c r="A152" i="167"/>
  <c r="O151" i="167"/>
  <c r="A151" i="167"/>
  <c r="O150" i="167"/>
  <c r="A150" i="167"/>
  <c r="O149" i="167"/>
  <c r="A149" i="167"/>
  <c r="O148" i="167"/>
  <c r="A148" i="167"/>
  <c r="O147" i="167"/>
  <c r="A147" i="167"/>
  <c r="O146" i="167"/>
  <c r="A146" i="167"/>
  <c r="O145" i="167"/>
  <c r="A145" i="167"/>
  <c r="O144" i="167"/>
  <c r="A144" i="167"/>
  <c r="O143" i="167"/>
  <c r="A143" i="167"/>
  <c r="O142" i="167"/>
  <c r="A142" i="167"/>
  <c r="O141" i="167"/>
  <c r="A141" i="167"/>
  <c r="O140" i="167"/>
  <c r="A140" i="167"/>
  <c r="O139" i="167"/>
  <c r="A139" i="167"/>
  <c r="O138" i="167"/>
  <c r="A138" i="167"/>
  <c r="O137" i="167"/>
  <c r="A137" i="167"/>
  <c r="O136" i="167"/>
  <c r="A136" i="167"/>
  <c r="O135" i="167"/>
  <c r="A135" i="167"/>
  <c r="O134" i="167"/>
  <c r="A134" i="167"/>
  <c r="O133" i="167"/>
  <c r="A133" i="167"/>
  <c r="O132" i="167"/>
  <c r="A132" i="167"/>
  <c r="O131" i="167"/>
  <c r="A131" i="167"/>
  <c r="O130" i="167"/>
  <c r="A130" i="167"/>
  <c r="O129" i="167"/>
  <c r="A129" i="167"/>
  <c r="O128" i="167"/>
  <c r="A128" i="167"/>
  <c r="O127" i="167"/>
  <c r="A127" i="167"/>
  <c r="O126" i="167"/>
  <c r="A126" i="167"/>
  <c r="O125" i="167"/>
  <c r="A125" i="167"/>
  <c r="O124" i="167"/>
  <c r="A124" i="167"/>
  <c r="O123" i="167"/>
  <c r="A123" i="167"/>
  <c r="O122" i="167"/>
  <c r="A122" i="167"/>
  <c r="O121" i="167"/>
  <c r="A121" i="167"/>
  <c r="O120" i="167"/>
  <c r="A120" i="167"/>
  <c r="O119" i="167"/>
  <c r="A119" i="167"/>
  <c r="O118" i="167"/>
  <c r="A118" i="167"/>
  <c r="O117" i="167"/>
  <c r="A117" i="167"/>
  <c r="O116" i="167"/>
  <c r="A116" i="167"/>
  <c r="O115" i="167"/>
  <c r="A115" i="167"/>
  <c r="O114" i="167"/>
  <c r="A114" i="167"/>
  <c r="G26" i="166"/>
  <c r="H26" i="166"/>
  <c r="O113" i="167"/>
  <c r="A113" i="167"/>
  <c r="E25" i="166"/>
  <c r="B25" i="166"/>
  <c r="G25" i="166"/>
  <c r="H25" i="166"/>
  <c r="O112" i="167"/>
  <c r="A112" i="167"/>
  <c r="E24" i="166"/>
  <c r="B24" i="166"/>
  <c r="G24" i="166"/>
  <c r="H24" i="166"/>
  <c r="O111" i="167"/>
  <c r="A111" i="167"/>
  <c r="O110" i="167"/>
  <c r="A110" i="167"/>
  <c r="O109" i="167"/>
  <c r="A109" i="167"/>
  <c r="O108" i="167"/>
  <c r="A108" i="167"/>
  <c r="O107" i="167"/>
  <c r="A107" i="167"/>
  <c r="O106" i="167"/>
  <c r="A106" i="167"/>
  <c r="O105" i="167"/>
  <c r="A105" i="167"/>
  <c r="O104" i="167"/>
  <c r="A104" i="167"/>
  <c r="O103" i="167"/>
  <c r="A103" i="167"/>
  <c r="O102" i="167"/>
  <c r="A102" i="167"/>
  <c r="O101" i="167"/>
  <c r="A101" i="167"/>
  <c r="O100" i="167"/>
  <c r="A100" i="167"/>
  <c r="O99" i="167"/>
  <c r="A99" i="167"/>
  <c r="O98" i="167"/>
  <c r="A98" i="167"/>
  <c r="O97" i="167"/>
  <c r="A97" i="167"/>
  <c r="O96" i="167"/>
  <c r="A96" i="167"/>
  <c r="O95" i="167"/>
  <c r="A95" i="167"/>
  <c r="O94" i="167"/>
  <c r="A94" i="167"/>
  <c r="O93" i="167"/>
  <c r="A93" i="167"/>
  <c r="O92" i="167"/>
  <c r="A92" i="167"/>
  <c r="O91" i="167"/>
  <c r="A91" i="167"/>
  <c r="O90" i="167"/>
  <c r="A90" i="167"/>
  <c r="O89" i="167"/>
  <c r="A89" i="167"/>
  <c r="O88" i="167"/>
  <c r="A88" i="167"/>
  <c r="O87" i="167"/>
  <c r="A87" i="167"/>
  <c r="O86" i="167"/>
  <c r="A86" i="167"/>
  <c r="O85" i="167"/>
  <c r="A85" i="167"/>
  <c r="O84" i="167"/>
  <c r="A84" i="167"/>
  <c r="O83" i="167"/>
  <c r="A83" i="167"/>
  <c r="O82" i="167"/>
  <c r="A82" i="167"/>
  <c r="O81" i="167"/>
  <c r="A81" i="167"/>
  <c r="O80" i="167"/>
  <c r="A80" i="167"/>
  <c r="O79" i="167"/>
  <c r="A79" i="167"/>
  <c r="O78" i="167"/>
  <c r="A78" i="167"/>
  <c r="O77" i="167"/>
  <c r="A77" i="167"/>
  <c r="O76" i="167"/>
  <c r="A76" i="167"/>
  <c r="O75" i="167"/>
  <c r="A75" i="167"/>
  <c r="O74" i="167"/>
  <c r="A74" i="167"/>
  <c r="O73" i="167"/>
  <c r="A73" i="167"/>
  <c r="O72" i="167"/>
  <c r="A72" i="167"/>
  <c r="O71" i="167"/>
  <c r="A71" i="167"/>
  <c r="O70" i="167"/>
  <c r="A70" i="167"/>
  <c r="O69" i="167"/>
  <c r="A69" i="167"/>
  <c r="O68" i="167"/>
  <c r="A68" i="167"/>
  <c r="O67" i="167"/>
  <c r="A67" i="167"/>
  <c r="O66" i="167"/>
  <c r="A66" i="167"/>
  <c r="O65" i="167"/>
  <c r="A65" i="167"/>
  <c r="O64" i="167"/>
  <c r="A64" i="167"/>
  <c r="O63" i="167"/>
  <c r="A63" i="167"/>
  <c r="O62" i="167"/>
  <c r="A62" i="167"/>
  <c r="O61" i="167"/>
  <c r="A61" i="167"/>
  <c r="O60" i="167"/>
  <c r="A60" i="167"/>
  <c r="O59" i="167"/>
  <c r="A59" i="167"/>
  <c r="O58" i="167"/>
  <c r="A58" i="167"/>
  <c r="O57" i="167"/>
  <c r="A57" i="167"/>
  <c r="O56" i="167"/>
  <c r="A56" i="167"/>
  <c r="O55" i="167"/>
  <c r="A55" i="167"/>
  <c r="O54" i="167"/>
  <c r="A54" i="167"/>
  <c r="O53" i="167"/>
  <c r="A53" i="167"/>
  <c r="O52" i="167"/>
  <c r="A52" i="167"/>
  <c r="O51" i="167"/>
  <c r="A51" i="167"/>
  <c r="O50" i="167"/>
  <c r="A50" i="167"/>
  <c r="O49" i="167"/>
  <c r="A49" i="167"/>
  <c r="O48" i="167"/>
  <c r="A48" i="167"/>
  <c r="O47" i="167"/>
  <c r="A47" i="167"/>
  <c r="O46" i="167"/>
  <c r="A46" i="167"/>
  <c r="O45" i="167"/>
  <c r="A45" i="167"/>
  <c r="O44" i="167"/>
  <c r="A44" i="167"/>
  <c r="O43" i="167"/>
  <c r="A43" i="167"/>
  <c r="O42" i="167"/>
  <c r="A42" i="167"/>
  <c r="E18" i="166"/>
  <c r="B17" i="166"/>
  <c r="B18" i="166"/>
  <c r="G18" i="166"/>
  <c r="H18" i="166"/>
  <c r="O41" i="167"/>
  <c r="A41" i="167"/>
  <c r="G17" i="166"/>
  <c r="E17" i="166"/>
  <c r="H17" i="166"/>
  <c r="O40" i="167"/>
  <c r="A40" i="167"/>
  <c r="O39" i="167"/>
  <c r="A39" i="167"/>
  <c r="O38" i="167"/>
  <c r="A38" i="167"/>
  <c r="O37" i="167"/>
  <c r="A37" i="167"/>
  <c r="O36" i="167"/>
  <c r="A36" i="167"/>
  <c r="O35" i="167"/>
  <c r="A35" i="167"/>
  <c r="O34" i="167"/>
  <c r="A34" i="167"/>
  <c r="O33" i="167"/>
  <c r="A33" i="167"/>
  <c r="O32" i="167"/>
  <c r="A32" i="167"/>
  <c r="O31" i="167"/>
  <c r="A31" i="167"/>
  <c r="O30" i="167"/>
  <c r="A30" i="167"/>
  <c r="O29" i="167"/>
  <c r="A29" i="167"/>
  <c r="O28" i="167"/>
  <c r="A28" i="167"/>
  <c r="O27" i="167"/>
  <c r="A27" i="167"/>
  <c r="O26" i="167"/>
  <c r="A26" i="167"/>
  <c r="O25" i="167"/>
  <c r="A25" i="167"/>
  <c r="O24" i="167"/>
  <c r="A24" i="167"/>
  <c r="O23" i="167"/>
  <c r="A23" i="167"/>
  <c r="O22" i="167"/>
  <c r="A22" i="167"/>
  <c r="O21" i="167"/>
  <c r="A21" i="167"/>
  <c r="O20" i="167"/>
  <c r="A20" i="167"/>
  <c r="O19" i="167"/>
  <c r="A19" i="167"/>
  <c r="O18" i="167"/>
  <c r="A18" i="167"/>
  <c r="O17" i="167"/>
  <c r="A17" i="167"/>
  <c r="O16" i="167"/>
  <c r="A16" i="167"/>
  <c r="O15" i="167"/>
  <c r="A15" i="167"/>
  <c r="O14" i="167"/>
  <c r="A14" i="167"/>
  <c r="O13" i="167"/>
  <c r="A13" i="167"/>
  <c r="O12" i="167"/>
  <c r="A12" i="167"/>
  <c r="O11" i="167"/>
  <c r="A11" i="167"/>
  <c r="O10" i="167"/>
  <c r="A10" i="167"/>
  <c r="O9" i="167"/>
  <c r="A9" i="167"/>
  <c r="O8" i="167"/>
  <c r="A8" i="167"/>
  <c r="O7" i="167"/>
  <c r="A7" i="167"/>
  <c r="O6" i="167"/>
  <c r="A6" i="167"/>
  <c r="O5" i="167"/>
  <c r="A5" i="167"/>
  <c r="O4" i="167"/>
  <c r="A4" i="167"/>
  <c r="O3" i="167"/>
  <c r="A3" i="167"/>
  <c r="O2" i="167"/>
  <c r="A2" i="167"/>
  <c r="A2" i="164"/>
  <c r="P314" i="167"/>
  <c r="P317" i="167"/>
  <c r="P321" i="167"/>
  <c r="P328" i="167"/>
  <c r="P2" i="167"/>
  <c r="P3" i="167"/>
  <c r="P4" i="167"/>
  <c r="P5" i="167"/>
  <c r="P6" i="167"/>
  <c r="P7" i="167"/>
  <c r="P8" i="167"/>
  <c r="P9" i="167"/>
  <c r="P10" i="167"/>
  <c r="P11" i="167"/>
  <c r="P12" i="167"/>
  <c r="P13" i="167"/>
  <c r="P14" i="167"/>
  <c r="P15" i="167"/>
  <c r="P16" i="167"/>
  <c r="P17" i="167"/>
  <c r="P18" i="167"/>
  <c r="P19" i="167"/>
  <c r="P20" i="167"/>
  <c r="P21" i="167"/>
  <c r="P22" i="167"/>
  <c r="P23" i="167"/>
  <c r="P24" i="167"/>
  <c r="P25" i="167"/>
  <c r="P26" i="167"/>
  <c r="P27" i="167"/>
  <c r="P28" i="167"/>
  <c r="P29" i="167"/>
  <c r="P30" i="167"/>
  <c r="P31" i="167"/>
  <c r="P32" i="167"/>
  <c r="P33" i="167"/>
  <c r="P34" i="167"/>
  <c r="P35" i="167"/>
  <c r="P36" i="167"/>
  <c r="P37" i="167"/>
  <c r="P38" i="167"/>
  <c r="P39" i="167"/>
  <c r="P40" i="167"/>
  <c r="P41" i="167"/>
  <c r="P42" i="167"/>
  <c r="P43" i="167"/>
  <c r="P44" i="167"/>
  <c r="P45" i="167"/>
  <c r="P46" i="167"/>
  <c r="P47" i="167"/>
  <c r="P48" i="167"/>
  <c r="P49" i="167"/>
  <c r="P50" i="167"/>
  <c r="P51" i="167"/>
  <c r="P52" i="167"/>
  <c r="P53" i="167"/>
  <c r="P54" i="167"/>
  <c r="P55" i="167"/>
  <c r="P56" i="167"/>
  <c r="P57" i="167"/>
  <c r="P58" i="167"/>
  <c r="P59" i="167"/>
  <c r="P60" i="167"/>
  <c r="P61" i="167"/>
  <c r="P62" i="167"/>
  <c r="P63" i="167"/>
  <c r="P64" i="167"/>
  <c r="P65" i="167"/>
  <c r="P66" i="167"/>
  <c r="P67" i="167"/>
  <c r="P68" i="167"/>
  <c r="P69" i="167"/>
  <c r="P70" i="167"/>
  <c r="P71" i="167"/>
  <c r="P72" i="167"/>
  <c r="P73" i="167"/>
  <c r="P74" i="167"/>
  <c r="P75" i="167"/>
  <c r="P76" i="167"/>
  <c r="P77" i="167"/>
  <c r="P78" i="167"/>
  <c r="P79" i="167"/>
  <c r="P80" i="167"/>
  <c r="P81" i="167"/>
  <c r="P82" i="167"/>
  <c r="P83" i="167"/>
  <c r="P84" i="167"/>
  <c r="P85" i="167"/>
  <c r="P86" i="167"/>
  <c r="P87" i="167"/>
  <c r="P88" i="167"/>
  <c r="P89" i="167"/>
  <c r="P90" i="167"/>
  <c r="P91" i="167"/>
  <c r="P92" i="167"/>
  <c r="P93" i="167"/>
  <c r="P94" i="167"/>
  <c r="P95" i="167"/>
  <c r="P96" i="167"/>
  <c r="P97" i="167"/>
  <c r="P98" i="167"/>
  <c r="P99" i="167"/>
  <c r="P100" i="167"/>
  <c r="P101" i="167"/>
  <c r="P102" i="167"/>
  <c r="P103" i="167"/>
  <c r="P104" i="167"/>
  <c r="P105" i="167"/>
  <c r="P106" i="167"/>
  <c r="P107" i="167"/>
  <c r="P108" i="167"/>
  <c r="P109" i="167"/>
  <c r="P110" i="167"/>
  <c r="P111" i="167"/>
  <c r="P112" i="167"/>
  <c r="P113" i="167"/>
  <c r="P114" i="167"/>
  <c r="P115" i="167"/>
  <c r="P116" i="167"/>
  <c r="P117" i="167"/>
  <c r="P118" i="167"/>
  <c r="P119" i="167"/>
  <c r="P120" i="167"/>
  <c r="P121" i="167"/>
  <c r="P122" i="167"/>
  <c r="P123" i="167"/>
  <c r="P124" i="167"/>
  <c r="P125" i="167"/>
  <c r="P126" i="167"/>
  <c r="P127" i="167"/>
  <c r="P128" i="167"/>
  <c r="P129" i="167"/>
  <c r="P130" i="167"/>
  <c r="P131" i="167"/>
  <c r="P132" i="167"/>
  <c r="P133" i="167"/>
  <c r="P134" i="167"/>
  <c r="P135" i="167"/>
  <c r="P136" i="167"/>
  <c r="P137" i="167"/>
  <c r="P138" i="167"/>
  <c r="P139" i="167"/>
  <c r="P140" i="167"/>
  <c r="P141" i="167"/>
  <c r="P142" i="167"/>
  <c r="P143" i="167"/>
  <c r="P144" i="167"/>
  <c r="P145" i="167"/>
  <c r="P146" i="167"/>
  <c r="P147" i="167"/>
  <c r="P148" i="167"/>
  <c r="P149" i="167"/>
  <c r="P150" i="167"/>
  <c r="P151" i="167"/>
  <c r="P152" i="167"/>
  <c r="P153" i="167"/>
  <c r="P154" i="167"/>
  <c r="P155" i="167"/>
  <c r="P156" i="167"/>
  <c r="P157" i="167"/>
  <c r="P158" i="167"/>
  <c r="P159" i="167"/>
  <c r="P160" i="167"/>
  <c r="P161" i="167"/>
  <c r="P162" i="167"/>
  <c r="P163" i="167"/>
  <c r="P164" i="167"/>
  <c r="P165" i="167"/>
  <c r="P166" i="167"/>
  <c r="P167" i="167"/>
  <c r="P168" i="167"/>
  <c r="P169" i="167"/>
  <c r="P170" i="167"/>
  <c r="P171" i="167"/>
  <c r="P172" i="167"/>
  <c r="P173" i="167"/>
  <c r="P174" i="167"/>
  <c r="P175" i="167"/>
  <c r="P176" i="167"/>
  <c r="P177" i="167"/>
  <c r="P178" i="167"/>
  <c r="P179" i="167"/>
  <c r="P180" i="167"/>
  <c r="P181" i="167"/>
  <c r="P182" i="167"/>
  <c r="P183" i="167"/>
  <c r="P184" i="167"/>
  <c r="P185" i="167"/>
  <c r="P186" i="167"/>
  <c r="P187" i="167"/>
  <c r="P188" i="167"/>
  <c r="P189" i="167"/>
  <c r="P190" i="167"/>
  <c r="P191" i="167"/>
  <c r="P192" i="167"/>
  <c r="P193" i="167"/>
  <c r="P194" i="167"/>
  <c r="P195" i="167"/>
  <c r="P196" i="167"/>
  <c r="P197" i="167"/>
  <c r="P198" i="167"/>
  <c r="P199" i="167"/>
  <c r="P200" i="167"/>
  <c r="P201" i="167"/>
  <c r="P202" i="167"/>
  <c r="P203" i="167"/>
  <c r="P204" i="167"/>
  <c r="P205" i="167"/>
  <c r="P206" i="167"/>
  <c r="P207" i="167"/>
  <c r="P208" i="167"/>
  <c r="P209" i="167"/>
  <c r="P210" i="167"/>
  <c r="P211" i="167"/>
  <c r="P212" i="167"/>
  <c r="P213" i="167"/>
  <c r="P214" i="167"/>
  <c r="P215" i="167"/>
  <c r="P216" i="167"/>
  <c r="P217" i="167"/>
  <c r="P218" i="167"/>
  <c r="P219" i="167"/>
  <c r="P220" i="167"/>
  <c r="P221" i="167"/>
  <c r="P222" i="167"/>
  <c r="P223" i="167"/>
  <c r="P224" i="167"/>
  <c r="P225" i="167"/>
  <c r="P226" i="167"/>
  <c r="P227" i="167"/>
  <c r="P228" i="167"/>
  <c r="P229" i="167"/>
  <c r="P230" i="167"/>
  <c r="P231" i="167"/>
  <c r="P232" i="167"/>
  <c r="P233" i="167"/>
  <c r="P234" i="167"/>
  <c r="P235" i="167"/>
  <c r="P236" i="167"/>
  <c r="P237" i="167"/>
  <c r="P238" i="167"/>
  <c r="P239" i="167"/>
  <c r="P240" i="167"/>
  <c r="P241" i="167"/>
  <c r="P242" i="167"/>
  <c r="P243" i="167"/>
  <c r="P244" i="167"/>
  <c r="P245" i="167"/>
  <c r="P246" i="167"/>
  <c r="P247" i="167"/>
  <c r="P248" i="167"/>
  <c r="P249" i="167"/>
  <c r="P250" i="167"/>
  <c r="P251" i="167"/>
  <c r="P252" i="167"/>
  <c r="P253" i="167"/>
  <c r="P254" i="167"/>
  <c r="P255" i="167"/>
  <c r="P256" i="167"/>
  <c r="P257" i="167"/>
  <c r="P258" i="167"/>
  <c r="P259" i="167"/>
  <c r="P260" i="167"/>
  <c r="P261" i="167"/>
  <c r="P262" i="167"/>
  <c r="P263" i="167"/>
  <c r="P264" i="167"/>
  <c r="P265" i="167"/>
  <c r="P266" i="167"/>
  <c r="P267" i="167"/>
  <c r="P268" i="167"/>
  <c r="P269" i="167"/>
  <c r="P270" i="167"/>
  <c r="P271" i="167"/>
  <c r="P272" i="167"/>
  <c r="P273" i="167"/>
  <c r="P274" i="167"/>
  <c r="P275" i="167"/>
  <c r="P276" i="167"/>
  <c r="P277" i="167"/>
  <c r="P278" i="167"/>
  <c r="P279" i="167"/>
  <c r="P280" i="167"/>
  <c r="P281" i="167"/>
  <c r="P282" i="167"/>
  <c r="P283" i="167"/>
  <c r="P284" i="167"/>
  <c r="P285" i="167"/>
  <c r="P286" i="167"/>
  <c r="P287" i="167"/>
  <c r="P288" i="167"/>
  <c r="P289" i="167"/>
  <c r="P290" i="167"/>
  <c r="P291" i="167"/>
  <c r="P292" i="167"/>
  <c r="P293" i="167"/>
  <c r="P294" i="167"/>
  <c r="P295" i="167"/>
  <c r="P296" i="167"/>
  <c r="P297" i="167"/>
  <c r="P298" i="167"/>
  <c r="P299" i="167"/>
  <c r="P300" i="167"/>
  <c r="P301" i="167"/>
  <c r="P302" i="167"/>
  <c r="P303" i="167"/>
  <c r="P304" i="167"/>
  <c r="P305" i="167"/>
  <c r="P306" i="167"/>
  <c r="P307" i="167"/>
  <c r="P308" i="167"/>
  <c r="P309" i="167"/>
  <c r="P310" i="167"/>
  <c r="P311" i="167"/>
  <c r="P312" i="167"/>
  <c r="P313" i="167"/>
  <c r="P315" i="167"/>
  <c r="P316" i="167"/>
  <c r="P318" i="167"/>
  <c r="P319" i="167"/>
  <c r="P320" i="167"/>
  <c r="P322" i="167"/>
  <c r="P323" i="167"/>
  <c r="P324" i="167"/>
  <c r="P325" i="167"/>
  <c r="P326" i="167"/>
  <c r="P327" i="167"/>
  <c r="P329" i="167"/>
  <c r="P330" i="167"/>
  <c r="P331" i="167"/>
  <c r="P332" i="167"/>
  <c r="P333" i="167"/>
  <c r="P334" i="167"/>
  <c r="P335" i="167"/>
  <c r="P336" i="167"/>
  <c r="P337" i="167"/>
  <c r="P338" i="167"/>
  <c r="P339" i="167"/>
  <c r="P340" i="167"/>
  <c r="P341" i="167"/>
  <c r="P342" i="167"/>
  <c r="P343" i="167"/>
  <c r="P344" i="167"/>
  <c r="P345" i="167"/>
  <c r="P346" i="167"/>
  <c r="P347" i="167"/>
  <c r="P348" i="167"/>
  <c r="P349" i="167"/>
  <c r="P350" i="167"/>
  <c r="P351" i="167"/>
  <c r="F49" i="166"/>
  <c r="F48" i="166"/>
  <c r="F47" i="166"/>
  <c r="F46" i="166"/>
  <c r="B46" i="166"/>
  <c r="F45" i="166"/>
  <c r="B45" i="166"/>
  <c r="B44" i="166"/>
  <c r="B43" i="166"/>
  <c r="F42" i="166"/>
  <c r="B42" i="166"/>
  <c r="F41" i="166"/>
  <c r="B41" i="166"/>
  <c r="F40" i="166"/>
  <c r="B40" i="166"/>
  <c r="E31" i="166"/>
  <c r="E30" i="166"/>
  <c r="F2" i="167"/>
  <c r="F3" i="167"/>
  <c r="F4" i="167"/>
  <c r="F5" i="167"/>
  <c r="F6" i="167"/>
  <c r="F7" i="167"/>
  <c r="F8" i="167"/>
  <c r="F9" i="167"/>
  <c r="F10" i="167"/>
  <c r="F11" i="167"/>
  <c r="F12" i="167"/>
  <c r="F13" i="167"/>
  <c r="F14" i="167"/>
  <c r="F15" i="167"/>
  <c r="F16" i="167"/>
  <c r="F17" i="167"/>
  <c r="F18" i="167"/>
  <c r="F19" i="167"/>
  <c r="F20" i="167"/>
  <c r="F21" i="167"/>
  <c r="F22" i="167"/>
  <c r="F23" i="167"/>
  <c r="F24" i="167"/>
  <c r="F25" i="167"/>
  <c r="F26" i="167"/>
  <c r="F27" i="167"/>
  <c r="F28" i="167"/>
  <c r="F29" i="167"/>
  <c r="F30" i="167"/>
  <c r="F31" i="167"/>
  <c r="F32" i="167"/>
  <c r="F33" i="167"/>
  <c r="F34" i="167"/>
  <c r="F35" i="167"/>
  <c r="F36" i="167"/>
  <c r="F37" i="167"/>
  <c r="F38" i="167"/>
  <c r="F39" i="167"/>
  <c r="F40" i="167"/>
  <c r="F41" i="167"/>
  <c r="F42" i="167"/>
  <c r="F43" i="167"/>
  <c r="F44" i="167"/>
  <c r="F45" i="167"/>
  <c r="F46" i="167"/>
  <c r="F47" i="167"/>
  <c r="F48" i="167"/>
  <c r="F49" i="167"/>
  <c r="F50" i="167"/>
  <c r="F51" i="167"/>
  <c r="F52" i="167"/>
  <c r="F53" i="167"/>
  <c r="F54" i="167"/>
  <c r="F55" i="167"/>
  <c r="F56" i="167"/>
  <c r="F57" i="167"/>
  <c r="F58" i="167"/>
  <c r="F59" i="167"/>
  <c r="F60" i="167"/>
  <c r="F61" i="167"/>
  <c r="F62" i="167"/>
  <c r="F63" i="167"/>
  <c r="F64" i="167"/>
  <c r="F65" i="167"/>
  <c r="F66" i="167"/>
  <c r="F67" i="167"/>
  <c r="F68" i="167"/>
  <c r="F69" i="167"/>
  <c r="F70" i="167"/>
  <c r="F71" i="167"/>
  <c r="F72" i="167"/>
  <c r="F73" i="167"/>
  <c r="F74" i="167"/>
  <c r="F75" i="167"/>
  <c r="F76" i="167"/>
  <c r="F77" i="167"/>
  <c r="F78" i="167"/>
  <c r="F79" i="167"/>
  <c r="F80" i="167"/>
  <c r="F81" i="167"/>
  <c r="F82" i="167"/>
  <c r="F83" i="167"/>
  <c r="F84" i="167"/>
  <c r="F85" i="167"/>
  <c r="F86" i="167"/>
  <c r="F87" i="167"/>
  <c r="F88" i="167"/>
  <c r="F89" i="167"/>
  <c r="F90" i="167"/>
  <c r="F91" i="167"/>
  <c r="F92" i="167"/>
  <c r="F93" i="167"/>
  <c r="F94" i="167"/>
  <c r="F95" i="167"/>
  <c r="F96" i="167"/>
  <c r="F97" i="167"/>
  <c r="F98" i="167"/>
  <c r="F99" i="167"/>
  <c r="F100" i="167"/>
  <c r="F101" i="167"/>
  <c r="F102" i="167"/>
  <c r="F103" i="167"/>
  <c r="F104" i="167"/>
  <c r="F105" i="167"/>
  <c r="F106" i="167"/>
  <c r="F107" i="167"/>
  <c r="F108" i="167"/>
  <c r="F109" i="167"/>
  <c r="F110" i="167"/>
  <c r="F111" i="167"/>
  <c r="F112" i="167"/>
  <c r="F113" i="167"/>
  <c r="F114" i="167"/>
  <c r="F115" i="167"/>
  <c r="F116" i="167"/>
  <c r="F117" i="167"/>
  <c r="F118" i="167"/>
  <c r="F119" i="167"/>
  <c r="F120" i="167"/>
  <c r="F121" i="167"/>
  <c r="F122" i="167"/>
  <c r="F123" i="167"/>
  <c r="F124" i="167"/>
  <c r="F125" i="167"/>
  <c r="F126" i="167"/>
  <c r="F127" i="167"/>
  <c r="F128" i="167"/>
  <c r="F129" i="167"/>
  <c r="F130" i="167"/>
  <c r="F131" i="167"/>
  <c r="F132" i="167"/>
  <c r="F133" i="167"/>
  <c r="F134" i="167"/>
  <c r="F135" i="167"/>
  <c r="F136" i="167"/>
  <c r="F137" i="167"/>
  <c r="F138" i="167"/>
  <c r="F139" i="167"/>
  <c r="F140" i="167"/>
  <c r="F141" i="167"/>
  <c r="F142" i="167"/>
  <c r="F143" i="167"/>
  <c r="F144" i="167"/>
  <c r="F145" i="167"/>
  <c r="F146" i="167"/>
  <c r="F147" i="167"/>
  <c r="F148" i="167"/>
  <c r="F149" i="167"/>
  <c r="F150" i="167"/>
  <c r="F151" i="167"/>
  <c r="F152" i="167"/>
  <c r="F153" i="167"/>
  <c r="F154" i="167"/>
  <c r="F155" i="167"/>
  <c r="F156" i="167"/>
  <c r="F157" i="167"/>
  <c r="F158" i="167"/>
  <c r="F159" i="167"/>
  <c r="F160" i="167"/>
  <c r="F161" i="167"/>
  <c r="F162" i="167"/>
  <c r="F163" i="167"/>
  <c r="F164" i="167"/>
  <c r="F165" i="167"/>
  <c r="F166" i="167"/>
  <c r="F167" i="167"/>
  <c r="F168" i="167"/>
  <c r="F169" i="167"/>
  <c r="F170" i="167"/>
  <c r="F171" i="167"/>
  <c r="F172" i="167"/>
  <c r="F173" i="167"/>
  <c r="F174" i="167"/>
  <c r="F175" i="167"/>
  <c r="F176" i="167"/>
  <c r="F177" i="167"/>
  <c r="F178" i="167"/>
  <c r="F179" i="167"/>
  <c r="F180" i="167"/>
  <c r="F181" i="167"/>
  <c r="F182" i="167"/>
  <c r="F183" i="167"/>
  <c r="F184" i="167"/>
  <c r="F185" i="167"/>
  <c r="F186" i="167"/>
  <c r="F187" i="167"/>
  <c r="F188" i="167"/>
  <c r="F189" i="167"/>
  <c r="F190" i="167"/>
  <c r="F191" i="167"/>
  <c r="F192" i="167"/>
  <c r="F193" i="167"/>
  <c r="F194" i="167"/>
  <c r="F195" i="167"/>
  <c r="F196" i="167"/>
  <c r="F197" i="167"/>
  <c r="F198" i="167"/>
  <c r="F199" i="167"/>
  <c r="F200" i="167"/>
  <c r="F201" i="167"/>
  <c r="F202" i="167"/>
  <c r="F203" i="167"/>
  <c r="F204" i="167"/>
  <c r="F205" i="167"/>
  <c r="F206" i="167"/>
  <c r="F207" i="167"/>
  <c r="F208" i="167"/>
  <c r="F209" i="167"/>
  <c r="F210" i="167"/>
  <c r="F211" i="167"/>
  <c r="F212" i="167"/>
  <c r="F213" i="167"/>
  <c r="F214" i="167"/>
  <c r="F215" i="167"/>
  <c r="F216" i="167"/>
  <c r="F217" i="167"/>
  <c r="F218" i="167"/>
  <c r="F219" i="167"/>
  <c r="F220" i="167"/>
  <c r="F221" i="167"/>
  <c r="F222" i="167"/>
  <c r="F223" i="167"/>
  <c r="F224" i="167"/>
  <c r="F225" i="167"/>
  <c r="F226" i="167"/>
  <c r="F227" i="167"/>
  <c r="F228" i="167"/>
  <c r="F229" i="167"/>
  <c r="F230" i="167"/>
  <c r="F231" i="167"/>
  <c r="F232" i="167"/>
  <c r="F233" i="167"/>
  <c r="F234" i="167"/>
  <c r="F235" i="167"/>
  <c r="F236" i="167"/>
  <c r="F237" i="167"/>
  <c r="F238" i="167"/>
  <c r="F239" i="167"/>
  <c r="F240" i="167"/>
  <c r="F241" i="167"/>
  <c r="F242" i="167"/>
  <c r="F243" i="167"/>
  <c r="F244" i="167"/>
  <c r="F245" i="167"/>
  <c r="F246" i="167"/>
  <c r="F247" i="167"/>
  <c r="F248" i="167"/>
  <c r="F249" i="167"/>
  <c r="F250" i="167"/>
  <c r="F251" i="167"/>
  <c r="F252" i="167"/>
  <c r="F253" i="167"/>
  <c r="F254" i="167"/>
  <c r="F255" i="167"/>
  <c r="F256" i="167"/>
  <c r="F257" i="167"/>
  <c r="F258" i="167"/>
  <c r="F259" i="167"/>
  <c r="F260" i="167"/>
  <c r="F261" i="167"/>
  <c r="F262" i="167"/>
  <c r="F263" i="167"/>
  <c r="F264" i="167"/>
  <c r="F265" i="167"/>
  <c r="F266" i="167"/>
  <c r="F267" i="167"/>
  <c r="F268" i="167"/>
  <c r="F269" i="167"/>
  <c r="F270" i="167"/>
  <c r="F271" i="167"/>
  <c r="F272" i="167"/>
  <c r="F273" i="167"/>
  <c r="F274" i="167"/>
  <c r="F275" i="167"/>
  <c r="F276" i="167"/>
  <c r="F277" i="167"/>
  <c r="F278" i="167"/>
  <c r="F279" i="167"/>
  <c r="F280" i="167"/>
  <c r="F281" i="167"/>
  <c r="F282" i="167"/>
  <c r="F283" i="167"/>
  <c r="F284" i="167"/>
  <c r="F285" i="167"/>
  <c r="F286" i="167"/>
  <c r="F287" i="167"/>
  <c r="F288" i="167"/>
  <c r="F289" i="167"/>
  <c r="F290" i="167"/>
  <c r="F291" i="167"/>
  <c r="F292" i="167"/>
  <c r="F293" i="167"/>
  <c r="F294" i="167"/>
  <c r="F295" i="167"/>
  <c r="F296" i="167"/>
  <c r="F297" i="167"/>
  <c r="F298" i="167"/>
  <c r="F299" i="167"/>
  <c r="F300" i="167"/>
  <c r="F301" i="167"/>
  <c r="F302" i="167"/>
  <c r="F303" i="167"/>
  <c r="F304" i="167"/>
  <c r="F305" i="167"/>
  <c r="F306" i="167"/>
  <c r="F307" i="167"/>
  <c r="F308" i="167"/>
  <c r="F309" i="167"/>
  <c r="F310" i="167"/>
  <c r="F311" i="167"/>
  <c r="F312" i="167"/>
  <c r="F313" i="167"/>
  <c r="F314" i="167"/>
  <c r="F315" i="167"/>
  <c r="F316" i="167"/>
  <c r="F317" i="167"/>
  <c r="F318" i="167"/>
  <c r="F319" i="167"/>
  <c r="F320" i="167"/>
  <c r="F321" i="167"/>
  <c r="F322" i="167"/>
  <c r="F323" i="167"/>
  <c r="F324" i="167"/>
  <c r="F325" i="167"/>
  <c r="F326" i="167"/>
  <c r="F327" i="167"/>
  <c r="F328" i="167"/>
  <c r="F329" i="167"/>
  <c r="F330" i="167"/>
  <c r="F331" i="167"/>
  <c r="F332" i="167"/>
  <c r="F333" i="167"/>
  <c r="F334" i="167"/>
  <c r="F335" i="167"/>
  <c r="F336" i="167"/>
  <c r="F337" i="167"/>
  <c r="F338" i="167"/>
  <c r="F339" i="167"/>
  <c r="F340" i="167"/>
  <c r="F341" i="167"/>
  <c r="F342" i="167"/>
  <c r="F343" i="167"/>
  <c r="F344" i="167"/>
  <c r="F345" i="167"/>
  <c r="N351" i="167"/>
  <c r="M351" i="167"/>
  <c r="L351" i="167"/>
  <c r="K351" i="167"/>
  <c r="H351" i="167"/>
  <c r="F351" i="167"/>
  <c r="N350" i="167"/>
  <c r="M350" i="167"/>
  <c r="L350" i="167"/>
  <c r="K350" i="167"/>
  <c r="H350" i="167"/>
  <c r="F350" i="167"/>
  <c r="N349" i="167"/>
  <c r="M349" i="167"/>
  <c r="L349" i="167"/>
  <c r="K349" i="167"/>
  <c r="H349" i="167"/>
  <c r="F349" i="167"/>
  <c r="N348" i="167"/>
  <c r="M348" i="167"/>
  <c r="L348" i="167"/>
  <c r="K348" i="167"/>
  <c r="H348" i="167"/>
  <c r="F348" i="167"/>
  <c r="N347" i="167"/>
  <c r="M347" i="167"/>
  <c r="L347" i="167"/>
  <c r="K347" i="167"/>
  <c r="H347" i="167"/>
  <c r="F347" i="167"/>
  <c r="N346" i="167"/>
  <c r="M346" i="167"/>
  <c r="L346" i="167"/>
  <c r="K346" i="167"/>
  <c r="H346" i="167"/>
  <c r="F346" i="167"/>
  <c r="N345" i="167"/>
  <c r="M345" i="167"/>
  <c r="L345" i="167"/>
  <c r="K345" i="167"/>
  <c r="H345" i="167"/>
  <c r="N344" i="167"/>
  <c r="M344" i="167"/>
  <c r="L344" i="167"/>
  <c r="K344" i="167"/>
  <c r="H344" i="167"/>
  <c r="N343" i="167"/>
  <c r="M343" i="167"/>
  <c r="L343" i="167"/>
  <c r="K343" i="167"/>
  <c r="H343" i="167"/>
  <c r="N342" i="167"/>
  <c r="M342" i="167"/>
  <c r="L342" i="167"/>
  <c r="K342" i="167"/>
  <c r="H342" i="167"/>
  <c r="N341" i="167"/>
  <c r="M341" i="167"/>
  <c r="L341" i="167"/>
  <c r="K341" i="167"/>
  <c r="H341" i="167"/>
  <c r="N340" i="167"/>
  <c r="M340" i="167"/>
  <c r="L340" i="167"/>
  <c r="K340" i="167"/>
  <c r="H340" i="167"/>
  <c r="N339" i="167"/>
  <c r="M339" i="167"/>
  <c r="L339" i="167"/>
  <c r="K339" i="167"/>
  <c r="H339" i="167"/>
  <c r="N338" i="167"/>
  <c r="M338" i="167"/>
  <c r="L338" i="167"/>
  <c r="K338" i="167"/>
  <c r="H338" i="167"/>
  <c r="N337" i="167"/>
  <c r="M337" i="167"/>
  <c r="L337" i="167"/>
  <c r="K337" i="167"/>
  <c r="H337" i="167"/>
  <c r="N336" i="167"/>
  <c r="M336" i="167"/>
  <c r="L336" i="167"/>
  <c r="K336" i="167"/>
  <c r="H336" i="167"/>
  <c r="N335" i="167"/>
  <c r="M335" i="167"/>
  <c r="L335" i="167"/>
  <c r="K335" i="167"/>
  <c r="H335" i="167"/>
  <c r="N334" i="167"/>
  <c r="M334" i="167"/>
  <c r="L334" i="167"/>
  <c r="K334" i="167"/>
  <c r="H334" i="167"/>
  <c r="N333" i="167"/>
  <c r="M333" i="167"/>
  <c r="L333" i="167"/>
  <c r="K333" i="167"/>
  <c r="H333" i="167"/>
  <c r="N332" i="167"/>
  <c r="M332" i="167"/>
  <c r="L332" i="167"/>
  <c r="K332" i="167"/>
  <c r="H332" i="167"/>
  <c r="N331" i="167"/>
  <c r="M331" i="167"/>
  <c r="L331" i="167"/>
  <c r="K331" i="167"/>
  <c r="H331" i="167"/>
  <c r="N330" i="167"/>
  <c r="M330" i="167"/>
  <c r="L330" i="167"/>
  <c r="K330" i="167"/>
  <c r="H330" i="167"/>
  <c r="N329" i="167"/>
  <c r="M329" i="167"/>
  <c r="L329" i="167"/>
  <c r="K329" i="167"/>
  <c r="H329" i="167"/>
  <c r="N328" i="167"/>
  <c r="M328" i="167"/>
  <c r="L328" i="167"/>
  <c r="K328" i="167"/>
  <c r="H328" i="167"/>
  <c r="N327" i="167"/>
  <c r="M327" i="167"/>
  <c r="L327" i="167"/>
  <c r="K327" i="167"/>
  <c r="H327" i="167"/>
  <c r="N326" i="167"/>
  <c r="M326" i="167"/>
  <c r="L326" i="167"/>
  <c r="K326" i="167"/>
  <c r="H326" i="167"/>
  <c r="N325" i="167"/>
  <c r="M325" i="167"/>
  <c r="L325" i="167"/>
  <c r="K325" i="167"/>
  <c r="H325" i="167"/>
  <c r="N324" i="167"/>
  <c r="M324" i="167"/>
  <c r="L324" i="167"/>
  <c r="K324" i="167"/>
  <c r="H324" i="167"/>
  <c r="N323" i="167"/>
  <c r="M323" i="167"/>
  <c r="L323" i="167"/>
  <c r="K323" i="167"/>
  <c r="H323" i="167"/>
  <c r="N322" i="167"/>
  <c r="M322" i="167"/>
  <c r="L322" i="167"/>
  <c r="K322" i="167"/>
  <c r="H322" i="167"/>
  <c r="N321" i="167"/>
  <c r="M321" i="167"/>
  <c r="L321" i="167"/>
  <c r="K321" i="167"/>
  <c r="H321" i="167"/>
  <c r="N320" i="167"/>
  <c r="M320" i="167"/>
  <c r="L320" i="167"/>
  <c r="K320" i="167"/>
  <c r="H320" i="167"/>
  <c r="N319" i="167"/>
  <c r="M319" i="167"/>
  <c r="L319" i="167"/>
  <c r="K319" i="167"/>
  <c r="H319" i="167"/>
  <c r="N318" i="167"/>
  <c r="M318" i="167"/>
  <c r="L318" i="167"/>
  <c r="K318" i="167"/>
  <c r="H318" i="167"/>
  <c r="N317" i="167"/>
  <c r="M317" i="167"/>
  <c r="L317" i="167"/>
  <c r="K317" i="167"/>
  <c r="H317" i="167"/>
  <c r="N316" i="167"/>
  <c r="M316" i="167"/>
  <c r="L316" i="167"/>
  <c r="K316" i="167"/>
  <c r="H316" i="167"/>
  <c r="N315" i="167"/>
  <c r="M315" i="167"/>
  <c r="L315" i="167"/>
  <c r="K315" i="167"/>
  <c r="H315" i="167"/>
  <c r="N314" i="167"/>
  <c r="M314" i="167"/>
  <c r="L314" i="167"/>
  <c r="K314" i="167"/>
  <c r="H314" i="167"/>
  <c r="N313" i="167"/>
  <c r="M313" i="167"/>
  <c r="L313" i="167"/>
  <c r="K313" i="167"/>
  <c r="H313" i="167"/>
  <c r="N312" i="167"/>
  <c r="M312" i="167"/>
  <c r="L312" i="167"/>
  <c r="K312" i="167"/>
  <c r="H312" i="167"/>
  <c r="N311" i="167"/>
  <c r="M311" i="167"/>
  <c r="L311" i="167"/>
  <c r="K311" i="167"/>
  <c r="H311" i="167"/>
  <c r="N310" i="167"/>
  <c r="M310" i="167"/>
  <c r="L310" i="167"/>
  <c r="K310" i="167"/>
  <c r="H310" i="167"/>
  <c r="N309" i="167"/>
  <c r="M309" i="167"/>
  <c r="L309" i="167"/>
  <c r="K309" i="167"/>
  <c r="H309" i="167"/>
  <c r="N308" i="167"/>
  <c r="M308" i="167"/>
  <c r="L308" i="167"/>
  <c r="K308" i="167"/>
  <c r="H308" i="167"/>
  <c r="N307" i="167"/>
  <c r="M307" i="167"/>
  <c r="L307" i="167"/>
  <c r="K307" i="167"/>
  <c r="H307" i="167"/>
  <c r="N306" i="167"/>
  <c r="M306" i="167"/>
  <c r="L306" i="167"/>
  <c r="K306" i="167"/>
  <c r="H306" i="167"/>
  <c r="N305" i="167"/>
  <c r="M305" i="167"/>
  <c r="L305" i="167"/>
  <c r="K305" i="167"/>
  <c r="H305" i="167"/>
  <c r="N304" i="167"/>
  <c r="M304" i="167"/>
  <c r="L304" i="167"/>
  <c r="K304" i="167"/>
  <c r="H304" i="167"/>
  <c r="N303" i="167"/>
  <c r="M303" i="167"/>
  <c r="L303" i="167"/>
  <c r="K303" i="167"/>
  <c r="H303" i="167"/>
  <c r="N302" i="167"/>
  <c r="M302" i="167"/>
  <c r="L302" i="167"/>
  <c r="K302" i="167"/>
  <c r="H302" i="167"/>
  <c r="N301" i="167"/>
  <c r="M301" i="167"/>
  <c r="L301" i="167"/>
  <c r="K301" i="167"/>
  <c r="H301" i="167"/>
  <c r="N300" i="167"/>
  <c r="M300" i="167"/>
  <c r="L300" i="167"/>
  <c r="K300" i="167"/>
  <c r="H300" i="167"/>
  <c r="N299" i="167"/>
  <c r="M299" i="167"/>
  <c r="L299" i="167"/>
  <c r="K299" i="167"/>
  <c r="H299" i="167"/>
  <c r="N298" i="167"/>
  <c r="M298" i="167"/>
  <c r="L298" i="167"/>
  <c r="K298" i="167"/>
  <c r="H298" i="167"/>
  <c r="N297" i="167"/>
  <c r="M297" i="167"/>
  <c r="L297" i="167"/>
  <c r="K297" i="167"/>
  <c r="H297" i="167"/>
  <c r="N296" i="167"/>
  <c r="M296" i="167"/>
  <c r="L296" i="167"/>
  <c r="K296" i="167"/>
  <c r="H296" i="167"/>
  <c r="N295" i="167"/>
  <c r="M295" i="167"/>
  <c r="L295" i="167"/>
  <c r="K295" i="167"/>
  <c r="H295" i="167"/>
  <c r="N294" i="167"/>
  <c r="M294" i="167"/>
  <c r="L294" i="167"/>
  <c r="K294" i="167"/>
  <c r="H294" i="167"/>
  <c r="N293" i="167"/>
  <c r="M293" i="167"/>
  <c r="L293" i="167"/>
  <c r="K293" i="167"/>
  <c r="H293" i="167"/>
  <c r="N292" i="167"/>
  <c r="M292" i="167"/>
  <c r="L292" i="167"/>
  <c r="K292" i="167"/>
  <c r="H292" i="167"/>
  <c r="N291" i="167"/>
  <c r="M291" i="167"/>
  <c r="L291" i="167"/>
  <c r="K291" i="167"/>
  <c r="H291" i="167"/>
  <c r="N290" i="167"/>
  <c r="M290" i="167"/>
  <c r="L290" i="167"/>
  <c r="K290" i="167"/>
  <c r="H290" i="167"/>
  <c r="N289" i="167"/>
  <c r="M289" i="167"/>
  <c r="L289" i="167"/>
  <c r="K289" i="167"/>
  <c r="H289" i="167"/>
  <c r="N288" i="167"/>
  <c r="M288" i="167"/>
  <c r="L288" i="167"/>
  <c r="K288" i="167"/>
  <c r="H288" i="167"/>
  <c r="N287" i="167"/>
  <c r="M287" i="167"/>
  <c r="L287" i="167"/>
  <c r="K287" i="167"/>
  <c r="H287" i="167"/>
  <c r="N286" i="167"/>
  <c r="M286" i="167"/>
  <c r="L286" i="167"/>
  <c r="K286" i="167"/>
  <c r="H286" i="167"/>
  <c r="N285" i="167"/>
  <c r="M285" i="167"/>
  <c r="L285" i="167"/>
  <c r="K285" i="167"/>
  <c r="H285" i="167"/>
  <c r="N284" i="167"/>
  <c r="M284" i="167"/>
  <c r="L284" i="167"/>
  <c r="K284" i="167"/>
  <c r="H284" i="167"/>
  <c r="N283" i="167"/>
  <c r="M283" i="167"/>
  <c r="L283" i="167"/>
  <c r="K283" i="167"/>
  <c r="H283" i="167"/>
  <c r="N282" i="167"/>
  <c r="M282" i="167"/>
  <c r="L282" i="167"/>
  <c r="K282" i="167"/>
  <c r="H282" i="167"/>
  <c r="N281" i="167"/>
  <c r="M281" i="167"/>
  <c r="L281" i="167"/>
  <c r="K281" i="167"/>
  <c r="H281" i="167"/>
  <c r="N280" i="167"/>
  <c r="M280" i="167"/>
  <c r="L280" i="167"/>
  <c r="K280" i="167"/>
  <c r="H280" i="167"/>
  <c r="N279" i="167"/>
  <c r="M279" i="167"/>
  <c r="L279" i="167"/>
  <c r="K279" i="167"/>
  <c r="H279" i="167"/>
  <c r="N278" i="167"/>
  <c r="M278" i="167"/>
  <c r="L278" i="167"/>
  <c r="K278" i="167"/>
  <c r="H278" i="167"/>
  <c r="N277" i="167"/>
  <c r="M277" i="167"/>
  <c r="L277" i="167"/>
  <c r="K277" i="167"/>
  <c r="H277" i="167"/>
  <c r="N276" i="167"/>
  <c r="M276" i="167"/>
  <c r="L276" i="167"/>
  <c r="K276" i="167"/>
  <c r="H276" i="167"/>
  <c r="N275" i="167"/>
  <c r="M275" i="167"/>
  <c r="L275" i="167"/>
  <c r="K275" i="167"/>
  <c r="H275" i="167"/>
  <c r="N274" i="167"/>
  <c r="M274" i="167"/>
  <c r="L274" i="167"/>
  <c r="K274" i="167"/>
  <c r="H274" i="167"/>
  <c r="N273" i="167"/>
  <c r="M273" i="167"/>
  <c r="L273" i="167"/>
  <c r="K273" i="167"/>
  <c r="H273" i="167"/>
  <c r="N272" i="167"/>
  <c r="M272" i="167"/>
  <c r="L272" i="167"/>
  <c r="K272" i="167"/>
  <c r="H272" i="167"/>
  <c r="N271" i="167"/>
  <c r="M271" i="167"/>
  <c r="L271" i="167"/>
  <c r="K271" i="167"/>
  <c r="H271" i="167"/>
  <c r="N270" i="167"/>
  <c r="M270" i="167"/>
  <c r="L270" i="167"/>
  <c r="K270" i="167"/>
  <c r="H270" i="167"/>
  <c r="N269" i="167"/>
  <c r="M269" i="167"/>
  <c r="L269" i="167"/>
  <c r="K269" i="167"/>
  <c r="H269" i="167"/>
  <c r="N268" i="167"/>
  <c r="M268" i="167"/>
  <c r="L268" i="167"/>
  <c r="K268" i="167"/>
  <c r="H268" i="167"/>
  <c r="N267" i="167"/>
  <c r="M267" i="167"/>
  <c r="L267" i="167"/>
  <c r="K267" i="167"/>
  <c r="H267" i="167"/>
  <c r="N266" i="167"/>
  <c r="M266" i="167"/>
  <c r="L266" i="167"/>
  <c r="K266" i="167"/>
  <c r="H266" i="167"/>
  <c r="N265" i="167"/>
  <c r="M265" i="167"/>
  <c r="L265" i="167"/>
  <c r="K265" i="167"/>
  <c r="H265" i="167"/>
  <c r="N264" i="167"/>
  <c r="M264" i="167"/>
  <c r="L264" i="167"/>
  <c r="K264" i="167"/>
  <c r="H264" i="167"/>
  <c r="N263" i="167"/>
  <c r="M263" i="167"/>
  <c r="L263" i="167"/>
  <c r="K263" i="167"/>
  <c r="H263" i="167"/>
  <c r="N262" i="167"/>
  <c r="M262" i="167"/>
  <c r="L262" i="167"/>
  <c r="K262" i="167"/>
  <c r="H262" i="167"/>
  <c r="N261" i="167"/>
  <c r="M261" i="167"/>
  <c r="L261" i="167"/>
  <c r="K261" i="167"/>
  <c r="H261" i="167"/>
  <c r="N260" i="167"/>
  <c r="M260" i="167"/>
  <c r="L260" i="167"/>
  <c r="K260" i="167"/>
  <c r="H260" i="167"/>
  <c r="N259" i="167"/>
  <c r="M259" i="167"/>
  <c r="L259" i="167"/>
  <c r="K259" i="167"/>
  <c r="H259" i="167"/>
  <c r="N258" i="167"/>
  <c r="M258" i="167"/>
  <c r="L258" i="167"/>
  <c r="K258" i="167"/>
  <c r="H258" i="167"/>
  <c r="N257" i="167"/>
  <c r="M257" i="167"/>
  <c r="L257" i="167"/>
  <c r="K257" i="167"/>
  <c r="H257" i="167"/>
  <c r="N256" i="167"/>
  <c r="M256" i="167"/>
  <c r="L256" i="167"/>
  <c r="K256" i="167"/>
  <c r="H256" i="167"/>
  <c r="N255" i="167"/>
  <c r="M255" i="167"/>
  <c r="L255" i="167"/>
  <c r="K255" i="167"/>
  <c r="H255" i="167"/>
  <c r="N254" i="167"/>
  <c r="M254" i="167"/>
  <c r="L254" i="167"/>
  <c r="K254" i="167"/>
  <c r="H254" i="167"/>
  <c r="N253" i="167"/>
  <c r="M253" i="167"/>
  <c r="L253" i="167"/>
  <c r="K253" i="167"/>
  <c r="H253" i="167"/>
  <c r="N252" i="167"/>
  <c r="M252" i="167"/>
  <c r="L252" i="167"/>
  <c r="K252" i="167"/>
  <c r="H252" i="167"/>
  <c r="N251" i="167"/>
  <c r="M251" i="167"/>
  <c r="L251" i="167"/>
  <c r="K251" i="167"/>
  <c r="H251" i="167"/>
  <c r="N250" i="167"/>
  <c r="M250" i="167"/>
  <c r="L250" i="167"/>
  <c r="K250" i="167"/>
  <c r="H250" i="167"/>
  <c r="N249" i="167"/>
  <c r="M249" i="167"/>
  <c r="L249" i="167"/>
  <c r="K249" i="167"/>
  <c r="H249" i="167"/>
  <c r="N248" i="167"/>
  <c r="M248" i="167"/>
  <c r="L248" i="167"/>
  <c r="K248" i="167"/>
  <c r="H248" i="167"/>
  <c r="N247" i="167"/>
  <c r="M247" i="167"/>
  <c r="L247" i="167"/>
  <c r="K247" i="167"/>
  <c r="H247" i="167"/>
  <c r="N246" i="167"/>
  <c r="M246" i="167"/>
  <c r="L246" i="167"/>
  <c r="K246" i="167"/>
  <c r="H246" i="167"/>
  <c r="N245" i="167"/>
  <c r="M245" i="167"/>
  <c r="L245" i="167"/>
  <c r="K245" i="167"/>
  <c r="H245" i="167"/>
  <c r="N244" i="167"/>
  <c r="M244" i="167"/>
  <c r="L244" i="167"/>
  <c r="K244" i="167"/>
  <c r="H244" i="167"/>
  <c r="N243" i="167"/>
  <c r="M243" i="167"/>
  <c r="L243" i="167"/>
  <c r="K243" i="167"/>
  <c r="H243" i="167"/>
  <c r="N242" i="167"/>
  <c r="M242" i="167"/>
  <c r="L242" i="167"/>
  <c r="K242" i="167"/>
  <c r="H242" i="167"/>
  <c r="N241" i="167"/>
  <c r="M241" i="167"/>
  <c r="L241" i="167"/>
  <c r="K241" i="167"/>
  <c r="H241" i="167"/>
  <c r="N240" i="167"/>
  <c r="M240" i="167"/>
  <c r="L240" i="167"/>
  <c r="K240" i="167"/>
  <c r="H240" i="167"/>
  <c r="N239" i="167"/>
  <c r="M239" i="167"/>
  <c r="L239" i="167"/>
  <c r="K239" i="167"/>
  <c r="H239" i="167"/>
  <c r="N238" i="167"/>
  <c r="M238" i="167"/>
  <c r="L238" i="167"/>
  <c r="K238" i="167"/>
  <c r="H238" i="167"/>
  <c r="N237" i="167"/>
  <c r="M237" i="167"/>
  <c r="L237" i="167"/>
  <c r="K237" i="167"/>
  <c r="H237" i="167"/>
  <c r="N236" i="167"/>
  <c r="M236" i="167"/>
  <c r="L236" i="167"/>
  <c r="K236" i="167"/>
  <c r="H236" i="167"/>
  <c r="N235" i="167"/>
  <c r="M235" i="167"/>
  <c r="L235" i="167"/>
  <c r="K235" i="167"/>
  <c r="H235" i="167"/>
  <c r="N234" i="167"/>
  <c r="M234" i="167"/>
  <c r="L234" i="167"/>
  <c r="K234" i="167"/>
  <c r="H234" i="167"/>
  <c r="N233" i="167"/>
  <c r="M233" i="167"/>
  <c r="L233" i="167"/>
  <c r="K233" i="167"/>
  <c r="H233" i="167"/>
  <c r="N232" i="167"/>
  <c r="M232" i="167"/>
  <c r="L232" i="167"/>
  <c r="K232" i="167"/>
  <c r="H232" i="167"/>
  <c r="N231" i="167"/>
  <c r="M231" i="167"/>
  <c r="L231" i="167"/>
  <c r="K231" i="167"/>
  <c r="H231" i="167"/>
  <c r="N230" i="167"/>
  <c r="M230" i="167"/>
  <c r="L230" i="167"/>
  <c r="K230" i="167"/>
  <c r="H230" i="167"/>
  <c r="N229" i="167"/>
  <c r="M229" i="167"/>
  <c r="L229" i="167"/>
  <c r="K229" i="167"/>
  <c r="H229" i="167"/>
  <c r="N228" i="167"/>
  <c r="M228" i="167"/>
  <c r="L228" i="167"/>
  <c r="K228" i="167"/>
  <c r="H228" i="167"/>
  <c r="N227" i="167"/>
  <c r="M227" i="167"/>
  <c r="L227" i="167"/>
  <c r="K227" i="167"/>
  <c r="H227" i="167"/>
  <c r="N226" i="167"/>
  <c r="M226" i="167"/>
  <c r="L226" i="167"/>
  <c r="K226" i="167"/>
  <c r="H226" i="167"/>
  <c r="N225" i="167"/>
  <c r="M225" i="167"/>
  <c r="L225" i="167"/>
  <c r="K225" i="167"/>
  <c r="H225" i="167"/>
  <c r="N224" i="167"/>
  <c r="M224" i="167"/>
  <c r="L224" i="167"/>
  <c r="K224" i="167"/>
  <c r="H224" i="167"/>
  <c r="N223" i="167"/>
  <c r="M223" i="167"/>
  <c r="L223" i="167"/>
  <c r="K223" i="167"/>
  <c r="H223" i="167"/>
  <c r="N222" i="167"/>
  <c r="M222" i="167"/>
  <c r="L222" i="167"/>
  <c r="K222" i="167"/>
  <c r="H222" i="167"/>
  <c r="N221" i="167"/>
  <c r="M221" i="167"/>
  <c r="L221" i="167"/>
  <c r="K221" i="167"/>
  <c r="H221" i="167"/>
  <c r="N220" i="167"/>
  <c r="M220" i="167"/>
  <c r="L220" i="167"/>
  <c r="K220" i="167"/>
  <c r="H220" i="167"/>
  <c r="N219" i="167"/>
  <c r="M219" i="167"/>
  <c r="L219" i="167"/>
  <c r="K219" i="167"/>
  <c r="H219" i="167"/>
  <c r="N218" i="167"/>
  <c r="M218" i="167"/>
  <c r="L218" i="167"/>
  <c r="K218" i="167"/>
  <c r="H218" i="167"/>
  <c r="N217" i="167"/>
  <c r="M217" i="167"/>
  <c r="L217" i="167"/>
  <c r="K217" i="167"/>
  <c r="H217" i="167"/>
  <c r="N216" i="167"/>
  <c r="M216" i="167"/>
  <c r="L216" i="167"/>
  <c r="K216" i="167"/>
  <c r="H216" i="167"/>
  <c r="N215" i="167"/>
  <c r="M215" i="167"/>
  <c r="L215" i="167"/>
  <c r="K215" i="167"/>
  <c r="H215" i="167"/>
  <c r="N214" i="167"/>
  <c r="M214" i="167"/>
  <c r="L214" i="167"/>
  <c r="K214" i="167"/>
  <c r="H214" i="167"/>
  <c r="N213" i="167"/>
  <c r="M213" i="167"/>
  <c r="L213" i="167"/>
  <c r="K213" i="167"/>
  <c r="H213" i="167"/>
  <c r="N212" i="167"/>
  <c r="M212" i="167"/>
  <c r="L212" i="167"/>
  <c r="K212" i="167"/>
  <c r="H212" i="167"/>
  <c r="N211" i="167"/>
  <c r="M211" i="167"/>
  <c r="L211" i="167"/>
  <c r="K211" i="167"/>
  <c r="H211" i="167"/>
  <c r="N210" i="167"/>
  <c r="M210" i="167"/>
  <c r="L210" i="167"/>
  <c r="K210" i="167"/>
  <c r="H210" i="167"/>
  <c r="N209" i="167"/>
  <c r="M209" i="167"/>
  <c r="L209" i="167"/>
  <c r="K209" i="167"/>
  <c r="H209" i="167"/>
  <c r="N208" i="167"/>
  <c r="M208" i="167"/>
  <c r="L208" i="167"/>
  <c r="K208" i="167"/>
  <c r="H208" i="167"/>
  <c r="N207" i="167"/>
  <c r="M207" i="167"/>
  <c r="L207" i="167"/>
  <c r="K207" i="167"/>
  <c r="H207" i="167"/>
  <c r="N206" i="167"/>
  <c r="M206" i="167"/>
  <c r="L206" i="167"/>
  <c r="K206" i="167"/>
  <c r="H206" i="167"/>
  <c r="N205" i="167"/>
  <c r="M205" i="167"/>
  <c r="L205" i="167"/>
  <c r="K205" i="167"/>
  <c r="H205" i="167"/>
  <c r="N204" i="167"/>
  <c r="M204" i="167"/>
  <c r="L204" i="167"/>
  <c r="K204" i="167"/>
  <c r="H204" i="167"/>
  <c r="N203" i="167"/>
  <c r="M203" i="167"/>
  <c r="L203" i="167"/>
  <c r="K203" i="167"/>
  <c r="H203" i="167"/>
  <c r="N202" i="167"/>
  <c r="M202" i="167"/>
  <c r="L202" i="167"/>
  <c r="K202" i="167"/>
  <c r="H202" i="167"/>
  <c r="N201" i="167"/>
  <c r="M201" i="167"/>
  <c r="L201" i="167"/>
  <c r="K201" i="167"/>
  <c r="H201" i="167"/>
  <c r="N200" i="167"/>
  <c r="M200" i="167"/>
  <c r="L200" i="167"/>
  <c r="K200" i="167"/>
  <c r="H200" i="167"/>
  <c r="N199" i="167"/>
  <c r="M199" i="167"/>
  <c r="L199" i="167"/>
  <c r="K199" i="167"/>
  <c r="H199" i="167"/>
  <c r="N198" i="167"/>
  <c r="M198" i="167"/>
  <c r="L198" i="167"/>
  <c r="K198" i="167"/>
  <c r="H198" i="167"/>
  <c r="N197" i="167"/>
  <c r="M197" i="167"/>
  <c r="L197" i="167"/>
  <c r="K197" i="167"/>
  <c r="H197" i="167"/>
  <c r="N196" i="167"/>
  <c r="M196" i="167"/>
  <c r="L196" i="167"/>
  <c r="K196" i="167"/>
  <c r="H196" i="167"/>
  <c r="N195" i="167"/>
  <c r="M195" i="167"/>
  <c r="L195" i="167"/>
  <c r="K195" i="167"/>
  <c r="H195" i="167"/>
  <c r="N194" i="167"/>
  <c r="M194" i="167"/>
  <c r="L194" i="167"/>
  <c r="K194" i="167"/>
  <c r="H194" i="167"/>
  <c r="N193" i="167"/>
  <c r="M193" i="167"/>
  <c r="L193" i="167"/>
  <c r="K193" i="167"/>
  <c r="H193" i="167"/>
  <c r="N192" i="167"/>
  <c r="M192" i="167"/>
  <c r="L192" i="167"/>
  <c r="K192" i="167"/>
  <c r="H192" i="167"/>
  <c r="N191" i="167"/>
  <c r="M191" i="167"/>
  <c r="L191" i="167"/>
  <c r="K191" i="167"/>
  <c r="H191" i="167"/>
  <c r="N190" i="167"/>
  <c r="M190" i="167"/>
  <c r="L190" i="167"/>
  <c r="K190" i="167"/>
  <c r="H190" i="167"/>
  <c r="N189" i="167"/>
  <c r="M189" i="167"/>
  <c r="L189" i="167"/>
  <c r="K189" i="167"/>
  <c r="H189" i="167"/>
  <c r="N188" i="167"/>
  <c r="M188" i="167"/>
  <c r="L188" i="167"/>
  <c r="K188" i="167"/>
  <c r="H188" i="167"/>
  <c r="N187" i="167"/>
  <c r="M187" i="167"/>
  <c r="L187" i="167"/>
  <c r="K187" i="167"/>
  <c r="H187" i="167"/>
  <c r="N186" i="167"/>
  <c r="M186" i="167"/>
  <c r="L186" i="167"/>
  <c r="K186" i="167"/>
  <c r="H186" i="167"/>
  <c r="N185" i="167"/>
  <c r="M185" i="167"/>
  <c r="L185" i="167"/>
  <c r="K185" i="167"/>
  <c r="H185" i="167"/>
  <c r="N184" i="167"/>
  <c r="M184" i="167"/>
  <c r="L184" i="167"/>
  <c r="K184" i="167"/>
  <c r="H184" i="167"/>
  <c r="N183" i="167"/>
  <c r="M183" i="167"/>
  <c r="L183" i="167"/>
  <c r="K183" i="167"/>
  <c r="H183" i="167"/>
  <c r="N182" i="167"/>
  <c r="M182" i="167"/>
  <c r="L182" i="167"/>
  <c r="K182" i="167"/>
  <c r="H182" i="167"/>
  <c r="N181" i="167"/>
  <c r="M181" i="167"/>
  <c r="L181" i="167"/>
  <c r="K181" i="167"/>
  <c r="H181" i="167"/>
  <c r="N180" i="167"/>
  <c r="M180" i="167"/>
  <c r="L180" i="167"/>
  <c r="K180" i="167"/>
  <c r="H180" i="167"/>
  <c r="N179" i="167"/>
  <c r="M179" i="167"/>
  <c r="L179" i="167"/>
  <c r="K179" i="167"/>
  <c r="H179" i="167"/>
  <c r="N178" i="167"/>
  <c r="M178" i="167"/>
  <c r="L178" i="167"/>
  <c r="K178" i="167"/>
  <c r="H178" i="167"/>
  <c r="N177" i="167"/>
  <c r="M177" i="167"/>
  <c r="L177" i="167"/>
  <c r="K177" i="167"/>
  <c r="H177" i="167"/>
  <c r="N176" i="167"/>
  <c r="M176" i="167"/>
  <c r="L176" i="167"/>
  <c r="K176" i="167"/>
  <c r="H176" i="167"/>
  <c r="N175" i="167"/>
  <c r="M175" i="167"/>
  <c r="L175" i="167"/>
  <c r="K175" i="167"/>
  <c r="H175" i="167"/>
  <c r="N174" i="167"/>
  <c r="M174" i="167"/>
  <c r="L174" i="167"/>
  <c r="K174" i="167"/>
  <c r="H174" i="167"/>
  <c r="N173" i="167"/>
  <c r="M173" i="167"/>
  <c r="L173" i="167"/>
  <c r="K173" i="167"/>
  <c r="H173" i="167"/>
  <c r="N172" i="167"/>
  <c r="M172" i="167"/>
  <c r="L172" i="167"/>
  <c r="K172" i="167"/>
  <c r="H172" i="167"/>
  <c r="N171" i="167"/>
  <c r="M171" i="167"/>
  <c r="L171" i="167"/>
  <c r="K171" i="167"/>
  <c r="H171" i="167"/>
  <c r="N170" i="167"/>
  <c r="M170" i="167"/>
  <c r="L170" i="167"/>
  <c r="K170" i="167"/>
  <c r="H170" i="167"/>
  <c r="N169" i="167"/>
  <c r="M169" i="167"/>
  <c r="L169" i="167"/>
  <c r="K169" i="167"/>
  <c r="H169" i="167"/>
  <c r="N168" i="167"/>
  <c r="M168" i="167"/>
  <c r="L168" i="167"/>
  <c r="K168" i="167"/>
  <c r="H168" i="167"/>
  <c r="N167" i="167"/>
  <c r="M167" i="167"/>
  <c r="L167" i="167"/>
  <c r="K167" i="167"/>
  <c r="H167" i="167"/>
  <c r="N166" i="167"/>
  <c r="M166" i="167"/>
  <c r="L166" i="167"/>
  <c r="K166" i="167"/>
  <c r="H166" i="167"/>
  <c r="N165" i="167"/>
  <c r="M165" i="167"/>
  <c r="L165" i="167"/>
  <c r="K165" i="167"/>
  <c r="H165" i="167"/>
  <c r="N164" i="167"/>
  <c r="M164" i="167"/>
  <c r="L164" i="167"/>
  <c r="K164" i="167"/>
  <c r="H164" i="167"/>
  <c r="N163" i="167"/>
  <c r="M163" i="167"/>
  <c r="L163" i="167"/>
  <c r="K163" i="167"/>
  <c r="H163" i="167"/>
  <c r="N162" i="167"/>
  <c r="M162" i="167"/>
  <c r="L162" i="167"/>
  <c r="K162" i="167"/>
  <c r="H162" i="167"/>
  <c r="N161" i="167"/>
  <c r="M161" i="167"/>
  <c r="L161" i="167"/>
  <c r="K161" i="167"/>
  <c r="H161" i="167"/>
  <c r="N160" i="167"/>
  <c r="M160" i="167"/>
  <c r="L160" i="167"/>
  <c r="K160" i="167"/>
  <c r="H160" i="167"/>
  <c r="N159" i="167"/>
  <c r="M159" i="167"/>
  <c r="L159" i="167"/>
  <c r="K159" i="167"/>
  <c r="H159" i="167"/>
  <c r="N158" i="167"/>
  <c r="M158" i="167"/>
  <c r="L158" i="167"/>
  <c r="K158" i="167"/>
  <c r="H158" i="167"/>
  <c r="N157" i="167"/>
  <c r="M157" i="167"/>
  <c r="L157" i="167"/>
  <c r="K157" i="167"/>
  <c r="H157" i="167"/>
  <c r="N156" i="167"/>
  <c r="M156" i="167"/>
  <c r="L156" i="167"/>
  <c r="K156" i="167"/>
  <c r="H156" i="167"/>
  <c r="N155" i="167"/>
  <c r="M155" i="167"/>
  <c r="L155" i="167"/>
  <c r="K155" i="167"/>
  <c r="H155" i="167"/>
  <c r="N154" i="167"/>
  <c r="M154" i="167"/>
  <c r="L154" i="167"/>
  <c r="K154" i="167"/>
  <c r="H154" i="167"/>
  <c r="N153" i="167"/>
  <c r="M153" i="167"/>
  <c r="L153" i="167"/>
  <c r="K153" i="167"/>
  <c r="H153" i="167"/>
  <c r="N152" i="167"/>
  <c r="M152" i="167"/>
  <c r="L152" i="167"/>
  <c r="K152" i="167"/>
  <c r="H152" i="167"/>
  <c r="N151" i="167"/>
  <c r="M151" i="167"/>
  <c r="L151" i="167"/>
  <c r="K151" i="167"/>
  <c r="H151" i="167"/>
  <c r="N150" i="167"/>
  <c r="M150" i="167"/>
  <c r="L150" i="167"/>
  <c r="K150" i="167"/>
  <c r="H150" i="167"/>
  <c r="N149" i="167"/>
  <c r="M149" i="167"/>
  <c r="L149" i="167"/>
  <c r="K149" i="167"/>
  <c r="H149" i="167"/>
  <c r="N148" i="167"/>
  <c r="M148" i="167"/>
  <c r="L148" i="167"/>
  <c r="K148" i="167"/>
  <c r="H148" i="167"/>
  <c r="N147" i="167"/>
  <c r="M147" i="167"/>
  <c r="L147" i="167"/>
  <c r="K147" i="167"/>
  <c r="H147" i="167"/>
  <c r="N146" i="167"/>
  <c r="M146" i="167"/>
  <c r="L146" i="167"/>
  <c r="K146" i="167"/>
  <c r="H146" i="167"/>
  <c r="N145" i="167"/>
  <c r="M145" i="167"/>
  <c r="L145" i="167"/>
  <c r="K145" i="167"/>
  <c r="H145" i="167"/>
  <c r="N144" i="167"/>
  <c r="M144" i="167"/>
  <c r="L144" i="167"/>
  <c r="K144" i="167"/>
  <c r="H144" i="167"/>
  <c r="N143" i="167"/>
  <c r="M143" i="167"/>
  <c r="L143" i="167"/>
  <c r="K143" i="167"/>
  <c r="H143" i="167"/>
  <c r="N142" i="167"/>
  <c r="M142" i="167"/>
  <c r="L142" i="167"/>
  <c r="K142" i="167"/>
  <c r="H142" i="167"/>
  <c r="N141" i="167"/>
  <c r="M141" i="167"/>
  <c r="L141" i="167"/>
  <c r="K141" i="167"/>
  <c r="H141" i="167"/>
  <c r="N140" i="167"/>
  <c r="M140" i="167"/>
  <c r="L140" i="167"/>
  <c r="K140" i="167"/>
  <c r="H140" i="167"/>
  <c r="N139" i="167"/>
  <c r="M139" i="167"/>
  <c r="L139" i="167"/>
  <c r="K139" i="167"/>
  <c r="H139" i="167"/>
  <c r="N138" i="167"/>
  <c r="M138" i="167"/>
  <c r="L138" i="167"/>
  <c r="K138" i="167"/>
  <c r="H138" i="167"/>
  <c r="N137" i="167"/>
  <c r="M137" i="167"/>
  <c r="L137" i="167"/>
  <c r="K137" i="167"/>
  <c r="H137" i="167"/>
  <c r="N136" i="167"/>
  <c r="M136" i="167"/>
  <c r="L136" i="167"/>
  <c r="K136" i="167"/>
  <c r="H136" i="167"/>
  <c r="N135" i="167"/>
  <c r="M135" i="167"/>
  <c r="L135" i="167"/>
  <c r="K135" i="167"/>
  <c r="H135" i="167"/>
  <c r="N134" i="167"/>
  <c r="M134" i="167"/>
  <c r="L134" i="167"/>
  <c r="K134" i="167"/>
  <c r="H134" i="167"/>
  <c r="N133" i="167"/>
  <c r="M133" i="167"/>
  <c r="L133" i="167"/>
  <c r="K133" i="167"/>
  <c r="H133" i="167"/>
  <c r="N132" i="167"/>
  <c r="M132" i="167"/>
  <c r="L132" i="167"/>
  <c r="K132" i="167"/>
  <c r="H132" i="167"/>
  <c r="N131" i="167"/>
  <c r="M131" i="167"/>
  <c r="L131" i="167"/>
  <c r="K131" i="167"/>
  <c r="H131" i="167"/>
  <c r="N130" i="167"/>
  <c r="M130" i="167"/>
  <c r="L130" i="167"/>
  <c r="K130" i="167"/>
  <c r="H130" i="167"/>
  <c r="N129" i="167"/>
  <c r="M129" i="167"/>
  <c r="L129" i="167"/>
  <c r="K129" i="167"/>
  <c r="H129" i="167"/>
  <c r="N128" i="167"/>
  <c r="M128" i="167"/>
  <c r="L128" i="167"/>
  <c r="K128" i="167"/>
  <c r="H128" i="167"/>
  <c r="N127" i="167"/>
  <c r="M127" i="167"/>
  <c r="L127" i="167"/>
  <c r="K127" i="167"/>
  <c r="H127" i="167"/>
  <c r="N126" i="167"/>
  <c r="M126" i="167"/>
  <c r="L126" i="167"/>
  <c r="K126" i="167"/>
  <c r="H126" i="167"/>
  <c r="N125" i="167"/>
  <c r="M125" i="167"/>
  <c r="L125" i="167"/>
  <c r="K125" i="167"/>
  <c r="H125" i="167"/>
  <c r="N124" i="167"/>
  <c r="M124" i="167"/>
  <c r="L124" i="167"/>
  <c r="K124" i="167"/>
  <c r="H124" i="167"/>
  <c r="N123" i="167"/>
  <c r="M123" i="167"/>
  <c r="L123" i="167"/>
  <c r="K123" i="167"/>
  <c r="H123" i="167"/>
  <c r="N122" i="167"/>
  <c r="M122" i="167"/>
  <c r="L122" i="167"/>
  <c r="K122" i="167"/>
  <c r="H122" i="167"/>
  <c r="N121" i="167"/>
  <c r="M121" i="167"/>
  <c r="L121" i="167"/>
  <c r="K121" i="167"/>
  <c r="H121" i="167"/>
  <c r="N120" i="167"/>
  <c r="M120" i="167"/>
  <c r="L120" i="167"/>
  <c r="K120" i="167"/>
  <c r="H120" i="167"/>
  <c r="N119" i="167"/>
  <c r="M119" i="167"/>
  <c r="L119" i="167"/>
  <c r="K119" i="167"/>
  <c r="H119" i="167"/>
  <c r="N118" i="167"/>
  <c r="M118" i="167"/>
  <c r="L118" i="167"/>
  <c r="K118" i="167"/>
  <c r="H118" i="167"/>
  <c r="N117" i="167"/>
  <c r="M117" i="167"/>
  <c r="L117" i="167"/>
  <c r="K117" i="167"/>
  <c r="H117" i="167"/>
  <c r="N116" i="167"/>
  <c r="M116" i="167"/>
  <c r="L116" i="167"/>
  <c r="K116" i="167"/>
  <c r="H116" i="167"/>
  <c r="N115" i="167"/>
  <c r="M115" i="167"/>
  <c r="L115" i="167"/>
  <c r="K115" i="167"/>
  <c r="H115" i="167"/>
  <c r="N114" i="167"/>
  <c r="M114" i="167"/>
  <c r="L114" i="167"/>
  <c r="K114" i="167"/>
  <c r="H114" i="167"/>
  <c r="N113" i="167"/>
  <c r="M113" i="167"/>
  <c r="L113" i="167"/>
  <c r="K113" i="167"/>
  <c r="H113" i="167"/>
  <c r="N112" i="167"/>
  <c r="M112" i="167"/>
  <c r="L112" i="167"/>
  <c r="K112" i="167"/>
  <c r="H112" i="167"/>
  <c r="N111" i="167"/>
  <c r="M111" i="167"/>
  <c r="L111" i="167"/>
  <c r="K111" i="167"/>
  <c r="H111" i="167"/>
  <c r="N110" i="167"/>
  <c r="M110" i="167"/>
  <c r="L110" i="167"/>
  <c r="K110" i="167"/>
  <c r="H110" i="167"/>
  <c r="N109" i="167"/>
  <c r="M109" i="167"/>
  <c r="L109" i="167"/>
  <c r="K109" i="167"/>
  <c r="H109" i="167"/>
  <c r="N108" i="167"/>
  <c r="M108" i="167"/>
  <c r="L108" i="167"/>
  <c r="K108" i="167"/>
  <c r="H108" i="167"/>
  <c r="N107" i="167"/>
  <c r="M107" i="167"/>
  <c r="L107" i="167"/>
  <c r="K107" i="167"/>
  <c r="H107" i="167"/>
  <c r="N106" i="167"/>
  <c r="M106" i="167"/>
  <c r="L106" i="167"/>
  <c r="K106" i="167"/>
  <c r="H106" i="167"/>
  <c r="N105" i="167"/>
  <c r="M105" i="167"/>
  <c r="L105" i="167"/>
  <c r="K105" i="167"/>
  <c r="H105" i="167"/>
  <c r="N104" i="167"/>
  <c r="M104" i="167"/>
  <c r="L104" i="167"/>
  <c r="K104" i="167"/>
  <c r="H104" i="167"/>
  <c r="N103" i="167"/>
  <c r="M103" i="167"/>
  <c r="L103" i="167"/>
  <c r="K103" i="167"/>
  <c r="H103" i="167"/>
  <c r="N102" i="167"/>
  <c r="M102" i="167"/>
  <c r="L102" i="167"/>
  <c r="K102" i="167"/>
  <c r="H102" i="167"/>
  <c r="N101" i="167"/>
  <c r="M101" i="167"/>
  <c r="L101" i="167"/>
  <c r="K101" i="167"/>
  <c r="H101" i="167"/>
  <c r="N100" i="167"/>
  <c r="M100" i="167"/>
  <c r="L100" i="167"/>
  <c r="K100" i="167"/>
  <c r="H100" i="167"/>
  <c r="N99" i="167"/>
  <c r="M99" i="167"/>
  <c r="L99" i="167"/>
  <c r="K99" i="167"/>
  <c r="H99" i="167"/>
  <c r="N98" i="167"/>
  <c r="M98" i="167"/>
  <c r="L98" i="167"/>
  <c r="K98" i="167"/>
  <c r="H98" i="167"/>
  <c r="N97" i="167"/>
  <c r="M97" i="167"/>
  <c r="L97" i="167"/>
  <c r="K97" i="167"/>
  <c r="H97" i="167"/>
  <c r="N96" i="167"/>
  <c r="M96" i="167"/>
  <c r="L96" i="167"/>
  <c r="K96" i="167"/>
  <c r="H96" i="167"/>
  <c r="N95" i="167"/>
  <c r="M95" i="167"/>
  <c r="L95" i="167"/>
  <c r="K95" i="167"/>
  <c r="H95" i="167"/>
  <c r="N94" i="167"/>
  <c r="M94" i="167"/>
  <c r="L94" i="167"/>
  <c r="K94" i="167"/>
  <c r="H94" i="167"/>
  <c r="N93" i="167"/>
  <c r="M93" i="167"/>
  <c r="L93" i="167"/>
  <c r="K93" i="167"/>
  <c r="H93" i="167"/>
  <c r="N92" i="167"/>
  <c r="M92" i="167"/>
  <c r="L92" i="167"/>
  <c r="K92" i="167"/>
  <c r="H92" i="167"/>
  <c r="N91" i="167"/>
  <c r="M91" i="167"/>
  <c r="L91" i="167"/>
  <c r="K91" i="167"/>
  <c r="H91" i="167"/>
  <c r="N90" i="167"/>
  <c r="M90" i="167"/>
  <c r="L90" i="167"/>
  <c r="K90" i="167"/>
  <c r="H90" i="167"/>
  <c r="N89" i="167"/>
  <c r="M89" i="167"/>
  <c r="L89" i="167"/>
  <c r="K89" i="167"/>
  <c r="H89" i="167"/>
  <c r="N88" i="167"/>
  <c r="M88" i="167"/>
  <c r="L88" i="167"/>
  <c r="K88" i="167"/>
  <c r="H88" i="167"/>
  <c r="N87" i="167"/>
  <c r="M87" i="167"/>
  <c r="L87" i="167"/>
  <c r="K87" i="167"/>
  <c r="H87" i="167"/>
  <c r="N86" i="167"/>
  <c r="M86" i="167"/>
  <c r="L86" i="167"/>
  <c r="K86" i="167"/>
  <c r="H86" i="167"/>
  <c r="N85" i="167"/>
  <c r="M85" i="167"/>
  <c r="L85" i="167"/>
  <c r="K85" i="167"/>
  <c r="H85" i="167"/>
  <c r="N84" i="167"/>
  <c r="M84" i="167"/>
  <c r="L84" i="167"/>
  <c r="K84" i="167"/>
  <c r="H84" i="167"/>
  <c r="N83" i="167"/>
  <c r="M83" i="167"/>
  <c r="L83" i="167"/>
  <c r="K83" i="167"/>
  <c r="H83" i="167"/>
  <c r="N82" i="167"/>
  <c r="M82" i="167"/>
  <c r="L82" i="167"/>
  <c r="K82" i="167"/>
  <c r="H82" i="167"/>
  <c r="N81" i="167"/>
  <c r="M81" i="167"/>
  <c r="L81" i="167"/>
  <c r="K81" i="167"/>
  <c r="H81" i="167"/>
  <c r="N80" i="167"/>
  <c r="M80" i="167"/>
  <c r="L80" i="167"/>
  <c r="K80" i="167"/>
  <c r="H80" i="167"/>
  <c r="N79" i="167"/>
  <c r="M79" i="167"/>
  <c r="L79" i="167"/>
  <c r="K79" i="167"/>
  <c r="H79" i="167"/>
  <c r="N78" i="167"/>
  <c r="M78" i="167"/>
  <c r="L78" i="167"/>
  <c r="K78" i="167"/>
  <c r="H78" i="167"/>
  <c r="N77" i="167"/>
  <c r="M77" i="167"/>
  <c r="L77" i="167"/>
  <c r="K77" i="167"/>
  <c r="H77" i="167"/>
  <c r="N76" i="167"/>
  <c r="M76" i="167"/>
  <c r="L76" i="167"/>
  <c r="K76" i="167"/>
  <c r="H76" i="167"/>
  <c r="N75" i="167"/>
  <c r="M75" i="167"/>
  <c r="L75" i="167"/>
  <c r="K75" i="167"/>
  <c r="H75" i="167"/>
  <c r="N74" i="167"/>
  <c r="M74" i="167"/>
  <c r="L74" i="167"/>
  <c r="K74" i="167"/>
  <c r="H74" i="167"/>
  <c r="N73" i="167"/>
  <c r="M73" i="167"/>
  <c r="L73" i="167"/>
  <c r="K73" i="167"/>
  <c r="H73" i="167"/>
  <c r="N72" i="167"/>
  <c r="M72" i="167"/>
  <c r="L72" i="167"/>
  <c r="K72" i="167"/>
  <c r="H72" i="167"/>
  <c r="N71" i="167"/>
  <c r="M71" i="167"/>
  <c r="L71" i="167"/>
  <c r="K71" i="167"/>
  <c r="H71" i="167"/>
  <c r="N70" i="167"/>
  <c r="M70" i="167"/>
  <c r="L70" i="167"/>
  <c r="K70" i="167"/>
  <c r="H70" i="167"/>
  <c r="N69" i="167"/>
  <c r="M69" i="167"/>
  <c r="L69" i="167"/>
  <c r="K69" i="167"/>
  <c r="H69" i="167"/>
  <c r="N68" i="167"/>
  <c r="M68" i="167"/>
  <c r="L68" i="167"/>
  <c r="K68" i="167"/>
  <c r="H68" i="167"/>
  <c r="N67" i="167"/>
  <c r="M67" i="167"/>
  <c r="L67" i="167"/>
  <c r="K67" i="167"/>
  <c r="H67" i="167"/>
  <c r="N66" i="167"/>
  <c r="M66" i="167"/>
  <c r="L66" i="167"/>
  <c r="K66" i="167"/>
  <c r="H66" i="167"/>
  <c r="N65" i="167"/>
  <c r="M65" i="167"/>
  <c r="L65" i="167"/>
  <c r="K65" i="167"/>
  <c r="H65" i="167"/>
  <c r="N64" i="167"/>
  <c r="M64" i="167"/>
  <c r="L64" i="167"/>
  <c r="K64" i="167"/>
  <c r="H64" i="167"/>
  <c r="N63" i="167"/>
  <c r="M63" i="167"/>
  <c r="L63" i="167"/>
  <c r="K63" i="167"/>
  <c r="H63" i="167"/>
  <c r="N62" i="167"/>
  <c r="M62" i="167"/>
  <c r="L62" i="167"/>
  <c r="K62" i="167"/>
  <c r="H62" i="167"/>
  <c r="N61" i="167"/>
  <c r="M61" i="167"/>
  <c r="L61" i="167"/>
  <c r="K61" i="167"/>
  <c r="H61" i="167"/>
  <c r="N60" i="167"/>
  <c r="M60" i="167"/>
  <c r="L60" i="167"/>
  <c r="K60" i="167"/>
  <c r="H60" i="167"/>
  <c r="N59" i="167"/>
  <c r="M59" i="167"/>
  <c r="L59" i="167"/>
  <c r="K59" i="167"/>
  <c r="H59" i="167"/>
  <c r="N58" i="167"/>
  <c r="M58" i="167"/>
  <c r="L58" i="167"/>
  <c r="K58" i="167"/>
  <c r="H58" i="167"/>
  <c r="N57" i="167"/>
  <c r="M57" i="167"/>
  <c r="L57" i="167"/>
  <c r="K57" i="167"/>
  <c r="H57" i="167"/>
  <c r="N56" i="167"/>
  <c r="M56" i="167"/>
  <c r="L56" i="167"/>
  <c r="K56" i="167"/>
  <c r="H56" i="167"/>
  <c r="N55" i="167"/>
  <c r="M55" i="167"/>
  <c r="L55" i="167"/>
  <c r="K55" i="167"/>
  <c r="H55" i="167"/>
  <c r="N54" i="167"/>
  <c r="M54" i="167"/>
  <c r="L54" i="167"/>
  <c r="K54" i="167"/>
  <c r="H54" i="167"/>
  <c r="N53" i="167"/>
  <c r="M53" i="167"/>
  <c r="L53" i="167"/>
  <c r="K53" i="167"/>
  <c r="H53" i="167"/>
  <c r="N52" i="167"/>
  <c r="M52" i="167"/>
  <c r="L52" i="167"/>
  <c r="K52" i="167"/>
  <c r="H52" i="167"/>
  <c r="N51" i="167"/>
  <c r="M51" i="167"/>
  <c r="L51" i="167"/>
  <c r="K51" i="167"/>
  <c r="H51" i="167"/>
  <c r="N50" i="167"/>
  <c r="M50" i="167"/>
  <c r="L50" i="167"/>
  <c r="K50" i="167"/>
  <c r="H50" i="167"/>
  <c r="N49" i="167"/>
  <c r="M49" i="167"/>
  <c r="L49" i="167"/>
  <c r="K49" i="167"/>
  <c r="H49" i="167"/>
  <c r="N48" i="167"/>
  <c r="M48" i="167"/>
  <c r="L48" i="167"/>
  <c r="K48" i="167"/>
  <c r="H48" i="167"/>
  <c r="N47" i="167"/>
  <c r="M47" i="167"/>
  <c r="L47" i="167"/>
  <c r="K47" i="167"/>
  <c r="H47" i="167"/>
  <c r="N46" i="167"/>
  <c r="M46" i="167"/>
  <c r="L46" i="167"/>
  <c r="K46" i="167"/>
  <c r="H46" i="167"/>
  <c r="N45" i="167"/>
  <c r="M45" i="167"/>
  <c r="L45" i="167"/>
  <c r="K45" i="167"/>
  <c r="H45" i="167"/>
  <c r="N44" i="167"/>
  <c r="M44" i="167"/>
  <c r="L44" i="167"/>
  <c r="K44" i="167"/>
  <c r="H44" i="167"/>
  <c r="N43" i="167"/>
  <c r="M43" i="167"/>
  <c r="L43" i="167"/>
  <c r="K43" i="167"/>
  <c r="H43" i="167"/>
  <c r="N42" i="167"/>
  <c r="M42" i="167"/>
  <c r="L42" i="167"/>
  <c r="K42" i="167"/>
  <c r="H42" i="167"/>
  <c r="N41" i="167"/>
  <c r="M41" i="167"/>
  <c r="L41" i="167"/>
  <c r="K41" i="167"/>
  <c r="H41" i="167"/>
  <c r="N40" i="167"/>
  <c r="M40" i="167"/>
  <c r="L40" i="167"/>
  <c r="K40" i="167"/>
  <c r="H40" i="167"/>
  <c r="N39" i="167"/>
  <c r="M39" i="167"/>
  <c r="L39" i="167"/>
  <c r="K39" i="167"/>
  <c r="H39" i="167"/>
  <c r="N38" i="167"/>
  <c r="M38" i="167"/>
  <c r="L38" i="167"/>
  <c r="K38" i="167"/>
  <c r="H38" i="167"/>
  <c r="N37" i="167"/>
  <c r="M37" i="167"/>
  <c r="L37" i="167"/>
  <c r="K37" i="167"/>
  <c r="H37" i="167"/>
  <c r="N36" i="167"/>
  <c r="M36" i="167"/>
  <c r="L36" i="167"/>
  <c r="K36" i="167"/>
  <c r="H36" i="167"/>
  <c r="N35" i="167"/>
  <c r="M35" i="167"/>
  <c r="L35" i="167"/>
  <c r="K35" i="167"/>
  <c r="H35" i="167"/>
  <c r="N34" i="167"/>
  <c r="M34" i="167"/>
  <c r="L34" i="167"/>
  <c r="K34" i="167"/>
  <c r="H34" i="167"/>
  <c r="N33" i="167"/>
  <c r="M33" i="167"/>
  <c r="L33" i="167"/>
  <c r="K33" i="167"/>
  <c r="H33" i="167"/>
  <c r="N32" i="167"/>
  <c r="M32" i="167"/>
  <c r="L32" i="167"/>
  <c r="K32" i="167"/>
  <c r="H32" i="167"/>
  <c r="N31" i="167"/>
  <c r="M31" i="167"/>
  <c r="L31" i="167"/>
  <c r="K31" i="167"/>
  <c r="H31" i="167"/>
  <c r="N30" i="167"/>
  <c r="M30" i="167"/>
  <c r="L30" i="167"/>
  <c r="K30" i="167"/>
  <c r="H30" i="167"/>
  <c r="N29" i="167"/>
  <c r="M29" i="167"/>
  <c r="L29" i="167"/>
  <c r="K29" i="167"/>
  <c r="H29" i="167"/>
  <c r="N28" i="167"/>
  <c r="M28" i="167"/>
  <c r="L28" i="167"/>
  <c r="K28" i="167"/>
  <c r="H28" i="167"/>
  <c r="N27" i="167"/>
  <c r="M27" i="167"/>
  <c r="L27" i="167"/>
  <c r="K27" i="167"/>
  <c r="H27" i="167"/>
  <c r="N26" i="167"/>
  <c r="M26" i="167"/>
  <c r="L26" i="167"/>
  <c r="K26" i="167"/>
  <c r="H26" i="167"/>
  <c r="N25" i="167"/>
  <c r="M25" i="167"/>
  <c r="L25" i="167"/>
  <c r="K25" i="167"/>
  <c r="H25" i="167"/>
  <c r="N24" i="167"/>
  <c r="M24" i="167"/>
  <c r="L24" i="167"/>
  <c r="K24" i="167"/>
  <c r="H24" i="167"/>
  <c r="N23" i="167"/>
  <c r="M23" i="167"/>
  <c r="L23" i="167"/>
  <c r="K23" i="167"/>
  <c r="H23" i="167"/>
  <c r="N22" i="167"/>
  <c r="M22" i="167"/>
  <c r="L22" i="167"/>
  <c r="K22" i="167"/>
  <c r="H22" i="167"/>
  <c r="N21" i="167"/>
  <c r="M21" i="167"/>
  <c r="L21" i="167"/>
  <c r="K21" i="167"/>
  <c r="H21" i="167"/>
  <c r="N20" i="167"/>
  <c r="M20" i="167"/>
  <c r="L20" i="167"/>
  <c r="K20" i="167"/>
  <c r="H20" i="167"/>
  <c r="N19" i="167"/>
  <c r="M19" i="167"/>
  <c r="L19" i="167"/>
  <c r="K19" i="167"/>
  <c r="H19" i="167"/>
  <c r="N18" i="167"/>
  <c r="M18" i="167"/>
  <c r="L18" i="167"/>
  <c r="K18" i="167"/>
  <c r="H18" i="167"/>
  <c r="N17" i="167"/>
  <c r="M17" i="167"/>
  <c r="L17" i="167"/>
  <c r="K17" i="167"/>
  <c r="H17" i="167"/>
  <c r="N16" i="167"/>
  <c r="M16" i="167"/>
  <c r="L16" i="167"/>
  <c r="K16" i="167"/>
  <c r="H16" i="167"/>
  <c r="N15" i="167"/>
  <c r="M15" i="167"/>
  <c r="L15" i="167"/>
  <c r="K15" i="167"/>
  <c r="H15" i="167"/>
  <c r="N14" i="167"/>
  <c r="M14" i="167"/>
  <c r="L14" i="167"/>
  <c r="K14" i="167"/>
  <c r="H14" i="167"/>
  <c r="N13" i="167"/>
  <c r="M13" i="167"/>
  <c r="L13" i="167"/>
  <c r="K13" i="167"/>
  <c r="H13" i="167"/>
  <c r="N12" i="167"/>
  <c r="M12" i="167"/>
  <c r="L12" i="167"/>
  <c r="K12" i="167"/>
  <c r="H12" i="167"/>
  <c r="N11" i="167"/>
  <c r="M11" i="167"/>
  <c r="L11" i="167"/>
  <c r="K11" i="167"/>
  <c r="H11" i="167"/>
  <c r="N10" i="167"/>
  <c r="M10" i="167"/>
  <c r="L10" i="167"/>
  <c r="K10" i="167"/>
  <c r="H10" i="167"/>
  <c r="N9" i="167"/>
  <c r="M9" i="167"/>
  <c r="L9" i="167"/>
  <c r="K9" i="167"/>
  <c r="H9" i="167"/>
  <c r="N8" i="167"/>
  <c r="M8" i="167"/>
  <c r="L8" i="167"/>
  <c r="K8" i="167"/>
  <c r="H8" i="167"/>
  <c r="N7" i="167"/>
  <c r="M7" i="167"/>
  <c r="L7" i="167"/>
  <c r="K7" i="167"/>
  <c r="H7" i="167"/>
  <c r="N6" i="167"/>
  <c r="M6" i="167"/>
  <c r="L6" i="167"/>
  <c r="K6" i="167"/>
  <c r="H6" i="167"/>
  <c r="N5" i="167"/>
  <c r="M5" i="167"/>
  <c r="L5" i="167"/>
  <c r="K5" i="167"/>
  <c r="H5" i="167"/>
  <c r="N4" i="167"/>
  <c r="M4" i="167"/>
  <c r="L4" i="167"/>
  <c r="K4" i="167"/>
  <c r="H4" i="167"/>
  <c r="N3" i="167"/>
  <c r="M3" i="167"/>
  <c r="L3" i="167"/>
  <c r="K3" i="167"/>
  <c r="H3" i="167"/>
  <c r="N2" i="167"/>
  <c r="M2" i="167"/>
  <c r="L2" i="167"/>
  <c r="K2" i="167"/>
  <c r="H2" i="167"/>
  <c r="I314" i="165"/>
  <c r="D314" i="165"/>
  <c r="J314" i="165"/>
  <c r="E314" i="165"/>
  <c r="C314" i="165"/>
  <c r="I2" i="165"/>
  <c r="J2" i="165"/>
  <c r="D2" i="165"/>
  <c r="E2" i="165"/>
  <c r="C2" i="165"/>
  <c r="I3" i="165"/>
  <c r="J3" i="165"/>
  <c r="D3" i="165"/>
  <c r="E3" i="165"/>
  <c r="C3" i="165"/>
  <c r="I4" i="165"/>
  <c r="J4" i="165"/>
  <c r="D4" i="165"/>
  <c r="E4" i="165"/>
  <c r="C4" i="165"/>
  <c r="I5" i="165"/>
  <c r="J5" i="165"/>
  <c r="D5" i="165"/>
  <c r="E5" i="165"/>
  <c r="C5" i="165"/>
  <c r="I6" i="165"/>
  <c r="J6" i="165"/>
  <c r="D6" i="165"/>
  <c r="E6" i="165"/>
  <c r="C6" i="165"/>
  <c r="I7" i="165"/>
  <c r="J7" i="165"/>
  <c r="D7" i="165"/>
  <c r="E7" i="165"/>
  <c r="C7" i="165"/>
  <c r="I8" i="165"/>
  <c r="J8" i="165"/>
  <c r="D8" i="165"/>
  <c r="E8" i="165"/>
  <c r="C8" i="165"/>
  <c r="I9" i="165"/>
  <c r="J9" i="165"/>
  <c r="D9" i="165"/>
  <c r="E9" i="165"/>
  <c r="C9" i="165"/>
  <c r="I10" i="165"/>
  <c r="J10" i="165"/>
  <c r="D10" i="165"/>
  <c r="E10" i="165"/>
  <c r="C10" i="165"/>
  <c r="I11" i="165"/>
  <c r="J11" i="165"/>
  <c r="D11" i="165"/>
  <c r="E11" i="165"/>
  <c r="C11" i="165"/>
  <c r="I12" i="165"/>
  <c r="J12" i="165"/>
  <c r="D12" i="165"/>
  <c r="E12" i="165"/>
  <c r="C12" i="165"/>
  <c r="I13" i="165"/>
  <c r="J13" i="165"/>
  <c r="D13" i="165"/>
  <c r="E13" i="165"/>
  <c r="C13" i="165"/>
  <c r="I14" i="165"/>
  <c r="J14" i="165"/>
  <c r="D14" i="165"/>
  <c r="E14" i="165"/>
  <c r="C14" i="165"/>
  <c r="I15" i="165"/>
  <c r="J15" i="165"/>
  <c r="D15" i="165"/>
  <c r="E15" i="165"/>
  <c r="C15" i="165"/>
  <c r="I16" i="165"/>
  <c r="J16" i="165"/>
  <c r="D16" i="165"/>
  <c r="E16" i="165"/>
  <c r="C16" i="165"/>
  <c r="I17" i="165"/>
  <c r="J17" i="165"/>
  <c r="D17" i="165"/>
  <c r="E17" i="165"/>
  <c r="C17" i="165"/>
  <c r="I18" i="165"/>
  <c r="J18" i="165"/>
  <c r="D18" i="165"/>
  <c r="E18" i="165"/>
  <c r="C18" i="165"/>
  <c r="I19" i="165"/>
  <c r="J19" i="165"/>
  <c r="D19" i="165"/>
  <c r="E19" i="165"/>
  <c r="C19" i="165"/>
  <c r="I20" i="165"/>
  <c r="J20" i="165"/>
  <c r="D20" i="165"/>
  <c r="E20" i="165"/>
  <c r="C20" i="165"/>
  <c r="I21" i="165"/>
  <c r="J21" i="165"/>
  <c r="D21" i="165"/>
  <c r="E21" i="165"/>
  <c r="C21" i="165"/>
  <c r="I22" i="165"/>
  <c r="J22" i="165"/>
  <c r="D22" i="165"/>
  <c r="E22" i="165"/>
  <c r="C22" i="165"/>
  <c r="I23" i="165"/>
  <c r="J23" i="165"/>
  <c r="D23" i="165"/>
  <c r="E23" i="165"/>
  <c r="C23" i="165"/>
  <c r="I24" i="165"/>
  <c r="J24" i="165"/>
  <c r="D24" i="165"/>
  <c r="E24" i="165"/>
  <c r="C24" i="165"/>
  <c r="I25" i="165"/>
  <c r="J25" i="165"/>
  <c r="D25" i="165"/>
  <c r="E25" i="165"/>
  <c r="C25" i="165"/>
  <c r="I26" i="165"/>
  <c r="J26" i="165"/>
  <c r="D26" i="165"/>
  <c r="E26" i="165"/>
  <c r="C26" i="165"/>
  <c r="I27" i="165"/>
  <c r="J27" i="165"/>
  <c r="D27" i="165"/>
  <c r="E27" i="165"/>
  <c r="C27" i="165"/>
  <c r="I28" i="165"/>
  <c r="J28" i="165"/>
  <c r="D28" i="165"/>
  <c r="E28" i="165"/>
  <c r="C28" i="165"/>
  <c r="I29" i="165"/>
  <c r="J29" i="165"/>
  <c r="D29" i="165"/>
  <c r="E29" i="165"/>
  <c r="C29" i="165"/>
  <c r="I30" i="165"/>
  <c r="J30" i="165"/>
  <c r="D30" i="165"/>
  <c r="E30" i="165"/>
  <c r="C30" i="165"/>
  <c r="I31" i="165"/>
  <c r="J31" i="165"/>
  <c r="D31" i="165"/>
  <c r="E31" i="165"/>
  <c r="C31" i="165"/>
  <c r="I32" i="165"/>
  <c r="J32" i="165"/>
  <c r="D32" i="165"/>
  <c r="E32" i="165"/>
  <c r="C32" i="165"/>
  <c r="I33" i="165"/>
  <c r="J33" i="165"/>
  <c r="D33" i="165"/>
  <c r="E33" i="165"/>
  <c r="C33" i="165"/>
  <c r="I34" i="165"/>
  <c r="J34" i="165"/>
  <c r="D34" i="165"/>
  <c r="E34" i="165"/>
  <c r="C34" i="165"/>
  <c r="I35" i="165"/>
  <c r="J35" i="165"/>
  <c r="D35" i="165"/>
  <c r="E35" i="165"/>
  <c r="C35" i="165"/>
  <c r="I36" i="165"/>
  <c r="J36" i="165"/>
  <c r="D36" i="165"/>
  <c r="E36" i="165"/>
  <c r="C36" i="165"/>
  <c r="I37" i="165"/>
  <c r="J37" i="165"/>
  <c r="D37" i="165"/>
  <c r="E37" i="165"/>
  <c r="C37" i="165"/>
  <c r="I38" i="165"/>
  <c r="J38" i="165"/>
  <c r="D38" i="165"/>
  <c r="E38" i="165"/>
  <c r="C38" i="165"/>
  <c r="I39" i="165"/>
  <c r="J39" i="165"/>
  <c r="D39" i="165"/>
  <c r="E39" i="165"/>
  <c r="C39" i="165"/>
  <c r="I40" i="165"/>
  <c r="J40" i="165"/>
  <c r="D40" i="165"/>
  <c r="E40" i="165"/>
  <c r="C40" i="165"/>
  <c r="I41" i="165"/>
  <c r="J41" i="165"/>
  <c r="D41" i="165"/>
  <c r="E41" i="165"/>
  <c r="C41" i="165"/>
  <c r="I42" i="165"/>
  <c r="D42" i="165"/>
  <c r="J42" i="165"/>
  <c r="E42" i="165"/>
  <c r="C42" i="165"/>
  <c r="I43" i="165"/>
  <c r="D43" i="165"/>
  <c r="J43" i="165"/>
  <c r="E43" i="165"/>
  <c r="C43" i="165"/>
  <c r="I44" i="165"/>
  <c r="D44" i="165"/>
  <c r="J44" i="165"/>
  <c r="E44" i="165"/>
  <c r="C44" i="165"/>
  <c r="I45" i="165"/>
  <c r="D45" i="165"/>
  <c r="J45" i="165"/>
  <c r="E45" i="165"/>
  <c r="C45" i="165"/>
  <c r="I46" i="165"/>
  <c r="D46" i="165"/>
  <c r="J46" i="165"/>
  <c r="E46" i="165"/>
  <c r="C46" i="165"/>
  <c r="I47" i="165"/>
  <c r="D47" i="165"/>
  <c r="J47" i="165"/>
  <c r="E47" i="165"/>
  <c r="C47" i="165"/>
  <c r="I48" i="165"/>
  <c r="D48" i="165"/>
  <c r="J48" i="165"/>
  <c r="E48" i="165"/>
  <c r="C48" i="165"/>
  <c r="I49" i="165"/>
  <c r="D49" i="165"/>
  <c r="J49" i="165"/>
  <c r="E49" i="165"/>
  <c r="C49" i="165"/>
  <c r="I50" i="165"/>
  <c r="D50" i="165"/>
  <c r="J50" i="165"/>
  <c r="E50" i="165"/>
  <c r="C50" i="165"/>
  <c r="I51" i="165"/>
  <c r="D51" i="165"/>
  <c r="J51" i="165"/>
  <c r="E51" i="165"/>
  <c r="C51" i="165"/>
  <c r="I52" i="165"/>
  <c r="D52" i="165"/>
  <c r="J52" i="165"/>
  <c r="E52" i="165"/>
  <c r="C52" i="165"/>
  <c r="I53" i="165"/>
  <c r="D53" i="165"/>
  <c r="J53" i="165"/>
  <c r="E53" i="165"/>
  <c r="C53" i="165"/>
  <c r="I54" i="165"/>
  <c r="D54" i="165"/>
  <c r="J54" i="165"/>
  <c r="E54" i="165"/>
  <c r="C54" i="165"/>
  <c r="I55" i="165"/>
  <c r="D55" i="165"/>
  <c r="J55" i="165"/>
  <c r="E55" i="165"/>
  <c r="C55" i="165"/>
  <c r="I56" i="165"/>
  <c r="D56" i="165"/>
  <c r="J56" i="165"/>
  <c r="E56" i="165"/>
  <c r="C56" i="165"/>
  <c r="I57" i="165"/>
  <c r="D57" i="165"/>
  <c r="J57" i="165"/>
  <c r="E57" i="165"/>
  <c r="C57" i="165"/>
  <c r="I58" i="165"/>
  <c r="D58" i="165"/>
  <c r="J58" i="165"/>
  <c r="E58" i="165"/>
  <c r="C58" i="165"/>
  <c r="I59" i="165"/>
  <c r="D59" i="165"/>
  <c r="J59" i="165"/>
  <c r="E59" i="165"/>
  <c r="C59" i="165"/>
  <c r="I60" i="165"/>
  <c r="D60" i="165"/>
  <c r="J60" i="165"/>
  <c r="E60" i="165"/>
  <c r="C60" i="165"/>
  <c r="I61" i="165"/>
  <c r="D61" i="165"/>
  <c r="J61" i="165"/>
  <c r="E61" i="165"/>
  <c r="C61" i="165"/>
  <c r="I62" i="165"/>
  <c r="D62" i="165"/>
  <c r="J62" i="165"/>
  <c r="E62" i="165"/>
  <c r="C62" i="165"/>
  <c r="I63" i="165"/>
  <c r="D63" i="165"/>
  <c r="J63" i="165"/>
  <c r="E63" i="165"/>
  <c r="C63" i="165"/>
  <c r="I64" i="165"/>
  <c r="D64" i="165"/>
  <c r="J64" i="165"/>
  <c r="E64" i="165"/>
  <c r="C64" i="165"/>
  <c r="I65" i="165"/>
  <c r="D65" i="165"/>
  <c r="J65" i="165"/>
  <c r="E65" i="165"/>
  <c r="C65" i="165"/>
  <c r="I66" i="165"/>
  <c r="D66" i="165"/>
  <c r="J66" i="165"/>
  <c r="E66" i="165"/>
  <c r="C66" i="165"/>
  <c r="I67" i="165"/>
  <c r="D67" i="165"/>
  <c r="J67" i="165"/>
  <c r="E67" i="165"/>
  <c r="C67" i="165"/>
  <c r="I68" i="165"/>
  <c r="D68" i="165"/>
  <c r="J68" i="165"/>
  <c r="E68" i="165"/>
  <c r="C68" i="165"/>
  <c r="I69" i="165"/>
  <c r="D69" i="165"/>
  <c r="J69" i="165"/>
  <c r="E69" i="165"/>
  <c r="C69" i="165"/>
  <c r="I70" i="165"/>
  <c r="D70" i="165"/>
  <c r="J70" i="165"/>
  <c r="E70" i="165"/>
  <c r="C70" i="165"/>
  <c r="I71" i="165"/>
  <c r="D71" i="165"/>
  <c r="J71" i="165"/>
  <c r="E71" i="165"/>
  <c r="C71" i="165"/>
  <c r="I72" i="165"/>
  <c r="D72" i="165"/>
  <c r="J72" i="165"/>
  <c r="E72" i="165"/>
  <c r="C72" i="165"/>
  <c r="I73" i="165"/>
  <c r="D73" i="165"/>
  <c r="J73" i="165"/>
  <c r="E73" i="165"/>
  <c r="C73" i="165"/>
  <c r="I74" i="165"/>
  <c r="D74" i="165"/>
  <c r="J74" i="165"/>
  <c r="E74" i="165"/>
  <c r="C74" i="165"/>
  <c r="I75" i="165"/>
  <c r="D75" i="165"/>
  <c r="J75" i="165"/>
  <c r="E75" i="165"/>
  <c r="C75" i="165"/>
  <c r="I76" i="165"/>
  <c r="D76" i="165"/>
  <c r="J76" i="165"/>
  <c r="E76" i="165"/>
  <c r="C76" i="165"/>
  <c r="I77" i="165"/>
  <c r="D77" i="165"/>
  <c r="J77" i="165"/>
  <c r="E77" i="165"/>
  <c r="C77" i="165"/>
  <c r="I78" i="165"/>
  <c r="D78" i="165"/>
  <c r="J78" i="165"/>
  <c r="E78" i="165"/>
  <c r="C78" i="165"/>
  <c r="I79" i="165"/>
  <c r="D79" i="165"/>
  <c r="J79" i="165"/>
  <c r="E79" i="165"/>
  <c r="C79" i="165"/>
  <c r="I80" i="165"/>
  <c r="D80" i="165"/>
  <c r="J80" i="165"/>
  <c r="E80" i="165"/>
  <c r="C80" i="165"/>
  <c r="I81" i="165"/>
  <c r="D81" i="165"/>
  <c r="J81" i="165"/>
  <c r="E81" i="165"/>
  <c r="C81" i="165"/>
  <c r="I82" i="165"/>
  <c r="D82" i="165"/>
  <c r="J82" i="165"/>
  <c r="E82" i="165"/>
  <c r="C82" i="165"/>
  <c r="I83" i="165"/>
  <c r="D83" i="165"/>
  <c r="J83" i="165"/>
  <c r="E83" i="165"/>
  <c r="C83" i="165"/>
  <c r="I84" i="165"/>
  <c r="D84" i="165"/>
  <c r="J84" i="165"/>
  <c r="E84" i="165"/>
  <c r="C84" i="165"/>
  <c r="I85" i="165"/>
  <c r="D85" i="165"/>
  <c r="J85" i="165"/>
  <c r="E85" i="165"/>
  <c r="C85" i="165"/>
  <c r="I86" i="165"/>
  <c r="D86" i="165"/>
  <c r="J86" i="165"/>
  <c r="E86" i="165"/>
  <c r="C86" i="165"/>
  <c r="I87" i="165"/>
  <c r="D87" i="165"/>
  <c r="J87" i="165"/>
  <c r="E87" i="165"/>
  <c r="C87" i="165"/>
  <c r="I88" i="165"/>
  <c r="D88" i="165"/>
  <c r="J88" i="165"/>
  <c r="E88" i="165"/>
  <c r="C88" i="165"/>
  <c r="I89" i="165"/>
  <c r="D89" i="165"/>
  <c r="J89" i="165"/>
  <c r="E89" i="165"/>
  <c r="C89" i="165"/>
  <c r="I90" i="165"/>
  <c r="D90" i="165"/>
  <c r="J90" i="165"/>
  <c r="E90" i="165"/>
  <c r="C90" i="165"/>
  <c r="I91" i="165"/>
  <c r="D91" i="165"/>
  <c r="J91" i="165"/>
  <c r="E91" i="165"/>
  <c r="C91" i="165"/>
  <c r="I92" i="165"/>
  <c r="D92" i="165"/>
  <c r="J92" i="165"/>
  <c r="E92" i="165"/>
  <c r="C92" i="165"/>
  <c r="I93" i="165"/>
  <c r="D93" i="165"/>
  <c r="J93" i="165"/>
  <c r="E93" i="165"/>
  <c r="C93" i="165"/>
  <c r="I94" i="165"/>
  <c r="D94" i="165"/>
  <c r="J94" i="165"/>
  <c r="E94" i="165"/>
  <c r="C94" i="165"/>
  <c r="I95" i="165"/>
  <c r="D95" i="165"/>
  <c r="J95" i="165"/>
  <c r="E95" i="165"/>
  <c r="C95" i="165"/>
  <c r="I96" i="165"/>
  <c r="D96" i="165"/>
  <c r="J96" i="165"/>
  <c r="E96" i="165"/>
  <c r="C96" i="165"/>
  <c r="I97" i="165"/>
  <c r="D97" i="165"/>
  <c r="J97" i="165"/>
  <c r="E97" i="165"/>
  <c r="C97" i="165"/>
  <c r="I98" i="165"/>
  <c r="D98" i="165"/>
  <c r="J98" i="165"/>
  <c r="E98" i="165"/>
  <c r="C98" i="165"/>
  <c r="I99" i="165"/>
  <c r="D99" i="165"/>
  <c r="J99" i="165"/>
  <c r="E99" i="165"/>
  <c r="C99" i="165"/>
  <c r="I100" i="165"/>
  <c r="D100" i="165"/>
  <c r="J100" i="165"/>
  <c r="E100" i="165"/>
  <c r="C100" i="165"/>
  <c r="I101" i="165"/>
  <c r="D101" i="165"/>
  <c r="J101" i="165"/>
  <c r="E101" i="165"/>
  <c r="C101" i="165"/>
  <c r="I102" i="165"/>
  <c r="D102" i="165"/>
  <c r="J102" i="165"/>
  <c r="E102" i="165"/>
  <c r="C102" i="165"/>
  <c r="I103" i="165"/>
  <c r="D103" i="165"/>
  <c r="J103" i="165"/>
  <c r="E103" i="165"/>
  <c r="C103" i="165"/>
  <c r="I104" i="165"/>
  <c r="D104" i="165"/>
  <c r="J104" i="165"/>
  <c r="E104" i="165"/>
  <c r="C104" i="165"/>
  <c r="I105" i="165"/>
  <c r="D105" i="165"/>
  <c r="J105" i="165"/>
  <c r="E105" i="165"/>
  <c r="C105" i="165"/>
  <c r="I106" i="165"/>
  <c r="D106" i="165"/>
  <c r="J106" i="165"/>
  <c r="E106" i="165"/>
  <c r="C106" i="165"/>
  <c r="I107" i="165"/>
  <c r="D107" i="165"/>
  <c r="J107" i="165"/>
  <c r="E107" i="165"/>
  <c r="C107" i="165"/>
  <c r="I108" i="165"/>
  <c r="D108" i="165"/>
  <c r="J108" i="165"/>
  <c r="E108" i="165"/>
  <c r="C108" i="165"/>
  <c r="I109" i="165"/>
  <c r="D109" i="165"/>
  <c r="J109" i="165"/>
  <c r="E109" i="165"/>
  <c r="C109" i="165"/>
  <c r="I110" i="165"/>
  <c r="D110" i="165"/>
  <c r="J110" i="165"/>
  <c r="E110" i="165"/>
  <c r="C110" i="165"/>
  <c r="I111" i="165"/>
  <c r="D111" i="165"/>
  <c r="J111" i="165"/>
  <c r="E111" i="165"/>
  <c r="C111" i="165"/>
  <c r="I112" i="165"/>
  <c r="D112" i="165"/>
  <c r="J112" i="165"/>
  <c r="E112" i="165"/>
  <c r="C112" i="165"/>
  <c r="I113" i="165"/>
  <c r="D113" i="165"/>
  <c r="J113" i="165"/>
  <c r="E113" i="165"/>
  <c r="C113" i="165"/>
  <c r="I114" i="165"/>
  <c r="D114" i="165"/>
  <c r="J114" i="165"/>
  <c r="E114" i="165"/>
  <c r="C114" i="165"/>
  <c r="I115" i="165"/>
  <c r="D115" i="165"/>
  <c r="J115" i="165"/>
  <c r="E115" i="165"/>
  <c r="C115" i="165"/>
  <c r="I116" i="165"/>
  <c r="D116" i="165"/>
  <c r="J116" i="165"/>
  <c r="E116" i="165"/>
  <c r="C116" i="165"/>
  <c r="I117" i="165"/>
  <c r="D117" i="165"/>
  <c r="J117" i="165"/>
  <c r="E117" i="165"/>
  <c r="C117" i="165"/>
  <c r="I118" i="165"/>
  <c r="D118" i="165"/>
  <c r="J118" i="165"/>
  <c r="E118" i="165"/>
  <c r="C118" i="165"/>
  <c r="I119" i="165"/>
  <c r="D119" i="165"/>
  <c r="J119" i="165"/>
  <c r="E119" i="165"/>
  <c r="C119" i="165"/>
  <c r="I120" i="165"/>
  <c r="D120" i="165"/>
  <c r="J120" i="165"/>
  <c r="E120" i="165"/>
  <c r="C120" i="165"/>
  <c r="I121" i="165"/>
  <c r="D121" i="165"/>
  <c r="J121" i="165"/>
  <c r="E121" i="165"/>
  <c r="C121" i="165"/>
  <c r="I122" i="165"/>
  <c r="D122" i="165"/>
  <c r="J122" i="165"/>
  <c r="E122" i="165"/>
  <c r="C122" i="165"/>
  <c r="I123" i="165"/>
  <c r="D123" i="165"/>
  <c r="J123" i="165"/>
  <c r="E123" i="165"/>
  <c r="C123" i="165"/>
  <c r="I124" i="165"/>
  <c r="D124" i="165"/>
  <c r="J124" i="165"/>
  <c r="E124" i="165"/>
  <c r="C124" i="165"/>
  <c r="I125" i="165"/>
  <c r="D125" i="165"/>
  <c r="J125" i="165"/>
  <c r="E125" i="165"/>
  <c r="C125" i="165"/>
  <c r="I126" i="165"/>
  <c r="D126" i="165"/>
  <c r="J126" i="165"/>
  <c r="E126" i="165"/>
  <c r="C126" i="165"/>
  <c r="I127" i="165"/>
  <c r="D127" i="165"/>
  <c r="J127" i="165"/>
  <c r="E127" i="165"/>
  <c r="C127" i="165"/>
  <c r="I128" i="165"/>
  <c r="D128" i="165"/>
  <c r="J128" i="165"/>
  <c r="E128" i="165"/>
  <c r="C128" i="165"/>
  <c r="I129" i="165"/>
  <c r="D129" i="165"/>
  <c r="J129" i="165"/>
  <c r="E129" i="165"/>
  <c r="C129" i="165"/>
  <c r="I130" i="165"/>
  <c r="D130" i="165"/>
  <c r="J130" i="165"/>
  <c r="E130" i="165"/>
  <c r="C130" i="165"/>
  <c r="I131" i="165"/>
  <c r="D131" i="165"/>
  <c r="J131" i="165"/>
  <c r="E131" i="165"/>
  <c r="C131" i="165"/>
  <c r="I132" i="165"/>
  <c r="D132" i="165"/>
  <c r="J132" i="165"/>
  <c r="E132" i="165"/>
  <c r="C132" i="165"/>
  <c r="I133" i="165"/>
  <c r="D133" i="165"/>
  <c r="J133" i="165"/>
  <c r="E133" i="165"/>
  <c r="C133" i="165"/>
  <c r="I134" i="165"/>
  <c r="D134" i="165"/>
  <c r="J134" i="165"/>
  <c r="E134" i="165"/>
  <c r="C134" i="165"/>
  <c r="I135" i="165"/>
  <c r="D135" i="165"/>
  <c r="J135" i="165"/>
  <c r="E135" i="165"/>
  <c r="C135" i="165"/>
  <c r="I136" i="165"/>
  <c r="D136" i="165"/>
  <c r="J136" i="165"/>
  <c r="E136" i="165"/>
  <c r="C136" i="165"/>
  <c r="I137" i="165"/>
  <c r="D137" i="165"/>
  <c r="J137" i="165"/>
  <c r="E137" i="165"/>
  <c r="C137" i="165"/>
  <c r="I138" i="165"/>
  <c r="D138" i="165"/>
  <c r="J138" i="165"/>
  <c r="E138" i="165"/>
  <c r="C138" i="165"/>
  <c r="I139" i="165"/>
  <c r="D139" i="165"/>
  <c r="J139" i="165"/>
  <c r="E139" i="165"/>
  <c r="C139" i="165"/>
  <c r="I140" i="165"/>
  <c r="D140" i="165"/>
  <c r="J140" i="165"/>
  <c r="E140" i="165"/>
  <c r="C140" i="165"/>
  <c r="I141" i="165"/>
  <c r="D141" i="165"/>
  <c r="J141" i="165"/>
  <c r="E141" i="165"/>
  <c r="C141" i="165"/>
  <c r="I142" i="165"/>
  <c r="D142" i="165"/>
  <c r="J142" i="165"/>
  <c r="E142" i="165"/>
  <c r="C142" i="165"/>
  <c r="I143" i="165"/>
  <c r="D143" i="165"/>
  <c r="J143" i="165"/>
  <c r="E143" i="165"/>
  <c r="C143" i="165"/>
  <c r="I144" i="165"/>
  <c r="D144" i="165"/>
  <c r="J144" i="165"/>
  <c r="E144" i="165"/>
  <c r="C144" i="165"/>
  <c r="I145" i="165"/>
  <c r="D145" i="165"/>
  <c r="J145" i="165"/>
  <c r="E145" i="165"/>
  <c r="C145" i="165"/>
  <c r="I146" i="165"/>
  <c r="D146" i="165"/>
  <c r="J146" i="165"/>
  <c r="E146" i="165"/>
  <c r="C146" i="165"/>
  <c r="I147" i="165"/>
  <c r="D147" i="165"/>
  <c r="J147" i="165"/>
  <c r="E147" i="165"/>
  <c r="C147" i="165"/>
  <c r="I148" i="165"/>
  <c r="D148" i="165"/>
  <c r="J148" i="165"/>
  <c r="E148" i="165"/>
  <c r="C148" i="165"/>
  <c r="I149" i="165"/>
  <c r="D149" i="165"/>
  <c r="J149" i="165"/>
  <c r="E149" i="165"/>
  <c r="C149" i="165"/>
  <c r="I150" i="165"/>
  <c r="D150" i="165"/>
  <c r="J150" i="165"/>
  <c r="E150" i="165"/>
  <c r="C150" i="165"/>
  <c r="I151" i="165"/>
  <c r="D151" i="165"/>
  <c r="J151" i="165"/>
  <c r="E151" i="165"/>
  <c r="C151" i="165"/>
  <c r="I152" i="165"/>
  <c r="D152" i="165"/>
  <c r="J152" i="165"/>
  <c r="E152" i="165"/>
  <c r="C152" i="165"/>
  <c r="I153" i="165"/>
  <c r="D153" i="165"/>
  <c r="J153" i="165"/>
  <c r="E153" i="165"/>
  <c r="C153" i="165"/>
  <c r="I154" i="165"/>
  <c r="D154" i="165"/>
  <c r="J154" i="165"/>
  <c r="E154" i="165"/>
  <c r="C154" i="165"/>
  <c r="I155" i="165"/>
  <c r="D155" i="165"/>
  <c r="J155" i="165"/>
  <c r="E155" i="165"/>
  <c r="C155" i="165"/>
  <c r="I156" i="165"/>
  <c r="D156" i="165"/>
  <c r="J156" i="165"/>
  <c r="E156" i="165"/>
  <c r="C156" i="165"/>
  <c r="I157" i="165"/>
  <c r="D157" i="165"/>
  <c r="J157" i="165"/>
  <c r="E157" i="165"/>
  <c r="C157" i="165"/>
  <c r="I158" i="165"/>
  <c r="D158" i="165"/>
  <c r="J158" i="165"/>
  <c r="E158" i="165"/>
  <c r="C158" i="165"/>
  <c r="I159" i="165"/>
  <c r="D159" i="165"/>
  <c r="J159" i="165"/>
  <c r="E159" i="165"/>
  <c r="C159" i="165"/>
  <c r="I160" i="165"/>
  <c r="D160" i="165"/>
  <c r="J160" i="165"/>
  <c r="E160" i="165"/>
  <c r="C160" i="165"/>
  <c r="I161" i="165"/>
  <c r="D161" i="165"/>
  <c r="J161" i="165"/>
  <c r="E161" i="165"/>
  <c r="C161" i="165"/>
  <c r="I162" i="165"/>
  <c r="D162" i="165"/>
  <c r="J162" i="165"/>
  <c r="E162" i="165"/>
  <c r="C162" i="165"/>
  <c r="I163" i="165"/>
  <c r="D163" i="165"/>
  <c r="J163" i="165"/>
  <c r="E163" i="165"/>
  <c r="C163" i="165"/>
  <c r="I164" i="165"/>
  <c r="D164" i="165"/>
  <c r="J164" i="165"/>
  <c r="E164" i="165"/>
  <c r="C164" i="165"/>
  <c r="I165" i="165"/>
  <c r="D165" i="165"/>
  <c r="J165" i="165"/>
  <c r="E165" i="165"/>
  <c r="C165" i="165"/>
  <c r="I166" i="165"/>
  <c r="D166" i="165"/>
  <c r="J166" i="165"/>
  <c r="E166" i="165"/>
  <c r="C166" i="165"/>
  <c r="I167" i="165"/>
  <c r="D167" i="165"/>
  <c r="J167" i="165"/>
  <c r="E167" i="165"/>
  <c r="C167" i="165"/>
  <c r="I168" i="165"/>
  <c r="D168" i="165"/>
  <c r="J168" i="165"/>
  <c r="E168" i="165"/>
  <c r="C168" i="165"/>
  <c r="I169" i="165"/>
  <c r="D169" i="165"/>
  <c r="J169" i="165"/>
  <c r="E169" i="165"/>
  <c r="C169" i="165"/>
  <c r="I170" i="165"/>
  <c r="D170" i="165"/>
  <c r="J170" i="165"/>
  <c r="E170" i="165"/>
  <c r="C170" i="165"/>
  <c r="I171" i="165"/>
  <c r="D171" i="165"/>
  <c r="J171" i="165"/>
  <c r="E171" i="165"/>
  <c r="C171" i="165"/>
  <c r="I172" i="165"/>
  <c r="D172" i="165"/>
  <c r="J172" i="165"/>
  <c r="E172" i="165"/>
  <c r="C172" i="165"/>
  <c r="I173" i="165"/>
  <c r="D173" i="165"/>
  <c r="J173" i="165"/>
  <c r="E173" i="165"/>
  <c r="C173" i="165"/>
  <c r="I174" i="165"/>
  <c r="D174" i="165"/>
  <c r="J174" i="165"/>
  <c r="E174" i="165"/>
  <c r="C174" i="165"/>
  <c r="I175" i="165"/>
  <c r="D175" i="165"/>
  <c r="J175" i="165"/>
  <c r="E175" i="165"/>
  <c r="C175" i="165"/>
  <c r="I176" i="165"/>
  <c r="D176" i="165"/>
  <c r="J176" i="165"/>
  <c r="E176" i="165"/>
  <c r="C176" i="165"/>
  <c r="I177" i="165"/>
  <c r="D177" i="165"/>
  <c r="J177" i="165"/>
  <c r="E177" i="165"/>
  <c r="C177" i="165"/>
  <c r="I178" i="165"/>
  <c r="D178" i="165"/>
  <c r="J178" i="165"/>
  <c r="E178" i="165"/>
  <c r="C178" i="165"/>
  <c r="I179" i="165"/>
  <c r="D179" i="165"/>
  <c r="J179" i="165"/>
  <c r="E179" i="165"/>
  <c r="C179" i="165"/>
  <c r="I180" i="165"/>
  <c r="D180" i="165"/>
  <c r="J180" i="165"/>
  <c r="E180" i="165"/>
  <c r="C180" i="165"/>
  <c r="I181" i="165"/>
  <c r="D181" i="165"/>
  <c r="J181" i="165"/>
  <c r="E181" i="165"/>
  <c r="C181" i="165"/>
  <c r="I182" i="165"/>
  <c r="D182" i="165"/>
  <c r="J182" i="165"/>
  <c r="E182" i="165"/>
  <c r="C182" i="165"/>
  <c r="I183" i="165"/>
  <c r="D183" i="165"/>
  <c r="J183" i="165"/>
  <c r="E183" i="165"/>
  <c r="C183" i="165"/>
  <c r="I184" i="165"/>
  <c r="D184" i="165"/>
  <c r="J184" i="165"/>
  <c r="E184" i="165"/>
  <c r="C184" i="165"/>
  <c r="I185" i="165"/>
  <c r="D185" i="165"/>
  <c r="J185" i="165"/>
  <c r="E185" i="165"/>
  <c r="C185" i="165"/>
  <c r="I186" i="165"/>
  <c r="D186" i="165"/>
  <c r="J186" i="165"/>
  <c r="E186" i="165"/>
  <c r="C186" i="165"/>
  <c r="I187" i="165"/>
  <c r="D187" i="165"/>
  <c r="J187" i="165"/>
  <c r="E187" i="165"/>
  <c r="C187" i="165"/>
  <c r="I188" i="165"/>
  <c r="D188" i="165"/>
  <c r="J188" i="165"/>
  <c r="E188" i="165"/>
  <c r="C188" i="165"/>
  <c r="I189" i="165"/>
  <c r="D189" i="165"/>
  <c r="J189" i="165"/>
  <c r="E189" i="165"/>
  <c r="C189" i="165"/>
  <c r="I190" i="165"/>
  <c r="D190" i="165"/>
  <c r="J190" i="165"/>
  <c r="E190" i="165"/>
  <c r="C190" i="165"/>
  <c r="I191" i="165"/>
  <c r="D191" i="165"/>
  <c r="J191" i="165"/>
  <c r="E191" i="165"/>
  <c r="C191" i="165"/>
  <c r="I192" i="165"/>
  <c r="D192" i="165"/>
  <c r="J192" i="165"/>
  <c r="E192" i="165"/>
  <c r="C192" i="165"/>
  <c r="I193" i="165"/>
  <c r="D193" i="165"/>
  <c r="J193" i="165"/>
  <c r="E193" i="165"/>
  <c r="C193" i="165"/>
  <c r="I194" i="165"/>
  <c r="D194" i="165"/>
  <c r="J194" i="165"/>
  <c r="E194" i="165"/>
  <c r="C194" i="165"/>
  <c r="I195" i="165"/>
  <c r="D195" i="165"/>
  <c r="J195" i="165"/>
  <c r="E195" i="165"/>
  <c r="C195" i="165"/>
  <c r="I196" i="165"/>
  <c r="D196" i="165"/>
  <c r="J196" i="165"/>
  <c r="E196" i="165"/>
  <c r="C196" i="165"/>
  <c r="I197" i="165"/>
  <c r="D197" i="165"/>
  <c r="J197" i="165"/>
  <c r="E197" i="165"/>
  <c r="C197" i="165"/>
  <c r="I198" i="165"/>
  <c r="D198" i="165"/>
  <c r="J198" i="165"/>
  <c r="E198" i="165"/>
  <c r="C198" i="165"/>
  <c r="I199" i="165"/>
  <c r="D199" i="165"/>
  <c r="J199" i="165"/>
  <c r="E199" i="165"/>
  <c r="C199" i="165"/>
  <c r="I200" i="165"/>
  <c r="D200" i="165"/>
  <c r="J200" i="165"/>
  <c r="E200" i="165"/>
  <c r="C200" i="165"/>
  <c r="I201" i="165"/>
  <c r="D201" i="165"/>
  <c r="J201" i="165"/>
  <c r="E201" i="165"/>
  <c r="C201" i="165"/>
  <c r="I202" i="165"/>
  <c r="D202" i="165"/>
  <c r="J202" i="165"/>
  <c r="E202" i="165"/>
  <c r="C202" i="165"/>
  <c r="I203" i="165"/>
  <c r="D203" i="165"/>
  <c r="J203" i="165"/>
  <c r="E203" i="165"/>
  <c r="C203" i="165"/>
  <c r="I204" i="165"/>
  <c r="D204" i="165"/>
  <c r="J204" i="165"/>
  <c r="E204" i="165"/>
  <c r="C204" i="165"/>
  <c r="I205" i="165"/>
  <c r="D205" i="165"/>
  <c r="J205" i="165"/>
  <c r="E205" i="165"/>
  <c r="C205" i="165"/>
  <c r="I206" i="165"/>
  <c r="D206" i="165"/>
  <c r="J206" i="165"/>
  <c r="E206" i="165"/>
  <c r="C206" i="165"/>
  <c r="I207" i="165"/>
  <c r="D207" i="165"/>
  <c r="J207" i="165"/>
  <c r="E207" i="165"/>
  <c r="C207" i="165"/>
  <c r="I208" i="165"/>
  <c r="D208" i="165"/>
  <c r="J208" i="165"/>
  <c r="E208" i="165"/>
  <c r="C208" i="165"/>
  <c r="I209" i="165"/>
  <c r="D209" i="165"/>
  <c r="J209" i="165"/>
  <c r="E209" i="165"/>
  <c r="C209" i="165"/>
  <c r="I210" i="165"/>
  <c r="D210" i="165"/>
  <c r="J210" i="165"/>
  <c r="E210" i="165"/>
  <c r="C210" i="165"/>
  <c r="I211" i="165"/>
  <c r="D211" i="165"/>
  <c r="J211" i="165"/>
  <c r="E211" i="165"/>
  <c r="C211" i="165"/>
  <c r="I212" i="165"/>
  <c r="D212" i="165"/>
  <c r="J212" i="165"/>
  <c r="E212" i="165"/>
  <c r="C212" i="165"/>
  <c r="I213" i="165"/>
  <c r="D213" i="165"/>
  <c r="J213" i="165"/>
  <c r="E213" i="165"/>
  <c r="C213" i="165"/>
  <c r="I214" i="165"/>
  <c r="D214" i="165"/>
  <c r="J214" i="165"/>
  <c r="E214" i="165"/>
  <c r="C214" i="165"/>
  <c r="I215" i="165"/>
  <c r="J215" i="165"/>
  <c r="D215" i="165"/>
  <c r="E215" i="165"/>
  <c r="C215" i="165"/>
  <c r="I216" i="165"/>
  <c r="J216" i="165"/>
  <c r="D216" i="165"/>
  <c r="E216" i="165"/>
  <c r="C216" i="165"/>
  <c r="I217" i="165"/>
  <c r="J217" i="165"/>
  <c r="D217" i="165"/>
  <c r="E217" i="165"/>
  <c r="C217" i="165"/>
  <c r="I218" i="165"/>
  <c r="J218" i="165"/>
  <c r="D218" i="165"/>
  <c r="E218" i="165"/>
  <c r="C218" i="165"/>
  <c r="I219" i="165"/>
  <c r="J219" i="165"/>
  <c r="D219" i="165"/>
  <c r="E219" i="165"/>
  <c r="C219" i="165"/>
  <c r="I220" i="165"/>
  <c r="J220" i="165"/>
  <c r="D220" i="165"/>
  <c r="E220" i="165"/>
  <c r="C220" i="165"/>
  <c r="I221" i="165"/>
  <c r="D221" i="165"/>
  <c r="J221" i="165"/>
  <c r="E221" i="165"/>
  <c r="C221" i="165"/>
  <c r="I222" i="165"/>
  <c r="D222" i="165"/>
  <c r="J222" i="165"/>
  <c r="E222" i="165"/>
  <c r="C222" i="165"/>
  <c r="I223" i="165"/>
  <c r="D223" i="165"/>
  <c r="J223" i="165"/>
  <c r="E223" i="165"/>
  <c r="C223" i="165"/>
  <c r="I224" i="165"/>
  <c r="D224" i="165"/>
  <c r="J224" i="165"/>
  <c r="E224" i="165"/>
  <c r="C224" i="165"/>
  <c r="I225" i="165"/>
  <c r="D225" i="165"/>
  <c r="J225" i="165"/>
  <c r="E225" i="165"/>
  <c r="C225" i="165"/>
  <c r="I226" i="165"/>
  <c r="D226" i="165"/>
  <c r="J226" i="165"/>
  <c r="E226" i="165"/>
  <c r="C226" i="165"/>
  <c r="I227" i="165"/>
  <c r="D227" i="165"/>
  <c r="J227" i="165"/>
  <c r="E227" i="165"/>
  <c r="C227" i="165"/>
  <c r="I228" i="165"/>
  <c r="D228" i="165"/>
  <c r="J228" i="165"/>
  <c r="E228" i="165"/>
  <c r="C228" i="165"/>
  <c r="I229" i="165"/>
  <c r="D229" i="165"/>
  <c r="J229" i="165"/>
  <c r="E229" i="165"/>
  <c r="C229" i="165"/>
  <c r="I230" i="165"/>
  <c r="D230" i="165"/>
  <c r="J230" i="165"/>
  <c r="E230" i="165"/>
  <c r="C230" i="165"/>
  <c r="I231" i="165"/>
  <c r="D231" i="165"/>
  <c r="J231" i="165"/>
  <c r="E231" i="165"/>
  <c r="C231" i="165"/>
  <c r="I232" i="165"/>
  <c r="D232" i="165"/>
  <c r="J232" i="165"/>
  <c r="E232" i="165"/>
  <c r="C232" i="165"/>
  <c r="I233" i="165"/>
  <c r="D233" i="165"/>
  <c r="J233" i="165"/>
  <c r="E233" i="165"/>
  <c r="C233" i="165"/>
  <c r="I234" i="165"/>
  <c r="D234" i="165"/>
  <c r="J234" i="165"/>
  <c r="E234" i="165"/>
  <c r="C234" i="165"/>
  <c r="I235" i="165"/>
  <c r="D235" i="165"/>
  <c r="J235" i="165"/>
  <c r="E235" i="165"/>
  <c r="C235" i="165"/>
  <c r="I236" i="165"/>
  <c r="D236" i="165"/>
  <c r="J236" i="165"/>
  <c r="E236" i="165"/>
  <c r="C236" i="165"/>
  <c r="I237" i="165"/>
  <c r="D237" i="165"/>
  <c r="J237" i="165"/>
  <c r="E237" i="165"/>
  <c r="C237" i="165"/>
  <c r="I238" i="165"/>
  <c r="D238" i="165"/>
  <c r="J238" i="165"/>
  <c r="E238" i="165"/>
  <c r="C238" i="165"/>
  <c r="I239" i="165"/>
  <c r="D239" i="165"/>
  <c r="J239" i="165"/>
  <c r="E239" i="165"/>
  <c r="C239" i="165"/>
  <c r="I240" i="165"/>
  <c r="D240" i="165"/>
  <c r="J240" i="165"/>
  <c r="E240" i="165"/>
  <c r="C240" i="165"/>
  <c r="I241" i="165"/>
  <c r="D241" i="165"/>
  <c r="J241" i="165"/>
  <c r="E241" i="165"/>
  <c r="C241" i="165"/>
  <c r="I242" i="165"/>
  <c r="D242" i="165"/>
  <c r="J242" i="165"/>
  <c r="E242" i="165"/>
  <c r="C242" i="165"/>
  <c r="I243" i="165"/>
  <c r="D243" i="165"/>
  <c r="J243" i="165"/>
  <c r="E243" i="165"/>
  <c r="C243" i="165"/>
  <c r="I244" i="165"/>
  <c r="D244" i="165"/>
  <c r="J244" i="165"/>
  <c r="E244" i="165"/>
  <c r="C244" i="165"/>
  <c r="I245" i="165"/>
  <c r="D245" i="165"/>
  <c r="J245" i="165"/>
  <c r="E245" i="165"/>
  <c r="C245" i="165"/>
  <c r="I246" i="165"/>
  <c r="D246" i="165"/>
  <c r="J246" i="165"/>
  <c r="E246" i="165"/>
  <c r="C246" i="165"/>
  <c r="I247" i="165"/>
  <c r="D247" i="165"/>
  <c r="J247" i="165"/>
  <c r="E247" i="165"/>
  <c r="C247" i="165"/>
  <c r="I248" i="165"/>
  <c r="D248" i="165"/>
  <c r="J248" i="165"/>
  <c r="E248" i="165"/>
  <c r="C248" i="165"/>
  <c r="I249" i="165"/>
  <c r="D249" i="165"/>
  <c r="J249" i="165"/>
  <c r="E249" i="165"/>
  <c r="C249" i="165"/>
  <c r="I250" i="165"/>
  <c r="D250" i="165"/>
  <c r="J250" i="165"/>
  <c r="E250" i="165"/>
  <c r="C250" i="165"/>
  <c r="I251" i="165"/>
  <c r="D251" i="165"/>
  <c r="J251" i="165"/>
  <c r="E251" i="165"/>
  <c r="C251" i="165"/>
  <c r="I252" i="165"/>
  <c r="D252" i="165"/>
  <c r="J252" i="165"/>
  <c r="E252" i="165"/>
  <c r="C252" i="165"/>
  <c r="I253" i="165"/>
  <c r="D253" i="165"/>
  <c r="J253" i="165"/>
  <c r="E253" i="165"/>
  <c r="C253" i="165"/>
  <c r="I254" i="165"/>
  <c r="D254" i="165"/>
  <c r="J254" i="165"/>
  <c r="E254" i="165"/>
  <c r="C254" i="165"/>
  <c r="I255" i="165"/>
  <c r="D255" i="165"/>
  <c r="J255" i="165"/>
  <c r="E255" i="165"/>
  <c r="C255" i="165"/>
  <c r="I256" i="165"/>
  <c r="D256" i="165"/>
  <c r="J256" i="165"/>
  <c r="E256" i="165"/>
  <c r="C256" i="165"/>
  <c r="I257" i="165"/>
  <c r="D257" i="165"/>
  <c r="J257" i="165"/>
  <c r="E257" i="165"/>
  <c r="C257" i="165"/>
  <c r="I258" i="165"/>
  <c r="D258" i="165"/>
  <c r="J258" i="165"/>
  <c r="E258" i="165"/>
  <c r="C258" i="165"/>
  <c r="I259" i="165"/>
  <c r="D259" i="165"/>
  <c r="J259" i="165"/>
  <c r="E259" i="165"/>
  <c r="C259" i="165"/>
  <c r="I260" i="165"/>
  <c r="D260" i="165"/>
  <c r="J260" i="165"/>
  <c r="E260" i="165"/>
  <c r="C260" i="165"/>
  <c r="I261" i="165"/>
  <c r="D261" i="165"/>
  <c r="J261" i="165"/>
  <c r="E261" i="165"/>
  <c r="C261" i="165"/>
  <c r="I262" i="165"/>
  <c r="D262" i="165"/>
  <c r="J262" i="165"/>
  <c r="E262" i="165"/>
  <c r="C262" i="165"/>
  <c r="I263" i="165"/>
  <c r="D263" i="165"/>
  <c r="J263" i="165"/>
  <c r="E263" i="165"/>
  <c r="C263" i="165"/>
  <c r="I264" i="165"/>
  <c r="D264" i="165"/>
  <c r="J264" i="165"/>
  <c r="E264" i="165"/>
  <c r="C264" i="165"/>
  <c r="I265" i="165"/>
  <c r="D265" i="165"/>
  <c r="J265" i="165"/>
  <c r="E265" i="165"/>
  <c r="C265" i="165"/>
  <c r="I266" i="165"/>
  <c r="D266" i="165"/>
  <c r="J266" i="165"/>
  <c r="E266" i="165"/>
  <c r="C266" i="165"/>
  <c r="I267" i="165"/>
  <c r="D267" i="165"/>
  <c r="J267" i="165"/>
  <c r="E267" i="165"/>
  <c r="C267" i="165"/>
  <c r="I268" i="165"/>
  <c r="D268" i="165"/>
  <c r="J268" i="165"/>
  <c r="E268" i="165"/>
  <c r="C268" i="165"/>
  <c r="I269" i="165"/>
  <c r="D269" i="165"/>
  <c r="J269" i="165"/>
  <c r="E269" i="165"/>
  <c r="C269" i="165"/>
  <c r="I270" i="165"/>
  <c r="D270" i="165"/>
  <c r="J270" i="165"/>
  <c r="E270" i="165"/>
  <c r="C270" i="165"/>
  <c r="I271" i="165"/>
  <c r="D271" i="165"/>
  <c r="J271" i="165"/>
  <c r="E271" i="165"/>
  <c r="C271" i="165"/>
  <c r="I272" i="165"/>
  <c r="D272" i="165"/>
  <c r="J272" i="165"/>
  <c r="E272" i="165"/>
  <c r="C272" i="165"/>
  <c r="I273" i="165"/>
  <c r="D273" i="165"/>
  <c r="J273" i="165"/>
  <c r="E273" i="165"/>
  <c r="C273" i="165"/>
  <c r="I274" i="165"/>
  <c r="D274" i="165"/>
  <c r="J274" i="165"/>
  <c r="E274" i="165"/>
  <c r="C274" i="165"/>
  <c r="I275" i="165"/>
  <c r="D275" i="165"/>
  <c r="J275" i="165"/>
  <c r="E275" i="165"/>
  <c r="C275" i="165"/>
  <c r="I276" i="165"/>
  <c r="D276" i="165"/>
  <c r="J276" i="165"/>
  <c r="E276" i="165"/>
  <c r="C276" i="165"/>
  <c r="I277" i="165"/>
  <c r="D277" i="165"/>
  <c r="J277" i="165"/>
  <c r="E277" i="165"/>
  <c r="C277" i="165"/>
  <c r="I278" i="165"/>
  <c r="D278" i="165"/>
  <c r="J278" i="165"/>
  <c r="E278" i="165"/>
  <c r="C278" i="165"/>
  <c r="I279" i="165"/>
  <c r="D279" i="165"/>
  <c r="J279" i="165"/>
  <c r="E279" i="165"/>
  <c r="C279" i="165"/>
  <c r="I280" i="165"/>
  <c r="D280" i="165"/>
  <c r="J280" i="165"/>
  <c r="E280" i="165"/>
  <c r="C280" i="165"/>
  <c r="I281" i="165"/>
  <c r="D281" i="165"/>
  <c r="J281" i="165"/>
  <c r="E281" i="165"/>
  <c r="C281" i="165"/>
  <c r="I282" i="165"/>
  <c r="D282" i="165"/>
  <c r="J282" i="165"/>
  <c r="E282" i="165"/>
  <c r="C282" i="165"/>
  <c r="I283" i="165"/>
  <c r="D283" i="165"/>
  <c r="J283" i="165"/>
  <c r="E283" i="165"/>
  <c r="C283" i="165"/>
  <c r="I284" i="165"/>
  <c r="D284" i="165"/>
  <c r="J284" i="165"/>
  <c r="E284" i="165"/>
  <c r="C284" i="165"/>
  <c r="I285" i="165"/>
  <c r="D285" i="165"/>
  <c r="J285" i="165"/>
  <c r="E285" i="165"/>
  <c r="C285" i="165"/>
  <c r="I286" i="165"/>
  <c r="D286" i="165"/>
  <c r="J286" i="165"/>
  <c r="E286" i="165"/>
  <c r="C286" i="165"/>
  <c r="I287" i="165"/>
  <c r="D287" i="165"/>
  <c r="J287" i="165"/>
  <c r="E287" i="165"/>
  <c r="C287" i="165"/>
  <c r="I288" i="165"/>
  <c r="D288" i="165"/>
  <c r="J288" i="165"/>
  <c r="E288" i="165"/>
  <c r="C288" i="165"/>
  <c r="I289" i="165"/>
  <c r="D289" i="165"/>
  <c r="J289" i="165"/>
  <c r="E289" i="165"/>
  <c r="C289" i="165"/>
  <c r="I290" i="165"/>
  <c r="D290" i="165"/>
  <c r="J290" i="165"/>
  <c r="E290" i="165"/>
  <c r="C290" i="165"/>
  <c r="I291" i="165"/>
  <c r="D291" i="165"/>
  <c r="J291" i="165"/>
  <c r="E291" i="165"/>
  <c r="C291" i="165"/>
  <c r="I292" i="165"/>
  <c r="D292" i="165"/>
  <c r="J292" i="165"/>
  <c r="E292" i="165"/>
  <c r="C292" i="165"/>
  <c r="I293" i="165"/>
  <c r="D293" i="165"/>
  <c r="J293" i="165"/>
  <c r="E293" i="165"/>
  <c r="C293" i="165"/>
  <c r="I294" i="165"/>
  <c r="D294" i="165"/>
  <c r="J294" i="165"/>
  <c r="E294" i="165"/>
  <c r="C294" i="165"/>
  <c r="I295" i="165"/>
  <c r="D295" i="165"/>
  <c r="J295" i="165"/>
  <c r="E295" i="165"/>
  <c r="C295" i="165"/>
  <c r="I296" i="165"/>
  <c r="D296" i="165"/>
  <c r="J296" i="165"/>
  <c r="E296" i="165"/>
  <c r="C296" i="165"/>
  <c r="I297" i="165"/>
  <c r="D297" i="165"/>
  <c r="J297" i="165"/>
  <c r="E297" i="165"/>
  <c r="C297" i="165"/>
  <c r="I298" i="165"/>
  <c r="D298" i="165"/>
  <c r="J298" i="165"/>
  <c r="E298" i="165"/>
  <c r="C298" i="165"/>
  <c r="I299" i="165"/>
  <c r="D299" i="165"/>
  <c r="J299" i="165"/>
  <c r="E299" i="165"/>
  <c r="C299" i="165"/>
  <c r="I300" i="165"/>
  <c r="D300" i="165"/>
  <c r="J300" i="165"/>
  <c r="E300" i="165"/>
  <c r="C300" i="165"/>
  <c r="I301" i="165"/>
  <c r="D301" i="165"/>
  <c r="J301" i="165"/>
  <c r="E301" i="165"/>
  <c r="C301" i="165"/>
  <c r="I302" i="165"/>
  <c r="D302" i="165"/>
  <c r="J302" i="165"/>
  <c r="E302" i="165"/>
  <c r="C302" i="165"/>
  <c r="I303" i="165"/>
  <c r="D303" i="165"/>
  <c r="J303" i="165"/>
  <c r="E303" i="165"/>
  <c r="C303" i="165"/>
  <c r="I304" i="165"/>
  <c r="D304" i="165"/>
  <c r="J304" i="165"/>
  <c r="E304" i="165"/>
  <c r="C304" i="165"/>
  <c r="I305" i="165"/>
  <c r="D305" i="165"/>
  <c r="J305" i="165"/>
  <c r="E305" i="165"/>
  <c r="C305" i="165"/>
  <c r="I306" i="165"/>
  <c r="D306" i="165"/>
  <c r="J306" i="165"/>
  <c r="E306" i="165"/>
  <c r="C306" i="165"/>
  <c r="I307" i="165"/>
  <c r="D307" i="165"/>
  <c r="J307" i="165"/>
  <c r="E307" i="165"/>
  <c r="C307" i="165"/>
  <c r="I308" i="165"/>
  <c r="D308" i="165"/>
  <c r="J308" i="165"/>
  <c r="E308" i="165"/>
  <c r="C308" i="165"/>
  <c r="I309" i="165"/>
  <c r="D309" i="165"/>
  <c r="J309" i="165"/>
  <c r="E309" i="165"/>
  <c r="C309" i="165"/>
  <c r="I310" i="165"/>
  <c r="D310" i="165"/>
  <c r="J310" i="165"/>
  <c r="E310" i="165"/>
  <c r="C310" i="165"/>
  <c r="I311" i="165"/>
  <c r="D311" i="165"/>
  <c r="J311" i="165"/>
  <c r="E311" i="165"/>
  <c r="C311" i="165"/>
  <c r="I312" i="165"/>
  <c r="D312" i="165"/>
  <c r="J312" i="165"/>
  <c r="E312" i="165"/>
  <c r="C312" i="165"/>
  <c r="I313" i="165"/>
  <c r="D313" i="165"/>
  <c r="J313" i="165"/>
  <c r="E313" i="165"/>
  <c r="C313" i="165"/>
  <c r="I315" i="165"/>
  <c r="D315" i="165"/>
  <c r="J315" i="165"/>
  <c r="E315" i="165"/>
  <c r="C315" i="165"/>
  <c r="I316" i="165"/>
  <c r="D316" i="165"/>
  <c r="J316" i="165"/>
  <c r="E316" i="165"/>
  <c r="C316" i="165"/>
  <c r="I317" i="165"/>
  <c r="D317" i="165"/>
  <c r="J317" i="165"/>
  <c r="E317" i="165"/>
  <c r="C317" i="165"/>
  <c r="I318" i="165"/>
  <c r="D318" i="165"/>
  <c r="J318" i="165"/>
  <c r="E318" i="165"/>
  <c r="C318" i="165"/>
  <c r="I319" i="165"/>
  <c r="D319" i="165"/>
  <c r="J319" i="165"/>
  <c r="E319" i="165"/>
  <c r="C319" i="165"/>
  <c r="I320" i="165"/>
  <c r="D320" i="165"/>
  <c r="J320" i="165"/>
  <c r="E320" i="165"/>
  <c r="C320" i="165"/>
  <c r="I321" i="165"/>
  <c r="D321" i="165"/>
  <c r="J321" i="165"/>
  <c r="E321" i="165"/>
  <c r="C321" i="165"/>
  <c r="I322" i="165"/>
  <c r="D322" i="165"/>
  <c r="J322" i="165"/>
  <c r="E322" i="165"/>
  <c r="C322" i="165"/>
  <c r="I323" i="165"/>
  <c r="D323" i="165"/>
  <c r="J323" i="165"/>
  <c r="E323" i="165"/>
  <c r="C323" i="165"/>
  <c r="I324" i="165"/>
  <c r="D324" i="165"/>
  <c r="J324" i="165"/>
  <c r="E324" i="165"/>
  <c r="C324" i="165"/>
  <c r="I325" i="165"/>
  <c r="D325" i="165"/>
  <c r="J325" i="165"/>
  <c r="E325" i="165"/>
  <c r="C325" i="165"/>
  <c r="I326" i="165"/>
  <c r="D326" i="165"/>
  <c r="J326" i="165"/>
  <c r="E326" i="165"/>
  <c r="C326" i="165"/>
  <c r="I327" i="165"/>
  <c r="D327" i="165"/>
  <c r="J327" i="165"/>
  <c r="E327" i="165"/>
  <c r="C327" i="165"/>
  <c r="I328" i="165"/>
  <c r="D328" i="165"/>
  <c r="J328" i="165"/>
  <c r="E328" i="165"/>
  <c r="C328" i="165"/>
  <c r="I329" i="165"/>
  <c r="D329" i="165"/>
  <c r="J329" i="165"/>
  <c r="E329" i="165"/>
  <c r="C329" i="165"/>
  <c r="I330" i="165"/>
  <c r="D330" i="165"/>
  <c r="J330" i="165"/>
  <c r="E330" i="165"/>
  <c r="C330" i="165"/>
  <c r="I331" i="165"/>
  <c r="D331" i="165"/>
  <c r="J331" i="165"/>
  <c r="E331" i="165"/>
  <c r="C331" i="165"/>
  <c r="I332" i="165"/>
  <c r="D332" i="165"/>
  <c r="J332" i="165"/>
  <c r="E332" i="165"/>
  <c r="C332" i="165"/>
  <c r="I333" i="165"/>
  <c r="D333" i="165"/>
  <c r="J333" i="165"/>
  <c r="E333" i="165"/>
  <c r="C333" i="165"/>
  <c r="I334" i="165"/>
  <c r="D334" i="165"/>
  <c r="J334" i="165"/>
  <c r="E334" i="165"/>
  <c r="C334" i="165"/>
  <c r="I335" i="165"/>
  <c r="D335" i="165"/>
  <c r="J335" i="165"/>
  <c r="E335" i="165"/>
  <c r="C335" i="165"/>
  <c r="I336" i="165"/>
  <c r="D336" i="165"/>
  <c r="J336" i="165"/>
  <c r="E336" i="165"/>
  <c r="C336" i="165"/>
  <c r="I337" i="165"/>
  <c r="D337" i="165"/>
  <c r="J337" i="165"/>
  <c r="E337" i="165"/>
  <c r="C337" i="165"/>
  <c r="I338" i="165"/>
  <c r="D338" i="165"/>
  <c r="J338" i="165"/>
  <c r="E338" i="165"/>
  <c r="C338" i="165"/>
  <c r="I339" i="165"/>
  <c r="D339" i="165"/>
  <c r="J339" i="165"/>
  <c r="E339" i="165"/>
  <c r="C339" i="165"/>
  <c r="I340" i="165"/>
  <c r="D340" i="165"/>
  <c r="J340" i="165"/>
  <c r="E340" i="165"/>
  <c r="C340" i="165"/>
  <c r="I341" i="165"/>
  <c r="D341" i="165"/>
  <c r="J341" i="165"/>
  <c r="E341" i="165"/>
  <c r="C341" i="165"/>
  <c r="I342" i="165"/>
  <c r="D342" i="165"/>
  <c r="J342" i="165"/>
  <c r="E342" i="165"/>
  <c r="C342" i="165"/>
  <c r="I343" i="165"/>
  <c r="D343" i="165"/>
  <c r="J343" i="165"/>
  <c r="E343" i="165"/>
  <c r="C343" i="165"/>
  <c r="I344" i="165"/>
  <c r="D344" i="165"/>
  <c r="J344" i="165"/>
  <c r="E344" i="165"/>
  <c r="C344" i="165"/>
  <c r="I345" i="165"/>
  <c r="D345" i="165"/>
  <c r="J345" i="165"/>
  <c r="E345" i="165"/>
  <c r="C345" i="165"/>
  <c r="I346" i="165"/>
  <c r="D346" i="165"/>
  <c r="J346" i="165"/>
  <c r="E346" i="165"/>
  <c r="C346" i="165"/>
  <c r="I347" i="165"/>
  <c r="D347" i="165"/>
  <c r="J347" i="165"/>
  <c r="E347" i="165"/>
  <c r="C347" i="165"/>
  <c r="I348" i="165"/>
  <c r="D348" i="165"/>
  <c r="J348" i="165"/>
  <c r="E348" i="165"/>
  <c r="C348" i="165"/>
  <c r="I349" i="165"/>
  <c r="D349" i="165"/>
  <c r="J349" i="165"/>
  <c r="E349" i="165"/>
  <c r="C349" i="165"/>
  <c r="I350" i="165"/>
  <c r="D350" i="165"/>
  <c r="J350" i="165"/>
  <c r="E350" i="165"/>
  <c r="C350" i="165"/>
  <c r="I351" i="165"/>
  <c r="D351" i="165"/>
  <c r="J351" i="165"/>
  <c r="E351" i="165"/>
  <c r="C351" i="165"/>
  <c r="F5" i="164"/>
  <c r="F6" i="164"/>
  <c r="A36" i="164"/>
  <c r="E5" i="164"/>
  <c r="Q3" i="164"/>
  <c r="Q4" i="164"/>
  <c r="Q5" i="164"/>
  <c r="Q6" i="164"/>
  <c r="Q7" i="164"/>
  <c r="Q8" i="164"/>
  <c r="Q9" i="164"/>
  <c r="Q10" i="164"/>
  <c r="Q11" i="164"/>
  <c r="Q12" i="164"/>
  <c r="Q13" i="164"/>
  <c r="Q14" i="164"/>
  <c r="Q15" i="164"/>
  <c r="Q16" i="164"/>
  <c r="Q17" i="164"/>
  <c r="Q18" i="164"/>
  <c r="Q19" i="164"/>
  <c r="Q20" i="164"/>
  <c r="E29" i="164"/>
  <c r="B29" i="164"/>
  <c r="G29" i="164"/>
  <c r="H29" i="164"/>
  <c r="O314" i="165"/>
  <c r="E6" i="164"/>
  <c r="E19" i="164"/>
  <c r="B19" i="164"/>
  <c r="E24" i="164"/>
  <c r="B24" i="164"/>
  <c r="B17" i="164"/>
  <c r="G17" i="164"/>
  <c r="E17" i="164"/>
  <c r="H17" i="164"/>
  <c r="O2" i="165"/>
  <c r="E18" i="164"/>
  <c r="B18" i="164"/>
  <c r="G18" i="164"/>
  <c r="H18" i="164"/>
  <c r="O3" i="165"/>
  <c r="O4" i="165"/>
  <c r="O5" i="165"/>
  <c r="O6" i="165"/>
  <c r="O7" i="165"/>
  <c r="O8" i="165"/>
  <c r="O9" i="165"/>
  <c r="O10" i="165"/>
  <c r="O11" i="165"/>
  <c r="O12" i="165"/>
  <c r="O13" i="165"/>
  <c r="O14" i="165"/>
  <c r="O15" i="165"/>
  <c r="O16" i="165"/>
  <c r="O17" i="165"/>
  <c r="O18" i="165"/>
  <c r="O19" i="165"/>
  <c r="O20" i="165"/>
  <c r="O21" i="165"/>
  <c r="O22" i="165"/>
  <c r="O23" i="165"/>
  <c r="O24" i="165"/>
  <c r="O25" i="165"/>
  <c r="O26" i="165"/>
  <c r="O27" i="165"/>
  <c r="O28" i="165"/>
  <c r="O29" i="165"/>
  <c r="O30" i="165"/>
  <c r="O31" i="165"/>
  <c r="O32" i="165"/>
  <c r="O33" i="165"/>
  <c r="O34" i="165"/>
  <c r="O35" i="165"/>
  <c r="O36" i="165"/>
  <c r="O37" i="165"/>
  <c r="O38" i="165"/>
  <c r="O39" i="165"/>
  <c r="O40" i="165"/>
  <c r="O41" i="165"/>
  <c r="G24" i="164"/>
  <c r="H24" i="164"/>
  <c r="O42" i="165"/>
  <c r="E25" i="164"/>
  <c r="B25" i="164"/>
  <c r="G25" i="164"/>
  <c r="H25" i="164"/>
  <c r="O43" i="165"/>
  <c r="E26" i="164"/>
  <c r="B26" i="164"/>
  <c r="G26" i="164"/>
  <c r="H26" i="164"/>
  <c r="O44" i="165"/>
  <c r="O45" i="165"/>
  <c r="O46" i="165"/>
  <c r="O47" i="165"/>
  <c r="O48" i="165"/>
  <c r="O49" i="165"/>
  <c r="O50" i="165"/>
  <c r="G19" i="164"/>
  <c r="H19" i="164"/>
  <c r="O51" i="165"/>
  <c r="E20" i="164"/>
  <c r="B20" i="164"/>
  <c r="G20" i="164"/>
  <c r="H20" i="164"/>
  <c r="O52" i="165"/>
  <c r="E23" i="164"/>
  <c r="B23" i="164"/>
  <c r="E28" i="164"/>
  <c r="B28" i="164"/>
  <c r="B21" i="164"/>
  <c r="G21" i="164"/>
  <c r="E21" i="164"/>
  <c r="H21" i="164"/>
  <c r="O53" i="165"/>
  <c r="O54" i="165"/>
  <c r="O55" i="165"/>
  <c r="O56" i="165"/>
  <c r="O57" i="165"/>
  <c r="O58" i="165"/>
  <c r="O59" i="165"/>
  <c r="O60" i="165"/>
  <c r="O61" i="165"/>
  <c r="O62" i="165"/>
  <c r="O63" i="165"/>
  <c r="O64" i="165"/>
  <c r="O65" i="165"/>
  <c r="O66" i="165"/>
  <c r="O67" i="165"/>
  <c r="O68" i="165"/>
  <c r="O69" i="165"/>
  <c r="O70" i="165"/>
  <c r="O71" i="165"/>
  <c r="O72" i="165"/>
  <c r="O73" i="165"/>
  <c r="O74" i="165"/>
  <c r="O75" i="165"/>
  <c r="O76" i="165"/>
  <c r="O77" i="165"/>
  <c r="O78" i="165"/>
  <c r="O79" i="165"/>
  <c r="O80" i="165"/>
  <c r="O81" i="165"/>
  <c r="O82" i="165"/>
  <c r="O83" i="165"/>
  <c r="O84" i="165"/>
  <c r="O85" i="165"/>
  <c r="O86" i="165"/>
  <c r="O87" i="165"/>
  <c r="O88" i="165"/>
  <c r="O89" i="165"/>
  <c r="O90" i="165"/>
  <c r="O91" i="165"/>
  <c r="O92" i="165"/>
  <c r="O93" i="165"/>
  <c r="O94" i="165"/>
  <c r="O95" i="165"/>
  <c r="O96" i="165"/>
  <c r="O97" i="165"/>
  <c r="O98" i="165"/>
  <c r="O99" i="165"/>
  <c r="O100" i="165"/>
  <c r="O101" i="165"/>
  <c r="O102" i="165"/>
  <c r="O103" i="165"/>
  <c r="O104" i="165"/>
  <c r="O105" i="165"/>
  <c r="O106" i="165"/>
  <c r="O107" i="165"/>
  <c r="O108" i="165"/>
  <c r="O109" i="165"/>
  <c r="O110" i="165"/>
  <c r="O111" i="165"/>
  <c r="O112" i="165"/>
  <c r="O113" i="165"/>
  <c r="O114" i="165"/>
  <c r="O115" i="165"/>
  <c r="O116" i="165"/>
  <c r="O117" i="165"/>
  <c r="O118" i="165"/>
  <c r="O119" i="165"/>
  <c r="O120" i="165"/>
  <c r="O121" i="165"/>
  <c r="O122" i="165"/>
  <c r="O123" i="165"/>
  <c r="O124" i="165"/>
  <c r="O125" i="165"/>
  <c r="O126" i="165"/>
  <c r="O127" i="165"/>
  <c r="O128" i="165"/>
  <c r="O129" i="165"/>
  <c r="O130" i="165"/>
  <c r="O131" i="165"/>
  <c r="O132" i="165"/>
  <c r="O133" i="165"/>
  <c r="O134" i="165"/>
  <c r="O135" i="165"/>
  <c r="O136" i="165"/>
  <c r="O137" i="165"/>
  <c r="E27" i="164"/>
  <c r="B27" i="164"/>
  <c r="G27" i="164"/>
  <c r="H27" i="164"/>
  <c r="O138" i="165"/>
  <c r="G28" i="164"/>
  <c r="H28" i="164"/>
  <c r="O139" i="165"/>
  <c r="O140" i="165"/>
  <c r="O141" i="165"/>
  <c r="O142" i="165"/>
  <c r="O143" i="165"/>
  <c r="O144" i="165"/>
  <c r="O145" i="165"/>
  <c r="O146" i="165"/>
  <c r="O147" i="165"/>
  <c r="O148" i="165"/>
  <c r="O149" i="165"/>
  <c r="O150" i="165"/>
  <c r="O151" i="165"/>
  <c r="O152" i="165"/>
  <c r="O153" i="165"/>
  <c r="O154" i="165"/>
  <c r="O155" i="165"/>
  <c r="O156" i="165"/>
  <c r="O157" i="165"/>
  <c r="O158" i="165"/>
  <c r="O159" i="165"/>
  <c r="O160" i="165"/>
  <c r="O161" i="165"/>
  <c r="O162" i="165"/>
  <c r="O163" i="165"/>
  <c r="O164" i="165"/>
  <c r="O165" i="165"/>
  <c r="O166" i="165"/>
  <c r="O167" i="165"/>
  <c r="O168" i="165"/>
  <c r="O169" i="165"/>
  <c r="O170" i="165"/>
  <c r="O171" i="165"/>
  <c r="O172" i="165"/>
  <c r="O173" i="165"/>
  <c r="O174" i="165"/>
  <c r="O175" i="165"/>
  <c r="O176" i="165"/>
  <c r="O177" i="165"/>
  <c r="O178" i="165"/>
  <c r="O179" i="165"/>
  <c r="O180" i="165"/>
  <c r="O181" i="165"/>
  <c r="O182" i="165"/>
  <c r="O183" i="165"/>
  <c r="O184" i="165"/>
  <c r="O185" i="165"/>
  <c r="O186" i="165"/>
  <c r="O187" i="165"/>
  <c r="O188" i="165"/>
  <c r="O189" i="165"/>
  <c r="O190" i="165"/>
  <c r="O191" i="165"/>
  <c r="O192" i="165"/>
  <c r="O193" i="165"/>
  <c r="O194" i="165"/>
  <c r="O195" i="165"/>
  <c r="O196" i="165"/>
  <c r="O197" i="165"/>
  <c r="O198" i="165"/>
  <c r="O199" i="165"/>
  <c r="O200" i="165"/>
  <c r="O201" i="165"/>
  <c r="O202" i="165"/>
  <c r="O203" i="165"/>
  <c r="O204" i="165"/>
  <c r="O205" i="165"/>
  <c r="O206" i="165"/>
  <c r="O207" i="165"/>
  <c r="O208" i="165"/>
  <c r="O209" i="165"/>
  <c r="O210" i="165"/>
  <c r="O211" i="165"/>
  <c r="O212" i="165"/>
  <c r="O213" i="165"/>
  <c r="O214" i="165"/>
  <c r="G23" i="164"/>
  <c r="H23" i="164"/>
  <c r="O215" i="165"/>
  <c r="O216" i="165"/>
  <c r="O217" i="165"/>
  <c r="O218" i="165"/>
  <c r="O219" i="165"/>
  <c r="O220" i="165"/>
  <c r="O221" i="165"/>
  <c r="O222" i="165"/>
  <c r="O223" i="165"/>
  <c r="O224" i="165"/>
  <c r="O225" i="165"/>
  <c r="O226" i="165"/>
  <c r="O227" i="165"/>
  <c r="O228" i="165"/>
  <c r="O229" i="165"/>
  <c r="O230" i="165"/>
  <c r="O231" i="165"/>
  <c r="O232" i="165"/>
  <c r="O233" i="165"/>
  <c r="O234" i="165"/>
  <c r="O235" i="165"/>
  <c r="O236" i="165"/>
  <c r="O237" i="165"/>
  <c r="O238" i="165"/>
  <c r="O239" i="165"/>
  <c r="O240" i="165"/>
  <c r="O241" i="165"/>
  <c r="O242" i="165"/>
  <c r="O243" i="165"/>
  <c r="O244" i="165"/>
  <c r="O245" i="165"/>
  <c r="O246" i="165"/>
  <c r="O247" i="165"/>
  <c r="O248" i="165"/>
  <c r="O249" i="165"/>
  <c r="O250" i="165"/>
  <c r="O251" i="165"/>
  <c r="O252" i="165"/>
  <c r="O253" i="165"/>
  <c r="O254" i="165"/>
  <c r="O255" i="165"/>
  <c r="O256" i="165"/>
  <c r="O257" i="165"/>
  <c r="O258" i="165"/>
  <c r="O259" i="165"/>
  <c r="O260" i="165"/>
  <c r="O261" i="165"/>
  <c r="E22" i="164"/>
  <c r="B22" i="164"/>
  <c r="G22" i="164"/>
  <c r="H22" i="164"/>
  <c r="O262" i="165"/>
  <c r="O263" i="165"/>
  <c r="O264" i="165"/>
  <c r="O265" i="165"/>
  <c r="O266" i="165"/>
  <c r="O267" i="165"/>
  <c r="O268" i="165"/>
  <c r="O269" i="165"/>
  <c r="O270" i="165"/>
  <c r="O271" i="165"/>
  <c r="O272" i="165"/>
  <c r="O273" i="165"/>
  <c r="O274" i="165"/>
  <c r="O275" i="165"/>
  <c r="O276" i="165"/>
  <c r="O277" i="165"/>
  <c r="O278" i="165"/>
  <c r="O279" i="165"/>
  <c r="O280" i="165"/>
  <c r="O281" i="165"/>
  <c r="O282" i="165"/>
  <c r="O283" i="165"/>
  <c r="O284" i="165"/>
  <c r="O285" i="165"/>
  <c r="O286" i="165"/>
  <c r="O287" i="165"/>
  <c r="O288" i="165"/>
  <c r="O289" i="165"/>
  <c r="O290" i="165"/>
  <c r="O291" i="165"/>
  <c r="O292" i="165"/>
  <c r="O293" i="165"/>
  <c r="O294" i="165"/>
  <c r="O295" i="165"/>
  <c r="O296" i="165"/>
  <c r="O297" i="165"/>
  <c r="O298" i="165"/>
  <c r="O299" i="165"/>
  <c r="O300" i="165"/>
  <c r="O301" i="165"/>
  <c r="O302" i="165"/>
  <c r="O303" i="165"/>
  <c r="O304" i="165"/>
  <c r="O305" i="165"/>
  <c r="O306" i="165"/>
  <c r="O307" i="165"/>
  <c r="O308" i="165"/>
  <c r="O309" i="165"/>
  <c r="O310" i="165"/>
  <c r="O311" i="165"/>
  <c r="O312" i="165"/>
  <c r="O313" i="165"/>
  <c r="O315" i="165"/>
  <c r="O316" i="165"/>
  <c r="O317" i="165"/>
  <c r="O318" i="165"/>
  <c r="O319" i="165"/>
  <c r="O320" i="165"/>
  <c r="O321" i="165"/>
  <c r="O322" i="165"/>
  <c r="O323" i="165"/>
  <c r="O324" i="165"/>
  <c r="O325" i="165"/>
  <c r="O326" i="165"/>
  <c r="O327" i="165"/>
  <c r="O328" i="165"/>
  <c r="O329" i="165"/>
  <c r="O330" i="165"/>
  <c r="O331" i="165"/>
  <c r="O332" i="165"/>
  <c r="O333" i="165"/>
  <c r="O334" i="165"/>
  <c r="O335" i="165"/>
  <c r="O336" i="165"/>
  <c r="O337" i="165"/>
  <c r="O338" i="165"/>
  <c r="O339" i="165"/>
  <c r="O340" i="165"/>
  <c r="O341" i="165"/>
  <c r="O342" i="165"/>
  <c r="O343" i="165"/>
  <c r="O344" i="165"/>
  <c r="O345" i="165"/>
  <c r="R3" i="164"/>
  <c r="O346" i="165"/>
  <c r="R4" i="164"/>
  <c r="O347" i="165"/>
  <c r="R5" i="164"/>
  <c r="O348" i="165"/>
  <c r="R6" i="164"/>
  <c r="O349" i="165"/>
  <c r="R7" i="164"/>
  <c r="O350" i="165"/>
  <c r="R8" i="164"/>
  <c r="O351" i="165"/>
  <c r="P314" i="165"/>
  <c r="P317" i="165"/>
  <c r="P321" i="165"/>
  <c r="P328" i="165"/>
  <c r="P2" i="165"/>
  <c r="P3" i="165"/>
  <c r="P4" i="165"/>
  <c r="P5" i="165"/>
  <c r="P6" i="165"/>
  <c r="P7" i="165"/>
  <c r="P8" i="165"/>
  <c r="P9" i="165"/>
  <c r="P10" i="165"/>
  <c r="P11" i="165"/>
  <c r="P12" i="165"/>
  <c r="P13" i="165"/>
  <c r="P14" i="165"/>
  <c r="P15" i="165"/>
  <c r="P16" i="165"/>
  <c r="P17" i="165"/>
  <c r="P18" i="165"/>
  <c r="P19" i="165"/>
  <c r="P20" i="165"/>
  <c r="P21" i="165"/>
  <c r="P22" i="165"/>
  <c r="P23" i="165"/>
  <c r="P24" i="165"/>
  <c r="P25" i="165"/>
  <c r="P26" i="165"/>
  <c r="P27" i="165"/>
  <c r="P28" i="165"/>
  <c r="P29" i="165"/>
  <c r="P30" i="165"/>
  <c r="P31" i="165"/>
  <c r="P32" i="165"/>
  <c r="P33" i="165"/>
  <c r="P34" i="165"/>
  <c r="P35" i="165"/>
  <c r="P36" i="165"/>
  <c r="P37" i="165"/>
  <c r="P38" i="165"/>
  <c r="P39" i="165"/>
  <c r="P40" i="165"/>
  <c r="P41" i="165"/>
  <c r="P42" i="165"/>
  <c r="P43" i="165"/>
  <c r="P44" i="165"/>
  <c r="P45" i="165"/>
  <c r="P46" i="165"/>
  <c r="P47" i="165"/>
  <c r="P48" i="165"/>
  <c r="P49" i="165"/>
  <c r="P50" i="165"/>
  <c r="P51" i="165"/>
  <c r="P52" i="165"/>
  <c r="P53" i="165"/>
  <c r="P54" i="165"/>
  <c r="P55" i="165"/>
  <c r="P56" i="165"/>
  <c r="P57" i="165"/>
  <c r="P58" i="165"/>
  <c r="P59" i="165"/>
  <c r="P60" i="165"/>
  <c r="P61" i="165"/>
  <c r="P62" i="165"/>
  <c r="P63" i="165"/>
  <c r="P64" i="165"/>
  <c r="P65" i="165"/>
  <c r="P66" i="165"/>
  <c r="P67" i="165"/>
  <c r="P68" i="165"/>
  <c r="P69" i="165"/>
  <c r="P70" i="165"/>
  <c r="P71" i="165"/>
  <c r="P72" i="165"/>
  <c r="P73" i="165"/>
  <c r="P74" i="165"/>
  <c r="P75" i="165"/>
  <c r="P76" i="165"/>
  <c r="P77" i="165"/>
  <c r="P78" i="165"/>
  <c r="P79" i="165"/>
  <c r="P80" i="165"/>
  <c r="P81" i="165"/>
  <c r="P82" i="165"/>
  <c r="P83" i="165"/>
  <c r="P84" i="165"/>
  <c r="P85" i="165"/>
  <c r="P86" i="165"/>
  <c r="P87" i="165"/>
  <c r="P88" i="165"/>
  <c r="P89" i="165"/>
  <c r="P90" i="165"/>
  <c r="P91" i="165"/>
  <c r="P92" i="165"/>
  <c r="P93" i="165"/>
  <c r="P94" i="165"/>
  <c r="P95" i="165"/>
  <c r="P96" i="165"/>
  <c r="P97" i="165"/>
  <c r="P98" i="165"/>
  <c r="P99" i="165"/>
  <c r="P100" i="165"/>
  <c r="P101" i="165"/>
  <c r="P102" i="165"/>
  <c r="P103" i="165"/>
  <c r="P104" i="165"/>
  <c r="P105" i="165"/>
  <c r="P106" i="165"/>
  <c r="P107" i="165"/>
  <c r="P108" i="165"/>
  <c r="P109" i="165"/>
  <c r="P110" i="165"/>
  <c r="P111" i="165"/>
  <c r="P112" i="165"/>
  <c r="P113" i="165"/>
  <c r="P114" i="165"/>
  <c r="P115" i="165"/>
  <c r="P116" i="165"/>
  <c r="P117" i="165"/>
  <c r="P118" i="165"/>
  <c r="P119" i="165"/>
  <c r="P120" i="165"/>
  <c r="P121" i="165"/>
  <c r="P122" i="165"/>
  <c r="P123" i="165"/>
  <c r="P124" i="165"/>
  <c r="P125" i="165"/>
  <c r="P126" i="165"/>
  <c r="P127" i="165"/>
  <c r="P128" i="165"/>
  <c r="P129" i="165"/>
  <c r="P130" i="165"/>
  <c r="P131" i="165"/>
  <c r="P132" i="165"/>
  <c r="P133" i="165"/>
  <c r="P134" i="165"/>
  <c r="P135" i="165"/>
  <c r="P136" i="165"/>
  <c r="P137" i="165"/>
  <c r="P138" i="165"/>
  <c r="P139" i="165"/>
  <c r="P140" i="165"/>
  <c r="P141" i="165"/>
  <c r="P142" i="165"/>
  <c r="P143" i="165"/>
  <c r="P144" i="165"/>
  <c r="P145" i="165"/>
  <c r="P146" i="165"/>
  <c r="P147" i="165"/>
  <c r="P148" i="165"/>
  <c r="P149" i="165"/>
  <c r="P150" i="165"/>
  <c r="P151" i="165"/>
  <c r="P152" i="165"/>
  <c r="P153" i="165"/>
  <c r="P154" i="165"/>
  <c r="P155" i="165"/>
  <c r="P156" i="165"/>
  <c r="P157" i="165"/>
  <c r="P158" i="165"/>
  <c r="P159" i="165"/>
  <c r="P160" i="165"/>
  <c r="P161" i="165"/>
  <c r="P162" i="165"/>
  <c r="P163" i="165"/>
  <c r="P164" i="165"/>
  <c r="P165" i="165"/>
  <c r="P166" i="165"/>
  <c r="P167" i="165"/>
  <c r="P168" i="165"/>
  <c r="P169" i="165"/>
  <c r="P170" i="165"/>
  <c r="P171" i="165"/>
  <c r="P172" i="165"/>
  <c r="P173" i="165"/>
  <c r="P174" i="165"/>
  <c r="P175" i="165"/>
  <c r="P176" i="165"/>
  <c r="P177" i="165"/>
  <c r="P178" i="165"/>
  <c r="P179" i="165"/>
  <c r="P180" i="165"/>
  <c r="P181" i="165"/>
  <c r="P182" i="165"/>
  <c r="P183" i="165"/>
  <c r="P184" i="165"/>
  <c r="P185" i="165"/>
  <c r="P186" i="165"/>
  <c r="P187" i="165"/>
  <c r="P188" i="165"/>
  <c r="P189" i="165"/>
  <c r="P190" i="165"/>
  <c r="P191" i="165"/>
  <c r="P192" i="165"/>
  <c r="P193" i="165"/>
  <c r="P194" i="165"/>
  <c r="P195" i="165"/>
  <c r="P196" i="165"/>
  <c r="P197" i="165"/>
  <c r="P198" i="165"/>
  <c r="P199" i="165"/>
  <c r="P200" i="165"/>
  <c r="P201" i="165"/>
  <c r="P202" i="165"/>
  <c r="P203" i="165"/>
  <c r="P204" i="165"/>
  <c r="P205" i="165"/>
  <c r="P206" i="165"/>
  <c r="P207" i="165"/>
  <c r="P208" i="165"/>
  <c r="P209" i="165"/>
  <c r="P210" i="165"/>
  <c r="P211" i="165"/>
  <c r="P212" i="165"/>
  <c r="P213" i="165"/>
  <c r="P214" i="165"/>
  <c r="P215" i="165"/>
  <c r="P216" i="165"/>
  <c r="P217" i="165"/>
  <c r="P218" i="165"/>
  <c r="P219" i="165"/>
  <c r="P220" i="165"/>
  <c r="P221" i="165"/>
  <c r="P222" i="165"/>
  <c r="P223" i="165"/>
  <c r="P224" i="165"/>
  <c r="P225" i="165"/>
  <c r="P226" i="165"/>
  <c r="P227" i="165"/>
  <c r="P228" i="165"/>
  <c r="P229" i="165"/>
  <c r="P230" i="165"/>
  <c r="P231" i="165"/>
  <c r="P232" i="165"/>
  <c r="P233" i="165"/>
  <c r="P234" i="165"/>
  <c r="P235" i="165"/>
  <c r="P236" i="165"/>
  <c r="P237" i="165"/>
  <c r="P238" i="165"/>
  <c r="P239" i="165"/>
  <c r="P240" i="165"/>
  <c r="P241" i="165"/>
  <c r="P242" i="165"/>
  <c r="P243" i="165"/>
  <c r="P244" i="165"/>
  <c r="P245" i="165"/>
  <c r="P246" i="165"/>
  <c r="P247" i="165"/>
  <c r="P248" i="165"/>
  <c r="P249" i="165"/>
  <c r="P250" i="165"/>
  <c r="P251" i="165"/>
  <c r="P252" i="165"/>
  <c r="P253" i="165"/>
  <c r="P254" i="165"/>
  <c r="P255" i="165"/>
  <c r="P256" i="165"/>
  <c r="P257" i="165"/>
  <c r="P258" i="165"/>
  <c r="P259" i="165"/>
  <c r="P260" i="165"/>
  <c r="P261" i="165"/>
  <c r="P262" i="165"/>
  <c r="P263" i="165"/>
  <c r="P264" i="165"/>
  <c r="P265" i="165"/>
  <c r="P266" i="165"/>
  <c r="P267" i="165"/>
  <c r="P268" i="165"/>
  <c r="P269" i="165"/>
  <c r="P270" i="165"/>
  <c r="P271" i="165"/>
  <c r="P272" i="165"/>
  <c r="P273" i="165"/>
  <c r="P274" i="165"/>
  <c r="P275" i="165"/>
  <c r="P276" i="165"/>
  <c r="P277" i="165"/>
  <c r="P278" i="165"/>
  <c r="P279" i="165"/>
  <c r="P280" i="165"/>
  <c r="P281" i="165"/>
  <c r="P282" i="165"/>
  <c r="P283" i="165"/>
  <c r="P284" i="165"/>
  <c r="P285" i="165"/>
  <c r="P286" i="165"/>
  <c r="P287" i="165"/>
  <c r="P288" i="165"/>
  <c r="P289" i="165"/>
  <c r="P290" i="165"/>
  <c r="P291" i="165"/>
  <c r="P292" i="165"/>
  <c r="P293" i="165"/>
  <c r="P294" i="165"/>
  <c r="P295" i="165"/>
  <c r="P296" i="165"/>
  <c r="P297" i="165"/>
  <c r="P298" i="165"/>
  <c r="P299" i="165"/>
  <c r="P300" i="165"/>
  <c r="P301" i="165"/>
  <c r="P302" i="165"/>
  <c r="P303" i="165"/>
  <c r="P304" i="165"/>
  <c r="P305" i="165"/>
  <c r="P306" i="165"/>
  <c r="P307" i="165"/>
  <c r="P308" i="165"/>
  <c r="P309" i="165"/>
  <c r="P310" i="165"/>
  <c r="P311" i="165"/>
  <c r="P312" i="165"/>
  <c r="P313" i="165"/>
  <c r="P315" i="165"/>
  <c r="P316" i="165"/>
  <c r="P318" i="165"/>
  <c r="P319" i="165"/>
  <c r="P320" i="165"/>
  <c r="P322" i="165"/>
  <c r="P323" i="165"/>
  <c r="P324" i="165"/>
  <c r="P325" i="165"/>
  <c r="P326" i="165"/>
  <c r="P327" i="165"/>
  <c r="P329" i="165"/>
  <c r="P330" i="165"/>
  <c r="P331" i="165"/>
  <c r="P332" i="165"/>
  <c r="P333" i="165"/>
  <c r="P334" i="165"/>
  <c r="P335" i="165"/>
  <c r="P336" i="165"/>
  <c r="P337" i="165"/>
  <c r="P338" i="165"/>
  <c r="P339" i="165"/>
  <c r="P340" i="165"/>
  <c r="P341" i="165"/>
  <c r="P342" i="165"/>
  <c r="P343" i="165"/>
  <c r="P344" i="165"/>
  <c r="P345" i="165"/>
  <c r="P346" i="165"/>
  <c r="P347" i="165"/>
  <c r="P348" i="165"/>
  <c r="P349" i="165"/>
  <c r="P350" i="165"/>
  <c r="P351" i="165"/>
  <c r="G48" i="166"/>
  <c r="B47" i="166"/>
  <c r="C40" i="166"/>
  <c r="C41" i="166"/>
  <c r="C42" i="166"/>
  <c r="C43" i="166"/>
  <c r="C44" i="166"/>
  <c r="C45" i="166"/>
  <c r="C46" i="166"/>
  <c r="C47" i="166"/>
  <c r="G42" i="166"/>
  <c r="G41" i="166"/>
  <c r="G40" i="166"/>
  <c r="F35" i="166"/>
  <c r="F34" i="166"/>
  <c r="B10" i="166"/>
  <c r="B30" i="166"/>
  <c r="B32" i="166"/>
  <c r="C19" i="166"/>
  <c r="C20" i="166"/>
  <c r="C21" i="166"/>
  <c r="C22" i="166"/>
  <c r="C23" i="166"/>
  <c r="C24" i="166"/>
  <c r="C25" i="166"/>
  <c r="C26" i="166"/>
  <c r="C27" i="166"/>
  <c r="C28" i="166"/>
  <c r="C29" i="166"/>
  <c r="C30" i="166"/>
  <c r="C31" i="166"/>
  <c r="C32" i="166"/>
  <c r="D32" i="166"/>
  <c r="G31" i="166"/>
  <c r="H31" i="166"/>
  <c r="I31" i="166"/>
  <c r="J31" i="166"/>
  <c r="F31" i="166"/>
  <c r="D31" i="166"/>
  <c r="G30" i="166"/>
  <c r="H30" i="166"/>
  <c r="I30" i="166"/>
  <c r="J30" i="166"/>
  <c r="F30" i="166"/>
  <c r="D30" i="166"/>
  <c r="I29" i="166"/>
  <c r="J29" i="166"/>
  <c r="F29" i="166"/>
  <c r="D29" i="166"/>
  <c r="I28" i="166"/>
  <c r="J28" i="166"/>
  <c r="F28" i="166"/>
  <c r="D28" i="166"/>
  <c r="I27" i="166"/>
  <c r="J27" i="166"/>
  <c r="F27" i="166"/>
  <c r="D27" i="166"/>
  <c r="I26" i="166"/>
  <c r="J26" i="166"/>
  <c r="F26" i="166"/>
  <c r="D26" i="166"/>
  <c r="I25" i="166"/>
  <c r="J25" i="166"/>
  <c r="F25" i="166"/>
  <c r="D25" i="166"/>
  <c r="I24" i="166"/>
  <c r="J24" i="166"/>
  <c r="F24" i="166"/>
  <c r="D24" i="166"/>
  <c r="I23" i="166"/>
  <c r="J23" i="166"/>
  <c r="F23" i="166"/>
  <c r="D23" i="166"/>
  <c r="I22" i="166"/>
  <c r="J22" i="166"/>
  <c r="F22" i="166"/>
  <c r="D22" i="166"/>
  <c r="I21" i="166"/>
  <c r="J21" i="166"/>
  <c r="F21" i="166"/>
  <c r="D21" i="166"/>
  <c r="R20" i="166"/>
  <c r="P20" i="166"/>
  <c r="O20" i="166"/>
  <c r="M20" i="166"/>
  <c r="I20" i="166"/>
  <c r="J20" i="166"/>
  <c r="F20" i="166"/>
  <c r="D20" i="166"/>
  <c r="R19" i="166"/>
  <c r="P19" i="166"/>
  <c r="O19" i="166"/>
  <c r="M19" i="166"/>
  <c r="I19" i="166"/>
  <c r="J19" i="166"/>
  <c r="F19" i="166"/>
  <c r="D19" i="166"/>
  <c r="R18" i="166"/>
  <c r="P18" i="166"/>
  <c r="O18" i="166"/>
  <c r="M18" i="166"/>
  <c r="I18" i="166"/>
  <c r="J18" i="166"/>
  <c r="F18" i="166"/>
  <c r="C18" i="166"/>
  <c r="D18" i="166"/>
  <c r="R17" i="166"/>
  <c r="P17" i="166"/>
  <c r="O17" i="166"/>
  <c r="M17" i="166"/>
  <c r="I17" i="166"/>
  <c r="J17" i="166"/>
  <c r="F17" i="166"/>
  <c r="C17" i="166"/>
  <c r="D17" i="166"/>
  <c r="V16" i="166"/>
  <c r="R16" i="166"/>
  <c r="P16" i="166"/>
  <c r="O16" i="166"/>
  <c r="M16" i="166"/>
  <c r="V15" i="166"/>
  <c r="R15" i="166"/>
  <c r="P15" i="166"/>
  <c r="O15" i="166"/>
  <c r="M15" i="166"/>
  <c r="V14" i="166"/>
  <c r="R14" i="166"/>
  <c r="P14" i="166"/>
  <c r="O14" i="166"/>
  <c r="M14" i="166"/>
  <c r="V13" i="166"/>
  <c r="R13" i="166"/>
  <c r="P13" i="166"/>
  <c r="O13" i="166"/>
  <c r="M13" i="166"/>
  <c r="V12" i="166"/>
  <c r="R12" i="166"/>
  <c r="P12" i="166"/>
  <c r="O12" i="166"/>
  <c r="M12" i="166"/>
  <c r="V11" i="166"/>
  <c r="R11" i="166"/>
  <c r="P11" i="166"/>
  <c r="O11" i="166"/>
  <c r="M11" i="166"/>
  <c r="V10" i="166"/>
  <c r="R10" i="166"/>
  <c r="P10" i="166"/>
  <c r="O10" i="166"/>
  <c r="M10" i="166"/>
  <c r="V9" i="166"/>
  <c r="R9" i="166"/>
  <c r="P9" i="166"/>
  <c r="O9" i="166"/>
  <c r="M9" i="166"/>
  <c r="V8" i="166"/>
  <c r="P8" i="166"/>
  <c r="O8" i="166"/>
  <c r="M8" i="166"/>
  <c r="V7" i="166"/>
  <c r="P7" i="166"/>
  <c r="O7" i="166"/>
  <c r="M7" i="166"/>
  <c r="V6" i="166"/>
  <c r="P6" i="166"/>
  <c r="O6" i="166"/>
  <c r="M6" i="166"/>
  <c r="V5" i="166"/>
  <c r="P5" i="166"/>
  <c r="O5" i="166"/>
  <c r="M5" i="166"/>
  <c r="V4" i="166"/>
  <c r="P4" i="166"/>
  <c r="O4" i="166"/>
  <c r="M4" i="166"/>
  <c r="V3" i="166"/>
  <c r="P3" i="166"/>
  <c r="O3" i="166"/>
  <c r="M3" i="166"/>
  <c r="V2" i="166"/>
  <c r="F48" i="164"/>
  <c r="F49" i="164"/>
  <c r="G48" i="164"/>
  <c r="F42" i="164"/>
  <c r="G42" i="164"/>
  <c r="F35" i="164"/>
  <c r="F41" i="164"/>
  <c r="G41" i="164"/>
  <c r="F34" i="164"/>
  <c r="A351" i="165"/>
  <c r="A350" i="165"/>
  <c r="A349" i="165"/>
  <c r="A348" i="165"/>
  <c r="A347" i="165"/>
  <c r="A346" i="165"/>
  <c r="A345" i="165"/>
  <c r="A344" i="165"/>
  <c r="A343" i="165"/>
  <c r="A342" i="165"/>
  <c r="A341" i="165"/>
  <c r="A340" i="165"/>
  <c r="A339" i="165"/>
  <c r="A338" i="165"/>
  <c r="A337" i="165"/>
  <c r="A336" i="165"/>
  <c r="A335" i="165"/>
  <c r="A334" i="165"/>
  <c r="A333" i="165"/>
  <c r="A332" i="165"/>
  <c r="A331" i="165"/>
  <c r="A330" i="165"/>
  <c r="A329" i="165"/>
  <c r="A328" i="165"/>
  <c r="A327" i="165"/>
  <c r="A326" i="165"/>
  <c r="A325" i="165"/>
  <c r="A324" i="165"/>
  <c r="A323" i="165"/>
  <c r="A322" i="165"/>
  <c r="A321" i="165"/>
  <c r="A320" i="165"/>
  <c r="A319" i="165"/>
  <c r="A318" i="165"/>
  <c r="A317" i="165"/>
  <c r="A316" i="165"/>
  <c r="A315" i="165"/>
  <c r="A314" i="165"/>
  <c r="A313" i="165"/>
  <c r="A312" i="165"/>
  <c r="A311" i="165"/>
  <c r="A310" i="165"/>
  <c r="A309" i="165"/>
  <c r="A308" i="165"/>
  <c r="A307" i="165"/>
  <c r="A306" i="165"/>
  <c r="A305" i="165"/>
  <c r="A304" i="165"/>
  <c r="A303" i="165"/>
  <c r="A302" i="165"/>
  <c r="A301" i="165"/>
  <c r="A300" i="165"/>
  <c r="A299" i="165"/>
  <c r="A298" i="165"/>
  <c r="A297" i="165"/>
  <c r="A296" i="165"/>
  <c r="A295" i="165"/>
  <c r="A294" i="165"/>
  <c r="A293" i="165"/>
  <c r="A292" i="165"/>
  <c r="A291" i="165"/>
  <c r="A290" i="165"/>
  <c r="A289" i="165"/>
  <c r="A288" i="165"/>
  <c r="A287" i="165"/>
  <c r="A286" i="165"/>
  <c r="A285" i="165"/>
  <c r="A284" i="165"/>
  <c r="A283" i="165"/>
  <c r="A282" i="165"/>
  <c r="A281" i="165"/>
  <c r="A280" i="165"/>
  <c r="A279" i="165"/>
  <c r="A278" i="165"/>
  <c r="A277" i="165"/>
  <c r="A276" i="165"/>
  <c r="A275" i="165"/>
  <c r="A274" i="165"/>
  <c r="A273" i="165"/>
  <c r="A272" i="165"/>
  <c r="A271" i="165"/>
  <c r="A270" i="165"/>
  <c r="A269" i="165"/>
  <c r="A268" i="165"/>
  <c r="A267" i="165"/>
  <c r="A266" i="165"/>
  <c r="A265" i="165"/>
  <c r="A264" i="165"/>
  <c r="A263" i="165"/>
  <c r="A262" i="165"/>
  <c r="A261" i="165"/>
  <c r="A260" i="165"/>
  <c r="A259" i="165"/>
  <c r="A258" i="165"/>
  <c r="A257" i="165"/>
  <c r="A256" i="165"/>
  <c r="A255" i="165"/>
  <c r="A254" i="165"/>
  <c r="A253" i="165"/>
  <c r="A252" i="165"/>
  <c r="A251" i="165"/>
  <c r="A250" i="165"/>
  <c r="A249" i="165"/>
  <c r="A248" i="165"/>
  <c r="A247" i="165"/>
  <c r="A246" i="165"/>
  <c r="A245" i="165"/>
  <c r="A244" i="165"/>
  <c r="A243" i="165"/>
  <c r="A242" i="165"/>
  <c r="A241" i="165"/>
  <c r="A240" i="165"/>
  <c r="A239" i="165"/>
  <c r="A238" i="165"/>
  <c r="A237" i="165"/>
  <c r="A236" i="165"/>
  <c r="A235" i="165"/>
  <c r="A234" i="165"/>
  <c r="A233" i="165"/>
  <c r="A232" i="165"/>
  <c r="A231" i="165"/>
  <c r="A230" i="165"/>
  <c r="A229" i="165"/>
  <c r="A228" i="165"/>
  <c r="A227" i="165"/>
  <c r="A226" i="165"/>
  <c r="A225" i="165"/>
  <c r="A224" i="165"/>
  <c r="A223" i="165"/>
  <c r="A222" i="165"/>
  <c r="A221" i="165"/>
  <c r="A220" i="165"/>
  <c r="A219" i="165"/>
  <c r="A218" i="165"/>
  <c r="A217" i="165"/>
  <c r="A216" i="165"/>
  <c r="A215" i="165"/>
  <c r="A214" i="165"/>
  <c r="A213" i="165"/>
  <c r="A212" i="165"/>
  <c r="A211" i="165"/>
  <c r="A210" i="165"/>
  <c r="A209" i="165"/>
  <c r="A208" i="165"/>
  <c r="A207" i="165"/>
  <c r="A206" i="165"/>
  <c r="A205" i="165"/>
  <c r="A204" i="165"/>
  <c r="A203" i="165"/>
  <c r="A202" i="165"/>
  <c r="A201" i="165"/>
  <c r="A200" i="165"/>
  <c r="A199" i="165"/>
  <c r="A198" i="165"/>
  <c r="A197" i="165"/>
  <c r="A196" i="165"/>
  <c r="A195" i="165"/>
  <c r="A194" i="165"/>
  <c r="A193" i="165"/>
  <c r="A192" i="165"/>
  <c r="A191" i="165"/>
  <c r="A190" i="165"/>
  <c r="A189" i="165"/>
  <c r="A188" i="165"/>
  <c r="A187" i="165"/>
  <c r="A186" i="165"/>
  <c r="A185" i="165"/>
  <c r="A184" i="165"/>
  <c r="A183" i="165"/>
  <c r="A182" i="165"/>
  <c r="A181" i="165"/>
  <c r="A180" i="165"/>
  <c r="A179" i="165"/>
  <c r="A178" i="165"/>
  <c r="A177" i="165"/>
  <c r="A176" i="165"/>
  <c r="A175" i="165"/>
  <c r="A174" i="165"/>
  <c r="A173" i="165"/>
  <c r="A172" i="165"/>
  <c r="A171" i="165"/>
  <c r="A170" i="165"/>
  <c r="A169" i="165"/>
  <c r="A168" i="165"/>
  <c r="A167" i="165"/>
  <c r="A166" i="165"/>
  <c r="A165" i="165"/>
  <c r="A164" i="165"/>
  <c r="A163" i="165"/>
  <c r="A162" i="165"/>
  <c r="A161" i="165"/>
  <c r="A160" i="165"/>
  <c r="A159" i="165"/>
  <c r="A158" i="165"/>
  <c r="A157" i="165"/>
  <c r="A156" i="165"/>
  <c r="A155" i="165"/>
  <c r="A154" i="165"/>
  <c r="A153" i="165"/>
  <c r="A152" i="165"/>
  <c r="A151" i="165"/>
  <c r="A150" i="165"/>
  <c r="A149" i="165"/>
  <c r="A148" i="165"/>
  <c r="A147" i="165"/>
  <c r="A146" i="165"/>
  <c r="A145" i="165"/>
  <c r="A144" i="165"/>
  <c r="A143" i="165"/>
  <c r="A142" i="165"/>
  <c r="A141" i="165"/>
  <c r="A140" i="165"/>
  <c r="A139" i="165"/>
  <c r="A138" i="165"/>
  <c r="A137" i="165"/>
  <c r="A136" i="165"/>
  <c r="A135" i="165"/>
  <c r="A134" i="165"/>
  <c r="A133" i="165"/>
  <c r="A132" i="165"/>
  <c r="A131" i="165"/>
  <c r="A130" i="165"/>
  <c r="A129" i="165"/>
  <c r="A128" i="165"/>
  <c r="A127" i="165"/>
  <c r="A126" i="165"/>
  <c r="A125" i="165"/>
  <c r="A124" i="165"/>
  <c r="A123" i="165"/>
  <c r="A122" i="165"/>
  <c r="A121" i="165"/>
  <c r="A120" i="165"/>
  <c r="A119" i="165"/>
  <c r="A118" i="165"/>
  <c r="A117" i="165"/>
  <c r="A116" i="165"/>
  <c r="A115" i="165"/>
  <c r="A114" i="165"/>
  <c r="A113" i="165"/>
  <c r="A112" i="165"/>
  <c r="A111" i="165"/>
  <c r="A110" i="165"/>
  <c r="A109" i="165"/>
  <c r="A108" i="165"/>
  <c r="A107" i="165"/>
  <c r="A106" i="165"/>
  <c r="A105" i="165"/>
  <c r="A104" i="165"/>
  <c r="A103" i="165"/>
  <c r="A102" i="165"/>
  <c r="A101" i="165"/>
  <c r="A100" i="165"/>
  <c r="A99" i="165"/>
  <c r="A98" i="165"/>
  <c r="A97" i="165"/>
  <c r="A96" i="165"/>
  <c r="A95" i="165"/>
  <c r="A94" i="165"/>
  <c r="A93" i="165"/>
  <c r="A92" i="165"/>
  <c r="A91" i="165"/>
  <c r="A90" i="165"/>
  <c r="A89" i="165"/>
  <c r="A88" i="165"/>
  <c r="A87" i="165"/>
  <c r="A86" i="165"/>
  <c r="A85" i="165"/>
  <c r="A84" i="165"/>
  <c r="A83" i="165"/>
  <c r="A82" i="165"/>
  <c r="A81" i="165"/>
  <c r="A80" i="165"/>
  <c r="A79" i="165"/>
  <c r="A78" i="165"/>
  <c r="A77" i="165"/>
  <c r="A76" i="165"/>
  <c r="A75" i="165"/>
  <c r="A74" i="165"/>
  <c r="A73" i="165"/>
  <c r="A72" i="165"/>
  <c r="A71" i="165"/>
  <c r="A70" i="165"/>
  <c r="A69" i="165"/>
  <c r="A68" i="165"/>
  <c r="A67" i="165"/>
  <c r="A66" i="165"/>
  <c r="A65" i="165"/>
  <c r="A64" i="165"/>
  <c r="A63" i="165"/>
  <c r="A62" i="165"/>
  <c r="A61" i="165"/>
  <c r="A60" i="165"/>
  <c r="A59" i="165"/>
  <c r="A58" i="165"/>
  <c r="A57" i="165"/>
  <c r="A56" i="165"/>
  <c r="A55" i="165"/>
  <c r="A54" i="165"/>
  <c r="A53" i="165"/>
  <c r="A52" i="165"/>
  <c r="A51" i="165"/>
  <c r="A50" i="165"/>
  <c r="A49" i="165"/>
  <c r="A48" i="165"/>
  <c r="A47" i="165"/>
  <c r="A46" i="165"/>
  <c r="A45" i="165"/>
  <c r="A44" i="165"/>
  <c r="A43" i="165"/>
  <c r="A42" i="165"/>
  <c r="A41" i="165"/>
  <c r="A40" i="165"/>
  <c r="A39" i="165"/>
  <c r="A38" i="165"/>
  <c r="A37" i="165"/>
  <c r="A36" i="165"/>
  <c r="A35" i="165"/>
  <c r="A34" i="165"/>
  <c r="A33" i="165"/>
  <c r="A32" i="165"/>
  <c r="A31" i="165"/>
  <c r="A30" i="165"/>
  <c r="A29" i="165"/>
  <c r="A28" i="165"/>
  <c r="A27" i="165"/>
  <c r="A26" i="165"/>
  <c r="A25" i="165"/>
  <c r="A24" i="165"/>
  <c r="A23" i="165"/>
  <c r="A22" i="165"/>
  <c r="A21" i="165"/>
  <c r="A20" i="165"/>
  <c r="A19" i="165"/>
  <c r="A18" i="165"/>
  <c r="A17" i="165"/>
  <c r="A16" i="165"/>
  <c r="A15" i="165"/>
  <c r="A14" i="165"/>
  <c r="A13" i="165"/>
  <c r="A12" i="165"/>
  <c r="A11" i="165"/>
  <c r="A10" i="165"/>
  <c r="A9" i="165"/>
  <c r="A8" i="165"/>
  <c r="A7" i="165"/>
  <c r="A6" i="165"/>
  <c r="A5" i="165"/>
  <c r="A4" i="165"/>
  <c r="A3" i="165"/>
  <c r="A2" i="165"/>
  <c r="A2" i="153"/>
  <c r="F47" i="164"/>
  <c r="F46" i="164"/>
  <c r="B46" i="164"/>
  <c r="F45" i="164"/>
  <c r="B45" i="164"/>
  <c r="B44" i="164"/>
  <c r="B43" i="164"/>
  <c r="B42" i="164"/>
  <c r="B41" i="164"/>
  <c r="F40" i="164"/>
  <c r="B40" i="164"/>
  <c r="E31" i="164"/>
  <c r="E30" i="164"/>
  <c r="I44" i="154"/>
  <c r="D44" i="154"/>
  <c r="J44" i="154"/>
  <c r="E44" i="154"/>
  <c r="C44" i="154"/>
  <c r="I2" i="154"/>
  <c r="J2" i="154"/>
  <c r="D2" i="154"/>
  <c r="E2" i="154"/>
  <c r="C2" i="154"/>
  <c r="I3" i="154"/>
  <c r="J3" i="154"/>
  <c r="D3" i="154"/>
  <c r="E3" i="154"/>
  <c r="C3" i="154"/>
  <c r="I4" i="154"/>
  <c r="J4" i="154"/>
  <c r="D4" i="154"/>
  <c r="E4" i="154"/>
  <c r="C4" i="154"/>
  <c r="I5" i="154"/>
  <c r="J5" i="154"/>
  <c r="D5" i="154"/>
  <c r="E5" i="154"/>
  <c r="C5" i="154"/>
  <c r="I6" i="154"/>
  <c r="J6" i="154"/>
  <c r="D6" i="154"/>
  <c r="E6" i="154"/>
  <c r="C6" i="154"/>
  <c r="I7" i="154"/>
  <c r="J7" i="154"/>
  <c r="D7" i="154"/>
  <c r="E7" i="154"/>
  <c r="C7" i="154"/>
  <c r="I8" i="154"/>
  <c r="J8" i="154"/>
  <c r="D8" i="154"/>
  <c r="E8" i="154"/>
  <c r="C8" i="154"/>
  <c r="I9" i="154"/>
  <c r="J9" i="154"/>
  <c r="D9" i="154"/>
  <c r="E9" i="154"/>
  <c r="C9" i="154"/>
  <c r="I10" i="154"/>
  <c r="J10" i="154"/>
  <c r="D10" i="154"/>
  <c r="E10" i="154"/>
  <c r="C10" i="154"/>
  <c r="I11" i="154"/>
  <c r="J11" i="154"/>
  <c r="D11" i="154"/>
  <c r="E11" i="154"/>
  <c r="C11" i="154"/>
  <c r="I12" i="154"/>
  <c r="J12" i="154"/>
  <c r="D12" i="154"/>
  <c r="E12" i="154"/>
  <c r="C12" i="154"/>
  <c r="I13" i="154"/>
  <c r="J13" i="154"/>
  <c r="D13" i="154"/>
  <c r="E13" i="154"/>
  <c r="C13" i="154"/>
  <c r="I14" i="154"/>
  <c r="J14" i="154"/>
  <c r="D14" i="154"/>
  <c r="E14" i="154"/>
  <c r="C14" i="154"/>
  <c r="I15" i="154"/>
  <c r="J15" i="154"/>
  <c r="D15" i="154"/>
  <c r="E15" i="154"/>
  <c r="C15" i="154"/>
  <c r="I16" i="154"/>
  <c r="J16" i="154"/>
  <c r="D16" i="154"/>
  <c r="E16" i="154"/>
  <c r="C16" i="154"/>
  <c r="I17" i="154"/>
  <c r="J17" i="154"/>
  <c r="D17" i="154"/>
  <c r="E17" i="154"/>
  <c r="C17" i="154"/>
  <c r="I18" i="154"/>
  <c r="J18" i="154"/>
  <c r="D18" i="154"/>
  <c r="E18" i="154"/>
  <c r="C18" i="154"/>
  <c r="I19" i="154"/>
  <c r="J19" i="154"/>
  <c r="D19" i="154"/>
  <c r="E19" i="154"/>
  <c r="C19" i="154"/>
  <c r="I20" i="154"/>
  <c r="J20" i="154"/>
  <c r="D20" i="154"/>
  <c r="E20" i="154"/>
  <c r="C20" i="154"/>
  <c r="I21" i="154"/>
  <c r="J21" i="154"/>
  <c r="D21" i="154"/>
  <c r="E21" i="154"/>
  <c r="C21" i="154"/>
  <c r="I22" i="154"/>
  <c r="J22" i="154"/>
  <c r="D22" i="154"/>
  <c r="E22" i="154"/>
  <c r="C22" i="154"/>
  <c r="I23" i="154"/>
  <c r="J23" i="154"/>
  <c r="D23" i="154"/>
  <c r="E23" i="154"/>
  <c r="C23" i="154"/>
  <c r="I24" i="154"/>
  <c r="J24" i="154"/>
  <c r="D24" i="154"/>
  <c r="E24" i="154"/>
  <c r="C24" i="154"/>
  <c r="I25" i="154"/>
  <c r="J25" i="154"/>
  <c r="D25" i="154"/>
  <c r="E25" i="154"/>
  <c r="C25" i="154"/>
  <c r="I26" i="154"/>
  <c r="J26" i="154"/>
  <c r="D26" i="154"/>
  <c r="E26" i="154"/>
  <c r="C26" i="154"/>
  <c r="I27" i="154"/>
  <c r="J27" i="154"/>
  <c r="D27" i="154"/>
  <c r="E27" i="154"/>
  <c r="C27" i="154"/>
  <c r="I28" i="154"/>
  <c r="J28" i="154"/>
  <c r="D28" i="154"/>
  <c r="E28" i="154"/>
  <c r="C28" i="154"/>
  <c r="I29" i="154"/>
  <c r="J29" i="154"/>
  <c r="D29" i="154"/>
  <c r="E29" i="154"/>
  <c r="C29" i="154"/>
  <c r="I30" i="154"/>
  <c r="J30" i="154"/>
  <c r="D30" i="154"/>
  <c r="E30" i="154"/>
  <c r="C30" i="154"/>
  <c r="I31" i="154"/>
  <c r="J31" i="154"/>
  <c r="D31" i="154"/>
  <c r="E31" i="154"/>
  <c r="C31" i="154"/>
  <c r="I32" i="154"/>
  <c r="J32" i="154"/>
  <c r="D32" i="154"/>
  <c r="E32" i="154"/>
  <c r="C32" i="154"/>
  <c r="I33" i="154"/>
  <c r="J33" i="154"/>
  <c r="D33" i="154"/>
  <c r="E33" i="154"/>
  <c r="C33" i="154"/>
  <c r="I34" i="154"/>
  <c r="J34" i="154"/>
  <c r="D34" i="154"/>
  <c r="E34" i="154"/>
  <c r="C34" i="154"/>
  <c r="I35" i="154"/>
  <c r="J35" i="154"/>
  <c r="D35" i="154"/>
  <c r="E35" i="154"/>
  <c r="C35" i="154"/>
  <c r="I36" i="154"/>
  <c r="J36" i="154"/>
  <c r="D36" i="154"/>
  <c r="E36" i="154"/>
  <c r="C36" i="154"/>
  <c r="I37" i="154"/>
  <c r="J37" i="154"/>
  <c r="D37" i="154"/>
  <c r="E37" i="154"/>
  <c r="C37" i="154"/>
  <c r="I38" i="154"/>
  <c r="J38" i="154"/>
  <c r="D38" i="154"/>
  <c r="E38" i="154"/>
  <c r="C38" i="154"/>
  <c r="I39" i="154"/>
  <c r="J39" i="154"/>
  <c r="D39" i="154"/>
  <c r="E39" i="154"/>
  <c r="C39" i="154"/>
  <c r="I40" i="154"/>
  <c r="J40" i="154"/>
  <c r="D40" i="154"/>
  <c r="E40" i="154"/>
  <c r="C40" i="154"/>
  <c r="I41" i="154"/>
  <c r="J41" i="154"/>
  <c r="D41" i="154"/>
  <c r="E41" i="154"/>
  <c r="C41" i="154"/>
  <c r="I42" i="154"/>
  <c r="D42" i="154"/>
  <c r="J42" i="154"/>
  <c r="E42" i="154"/>
  <c r="C42" i="154"/>
  <c r="I43" i="154"/>
  <c r="D43" i="154"/>
  <c r="J43" i="154"/>
  <c r="E43" i="154"/>
  <c r="C43" i="154"/>
  <c r="I45" i="154"/>
  <c r="D45" i="154"/>
  <c r="J45" i="154"/>
  <c r="E45" i="154"/>
  <c r="C45" i="154"/>
  <c r="I46" i="154"/>
  <c r="D46" i="154"/>
  <c r="J46" i="154"/>
  <c r="E46" i="154"/>
  <c r="C46" i="154"/>
  <c r="I47" i="154"/>
  <c r="D47" i="154"/>
  <c r="J47" i="154"/>
  <c r="E47" i="154"/>
  <c r="C47" i="154"/>
  <c r="I48" i="154"/>
  <c r="D48" i="154"/>
  <c r="J48" i="154"/>
  <c r="E48" i="154"/>
  <c r="C48" i="154"/>
  <c r="I49" i="154"/>
  <c r="D49" i="154"/>
  <c r="J49" i="154"/>
  <c r="E49" i="154"/>
  <c r="C49" i="154"/>
  <c r="I50" i="154"/>
  <c r="D50" i="154"/>
  <c r="J50" i="154"/>
  <c r="E50" i="154"/>
  <c r="C50" i="154"/>
  <c r="I51" i="154"/>
  <c r="D51" i="154"/>
  <c r="J51" i="154"/>
  <c r="E51" i="154"/>
  <c r="C51" i="154"/>
  <c r="I52" i="154"/>
  <c r="D52" i="154"/>
  <c r="J52" i="154"/>
  <c r="E52" i="154"/>
  <c r="C52" i="154"/>
  <c r="I53" i="154"/>
  <c r="D53" i="154"/>
  <c r="J53" i="154"/>
  <c r="E53" i="154"/>
  <c r="C53" i="154"/>
  <c r="I54" i="154"/>
  <c r="D54" i="154"/>
  <c r="J54" i="154"/>
  <c r="E54" i="154"/>
  <c r="C54" i="154"/>
  <c r="I55" i="154"/>
  <c r="D55" i="154"/>
  <c r="J55" i="154"/>
  <c r="E55" i="154"/>
  <c r="C55" i="154"/>
  <c r="I56" i="154"/>
  <c r="D56" i="154"/>
  <c r="J56" i="154"/>
  <c r="E56" i="154"/>
  <c r="C56" i="154"/>
  <c r="I57" i="154"/>
  <c r="D57" i="154"/>
  <c r="J57" i="154"/>
  <c r="E57" i="154"/>
  <c r="C57" i="154"/>
  <c r="I58" i="154"/>
  <c r="D58" i="154"/>
  <c r="J58" i="154"/>
  <c r="E58" i="154"/>
  <c r="C58" i="154"/>
  <c r="I59" i="154"/>
  <c r="D59" i="154"/>
  <c r="J59" i="154"/>
  <c r="E59" i="154"/>
  <c r="C59" i="154"/>
  <c r="I60" i="154"/>
  <c r="D60" i="154"/>
  <c r="J60" i="154"/>
  <c r="E60" i="154"/>
  <c r="C60" i="154"/>
  <c r="I61" i="154"/>
  <c r="D61" i="154"/>
  <c r="J61" i="154"/>
  <c r="E61" i="154"/>
  <c r="C61" i="154"/>
  <c r="I62" i="154"/>
  <c r="D62" i="154"/>
  <c r="J62" i="154"/>
  <c r="E62" i="154"/>
  <c r="C62" i="154"/>
  <c r="I63" i="154"/>
  <c r="D63" i="154"/>
  <c r="J63" i="154"/>
  <c r="E63" i="154"/>
  <c r="C63" i="154"/>
  <c r="I64" i="154"/>
  <c r="D64" i="154"/>
  <c r="J64" i="154"/>
  <c r="E64" i="154"/>
  <c r="C64" i="154"/>
  <c r="I65" i="154"/>
  <c r="D65" i="154"/>
  <c r="J65" i="154"/>
  <c r="E65" i="154"/>
  <c r="C65" i="154"/>
  <c r="I66" i="154"/>
  <c r="D66" i="154"/>
  <c r="J66" i="154"/>
  <c r="E66" i="154"/>
  <c r="C66" i="154"/>
  <c r="I67" i="154"/>
  <c r="D67" i="154"/>
  <c r="J67" i="154"/>
  <c r="E67" i="154"/>
  <c r="C67" i="154"/>
  <c r="I68" i="154"/>
  <c r="D68" i="154"/>
  <c r="J68" i="154"/>
  <c r="E68" i="154"/>
  <c r="C68" i="154"/>
  <c r="I69" i="154"/>
  <c r="D69" i="154"/>
  <c r="J69" i="154"/>
  <c r="E69" i="154"/>
  <c r="C69" i="154"/>
  <c r="I70" i="154"/>
  <c r="D70" i="154"/>
  <c r="J70" i="154"/>
  <c r="E70" i="154"/>
  <c r="C70" i="154"/>
  <c r="I71" i="154"/>
  <c r="D71" i="154"/>
  <c r="J71" i="154"/>
  <c r="E71" i="154"/>
  <c r="C71" i="154"/>
  <c r="I72" i="154"/>
  <c r="D72" i="154"/>
  <c r="J72" i="154"/>
  <c r="E72" i="154"/>
  <c r="C72" i="154"/>
  <c r="I73" i="154"/>
  <c r="D73" i="154"/>
  <c r="J73" i="154"/>
  <c r="E73" i="154"/>
  <c r="C73" i="154"/>
  <c r="I74" i="154"/>
  <c r="D74" i="154"/>
  <c r="J74" i="154"/>
  <c r="E74" i="154"/>
  <c r="C74" i="154"/>
  <c r="I75" i="154"/>
  <c r="D75" i="154"/>
  <c r="J75" i="154"/>
  <c r="E75" i="154"/>
  <c r="C75" i="154"/>
  <c r="I76" i="154"/>
  <c r="D76" i="154"/>
  <c r="J76" i="154"/>
  <c r="E76" i="154"/>
  <c r="C76" i="154"/>
  <c r="I77" i="154"/>
  <c r="D77" i="154"/>
  <c r="J77" i="154"/>
  <c r="E77" i="154"/>
  <c r="C77" i="154"/>
  <c r="I78" i="154"/>
  <c r="D78" i="154"/>
  <c r="J78" i="154"/>
  <c r="E78" i="154"/>
  <c r="C78" i="154"/>
  <c r="I79" i="154"/>
  <c r="D79" i="154"/>
  <c r="J79" i="154"/>
  <c r="E79" i="154"/>
  <c r="C79" i="154"/>
  <c r="I80" i="154"/>
  <c r="D80" i="154"/>
  <c r="J80" i="154"/>
  <c r="E80" i="154"/>
  <c r="C80" i="154"/>
  <c r="I81" i="154"/>
  <c r="D81" i="154"/>
  <c r="J81" i="154"/>
  <c r="E81" i="154"/>
  <c r="C81" i="154"/>
  <c r="I82" i="154"/>
  <c r="D82" i="154"/>
  <c r="J82" i="154"/>
  <c r="E82" i="154"/>
  <c r="C82" i="154"/>
  <c r="I83" i="154"/>
  <c r="D83" i="154"/>
  <c r="J83" i="154"/>
  <c r="E83" i="154"/>
  <c r="C83" i="154"/>
  <c r="I84" i="154"/>
  <c r="D84" i="154"/>
  <c r="J84" i="154"/>
  <c r="E84" i="154"/>
  <c r="C84" i="154"/>
  <c r="I85" i="154"/>
  <c r="D85" i="154"/>
  <c r="J85" i="154"/>
  <c r="E85" i="154"/>
  <c r="C85" i="154"/>
  <c r="I86" i="154"/>
  <c r="D86" i="154"/>
  <c r="J86" i="154"/>
  <c r="E86" i="154"/>
  <c r="C86" i="154"/>
  <c r="I87" i="154"/>
  <c r="D87" i="154"/>
  <c r="J87" i="154"/>
  <c r="E87" i="154"/>
  <c r="C87" i="154"/>
  <c r="I88" i="154"/>
  <c r="D88" i="154"/>
  <c r="J88" i="154"/>
  <c r="E88" i="154"/>
  <c r="C88" i="154"/>
  <c r="I89" i="154"/>
  <c r="D89" i="154"/>
  <c r="J89" i="154"/>
  <c r="E89" i="154"/>
  <c r="C89" i="154"/>
  <c r="I90" i="154"/>
  <c r="D90" i="154"/>
  <c r="J90" i="154"/>
  <c r="E90" i="154"/>
  <c r="C90" i="154"/>
  <c r="I91" i="154"/>
  <c r="D91" i="154"/>
  <c r="J91" i="154"/>
  <c r="E91" i="154"/>
  <c r="C91" i="154"/>
  <c r="I92" i="154"/>
  <c r="D92" i="154"/>
  <c r="J92" i="154"/>
  <c r="E92" i="154"/>
  <c r="C92" i="154"/>
  <c r="I93" i="154"/>
  <c r="D93" i="154"/>
  <c r="J93" i="154"/>
  <c r="E93" i="154"/>
  <c r="C93" i="154"/>
  <c r="I94" i="154"/>
  <c r="D94" i="154"/>
  <c r="J94" i="154"/>
  <c r="E94" i="154"/>
  <c r="C94" i="154"/>
  <c r="I95" i="154"/>
  <c r="D95" i="154"/>
  <c r="J95" i="154"/>
  <c r="E95" i="154"/>
  <c r="C95" i="154"/>
  <c r="I96" i="154"/>
  <c r="D96" i="154"/>
  <c r="J96" i="154"/>
  <c r="E96" i="154"/>
  <c r="C96" i="154"/>
  <c r="I97" i="154"/>
  <c r="D97" i="154"/>
  <c r="J97" i="154"/>
  <c r="E97" i="154"/>
  <c r="C97" i="154"/>
  <c r="I98" i="154"/>
  <c r="D98" i="154"/>
  <c r="J98" i="154"/>
  <c r="E98" i="154"/>
  <c r="C98" i="154"/>
  <c r="I99" i="154"/>
  <c r="D99" i="154"/>
  <c r="J99" i="154"/>
  <c r="E99" i="154"/>
  <c r="C99" i="154"/>
  <c r="I100" i="154"/>
  <c r="D100" i="154"/>
  <c r="J100" i="154"/>
  <c r="E100" i="154"/>
  <c r="C100" i="154"/>
  <c r="I101" i="154"/>
  <c r="D101" i="154"/>
  <c r="J101" i="154"/>
  <c r="E101" i="154"/>
  <c r="C101" i="154"/>
  <c r="I102" i="154"/>
  <c r="D102" i="154"/>
  <c r="J102" i="154"/>
  <c r="E102" i="154"/>
  <c r="C102" i="154"/>
  <c r="I103" i="154"/>
  <c r="D103" i="154"/>
  <c r="J103" i="154"/>
  <c r="E103" i="154"/>
  <c r="C103" i="154"/>
  <c r="I104" i="154"/>
  <c r="D104" i="154"/>
  <c r="J104" i="154"/>
  <c r="E104" i="154"/>
  <c r="C104" i="154"/>
  <c r="I105" i="154"/>
  <c r="D105" i="154"/>
  <c r="J105" i="154"/>
  <c r="E105" i="154"/>
  <c r="C105" i="154"/>
  <c r="I106" i="154"/>
  <c r="D106" i="154"/>
  <c r="J106" i="154"/>
  <c r="E106" i="154"/>
  <c r="C106" i="154"/>
  <c r="I107" i="154"/>
  <c r="D107" i="154"/>
  <c r="J107" i="154"/>
  <c r="E107" i="154"/>
  <c r="C107" i="154"/>
  <c r="I108" i="154"/>
  <c r="D108" i="154"/>
  <c r="J108" i="154"/>
  <c r="E108" i="154"/>
  <c r="C108" i="154"/>
  <c r="I109" i="154"/>
  <c r="D109" i="154"/>
  <c r="J109" i="154"/>
  <c r="E109" i="154"/>
  <c r="C109" i="154"/>
  <c r="I110" i="154"/>
  <c r="D110" i="154"/>
  <c r="J110" i="154"/>
  <c r="E110" i="154"/>
  <c r="C110" i="154"/>
  <c r="I111" i="154"/>
  <c r="D111" i="154"/>
  <c r="J111" i="154"/>
  <c r="E111" i="154"/>
  <c r="C111" i="154"/>
  <c r="I112" i="154"/>
  <c r="D112" i="154"/>
  <c r="J112" i="154"/>
  <c r="E112" i="154"/>
  <c r="C112" i="154"/>
  <c r="I113" i="154"/>
  <c r="D113" i="154"/>
  <c r="J113" i="154"/>
  <c r="E113" i="154"/>
  <c r="C113" i="154"/>
  <c r="I114" i="154"/>
  <c r="D114" i="154"/>
  <c r="J114" i="154"/>
  <c r="E114" i="154"/>
  <c r="C114" i="154"/>
  <c r="I115" i="154"/>
  <c r="D115" i="154"/>
  <c r="J115" i="154"/>
  <c r="E115" i="154"/>
  <c r="C115" i="154"/>
  <c r="I116" i="154"/>
  <c r="D116" i="154"/>
  <c r="J116" i="154"/>
  <c r="E116" i="154"/>
  <c r="C116" i="154"/>
  <c r="I117" i="154"/>
  <c r="D117" i="154"/>
  <c r="J117" i="154"/>
  <c r="E117" i="154"/>
  <c r="C117" i="154"/>
  <c r="I118" i="154"/>
  <c r="D118" i="154"/>
  <c r="J118" i="154"/>
  <c r="E118" i="154"/>
  <c r="C118" i="154"/>
  <c r="I119" i="154"/>
  <c r="D119" i="154"/>
  <c r="J119" i="154"/>
  <c r="E119" i="154"/>
  <c r="C119" i="154"/>
  <c r="I120" i="154"/>
  <c r="D120" i="154"/>
  <c r="J120" i="154"/>
  <c r="E120" i="154"/>
  <c r="C120" i="154"/>
  <c r="I121" i="154"/>
  <c r="D121" i="154"/>
  <c r="J121" i="154"/>
  <c r="E121" i="154"/>
  <c r="C121" i="154"/>
  <c r="I122" i="154"/>
  <c r="D122" i="154"/>
  <c r="J122" i="154"/>
  <c r="E122" i="154"/>
  <c r="C122" i="154"/>
  <c r="I123" i="154"/>
  <c r="D123" i="154"/>
  <c r="J123" i="154"/>
  <c r="E123" i="154"/>
  <c r="C123" i="154"/>
  <c r="I124" i="154"/>
  <c r="D124" i="154"/>
  <c r="J124" i="154"/>
  <c r="E124" i="154"/>
  <c r="C124" i="154"/>
  <c r="I125" i="154"/>
  <c r="D125" i="154"/>
  <c r="J125" i="154"/>
  <c r="E125" i="154"/>
  <c r="C125" i="154"/>
  <c r="I126" i="154"/>
  <c r="D126" i="154"/>
  <c r="J126" i="154"/>
  <c r="E126" i="154"/>
  <c r="C126" i="154"/>
  <c r="I127" i="154"/>
  <c r="D127" i="154"/>
  <c r="J127" i="154"/>
  <c r="E127" i="154"/>
  <c r="C127" i="154"/>
  <c r="I128" i="154"/>
  <c r="D128" i="154"/>
  <c r="J128" i="154"/>
  <c r="E128" i="154"/>
  <c r="C128" i="154"/>
  <c r="I129" i="154"/>
  <c r="D129" i="154"/>
  <c r="J129" i="154"/>
  <c r="E129" i="154"/>
  <c r="C129" i="154"/>
  <c r="I130" i="154"/>
  <c r="D130" i="154"/>
  <c r="J130" i="154"/>
  <c r="E130" i="154"/>
  <c r="C130" i="154"/>
  <c r="I131" i="154"/>
  <c r="D131" i="154"/>
  <c r="J131" i="154"/>
  <c r="E131" i="154"/>
  <c r="C131" i="154"/>
  <c r="I132" i="154"/>
  <c r="D132" i="154"/>
  <c r="J132" i="154"/>
  <c r="E132" i="154"/>
  <c r="C132" i="154"/>
  <c r="I133" i="154"/>
  <c r="D133" i="154"/>
  <c r="J133" i="154"/>
  <c r="E133" i="154"/>
  <c r="C133" i="154"/>
  <c r="I134" i="154"/>
  <c r="D134" i="154"/>
  <c r="J134" i="154"/>
  <c r="E134" i="154"/>
  <c r="C134" i="154"/>
  <c r="I135" i="154"/>
  <c r="D135" i="154"/>
  <c r="J135" i="154"/>
  <c r="E135" i="154"/>
  <c r="C135" i="154"/>
  <c r="I136" i="154"/>
  <c r="D136" i="154"/>
  <c r="J136" i="154"/>
  <c r="E136" i="154"/>
  <c r="C136" i="154"/>
  <c r="I137" i="154"/>
  <c r="D137" i="154"/>
  <c r="J137" i="154"/>
  <c r="E137" i="154"/>
  <c r="C137" i="154"/>
  <c r="I138" i="154"/>
  <c r="D138" i="154"/>
  <c r="J138" i="154"/>
  <c r="E138" i="154"/>
  <c r="C138" i="154"/>
  <c r="I139" i="154"/>
  <c r="D139" i="154"/>
  <c r="J139" i="154"/>
  <c r="E139" i="154"/>
  <c r="C139" i="154"/>
  <c r="I140" i="154"/>
  <c r="D140" i="154"/>
  <c r="J140" i="154"/>
  <c r="E140" i="154"/>
  <c r="C140" i="154"/>
  <c r="I141" i="154"/>
  <c r="D141" i="154"/>
  <c r="J141" i="154"/>
  <c r="E141" i="154"/>
  <c r="C141" i="154"/>
  <c r="I142" i="154"/>
  <c r="D142" i="154"/>
  <c r="J142" i="154"/>
  <c r="E142" i="154"/>
  <c r="C142" i="154"/>
  <c r="I143" i="154"/>
  <c r="D143" i="154"/>
  <c r="J143" i="154"/>
  <c r="E143" i="154"/>
  <c r="C143" i="154"/>
  <c r="I144" i="154"/>
  <c r="D144" i="154"/>
  <c r="J144" i="154"/>
  <c r="E144" i="154"/>
  <c r="C144" i="154"/>
  <c r="I145" i="154"/>
  <c r="D145" i="154"/>
  <c r="J145" i="154"/>
  <c r="E145" i="154"/>
  <c r="C145" i="154"/>
  <c r="I146" i="154"/>
  <c r="D146" i="154"/>
  <c r="J146" i="154"/>
  <c r="E146" i="154"/>
  <c r="C146" i="154"/>
  <c r="I147" i="154"/>
  <c r="D147" i="154"/>
  <c r="J147" i="154"/>
  <c r="E147" i="154"/>
  <c r="C147" i="154"/>
  <c r="I148" i="154"/>
  <c r="D148" i="154"/>
  <c r="J148" i="154"/>
  <c r="E148" i="154"/>
  <c r="C148" i="154"/>
  <c r="I149" i="154"/>
  <c r="D149" i="154"/>
  <c r="J149" i="154"/>
  <c r="E149" i="154"/>
  <c r="C149" i="154"/>
  <c r="I150" i="154"/>
  <c r="D150" i="154"/>
  <c r="J150" i="154"/>
  <c r="E150" i="154"/>
  <c r="C150" i="154"/>
  <c r="I151" i="154"/>
  <c r="D151" i="154"/>
  <c r="J151" i="154"/>
  <c r="E151" i="154"/>
  <c r="C151" i="154"/>
  <c r="I152" i="154"/>
  <c r="D152" i="154"/>
  <c r="J152" i="154"/>
  <c r="E152" i="154"/>
  <c r="C152" i="154"/>
  <c r="I153" i="154"/>
  <c r="D153" i="154"/>
  <c r="J153" i="154"/>
  <c r="E153" i="154"/>
  <c r="C153" i="154"/>
  <c r="I154" i="154"/>
  <c r="D154" i="154"/>
  <c r="J154" i="154"/>
  <c r="E154" i="154"/>
  <c r="C154" i="154"/>
  <c r="I155" i="154"/>
  <c r="D155" i="154"/>
  <c r="J155" i="154"/>
  <c r="E155" i="154"/>
  <c r="C155" i="154"/>
  <c r="I156" i="154"/>
  <c r="D156" i="154"/>
  <c r="J156" i="154"/>
  <c r="E156" i="154"/>
  <c r="C156" i="154"/>
  <c r="I157" i="154"/>
  <c r="D157" i="154"/>
  <c r="J157" i="154"/>
  <c r="E157" i="154"/>
  <c r="C157" i="154"/>
  <c r="I158" i="154"/>
  <c r="D158" i="154"/>
  <c r="J158" i="154"/>
  <c r="E158" i="154"/>
  <c r="C158" i="154"/>
  <c r="I159" i="154"/>
  <c r="D159" i="154"/>
  <c r="J159" i="154"/>
  <c r="E159" i="154"/>
  <c r="C159" i="154"/>
  <c r="I160" i="154"/>
  <c r="D160" i="154"/>
  <c r="J160" i="154"/>
  <c r="E160" i="154"/>
  <c r="C160" i="154"/>
  <c r="I161" i="154"/>
  <c r="D161" i="154"/>
  <c r="J161" i="154"/>
  <c r="E161" i="154"/>
  <c r="C161" i="154"/>
  <c r="I162" i="154"/>
  <c r="D162" i="154"/>
  <c r="J162" i="154"/>
  <c r="E162" i="154"/>
  <c r="C162" i="154"/>
  <c r="I163" i="154"/>
  <c r="D163" i="154"/>
  <c r="J163" i="154"/>
  <c r="E163" i="154"/>
  <c r="C163" i="154"/>
  <c r="I164" i="154"/>
  <c r="D164" i="154"/>
  <c r="J164" i="154"/>
  <c r="E164" i="154"/>
  <c r="C164" i="154"/>
  <c r="I165" i="154"/>
  <c r="D165" i="154"/>
  <c r="J165" i="154"/>
  <c r="E165" i="154"/>
  <c r="C165" i="154"/>
  <c r="I166" i="154"/>
  <c r="D166" i="154"/>
  <c r="J166" i="154"/>
  <c r="E166" i="154"/>
  <c r="C166" i="154"/>
  <c r="I167" i="154"/>
  <c r="D167" i="154"/>
  <c r="J167" i="154"/>
  <c r="E167" i="154"/>
  <c r="C167" i="154"/>
  <c r="I168" i="154"/>
  <c r="D168" i="154"/>
  <c r="J168" i="154"/>
  <c r="E168" i="154"/>
  <c r="C168" i="154"/>
  <c r="I169" i="154"/>
  <c r="D169" i="154"/>
  <c r="J169" i="154"/>
  <c r="E169" i="154"/>
  <c r="C169" i="154"/>
  <c r="I170" i="154"/>
  <c r="D170" i="154"/>
  <c r="J170" i="154"/>
  <c r="E170" i="154"/>
  <c r="C170" i="154"/>
  <c r="I171" i="154"/>
  <c r="D171" i="154"/>
  <c r="J171" i="154"/>
  <c r="E171" i="154"/>
  <c r="C171" i="154"/>
  <c r="I172" i="154"/>
  <c r="D172" i="154"/>
  <c r="J172" i="154"/>
  <c r="E172" i="154"/>
  <c r="C172" i="154"/>
  <c r="I173" i="154"/>
  <c r="D173" i="154"/>
  <c r="J173" i="154"/>
  <c r="E173" i="154"/>
  <c r="C173" i="154"/>
  <c r="I174" i="154"/>
  <c r="D174" i="154"/>
  <c r="J174" i="154"/>
  <c r="E174" i="154"/>
  <c r="C174" i="154"/>
  <c r="I175" i="154"/>
  <c r="D175" i="154"/>
  <c r="J175" i="154"/>
  <c r="E175" i="154"/>
  <c r="C175" i="154"/>
  <c r="I176" i="154"/>
  <c r="D176" i="154"/>
  <c r="J176" i="154"/>
  <c r="E176" i="154"/>
  <c r="C176" i="154"/>
  <c r="I177" i="154"/>
  <c r="D177" i="154"/>
  <c r="J177" i="154"/>
  <c r="E177" i="154"/>
  <c r="C177" i="154"/>
  <c r="I178" i="154"/>
  <c r="D178" i="154"/>
  <c r="J178" i="154"/>
  <c r="E178" i="154"/>
  <c r="C178" i="154"/>
  <c r="I179" i="154"/>
  <c r="D179" i="154"/>
  <c r="J179" i="154"/>
  <c r="E179" i="154"/>
  <c r="C179" i="154"/>
  <c r="I180" i="154"/>
  <c r="D180" i="154"/>
  <c r="J180" i="154"/>
  <c r="E180" i="154"/>
  <c r="C180" i="154"/>
  <c r="I181" i="154"/>
  <c r="D181" i="154"/>
  <c r="J181" i="154"/>
  <c r="E181" i="154"/>
  <c r="C181" i="154"/>
  <c r="I182" i="154"/>
  <c r="D182" i="154"/>
  <c r="J182" i="154"/>
  <c r="E182" i="154"/>
  <c r="C182" i="154"/>
  <c r="I183" i="154"/>
  <c r="D183" i="154"/>
  <c r="J183" i="154"/>
  <c r="E183" i="154"/>
  <c r="C183" i="154"/>
  <c r="I184" i="154"/>
  <c r="D184" i="154"/>
  <c r="J184" i="154"/>
  <c r="E184" i="154"/>
  <c r="C184" i="154"/>
  <c r="I185" i="154"/>
  <c r="D185" i="154"/>
  <c r="J185" i="154"/>
  <c r="E185" i="154"/>
  <c r="C185" i="154"/>
  <c r="I186" i="154"/>
  <c r="D186" i="154"/>
  <c r="J186" i="154"/>
  <c r="E186" i="154"/>
  <c r="C186" i="154"/>
  <c r="I187" i="154"/>
  <c r="D187" i="154"/>
  <c r="J187" i="154"/>
  <c r="E187" i="154"/>
  <c r="C187" i="154"/>
  <c r="I188" i="154"/>
  <c r="D188" i="154"/>
  <c r="J188" i="154"/>
  <c r="E188" i="154"/>
  <c r="C188" i="154"/>
  <c r="I189" i="154"/>
  <c r="D189" i="154"/>
  <c r="J189" i="154"/>
  <c r="E189" i="154"/>
  <c r="C189" i="154"/>
  <c r="I190" i="154"/>
  <c r="D190" i="154"/>
  <c r="J190" i="154"/>
  <c r="E190" i="154"/>
  <c r="C190" i="154"/>
  <c r="I191" i="154"/>
  <c r="D191" i="154"/>
  <c r="J191" i="154"/>
  <c r="E191" i="154"/>
  <c r="C191" i="154"/>
  <c r="I192" i="154"/>
  <c r="D192" i="154"/>
  <c r="J192" i="154"/>
  <c r="E192" i="154"/>
  <c r="C192" i="154"/>
  <c r="I193" i="154"/>
  <c r="D193" i="154"/>
  <c r="J193" i="154"/>
  <c r="E193" i="154"/>
  <c r="C193" i="154"/>
  <c r="I194" i="154"/>
  <c r="D194" i="154"/>
  <c r="J194" i="154"/>
  <c r="E194" i="154"/>
  <c r="C194" i="154"/>
  <c r="I195" i="154"/>
  <c r="D195" i="154"/>
  <c r="J195" i="154"/>
  <c r="E195" i="154"/>
  <c r="C195" i="154"/>
  <c r="I196" i="154"/>
  <c r="D196" i="154"/>
  <c r="J196" i="154"/>
  <c r="E196" i="154"/>
  <c r="C196" i="154"/>
  <c r="I197" i="154"/>
  <c r="D197" i="154"/>
  <c r="J197" i="154"/>
  <c r="E197" i="154"/>
  <c r="C197" i="154"/>
  <c r="I198" i="154"/>
  <c r="D198" i="154"/>
  <c r="J198" i="154"/>
  <c r="E198" i="154"/>
  <c r="C198" i="154"/>
  <c r="I199" i="154"/>
  <c r="D199" i="154"/>
  <c r="J199" i="154"/>
  <c r="E199" i="154"/>
  <c r="C199" i="154"/>
  <c r="I200" i="154"/>
  <c r="D200" i="154"/>
  <c r="J200" i="154"/>
  <c r="E200" i="154"/>
  <c r="C200" i="154"/>
  <c r="I201" i="154"/>
  <c r="D201" i="154"/>
  <c r="J201" i="154"/>
  <c r="E201" i="154"/>
  <c r="C201" i="154"/>
  <c r="I202" i="154"/>
  <c r="D202" i="154"/>
  <c r="J202" i="154"/>
  <c r="E202" i="154"/>
  <c r="C202" i="154"/>
  <c r="I203" i="154"/>
  <c r="D203" i="154"/>
  <c r="J203" i="154"/>
  <c r="E203" i="154"/>
  <c r="C203" i="154"/>
  <c r="I204" i="154"/>
  <c r="D204" i="154"/>
  <c r="J204" i="154"/>
  <c r="E204" i="154"/>
  <c r="C204" i="154"/>
  <c r="I205" i="154"/>
  <c r="D205" i="154"/>
  <c r="J205" i="154"/>
  <c r="E205" i="154"/>
  <c r="C205" i="154"/>
  <c r="I206" i="154"/>
  <c r="D206" i="154"/>
  <c r="J206" i="154"/>
  <c r="E206" i="154"/>
  <c r="C206" i="154"/>
  <c r="I207" i="154"/>
  <c r="D207" i="154"/>
  <c r="J207" i="154"/>
  <c r="E207" i="154"/>
  <c r="C207" i="154"/>
  <c r="I208" i="154"/>
  <c r="D208" i="154"/>
  <c r="J208" i="154"/>
  <c r="E208" i="154"/>
  <c r="C208" i="154"/>
  <c r="I209" i="154"/>
  <c r="D209" i="154"/>
  <c r="J209" i="154"/>
  <c r="E209" i="154"/>
  <c r="C209" i="154"/>
  <c r="I210" i="154"/>
  <c r="D210" i="154"/>
  <c r="J210" i="154"/>
  <c r="E210" i="154"/>
  <c r="C210" i="154"/>
  <c r="I211" i="154"/>
  <c r="D211" i="154"/>
  <c r="J211" i="154"/>
  <c r="E211" i="154"/>
  <c r="C211" i="154"/>
  <c r="I212" i="154"/>
  <c r="D212" i="154"/>
  <c r="J212" i="154"/>
  <c r="E212" i="154"/>
  <c r="C212" i="154"/>
  <c r="I213" i="154"/>
  <c r="D213" i="154"/>
  <c r="J213" i="154"/>
  <c r="E213" i="154"/>
  <c r="C213" i="154"/>
  <c r="I214" i="154"/>
  <c r="D214" i="154"/>
  <c r="J214" i="154"/>
  <c r="E214" i="154"/>
  <c r="C214" i="154"/>
  <c r="I215" i="154"/>
  <c r="J215" i="154"/>
  <c r="D215" i="154"/>
  <c r="E215" i="154"/>
  <c r="C215" i="154"/>
  <c r="I216" i="154"/>
  <c r="J216" i="154"/>
  <c r="D216" i="154"/>
  <c r="E216" i="154"/>
  <c r="C216" i="154"/>
  <c r="I217" i="154"/>
  <c r="J217" i="154"/>
  <c r="D217" i="154"/>
  <c r="E217" i="154"/>
  <c r="C217" i="154"/>
  <c r="I218" i="154"/>
  <c r="J218" i="154"/>
  <c r="D218" i="154"/>
  <c r="E218" i="154"/>
  <c r="C218" i="154"/>
  <c r="I219" i="154"/>
  <c r="J219" i="154"/>
  <c r="D219" i="154"/>
  <c r="E219" i="154"/>
  <c r="C219" i="154"/>
  <c r="I220" i="154"/>
  <c r="J220" i="154"/>
  <c r="D220" i="154"/>
  <c r="E220" i="154"/>
  <c r="C220" i="154"/>
  <c r="I221" i="154"/>
  <c r="D221" i="154"/>
  <c r="J221" i="154"/>
  <c r="E221" i="154"/>
  <c r="C221" i="154"/>
  <c r="I222" i="154"/>
  <c r="D222" i="154"/>
  <c r="J222" i="154"/>
  <c r="E222" i="154"/>
  <c r="C222" i="154"/>
  <c r="I223" i="154"/>
  <c r="D223" i="154"/>
  <c r="J223" i="154"/>
  <c r="E223" i="154"/>
  <c r="C223" i="154"/>
  <c r="I224" i="154"/>
  <c r="D224" i="154"/>
  <c r="J224" i="154"/>
  <c r="E224" i="154"/>
  <c r="C224" i="154"/>
  <c r="I225" i="154"/>
  <c r="D225" i="154"/>
  <c r="J225" i="154"/>
  <c r="E225" i="154"/>
  <c r="C225" i="154"/>
  <c r="I226" i="154"/>
  <c r="D226" i="154"/>
  <c r="J226" i="154"/>
  <c r="E226" i="154"/>
  <c r="C226" i="154"/>
  <c r="I227" i="154"/>
  <c r="D227" i="154"/>
  <c r="J227" i="154"/>
  <c r="E227" i="154"/>
  <c r="C227" i="154"/>
  <c r="I228" i="154"/>
  <c r="D228" i="154"/>
  <c r="J228" i="154"/>
  <c r="E228" i="154"/>
  <c r="C228" i="154"/>
  <c r="I229" i="154"/>
  <c r="D229" i="154"/>
  <c r="J229" i="154"/>
  <c r="E229" i="154"/>
  <c r="C229" i="154"/>
  <c r="I230" i="154"/>
  <c r="D230" i="154"/>
  <c r="J230" i="154"/>
  <c r="E230" i="154"/>
  <c r="C230" i="154"/>
  <c r="I231" i="154"/>
  <c r="D231" i="154"/>
  <c r="J231" i="154"/>
  <c r="E231" i="154"/>
  <c r="C231" i="154"/>
  <c r="I232" i="154"/>
  <c r="D232" i="154"/>
  <c r="J232" i="154"/>
  <c r="E232" i="154"/>
  <c r="C232" i="154"/>
  <c r="I233" i="154"/>
  <c r="D233" i="154"/>
  <c r="J233" i="154"/>
  <c r="E233" i="154"/>
  <c r="C233" i="154"/>
  <c r="I234" i="154"/>
  <c r="D234" i="154"/>
  <c r="J234" i="154"/>
  <c r="E234" i="154"/>
  <c r="C234" i="154"/>
  <c r="I235" i="154"/>
  <c r="D235" i="154"/>
  <c r="J235" i="154"/>
  <c r="E235" i="154"/>
  <c r="C235" i="154"/>
  <c r="I236" i="154"/>
  <c r="D236" i="154"/>
  <c r="J236" i="154"/>
  <c r="E236" i="154"/>
  <c r="C236" i="154"/>
  <c r="I237" i="154"/>
  <c r="D237" i="154"/>
  <c r="J237" i="154"/>
  <c r="E237" i="154"/>
  <c r="C237" i="154"/>
  <c r="I238" i="154"/>
  <c r="D238" i="154"/>
  <c r="J238" i="154"/>
  <c r="E238" i="154"/>
  <c r="C238" i="154"/>
  <c r="I239" i="154"/>
  <c r="D239" i="154"/>
  <c r="J239" i="154"/>
  <c r="E239" i="154"/>
  <c r="C239" i="154"/>
  <c r="I240" i="154"/>
  <c r="D240" i="154"/>
  <c r="J240" i="154"/>
  <c r="E240" i="154"/>
  <c r="C240" i="154"/>
  <c r="I241" i="154"/>
  <c r="D241" i="154"/>
  <c r="J241" i="154"/>
  <c r="E241" i="154"/>
  <c r="C241" i="154"/>
  <c r="I242" i="154"/>
  <c r="D242" i="154"/>
  <c r="J242" i="154"/>
  <c r="E242" i="154"/>
  <c r="C242" i="154"/>
  <c r="I243" i="154"/>
  <c r="D243" i="154"/>
  <c r="J243" i="154"/>
  <c r="E243" i="154"/>
  <c r="C243" i="154"/>
  <c r="I244" i="154"/>
  <c r="D244" i="154"/>
  <c r="J244" i="154"/>
  <c r="E244" i="154"/>
  <c r="C244" i="154"/>
  <c r="I245" i="154"/>
  <c r="D245" i="154"/>
  <c r="J245" i="154"/>
  <c r="E245" i="154"/>
  <c r="C245" i="154"/>
  <c r="I246" i="154"/>
  <c r="D246" i="154"/>
  <c r="J246" i="154"/>
  <c r="E246" i="154"/>
  <c r="C246" i="154"/>
  <c r="I247" i="154"/>
  <c r="D247" i="154"/>
  <c r="J247" i="154"/>
  <c r="E247" i="154"/>
  <c r="C247" i="154"/>
  <c r="I248" i="154"/>
  <c r="D248" i="154"/>
  <c r="J248" i="154"/>
  <c r="E248" i="154"/>
  <c r="C248" i="154"/>
  <c r="I249" i="154"/>
  <c r="D249" i="154"/>
  <c r="J249" i="154"/>
  <c r="E249" i="154"/>
  <c r="C249" i="154"/>
  <c r="I250" i="154"/>
  <c r="D250" i="154"/>
  <c r="J250" i="154"/>
  <c r="E250" i="154"/>
  <c r="C250" i="154"/>
  <c r="I251" i="154"/>
  <c r="D251" i="154"/>
  <c r="J251" i="154"/>
  <c r="E251" i="154"/>
  <c r="C251" i="154"/>
  <c r="I252" i="154"/>
  <c r="D252" i="154"/>
  <c r="J252" i="154"/>
  <c r="E252" i="154"/>
  <c r="C252" i="154"/>
  <c r="I253" i="154"/>
  <c r="D253" i="154"/>
  <c r="J253" i="154"/>
  <c r="E253" i="154"/>
  <c r="C253" i="154"/>
  <c r="I254" i="154"/>
  <c r="D254" i="154"/>
  <c r="J254" i="154"/>
  <c r="E254" i="154"/>
  <c r="C254" i="154"/>
  <c r="I255" i="154"/>
  <c r="D255" i="154"/>
  <c r="J255" i="154"/>
  <c r="E255" i="154"/>
  <c r="C255" i="154"/>
  <c r="I256" i="154"/>
  <c r="D256" i="154"/>
  <c r="J256" i="154"/>
  <c r="E256" i="154"/>
  <c r="C256" i="154"/>
  <c r="I257" i="154"/>
  <c r="D257" i="154"/>
  <c r="J257" i="154"/>
  <c r="E257" i="154"/>
  <c r="C257" i="154"/>
  <c r="I258" i="154"/>
  <c r="D258" i="154"/>
  <c r="J258" i="154"/>
  <c r="E258" i="154"/>
  <c r="C258" i="154"/>
  <c r="I259" i="154"/>
  <c r="D259" i="154"/>
  <c r="J259" i="154"/>
  <c r="E259" i="154"/>
  <c r="C259" i="154"/>
  <c r="I260" i="154"/>
  <c r="D260" i="154"/>
  <c r="J260" i="154"/>
  <c r="E260" i="154"/>
  <c r="C260" i="154"/>
  <c r="I261" i="154"/>
  <c r="D261" i="154"/>
  <c r="J261" i="154"/>
  <c r="E261" i="154"/>
  <c r="C261" i="154"/>
  <c r="I262" i="154"/>
  <c r="D262" i="154"/>
  <c r="J262" i="154"/>
  <c r="E262" i="154"/>
  <c r="C262" i="154"/>
  <c r="I263" i="154"/>
  <c r="D263" i="154"/>
  <c r="J263" i="154"/>
  <c r="E263" i="154"/>
  <c r="C263" i="154"/>
  <c r="I264" i="154"/>
  <c r="D264" i="154"/>
  <c r="J264" i="154"/>
  <c r="E264" i="154"/>
  <c r="C264" i="154"/>
  <c r="I265" i="154"/>
  <c r="D265" i="154"/>
  <c r="J265" i="154"/>
  <c r="E265" i="154"/>
  <c r="C265" i="154"/>
  <c r="I266" i="154"/>
  <c r="D266" i="154"/>
  <c r="J266" i="154"/>
  <c r="E266" i="154"/>
  <c r="C266" i="154"/>
  <c r="I267" i="154"/>
  <c r="D267" i="154"/>
  <c r="J267" i="154"/>
  <c r="E267" i="154"/>
  <c r="C267" i="154"/>
  <c r="I268" i="154"/>
  <c r="D268" i="154"/>
  <c r="J268" i="154"/>
  <c r="E268" i="154"/>
  <c r="C268" i="154"/>
  <c r="I269" i="154"/>
  <c r="D269" i="154"/>
  <c r="J269" i="154"/>
  <c r="E269" i="154"/>
  <c r="C269" i="154"/>
  <c r="I270" i="154"/>
  <c r="D270" i="154"/>
  <c r="J270" i="154"/>
  <c r="E270" i="154"/>
  <c r="C270" i="154"/>
  <c r="I271" i="154"/>
  <c r="D271" i="154"/>
  <c r="J271" i="154"/>
  <c r="E271" i="154"/>
  <c r="C271" i="154"/>
  <c r="I272" i="154"/>
  <c r="D272" i="154"/>
  <c r="J272" i="154"/>
  <c r="E272" i="154"/>
  <c r="C272" i="154"/>
  <c r="I273" i="154"/>
  <c r="D273" i="154"/>
  <c r="J273" i="154"/>
  <c r="E273" i="154"/>
  <c r="C273" i="154"/>
  <c r="I274" i="154"/>
  <c r="D274" i="154"/>
  <c r="J274" i="154"/>
  <c r="E274" i="154"/>
  <c r="C274" i="154"/>
  <c r="I275" i="154"/>
  <c r="D275" i="154"/>
  <c r="J275" i="154"/>
  <c r="E275" i="154"/>
  <c r="C275" i="154"/>
  <c r="I276" i="154"/>
  <c r="D276" i="154"/>
  <c r="J276" i="154"/>
  <c r="E276" i="154"/>
  <c r="C276" i="154"/>
  <c r="I277" i="154"/>
  <c r="D277" i="154"/>
  <c r="J277" i="154"/>
  <c r="E277" i="154"/>
  <c r="C277" i="154"/>
  <c r="I278" i="154"/>
  <c r="D278" i="154"/>
  <c r="J278" i="154"/>
  <c r="E278" i="154"/>
  <c r="C278" i="154"/>
  <c r="I279" i="154"/>
  <c r="D279" i="154"/>
  <c r="J279" i="154"/>
  <c r="E279" i="154"/>
  <c r="C279" i="154"/>
  <c r="I280" i="154"/>
  <c r="D280" i="154"/>
  <c r="J280" i="154"/>
  <c r="E280" i="154"/>
  <c r="C280" i="154"/>
  <c r="I281" i="154"/>
  <c r="D281" i="154"/>
  <c r="J281" i="154"/>
  <c r="E281" i="154"/>
  <c r="C281" i="154"/>
  <c r="I282" i="154"/>
  <c r="D282" i="154"/>
  <c r="J282" i="154"/>
  <c r="E282" i="154"/>
  <c r="C282" i="154"/>
  <c r="I283" i="154"/>
  <c r="D283" i="154"/>
  <c r="J283" i="154"/>
  <c r="E283" i="154"/>
  <c r="C283" i="154"/>
  <c r="I284" i="154"/>
  <c r="D284" i="154"/>
  <c r="J284" i="154"/>
  <c r="E284" i="154"/>
  <c r="C284" i="154"/>
  <c r="I285" i="154"/>
  <c r="D285" i="154"/>
  <c r="J285" i="154"/>
  <c r="E285" i="154"/>
  <c r="C285" i="154"/>
  <c r="I286" i="154"/>
  <c r="D286" i="154"/>
  <c r="J286" i="154"/>
  <c r="E286" i="154"/>
  <c r="C286" i="154"/>
  <c r="I287" i="154"/>
  <c r="D287" i="154"/>
  <c r="J287" i="154"/>
  <c r="E287" i="154"/>
  <c r="C287" i="154"/>
  <c r="I288" i="154"/>
  <c r="D288" i="154"/>
  <c r="J288" i="154"/>
  <c r="E288" i="154"/>
  <c r="C288" i="154"/>
  <c r="I289" i="154"/>
  <c r="D289" i="154"/>
  <c r="J289" i="154"/>
  <c r="E289" i="154"/>
  <c r="C289" i="154"/>
  <c r="I290" i="154"/>
  <c r="D290" i="154"/>
  <c r="J290" i="154"/>
  <c r="E290" i="154"/>
  <c r="C290" i="154"/>
  <c r="I291" i="154"/>
  <c r="D291" i="154"/>
  <c r="J291" i="154"/>
  <c r="E291" i="154"/>
  <c r="C291" i="154"/>
  <c r="I292" i="154"/>
  <c r="D292" i="154"/>
  <c r="J292" i="154"/>
  <c r="E292" i="154"/>
  <c r="C292" i="154"/>
  <c r="I293" i="154"/>
  <c r="D293" i="154"/>
  <c r="J293" i="154"/>
  <c r="E293" i="154"/>
  <c r="C293" i="154"/>
  <c r="I294" i="154"/>
  <c r="D294" i="154"/>
  <c r="J294" i="154"/>
  <c r="E294" i="154"/>
  <c r="C294" i="154"/>
  <c r="I295" i="154"/>
  <c r="D295" i="154"/>
  <c r="J295" i="154"/>
  <c r="E295" i="154"/>
  <c r="C295" i="154"/>
  <c r="I296" i="154"/>
  <c r="D296" i="154"/>
  <c r="J296" i="154"/>
  <c r="E296" i="154"/>
  <c r="C296" i="154"/>
  <c r="I297" i="154"/>
  <c r="D297" i="154"/>
  <c r="J297" i="154"/>
  <c r="E297" i="154"/>
  <c r="C297" i="154"/>
  <c r="I298" i="154"/>
  <c r="D298" i="154"/>
  <c r="J298" i="154"/>
  <c r="E298" i="154"/>
  <c r="C298" i="154"/>
  <c r="I299" i="154"/>
  <c r="D299" i="154"/>
  <c r="J299" i="154"/>
  <c r="E299" i="154"/>
  <c r="C299" i="154"/>
  <c r="I300" i="154"/>
  <c r="D300" i="154"/>
  <c r="J300" i="154"/>
  <c r="E300" i="154"/>
  <c r="C300" i="154"/>
  <c r="I301" i="154"/>
  <c r="D301" i="154"/>
  <c r="J301" i="154"/>
  <c r="E301" i="154"/>
  <c r="C301" i="154"/>
  <c r="I302" i="154"/>
  <c r="D302" i="154"/>
  <c r="J302" i="154"/>
  <c r="E302" i="154"/>
  <c r="C302" i="154"/>
  <c r="I303" i="154"/>
  <c r="D303" i="154"/>
  <c r="J303" i="154"/>
  <c r="E303" i="154"/>
  <c r="C303" i="154"/>
  <c r="I304" i="154"/>
  <c r="D304" i="154"/>
  <c r="J304" i="154"/>
  <c r="E304" i="154"/>
  <c r="C304" i="154"/>
  <c r="I305" i="154"/>
  <c r="D305" i="154"/>
  <c r="J305" i="154"/>
  <c r="E305" i="154"/>
  <c r="C305" i="154"/>
  <c r="I306" i="154"/>
  <c r="D306" i="154"/>
  <c r="J306" i="154"/>
  <c r="E306" i="154"/>
  <c r="C306" i="154"/>
  <c r="I307" i="154"/>
  <c r="D307" i="154"/>
  <c r="J307" i="154"/>
  <c r="E307" i="154"/>
  <c r="C307" i="154"/>
  <c r="I308" i="154"/>
  <c r="D308" i="154"/>
  <c r="J308" i="154"/>
  <c r="E308" i="154"/>
  <c r="C308" i="154"/>
  <c r="I309" i="154"/>
  <c r="D309" i="154"/>
  <c r="J309" i="154"/>
  <c r="E309" i="154"/>
  <c r="C309" i="154"/>
  <c r="I310" i="154"/>
  <c r="D310" i="154"/>
  <c r="J310" i="154"/>
  <c r="E310" i="154"/>
  <c r="C310" i="154"/>
  <c r="I311" i="154"/>
  <c r="D311" i="154"/>
  <c r="J311" i="154"/>
  <c r="E311" i="154"/>
  <c r="C311" i="154"/>
  <c r="I312" i="154"/>
  <c r="D312" i="154"/>
  <c r="J312" i="154"/>
  <c r="E312" i="154"/>
  <c r="C312" i="154"/>
  <c r="I313" i="154"/>
  <c r="D313" i="154"/>
  <c r="J313" i="154"/>
  <c r="E313" i="154"/>
  <c r="C313" i="154"/>
  <c r="I314" i="154"/>
  <c r="D314" i="154"/>
  <c r="J314" i="154"/>
  <c r="E314" i="154"/>
  <c r="C314" i="154"/>
  <c r="I315" i="154"/>
  <c r="D315" i="154"/>
  <c r="J315" i="154"/>
  <c r="E315" i="154"/>
  <c r="C315" i="154"/>
  <c r="I316" i="154"/>
  <c r="D316" i="154"/>
  <c r="J316" i="154"/>
  <c r="E316" i="154"/>
  <c r="C316" i="154"/>
  <c r="I317" i="154"/>
  <c r="D317" i="154"/>
  <c r="J317" i="154"/>
  <c r="E317" i="154"/>
  <c r="C317" i="154"/>
  <c r="I318" i="154"/>
  <c r="D318" i="154"/>
  <c r="J318" i="154"/>
  <c r="E318" i="154"/>
  <c r="C318" i="154"/>
  <c r="I319" i="154"/>
  <c r="D319" i="154"/>
  <c r="J319" i="154"/>
  <c r="E319" i="154"/>
  <c r="C319" i="154"/>
  <c r="I320" i="154"/>
  <c r="D320" i="154"/>
  <c r="J320" i="154"/>
  <c r="E320" i="154"/>
  <c r="C320" i="154"/>
  <c r="I321" i="154"/>
  <c r="D321" i="154"/>
  <c r="J321" i="154"/>
  <c r="E321" i="154"/>
  <c r="C321" i="154"/>
  <c r="I322" i="154"/>
  <c r="D322" i="154"/>
  <c r="J322" i="154"/>
  <c r="E322" i="154"/>
  <c r="C322" i="154"/>
  <c r="I323" i="154"/>
  <c r="D323" i="154"/>
  <c r="J323" i="154"/>
  <c r="E323" i="154"/>
  <c r="C323" i="154"/>
  <c r="I324" i="154"/>
  <c r="D324" i="154"/>
  <c r="J324" i="154"/>
  <c r="E324" i="154"/>
  <c r="C324" i="154"/>
  <c r="I325" i="154"/>
  <c r="D325" i="154"/>
  <c r="J325" i="154"/>
  <c r="E325" i="154"/>
  <c r="C325" i="154"/>
  <c r="I326" i="154"/>
  <c r="D326" i="154"/>
  <c r="J326" i="154"/>
  <c r="E326" i="154"/>
  <c r="C326" i="154"/>
  <c r="I327" i="154"/>
  <c r="D327" i="154"/>
  <c r="J327" i="154"/>
  <c r="E327" i="154"/>
  <c r="C327" i="154"/>
  <c r="I328" i="154"/>
  <c r="D328" i="154"/>
  <c r="J328" i="154"/>
  <c r="E328" i="154"/>
  <c r="C328" i="154"/>
  <c r="I329" i="154"/>
  <c r="D329" i="154"/>
  <c r="J329" i="154"/>
  <c r="E329" i="154"/>
  <c r="C329" i="154"/>
  <c r="I330" i="154"/>
  <c r="D330" i="154"/>
  <c r="J330" i="154"/>
  <c r="E330" i="154"/>
  <c r="C330" i="154"/>
  <c r="I331" i="154"/>
  <c r="D331" i="154"/>
  <c r="J331" i="154"/>
  <c r="E331" i="154"/>
  <c r="C331" i="154"/>
  <c r="I332" i="154"/>
  <c r="D332" i="154"/>
  <c r="J332" i="154"/>
  <c r="E332" i="154"/>
  <c r="C332" i="154"/>
  <c r="I333" i="154"/>
  <c r="D333" i="154"/>
  <c r="J333" i="154"/>
  <c r="E333" i="154"/>
  <c r="C333" i="154"/>
  <c r="I334" i="154"/>
  <c r="D334" i="154"/>
  <c r="J334" i="154"/>
  <c r="E334" i="154"/>
  <c r="C334" i="154"/>
  <c r="I335" i="154"/>
  <c r="D335" i="154"/>
  <c r="J335" i="154"/>
  <c r="E335" i="154"/>
  <c r="C335" i="154"/>
  <c r="I336" i="154"/>
  <c r="D336" i="154"/>
  <c r="J336" i="154"/>
  <c r="E336" i="154"/>
  <c r="C336" i="154"/>
  <c r="I337" i="154"/>
  <c r="D337" i="154"/>
  <c r="J337" i="154"/>
  <c r="E337" i="154"/>
  <c r="C337" i="154"/>
  <c r="I338" i="154"/>
  <c r="D338" i="154"/>
  <c r="J338" i="154"/>
  <c r="E338" i="154"/>
  <c r="C338" i="154"/>
  <c r="I339" i="154"/>
  <c r="D339" i="154"/>
  <c r="J339" i="154"/>
  <c r="E339" i="154"/>
  <c r="C339" i="154"/>
  <c r="I340" i="154"/>
  <c r="D340" i="154"/>
  <c r="J340" i="154"/>
  <c r="E340" i="154"/>
  <c r="C340" i="154"/>
  <c r="I341" i="154"/>
  <c r="D341" i="154"/>
  <c r="J341" i="154"/>
  <c r="E341" i="154"/>
  <c r="C341" i="154"/>
  <c r="I342" i="154"/>
  <c r="D342" i="154"/>
  <c r="J342" i="154"/>
  <c r="E342" i="154"/>
  <c r="C342" i="154"/>
  <c r="I343" i="154"/>
  <c r="D343" i="154"/>
  <c r="J343" i="154"/>
  <c r="E343" i="154"/>
  <c r="C343" i="154"/>
  <c r="I344" i="154"/>
  <c r="D344" i="154"/>
  <c r="J344" i="154"/>
  <c r="E344" i="154"/>
  <c r="C344" i="154"/>
  <c r="I345" i="154"/>
  <c r="D345" i="154"/>
  <c r="J345" i="154"/>
  <c r="E345" i="154"/>
  <c r="C345" i="154"/>
  <c r="I346" i="154"/>
  <c r="D346" i="154"/>
  <c r="J346" i="154"/>
  <c r="E346" i="154"/>
  <c r="C346" i="154"/>
  <c r="I347" i="154"/>
  <c r="D347" i="154"/>
  <c r="J347" i="154"/>
  <c r="E347" i="154"/>
  <c r="C347" i="154"/>
  <c r="I348" i="154"/>
  <c r="D348" i="154"/>
  <c r="J348" i="154"/>
  <c r="E348" i="154"/>
  <c r="C348" i="154"/>
  <c r="I349" i="154"/>
  <c r="D349" i="154"/>
  <c r="J349" i="154"/>
  <c r="E349" i="154"/>
  <c r="C349" i="154"/>
  <c r="I350" i="154"/>
  <c r="D350" i="154"/>
  <c r="J350" i="154"/>
  <c r="E350" i="154"/>
  <c r="C350" i="154"/>
  <c r="I351" i="154"/>
  <c r="D351" i="154"/>
  <c r="J351" i="154"/>
  <c r="E351" i="154"/>
  <c r="C351" i="154"/>
  <c r="F5" i="153"/>
  <c r="F6" i="153"/>
  <c r="A36" i="153"/>
  <c r="E6" i="153"/>
  <c r="Q3" i="153"/>
  <c r="Q4" i="153"/>
  <c r="Q5" i="153"/>
  <c r="Q6" i="153"/>
  <c r="Q7" i="153"/>
  <c r="Q8" i="153"/>
  <c r="Q9" i="153"/>
  <c r="Q10" i="153"/>
  <c r="Q11" i="153"/>
  <c r="Q12" i="153"/>
  <c r="Q13" i="153"/>
  <c r="Q14" i="153"/>
  <c r="Q15" i="153"/>
  <c r="Q16" i="153"/>
  <c r="Q17" i="153"/>
  <c r="Q18" i="153"/>
  <c r="Q19" i="153"/>
  <c r="Q20" i="153"/>
  <c r="E26" i="153"/>
  <c r="B26" i="153"/>
  <c r="G26" i="153"/>
  <c r="H26" i="153"/>
  <c r="O44" i="154"/>
  <c r="O47" i="154"/>
  <c r="O50" i="154"/>
  <c r="E5" i="153"/>
  <c r="E29" i="153"/>
  <c r="B29" i="153"/>
  <c r="E28" i="153"/>
  <c r="B28" i="153"/>
  <c r="E23" i="153"/>
  <c r="B23" i="153"/>
  <c r="B21" i="153"/>
  <c r="G21" i="153"/>
  <c r="E21" i="153"/>
  <c r="H21" i="153"/>
  <c r="O53" i="154"/>
  <c r="E19" i="153"/>
  <c r="B19" i="153"/>
  <c r="E24" i="153"/>
  <c r="B24" i="153"/>
  <c r="B17" i="153"/>
  <c r="G17" i="153"/>
  <c r="E17" i="153"/>
  <c r="H17" i="153"/>
  <c r="O2" i="154"/>
  <c r="E18" i="153"/>
  <c r="B18" i="153"/>
  <c r="G18" i="153"/>
  <c r="H18" i="153"/>
  <c r="O3" i="154"/>
  <c r="O4" i="154"/>
  <c r="O5" i="154"/>
  <c r="O6" i="154"/>
  <c r="O7" i="154"/>
  <c r="O8" i="154"/>
  <c r="O9" i="154"/>
  <c r="O10" i="154"/>
  <c r="O11" i="154"/>
  <c r="O12" i="154"/>
  <c r="O13" i="154"/>
  <c r="O14" i="154"/>
  <c r="O15" i="154"/>
  <c r="O16" i="154"/>
  <c r="O17" i="154"/>
  <c r="O18" i="154"/>
  <c r="O19" i="154"/>
  <c r="O20" i="154"/>
  <c r="O21" i="154"/>
  <c r="O22" i="154"/>
  <c r="O23" i="154"/>
  <c r="O24" i="154"/>
  <c r="O25" i="154"/>
  <c r="O26" i="154"/>
  <c r="O27" i="154"/>
  <c r="O28" i="154"/>
  <c r="O29" i="154"/>
  <c r="O30" i="154"/>
  <c r="O31" i="154"/>
  <c r="O32" i="154"/>
  <c r="O33" i="154"/>
  <c r="O34" i="154"/>
  <c r="O35" i="154"/>
  <c r="O36" i="154"/>
  <c r="O37" i="154"/>
  <c r="O38" i="154"/>
  <c r="O39" i="154"/>
  <c r="O40" i="154"/>
  <c r="O41" i="154"/>
  <c r="G24" i="153"/>
  <c r="H24" i="153"/>
  <c r="O42" i="154"/>
  <c r="E25" i="153"/>
  <c r="B25" i="153"/>
  <c r="G25" i="153"/>
  <c r="H25" i="153"/>
  <c r="O43" i="154"/>
  <c r="O45" i="154"/>
  <c r="O46" i="154"/>
  <c r="O48" i="154"/>
  <c r="O49" i="154"/>
  <c r="G19" i="153"/>
  <c r="H19" i="153"/>
  <c r="O51" i="154"/>
  <c r="E20" i="153"/>
  <c r="B20" i="153"/>
  <c r="G20" i="153"/>
  <c r="H20" i="153"/>
  <c r="O52" i="154"/>
  <c r="O54" i="154"/>
  <c r="O55" i="154"/>
  <c r="O56" i="154"/>
  <c r="O57" i="154"/>
  <c r="O58" i="154"/>
  <c r="O59" i="154"/>
  <c r="O60" i="154"/>
  <c r="O61" i="154"/>
  <c r="O62" i="154"/>
  <c r="O63" i="154"/>
  <c r="O64" i="154"/>
  <c r="O65" i="154"/>
  <c r="O66" i="154"/>
  <c r="O67" i="154"/>
  <c r="O68" i="154"/>
  <c r="O69" i="154"/>
  <c r="O70" i="154"/>
  <c r="O71" i="154"/>
  <c r="O72" i="154"/>
  <c r="O73" i="154"/>
  <c r="O74" i="154"/>
  <c r="O75" i="154"/>
  <c r="O76" i="154"/>
  <c r="O77" i="154"/>
  <c r="O78" i="154"/>
  <c r="O79" i="154"/>
  <c r="O80" i="154"/>
  <c r="O81" i="154"/>
  <c r="O82" i="154"/>
  <c r="O83" i="154"/>
  <c r="O84" i="154"/>
  <c r="O85" i="154"/>
  <c r="O86" i="154"/>
  <c r="O87" i="154"/>
  <c r="O88" i="154"/>
  <c r="O89" i="154"/>
  <c r="O90" i="154"/>
  <c r="O91" i="154"/>
  <c r="O92" i="154"/>
  <c r="O93" i="154"/>
  <c r="O94" i="154"/>
  <c r="O95" i="154"/>
  <c r="O96" i="154"/>
  <c r="O97" i="154"/>
  <c r="O98" i="154"/>
  <c r="O99" i="154"/>
  <c r="O100" i="154"/>
  <c r="O101" i="154"/>
  <c r="O102" i="154"/>
  <c r="O103" i="154"/>
  <c r="O104" i="154"/>
  <c r="O105" i="154"/>
  <c r="O106" i="154"/>
  <c r="O107" i="154"/>
  <c r="O108" i="154"/>
  <c r="O109" i="154"/>
  <c r="O110" i="154"/>
  <c r="O111" i="154"/>
  <c r="O112" i="154"/>
  <c r="O113" i="154"/>
  <c r="O114" i="154"/>
  <c r="O115" i="154"/>
  <c r="O116" i="154"/>
  <c r="O117" i="154"/>
  <c r="O118" i="154"/>
  <c r="O119" i="154"/>
  <c r="O120" i="154"/>
  <c r="O121" i="154"/>
  <c r="O122" i="154"/>
  <c r="O123" i="154"/>
  <c r="O124" i="154"/>
  <c r="O125" i="154"/>
  <c r="O126" i="154"/>
  <c r="O127" i="154"/>
  <c r="O128" i="154"/>
  <c r="O129" i="154"/>
  <c r="O130" i="154"/>
  <c r="O131" i="154"/>
  <c r="O132" i="154"/>
  <c r="O133" i="154"/>
  <c r="O134" i="154"/>
  <c r="O135" i="154"/>
  <c r="O136" i="154"/>
  <c r="O137" i="154"/>
  <c r="E27" i="153"/>
  <c r="B27" i="153"/>
  <c r="G27" i="153"/>
  <c r="H27" i="153"/>
  <c r="O138" i="154"/>
  <c r="G28" i="153"/>
  <c r="H28" i="153"/>
  <c r="O139" i="154"/>
  <c r="O140" i="154"/>
  <c r="O141" i="154"/>
  <c r="O142" i="154"/>
  <c r="O143" i="154"/>
  <c r="O144" i="154"/>
  <c r="O145" i="154"/>
  <c r="O146" i="154"/>
  <c r="O147" i="154"/>
  <c r="O148" i="154"/>
  <c r="O149" i="154"/>
  <c r="O150" i="154"/>
  <c r="O151" i="154"/>
  <c r="O152" i="154"/>
  <c r="O153" i="154"/>
  <c r="O154" i="154"/>
  <c r="O155" i="154"/>
  <c r="O156" i="154"/>
  <c r="O157" i="154"/>
  <c r="O158" i="154"/>
  <c r="O159" i="154"/>
  <c r="O160" i="154"/>
  <c r="O161" i="154"/>
  <c r="O162" i="154"/>
  <c r="O163" i="154"/>
  <c r="O164" i="154"/>
  <c r="O165" i="154"/>
  <c r="O166" i="154"/>
  <c r="O167" i="154"/>
  <c r="O168" i="154"/>
  <c r="O169" i="154"/>
  <c r="O170" i="154"/>
  <c r="O171" i="154"/>
  <c r="O172" i="154"/>
  <c r="O173" i="154"/>
  <c r="O174" i="154"/>
  <c r="O175" i="154"/>
  <c r="O176" i="154"/>
  <c r="O177" i="154"/>
  <c r="O178" i="154"/>
  <c r="O179" i="154"/>
  <c r="O180" i="154"/>
  <c r="O181" i="154"/>
  <c r="O182" i="154"/>
  <c r="O183" i="154"/>
  <c r="O184" i="154"/>
  <c r="O185" i="154"/>
  <c r="O186" i="154"/>
  <c r="O187" i="154"/>
  <c r="O188" i="154"/>
  <c r="O189" i="154"/>
  <c r="O190" i="154"/>
  <c r="O191" i="154"/>
  <c r="O192" i="154"/>
  <c r="O193" i="154"/>
  <c r="O194" i="154"/>
  <c r="O195" i="154"/>
  <c r="O196" i="154"/>
  <c r="O197" i="154"/>
  <c r="O198" i="154"/>
  <c r="O199" i="154"/>
  <c r="O200" i="154"/>
  <c r="O201" i="154"/>
  <c r="O202" i="154"/>
  <c r="O203" i="154"/>
  <c r="O204" i="154"/>
  <c r="O205" i="154"/>
  <c r="O206" i="154"/>
  <c r="O207" i="154"/>
  <c r="O208" i="154"/>
  <c r="O209" i="154"/>
  <c r="O210" i="154"/>
  <c r="O211" i="154"/>
  <c r="O212" i="154"/>
  <c r="O213" i="154"/>
  <c r="O214" i="154"/>
  <c r="G23" i="153"/>
  <c r="H23" i="153"/>
  <c r="O215" i="154"/>
  <c r="O216" i="154"/>
  <c r="O217" i="154"/>
  <c r="O218" i="154"/>
  <c r="O219" i="154"/>
  <c r="O220" i="154"/>
  <c r="O221" i="154"/>
  <c r="O222" i="154"/>
  <c r="O223" i="154"/>
  <c r="O224" i="154"/>
  <c r="O225" i="154"/>
  <c r="O226" i="154"/>
  <c r="O227" i="154"/>
  <c r="O228" i="154"/>
  <c r="O229" i="154"/>
  <c r="O230" i="154"/>
  <c r="O231" i="154"/>
  <c r="O232" i="154"/>
  <c r="O233" i="154"/>
  <c r="O234" i="154"/>
  <c r="O235" i="154"/>
  <c r="O236" i="154"/>
  <c r="O237" i="154"/>
  <c r="O238" i="154"/>
  <c r="O239" i="154"/>
  <c r="O240" i="154"/>
  <c r="O241" i="154"/>
  <c r="O242" i="154"/>
  <c r="O243" i="154"/>
  <c r="O244" i="154"/>
  <c r="O245" i="154"/>
  <c r="O246" i="154"/>
  <c r="O247" i="154"/>
  <c r="O248" i="154"/>
  <c r="O249" i="154"/>
  <c r="O250" i="154"/>
  <c r="O251" i="154"/>
  <c r="O252" i="154"/>
  <c r="O253" i="154"/>
  <c r="O254" i="154"/>
  <c r="O255" i="154"/>
  <c r="O256" i="154"/>
  <c r="O257" i="154"/>
  <c r="O258" i="154"/>
  <c r="O259" i="154"/>
  <c r="O260" i="154"/>
  <c r="O261" i="154"/>
  <c r="E22" i="153"/>
  <c r="B22" i="153"/>
  <c r="G22" i="153"/>
  <c r="H22" i="153"/>
  <c r="O262" i="154"/>
  <c r="O263" i="154"/>
  <c r="O264" i="154"/>
  <c r="O265" i="154"/>
  <c r="G29" i="153"/>
  <c r="H29" i="153"/>
  <c r="O266" i="154"/>
  <c r="O267" i="154"/>
  <c r="O268" i="154"/>
  <c r="O269" i="154"/>
  <c r="O270" i="154"/>
  <c r="O271" i="154"/>
  <c r="O272" i="154"/>
  <c r="O273" i="154"/>
  <c r="O274" i="154"/>
  <c r="O275" i="154"/>
  <c r="O276" i="154"/>
  <c r="O277" i="154"/>
  <c r="O278" i="154"/>
  <c r="O279" i="154"/>
  <c r="O280" i="154"/>
  <c r="O281" i="154"/>
  <c r="O282" i="154"/>
  <c r="O283" i="154"/>
  <c r="O284" i="154"/>
  <c r="O285" i="154"/>
  <c r="O286" i="154"/>
  <c r="O287" i="154"/>
  <c r="O288" i="154"/>
  <c r="O289" i="154"/>
  <c r="O290" i="154"/>
  <c r="O291" i="154"/>
  <c r="O292" i="154"/>
  <c r="O293" i="154"/>
  <c r="O294" i="154"/>
  <c r="O295" i="154"/>
  <c r="O296" i="154"/>
  <c r="O297" i="154"/>
  <c r="O298" i="154"/>
  <c r="O299" i="154"/>
  <c r="O300" i="154"/>
  <c r="O301" i="154"/>
  <c r="O302" i="154"/>
  <c r="O303" i="154"/>
  <c r="O304" i="154"/>
  <c r="O305" i="154"/>
  <c r="O306" i="154"/>
  <c r="O307" i="154"/>
  <c r="O308" i="154"/>
  <c r="O309" i="154"/>
  <c r="O310" i="154"/>
  <c r="O311" i="154"/>
  <c r="O312" i="154"/>
  <c r="O313" i="154"/>
  <c r="O314" i="154"/>
  <c r="O315" i="154"/>
  <c r="O316" i="154"/>
  <c r="O317" i="154"/>
  <c r="O318" i="154"/>
  <c r="O319" i="154"/>
  <c r="O320" i="154"/>
  <c r="O321" i="154"/>
  <c r="O322" i="154"/>
  <c r="O323" i="154"/>
  <c r="O324" i="154"/>
  <c r="O325" i="154"/>
  <c r="O326" i="154"/>
  <c r="O327" i="154"/>
  <c r="O328" i="154"/>
  <c r="O329" i="154"/>
  <c r="O330" i="154"/>
  <c r="O331" i="154"/>
  <c r="O332" i="154"/>
  <c r="O333" i="154"/>
  <c r="O334" i="154"/>
  <c r="O335" i="154"/>
  <c r="O336" i="154"/>
  <c r="O337" i="154"/>
  <c r="O338" i="154"/>
  <c r="O339" i="154"/>
  <c r="O340" i="154"/>
  <c r="O341" i="154"/>
  <c r="O342" i="154"/>
  <c r="O343" i="154"/>
  <c r="O344" i="154"/>
  <c r="O345" i="154"/>
  <c r="R3" i="153"/>
  <c r="O346" i="154"/>
  <c r="R4" i="153"/>
  <c r="O347" i="154"/>
  <c r="R5" i="153"/>
  <c r="O348" i="154"/>
  <c r="R6" i="153"/>
  <c r="O349" i="154"/>
  <c r="R7" i="153"/>
  <c r="O350" i="154"/>
  <c r="R8" i="153"/>
  <c r="O351" i="154"/>
  <c r="F42" i="153"/>
  <c r="G42" i="153"/>
  <c r="F35" i="153"/>
  <c r="P138" i="154"/>
  <c r="P139" i="154"/>
  <c r="P140" i="154"/>
  <c r="P141" i="154"/>
  <c r="P2" i="154"/>
  <c r="P3" i="154"/>
  <c r="P4" i="154"/>
  <c r="P5" i="154"/>
  <c r="P6" i="154"/>
  <c r="P7" i="154"/>
  <c r="P8" i="154"/>
  <c r="P9" i="154"/>
  <c r="P10" i="154"/>
  <c r="P11" i="154"/>
  <c r="P12" i="154"/>
  <c r="P13" i="154"/>
  <c r="P14" i="154"/>
  <c r="P15" i="154"/>
  <c r="P16" i="154"/>
  <c r="P17" i="154"/>
  <c r="P18" i="154"/>
  <c r="P19" i="154"/>
  <c r="P20" i="154"/>
  <c r="P21" i="154"/>
  <c r="P22" i="154"/>
  <c r="P23" i="154"/>
  <c r="P24" i="154"/>
  <c r="P25" i="154"/>
  <c r="P26" i="154"/>
  <c r="P27" i="154"/>
  <c r="P28" i="154"/>
  <c r="P29" i="154"/>
  <c r="P30" i="154"/>
  <c r="P31" i="154"/>
  <c r="P32" i="154"/>
  <c r="P33" i="154"/>
  <c r="P34" i="154"/>
  <c r="P35" i="154"/>
  <c r="P36" i="154"/>
  <c r="P37" i="154"/>
  <c r="P38" i="154"/>
  <c r="P39" i="154"/>
  <c r="P40" i="154"/>
  <c r="P41" i="154"/>
  <c r="P42" i="154"/>
  <c r="P43" i="154"/>
  <c r="P44" i="154"/>
  <c r="P45" i="154"/>
  <c r="P46" i="154"/>
  <c r="P47" i="154"/>
  <c r="P48" i="154"/>
  <c r="P49" i="154"/>
  <c r="P50" i="154"/>
  <c r="P51" i="154"/>
  <c r="P52" i="154"/>
  <c r="P53" i="154"/>
  <c r="P54" i="154"/>
  <c r="P55" i="154"/>
  <c r="P56" i="154"/>
  <c r="P57" i="154"/>
  <c r="P58" i="154"/>
  <c r="P59" i="154"/>
  <c r="P60" i="154"/>
  <c r="P61" i="154"/>
  <c r="P62" i="154"/>
  <c r="P63" i="154"/>
  <c r="P64" i="154"/>
  <c r="P65" i="154"/>
  <c r="P66" i="154"/>
  <c r="P67" i="154"/>
  <c r="P68" i="154"/>
  <c r="P69" i="154"/>
  <c r="P70" i="154"/>
  <c r="P71" i="154"/>
  <c r="P72" i="154"/>
  <c r="P73" i="154"/>
  <c r="P74" i="154"/>
  <c r="P75" i="154"/>
  <c r="P76" i="154"/>
  <c r="P77" i="154"/>
  <c r="P78" i="154"/>
  <c r="P79" i="154"/>
  <c r="P80" i="154"/>
  <c r="P81" i="154"/>
  <c r="P82" i="154"/>
  <c r="P83" i="154"/>
  <c r="P84" i="154"/>
  <c r="P85" i="154"/>
  <c r="P86" i="154"/>
  <c r="P87" i="154"/>
  <c r="P88" i="154"/>
  <c r="P89" i="154"/>
  <c r="P90" i="154"/>
  <c r="P91" i="154"/>
  <c r="P92" i="154"/>
  <c r="P93" i="154"/>
  <c r="P94" i="154"/>
  <c r="P95" i="154"/>
  <c r="P96" i="154"/>
  <c r="P97" i="154"/>
  <c r="P98" i="154"/>
  <c r="P99" i="154"/>
  <c r="P100" i="154"/>
  <c r="P101" i="154"/>
  <c r="P102" i="154"/>
  <c r="P103" i="154"/>
  <c r="P104" i="154"/>
  <c r="P105" i="154"/>
  <c r="P106" i="154"/>
  <c r="P107" i="154"/>
  <c r="P108" i="154"/>
  <c r="P109" i="154"/>
  <c r="P110" i="154"/>
  <c r="P111" i="154"/>
  <c r="P112" i="154"/>
  <c r="P113" i="154"/>
  <c r="P114" i="154"/>
  <c r="P115" i="154"/>
  <c r="P116" i="154"/>
  <c r="P117" i="154"/>
  <c r="P118" i="154"/>
  <c r="P119" i="154"/>
  <c r="P120" i="154"/>
  <c r="P121" i="154"/>
  <c r="P122" i="154"/>
  <c r="P123" i="154"/>
  <c r="P124" i="154"/>
  <c r="P125" i="154"/>
  <c r="P126" i="154"/>
  <c r="P127" i="154"/>
  <c r="P128" i="154"/>
  <c r="P129" i="154"/>
  <c r="P130" i="154"/>
  <c r="P131" i="154"/>
  <c r="P132" i="154"/>
  <c r="P133" i="154"/>
  <c r="P134" i="154"/>
  <c r="P135" i="154"/>
  <c r="P136" i="154"/>
  <c r="P137" i="154"/>
  <c r="P142" i="154"/>
  <c r="P143" i="154"/>
  <c r="P144" i="154"/>
  <c r="P145" i="154"/>
  <c r="P146" i="154"/>
  <c r="P147" i="154"/>
  <c r="P148" i="154"/>
  <c r="P149" i="154"/>
  <c r="P150" i="154"/>
  <c r="P151" i="154"/>
  <c r="P152" i="154"/>
  <c r="P153" i="154"/>
  <c r="P154" i="154"/>
  <c r="P155" i="154"/>
  <c r="P156" i="154"/>
  <c r="P157" i="154"/>
  <c r="P158" i="154"/>
  <c r="P159" i="154"/>
  <c r="P160" i="154"/>
  <c r="P161" i="154"/>
  <c r="P162" i="154"/>
  <c r="P163" i="154"/>
  <c r="P164" i="154"/>
  <c r="P165" i="154"/>
  <c r="P166" i="154"/>
  <c r="P167" i="154"/>
  <c r="P168" i="154"/>
  <c r="P169" i="154"/>
  <c r="P170" i="154"/>
  <c r="P171" i="154"/>
  <c r="P172" i="154"/>
  <c r="P173" i="154"/>
  <c r="P174" i="154"/>
  <c r="P175" i="154"/>
  <c r="P176" i="154"/>
  <c r="P177" i="154"/>
  <c r="P178" i="154"/>
  <c r="P179" i="154"/>
  <c r="P180" i="154"/>
  <c r="P181" i="154"/>
  <c r="P182" i="154"/>
  <c r="P183" i="154"/>
  <c r="P184" i="154"/>
  <c r="P185" i="154"/>
  <c r="P186" i="154"/>
  <c r="P187" i="154"/>
  <c r="P188" i="154"/>
  <c r="P189" i="154"/>
  <c r="P190" i="154"/>
  <c r="P191" i="154"/>
  <c r="P192" i="154"/>
  <c r="P193" i="154"/>
  <c r="P194" i="154"/>
  <c r="P195" i="154"/>
  <c r="P196" i="154"/>
  <c r="P197" i="154"/>
  <c r="P198" i="154"/>
  <c r="P199" i="154"/>
  <c r="P200" i="154"/>
  <c r="P201" i="154"/>
  <c r="P202" i="154"/>
  <c r="P203" i="154"/>
  <c r="P204" i="154"/>
  <c r="P205" i="154"/>
  <c r="P206" i="154"/>
  <c r="P207" i="154"/>
  <c r="P208" i="154"/>
  <c r="P209" i="154"/>
  <c r="P210" i="154"/>
  <c r="P211" i="154"/>
  <c r="P212" i="154"/>
  <c r="P213" i="154"/>
  <c r="P214" i="154"/>
  <c r="P215" i="154"/>
  <c r="P216" i="154"/>
  <c r="P217" i="154"/>
  <c r="P218" i="154"/>
  <c r="P219" i="154"/>
  <c r="P220" i="154"/>
  <c r="P221" i="154"/>
  <c r="P222" i="154"/>
  <c r="P223" i="154"/>
  <c r="P224" i="154"/>
  <c r="P225" i="154"/>
  <c r="P226" i="154"/>
  <c r="P227" i="154"/>
  <c r="P228" i="154"/>
  <c r="P229" i="154"/>
  <c r="P230" i="154"/>
  <c r="P231" i="154"/>
  <c r="P232" i="154"/>
  <c r="P233" i="154"/>
  <c r="P234" i="154"/>
  <c r="P235" i="154"/>
  <c r="P236" i="154"/>
  <c r="P237" i="154"/>
  <c r="P238" i="154"/>
  <c r="P239" i="154"/>
  <c r="P240" i="154"/>
  <c r="P241" i="154"/>
  <c r="P242" i="154"/>
  <c r="P243" i="154"/>
  <c r="P244" i="154"/>
  <c r="P245" i="154"/>
  <c r="P246" i="154"/>
  <c r="P247" i="154"/>
  <c r="P248" i="154"/>
  <c r="P249" i="154"/>
  <c r="P250" i="154"/>
  <c r="P251" i="154"/>
  <c r="P252" i="154"/>
  <c r="P253" i="154"/>
  <c r="P254" i="154"/>
  <c r="P255" i="154"/>
  <c r="P256" i="154"/>
  <c r="P257" i="154"/>
  <c r="P258" i="154"/>
  <c r="P259" i="154"/>
  <c r="P260" i="154"/>
  <c r="P261" i="154"/>
  <c r="P262" i="154"/>
  <c r="P263" i="154"/>
  <c r="P264" i="154"/>
  <c r="P265" i="154"/>
  <c r="P266" i="154"/>
  <c r="P267" i="154"/>
  <c r="P268" i="154"/>
  <c r="P269" i="154"/>
  <c r="P270" i="154"/>
  <c r="P271" i="154"/>
  <c r="P272" i="154"/>
  <c r="P273" i="154"/>
  <c r="P274" i="154"/>
  <c r="P275" i="154"/>
  <c r="P276" i="154"/>
  <c r="P277" i="154"/>
  <c r="P278" i="154"/>
  <c r="P279" i="154"/>
  <c r="P280" i="154"/>
  <c r="P281" i="154"/>
  <c r="P282" i="154"/>
  <c r="P283" i="154"/>
  <c r="P284" i="154"/>
  <c r="P285" i="154"/>
  <c r="P286" i="154"/>
  <c r="P287" i="154"/>
  <c r="P288" i="154"/>
  <c r="P289" i="154"/>
  <c r="P290" i="154"/>
  <c r="P291" i="154"/>
  <c r="P292" i="154"/>
  <c r="P293" i="154"/>
  <c r="P294" i="154"/>
  <c r="P295" i="154"/>
  <c r="P296" i="154"/>
  <c r="P297" i="154"/>
  <c r="P298" i="154"/>
  <c r="P299" i="154"/>
  <c r="P300" i="154"/>
  <c r="P301" i="154"/>
  <c r="P302" i="154"/>
  <c r="P303" i="154"/>
  <c r="P304" i="154"/>
  <c r="P305" i="154"/>
  <c r="P306" i="154"/>
  <c r="P307" i="154"/>
  <c r="P308" i="154"/>
  <c r="P309" i="154"/>
  <c r="P310" i="154"/>
  <c r="P311" i="154"/>
  <c r="P312" i="154"/>
  <c r="P313" i="154"/>
  <c r="P314" i="154"/>
  <c r="P315" i="154"/>
  <c r="P316" i="154"/>
  <c r="P317" i="154"/>
  <c r="P318" i="154"/>
  <c r="P319" i="154"/>
  <c r="P320" i="154"/>
  <c r="P321" i="154"/>
  <c r="P322" i="154"/>
  <c r="P323" i="154"/>
  <c r="P324" i="154"/>
  <c r="P325" i="154"/>
  <c r="P326" i="154"/>
  <c r="P327" i="154"/>
  <c r="P328" i="154"/>
  <c r="P329" i="154"/>
  <c r="P330" i="154"/>
  <c r="P331" i="154"/>
  <c r="P332" i="154"/>
  <c r="P333" i="154"/>
  <c r="P334" i="154"/>
  <c r="P335" i="154"/>
  <c r="P336" i="154"/>
  <c r="P337" i="154"/>
  <c r="P338" i="154"/>
  <c r="P339" i="154"/>
  <c r="P340" i="154"/>
  <c r="P341" i="154"/>
  <c r="P342" i="154"/>
  <c r="P343" i="154"/>
  <c r="P344" i="154"/>
  <c r="P345" i="154"/>
  <c r="P346" i="154"/>
  <c r="P347" i="154"/>
  <c r="P348" i="154"/>
  <c r="P349" i="154"/>
  <c r="P350" i="154"/>
  <c r="P351" i="154"/>
  <c r="F48" i="153"/>
  <c r="F49" i="153"/>
  <c r="G48" i="153"/>
  <c r="F41" i="153"/>
  <c r="G41" i="153"/>
  <c r="F34" i="153"/>
  <c r="F2" i="165"/>
  <c r="F3" i="165"/>
  <c r="F4" i="165"/>
  <c r="F5" i="165"/>
  <c r="F6" i="165"/>
  <c r="F7" i="165"/>
  <c r="F8" i="165"/>
  <c r="F9" i="165"/>
  <c r="F10" i="165"/>
  <c r="F11" i="165"/>
  <c r="F12" i="165"/>
  <c r="F13" i="165"/>
  <c r="F14" i="165"/>
  <c r="F15" i="165"/>
  <c r="F16" i="165"/>
  <c r="F17" i="165"/>
  <c r="F18" i="165"/>
  <c r="F19" i="165"/>
  <c r="F20" i="165"/>
  <c r="F21" i="165"/>
  <c r="F22" i="165"/>
  <c r="F23" i="165"/>
  <c r="F24" i="165"/>
  <c r="F25" i="165"/>
  <c r="F26" i="165"/>
  <c r="F27" i="165"/>
  <c r="F28" i="165"/>
  <c r="F29" i="165"/>
  <c r="F30" i="165"/>
  <c r="F31" i="165"/>
  <c r="F32" i="165"/>
  <c r="F33" i="165"/>
  <c r="F34" i="165"/>
  <c r="F35" i="165"/>
  <c r="F36" i="165"/>
  <c r="F37" i="165"/>
  <c r="F38" i="165"/>
  <c r="F39" i="165"/>
  <c r="F40" i="165"/>
  <c r="F41" i="165"/>
  <c r="F42" i="165"/>
  <c r="F43" i="165"/>
  <c r="F44" i="165"/>
  <c r="F45" i="165"/>
  <c r="F46" i="165"/>
  <c r="F47" i="165"/>
  <c r="F48" i="165"/>
  <c r="F49" i="165"/>
  <c r="F50" i="165"/>
  <c r="F51" i="165"/>
  <c r="F52" i="165"/>
  <c r="F53" i="165"/>
  <c r="F54" i="165"/>
  <c r="F55" i="165"/>
  <c r="F56" i="165"/>
  <c r="F57" i="165"/>
  <c r="F58" i="165"/>
  <c r="F59" i="165"/>
  <c r="F60" i="165"/>
  <c r="F61" i="165"/>
  <c r="F62" i="165"/>
  <c r="F63" i="165"/>
  <c r="F64" i="165"/>
  <c r="F65" i="165"/>
  <c r="F66" i="165"/>
  <c r="F67" i="165"/>
  <c r="F68" i="165"/>
  <c r="F69" i="165"/>
  <c r="F70" i="165"/>
  <c r="F71" i="165"/>
  <c r="F72" i="165"/>
  <c r="F73" i="165"/>
  <c r="F74" i="165"/>
  <c r="F75" i="165"/>
  <c r="F76" i="165"/>
  <c r="F77" i="165"/>
  <c r="F78" i="165"/>
  <c r="F79" i="165"/>
  <c r="F80" i="165"/>
  <c r="F81" i="165"/>
  <c r="F82" i="165"/>
  <c r="F83" i="165"/>
  <c r="F84" i="165"/>
  <c r="F85" i="165"/>
  <c r="F86" i="165"/>
  <c r="F87" i="165"/>
  <c r="F88" i="165"/>
  <c r="F89" i="165"/>
  <c r="F90" i="165"/>
  <c r="F91" i="165"/>
  <c r="F92" i="165"/>
  <c r="F93" i="165"/>
  <c r="F94" i="165"/>
  <c r="F95" i="165"/>
  <c r="F96" i="165"/>
  <c r="F97" i="165"/>
  <c r="F98" i="165"/>
  <c r="F99" i="165"/>
  <c r="F100" i="165"/>
  <c r="F101" i="165"/>
  <c r="F102" i="165"/>
  <c r="F103" i="165"/>
  <c r="F104" i="165"/>
  <c r="F105" i="165"/>
  <c r="F106" i="165"/>
  <c r="F107" i="165"/>
  <c r="F108" i="165"/>
  <c r="F109" i="165"/>
  <c r="F110" i="165"/>
  <c r="F111" i="165"/>
  <c r="F112" i="165"/>
  <c r="F113" i="165"/>
  <c r="F114" i="165"/>
  <c r="F115" i="165"/>
  <c r="F116" i="165"/>
  <c r="F117" i="165"/>
  <c r="F118" i="165"/>
  <c r="F119" i="165"/>
  <c r="F120" i="165"/>
  <c r="F121" i="165"/>
  <c r="F122" i="165"/>
  <c r="F123" i="165"/>
  <c r="F124" i="165"/>
  <c r="F125" i="165"/>
  <c r="F126" i="165"/>
  <c r="F127" i="165"/>
  <c r="F128" i="165"/>
  <c r="F129" i="165"/>
  <c r="F130" i="165"/>
  <c r="F131" i="165"/>
  <c r="F132" i="165"/>
  <c r="F133" i="165"/>
  <c r="F134" i="165"/>
  <c r="F135" i="165"/>
  <c r="F136" i="165"/>
  <c r="F137" i="165"/>
  <c r="F138" i="165"/>
  <c r="F139" i="165"/>
  <c r="F140" i="165"/>
  <c r="F141" i="165"/>
  <c r="F142" i="165"/>
  <c r="F143" i="165"/>
  <c r="F144" i="165"/>
  <c r="F145" i="165"/>
  <c r="F146" i="165"/>
  <c r="F147" i="165"/>
  <c r="F148" i="165"/>
  <c r="F149" i="165"/>
  <c r="F150" i="165"/>
  <c r="F151" i="165"/>
  <c r="F152" i="165"/>
  <c r="F153" i="165"/>
  <c r="F154" i="165"/>
  <c r="F155" i="165"/>
  <c r="F156" i="165"/>
  <c r="F157" i="165"/>
  <c r="F158" i="165"/>
  <c r="F159" i="165"/>
  <c r="F160" i="165"/>
  <c r="F161" i="165"/>
  <c r="F162" i="165"/>
  <c r="F163" i="165"/>
  <c r="F164" i="165"/>
  <c r="F165" i="165"/>
  <c r="F166" i="165"/>
  <c r="F167" i="165"/>
  <c r="F168" i="165"/>
  <c r="F169" i="165"/>
  <c r="F170" i="165"/>
  <c r="F171" i="165"/>
  <c r="F172" i="165"/>
  <c r="F173" i="165"/>
  <c r="F174" i="165"/>
  <c r="F175" i="165"/>
  <c r="F176" i="165"/>
  <c r="F177" i="165"/>
  <c r="F178" i="165"/>
  <c r="F179" i="165"/>
  <c r="F180" i="165"/>
  <c r="F181" i="165"/>
  <c r="F182" i="165"/>
  <c r="F183" i="165"/>
  <c r="F184" i="165"/>
  <c r="F185" i="165"/>
  <c r="F186" i="165"/>
  <c r="F187" i="165"/>
  <c r="F188" i="165"/>
  <c r="F189" i="165"/>
  <c r="F190" i="165"/>
  <c r="F191" i="165"/>
  <c r="F192" i="165"/>
  <c r="F193" i="165"/>
  <c r="F194" i="165"/>
  <c r="F195" i="165"/>
  <c r="F196" i="165"/>
  <c r="F197" i="165"/>
  <c r="F198" i="165"/>
  <c r="F199" i="165"/>
  <c r="F200" i="165"/>
  <c r="F201" i="165"/>
  <c r="F202" i="165"/>
  <c r="F203" i="165"/>
  <c r="F204" i="165"/>
  <c r="F205" i="165"/>
  <c r="F206" i="165"/>
  <c r="F207" i="165"/>
  <c r="F208" i="165"/>
  <c r="F209" i="165"/>
  <c r="F210" i="165"/>
  <c r="F211" i="165"/>
  <c r="F212" i="165"/>
  <c r="F213" i="165"/>
  <c r="F214" i="165"/>
  <c r="F215" i="165"/>
  <c r="F216" i="165"/>
  <c r="F217" i="165"/>
  <c r="F218" i="165"/>
  <c r="F219" i="165"/>
  <c r="F220" i="165"/>
  <c r="F221" i="165"/>
  <c r="F222" i="165"/>
  <c r="F223" i="165"/>
  <c r="F224" i="165"/>
  <c r="F225" i="165"/>
  <c r="F226" i="165"/>
  <c r="F227" i="165"/>
  <c r="F228" i="165"/>
  <c r="F229" i="165"/>
  <c r="F230" i="165"/>
  <c r="F231" i="165"/>
  <c r="F232" i="165"/>
  <c r="F233" i="165"/>
  <c r="F234" i="165"/>
  <c r="F235" i="165"/>
  <c r="F236" i="165"/>
  <c r="F237" i="165"/>
  <c r="F238" i="165"/>
  <c r="F239" i="165"/>
  <c r="F240" i="165"/>
  <c r="F241" i="165"/>
  <c r="F242" i="165"/>
  <c r="F243" i="165"/>
  <c r="F244" i="165"/>
  <c r="F245" i="165"/>
  <c r="F246" i="165"/>
  <c r="F247" i="165"/>
  <c r="F248" i="165"/>
  <c r="F249" i="165"/>
  <c r="F250" i="165"/>
  <c r="F251" i="165"/>
  <c r="F252" i="165"/>
  <c r="F253" i="165"/>
  <c r="F254" i="165"/>
  <c r="F255" i="165"/>
  <c r="F256" i="165"/>
  <c r="F257" i="165"/>
  <c r="F258" i="165"/>
  <c r="F259" i="165"/>
  <c r="F260" i="165"/>
  <c r="F261" i="165"/>
  <c r="F262" i="165"/>
  <c r="F263" i="165"/>
  <c r="F264" i="165"/>
  <c r="F265" i="165"/>
  <c r="F266" i="165"/>
  <c r="F267" i="165"/>
  <c r="F268" i="165"/>
  <c r="F269" i="165"/>
  <c r="F270" i="165"/>
  <c r="F271" i="165"/>
  <c r="F272" i="165"/>
  <c r="F273" i="165"/>
  <c r="F274" i="165"/>
  <c r="F275" i="165"/>
  <c r="F276" i="165"/>
  <c r="F277" i="165"/>
  <c r="F278" i="165"/>
  <c r="F279" i="165"/>
  <c r="F280" i="165"/>
  <c r="F281" i="165"/>
  <c r="F282" i="165"/>
  <c r="F283" i="165"/>
  <c r="F284" i="165"/>
  <c r="F285" i="165"/>
  <c r="F286" i="165"/>
  <c r="F287" i="165"/>
  <c r="F288" i="165"/>
  <c r="F289" i="165"/>
  <c r="F290" i="165"/>
  <c r="F291" i="165"/>
  <c r="F292" i="165"/>
  <c r="F293" i="165"/>
  <c r="F294" i="165"/>
  <c r="F295" i="165"/>
  <c r="F296" i="165"/>
  <c r="F297" i="165"/>
  <c r="F298" i="165"/>
  <c r="F299" i="165"/>
  <c r="F300" i="165"/>
  <c r="F301" i="165"/>
  <c r="F302" i="165"/>
  <c r="F303" i="165"/>
  <c r="F304" i="165"/>
  <c r="F305" i="165"/>
  <c r="F306" i="165"/>
  <c r="F307" i="165"/>
  <c r="F308" i="165"/>
  <c r="F309" i="165"/>
  <c r="F310" i="165"/>
  <c r="F311" i="165"/>
  <c r="F312" i="165"/>
  <c r="F313" i="165"/>
  <c r="F314" i="165"/>
  <c r="F315" i="165"/>
  <c r="F316" i="165"/>
  <c r="F317" i="165"/>
  <c r="F318" i="165"/>
  <c r="F319" i="165"/>
  <c r="F320" i="165"/>
  <c r="F321" i="165"/>
  <c r="F322" i="165"/>
  <c r="F323" i="165"/>
  <c r="F324" i="165"/>
  <c r="F325" i="165"/>
  <c r="F326" i="165"/>
  <c r="F327" i="165"/>
  <c r="F328" i="165"/>
  <c r="F329" i="165"/>
  <c r="F330" i="165"/>
  <c r="F331" i="165"/>
  <c r="F332" i="165"/>
  <c r="F333" i="165"/>
  <c r="F334" i="165"/>
  <c r="F335" i="165"/>
  <c r="F336" i="165"/>
  <c r="F337" i="165"/>
  <c r="F338" i="165"/>
  <c r="F339" i="165"/>
  <c r="F340" i="165"/>
  <c r="F341" i="165"/>
  <c r="F342" i="165"/>
  <c r="F343" i="165"/>
  <c r="F344" i="165"/>
  <c r="F345" i="165"/>
  <c r="N351" i="165"/>
  <c r="M351" i="165"/>
  <c r="L351" i="165"/>
  <c r="K351" i="165"/>
  <c r="H351" i="165"/>
  <c r="F351" i="165"/>
  <c r="N350" i="165"/>
  <c r="M350" i="165"/>
  <c r="L350" i="165"/>
  <c r="K350" i="165"/>
  <c r="H350" i="165"/>
  <c r="F350" i="165"/>
  <c r="N349" i="165"/>
  <c r="M349" i="165"/>
  <c r="L349" i="165"/>
  <c r="K349" i="165"/>
  <c r="H349" i="165"/>
  <c r="F349" i="165"/>
  <c r="N348" i="165"/>
  <c r="M348" i="165"/>
  <c r="L348" i="165"/>
  <c r="K348" i="165"/>
  <c r="H348" i="165"/>
  <c r="F348" i="165"/>
  <c r="N347" i="165"/>
  <c r="M347" i="165"/>
  <c r="L347" i="165"/>
  <c r="K347" i="165"/>
  <c r="H347" i="165"/>
  <c r="F347" i="165"/>
  <c r="N346" i="165"/>
  <c r="M346" i="165"/>
  <c r="L346" i="165"/>
  <c r="K346" i="165"/>
  <c r="H346" i="165"/>
  <c r="F346" i="165"/>
  <c r="N345" i="165"/>
  <c r="M345" i="165"/>
  <c r="L345" i="165"/>
  <c r="K345" i="165"/>
  <c r="H345" i="165"/>
  <c r="N344" i="165"/>
  <c r="M344" i="165"/>
  <c r="L344" i="165"/>
  <c r="K344" i="165"/>
  <c r="H344" i="165"/>
  <c r="N343" i="165"/>
  <c r="M343" i="165"/>
  <c r="L343" i="165"/>
  <c r="K343" i="165"/>
  <c r="H343" i="165"/>
  <c r="N342" i="165"/>
  <c r="M342" i="165"/>
  <c r="L342" i="165"/>
  <c r="K342" i="165"/>
  <c r="H342" i="165"/>
  <c r="N341" i="165"/>
  <c r="M341" i="165"/>
  <c r="L341" i="165"/>
  <c r="K341" i="165"/>
  <c r="H341" i="165"/>
  <c r="N340" i="165"/>
  <c r="M340" i="165"/>
  <c r="L340" i="165"/>
  <c r="K340" i="165"/>
  <c r="H340" i="165"/>
  <c r="N339" i="165"/>
  <c r="M339" i="165"/>
  <c r="L339" i="165"/>
  <c r="K339" i="165"/>
  <c r="H339" i="165"/>
  <c r="N338" i="165"/>
  <c r="M338" i="165"/>
  <c r="L338" i="165"/>
  <c r="K338" i="165"/>
  <c r="H338" i="165"/>
  <c r="N337" i="165"/>
  <c r="M337" i="165"/>
  <c r="L337" i="165"/>
  <c r="K337" i="165"/>
  <c r="H337" i="165"/>
  <c r="N336" i="165"/>
  <c r="M336" i="165"/>
  <c r="L336" i="165"/>
  <c r="K336" i="165"/>
  <c r="H336" i="165"/>
  <c r="N335" i="165"/>
  <c r="M335" i="165"/>
  <c r="L335" i="165"/>
  <c r="K335" i="165"/>
  <c r="H335" i="165"/>
  <c r="N334" i="165"/>
  <c r="M334" i="165"/>
  <c r="L334" i="165"/>
  <c r="K334" i="165"/>
  <c r="H334" i="165"/>
  <c r="N333" i="165"/>
  <c r="M333" i="165"/>
  <c r="L333" i="165"/>
  <c r="K333" i="165"/>
  <c r="H333" i="165"/>
  <c r="N332" i="165"/>
  <c r="M332" i="165"/>
  <c r="L332" i="165"/>
  <c r="K332" i="165"/>
  <c r="H332" i="165"/>
  <c r="N331" i="165"/>
  <c r="M331" i="165"/>
  <c r="L331" i="165"/>
  <c r="K331" i="165"/>
  <c r="H331" i="165"/>
  <c r="N330" i="165"/>
  <c r="M330" i="165"/>
  <c r="L330" i="165"/>
  <c r="K330" i="165"/>
  <c r="H330" i="165"/>
  <c r="N329" i="165"/>
  <c r="M329" i="165"/>
  <c r="L329" i="165"/>
  <c r="K329" i="165"/>
  <c r="H329" i="165"/>
  <c r="N328" i="165"/>
  <c r="M328" i="165"/>
  <c r="L328" i="165"/>
  <c r="K328" i="165"/>
  <c r="H328" i="165"/>
  <c r="N327" i="165"/>
  <c r="M327" i="165"/>
  <c r="L327" i="165"/>
  <c r="K327" i="165"/>
  <c r="H327" i="165"/>
  <c r="N326" i="165"/>
  <c r="M326" i="165"/>
  <c r="L326" i="165"/>
  <c r="K326" i="165"/>
  <c r="H326" i="165"/>
  <c r="N325" i="165"/>
  <c r="M325" i="165"/>
  <c r="L325" i="165"/>
  <c r="K325" i="165"/>
  <c r="H325" i="165"/>
  <c r="N324" i="165"/>
  <c r="M324" i="165"/>
  <c r="L324" i="165"/>
  <c r="K324" i="165"/>
  <c r="H324" i="165"/>
  <c r="N323" i="165"/>
  <c r="M323" i="165"/>
  <c r="L323" i="165"/>
  <c r="K323" i="165"/>
  <c r="H323" i="165"/>
  <c r="N322" i="165"/>
  <c r="M322" i="165"/>
  <c r="L322" i="165"/>
  <c r="K322" i="165"/>
  <c r="H322" i="165"/>
  <c r="N321" i="165"/>
  <c r="M321" i="165"/>
  <c r="L321" i="165"/>
  <c r="K321" i="165"/>
  <c r="H321" i="165"/>
  <c r="N320" i="165"/>
  <c r="M320" i="165"/>
  <c r="L320" i="165"/>
  <c r="K320" i="165"/>
  <c r="H320" i="165"/>
  <c r="N319" i="165"/>
  <c r="M319" i="165"/>
  <c r="L319" i="165"/>
  <c r="K319" i="165"/>
  <c r="H319" i="165"/>
  <c r="N318" i="165"/>
  <c r="M318" i="165"/>
  <c r="L318" i="165"/>
  <c r="K318" i="165"/>
  <c r="H318" i="165"/>
  <c r="N317" i="165"/>
  <c r="M317" i="165"/>
  <c r="L317" i="165"/>
  <c r="K317" i="165"/>
  <c r="H317" i="165"/>
  <c r="N316" i="165"/>
  <c r="M316" i="165"/>
  <c r="L316" i="165"/>
  <c r="K316" i="165"/>
  <c r="H316" i="165"/>
  <c r="N315" i="165"/>
  <c r="M315" i="165"/>
  <c r="L315" i="165"/>
  <c r="K315" i="165"/>
  <c r="H315" i="165"/>
  <c r="N314" i="165"/>
  <c r="M314" i="165"/>
  <c r="L314" i="165"/>
  <c r="K314" i="165"/>
  <c r="H314" i="165"/>
  <c r="N313" i="165"/>
  <c r="M313" i="165"/>
  <c r="L313" i="165"/>
  <c r="K313" i="165"/>
  <c r="H313" i="165"/>
  <c r="N312" i="165"/>
  <c r="M312" i="165"/>
  <c r="L312" i="165"/>
  <c r="K312" i="165"/>
  <c r="H312" i="165"/>
  <c r="N311" i="165"/>
  <c r="M311" i="165"/>
  <c r="L311" i="165"/>
  <c r="K311" i="165"/>
  <c r="H311" i="165"/>
  <c r="N310" i="165"/>
  <c r="M310" i="165"/>
  <c r="L310" i="165"/>
  <c r="K310" i="165"/>
  <c r="H310" i="165"/>
  <c r="N309" i="165"/>
  <c r="M309" i="165"/>
  <c r="L309" i="165"/>
  <c r="K309" i="165"/>
  <c r="H309" i="165"/>
  <c r="N308" i="165"/>
  <c r="M308" i="165"/>
  <c r="L308" i="165"/>
  <c r="K308" i="165"/>
  <c r="H308" i="165"/>
  <c r="N307" i="165"/>
  <c r="M307" i="165"/>
  <c r="L307" i="165"/>
  <c r="K307" i="165"/>
  <c r="H307" i="165"/>
  <c r="N306" i="165"/>
  <c r="M306" i="165"/>
  <c r="L306" i="165"/>
  <c r="K306" i="165"/>
  <c r="H306" i="165"/>
  <c r="N305" i="165"/>
  <c r="M305" i="165"/>
  <c r="L305" i="165"/>
  <c r="K305" i="165"/>
  <c r="H305" i="165"/>
  <c r="N304" i="165"/>
  <c r="M304" i="165"/>
  <c r="L304" i="165"/>
  <c r="K304" i="165"/>
  <c r="H304" i="165"/>
  <c r="N303" i="165"/>
  <c r="M303" i="165"/>
  <c r="L303" i="165"/>
  <c r="K303" i="165"/>
  <c r="H303" i="165"/>
  <c r="N302" i="165"/>
  <c r="M302" i="165"/>
  <c r="L302" i="165"/>
  <c r="K302" i="165"/>
  <c r="H302" i="165"/>
  <c r="N301" i="165"/>
  <c r="M301" i="165"/>
  <c r="L301" i="165"/>
  <c r="K301" i="165"/>
  <c r="H301" i="165"/>
  <c r="N300" i="165"/>
  <c r="M300" i="165"/>
  <c r="L300" i="165"/>
  <c r="K300" i="165"/>
  <c r="H300" i="165"/>
  <c r="N299" i="165"/>
  <c r="M299" i="165"/>
  <c r="L299" i="165"/>
  <c r="K299" i="165"/>
  <c r="H299" i="165"/>
  <c r="N298" i="165"/>
  <c r="M298" i="165"/>
  <c r="L298" i="165"/>
  <c r="K298" i="165"/>
  <c r="H298" i="165"/>
  <c r="N297" i="165"/>
  <c r="M297" i="165"/>
  <c r="L297" i="165"/>
  <c r="K297" i="165"/>
  <c r="H297" i="165"/>
  <c r="N296" i="165"/>
  <c r="M296" i="165"/>
  <c r="L296" i="165"/>
  <c r="K296" i="165"/>
  <c r="H296" i="165"/>
  <c r="N295" i="165"/>
  <c r="M295" i="165"/>
  <c r="L295" i="165"/>
  <c r="K295" i="165"/>
  <c r="H295" i="165"/>
  <c r="N294" i="165"/>
  <c r="M294" i="165"/>
  <c r="L294" i="165"/>
  <c r="K294" i="165"/>
  <c r="H294" i="165"/>
  <c r="N293" i="165"/>
  <c r="M293" i="165"/>
  <c r="L293" i="165"/>
  <c r="K293" i="165"/>
  <c r="H293" i="165"/>
  <c r="N292" i="165"/>
  <c r="M292" i="165"/>
  <c r="L292" i="165"/>
  <c r="K292" i="165"/>
  <c r="H292" i="165"/>
  <c r="N291" i="165"/>
  <c r="M291" i="165"/>
  <c r="L291" i="165"/>
  <c r="K291" i="165"/>
  <c r="H291" i="165"/>
  <c r="N290" i="165"/>
  <c r="M290" i="165"/>
  <c r="L290" i="165"/>
  <c r="K290" i="165"/>
  <c r="H290" i="165"/>
  <c r="N289" i="165"/>
  <c r="M289" i="165"/>
  <c r="L289" i="165"/>
  <c r="K289" i="165"/>
  <c r="H289" i="165"/>
  <c r="N288" i="165"/>
  <c r="M288" i="165"/>
  <c r="L288" i="165"/>
  <c r="K288" i="165"/>
  <c r="H288" i="165"/>
  <c r="N287" i="165"/>
  <c r="M287" i="165"/>
  <c r="L287" i="165"/>
  <c r="K287" i="165"/>
  <c r="H287" i="165"/>
  <c r="N286" i="165"/>
  <c r="M286" i="165"/>
  <c r="L286" i="165"/>
  <c r="K286" i="165"/>
  <c r="H286" i="165"/>
  <c r="N285" i="165"/>
  <c r="M285" i="165"/>
  <c r="L285" i="165"/>
  <c r="K285" i="165"/>
  <c r="H285" i="165"/>
  <c r="N284" i="165"/>
  <c r="M284" i="165"/>
  <c r="L284" i="165"/>
  <c r="K284" i="165"/>
  <c r="H284" i="165"/>
  <c r="N283" i="165"/>
  <c r="M283" i="165"/>
  <c r="L283" i="165"/>
  <c r="K283" i="165"/>
  <c r="H283" i="165"/>
  <c r="N282" i="165"/>
  <c r="M282" i="165"/>
  <c r="L282" i="165"/>
  <c r="K282" i="165"/>
  <c r="H282" i="165"/>
  <c r="N281" i="165"/>
  <c r="M281" i="165"/>
  <c r="L281" i="165"/>
  <c r="K281" i="165"/>
  <c r="H281" i="165"/>
  <c r="N280" i="165"/>
  <c r="M280" i="165"/>
  <c r="L280" i="165"/>
  <c r="K280" i="165"/>
  <c r="H280" i="165"/>
  <c r="N279" i="165"/>
  <c r="M279" i="165"/>
  <c r="L279" i="165"/>
  <c r="K279" i="165"/>
  <c r="H279" i="165"/>
  <c r="N278" i="165"/>
  <c r="M278" i="165"/>
  <c r="L278" i="165"/>
  <c r="K278" i="165"/>
  <c r="H278" i="165"/>
  <c r="N277" i="165"/>
  <c r="M277" i="165"/>
  <c r="L277" i="165"/>
  <c r="K277" i="165"/>
  <c r="H277" i="165"/>
  <c r="N276" i="165"/>
  <c r="M276" i="165"/>
  <c r="L276" i="165"/>
  <c r="K276" i="165"/>
  <c r="H276" i="165"/>
  <c r="N275" i="165"/>
  <c r="M275" i="165"/>
  <c r="L275" i="165"/>
  <c r="K275" i="165"/>
  <c r="H275" i="165"/>
  <c r="N274" i="165"/>
  <c r="M274" i="165"/>
  <c r="L274" i="165"/>
  <c r="K274" i="165"/>
  <c r="H274" i="165"/>
  <c r="N273" i="165"/>
  <c r="M273" i="165"/>
  <c r="L273" i="165"/>
  <c r="K273" i="165"/>
  <c r="H273" i="165"/>
  <c r="N272" i="165"/>
  <c r="M272" i="165"/>
  <c r="L272" i="165"/>
  <c r="K272" i="165"/>
  <c r="H272" i="165"/>
  <c r="N271" i="165"/>
  <c r="M271" i="165"/>
  <c r="L271" i="165"/>
  <c r="K271" i="165"/>
  <c r="H271" i="165"/>
  <c r="N270" i="165"/>
  <c r="M270" i="165"/>
  <c r="L270" i="165"/>
  <c r="K270" i="165"/>
  <c r="H270" i="165"/>
  <c r="N269" i="165"/>
  <c r="M269" i="165"/>
  <c r="L269" i="165"/>
  <c r="K269" i="165"/>
  <c r="H269" i="165"/>
  <c r="N268" i="165"/>
  <c r="M268" i="165"/>
  <c r="L268" i="165"/>
  <c r="K268" i="165"/>
  <c r="H268" i="165"/>
  <c r="N267" i="165"/>
  <c r="M267" i="165"/>
  <c r="L267" i="165"/>
  <c r="K267" i="165"/>
  <c r="H267" i="165"/>
  <c r="N266" i="165"/>
  <c r="M266" i="165"/>
  <c r="L266" i="165"/>
  <c r="K266" i="165"/>
  <c r="H266" i="165"/>
  <c r="N265" i="165"/>
  <c r="M265" i="165"/>
  <c r="L265" i="165"/>
  <c r="K265" i="165"/>
  <c r="H265" i="165"/>
  <c r="N264" i="165"/>
  <c r="M264" i="165"/>
  <c r="L264" i="165"/>
  <c r="K264" i="165"/>
  <c r="H264" i="165"/>
  <c r="N263" i="165"/>
  <c r="M263" i="165"/>
  <c r="L263" i="165"/>
  <c r="K263" i="165"/>
  <c r="H263" i="165"/>
  <c r="N262" i="165"/>
  <c r="M262" i="165"/>
  <c r="L262" i="165"/>
  <c r="K262" i="165"/>
  <c r="H262" i="165"/>
  <c r="N261" i="165"/>
  <c r="M261" i="165"/>
  <c r="L261" i="165"/>
  <c r="K261" i="165"/>
  <c r="H261" i="165"/>
  <c r="N260" i="165"/>
  <c r="M260" i="165"/>
  <c r="L260" i="165"/>
  <c r="K260" i="165"/>
  <c r="H260" i="165"/>
  <c r="N259" i="165"/>
  <c r="M259" i="165"/>
  <c r="L259" i="165"/>
  <c r="K259" i="165"/>
  <c r="H259" i="165"/>
  <c r="N258" i="165"/>
  <c r="M258" i="165"/>
  <c r="L258" i="165"/>
  <c r="K258" i="165"/>
  <c r="H258" i="165"/>
  <c r="N257" i="165"/>
  <c r="M257" i="165"/>
  <c r="L257" i="165"/>
  <c r="K257" i="165"/>
  <c r="H257" i="165"/>
  <c r="N256" i="165"/>
  <c r="M256" i="165"/>
  <c r="L256" i="165"/>
  <c r="K256" i="165"/>
  <c r="H256" i="165"/>
  <c r="N255" i="165"/>
  <c r="M255" i="165"/>
  <c r="L255" i="165"/>
  <c r="K255" i="165"/>
  <c r="H255" i="165"/>
  <c r="N254" i="165"/>
  <c r="M254" i="165"/>
  <c r="L254" i="165"/>
  <c r="K254" i="165"/>
  <c r="H254" i="165"/>
  <c r="N253" i="165"/>
  <c r="M253" i="165"/>
  <c r="L253" i="165"/>
  <c r="K253" i="165"/>
  <c r="H253" i="165"/>
  <c r="N252" i="165"/>
  <c r="M252" i="165"/>
  <c r="L252" i="165"/>
  <c r="K252" i="165"/>
  <c r="H252" i="165"/>
  <c r="N251" i="165"/>
  <c r="M251" i="165"/>
  <c r="L251" i="165"/>
  <c r="K251" i="165"/>
  <c r="H251" i="165"/>
  <c r="N250" i="165"/>
  <c r="M250" i="165"/>
  <c r="L250" i="165"/>
  <c r="K250" i="165"/>
  <c r="H250" i="165"/>
  <c r="N249" i="165"/>
  <c r="M249" i="165"/>
  <c r="L249" i="165"/>
  <c r="K249" i="165"/>
  <c r="H249" i="165"/>
  <c r="N248" i="165"/>
  <c r="M248" i="165"/>
  <c r="L248" i="165"/>
  <c r="K248" i="165"/>
  <c r="H248" i="165"/>
  <c r="N247" i="165"/>
  <c r="M247" i="165"/>
  <c r="L247" i="165"/>
  <c r="K247" i="165"/>
  <c r="H247" i="165"/>
  <c r="N246" i="165"/>
  <c r="M246" i="165"/>
  <c r="L246" i="165"/>
  <c r="K246" i="165"/>
  <c r="H246" i="165"/>
  <c r="N245" i="165"/>
  <c r="M245" i="165"/>
  <c r="L245" i="165"/>
  <c r="K245" i="165"/>
  <c r="H245" i="165"/>
  <c r="N244" i="165"/>
  <c r="M244" i="165"/>
  <c r="L244" i="165"/>
  <c r="K244" i="165"/>
  <c r="H244" i="165"/>
  <c r="N243" i="165"/>
  <c r="M243" i="165"/>
  <c r="L243" i="165"/>
  <c r="K243" i="165"/>
  <c r="H243" i="165"/>
  <c r="N242" i="165"/>
  <c r="M242" i="165"/>
  <c r="L242" i="165"/>
  <c r="K242" i="165"/>
  <c r="H242" i="165"/>
  <c r="N241" i="165"/>
  <c r="M241" i="165"/>
  <c r="L241" i="165"/>
  <c r="K241" i="165"/>
  <c r="H241" i="165"/>
  <c r="N240" i="165"/>
  <c r="M240" i="165"/>
  <c r="L240" i="165"/>
  <c r="K240" i="165"/>
  <c r="H240" i="165"/>
  <c r="N239" i="165"/>
  <c r="M239" i="165"/>
  <c r="L239" i="165"/>
  <c r="K239" i="165"/>
  <c r="H239" i="165"/>
  <c r="N238" i="165"/>
  <c r="M238" i="165"/>
  <c r="L238" i="165"/>
  <c r="K238" i="165"/>
  <c r="H238" i="165"/>
  <c r="N237" i="165"/>
  <c r="M237" i="165"/>
  <c r="L237" i="165"/>
  <c r="K237" i="165"/>
  <c r="H237" i="165"/>
  <c r="N236" i="165"/>
  <c r="M236" i="165"/>
  <c r="L236" i="165"/>
  <c r="K236" i="165"/>
  <c r="H236" i="165"/>
  <c r="N235" i="165"/>
  <c r="M235" i="165"/>
  <c r="L235" i="165"/>
  <c r="K235" i="165"/>
  <c r="H235" i="165"/>
  <c r="N234" i="165"/>
  <c r="M234" i="165"/>
  <c r="L234" i="165"/>
  <c r="K234" i="165"/>
  <c r="H234" i="165"/>
  <c r="N233" i="165"/>
  <c r="M233" i="165"/>
  <c r="L233" i="165"/>
  <c r="K233" i="165"/>
  <c r="H233" i="165"/>
  <c r="N232" i="165"/>
  <c r="M232" i="165"/>
  <c r="L232" i="165"/>
  <c r="K232" i="165"/>
  <c r="H232" i="165"/>
  <c r="N231" i="165"/>
  <c r="M231" i="165"/>
  <c r="L231" i="165"/>
  <c r="K231" i="165"/>
  <c r="H231" i="165"/>
  <c r="N230" i="165"/>
  <c r="M230" i="165"/>
  <c r="L230" i="165"/>
  <c r="K230" i="165"/>
  <c r="H230" i="165"/>
  <c r="N229" i="165"/>
  <c r="M229" i="165"/>
  <c r="L229" i="165"/>
  <c r="K229" i="165"/>
  <c r="H229" i="165"/>
  <c r="N228" i="165"/>
  <c r="M228" i="165"/>
  <c r="L228" i="165"/>
  <c r="K228" i="165"/>
  <c r="H228" i="165"/>
  <c r="N227" i="165"/>
  <c r="M227" i="165"/>
  <c r="L227" i="165"/>
  <c r="K227" i="165"/>
  <c r="H227" i="165"/>
  <c r="N226" i="165"/>
  <c r="M226" i="165"/>
  <c r="L226" i="165"/>
  <c r="K226" i="165"/>
  <c r="H226" i="165"/>
  <c r="N225" i="165"/>
  <c r="M225" i="165"/>
  <c r="L225" i="165"/>
  <c r="K225" i="165"/>
  <c r="H225" i="165"/>
  <c r="N224" i="165"/>
  <c r="M224" i="165"/>
  <c r="L224" i="165"/>
  <c r="K224" i="165"/>
  <c r="H224" i="165"/>
  <c r="N223" i="165"/>
  <c r="M223" i="165"/>
  <c r="L223" i="165"/>
  <c r="K223" i="165"/>
  <c r="H223" i="165"/>
  <c r="N222" i="165"/>
  <c r="M222" i="165"/>
  <c r="L222" i="165"/>
  <c r="K222" i="165"/>
  <c r="H222" i="165"/>
  <c r="N221" i="165"/>
  <c r="M221" i="165"/>
  <c r="L221" i="165"/>
  <c r="K221" i="165"/>
  <c r="H221" i="165"/>
  <c r="N220" i="165"/>
  <c r="M220" i="165"/>
  <c r="L220" i="165"/>
  <c r="K220" i="165"/>
  <c r="H220" i="165"/>
  <c r="N219" i="165"/>
  <c r="M219" i="165"/>
  <c r="L219" i="165"/>
  <c r="K219" i="165"/>
  <c r="H219" i="165"/>
  <c r="N218" i="165"/>
  <c r="M218" i="165"/>
  <c r="L218" i="165"/>
  <c r="K218" i="165"/>
  <c r="H218" i="165"/>
  <c r="N217" i="165"/>
  <c r="M217" i="165"/>
  <c r="L217" i="165"/>
  <c r="K217" i="165"/>
  <c r="H217" i="165"/>
  <c r="N216" i="165"/>
  <c r="M216" i="165"/>
  <c r="L216" i="165"/>
  <c r="K216" i="165"/>
  <c r="H216" i="165"/>
  <c r="N215" i="165"/>
  <c r="M215" i="165"/>
  <c r="L215" i="165"/>
  <c r="K215" i="165"/>
  <c r="H215" i="165"/>
  <c r="N214" i="165"/>
  <c r="M214" i="165"/>
  <c r="L214" i="165"/>
  <c r="K214" i="165"/>
  <c r="H214" i="165"/>
  <c r="N213" i="165"/>
  <c r="M213" i="165"/>
  <c r="L213" i="165"/>
  <c r="K213" i="165"/>
  <c r="H213" i="165"/>
  <c r="N212" i="165"/>
  <c r="M212" i="165"/>
  <c r="L212" i="165"/>
  <c r="K212" i="165"/>
  <c r="H212" i="165"/>
  <c r="N211" i="165"/>
  <c r="M211" i="165"/>
  <c r="L211" i="165"/>
  <c r="K211" i="165"/>
  <c r="H211" i="165"/>
  <c r="N210" i="165"/>
  <c r="M210" i="165"/>
  <c r="L210" i="165"/>
  <c r="K210" i="165"/>
  <c r="H210" i="165"/>
  <c r="N209" i="165"/>
  <c r="M209" i="165"/>
  <c r="L209" i="165"/>
  <c r="K209" i="165"/>
  <c r="H209" i="165"/>
  <c r="N208" i="165"/>
  <c r="M208" i="165"/>
  <c r="L208" i="165"/>
  <c r="K208" i="165"/>
  <c r="H208" i="165"/>
  <c r="N207" i="165"/>
  <c r="M207" i="165"/>
  <c r="L207" i="165"/>
  <c r="K207" i="165"/>
  <c r="H207" i="165"/>
  <c r="N206" i="165"/>
  <c r="M206" i="165"/>
  <c r="L206" i="165"/>
  <c r="K206" i="165"/>
  <c r="H206" i="165"/>
  <c r="N205" i="165"/>
  <c r="M205" i="165"/>
  <c r="L205" i="165"/>
  <c r="K205" i="165"/>
  <c r="H205" i="165"/>
  <c r="N204" i="165"/>
  <c r="M204" i="165"/>
  <c r="L204" i="165"/>
  <c r="K204" i="165"/>
  <c r="H204" i="165"/>
  <c r="N203" i="165"/>
  <c r="M203" i="165"/>
  <c r="L203" i="165"/>
  <c r="K203" i="165"/>
  <c r="H203" i="165"/>
  <c r="N202" i="165"/>
  <c r="M202" i="165"/>
  <c r="L202" i="165"/>
  <c r="K202" i="165"/>
  <c r="H202" i="165"/>
  <c r="N201" i="165"/>
  <c r="M201" i="165"/>
  <c r="L201" i="165"/>
  <c r="K201" i="165"/>
  <c r="H201" i="165"/>
  <c r="N200" i="165"/>
  <c r="M200" i="165"/>
  <c r="L200" i="165"/>
  <c r="K200" i="165"/>
  <c r="H200" i="165"/>
  <c r="N199" i="165"/>
  <c r="M199" i="165"/>
  <c r="L199" i="165"/>
  <c r="K199" i="165"/>
  <c r="H199" i="165"/>
  <c r="N198" i="165"/>
  <c r="M198" i="165"/>
  <c r="L198" i="165"/>
  <c r="K198" i="165"/>
  <c r="H198" i="165"/>
  <c r="N197" i="165"/>
  <c r="M197" i="165"/>
  <c r="L197" i="165"/>
  <c r="K197" i="165"/>
  <c r="H197" i="165"/>
  <c r="N196" i="165"/>
  <c r="M196" i="165"/>
  <c r="L196" i="165"/>
  <c r="K196" i="165"/>
  <c r="H196" i="165"/>
  <c r="N195" i="165"/>
  <c r="M195" i="165"/>
  <c r="L195" i="165"/>
  <c r="K195" i="165"/>
  <c r="H195" i="165"/>
  <c r="N194" i="165"/>
  <c r="M194" i="165"/>
  <c r="L194" i="165"/>
  <c r="K194" i="165"/>
  <c r="H194" i="165"/>
  <c r="N193" i="165"/>
  <c r="M193" i="165"/>
  <c r="L193" i="165"/>
  <c r="K193" i="165"/>
  <c r="H193" i="165"/>
  <c r="N192" i="165"/>
  <c r="M192" i="165"/>
  <c r="L192" i="165"/>
  <c r="K192" i="165"/>
  <c r="H192" i="165"/>
  <c r="N191" i="165"/>
  <c r="M191" i="165"/>
  <c r="L191" i="165"/>
  <c r="K191" i="165"/>
  <c r="H191" i="165"/>
  <c r="N190" i="165"/>
  <c r="M190" i="165"/>
  <c r="L190" i="165"/>
  <c r="K190" i="165"/>
  <c r="H190" i="165"/>
  <c r="N189" i="165"/>
  <c r="M189" i="165"/>
  <c r="L189" i="165"/>
  <c r="K189" i="165"/>
  <c r="H189" i="165"/>
  <c r="N188" i="165"/>
  <c r="M188" i="165"/>
  <c r="L188" i="165"/>
  <c r="K188" i="165"/>
  <c r="H188" i="165"/>
  <c r="N187" i="165"/>
  <c r="M187" i="165"/>
  <c r="L187" i="165"/>
  <c r="K187" i="165"/>
  <c r="H187" i="165"/>
  <c r="N186" i="165"/>
  <c r="M186" i="165"/>
  <c r="L186" i="165"/>
  <c r="K186" i="165"/>
  <c r="H186" i="165"/>
  <c r="N185" i="165"/>
  <c r="M185" i="165"/>
  <c r="L185" i="165"/>
  <c r="K185" i="165"/>
  <c r="H185" i="165"/>
  <c r="N184" i="165"/>
  <c r="M184" i="165"/>
  <c r="L184" i="165"/>
  <c r="K184" i="165"/>
  <c r="H184" i="165"/>
  <c r="N183" i="165"/>
  <c r="M183" i="165"/>
  <c r="L183" i="165"/>
  <c r="K183" i="165"/>
  <c r="H183" i="165"/>
  <c r="N182" i="165"/>
  <c r="M182" i="165"/>
  <c r="L182" i="165"/>
  <c r="K182" i="165"/>
  <c r="H182" i="165"/>
  <c r="N181" i="165"/>
  <c r="M181" i="165"/>
  <c r="L181" i="165"/>
  <c r="K181" i="165"/>
  <c r="H181" i="165"/>
  <c r="N180" i="165"/>
  <c r="M180" i="165"/>
  <c r="L180" i="165"/>
  <c r="K180" i="165"/>
  <c r="H180" i="165"/>
  <c r="N179" i="165"/>
  <c r="M179" i="165"/>
  <c r="L179" i="165"/>
  <c r="K179" i="165"/>
  <c r="H179" i="165"/>
  <c r="N178" i="165"/>
  <c r="M178" i="165"/>
  <c r="L178" i="165"/>
  <c r="K178" i="165"/>
  <c r="H178" i="165"/>
  <c r="N177" i="165"/>
  <c r="M177" i="165"/>
  <c r="L177" i="165"/>
  <c r="K177" i="165"/>
  <c r="H177" i="165"/>
  <c r="N176" i="165"/>
  <c r="M176" i="165"/>
  <c r="L176" i="165"/>
  <c r="K176" i="165"/>
  <c r="H176" i="165"/>
  <c r="N175" i="165"/>
  <c r="M175" i="165"/>
  <c r="L175" i="165"/>
  <c r="K175" i="165"/>
  <c r="H175" i="165"/>
  <c r="N174" i="165"/>
  <c r="M174" i="165"/>
  <c r="L174" i="165"/>
  <c r="K174" i="165"/>
  <c r="H174" i="165"/>
  <c r="N173" i="165"/>
  <c r="M173" i="165"/>
  <c r="L173" i="165"/>
  <c r="K173" i="165"/>
  <c r="H173" i="165"/>
  <c r="N172" i="165"/>
  <c r="M172" i="165"/>
  <c r="L172" i="165"/>
  <c r="K172" i="165"/>
  <c r="H172" i="165"/>
  <c r="N171" i="165"/>
  <c r="M171" i="165"/>
  <c r="L171" i="165"/>
  <c r="K171" i="165"/>
  <c r="H171" i="165"/>
  <c r="N170" i="165"/>
  <c r="M170" i="165"/>
  <c r="L170" i="165"/>
  <c r="K170" i="165"/>
  <c r="H170" i="165"/>
  <c r="N169" i="165"/>
  <c r="M169" i="165"/>
  <c r="L169" i="165"/>
  <c r="K169" i="165"/>
  <c r="H169" i="165"/>
  <c r="N168" i="165"/>
  <c r="M168" i="165"/>
  <c r="L168" i="165"/>
  <c r="K168" i="165"/>
  <c r="H168" i="165"/>
  <c r="N167" i="165"/>
  <c r="M167" i="165"/>
  <c r="L167" i="165"/>
  <c r="K167" i="165"/>
  <c r="H167" i="165"/>
  <c r="N166" i="165"/>
  <c r="M166" i="165"/>
  <c r="L166" i="165"/>
  <c r="K166" i="165"/>
  <c r="H166" i="165"/>
  <c r="N165" i="165"/>
  <c r="M165" i="165"/>
  <c r="L165" i="165"/>
  <c r="K165" i="165"/>
  <c r="H165" i="165"/>
  <c r="N164" i="165"/>
  <c r="M164" i="165"/>
  <c r="L164" i="165"/>
  <c r="K164" i="165"/>
  <c r="H164" i="165"/>
  <c r="N163" i="165"/>
  <c r="M163" i="165"/>
  <c r="L163" i="165"/>
  <c r="K163" i="165"/>
  <c r="H163" i="165"/>
  <c r="N162" i="165"/>
  <c r="M162" i="165"/>
  <c r="L162" i="165"/>
  <c r="K162" i="165"/>
  <c r="H162" i="165"/>
  <c r="N161" i="165"/>
  <c r="M161" i="165"/>
  <c r="L161" i="165"/>
  <c r="K161" i="165"/>
  <c r="H161" i="165"/>
  <c r="N160" i="165"/>
  <c r="M160" i="165"/>
  <c r="L160" i="165"/>
  <c r="K160" i="165"/>
  <c r="H160" i="165"/>
  <c r="N159" i="165"/>
  <c r="M159" i="165"/>
  <c r="L159" i="165"/>
  <c r="K159" i="165"/>
  <c r="H159" i="165"/>
  <c r="N158" i="165"/>
  <c r="M158" i="165"/>
  <c r="L158" i="165"/>
  <c r="K158" i="165"/>
  <c r="H158" i="165"/>
  <c r="N157" i="165"/>
  <c r="M157" i="165"/>
  <c r="L157" i="165"/>
  <c r="K157" i="165"/>
  <c r="H157" i="165"/>
  <c r="N156" i="165"/>
  <c r="M156" i="165"/>
  <c r="L156" i="165"/>
  <c r="K156" i="165"/>
  <c r="H156" i="165"/>
  <c r="N155" i="165"/>
  <c r="M155" i="165"/>
  <c r="L155" i="165"/>
  <c r="K155" i="165"/>
  <c r="H155" i="165"/>
  <c r="N154" i="165"/>
  <c r="M154" i="165"/>
  <c r="L154" i="165"/>
  <c r="K154" i="165"/>
  <c r="H154" i="165"/>
  <c r="N153" i="165"/>
  <c r="M153" i="165"/>
  <c r="L153" i="165"/>
  <c r="K153" i="165"/>
  <c r="H153" i="165"/>
  <c r="N152" i="165"/>
  <c r="M152" i="165"/>
  <c r="L152" i="165"/>
  <c r="K152" i="165"/>
  <c r="H152" i="165"/>
  <c r="N151" i="165"/>
  <c r="M151" i="165"/>
  <c r="L151" i="165"/>
  <c r="K151" i="165"/>
  <c r="H151" i="165"/>
  <c r="N150" i="165"/>
  <c r="M150" i="165"/>
  <c r="L150" i="165"/>
  <c r="K150" i="165"/>
  <c r="H150" i="165"/>
  <c r="N149" i="165"/>
  <c r="M149" i="165"/>
  <c r="L149" i="165"/>
  <c r="K149" i="165"/>
  <c r="H149" i="165"/>
  <c r="N148" i="165"/>
  <c r="M148" i="165"/>
  <c r="L148" i="165"/>
  <c r="K148" i="165"/>
  <c r="H148" i="165"/>
  <c r="N147" i="165"/>
  <c r="M147" i="165"/>
  <c r="L147" i="165"/>
  <c r="K147" i="165"/>
  <c r="H147" i="165"/>
  <c r="N146" i="165"/>
  <c r="M146" i="165"/>
  <c r="L146" i="165"/>
  <c r="K146" i="165"/>
  <c r="H146" i="165"/>
  <c r="N145" i="165"/>
  <c r="M145" i="165"/>
  <c r="L145" i="165"/>
  <c r="K145" i="165"/>
  <c r="H145" i="165"/>
  <c r="N144" i="165"/>
  <c r="M144" i="165"/>
  <c r="L144" i="165"/>
  <c r="K144" i="165"/>
  <c r="H144" i="165"/>
  <c r="N143" i="165"/>
  <c r="M143" i="165"/>
  <c r="L143" i="165"/>
  <c r="K143" i="165"/>
  <c r="H143" i="165"/>
  <c r="N142" i="165"/>
  <c r="M142" i="165"/>
  <c r="L142" i="165"/>
  <c r="K142" i="165"/>
  <c r="H142" i="165"/>
  <c r="N141" i="165"/>
  <c r="M141" i="165"/>
  <c r="L141" i="165"/>
  <c r="K141" i="165"/>
  <c r="H141" i="165"/>
  <c r="N140" i="165"/>
  <c r="M140" i="165"/>
  <c r="L140" i="165"/>
  <c r="K140" i="165"/>
  <c r="H140" i="165"/>
  <c r="N139" i="165"/>
  <c r="M139" i="165"/>
  <c r="L139" i="165"/>
  <c r="K139" i="165"/>
  <c r="H139" i="165"/>
  <c r="N138" i="165"/>
  <c r="M138" i="165"/>
  <c r="L138" i="165"/>
  <c r="K138" i="165"/>
  <c r="H138" i="165"/>
  <c r="N137" i="165"/>
  <c r="M137" i="165"/>
  <c r="L137" i="165"/>
  <c r="K137" i="165"/>
  <c r="H137" i="165"/>
  <c r="N136" i="165"/>
  <c r="M136" i="165"/>
  <c r="L136" i="165"/>
  <c r="K136" i="165"/>
  <c r="H136" i="165"/>
  <c r="N135" i="165"/>
  <c r="M135" i="165"/>
  <c r="L135" i="165"/>
  <c r="K135" i="165"/>
  <c r="H135" i="165"/>
  <c r="N134" i="165"/>
  <c r="M134" i="165"/>
  <c r="L134" i="165"/>
  <c r="K134" i="165"/>
  <c r="H134" i="165"/>
  <c r="N133" i="165"/>
  <c r="M133" i="165"/>
  <c r="L133" i="165"/>
  <c r="K133" i="165"/>
  <c r="H133" i="165"/>
  <c r="N132" i="165"/>
  <c r="M132" i="165"/>
  <c r="L132" i="165"/>
  <c r="K132" i="165"/>
  <c r="H132" i="165"/>
  <c r="N131" i="165"/>
  <c r="M131" i="165"/>
  <c r="L131" i="165"/>
  <c r="K131" i="165"/>
  <c r="H131" i="165"/>
  <c r="N130" i="165"/>
  <c r="M130" i="165"/>
  <c r="L130" i="165"/>
  <c r="K130" i="165"/>
  <c r="H130" i="165"/>
  <c r="N129" i="165"/>
  <c r="M129" i="165"/>
  <c r="L129" i="165"/>
  <c r="K129" i="165"/>
  <c r="H129" i="165"/>
  <c r="N128" i="165"/>
  <c r="M128" i="165"/>
  <c r="L128" i="165"/>
  <c r="K128" i="165"/>
  <c r="H128" i="165"/>
  <c r="N127" i="165"/>
  <c r="M127" i="165"/>
  <c r="L127" i="165"/>
  <c r="K127" i="165"/>
  <c r="H127" i="165"/>
  <c r="N126" i="165"/>
  <c r="M126" i="165"/>
  <c r="L126" i="165"/>
  <c r="K126" i="165"/>
  <c r="H126" i="165"/>
  <c r="N125" i="165"/>
  <c r="M125" i="165"/>
  <c r="L125" i="165"/>
  <c r="K125" i="165"/>
  <c r="H125" i="165"/>
  <c r="N124" i="165"/>
  <c r="M124" i="165"/>
  <c r="L124" i="165"/>
  <c r="K124" i="165"/>
  <c r="H124" i="165"/>
  <c r="N123" i="165"/>
  <c r="M123" i="165"/>
  <c r="L123" i="165"/>
  <c r="K123" i="165"/>
  <c r="H123" i="165"/>
  <c r="N122" i="165"/>
  <c r="M122" i="165"/>
  <c r="L122" i="165"/>
  <c r="K122" i="165"/>
  <c r="H122" i="165"/>
  <c r="N121" i="165"/>
  <c r="M121" i="165"/>
  <c r="L121" i="165"/>
  <c r="K121" i="165"/>
  <c r="H121" i="165"/>
  <c r="N120" i="165"/>
  <c r="M120" i="165"/>
  <c r="L120" i="165"/>
  <c r="K120" i="165"/>
  <c r="H120" i="165"/>
  <c r="N119" i="165"/>
  <c r="M119" i="165"/>
  <c r="L119" i="165"/>
  <c r="K119" i="165"/>
  <c r="H119" i="165"/>
  <c r="N118" i="165"/>
  <c r="M118" i="165"/>
  <c r="L118" i="165"/>
  <c r="K118" i="165"/>
  <c r="H118" i="165"/>
  <c r="N117" i="165"/>
  <c r="M117" i="165"/>
  <c r="L117" i="165"/>
  <c r="K117" i="165"/>
  <c r="H117" i="165"/>
  <c r="N116" i="165"/>
  <c r="M116" i="165"/>
  <c r="L116" i="165"/>
  <c r="K116" i="165"/>
  <c r="H116" i="165"/>
  <c r="N115" i="165"/>
  <c r="M115" i="165"/>
  <c r="L115" i="165"/>
  <c r="K115" i="165"/>
  <c r="H115" i="165"/>
  <c r="N114" i="165"/>
  <c r="M114" i="165"/>
  <c r="L114" i="165"/>
  <c r="K114" i="165"/>
  <c r="H114" i="165"/>
  <c r="N113" i="165"/>
  <c r="M113" i="165"/>
  <c r="L113" i="165"/>
  <c r="K113" i="165"/>
  <c r="H113" i="165"/>
  <c r="N112" i="165"/>
  <c r="M112" i="165"/>
  <c r="L112" i="165"/>
  <c r="K112" i="165"/>
  <c r="H112" i="165"/>
  <c r="N111" i="165"/>
  <c r="M111" i="165"/>
  <c r="L111" i="165"/>
  <c r="K111" i="165"/>
  <c r="H111" i="165"/>
  <c r="N110" i="165"/>
  <c r="M110" i="165"/>
  <c r="L110" i="165"/>
  <c r="K110" i="165"/>
  <c r="H110" i="165"/>
  <c r="N109" i="165"/>
  <c r="M109" i="165"/>
  <c r="L109" i="165"/>
  <c r="K109" i="165"/>
  <c r="H109" i="165"/>
  <c r="N108" i="165"/>
  <c r="M108" i="165"/>
  <c r="L108" i="165"/>
  <c r="K108" i="165"/>
  <c r="H108" i="165"/>
  <c r="N107" i="165"/>
  <c r="M107" i="165"/>
  <c r="L107" i="165"/>
  <c r="K107" i="165"/>
  <c r="H107" i="165"/>
  <c r="N106" i="165"/>
  <c r="M106" i="165"/>
  <c r="L106" i="165"/>
  <c r="K106" i="165"/>
  <c r="H106" i="165"/>
  <c r="N105" i="165"/>
  <c r="M105" i="165"/>
  <c r="L105" i="165"/>
  <c r="K105" i="165"/>
  <c r="H105" i="165"/>
  <c r="N104" i="165"/>
  <c r="M104" i="165"/>
  <c r="L104" i="165"/>
  <c r="K104" i="165"/>
  <c r="H104" i="165"/>
  <c r="N103" i="165"/>
  <c r="M103" i="165"/>
  <c r="L103" i="165"/>
  <c r="K103" i="165"/>
  <c r="H103" i="165"/>
  <c r="N102" i="165"/>
  <c r="M102" i="165"/>
  <c r="L102" i="165"/>
  <c r="K102" i="165"/>
  <c r="H102" i="165"/>
  <c r="N101" i="165"/>
  <c r="M101" i="165"/>
  <c r="L101" i="165"/>
  <c r="K101" i="165"/>
  <c r="H101" i="165"/>
  <c r="N100" i="165"/>
  <c r="M100" i="165"/>
  <c r="L100" i="165"/>
  <c r="K100" i="165"/>
  <c r="H100" i="165"/>
  <c r="N99" i="165"/>
  <c r="M99" i="165"/>
  <c r="L99" i="165"/>
  <c r="K99" i="165"/>
  <c r="H99" i="165"/>
  <c r="N98" i="165"/>
  <c r="M98" i="165"/>
  <c r="L98" i="165"/>
  <c r="K98" i="165"/>
  <c r="H98" i="165"/>
  <c r="N97" i="165"/>
  <c r="M97" i="165"/>
  <c r="L97" i="165"/>
  <c r="K97" i="165"/>
  <c r="H97" i="165"/>
  <c r="N96" i="165"/>
  <c r="M96" i="165"/>
  <c r="L96" i="165"/>
  <c r="K96" i="165"/>
  <c r="H96" i="165"/>
  <c r="N95" i="165"/>
  <c r="M95" i="165"/>
  <c r="L95" i="165"/>
  <c r="K95" i="165"/>
  <c r="H95" i="165"/>
  <c r="N94" i="165"/>
  <c r="M94" i="165"/>
  <c r="L94" i="165"/>
  <c r="K94" i="165"/>
  <c r="H94" i="165"/>
  <c r="N93" i="165"/>
  <c r="M93" i="165"/>
  <c r="L93" i="165"/>
  <c r="K93" i="165"/>
  <c r="H93" i="165"/>
  <c r="N92" i="165"/>
  <c r="M92" i="165"/>
  <c r="L92" i="165"/>
  <c r="K92" i="165"/>
  <c r="H92" i="165"/>
  <c r="N91" i="165"/>
  <c r="M91" i="165"/>
  <c r="L91" i="165"/>
  <c r="K91" i="165"/>
  <c r="H91" i="165"/>
  <c r="N90" i="165"/>
  <c r="M90" i="165"/>
  <c r="L90" i="165"/>
  <c r="K90" i="165"/>
  <c r="H90" i="165"/>
  <c r="N89" i="165"/>
  <c r="M89" i="165"/>
  <c r="L89" i="165"/>
  <c r="K89" i="165"/>
  <c r="H89" i="165"/>
  <c r="N88" i="165"/>
  <c r="M88" i="165"/>
  <c r="L88" i="165"/>
  <c r="K88" i="165"/>
  <c r="H88" i="165"/>
  <c r="N87" i="165"/>
  <c r="M87" i="165"/>
  <c r="L87" i="165"/>
  <c r="K87" i="165"/>
  <c r="H87" i="165"/>
  <c r="N86" i="165"/>
  <c r="M86" i="165"/>
  <c r="L86" i="165"/>
  <c r="K86" i="165"/>
  <c r="H86" i="165"/>
  <c r="N85" i="165"/>
  <c r="M85" i="165"/>
  <c r="L85" i="165"/>
  <c r="K85" i="165"/>
  <c r="H85" i="165"/>
  <c r="N84" i="165"/>
  <c r="M84" i="165"/>
  <c r="L84" i="165"/>
  <c r="K84" i="165"/>
  <c r="H84" i="165"/>
  <c r="N83" i="165"/>
  <c r="M83" i="165"/>
  <c r="L83" i="165"/>
  <c r="K83" i="165"/>
  <c r="H83" i="165"/>
  <c r="N82" i="165"/>
  <c r="M82" i="165"/>
  <c r="L82" i="165"/>
  <c r="K82" i="165"/>
  <c r="H82" i="165"/>
  <c r="N81" i="165"/>
  <c r="M81" i="165"/>
  <c r="L81" i="165"/>
  <c r="K81" i="165"/>
  <c r="H81" i="165"/>
  <c r="N80" i="165"/>
  <c r="M80" i="165"/>
  <c r="L80" i="165"/>
  <c r="K80" i="165"/>
  <c r="H80" i="165"/>
  <c r="N79" i="165"/>
  <c r="M79" i="165"/>
  <c r="L79" i="165"/>
  <c r="K79" i="165"/>
  <c r="H79" i="165"/>
  <c r="N78" i="165"/>
  <c r="M78" i="165"/>
  <c r="L78" i="165"/>
  <c r="K78" i="165"/>
  <c r="H78" i="165"/>
  <c r="N77" i="165"/>
  <c r="M77" i="165"/>
  <c r="L77" i="165"/>
  <c r="K77" i="165"/>
  <c r="H77" i="165"/>
  <c r="N76" i="165"/>
  <c r="M76" i="165"/>
  <c r="L76" i="165"/>
  <c r="K76" i="165"/>
  <c r="H76" i="165"/>
  <c r="N75" i="165"/>
  <c r="M75" i="165"/>
  <c r="L75" i="165"/>
  <c r="K75" i="165"/>
  <c r="H75" i="165"/>
  <c r="N74" i="165"/>
  <c r="M74" i="165"/>
  <c r="L74" i="165"/>
  <c r="K74" i="165"/>
  <c r="H74" i="165"/>
  <c r="N73" i="165"/>
  <c r="M73" i="165"/>
  <c r="L73" i="165"/>
  <c r="K73" i="165"/>
  <c r="H73" i="165"/>
  <c r="N72" i="165"/>
  <c r="M72" i="165"/>
  <c r="L72" i="165"/>
  <c r="K72" i="165"/>
  <c r="H72" i="165"/>
  <c r="N71" i="165"/>
  <c r="M71" i="165"/>
  <c r="L71" i="165"/>
  <c r="K71" i="165"/>
  <c r="H71" i="165"/>
  <c r="N70" i="165"/>
  <c r="M70" i="165"/>
  <c r="L70" i="165"/>
  <c r="K70" i="165"/>
  <c r="H70" i="165"/>
  <c r="N69" i="165"/>
  <c r="M69" i="165"/>
  <c r="L69" i="165"/>
  <c r="K69" i="165"/>
  <c r="H69" i="165"/>
  <c r="N68" i="165"/>
  <c r="M68" i="165"/>
  <c r="L68" i="165"/>
  <c r="K68" i="165"/>
  <c r="H68" i="165"/>
  <c r="N67" i="165"/>
  <c r="M67" i="165"/>
  <c r="L67" i="165"/>
  <c r="K67" i="165"/>
  <c r="H67" i="165"/>
  <c r="N66" i="165"/>
  <c r="M66" i="165"/>
  <c r="L66" i="165"/>
  <c r="K66" i="165"/>
  <c r="H66" i="165"/>
  <c r="N65" i="165"/>
  <c r="M65" i="165"/>
  <c r="L65" i="165"/>
  <c r="K65" i="165"/>
  <c r="H65" i="165"/>
  <c r="N64" i="165"/>
  <c r="M64" i="165"/>
  <c r="L64" i="165"/>
  <c r="K64" i="165"/>
  <c r="H64" i="165"/>
  <c r="N63" i="165"/>
  <c r="M63" i="165"/>
  <c r="L63" i="165"/>
  <c r="K63" i="165"/>
  <c r="H63" i="165"/>
  <c r="N62" i="165"/>
  <c r="M62" i="165"/>
  <c r="L62" i="165"/>
  <c r="K62" i="165"/>
  <c r="H62" i="165"/>
  <c r="N61" i="165"/>
  <c r="M61" i="165"/>
  <c r="L61" i="165"/>
  <c r="K61" i="165"/>
  <c r="H61" i="165"/>
  <c r="N60" i="165"/>
  <c r="M60" i="165"/>
  <c r="L60" i="165"/>
  <c r="K60" i="165"/>
  <c r="H60" i="165"/>
  <c r="N59" i="165"/>
  <c r="M59" i="165"/>
  <c r="L59" i="165"/>
  <c r="K59" i="165"/>
  <c r="H59" i="165"/>
  <c r="N58" i="165"/>
  <c r="M58" i="165"/>
  <c r="L58" i="165"/>
  <c r="K58" i="165"/>
  <c r="H58" i="165"/>
  <c r="N57" i="165"/>
  <c r="M57" i="165"/>
  <c r="L57" i="165"/>
  <c r="K57" i="165"/>
  <c r="H57" i="165"/>
  <c r="N56" i="165"/>
  <c r="M56" i="165"/>
  <c r="L56" i="165"/>
  <c r="K56" i="165"/>
  <c r="H56" i="165"/>
  <c r="N55" i="165"/>
  <c r="M55" i="165"/>
  <c r="L55" i="165"/>
  <c r="K55" i="165"/>
  <c r="H55" i="165"/>
  <c r="N54" i="165"/>
  <c r="M54" i="165"/>
  <c r="L54" i="165"/>
  <c r="K54" i="165"/>
  <c r="H54" i="165"/>
  <c r="N53" i="165"/>
  <c r="M53" i="165"/>
  <c r="L53" i="165"/>
  <c r="K53" i="165"/>
  <c r="H53" i="165"/>
  <c r="N52" i="165"/>
  <c r="M52" i="165"/>
  <c r="L52" i="165"/>
  <c r="K52" i="165"/>
  <c r="H52" i="165"/>
  <c r="N51" i="165"/>
  <c r="M51" i="165"/>
  <c r="L51" i="165"/>
  <c r="K51" i="165"/>
  <c r="H51" i="165"/>
  <c r="N50" i="165"/>
  <c r="M50" i="165"/>
  <c r="L50" i="165"/>
  <c r="K50" i="165"/>
  <c r="H50" i="165"/>
  <c r="N49" i="165"/>
  <c r="M49" i="165"/>
  <c r="L49" i="165"/>
  <c r="K49" i="165"/>
  <c r="H49" i="165"/>
  <c r="N48" i="165"/>
  <c r="M48" i="165"/>
  <c r="L48" i="165"/>
  <c r="K48" i="165"/>
  <c r="H48" i="165"/>
  <c r="N47" i="165"/>
  <c r="M47" i="165"/>
  <c r="L47" i="165"/>
  <c r="K47" i="165"/>
  <c r="H47" i="165"/>
  <c r="N46" i="165"/>
  <c r="M46" i="165"/>
  <c r="L46" i="165"/>
  <c r="K46" i="165"/>
  <c r="H46" i="165"/>
  <c r="N45" i="165"/>
  <c r="M45" i="165"/>
  <c r="L45" i="165"/>
  <c r="K45" i="165"/>
  <c r="H45" i="165"/>
  <c r="N44" i="165"/>
  <c r="M44" i="165"/>
  <c r="L44" i="165"/>
  <c r="K44" i="165"/>
  <c r="H44" i="165"/>
  <c r="N43" i="165"/>
  <c r="M43" i="165"/>
  <c r="L43" i="165"/>
  <c r="K43" i="165"/>
  <c r="H43" i="165"/>
  <c r="N42" i="165"/>
  <c r="M42" i="165"/>
  <c r="L42" i="165"/>
  <c r="K42" i="165"/>
  <c r="H42" i="165"/>
  <c r="N41" i="165"/>
  <c r="M41" i="165"/>
  <c r="L41" i="165"/>
  <c r="K41" i="165"/>
  <c r="H41" i="165"/>
  <c r="N40" i="165"/>
  <c r="M40" i="165"/>
  <c r="L40" i="165"/>
  <c r="K40" i="165"/>
  <c r="H40" i="165"/>
  <c r="N39" i="165"/>
  <c r="M39" i="165"/>
  <c r="L39" i="165"/>
  <c r="K39" i="165"/>
  <c r="H39" i="165"/>
  <c r="N38" i="165"/>
  <c r="M38" i="165"/>
  <c r="L38" i="165"/>
  <c r="K38" i="165"/>
  <c r="H38" i="165"/>
  <c r="N37" i="165"/>
  <c r="M37" i="165"/>
  <c r="L37" i="165"/>
  <c r="K37" i="165"/>
  <c r="H37" i="165"/>
  <c r="N36" i="165"/>
  <c r="M36" i="165"/>
  <c r="L36" i="165"/>
  <c r="K36" i="165"/>
  <c r="H36" i="165"/>
  <c r="N35" i="165"/>
  <c r="M35" i="165"/>
  <c r="L35" i="165"/>
  <c r="K35" i="165"/>
  <c r="H35" i="165"/>
  <c r="N34" i="165"/>
  <c r="M34" i="165"/>
  <c r="L34" i="165"/>
  <c r="K34" i="165"/>
  <c r="H34" i="165"/>
  <c r="N33" i="165"/>
  <c r="M33" i="165"/>
  <c r="L33" i="165"/>
  <c r="K33" i="165"/>
  <c r="H33" i="165"/>
  <c r="N32" i="165"/>
  <c r="M32" i="165"/>
  <c r="L32" i="165"/>
  <c r="K32" i="165"/>
  <c r="H32" i="165"/>
  <c r="N31" i="165"/>
  <c r="M31" i="165"/>
  <c r="L31" i="165"/>
  <c r="K31" i="165"/>
  <c r="H31" i="165"/>
  <c r="N30" i="165"/>
  <c r="M30" i="165"/>
  <c r="L30" i="165"/>
  <c r="K30" i="165"/>
  <c r="H30" i="165"/>
  <c r="N29" i="165"/>
  <c r="M29" i="165"/>
  <c r="L29" i="165"/>
  <c r="K29" i="165"/>
  <c r="H29" i="165"/>
  <c r="N28" i="165"/>
  <c r="M28" i="165"/>
  <c r="L28" i="165"/>
  <c r="K28" i="165"/>
  <c r="H28" i="165"/>
  <c r="N27" i="165"/>
  <c r="M27" i="165"/>
  <c r="L27" i="165"/>
  <c r="K27" i="165"/>
  <c r="H27" i="165"/>
  <c r="N26" i="165"/>
  <c r="M26" i="165"/>
  <c r="L26" i="165"/>
  <c r="K26" i="165"/>
  <c r="H26" i="165"/>
  <c r="N25" i="165"/>
  <c r="M25" i="165"/>
  <c r="L25" i="165"/>
  <c r="K25" i="165"/>
  <c r="H25" i="165"/>
  <c r="N24" i="165"/>
  <c r="M24" i="165"/>
  <c r="L24" i="165"/>
  <c r="K24" i="165"/>
  <c r="H24" i="165"/>
  <c r="N23" i="165"/>
  <c r="M23" i="165"/>
  <c r="L23" i="165"/>
  <c r="K23" i="165"/>
  <c r="H23" i="165"/>
  <c r="N22" i="165"/>
  <c r="M22" i="165"/>
  <c r="L22" i="165"/>
  <c r="K22" i="165"/>
  <c r="H22" i="165"/>
  <c r="N21" i="165"/>
  <c r="M21" i="165"/>
  <c r="L21" i="165"/>
  <c r="K21" i="165"/>
  <c r="H21" i="165"/>
  <c r="N20" i="165"/>
  <c r="M20" i="165"/>
  <c r="L20" i="165"/>
  <c r="K20" i="165"/>
  <c r="H20" i="165"/>
  <c r="N19" i="165"/>
  <c r="M19" i="165"/>
  <c r="L19" i="165"/>
  <c r="K19" i="165"/>
  <c r="H19" i="165"/>
  <c r="N18" i="165"/>
  <c r="M18" i="165"/>
  <c r="L18" i="165"/>
  <c r="K18" i="165"/>
  <c r="H18" i="165"/>
  <c r="N17" i="165"/>
  <c r="M17" i="165"/>
  <c r="L17" i="165"/>
  <c r="K17" i="165"/>
  <c r="H17" i="165"/>
  <c r="N16" i="165"/>
  <c r="M16" i="165"/>
  <c r="L16" i="165"/>
  <c r="K16" i="165"/>
  <c r="H16" i="165"/>
  <c r="N15" i="165"/>
  <c r="M15" i="165"/>
  <c r="L15" i="165"/>
  <c r="K15" i="165"/>
  <c r="H15" i="165"/>
  <c r="N14" i="165"/>
  <c r="M14" i="165"/>
  <c r="L14" i="165"/>
  <c r="K14" i="165"/>
  <c r="H14" i="165"/>
  <c r="N13" i="165"/>
  <c r="M13" i="165"/>
  <c r="L13" i="165"/>
  <c r="K13" i="165"/>
  <c r="H13" i="165"/>
  <c r="N12" i="165"/>
  <c r="M12" i="165"/>
  <c r="L12" i="165"/>
  <c r="K12" i="165"/>
  <c r="H12" i="165"/>
  <c r="N11" i="165"/>
  <c r="M11" i="165"/>
  <c r="L11" i="165"/>
  <c r="K11" i="165"/>
  <c r="H11" i="165"/>
  <c r="N10" i="165"/>
  <c r="M10" i="165"/>
  <c r="L10" i="165"/>
  <c r="K10" i="165"/>
  <c r="H10" i="165"/>
  <c r="N9" i="165"/>
  <c r="M9" i="165"/>
  <c r="L9" i="165"/>
  <c r="K9" i="165"/>
  <c r="H9" i="165"/>
  <c r="N8" i="165"/>
  <c r="M8" i="165"/>
  <c r="L8" i="165"/>
  <c r="K8" i="165"/>
  <c r="H8" i="165"/>
  <c r="N7" i="165"/>
  <c r="M7" i="165"/>
  <c r="L7" i="165"/>
  <c r="K7" i="165"/>
  <c r="H7" i="165"/>
  <c r="N6" i="165"/>
  <c r="M6" i="165"/>
  <c r="L6" i="165"/>
  <c r="K6" i="165"/>
  <c r="H6" i="165"/>
  <c r="N5" i="165"/>
  <c r="M5" i="165"/>
  <c r="L5" i="165"/>
  <c r="K5" i="165"/>
  <c r="H5" i="165"/>
  <c r="N4" i="165"/>
  <c r="M4" i="165"/>
  <c r="L4" i="165"/>
  <c r="K4" i="165"/>
  <c r="H4" i="165"/>
  <c r="N3" i="165"/>
  <c r="M3" i="165"/>
  <c r="L3" i="165"/>
  <c r="K3" i="165"/>
  <c r="H3" i="165"/>
  <c r="N2" i="165"/>
  <c r="M2" i="165"/>
  <c r="L2" i="165"/>
  <c r="K2" i="165"/>
  <c r="H2" i="165"/>
  <c r="B47" i="164"/>
  <c r="C40" i="164"/>
  <c r="C41" i="164"/>
  <c r="C42" i="164"/>
  <c r="C43" i="164"/>
  <c r="C44" i="164"/>
  <c r="C45" i="164"/>
  <c r="C46" i="164"/>
  <c r="C47" i="164"/>
  <c r="G40" i="164"/>
  <c r="B10" i="164"/>
  <c r="B30" i="164"/>
  <c r="B32" i="164"/>
  <c r="C19" i="164"/>
  <c r="C20" i="164"/>
  <c r="C21" i="164"/>
  <c r="C22" i="164"/>
  <c r="C23" i="164"/>
  <c r="C24" i="164"/>
  <c r="C25" i="164"/>
  <c r="C26" i="164"/>
  <c r="C27" i="164"/>
  <c r="C28" i="164"/>
  <c r="C29" i="164"/>
  <c r="C30" i="164"/>
  <c r="C31" i="164"/>
  <c r="C32" i="164"/>
  <c r="D32" i="164"/>
  <c r="G31" i="164"/>
  <c r="H31" i="164"/>
  <c r="I31" i="164"/>
  <c r="J31" i="164"/>
  <c r="F31" i="164"/>
  <c r="D31" i="164"/>
  <c r="G30" i="164"/>
  <c r="H30" i="164"/>
  <c r="I30" i="164"/>
  <c r="J30" i="164"/>
  <c r="F30" i="164"/>
  <c r="D30" i="164"/>
  <c r="I29" i="164"/>
  <c r="J29" i="164"/>
  <c r="F29" i="164"/>
  <c r="D29" i="164"/>
  <c r="I28" i="164"/>
  <c r="J28" i="164"/>
  <c r="F28" i="164"/>
  <c r="D28" i="164"/>
  <c r="I27" i="164"/>
  <c r="J27" i="164"/>
  <c r="F27" i="164"/>
  <c r="D27" i="164"/>
  <c r="I26" i="164"/>
  <c r="J26" i="164"/>
  <c r="F26" i="164"/>
  <c r="D26" i="164"/>
  <c r="I25" i="164"/>
  <c r="J25" i="164"/>
  <c r="F25" i="164"/>
  <c r="D25" i="164"/>
  <c r="I24" i="164"/>
  <c r="J24" i="164"/>
  <c r="F24" i="164"/>
  <c r="D24" i="164"/>
  <c r="I23" i="164"/>
  <c r="J23" i="164"/>
  <c r="F23" i="164"/>
  <c r="D23" i="164"/>
  <c r="I22" i="164"/>
  <c r="J22" i="164"/>
  <c r="F22" i="164"/>
  <c r="D22" i="164"/>
  <c r="I21" i="164"/>
  <c r="J21" i="164"/>
  <c r="F21" i="164"/>
  <c r="D21" i="164"/>
  <c r="R20" i="164"/>
  <c r="P20" i="164"/>
  <c r="O20" i="164"/>
  <c r="M20" i="164"/>
  <c r="I20" i="164"/>
  <c r="J20" i="164"/>
  <c r="F20" i="164"/>
  <c r="D20" i="164"/>
  <c r="R19" i="164"/>
  <c r="P19" i="164"/>
  <c r="O19" i="164"/>
  <c r="M19" i="164"/>
  <c r="I19" i="164"/>
  <c r="J19" i="164"/>
  <c r="F19" i="164"/>
  <c r="D19" i="164"/>
  <c r="R18" i="164"/>
  <c r="P18" i="164"/>
  <c r="O18" i="164"/>
  <c r="M18" i="164"/>
  <c r="I18" i="164"/>
  <c r="J18" i="164"/>
  <c r="F18" i="164"/>
  <c r="C18" i="164"/>
  <c r="D18" i="164"/>
  <c r="R17" i="164"/>
  <c r="P17" i="164"/>
  <c r="O17" i="164"/>
  <c r="M17" i="164"/>
  <c r="I17" i="164"/>
  <c r="J17" i="164"/>
  <c r="F17" i="164"/>
  <c r="C17" i="164"/>
  <c r="D17" i="164"/>
  <c r="V16" i="164"/>
  <c r="R16" i="164"/>
  <c r="P16" i="164"/>
  <c r="O16" i="164"/>
  <c r="M16" i="164"/>
  <c r="V15" i="164"/>
  <c r="R15" i="164"/>
  <c r="P15" i="164"/>
  <c r="O15" i="164"/>
  <c r="M15" i="164"/>
  <c r="V14" i="164"/>
  <c r="R14" i="164"/>
  <c r="P14" i="164"/>
  <c r="O14" i="164"/>
  <c r="M14" i="164"/>
  <c r="V13" i="164"/>
  <c r="R13" i="164"/>
  <c r="P13" i="164"/>
  <c r="O13" i="164"/>
  <c r="M13" i="164"/>
  <c r="V12" i="164"/>
  <c r="R12" i="164"/>
  <c r="P12" i="164"/>
  <c r="O12" i="164"/>
  <c r="M12" i="164"/>
  <c r="V11" i="164"/>
  <c r="R11" i="164"/>
  <c r="P11" i="164"/>
  <c r="O11" i="164"/>
  <c r="M11" i="164"/>
  <c r="V10" i="164"/>
  <c r="R10" i="164"/>
  <c r="P10" i="164"/>
  <c r="O10" i="164"/>
  <c r="M10" i="164"/>
  <c r="V9" i="164"/>
  <c r="R9" i="164"/>
  <c r="P9" i="164"/>
  <c r="O9" i="164"/>
  <c r="M9" i="164"/>
  <c r="V8" i="164"/>
  <c r="P8" i="164"/>
  <c r="O8" i="164"/>
  <c r="M8" i="164"/>
  <c r="V7" i="164"/>
  <c r="P7" i="164"/>
  <c r="O7" i="164"/>
  <c r="M7" i="164"/>
  <c r="V6" i="164"/>
  <c r="P6" i="164"/>
  <c r="O6" i="164"/>
  <c r="M6" i="164"/>
  <c r="V5" i="164"/>
  <c r="P5" i="164"/>
  <c r="O5" i="164"/>
  <c r="M5" i="164"/>
  <c r="V4" i="164"/>
  <c r="P4" i="164"/>
  <c r="O4" i="164"/>
  <c r="M4" i="164"/>
  <c r="V3" i="164"/>
  <c r="P3" i="164"/>
  <c r="O3" i="164"/>
  <c r="M3" i="164"/>
  <c r="V2" i="164"/>
  <c r="C5" i="103"/>
  <c r="C6" i="103"/>
  <c r="C7" i="103"/>
  <c r="C8" i="103"/>
  <c r="P6" i="163"/>
  <c r="N6" i="163"/>
  <c r="M6" i="163"/>
  <c r="L6" i="163"/>
  <c r="K6" i="163"/>
  <c r="J6" i="163"/>
  <c r="I6" i="163"/>
  <c r="H6" i="163"/>
  <c r="F6" i="163"/>
  <c r="E6" i="163"/>
  <c r="D6" i="163"/>
  <c r="C6" i="163"/>
  <c r="P5" i="163"/>
  <c r="N5" i="163"/>
  <c r="M5" i="163"/>
  <c r="L5" i="163"/>
  <c r="K5" i="163"/>
  <c r="J5" i="163"/>
  <c r="I5" i="163"/>
  <c r="H5" i="163"/>
  <c r="F5" i="163"/>
  <c r="E5" i="163"/>
  <c r="D5" i="163"/>
  <c r="C5" i="163"/>
  <c r="P4" i="163"/>
  <c r="N4" i="163"/>
  <c r="M4" i="163"/>
  <c r="L4" i="163"/>
  <c r="K4" i="163"/>
  <c r="J4" i="163"/>
  <c r="I4" i="163"/>
  <c r="H4" i="163"/>
  <c r="F4" i="163"/>
  <c r="E4" i="163"/>
  <c r="D4" i="163"/>
  <c r="C4" i="163"/>
  <c r="P3" i="163"/>
  <c r="N3" i="163"/>
  <c r="M3" i="163"/>
  <c r="L3" i="163"/>
  <c r="K3" i="163"/>
  <c r="J3" i="163"/>
  <c r="I3" i="163"/>
  <c r="H3" i="163"/>
  <c r="F3" i="163"/>
  <c r="E3" i="163"/>
  <c r="D3" i="163"/>
  <c r="C3" i="163"/>
  <c r="P2" i="163"/>
  <c r="N2" i="163"/>
  <c r="M2" i="163"/>
  <c r="L2" i="163"/>
  <c r="K2" i="163"/>
  <c r="J2" i="163"/>
  <c r="I2" i="163"/>
  <c r="H2" i="163"/>
  <c r="F2" i="163"/>
  <c r="E2" i="163"/>
  <c r="D2" i="163"/>
  <c r="C2" i="163"/>
  <c r="P7" i="162"/>
  <c r="N7" i="162"/>
  <c r="M7" i="162"/>
  <c r="L7" i="162"/>
  <c r="K7" i="162"/>
  <c r="J7" i="162"/>
  <c r="I7" i="162"/>
  <c r="H7" i="162"/>
  <c r="F7" i="162"/>
  <c r="E7" i="162"/>
  <c r="D7" i="162"/>
  <c r="C7" i="162"/>
  <c r="P6" i="162"/>
  <c r="N6" i="162"/>
  <c r="M6" i="162"/>
  <c r="L6" i="162"/>
  <c r="K6" i="162"/>
  <c r="J6" i="162"/>
  <c r="I6" i="162"/>
  <c r="H6" i="162"/>
  <c r="F6" i="162"/>
  <c r="E6" i="162"/>
  <c r="D6" i="162"/>
  <c r="C6" i="162"/>
  <c r="P5" i="162"/>
  <c r="N5" i="162"/>
  <c r="M5" i="162"/>
  <c r="L5" i="162"/>
  <c r="K5" i="162"/>
  <c r="J5" i="162"/>
  <c r="I5" i="162"/>
  <c r="H5" i="162"/>
  <c r="F5" i="162"/>
  <c r="E5" i="162"/>
  <c r="D5" i="162"/>
  <c r="C5" i="162"/>
  <c r="P4" i="162"/>
  <c r="N4" i="162"/>
  <c r="M4" i="162"/>
  <c r="L4" i="162"/>
  <c r="K4" i="162"/>
  <c r="J4" i="162"/>
  <c r="I4" i="162"/>
  <c r="H4" i="162"/>
  <c r="F4" i="162"/>
  <c r="E4" i="162"/>
  <c r="D4" i="162"/>
  <c r="C4" i="162"/>
  <c r="P3" i="162"/>
  <c r="N3" i="162"/>
  <c r="M3" i="162"/>
  <c r="L3" i="162"/>
  <c r="K3" i="162"/>
  <c r="J3" i="162"/>
  <c r="I3" i="162"/>
  <c r="H3" i="162"/>
  <c r="F3" i="162"/>
  <c r="E3" i="162"/>
  <c r="D3" i="162"/>
  <c r="C3" i="162"/>
  <c r="P2" i="162"/>
  <c r="N2" i="162"/>
  <c r="M2" i="162"/>
  <c r="L2" i="162"/>
  <c r="K2" i="162"/>
  <c r="J2" i="162"/>
  <c r="I2" i="162"/>
  <c r="H2" i="162"/>
  <c r="F2" i="162"/>
  <c r="E2" i="162"/>
  <c r="D2" i="162"/>
  <c r="C2" i="162"/>
  <c r="P7" i="161"/>
  <c r="N7" i="161"/>
  <c r="M7" i="161"/>
  <c r="L7" i="161"/>
  <c r="K7" i="161"/>
  <c r="J7" i="161"/>
  <c r="I7" i="161"/>
  <c r="H7" i="161"/>
  <c r="F7" i="161"/>
  <c r="E7" i="161"/>
  <c r="D7" i="161"/>
  <c r="C7" i="161"/>
  <c r="P6" i="161"/>
  <c r="N6" i="161"/>
  <c r="M6" i="161"/>
  <c r="L6" i="161"/>
  <c r="K6" i="161"/>
  <c r="J6" i="161"/>
  <c r="I6" i="161"/>
  <c r="H6" i="161"/>
  <c r="F6" i="161"/>
  <c r="E6" i="161"/>
  <c r="D6" i="161"/>
  <c r="C6" i="161"/>
  <c r="P5" i="161"/>
  <c r="N5" i="161"/>
  <c r="M5" i="161"/>
  <c r="L5" i="161"/>
  <c r="K5" i="161"/>
  <c r="J5" i="161"/>
  <c r="I5" i="161"/>
  <c r="H5" i="161"/>
  <c r="F5" i="161"/>
  <c r="E5" i="161"/>
  <c r="D5" i="161"/>
  <c r="C5" i="161"/>
  <c r="P4" i="161"/>
  <c r="N4" i="161"/>
  <c r="M4" i="161"/>
  <c r="L4" i="161"/>
  <c r="K4" i="161"/>
  <c r="J4" i="161"/>
  <c r="I4" i="161"/>
  <c r="H4" i="161"/>
  <c r="F4" i="161"/>
  <c r="E4" i="161"/>
  <c r="D4" i="161"/>
  <c r="C4" i="161"/>
  <c r="P3" i="161"/>
  <c r="N3" i="161"/>
  <c r="M3" i="161"/>
  <c r="L3" i="161"/>
  <c r="K3" i="161"/>
  <c r="J3" i="161"/>
  <c r="I3" i="161"/>
  <c r="H3" i="161"/>
  <c r="F3" i="161"/>
  <c r="E3" i="161"/>
  <c r="D3" i="161"/>
  <c r="C3" i="161"/>
  <c r="P2" i="161"/>
  <c r="N2" i="161"/>
  <c r="M2" i="161"/>
  <c r="L2" i="161"/>
  <c r="K2" i="161"/>
  <c r="J2" i="161"/>
  <c r="I2" i="161"/>
  <c r="H2" i="161"/>
  <c r="F2" i="161"/>
  <c r="E2" i="161"/>
  <c r="D2" i="161"/>
  <c r="C2" i="161"/>
  <c r="P7" i="160"/>
  <c r="N7" i="160"/>
  <c r="M7" i="160"/>
  <c r="L7" i="160"/>
  <c r="K7" i="160"/>
  <c r="J7" i="160"/>
  <c r="I7" i="160"/>
  <c r="H7" i="160"/>
  <c r="F7" i="160"/>
  <c r="E7" i="160"/>
  <c r="D7" i="160"/>
  <c r="C7" i="160"/>
  <c r="P6" i="160"/>
  <c r="N6" i="160"/>
  <c r="M6" i="160"/>
  <c r="L6" i="160"/>
  <c r="K6" i="160"/>
  <c r="J6" i="160"/>
  <c r="I6" i="160"/>
  <c r="H6" i="160"/>
  <c r="F6" i="160"/>
  <c r="E6" i="160"/>
  <c r="D6" i="160"/>
  <c r="C6" i="160"/>
  <c r="P5" i="160"/>
  <c r="N5" i="160"/>
  <c r="M5" i="160"/>
  <c r="L5" i="160"/>
  <c r="K5" i="160"/>
  <c r="J5" i="160"/>
  <c r="I5" i="160"/>
  <c r="H5" i="160"/>
  <c r="F5" i="160"/>
  <c r="E5" i="160"/>
  <c r="D5" i="160"/>
  <c r="C5" i="160"/>
  <c r="P4" i="160"/>
  <c r="N4" i="160"/>
  <c r="M4" i="160"/>
  <c r="L4" i="160"/>
  <c r="K4" i="160"/>
  <c r="J4" i="160"/>
  <c r="I4" i="160"/>
  <c r="H4" i="160"/>
  <c r="F4" i="160"/>
  <c r="E4" i="160"/>
  <c r="D4" i="160"/>
  <c r="C4" i="160"/>
  <c r="P3" i="160"/>
  <c r="N3" i="160"/>
  <c r="M3" i="160"/>
  <c r="L3" i="160"/>
  <c r="K3" i="160"/>
  <c r="J3" i="160"/>
  <c r="I3" i="160"/>
  <c r="H3" i="160"/>
  <c r="F3" i="160"/>
  <c r="E3" i="160"/>
  <c r="D3" i="160"/>
  <c r="C3" i="160"/>
  <c r="P2" i="160"/>
  <c r="N2" i="160"/>
  <c r="M2" i="160"/>
  <c r="L2" i="160"/>
  <c r="K2" i="160"/>
  <c r="J2" i="160"/>
  <c r="I2" i="160"/>
  <c r="H2" i="160"/>
  <c r="F2" i="160"/>
  <c r="E2" i="160"/>
  <c r="D2" i="160"/>
  <c r="C2" i="160"/>
  <c r="I7" i="159"/>
  <c r="D7" i="159"/>
  <c r="J7" i="159"/>
  <c r="E7" i="159"/>
  <c r="F7" i="159"/>
  <c r="C7" i="159"/>
  <c r="H7" i="159"/>
  <c r="K7" i="159"/>
  <c r="L7" i="159"/>
  <c r="M7" i="159"/>
  <c r="N7" i="159"/>
  <c r="P7" i="159"/>
  <c r="B30" i="153"/>
  <c r="F346" i="154"/>
  <c r="H346" i="154"/>
  <c r="K346" i="154"/>
  <c r="L346" i="154"/>
  <c r="M346" i="154"/>
  <c r="N346" i="154"/>
  <c r="F347" i="154"/>
  <c r="F348" i="154"/>
  <c r="F349" i="154"/>
  <c r="F350" i="154"/>
  <c r="F351" i="154"/>
  <c r="H347" i="154"/>
  <c r="K347" i="154"/>
  <c r="L347" i="154"/>
  <c r="M347" i="154"/>
  <c r="N347" i="154"/>
  <c r="H348" i="154"/>
  <c r="K348" i="154"/>
  <c r="L348" i="154"/>
  <c r="M348" i="154"/>
  <c r="N348" i="154"/>
  <c r="H349" i="154"/>
  <c r="K349" i="154"/>
  <c r="L349" i="154"/>
  <c r="M349" i="154"/>
  <c r="N349" i="154"/>
  <c r="H350" i="154"/>
  <c r="K350" i="154"/>
  <c r="L350" i="154"/>
  <c r="M350" i="154"/>
  <c r="N350" i="154"/>
  <c r="H351" i="154"/>
  <c r="K351" i="154"/>
  <c r="L351" i="154"/>
  <c r="M351" i="154"/>
  <c r="N351" i="154"/>
  <c r="A346" i="154"/>
  <c r="A347" i="154"/>
  <c r="A348" i="154"/>
  <c r="A349" i="154"/>
  <c r="A350" i="154"/>
  <c r="A351" i="154"/>
  <c r="M8" i="153"/>
  <c r="M7" i="153"/>
  <c r="M6" i="153"/>
  <c r="M5" i="153"/>
  <c r="M4" i="153"/>
  <c r="M3" i="153"/>
  <c r="A2" i="157"/>
  <c r="I3" i="158"/>
  <c r="J3" i="158"/>
  <c r="D3" i="158"/>
  <c r="E3" i="158"/>
  <c r="C3" i="158"/>
  <c r="I2" i="158"/>
  <c r="J2" i="158"/>
  <c r="D2" i="158"/>
  <c r="E2" i="158"/>
  <c r="C2" i="158"/>
  <c r="I4" i="158"/>
  <c r="J4" i="158"/>
  <c r="D4" i="158"/>
  <c r="E4" i="158"/>
  <c r="C4" i="158"/>
  <c r="I5" i="158"/>
  <c r="J5" i="158"/>
  <c r="D5" i="158"/>
  <c r="E5" i="158"/>
  <c r="C5" i="158"/>
  <c r="I6" i="158"/>
  <c r="J6" i="158"/>
  <c r="D6" i="158"/>
  <c r="E6" i="158"/>
  <c r="C6" i="158"/>
  <c r="I7" i="158"/>
  <c r="J7" i="158"/>
  <c r="D7" i="158"/>
  <c r="E7" i="158"/>
  <c r="C7" i="158"/>
  <c r="I8" i="158"/>
  <c r="J8" i="158"/>
  <c r="D8" i="158"/>
  <c r="E8" i="158"/>
  <c r="C8" i="158"/>
  <c r="I9" i="158"/>
  <c r="J9" i="158"/>
  <c r="D9" i="158"/>
  <c r="E9" i="158"/>
  <c r="C9" i="158"/>
  <c r="I10" i="158"/>
  <c r="J10" i="158"/>
  <c r="D10" i="158"/>
  <c r="E10" i="158"/>
  <c r="C10" i="158"/>
  <c r="I11" i="158"/>
  <c r="J11" i="158"/>
  <c r="D11" i="158"/>
  <c r="E11" i="158"/>
  <c r="C11" i="158"/>
  <c r="I12" i="158"/>
  <c r="J12" i="158"/>
  <c r="D12" i="158"/>
  <c r="E12" i="158"/>
  <c r="C12" i="158"/>
  <c r="I13" i="158"/>
  <c r="J13" i="158"/>
  <c r="D13" i="158"/>
  <c r="E13" i="158"/>
  <c r="C13" i="158"/>
  <c r="I14" i="158"/>
  <c r="J14" i="158"/>
  <c r="D14" i="158"/>
  <c r="E14" i="158"/>
  <c r="C14" i="158"/>
  <c r="I15" i="158"/>
  <c r="J15" i="158"/>
  <c r="D15" i="158"/>
  <c r="E15" i="158"/>
  <c r="C15" i="158"/>
  <c r="I16" i="158"/>
  <c r="J16" i="158"/>
  <c r="D16" i="158"/>
  <c r="E16" i="158"/>
  <c r="C16" i="158"/>
  <c r="I17" i="158"/>
  <c r="J17" i="158"/>
  <c r="D17" i="158"/>
  <c r="E17" i="158"/>
  <c r="C17" i="158"/>
  <c r="I18" i="158"/>
  <c r="J18" i="158"/>
  <c r="D18" i="158"/>
  <c r="E18" i="158"/>
  <c r="C18" i="158"/>
  <c r="I19" i="158"/>
  <c r="J19" i="158"/>
  <c r="D19" i="158"/>
  <c r="E19" i="158"/>
  <c r="C19" i="158"/>
  <c r="I20" i="158"/>
  <c r="J20" i="158"/>
  <c r="D20" i="158"/>
  <c r="E20" i="158"/>
  <c r="C20" i="158"/>
  <c r="I21" i="158"/>
  <c r="J21" i="158"/>
  <c r="D21" i="158"/>
  <c r="E21" i="158"/>
  <c r="C21" i="158"/>
  <c r="I22" i="158"/>
  <c r="J22" i="158"/>
  <c r="D22" i="158"/>
  <c r="E22" i="158"/>
  <c r="C22" i="158"/>
  <c r="I23" i="158"/>
  <c r="J23" i="158"/>
  <c r="D23" i="158"/>
  <c r="E23" i="158"/>
  <c r="C23" i="158"/>
  <c r="I24" i="158"/>
  <c r="J24" i="158"/>
  <c r="D24" i="158"/>
  <c r="E24" i="158"/>
  <c r="C24" i="158"/>
  <c r="I25" i="158"/>
  <c r="J25" i="158"/>
  <c r="D25" i="158"/>
  <c r="E25" i="158"/>
  <c r="C25" i="158"/>
  <c r="I26" i="158"/>
  <c r="J26" i="158"/>
  <c r="D26" i="158"/>
  <c r="E26" i="158"/>
  <c r="C26" i="158"/>
  <c r="I27" i="158"/>
  <c r="J27" i="158"/>
  <c r="D27" i="158"/>
  <c r="E27" i="158"/>
  <c r="C27" i="158"/>
  <c r="I28" i="158"/>
  <c r="J28" i="158"/>
  <c r="D28" i="158"/>
  <c r="E28" i="158"/>
  <c r="C28" i="158"/>
  <c r="I29" i="158"/>
  <c r="J29" i="158"/>
  <c r="D29" i="158"/>
  <c r="E29" i="158"/>
  <c r="C29" i="158"/>
  <c r="I30" i="158"/>
  <c r="J30" i="158"/>
  <c r="D30" i="158"/>
  <c r="E30" i="158"/>
  <c r="C30" i="158"/>
  <c r="I31" i="158"/>
  <c r="J31" i="158"/>
  <c r="D31" i="158"/>
  <c r="E31" i="158"/>
  <c r="C31" i="158"/>
  <c r="I32" i="158"/>
  <c r="J32" i="158"/>
  <c r="D32" i="158"/>
  <c r="E32" i="158"/>
  <c r="C32" i="158"/>
  <c r="I33" i="158"/>
  <c r="J33" i="158"/>
  <c r="D33" i="158"/>
  <c r="E33" i="158"/>
  <c r="C33" i="158"/>
  <c r="I34" i="158"/>
  <c r="J34" i="158"/>
  <c r="D34" i="158"/>
  <c r="E34" i="158"/>
  <c r="C34" i="158"/>
  <c r="I35" i="158"/>
  <c r="J35" i="158"/>
  <c r="D35" i="158"/>
  <c r="E35" i="158"/>
  <c r="C35" i="158"/>
  <c r="I36" i="158"/>
  <c r="J36" i="158"/>
  <c r="D36" i="158"/>
  <c r="E36" i="158"/>
  <c r="C36" i="158"/>
  <c r="I37" i="158"/>
  <c r="J37" i="158"/>
  <c r="D37" i="158"/>
  <c r="E37" i="158"/>
  <c r="C37" i="158"/>
  <c r="I38" i="158"/>
  <c r="J38" i="158"/>
  <c r="D38" i="158"/>
  <c r="E38" i="158"/>
  <c r="C38" i="158"/>
  <c r="I39" i="158"/>
  <c r="J39" i="158"/>
  <c r="D39" i="158"/>
  <c r="E39" i="158"/>
  <c r="C39" i="158"/>
  <c r="I40" i="158"/>
  <c r="J40" i="158"/>
  <c r="D40" i="158"/>
  <c r="E40" i="158"/>
  <c r="C40" i="158"/>
  <c r="I41" i="158"/>
  <c r="J41" i="158"/>
  <c r="D41" i="158"/>
  <c r="E41" i="158"/>
  <c r="C41" i="158"/>
  <c r="I42" i="158"/>
  <c r="D42" i="158"/>
  <c r="J42" i="158"/>
  <c r="E42" i="158"/>
  <c r="C42" i="158"/>
  <c r="I43" i="158"/>
  <c r="D43" i="158"/>
  <c r="J43" i="158"/>
  <c r="E43" i="158"/>
  <c r="C43" i="158"/>
  <c r="I44" i="158"/>
  <c r="D44" i="158"/>
  <c r="J44" i="158"/>
  <c r="E44" i="158"/>
  <c r="C44" i="158"/>
  <c r="I45" i="158"/>
  <c r="D45" i="158"/>
  <c r="J45" i="158"/>
  <c r="E45" i="158"/>
  <c r="C45" i="158"/>
  <c r="I46" i="158"/>
  <c r="D46" i="158"/>
  <c r="J46" i="158"/>
  <c r="E46" i="158"/>
  <c r="C46" i="158"/>
  <c r="I47" i="158"/>
  <c r="D47" i="158"/>
  <c r="J47" i="158"/>
  <c r="E47" i="158"/>
  <c r="C47" i="158"/>
  <c r="I48" i="158"/>
  <c r="D48" i="158"/>
  <c r="J48" i="158"/>
  <c r="E48" i="158"/>
  <c r="C48" i="158"/>
  <c r="I49" i="158"/>
  <c r="D49" i="158"/>
  <c r="J49" i="158"/>
  <c r="E49" i="158"/>
  <c r="C49" i="158"/>
  <c r="I50" i="158"/>
  <c r="D50" i="158"/>
  <c r="J50" i="158"/>
  <c r="E50" i="158"/>
  <c r="C50" i="158"/>
  <c r="I51" i="158"/>
  <c r="D51" i="158"/>
  <c r="J51" i="158"/>
  <c r="E51" i="158"/>
  <c r="C51" i="158"/>
  <c r="I52" i="158"/>
  <c r="D52" i="158"/>
  <c r="J52" i="158"/>
  <c r="E52" i="158"/>
  <c r="C52" i="158"/>
  <c r="I53" i="158"/>
  <c r="D53" i="158"/>
  <c r="J53" i="158"/>
  <c r="E53" i="158"/>
  <c r="C53" i="158"/>
  <c r="I54" i="158"/>
  <c r="D54" i="158"/>
  <c r="J54" i="158"/>
  <c r="E54" i="158"/>
  <c r="C54" i="158"/>
  <c r="I55" i="158"/>
  <c r="D55" i="158"/>
  <c r="J55" i="158"/>
  <c r="E55" i="158"/>
  <c r="C55" i="158"/>
  <c r="I56" i="158"/>
  <c r="D56" i="158"/>
  <c r="J56" i="158"/>
  <c r="E56" i="158"/>
  <c r="C56" i="158"/>
  <c r="I57" i="158"/>
  <c r="D57" i="158"/>
  <c r="J57" i="158"/>
  <c r="E57" i="158"/>
  <c r="C57" i="158"/>
  <c r="I58" i="158"/>
  <c r="D58" i="158"/>
  <c r="J58" i="158"/>
  <c r="E58" i="158"/>
  <c r="C58" i="158"/>
  <c r="I59" i="158"/>
  <c r="D59" i="158"/>
  <c r="J59" i="158"/>
  <c r="E59" i="158"/>
  <c r="C59" i="158"/>
  <c r="I60" i="158"/>
  <c r="D60" i="158"/>
  <c r="J60" i="158"/>
  <c r="E60" i="158"/>
  <c r="C60" i="158"/>
  <c r="I61" i="158"/>
  <c r="D61" i="158"/>
  <c r="J61" i="158"/>
  <c r="E61" i="158"/>
  <c r="C61" i="158"/>
  <c r="I62" i="158"/>
  <c r="D62" i="158"/>
  <c r="J62" i="158"/>
  <c r="E62" i="158"/>
  <c r="C62" i="158"/>
  <c r="I63" i="158"/>
  <c r="D63" i="158"/>
  <c r="J63" i="158"/>
  <c r="E63" i="158"/>
  <c r="C63" i="158"/>
  <c r="I64" i="158"/>
  <c r="D64" i="158"/>
  <c r="J64" i="158"/>
  <c r="E64" i="158"/>
  <c r="C64" i="158"/>
  <c r="I65" i="158"/>
  <c r="D65" i="158"/>
  <c r="J65" i="158"/>
  <c r="E65" i="158"/>
  <c r="C65" i="158"/>
  <c r="I66" i="158"/>
  <c r="D66" i="158"/>
  <c r="J66" i="158"/>
  <c r="E66" i="158"/>
  <c r="C66" i="158"/>
  <c r="I67" i="158"/>
  <c r="D67" i="158"/>
  <c r="J67" i="158"/>
  <c r="E67" i="158"/>
  <c r="C67" i="158"/>
  <c r="I68" i="158"/>
  <c r="D68" i="158"/>
  <c r="J68" i="158"/>
  <c r="E68" i="158"/>
  <c r="C68" i="158"/>
  <c r="I69" i="158"/>
  <c r="D69" i="158"/>
  <c r="J69" i="158"/>
  <c r="E69" i="158"/>
  <c r="C69" i="158"/>
  <c r="I70" i="158"/>
  <c r="D70" i="158"/>
  <c r="J70" i="158"/>
  <c r="E70" i="158"/>
  <c r="C70" i="158"/>
  <c r="I71" i="158"/>
  <c r="D71" i="158"/>
  <c r="J71" i="158"/>
  <c r="E71" i="158"/>
  <c r="C71" i="158"/>
  <c r="I72" i="158"/>
  <c r="D72" i="158"/>
  <c r="J72" i="158"/>
  <c r="E72" i="158"/>
  <c r="C72" i="158"/>
  <c r="I73" i="158"/>
  <c r="D73" i="158"/>
  <c r="J73" i="158"/>
  <c r="E73" i="158"/>
  <c r="C73" i="158"/>
  <c r="I74" i="158"/>
  <c r="D74" i="158"/>
  <c r="J74" i="158"/>
  <c r="E74" i="158"/>
  <c r="C74" i="158"/>
  <c r="I75" i="158"/>
  <c r="D75" i="158"/>
  <c r="J75" i="158"/>
  <c r="E75" i="158"/>
  <c r="C75" i="158"/>
  <c r="I76" i="158"/>
  <c r="D76" i="158"/>
  <c r="J76" i="158"/>
  <c r="E76" i="158"/>
  <c r="C76" i="158"/>
  <c r="I77" i="158"/>
  <c r="D77" i="158"/>
  <c r="J77" i="158"/>
  <c r="E77" i="158"/>
  <c r="C77" i="158"/>
  <c r="I78" i="158"/>
  <c r="D78" i="158"/>
  <c r="J78" i="158"/>
  <c r="E78" i="158"/>
  <c r="C78" i="158"/>
  <c r="I79" i="158"/>
  <c r="D79" i="158"/>
  <c r="J79" i="158"/>
  <c r="E79" i="158"/>
  <c r="C79" i="158"/>
  <c r="I80" i="158"/>
  <c r="D80" i="158"/>
  <c r="J80" i="158"/>
  <c r="E80" i="158"/>
  <c r="C80" i="158"/>
  <c r="I81" i="158"/>
  <c r="D81" i="158"/>
  <c r="J81" i="158"/>
  <c r="E81" i="158"/>
  <c r="C81" i="158"/>
  <c r="I82" i="158"/>
  <c r="D82" i="158"/>
  <c r="J82" i="158"/>
  <c r="E82" i="158"/>
  <c r="C82" i="158"/>
  <c r="I83" i="158"/>
  <c r="D83" i="158"/>
  <c r="J83" i="158"/>
  <c r="E83" i="158"/>
  <c r="C83" i="158"/>
  <c r="I84" i="158"/>
  <c r="D84" i="158"/>
  <c r="J84" i="158"/>
  <c r="E84" i="158"/>
  <c r="C84" i="158"/>
  <c r="I85" i="158"/>
  <c r="D85" i="158"/>
  <c r="J85" i="158"/>
  <c r="E85" i="158"/>
  <c r="C85" i="158"/>
  <c r="I86" i="158"/>
  <c r="D86" i="158"/>
  <c r="J86" i="158"/>
  <c r="E86" i="158"/>
  <c r="C86" i="158"/>
  <c r="I87" i="158"/>
  <c r="D87" i="158"/>
  <c r="J87" i="158"/>
  <c r="E87" i="158"/>
  <c r="C87" i="158"/>
  <c r="I88" i="158"/>
  <c r="D88" i="158"/>
  <c r="J88" i="158"/>
  <c r="E88" i="158"/>
  <c r="C88" i="158"/>
  <c r="I89" i="158"/>
  <c r="D89" i="158"/>
  <c r="J89" i="158"/>
  <c r="E89" i="158"/>
  <c r="C89" i="158"/>
  <c r="I90" i="158"/>
  <c r="D90" i="158"/>
  <c r="J90" i="158"/>
  <c r="E90" i="158"/>
  <c r="C90" i="158"/>
  <c r="I91" i="158"/>
  <c r="D91" i="158"/>
  <c r="J91" i="158"/>
  <c r="E91" i="158"/>
  <c r="C91" i="158"/>
  <c r="I92" i="158"/>
  <c r="D92" i="158"/>
  <c r="J92" i="158"/>
  <c r="E92" i="158"/>
  <c r="C92" i="158"/>
  <c r="I93" i="158"/>
  <c r="D93" i="158"/>
  <c r="J93" i="158"/>
  <c r="E93" i="158"/>
  <c r="C93" i="158"/>
  <c r="I94" i="158"/>
  <c r="D94" i="158"/>
  <c r="J94" i="158"/>
  <c r="E94" i="158"/>
  <c r="C94" i="158"/>
  <c r="I95" i="158"/>
  <c r="D95" i="158"/>
  <c r="J95" i="158"/>
  <c r="E95" i="158"/>
  <c r="C95" i="158"/>
  <c r="I96" i="158"/>
  <c r="D96" i="158"/>
  <c r="J96" i="158"/>
  <c r="E96" i="158"/>
  <c r="C96" i="158"/>
  <c r="I97" i="158"/>
  <c r="D97" i="158"/>
  <c r="J97" i="158"/>
  <c r="E97" i="158"/>
  <c r="C97" i="158"/>
  <c r="I98" i="158"/>
  <c r="D98" i="158"/>
  <c r="J98" i="158"/>
  <c r="E98" i="158"/>
  <c r="C98" i="158"/>
  <c r="I99" i="158"/>
  <c r="D99" i="158"/>
  <c r="J99" i="158"/>
  <c r="E99" i="158"/>
  <c r="C99" i="158"/>
  <c r="I100" i="158"/>
  <c r="D100" i="158"/>
  <c r="J100" i="158"/>
  <c r="E100" i="158"/>
  <c r="C100" i="158"/>
  <c r="I101" i="158"/>
  <c r="D101" i="158"/>
  <c r="J101" i="158"/>
  <c r="E101" i="158"/>
  <c r="C101" i="158"/>
  <c r="I102" i="158"/>
  <c r="D102" i="158"/>
  <c r="J102" i="158"/>
  <c r="E102" i="158"/>
  <c r="C102" i="158"/>
  <c r="I103" i="158"/>
  <c r="D103" i="158"/>
  <c r="J103" i="158"/>
  <c r="E103" i="158"/>
  <c r="C103" i="158"/>
  <c r="I104" i="158"/>
  <c r="D104" i="158"/>
  <c r="J104" i="158"/>
  <c r="E104" i="158"/>
  <c r="C104" i="158"/>
  <c r="I105" i="158"/>
  <c r="D105" i="158"/>
  <c r="J105" i="158"/>
  <c r="E105" i="158"/>
  <c r="C105" i="158"/>
  <c r="I106" i="158"/>
  <c r="D106" i="158"/>
  <c r="J106" i="158"/>
  <c r="E106" i="158"/>
  <c r="C106" i="158"/>
  <c r="I107" i="158"/>
  <c r="D107" i="158"/>
  <c r="J107" i="158"/>
  <c r="E107" i="158"/>
  <c r="C107" i="158"/>
  <c r="I108" i="158"/>
  <c r="D108" i="158"/>
  <c r="J108" i="158"/>
  <c r="E108" i="158"/>
  <c r="C108" i="158"/>
  <c r="I109" i="158"/>
  <c r="D109" i="158"/>
  <c r="J109" i="158"/>
  <c r="E109" i="158"/>
  <c r="C109" i="158"/>
  <c r="I110" i="158"/>
  <c r="D110" i="158"/>
  <c r="J110" i="158"/>
  <c r="E110" i="158"/>
  <c r="C110" i="158"/>
  <c r="I111" i="158"/>
  <c r="D111" i="158"/>
  <c r="J111" i="158"/>
  <c r="E111" i="158"/>
  <c r="C111" i="158"/>
  <c r="I112" i="158"/>
  <c r="D112" i="158"/>
  <c r="J112" i="158"/>
  <c r="E112" i="158"/>
  <c r="C112" i="158"/>
  <c r="I113" i="158"/>
  <c r="D113" i="158"/>
  <c r="J113" i="158"/>
  <c r="E113" i="158"/>
  <c r="C113" i="158"/>
  <c r="I114" i="158"/>
  <c r="D114" i="158"/>
  <c r="J114" i="158"/>
  <c r="E114" i="158"/>
  <c r="C114" i="158"/>
  <c r="I115" i="158"/>
  <c r="D115" i="158"/>
  <c r="J115" i="158"/>
  <c r="E115" i="158"/>
  <c r="C115" i="158"/>
  <c r="I116" i="158"/>
  <c r="D116" i="158"/>
  <c r="J116" i="158"/>
  <c r="E116" i="158"/>
  <c r="C116" i="158"/>
  <c r="I117" i="158"/>
  <c r="D117" i="158"/>
  <c r="J117" i="158"/>
  <c r="E117" i="158"/>
  <c r="C117" i="158"/>
  <c r="I118" i="158"/>
  <c r="D118" i="158"/>
  <c r="J118" i="158"/>
  <c r="E118" i="158"/>
  <c r="C118" i="158"/>
  <c r="I119" i="158"/>
  <c r="D119" i="158"/>
  <c r="J119" i="158"/>
  <c r="E119" i="158"/>
  <c r="C119" i="158"/>
  <c r="I120" i="158"/>
  <c r="D120" i="158"/>
  <c r="J120" i="158"/>
  <c r="E120" i="158"/>
  <c r="C120" i="158"/>
  <c r="I121" i="158"/>
  <c r="D121" i="158"/>
  <c r="J121" i="158"/>
  <c r="E121" i="158"/>
  <c r="C121" i="158"/>
  <c r="I122" i="158"/>
  <c r="D122" i="158"/>
  <c r="J122" i="158"/>
  <c r="E122" i="158"/>
  <c r="C122" i="158"/>
  <c r="I123" i="158"/>
  <c r="D123" i="158"/>
  <c r="J123" i="158"/>
  <c r="E123" i="158"/>
  <c r="C123" i="158"/>
  <c r="I124" i="158"/>
  <c r="D124" i="158"/>
  <c r="J124" i="158"/>
  <c r="E124" i="158"/>
  <c r="C124" i="158"/>
  <c r="I125" i="158"/>
  <c r="D125" i="158"/>
  <c r="J125" i="158"/>
  <c r="E125" i="158"/>
  <c r="C125" i="158"/>
  <c r="I126" i="158"/>
  <c r="D126" i="158"/>
  <c r="J126" i="158"/>
  <c r="E126" i="158"/>
  <c r="C126" i="158"/>
  <c r="I127" i="158"/>
  <c r="D127" i="158"/>
  <c r="J127" i="158"/>
  <c r="E127" i="158"/>
  <c r="C127" i="158"/>
  <c r="I128" i="158"/>
  <c r="D128" i="158"/>
  <c r="J128" i="158"/>
  <c r="E128" i="158"/>
  <c r="C128" i="158"/>
  <c r="I129" i="158"/>
  <c r="D129" i="158"/>
  <c r="J129" i="158"/>
  <c r="E129" i="158"/>
  <c r="C129" i="158"/>
  <c r="I130" i="158"/>
  <c r="D130" i="158"/>
  <c r="J130" i="158"/>
  <c r="E130" i="158"/>
  <c r="C130" i="158"/>
  <c r="I131" i="158"/>
  <c r="D131" i="158"/>
  <c r="J131" i="158"/>
  <c r="E131" i="158"/>
  <c r="C131" i="158"/>
  <c r="I132" i="158"/>
  <c r="D132" i="158"/>
  <c r="J132" i="158"/>
  <c r="E132" i="158"/>
  <c r="C132" i="158"/>
  <c r="I133" i="158"/>
  <c r="D133" i="158"/>
  <c r="J133" i="158"/>
  <c r="E133" i="158"/>
  <c r="C133" i="158"/>
  <c r="I134" i="158"/>
  <c r="D134" i="158"/>
  <c r="J134" i="158"/>
  <c r="E134" i="158"/>
  <c r="C134" i="158"/>
  <c r="I135" i="158"/>
  <c r="D135" i="158"/>
  <c r="J135" i="158"/>
  <c r="E135" i="158"/>
  <c r="C135" i="158"/>
  <c r="I136" i="158"/>
  <c r="D136" i="158"/>
  <c r="J136" i="158"/>
  <c r="E136" i="158"/>
  <c r="C136" i="158"/>
  <c r="I137" i="158"/>
  <c r="D137" i="158"/>
  <c r="J137" i="158"/>
  <c r="E137" i="158"/>
  <c r="C137" i="158"/>
  <c r="I138" i="158"/>
  <c r="D138" i="158"/>
  <c r="J138" i="158"/>
  <c r="E138" i="158"/>
  <c r="C138" i="158"/>
  <c r="I139" i="158"/>
  <c r="D139" i="158"/>
  <c r="J139" i="158"/>
  <c r="E139" i="158"/>
  <c r="C139" i="158"/>
  <c r="I140" i="158"/>
  <c r="D140" i="158"/>
  <c r="J140" i="158"/>
  <c r="E140" i="158"/>
  <c r="C140" i="158"/>
  <c r="I141" i="158"/>
  <c r="D141" i="158"/>
  <c r="J141" i="158"/>
  <c r="E141" i="158"/>
  <c r="C141" i="158"/>
  <c r="I142" i="158"/>
  <c r="D142" i="158"/>
  <c r="J142" i="158"/>
  <c r="E142" i="158"/>
  <c r="C142" i="158"/>
  <c r="I143" i="158"/>
  <c r="D143" i="158"/>
  <c r="J143" i="158"/>
  <c r="E143" i="158"/>
  <c r="C143" i="158"/>
  <c r="I144" i="158"/>
  <c r="D144" i="158"/>
  <c r="J144" i="158"/>
  <c r="E144" i="158"/>
  <c r="C144" i="158"/>
  <c r="I145" i="158"/>
  <c r="D145" i="158"/>
  <c r="J145" i="158"/>
  <c r="E145" i="158"/>
  <c r="C145" i="158"/>
  <c r="I146" i="158"/>
  <c r="D146" i="158"/>
  <c r="J146" i="158"/>
  <c r="E146" i="158"/>
  <c r="C146" i="158"/>
  <c r="I147" i="158"/>
  <c r="D147" i="158"/>
  <c r="J147" i="158"/>
  <c r="E147" i="158"/>
  <c r="C147" i="158"/>
  <c r="I148" i="158"/>
  <c r="D148" i="158"/>
  <c r="J148" i="158"/>
  <c r="E148" i="158"/>
  <c r="C148" i="158"/>
  <c r="I149" i="158"/>
  <c r="D149" i="158"/>
  <c r="J149" i="158"/>
  <c r="E149" i="158"/>
  <c r="C149" i="158"/>
  <c r="I150" i="158"/>
  <c r="D150" i="158"/>
  <c r="J150" i="158"/>
  <c r="E150" i="158"/>
  <c r="C150" i="158"/>
  <c r="I151" i="158"/>
  <c r="D151" i="158"/>
  <c r="J151" i="158"/>
  <c r="E151" i="158"/>
  <c r="C151" i="158"/>
  <c r="I152" i="158"/>
  <c r="D152" i="158"/>
  <c r="J152" i="158"/>
  <c r="E152" i="158"/>
  <c r="C152" i="158"/>
  <c r="I153" i="158"/>
  <c r="D153" i="158"/>
  <c r="J153" i="158"/>
  <c r="E153" i="158"/>
  <c r="C153" i="158"/>
  <c r="I154" i="158"/>
  <c r="D154" i="158"/>
  <c r="J154" i="158"/>
  <c r="E154" i="158"/>
  <c r="C154" i="158"/>
  <c r="I155" i="158"/>
  <c r="D155" i="158"/>
  <c r="J155" i="158"/>
  <c r="E155" i="158"/>
  <c r="C155" i="158"/>
  <c r="I156" i="158"/>
  <c r="D156" i="158"/>
  <c r="J156" i="158"/>
  <c r="E156" i="158"/>
  <c r="C156" i="158"/>
  <c r="I157" i="158"/>
  <c r="D157" i="158"/>
  <c r="J157" i="158"/>
  <c r="E157" i="158"/>
  <c r="C157" i="158"/>
  <c r="I158" i="158"/>
  <c r="D158" i="158"/>
  <c r="J158" i="158"/>
  <c r="E158" i="158"/>
  <c r="C158" i="158"/>
  <c r="I159" i="158"/>
  <c r="D159" i="158"/>
  <c r="J159" i="158"/>
  <c r="E159" i="158"/>
  <c r="C159" i="158"/>
  <c r="I160" i="158"/>
  <c r="D160" i="158"/>
  <c r="J160" i="158"/>
  <c r="E160" i="158"/>
  <c r="C160" i="158"/>
  <c r="I161" i="158"/>
  <c r="D161" i="158"/>
  <c r="J161" i="158"/>
  <c r="E161" i="158"/>
  <c r="C161" i="158"/>
  <c r="I162" i="158"/>
  <c r="D162" i="158"/>
  <c r="J162" i="158"/>
  <c r="E162" i="158"/>
  <c r="C162" i="158"/>
  <c r="I163" i="158"/>
  <c r="D163" i="158"/>
  <c r="J163" i="158"/>
  <c r="E163" i="158"/>
  <c r="C163" i="158"/>
  <c r="I164" i="158"/>
  <c r="D164" i="158"/>
  <c r="J164" i="158"/>
  <c r="E164" i="158"/>
  <c r="C164" i="158"/>
  <c r="I165" i="158"/>
  <c r="D165" i="158"/>
  <c r="J165" i="158"/>
  <c r="E165" i="158"/>
  <c r="C165" i="158"/>
  <c r="I166" i="158"/>
  <c r="D166" i="158"/>
  <c r="J166" i="158"/>
  <c r="E166" i="158"/>
  <c r="C166" i="158"/>
  <c r="I167" i="158"/>
  <c r="D167" i="158"/>
  <c r="J167" i="158"/>
  <c r="E167" i="158"/>
  <c r="C167" i="158"/>
  <c r="I168" i="158"/>
  <c r="D168" i="158"/>
  <c r="J168" i="158"/>
  <c r="E168" i="158"/>
  <c r="C168" i="158"/>
  <c r="I169" i="158"/>
  <c r="D169" i="158"/>
  <c r="J169" i="158"/>
  <c r="E169" i="158"/>
  <c r="C169" i="158"/>
  <c r="I170" i="158"/>
  <c r="D170" i="158"/>
  <c r="J170" i="158"/>
  <c r="E170" i="158"/>
  <c r="C170" i="158"/>
  <c r="I171" i="158"/>
  <c r="D171" i="158"/>
  <c r="J171" i="158"/>
  <c r="E171" i="158"/>
  <c r="C171" i="158"/>
  <c r="I172" i="158"/>
  <c r="D172" i="158"/>
  <c r="J172" i="158"/>
  <c r="E172" i="158"/>
  <c r="C172" i="158"/>
  <c r="I173" i="158"/>
  <c r="D173" i="158"/>
  <c r="J173" i="158"/>
  <c r="E173" i="158"/>
  <c r="C173" i="158"/>
  <c r="I174" i="158"/>
  <c r="D174" i="158"/>
  <c r="J174" i="158"/>
  <c r="E174" i="158"/>
  <c r="C174" i="158"/>
  <c r="I175" i="158"/>
  <c r="D175" i="158"/>
  <c r="J175" i="158"/>
  <c r="E175" i="158"/>
  <c r="C175" i="158"/>
  <c r="I176" i="158"/>
  <c r="D176" i="158"/>
  <c r="J176" i="158"/>
  <c r="E176" i="158"/>
  <c r="C176" i="158"/>
  <c r="I177" i="158"/>
  <c r="D177" i="158"/>
  <c r="J177" i="158"/>
  <c r="E177" i="158"/>
  <c r="C177" i="158"/>
  <c r="I178" i="158"/>
  <c r="D178" i="158"/>
  <c r="J178" i="158"/>
  <c r="E178" i="158"/>
  <c r="C178" i="158"/>
  <c r="I179" i="158"/>
  <c r="D179" i="158"/>
  <c r="J179" i="158"/>
  <c r="E179" i="158"/>
  <c r="C179" i="158"/>
  <c r="I180" i="158"/>
  <c r="D180" i="158"/>
  <c r="J180" i="158"/>
  <c r="E180" i="158"/>
  <c r="C180" i="158"/>
  <c r="I181" i="158"/>
  <c r="D181" i="158"/>
  <c r="J181" i="158"/>
  <c r="E181" i="158"/>
  <c r="C181" i="158"/>
  <c r="I182" i="158"/>
  <c r="D182" i="158"/>
  <c r="J182" i="158"/>
  <c r="E182" i="158"/>
  <c r="C182" i="158"/>
  <c r="I183" i="158"/>
  <c r="D183" i="158"/>
  <c r="J183" i="158"/>
  <c r="E183" i="158"/>
  <c r="C183" i="158"/>
  <c r="I184" i="158"/>
  <c r="D184" i="158"/>
  <c r="J184" i="158"/>
  <c r="E184" i="158"/>
  <c r="C184" i="158"/>
  <c r="I185" i="158"/>
  <c r="D185" i="158"/>
  <c r="J185" i="158"/>
  <c r="E185" i="158"/>
  <c r="C185" i="158"/>
  <c r="I186" i="158"/>
  <c r="D186" i="158"/>
  <c r="J186" i="158"/>
  <c r="E186" i="158"/>
  <c r="C186" i="158"/>
  <c r="I187" i="158"/>
  <c r="D187" i="158"/>
  <c r="J187" i="158"/>
  <c r="E187" i="158"/>
  <c r="C187" i="158"/>
  <c r="I188" i="158"/>
  <c r="D188" i="158"/>
  <c r="J188" i="158"/>
  <c r="E188" i="158"/>
  <c r="C188" i="158"/>
  <c r="I189" i="158"/>
  <c r="D189" i="158"/>
  <c r="J189" i="158"/>
  <c r="E189" i="158"/>
  <c r="C189" i="158"/>
  <c r="I190" i="158"/>
  <c r="D190" i="158"/>
  <c r="J190" i="158"/>
  <c r="E190" i="158"/>
  <c r="C190" i="158"/>
  <c r="I191" i="158"/>
  <c r="D191" i="158"/>
  <c r="J191" i="158"/>
  <c r="E191" i="158"/>
  <c r="C191" i="158"/>
  <c r="I192" i="158"/>
  <c r="D192" i="158"/>
  <c r="J192" i="158"/>
  <c r="E192" i="158"/>
  <c r="C192" i="158"/>
  <c r="I193" i="158"/>
  <c r="D193" i="158"/>
  <c r="J193" i="158"/>
  <c r="E193" i="158"/>
  <c r="C193" i="158"/>
  <c r="I194" i="158"/>
  <c r="D194" i="158"/>
  <c r="J194" i="158"/>
  <c r="E194" i="158"/>
  <c r="C194" i="158"/>
  <c r="I195" i="158"/>
  <c r="D195" i="158"/>
  <c r="J195" i="158"/>
  <c r="E195" i="158"/>
  <c r="C195" i="158"/>
  <c r="I196" i="158"/>
  <c r="D196" i="158"/>
  <c r="J196" i="158"/>
  <c r="E196" i="158"/>
  <c r="C196" i="158"/>
  <c r="I197" i="158"/>
  <c r="D197" i="158"/>
  <c r="J197" i="158"/>
  <c r="E197" i="158"/>
  <c r="C197" i="158"/>
  <c r="I198" i="158"/>
  <c r="D198" i="158"/>
  <c r="J198" i="158"/>
  <c r="E198" i="158"/>
  <c r="C198" i="158"/>
  <c r="I199" i="158"/>
  <c r="D199" i="158"/>
  <c r="J199" i="158"/>
  <c r="E199" i="158"/>
  <c r="C199" i="158"/>
  <c r="I200" i="158"/>
  <c r="D200" i="158"/>
  <c r="J200" i="158"/>
  <c r="E200" i="158"/>
  <c r="C200" i="158"/>
  <c r="I201" i="158"/>
  <c r="D201" i="158"/>
  <c r="J201" i="158"/>
  <c r="E201" i="158"/>
  <c r="C201" i="158"/>
  <c r="I202" i="158"/>
  <c r="D202" i="158"/>
  <c r="J202" i="158"/>
  <c r="E202" i="158"/>
  <c r="C202" i="158"/>
  <c r="I203" i="158"/>
  <c r="D203" i="158"/>
  <c r="J203" i="158"/>
  <c r="E203" i="158"/>
  <c r="C203" i="158"/>
  <c r="I204" i="158"/>
  <c r="D204" i="158"/>
  <c r="J204" i="158"/>
  <c r="E204" i="158"/>
  <c r="C204" i="158"/>
  <c r="I205" i="158"/>
  <c r="D205" i="158"/>
  <c r="J205" i="158"/>
  <c r="E205" i="158"/>
  <c r="C205" i="158"/>
  <c r="I206" i="158"/>
  <c r="D206" i="158"/>
  <c r="J206" i="158"/>
  <c r="E206" i="158"/>
  <c r="C206" i="158"/>
  <c r="I207" i="158"/>
  <c r="D207" i="158"/>
  <c r="J207" i="158"/>
  <c r="E207" i="158"/>
  <c r="C207" i="158"/>
  <c r="I208" i="158"/>
  <c r="D208" i="158"/>
  <c r="J208" i="158"/>
  <c r="E208" i="158"/>
  <c r="C208" i="158"/>
  <c r="I209" i="158"/>
  <c r="D209" i="158"/>
  <c r="J209" i="158"/>
  <c r="E209" i="158"/>
  <c r="C209" i="158"/>
  <c r="I210" i="158"/>
  <c r="D210" i="158"/>
  <c r="J210" i="158"/>
  <c r="E210" i="158"/>
  <c r="C210" i="158"/>
  <c r="I211" i="158"/>
  <c r="D211" i="158"/>
  <c r="J211" i="158"/>
  <c r="E211" i="158"/>
  <c r="C211" i="158"/>
  <c r="I212" i="158"/>
  <c r="D212" i="158"/>
  <c r="J212" i="158"/>
  <c r="E212" i="158"/>
  <c r="C212" i="158"/>
  <c r="I213" i="158"/>
  <c r="D213" i="158"/>
  <c r="J213" i="158"/>
  <c r="E213" i="158"/>
  <c r="C213" i="158"/>
  <c r="I214" i="158"/>
  <c r="D214" i="158"/>
  <c r="J214" i="158"/>
  <c r="E214" i="158"/>
  <c r="C214" i="158"/>
  <c r="I215" i="158"/>
  <c r="J215" i="158"/>
  <c r="D215" i="158"/>
  <c r="E215" i="158"/>
  <c r="C215" i="158"/>
  <c r="I216" i="158"/>
  <c r="J216" i="158"/>
  <c r="D216" i="158"/>
  <c r="E216" i="158"/>
  <c r="C216" i="158"/>
  <c r="I217" i="158"/>
  <c r="J217" i="158"/>
  <c r="D217" i="158"/>
  <c r="E217" i="158"/>
  <c r="C217" i="158"/>
  <c r="I218" i="158"/>
  <c r="J218" i="158"/>
  <c r="D218" i="158"/>
  <c r="E218" i="158"/>
  <c r="C218" i="158"/>
  <c r="I219" i="158"/>
  <c r="J219" i="158"/>
  <c r="D219" i="158"/>
  <c r="E219" i="158"/>
  <c r="C219" i="158"/>
  <c r="I220" i="158"/>
  <c r="J220" i="158"/>
  <c r="D220" i="158"/>
  <c r="E220" i="158"/>
  <c r="C220" i="158"/>
  <c r="I221" i="158"/>
  <c r="D221" i="158"/>
  <c r="J221" i="158"/>
  <c r="E221" i="158"/>
  <c r="C221" i="158"/>
  <c r="I222" i="158"/>
  <c r="D222" i="158"/>
  <c r="J222" i="158"/>
  <c r="E222" i="158"/>
  <c r="C222" i="158"/>
  <c r="I223" i="158"/>
  <c r="D223" i="158"/>
  <c r="J223" i="158"/>
  <c r="E223" i="158"/>
  <c r="C223" i="158"/>
  <c r="I224" i="158"/>
  <c r="D224" i="158"/>
  <c r="J224" i="158"/>
  <c r="E224" i="158"/>
  <c r="C224" i="158"/>
  <c r="I225" i="158"/>
  <c r="D225" i="158"/>
  <c r="J225" i="158"/>
  <c r="E225" i="158"/>
  <c r="C225" i="158"/>
  <c r="I226" i="158"/>
  <c r="D226" i="158"/>
  <c r="J226" i="158"/>
  <c r="E226" i="158"/>
  <c r="C226" i="158"/>
  <c r="I227" i="158"/>
  <c r="D227" i="158"/>
  <c r="J227" i="158"/>
  <c r="E227" i="158"/>
  <c r="C227" i="158"/>
  <c r="I228" i="158"/>
  <c r="D228" i="158"/>
  <c r="J228" i="158"/>
  <c r="E228" i="158"/>
  <c r="C228" i="158"/>
  <c r="I229" i="158"/>
  <c r="D229" i="158"/>
  <c r="J229" i="158"/>
  <c r="E229" i="158"/>
  <c r="C229" i="158"/>
  <c r="I230" i="158"/>
  <c r="D230" i="158"/>
  <c r="J230" i="158"/>
  <c r="E230" i="158"/>
  <c r="C230" i="158"/>
  <c r="I231" i="158"/>
  <c r="D231" i="158"/>
  <c r="J231" i="158"/>
  <c r="E231" i="158"/>
  <c r="C231" i="158"/>
  <c r="I232" i="158"/>
  <c r="D232" i="158"/>
  <c r="J232" i="158"/>
  <c r="E232" i="158"/>
  <c r="C232" i="158"/>
  <c r="I233" i="158"/>
  <c r="D233" i="158"/>
  <c r="J233" i="158"/>
  <c r="E233" i="158"/>
  <c r="C233" i="158"/>
  <c r="I234" i="158"/>
  <c r="D234" i="158"/>
  <c r="J234" i="158"/>
  <c r="E234" i="158"/>
  <c r="C234" i="158"/>
  <c r="I235" i="158"/>
  <c r="D235" i="158"/>
  <c r="J235" i="158"/>
  <c r="E235" i="158"/>
  <c r="C235" i="158"/>
  <c r="I236" i="158"/>
  <c r="D236" i="158"/>
  <c r="J236" i="158"/>
  <c r="E236" i="158"/>
  <c r="C236" i="158"/>
  <c r="I237" i="158"/>
  <c r="D237" i="158"/>
  <c r="J237" i="158"/>
  <c r="E237" i="158"/>
  <c r="C237" i="158"/>
  <c r="I238" i="158"/>
  <c r="D238" i="158"/>
  <c r="J238" i="158"/>
  <c r="E238" i="158"/>
  <c r="C238" i="158"/>
  <c r="I239" i="158"/>
  <c r="D239" i="158"/>
  <c r="J239" i="158"/>
  <c r="E239" i="158"/>
  <c r="C239" i="158"/>
  <c r="I240" i="158"/>
  <c r="D240" i="158"/>
  <c r="J240" i="158"/>
  <c r="E240" i="158"/>
  <c r="C240" i="158"/>
  <c r="I241" i="158"/>
  <c r="D241" i="158"/>
  <c r="J241" i="158"/>
  <c r="E241" i="158"/>
  <c r="C241" i="158"/>
  <c r="I242" i="158"/>
  <c r="D242" i="158"/>
  <c r="J242" i="158"/>
  <c r="E242" i="158"/>
  <c r="C242" i="158"/>
  <c r="I243" i="158"/>
  <c r="D243" i="158"/>
  <c r="J243" i="158"/>
  <c r="E243" i="158"/>
  <c r="C243" i="158"/>
  <c r="I244" i="158"/>
  <c r="D244" i="158"/>
  <c r="J244" i="158"/>
  <c r="E244" i="158"/>
  <c r="C244" i="158"/>
  <c r="I245" i="158"/>
  <c r="D245" i="158"/>
  <c r="J245" i="158"/>
  <c r="E245" i="158"/>
  <c r="C245" i="158"/>
  <c r="I246" i="158"/>
  <c r="D246" i="158"/>
  <c r="J246" i="158"/>
  <c r="E246" i="158"/>
  <c r="C246" i="158"/>
  <c r="I247" i="158"/>
  <c r="D247" i="158"/>
  <c r="J247" i="158"/>
  <c r="E247" i="158"/>
  <c r="C247" i="158"/>
  <c r="I248" i="158"/>
  <c r="D248" i="158"/>
  <c r="J248" i="158"/>
  <c r="E248" i="158"/>
  <c r="C248" i="158"/>
  <c r="I249" i="158"/>
  <c r="D249" i="158"/>
  <c r="J249" i="158"/>
  <c r="E249" i="158"/>
  <c r="C249" i="158"/>
  <c r="I250" i="158"/>
  <c r="D250" i="158"/>
  <c r="J250" i="158"/>
  <c r="E250" i="158"/>
  <c r="C250" i="158"/>
  <c r="I251" i="158"/>
  <c r="D251" i="158"/>
  <c r="J251" i="158"/>
  <c r="E251" i="158"/>
  <c r="C251" i="158"/>
  <c r="I252" i="158"/>
  <c r="D252" i="158"/>
  <c r="J252" i="158"/>
  <c r="E252" i="158"/>
  <c r="C252" i="158"/>
  <c r="I253" i="158"/>
  <c r="D253" i="158"/>
  <c r="J253" i="158"/>
  <c r="E253" i="158"/>
  <c r="C253" i="158"/>
  <c r="I254" i="158"/>
  <c r="D254" i="158"/>
  <c r="J254" i="158"/>
  <c r="E254" i="158"/>
  <c r="C254" i="158"/>
  <c r="I255" i="158"/>
  <c r="D255" i="158"/>
  <c r="J255" i="158"/>
  <c r="E255" i="158"/>
  <c r="C255" i="158"/>
  <c r="I256" i="158"/>
  <c r="D256" i="158"/>
  <c r="J256" i="158"/>
  <c r="E256" i="158"/>
  <c r="C256" i="158"/>
  <c r="I257" i="158"/>
  <c r="D257" i="158"/>
  <c r="J257" i="158"/>
  <c r="E257" i="158"/>
  <c r="C257" i="158"/>
  <c r="I258" i="158"/>
  <c r="D258" i="158"/>
  <c r="J258" i="158"/>
  <c r="E258" i="158"/>
  <c r="C258" i="158"/>
  <c r="I259" i="158"/>
  <c r="D259" i="158"/>
  <c r="J259" i="158"/>
  <c r="E259" i="158"/>
  <c r="C259" i="158"/>
  <c r="I260" i="158"/>
  <c r="D260" i="158"/>
  <c r="J260" i="158"/>
  <c r="E260" i="158"/>
  <c r="C260" i="158"/>
  <c r="I261" i="158"/>
  <c r="D261" i="158"/>
  <c r="J261" i="158"/>
  <c r="E261" i="158"/>
  <c r="C261" i="158"/>
  <c r="I262" i="158"/>
  <c r="D262" i="158"/>
  <c r="J262" i="158"/>
  <c r="E262" i="158"/>
  <c r="C262" i="158"/>
  <c r="I263" i="158"/>
  <c r="D263" i="158"/>
  <c r="J263" i="158"/>
  <c r="E263" i="158"/>
  <c r="C263" i="158"/>
  <c r="I264" i="158"/>
  <c r="D264" i="158"/>
  <c r="J264" i="158"/>
  <c r="E264" i="158"/>
  <c r="C264" i="158"/>
  <c r="I265" i="158"/>
  <c r="D265" i="158"/>
  <c r="J265" i="158"/>
  <c r="E265" i="158"/>
  <c r="C265" i="158"/>
  <c r="I266" i="158"/>
  <c r="D266" i="158"/>
  <c r="J266" i="158"/>
  <c r="E266" i="158"/>
  <c r="C266" i="158"/>
  <c r="I267" i="158"/>
  <c r="D267" i="158"/>
  <c r="J267" i="158"/>
  <c r="E267" i="158"/>
  <c r="C267" i="158"/>
  <c r="I268" i="158"/>
  <c r="D268" i="158"/>
  <c r="J268" i="158"/>
  <c r="E268" i="158"/>
  <c r="C268" i="158"/>
  <c r="I269" i="158"/>
  <c r="D269" i="158"/>
  <c r="J269" i="158"/>
  <c r="E269" i="158"/>
  <c r="C269" i="158"/>
  <c r="I270" i="158"/>
  <c r="D270" i="158"/>
  <c r="J270" i="158"/>
  <c r="E270" i="158"/>
  <c r="C270" i="158"/>
  <c r="I271" i="158"/>
  <c r="D271" i="158"/>
  <c r="J271" i="158"/>
  <c r="E271" i="158"/>
  <c r="C271" i="158"/>
  <c r="I272" i="158"/>
  <c r="D272" i="158"/>
  <c r="J272" i="158"/>
  <c r="E272" i="158"/>
  <c r="C272" i="158"/>
  <c r="I273" i="158"/>
  <c r="D273" i="158"/>
  <c r="J273" i="158"/>
  <c r="E273" i="158"/>
  <c r="C273" i="158"/>
  <c r="I274" i="158"/>
  <c r="D274" i="158"/>
  <c r="J274" i="158"/>
  <c r="E274" i="158"/>
  <c r="C274" i="158"/>
  <c r="I275" i="158"/>
  <c r="D275" i="158"/>
  <c r="J275" i="158"/>
  <c r="E275" i="158"/>
  <c r="C275" i="158"/>
  <c r="I276" i="158"/>
  <c r="D276" i="158"/>
  <c r="J276" i="158"/>
  <c r="E276" i="158"/>
  <c r="C276" i="158"/>
  <c r="I277" i="158"/>
  <c r="D277" i="158"/>
  <c r="J277" i="158"/>
  <c r="E277" i="158"/>
  <c r="C277" i="158"/>
  <c r="I278" i="158"/>
  <c r="D278" i="158"/>
  <c r="J278" i="158"/>
  <c r="E278" i="158"/>
  <c r="C278" i="158"/>
  <c r="I279" i="158"/>
  <c r="D279" i="158"/>
  <c r="J279" i="158"/>
  <c r="E279" i="158"/>
  <c r="C279" i="158"/>
  <c r="I280" i="158"/>
  <c r="D280" i="158"/>
  <c r="J280" i="158"/>
  <c r="E280" i="158"/>
  <c r="C280" i="158"/>
  <c r="I281" i="158"/>
  <c r="D281" i="158"/>
  <c r="J281" i="158"/>
  <c r="E281" i="158"/>
  <c r="C281" i="158"/>
  <c r="I282" i="158"/>
  <c r="D282" i="158"/>
  <c r="J282" i="158"/>
  <c r="E282" i="158"/>
  <c r="C282" i="158"/>
  <c r="I283" i="158"/>
  <c r="D283" i="158"/>
  <c r="J283" i="158"/>
  <c r="E283" i="158"/>
  <c r="C283" i="158"/>
  <c r="I284" i="158"/>
  <c r="D284" i="158"/>
  <c r="J284" i="158"/>
  <c r="E284" i="158"/>
  <c r="C284" i="158"/>
  <c r="I285" i="158"/>
  <c r="D285" i="158"/>
  <c r="J285" i="158"/>
  <c r="E285" i="158"/>
  <c r="C285" i="158"/>
  <c r="I286" i="158"/>
  <c r="D286" i="158"/>
  <c r="J286" i="158"/>
  <c r="E286" i="158"/>
  <c r="C286" i="158"/>
  <c r="I287" i="158"/>
  <c r="D287" i="158"/>
  <c r="J287" i="158"/>
  <c r="E287" i="158"/>
  <c r="C287" i="158"/>
  <c r="I288" i="158"/>
  <c r="D288" i="158"/>
  <c r="J288" i="158"/>
  <c r="E288" i="158"/>
  <c r="C288" i="158"/>
  <c r="I289" i="158"/>
  <c r="D289" i="158"/>
  <c r="J289" i="158"/>
  <c r="E289" i="158"/>
  <c r="C289" i="158"/>
  <c r="I290" i="158"/>
  <c r="D290" i="158"/>
  <c r="J290" i="158"/>
  <c r="E290" i="158"/>
  <c r="C290" i="158"/>
  <c r="I291" i="158"/>
  <c r="D291" i="158"/>
  <c r="J291" i="158"/>
  <c r="E291" i="158"/>
  <c r="C291" i="158"/>
  <c r="I292" i="158"/>
  <c r="D292" i="158"/>
  <c r="J292" i="158"/>
  <c r="E292" i="158"/>
  <c r="C292" i="158"/>
  <c r="I293" i="158"/>
  <c r="D293" i="158"/>
  <c r="J293" i="158"/>
  <c r="E293" i="158"/>
  <c r="C293" i="158"/>
  <c r="I294" i="158"/>
  <c r="D294" i="158"/>
  <c r="J294" i="158"/>
  <c r="E294" i="158"/>
  <c r="C294" i="158"/>
  <c r="I295" i="158"/>
  <c r="D295" i="158"/>
  <c r="J295" i="158"/>
  <c r="E295" i="158"/>
  <c r="C295" i="158"/>
  <c r="I296" i="158"/>
  <c r="D296" i="158"/>
  <c r="J296" i="158"/>
  <c r="E296" i="158"/>
  <c r="C296" i="158"/>
  <c r="I297" i="158"/>
  <c r="D297" i="158"/>
  <c r="J297" i="158"/>
  <c r="E297" i="158"/>
  <c r="C297" i="158"/>
  <c r="I298" i="158"/>
  <c r="D298" i="158"/>
  <c r="J298" i="158"/>
  <c r="E298" i="158"/>
  <c r="C298" i="158"/>
  <c r="I299" i="158"/>
  <c r="D299" i="158"/>
  <c r="J299" i="158"/>
  <c r="E299" i="158"/>
  <c r="C299" i="158"/>
  <c r="I300" i="158"/>
  <c r="D300" i="158"/>
  <c r="J300" i="158"/>
  <c r="E300" i="158"/>
  <c r="C300" i="158"/>
  <c r="I301" i="158"/>
  <c r="D301" i="158"/>
  <c r="J301" i="158"/>
  <c r="E301" i="158"/>
  <c r="C301" i="158"/>
  <c r="I302" i="158"/>
  <c r="D302" i="158"/>
  <c r="J302" i="158"/>
  <c r="E302" i="158"/>
  <c r="C302" i="158"/>
  <c r="I303" i="158"/>
  <c r="D303" i="158"/>
  <c r="J303" i="158"/>
  <c r="E303" i="158"/>
  <c r="C303" i="158"/>
  <c r="I304" i="158"/>
  <c r="D304" i="158"/>
  <c r="J304" i="158"/>
  <c r="E304" i="158"/>
  <c r="C304" i="158"/>
  <c r="I305" i="158"/>
  <c r="D305" i="158"/>
  <c r="J305" i="158"/>
  <c r="E305" i="158"/>
  <c r="C305" i="158"/>
  <c r="I306" i="158"/>
  <c r="D306" i="158"/>
  <c r="J306" i="158"/>
  <c r="E306" i="158"/>
  <c r="C306" i="158"/>
  <c r="I307" i="158"/>
  <c r="D307" i="158"/>
  <c r="J307" i="158"/>
  <c r="E307" i="158"/>
  <c r="C307" i="158"/>
  <c r="I308" i="158"/>
  <c r="D308" i="158"/>
  <c r="J308" i="158"/>
  <c r="E308" i="158"/>
  <c r="C308" i="158"/>
  <c r="I309" i="158"/>
  <c r="D309" i="158"/>
  <c r="J309" i="158"/>
  <c r="E309" i="158"/>
  <c r="C309" i="158"/>
  <c r="I310" i="158"/>
  <c r="D310" i="158"/>
  <c r="J310" i="158"/>
  <c r="E310" i="158"/>
  <c r="C310" i="158"/>
  <c r="I311" i="158"/>
  <c r="D311" i="158"/>
  <c r="J311" i="158"/>
  <c r="E311" i="158"/>
  <c r="C311" i="158"/>
  <c r="I312" i="158"/>
  <c r="D312" i="158"/>
  <c r="J312" i="158"/>
  <c r="E312" i="158"/>
  <c r="C312" i="158"/>
  <c r="I313" i="158"/>
  <c r="D313" i="158"/>
  <c r="J313" i="158"/>
  <c r="E313" i="158"/>
  <c r="C313" i="158"/>
  <c r="I314" i="158"/>
  <c r="D314" i="158"/>
  <c r="J314" i="158"/>
  <c r="E314" i="158"/>
  <c r="C314" i="158"/>
  <c r="I315" i="158"/>
  <c r="D315" i="158"/>
  <c r="J315" i="158"/>
  <c r="E315" i="158"/>
  <c r="C315" i="158"/>
  <c r="I316" i="158"/>
  <c r="D316" i="158"/>
  <c r="J316" i="158"/>
  <c r="E316" i="158"/>
  <c r="C316" i="158"/>
  <c r="I317" i="158"/>
  <c r="D317" i="158"/>
  <c r="J317" i="158"/>
  <c r="E317" i="158"/>
  <c r="C317" i="158"/>
  <c r="I318" i="158"/>
  <c r="D318" i="158"/>
  <c r="J318" i="158"/>
  <c r="E318" i="158"/>
  <c r="C318" i="158"/>
  <c r="I319" i="158"/>
  <c r="D319" i="158"/>
  <c r="J319" i="158"/>
  <c r="E319" i="158"/>
  <c r="C319" i="158"/>
  <c r="I320" i="158"/>
  <c r="D320" i="158"/>
  <c r="J320" i="158"/>
  <c r="E320" i="158"/>
  <c r="C320" i="158"/>
  <c r="I321" i="158"/>
  <c r="D321" i="158"/>
  <c r="J321" i="158"/>
  <c r="E321" i="158"/>
  <c r="C321" i="158"/>
  <c r="I322" i="158"/>
  <c r="D322" i="158"/>
  <c r="J322" i="158"/>
  <c r="E322" i="158"/>
  <c r="C322" i="158"/>
  <c r="I323" i="158"/>
  <c r="D323" i="158"/>
  <c r="J323" i="158"/>
  <c r="E323" i="158"/>
  <c r="C323" i="158"/>
  <c r="I324" i="158"/>
  <c r="D324" i="158"/>
  <c r="J324" i="158"/>
  <c r="E324" i="158"/>
  <c r="C324" i="158"/>
  <c r="I325" i="158"/>
  <c r="D325" i="158"/>
  <c r="J325" i="158"/>
  <c r="E325" i="158"/>
  <c r="C325" i="158"/>
  <c r="I326" i="158"/>
  <c r="D326" i="158"/>
  <c r="J326" i="158"/>
  <c r="E326" i="158"/>
  <c r="C326" i="158"/>
  <c r="I327" i="158"/>
  <c r="D327" i="158"/>
  <c r="J327" i="158"/>
  <c r="E327" i="158"/>
  <c r="C327" i="158"/>
  <c r="I328" i="158"/>
  <c r="D328" i="158"/>
  <c r="J328" i="158"/>
  <c r="E328" i="158"/>
  <c r="C328" i="158"/>
  <c r="I329" i="158"/>
  <c r="D329" i="158"/>
  <c r="J329" i="158"/>
  <c r="E329" i="158"/>
  <c r="C329" i="158"/>
  <c r="I330" i="158"/>
  <c r="D330" i="158"/>
  <c r="J330" i="158"/>
  <c r="E330" i="158"/>
  <c r="C330" i="158"/>
  <c r="I331" i="158"/>
  <c r="D331" i="158"/>
  <c r="J331" i="158"/>
  <c r="E331" i="158"/>
  <c r="C331" i="158"/>
  <c r="I332" i="158"/>
  <c r="D332" i="158"/>
  <c r="J332" i="158"/>
  <c r="E332" i="158"/>
  <c r="C332" i="158"/>
  <c r="I333" i="158"/>
  <c r="D333" i="158"/>
  <c r="J333" i="158"/>
  <c r="E333" i="158"/>
  <c r="C333" i="158"/>
  <c r="I334" i="158"/>
  <c r="D334" i="158"/>
  <c r="J334" i="158"/>
  <c r="E334" i="158"/>
  <c r="C334" i="158"/>
  <c r="I335" i="158"/>
  <c r="D335" i="158"/>
  <c r="J335" i="158"/>
  <c r="E335" i="158"/>
  <c r="C335" i="158"/>
  <c r="I336" i="158"/>
  <c r="D336" i="158"/>
  <c r="J336" i="158"/>
  <c r="E336" i="158"/>
  <c r="C336" i="158"/>
  <c r="I337" i="158"/>
  <c r="D337" i="158"/>
  <c r="J337" i="158"/>
  <c r="E337" i="158"/>
  <c r="C337" i="158"/>
  <c r="I338" i="158"/>
  <c r="D338" i="158"/>
  <c r="J338" i="158"/>
  <c r="E338" i="158"/>
  <c r="C338" i="158"/>
  <c r="I339" i="158"/>
  <c r="D339" i="158"/>
  <c r="J339" i="158"/>
  <c r="E339" i="158"/>
  <c r="C339" i="158"/>
  <c r="I340" i="158"/>
  <c r="D340" i="158"/>
  <c r="J340" i="158"/>
  <c r="E340" i="158"/>
  <c r="C340" i="158"/>
  <c r="I341" i="158"/>
  <c r="D341" i="158"/>
  <c r="J341" i="158"/>
  <c r="E341" i="158"/>
  <c r="C341" i="158"/>
  <c r="I342" i="158"/>
  <c r="D342" i="158"/>
  <c r="J342" i="158"/>
  <c r="E342" i="158"/>
  <c r="C342" i="158"/>
  <c r="I343" i="158"/>
  <c r="D343" i="158"/>
  <c r="J343" i="158"/>
  <c r="E343" i="158"/>
  <c r="C343" i="158"/>
  <c r="I344" i="158"/>
  <c r="D344" i="158"/>
  <c r="J344" i="158"/>
  <c r="E344" i="158"/>
  <c r="C344" i="158"/>
  <c r="I345" i="158"/>
  <c r="D345" i="158"/>
  <c r="J345" i="158"/>
  <c r="E345" i="158"/>
  <c r="C345" i="158"/>
  <c r="I346" i="158"/>
  <c r="D346" i="158"/>
  <c r="J346" i="158"/>
  <c r="E346" i="158"/>
  <c r="C346" i="158"/>
  <c r="I347" i="158"/>
  <c r="D347" i="158"/>
  <c r="J347" i="158"/>
  <c r="E347" i="158"/>
  <c r="C347" i="158"/>
  <c r="I348" i="158"/>
  <c r="D348" i="158"/>
  <c r="J348" i="158"/>
  <c r="E348" i="158"/>
  <c r="C348" i="158"/>
  <c r="I349" i="158"/>
  <c r="D349" i="158"/>
  <c r="J349" i="158"/>
  <c r="E349" i="158"/>
  <c r="C349" i="158"/>
  <c r="I350" i="158"/>
  <c r="D350" i="158"/>
  <c r="J350" i="158"/>
  <c r="E350" i="158"/>
  <c r="C350" i="158"/>
  <c r="I351" i="158"/>
  <c r="D351" i="158"/>
  <c r="J351" i="158"/>
  <c r="E351" i="158"/>
  <c r="C351" i="158"/>
  <c r="F5" i="157"/>
  <c r="F6" i="157"/>
  <c r="A36" i="157"/>
  <c r="E6" i="157"/>
  <c r="Q3" i="157"/>
  <c r="Q4" i="157"/>
  <c r="Q5" i="157"/>
  <c r="Q6" i="157"/>
  <c r="Q7" i="157"/>
  <c r="Q8" i="157"/>
  <c r="Q9" i="157"/>
  <c r="Q10" i="157"/>
  <c r="Q11" i="157"/>
  <c r="Q12" i="157"/>
  <c r="Q13" i="157"/>
  <c r="Q14" i="157"/>
  <c r="Q15" i="157"/>
  <c r="Q16" i="157"/>
  <c r="Q17" i="157"/>
  <c r="Q18" i="157"/>
  <c r="Q19" i="157"/>
  <c r="Q20" i="157"/>
  <c r="E18" i="157"/>
  <c r="E19" i="157"/>
  <c r="B19" i="157"/>
  <c r="E24" i="157"/>
  <c r="B24" i="157"/>
  <c r="B17" i="157"/>
  <c r="B18" i="157"/>
  <c r="G18" i="157"/>
  <c r="H18" i="157"/>
  <c r="O3" i="158"/>
  <c r="O5" i="158"/>
  <c r="O7" i="158"/>
  <c r="O9" i="158"/>
  <c r="G17" i="157"/>
  <c r="E17" i="157"/>
  <c r="H17" i="157"/>
  <c r="O2" i="158"/>
  <c r="O4" i="158"/>
  <c r="O6" i="158"/>
  <c r="O8" i="158"/>
  <c r="O10" i="158"/>
  <c r="O11" i="158"/>
  <c r="O12" i="158"/>
  <c r="O13" i="158"/>
  <c r="O14" i="158"/>
  <c r="O15" i="158"/>
  <c r="O16" i="158"/>
  <c r="O17" i="158"/>
  <c r="O18" i="158"/>
  <c r="O19" i="158"/>
  <c r="O20" i="158"/>
  <c r="O21" i="158"/>
  <c r="O22" i="158"/>
  <c r="O23" i="158"/>
  <c r="O24" i="158"/>
  <c r="O25" i="158"/>
  <c r="O26" i="158"/>
  <c r="O27" i="158"/>
  <c r="O28" i="158"/>
  <c r="O29" i="158"/>
  <c r="O30" i="158"/>
  <c r="O31" i="158"/>
  <c r="O32" i="158"/>
  <c r="O33" i="158"/>
  <c r="O34" i="158"/>
  <c r="O35" i="158"/>
  <c r="O36" i="158"/>
  <c r="O37" i="158"/>
  <c r="O38" i="158"/>
  <c r="O39" i="158"/>
  <c r="O40" i="158"/>
  <c r="O41" i="158"/>
  <c r="G24" i="157"/>
  <c r="H24" i="157"/>
  <c r="O42" i="158"/>
  <c r="E25" i="157"/>
  <c r="B25" i="157"/>
  <c r="G25" i="157"/>
  <c r="H25" i="157"/>
  <c r="O43" i="158"/>
  <c r="E26" i="157"/>
  <c r="B26" i="157"/>
  <c r="G26" i="157"/>
  <c r="H26" i="157"/>
  <c r="O44" i="158"/>
  <c r="O45" i="158"/>
  <c r="O46" i="158"/>
  <c r="O47" i="158"/>
  <c r="O48" i="158"/>
  <c r="O49" i="158"/>
  <c r="O50" i="158"/>
  <c r="G19" i="157"/>
  <c r="H19" i="157"/>
  <c r="O51" i="158"/>
  <c r="E20" i="157"/>
  <c r="B20" i="157"/>
  <c r="G20" i="157"/>
  <c r="H20" i="157"/>
  <c r="O52" i="158"/>
  <c r="E23" i="157"/>
  <c r="B23" i="157"/>
  <c r="E5" i="157"/>
  <c r="E28" i="157"/>
  <c r="B28" i="157"/>
  <c r="E29" i="157"/>
  <c r="B29" i="157"/>
  <c r="B21" i="157"/>
  <c r="G21" i="157"/>
  <c r="E21" i="157"/>
  <c r="H21" i="157"/>
  <c r="O53" i="158"/>
  <c r="O54" i="158"/>
  <c r="O55" i="158"/>
  <c r="O56" i="158"/>
  <c r="O57" i="158"/>
  <c r="O58" i="158"/>
  <c r="O59" i="158"/>
  <c r="O60" i="158"/>
  <c r="O61" i="158"/>
  <c r="O62" i="158"/>
  <c r="O63" i="158"/>
  <c r="O64" i="158"/>
  <c r="O65" i="158"/>
  <c r="O66" i="158"/>
  <c r="O67" i="158"/>
  <c r="O68" i="158"/>
  <c r="O69" i="158"/>
  <c r="O70" i="158"/>
  <c r="O71" i="158"/>
  <c r="O72" i="158"/>
  <c r="O73" i="158"/>
  <c r="O74" i="158"/>
  <c r="O75" i="158"/>
  <c r="O76" i="158"/>
  <c r="O77" i="158"/>
  <c r="O78" i="158"/>
  <c r="O79" i="158"/>
  <c r="O80" i="158"/>
  <c r="O81" i="158"/>
  <c r="O82" i="158"/>
  <c r="O83" i="158"/>
  <c r="O84" i="158"/>
  <c r="O85" i="158"/>
  <c r="O86" i="158"/>
  <c r="O87" i="158"/>
  <c r="O88" i="158"/>
  <c r="O89" i="158"/>
  <c r="O90" i="158"/>
  <c r="O91" i="158"/>
  <c r="O92" i="158"/>
  <c r="O93" i="158"/>
  <c r="O94" i="158"/>
  <c r="O95" i="158"/>
  <c r="O96" i="158"/>
  <c r="O97" i="158"/>
  <c r="O98" i="158"/>
  <c r="O99" i="158"/>
  <c r="O100" i="158"/>
  <c r="O101" i="158"/>
  <c r="O102" i="158"/>
  <c r="O103" i="158"/>
  <c r="O104" i="158"/>
  <c r="O105" i="158"/>
  <c r="O106" i="158"/>
  <c r="O107" i="158"/>
  <c r="O108" i="158"/>
  <c r="O109" i="158"/>
  <c r="O110" i="158"/>
  <c r="O111" i="158"/>
  <c r="O112" i="158"/>
  <c r="O113" i="158"/>
  <c r="O114" i="158"/>
  <c r="O115" i="158"/>
  <c r="O116" i="158"/>
  <c r="O117" i="158"/>
  <c r="O118" i="158"/>
  <c r="O119" i="158"/>
  <c r="O120" i="158"/>
  <c r="O121" i="158"/>
  <c r="O122" i="158"/>
  <c r="O123" i="158"/>
  <c r="O124" i="158"/>
  <c r="O125" i="158"/>
  <c r="O126" i="158"/>
  <c r="O127" i="158"/>
  <c r="O128" i="158"/>
  <c r="O129" i="158"/>
  <c r="O130" i="158"/>
  <c r="O131" i="158"/>
  <c r="O132" i="158"/>
  <c r="O133" i="158"/>
  <c r="O134" i="158"/>
  <c r="O135" i="158"/>
  <c r="O136" i="158"/>
  <c r="O137" i="158"/>
  <c r="E27" i="157"/>
  <c r="B27" i="157"/>
  <c r="G27" i="157"/>
  <c r="H27" i="157"/>
  <c r="O138" i="158"/>
  <c r="G28" i="157"/>
  <c r="H28" i="157"/>
  <c r="O139" i="158"/>
  <c r="O140" i="158"/>
  <c r="O141" i="158"/>
  <c r="O142" i="158"/>
  <c r="O143" i="158"/>
  <c r="O144" i="158"/>
  <c r="O145" i="158"/>
  <c r="O146" i="158"/>
  <c r="O147" i="158"/>
  <c r="O148" i="158"/>
  <c r="O149" i="158"/>
  <c r="O150" i="158"/>
  <c r="O151" i="158"/>
  <c r="O152" i="158"/>
  <c r="O153" i="158"/>
  <c r="O154" i="158"/>
  <c r="O155" i="158"/>
  <c r="O156" i="158"/>
  <c r="O157" i="158"/>
  <c r="O158" i="158"/>
  <c r="O159" i="158"/>
  <c r="O160" i="158"/>
  <c r="O161" i="158"/>
  <c r="O162" i="158"/>
  <c r="O163" i="158"/>
  <c r="O164" i="158"/>
  <c r="O165" i="158"/>
  <c r="O166" i="158"/>
  <c r="O167" i="158"/>
  <c r="O168" i="158"/>
  <c r="O169" i="158"/>
  <c r="O170" i="158"/>
  <c r="O171" i="158"/>
  <c r="O172" i="158"/>
  <c r="O173" i="158"/>
  <c r="O174" i="158"/>
  <c r="O175" i="158"/>
  <c r="O176" i="158"/>
  <c r="O177" i="158"/>
  <c r="O178" i="158"/>
  <c r="O179" i="158"/>
  <c r="O180" i="158"/>
  <c r="O181" i="158"/>
  <c r="O182" i="158"/>
  <c r="O183" i="158"/>
  <c r="O184" i="158"/>
  <c r="O185" i="158"/>
  <c r="O186" i="158"/>
  <c r="O187" i="158"/>
  <c r="O188" i="158"/>
  <c r="O189" i="158"/>
  <c r="O190" i="158"/>
  <c r="O191" i="158"/>
  <c r="O192" i="158"/>
  <c r="O193" i="158"/>
  <c r="O194" i="158"/>
  <c r="O195" i="158"/>
  <c r="O196" i="158"/>
  <c r="O197" i="158"/>
  <c r="O198" i="158"/>
  <c r="O199" i="158"/>
  <c r="O200" i="158"/>
  <c r="O201" i="158"/>
  <c r="O202" i="158"/>
  <c r="O203" i="158"/>
  <c r="O204" i="158"/>
  <c r="O205" i="158"/>
  <c r="O206" i="158"/>
  <c r="O207" i="158"/>
  <c r="O208" i="158"/>
  <c r="O209" i="158"/>
  <c r="O210" i="158"/>
  <c r="O211" i="158"/>
  <c r="O212" i="158"/>
  <c r="O213" i="158"/>
  <c r="O214" i="158"/>
  <c r="G23" i="157"/>
  <c r="H23" i="157"/>
  <c r="O215" i="158"/>
  <c r="O216" i="158"/>
  <c r="O217" i="158"/>
  <c r="O218" i="158"/>
  <c r="O219" i="158"/>
  <c r="O220" i="158"/>
  <c r="O221" i="158"/>
  <c r="O222" i="158"/>
  <c r="O223" i="158"/>
  <c r="O224" i="158"/>
  <c r="O225" i="158"/>
  <c r="O226" i="158"/>
  <c r="O227" i="158"/>
  <c r="O228" i="158"/>
  <c r="O229" i="158"/>
  <c r="O230" i="158"/>
  <c r="O231" i="158"/>
  <c r="O232" i="158"/>
  <c r="O233" i="158"/>
  <c r="O234" i="158"/>
  <c r="O235" i="158"/>
  <c r="O236" i="158"/>
  <c r="O237" i="158"/>
  <c r="O238" i="158"/>
  <c r="O239" i="158"/>
  <c r="O240" i="158"/>
  <c r="O241" i="158"/>
  <c r="O242" i="158"/>
  <c r="O243" i="158"/>
  <c r="O244" i="158"/>
  <c r="O245" i="158"/>
  <c r="O246" i="158"/>
  <c r="O247" i="158"/>
  <c r="O248" i="158"/>
  <c r="O249" i="158"/>
  <c r="O250" i="158"/>
  <c r="O251" i="158"/>
  <c r="O252" i="158"/>
  <c r="O253" i="158"/>
  <c r="O254" i="158"/>
  <c r="O255" i="158"/>
  <c r="O256" i="158"/>
  <c r="O257" i="158"/>
  <c r="O258" i="158"/>
  <c r="O259" i="158"/>
  <c r="O260" i="158"/>
  <c r="O261" i="158"/>
  <c r="E22" i="157"/>
  <c r="B22" i="157"/>
  <c r="G22" i="157"/>
  <c r="H22" i="157"/>
  <c r="O262" i="158"/>
  <c r="O263" i="158"/>
  <c r="O264" i="158"/>
  <c r="O265" i="158"/>
  <c r="G29" i="157"/>
  <c r="H29" i="157"/>
  <c r="O266" i="158"/>
  <c r="O267" i="158"/>
  <c r="O268" i="158"/>
  <c r="O269" i="158"/>
  <c r="O270" i="158"/>
  <c r="O271" i="158"/>
  <c r="O272" i="158"/>
  <c r="O273" i="158"/>
  <c r="O274" i="158"/>
  <c r="O275" i="158"/>
  <c r="O276" i="158"/>
  <c r="O277" i="158"/>
  <c r="O278" i="158"/>
  <c r="O279" i="158"/>
  <c r="O280" i="158"/>
  <c r="O281" i="158"/>
  <c r="O282" i="158"/>
  <c r="O283" i="158"/>
  <c r="O284" i="158"/>
  <c r="O285" i="158"/>
  <c r="O286" i="158"/>
  <c r="O287" i="158"/>
  <c r="O288" i="158"/>
  <c r="O289" i="158"/>
  <c r="O290" i="158"/>
  <c r="O291" i="158"/>
  <c r="O292" i="158"/>
  <c r="O293" i="158"/>
  <c r="O294" i="158"/>
  <c r="O295" i="158"/>
  <c r="O296" i="158"/>
  <c r="O297" i="158"/>
  <c r="O298" i="158"/>
  <c r="O299" i="158"/>
  <c r="O300" i="158"/>
  <c r="O301" i="158"/>
  <c r="O302" i="158"/>
  <c r="O303" i="158"/>
  <c r="O304" i="158"/>
  <c r="O305" i="158"/>
  <c r="O306" i="158"/>
  <c r="O307" i="158"/>
  <c r="O308" i="158"/>
  <c r="O309" i="158"/>
  <c r="O310" i="158"/>
  <c r="O311" i="158"/>
  <c r="O312" i="158"/>
  <c r="O313" i="158"/>
  <c r="O314" i="158"/>
  <c r="O315" i="158"/>
  <c r="O316" i="158"/>
  <c r="O317" i="158"/>
  <c r="O318" i="158"/>
  <c r="O319" i="158"/>
  <c r="O320" i="158"/>
  <c r="O321" i="158"/>
  <c r="O322" i="158"/>
  <c r="O323" i="158"/>
  <c r="O324" i="158"/>
  <c r="O325" i="158"/>
  <c r="O326" i="158"/>
  <c r="O327" i="158"/>
  <c r="O328" i="158"/>
  <c r="O329" i="158"/>
  <c r="O330" i="158"/>
  <c r="O331" i="158"/>
  <c r="O332" i="158"/>
  <c r="O333" i="158"/>
  <c r="O334" i="158"/>
  <c r="O335" i="158"/>
  <c r="O336" i="158"/>
  <c r="O337" i="158"/>
  <c r="O338" i="158"/>
  <c r="O339" i="158"/>
  <c r="O340" i="158"/>
  <c r="O341" i="158"/>
  <c r="O342" i="158"/>
  <c r="O343" i="158"/>
  <c r="O344" i="158"/>
  <c r="O345" i="158"/>
  <c r="R3" i="157"/>
  <c r="O346" i="158"/>
  <c r="R4" i="157"/>
  <c r="O347" i="158"/>
  <c r="R5" i="157"/>
  <c r="O348" i="158"/>
  <c r="R6" i="157"/>
  <c r="O349" i="158"/>
  <c r="R7" i="157"/>
  <c r="O350" i="158"/>
  <c r="R8" i="157"/>
  <c r="O351" i="158"/>
  <c r="F41" i="157"/>
  <c r="G41" i="157"/>
  <c r="F34" i="157"/>
  <c r="P138" i="158"/>
  <c r="P139" i="158"/>
  <c r="P140" i="158"/>
  <c r="P141" i="158"/>
  <c r="P2" i="158"/>
  <c r="P3" i="158"/>
  <c r="P4" i="158"/>
  <c r="P5" i="158"/>
  <c r="P6" i="158"/>
  <c r="P7" i="158"/>
  <c r="P8" i="158"/>
  <c r="P9" i="158"/>
  <c r="P10" i="158"/>
  <c r="P11" i="158"/>
  <c r="P12" i="158"/>
  <c r="P13" i="158"/>
  <c r="P14" i="158"/>
  <c r="P15" i="158"/>
  <c r="P16" i="158"/>
  <c r="P17" i="158"/>
  <c r="P18" i="158"/>
  <c r="P19" i="158"/>
  <c r="P20" i="158"/>
  <c r="P21" i="158"/>
  <c r="P22" i="158"/>
  <c r="P23" i="158"/>
  <c r="P24" i="158"/>
  <c r="P25" i="158"/>
  <c r="P26" i="158"/>
  <c r="P27" i="158"/>
  <c r="P28" i="158"/>
  <c r="P29" i="158"/>
  <c r="P30" i="158"/>
  <c r="P31" i="158"/>
  <c r="P32" i="158"/>
  <c r="P33" i="158"/>
  <c r="P34" i="158"/>
  <c r="P35" i="158"/>
  <c r="P36" i="158"/>
  <c r="P37" i="158"/>
  <c r="P38" i="158"/>
  <c r="P39" i="158"/>
  <c r="P40" i="158"/>
  <c r="P41" i="158"/>
  <c r="P42" i="158"/>
  <c r="P43" i="158"/>
  <c r="P44" i="158"/>
  <c r="P45" i="158"/>
  <c r="P46" i="158"/>
  <c r="P47" i="158"/>
  <c r="P48" i="158"/>
  <c r="P49" i="158"/>
  <c r="P50" i="158"/>
  <c r="P51" i="158"/>
  <c r="P52" i="158"/>
  <c r="P53" i="158"/>
  <c r="P54" i="158"/>
  <c r="P55" i="158"/>
  <c r="P56" i="158"/>
  <c r="P57" i="158"/>
  <c r="P58" i="158"/>
  <c r="P59" i="158"/>
  <c r="P60" i="158"/>
  <c r="P61" i="158"/>
  <c r="P62" i="158"/>
  <c r="P63" i="158"/>
  <c r="P64" i="158"/>
  <c r="P65" i="158"/>
  <c r="P66" i="158"/>
  <c r="P67" i="158"/>
  <c r="P68" i="158"/>
  <c r="P69" i="158"/>
  <c r="P70" i="158"/>
  <c r="P71" i="158"/>
  <c r="P72" i="158"/>
  <c r="P73" i="158"/>
  <c r="P74" i="158"/>
  <c r="P75" i="158"/>
  <c r="P76" i="158"/>
  <c r="P77" i="158"/>
  <c r="P78" i="158"/>
  <c r="P79" i="158"/>
  <c r="P80" i="158"/>
  <c r="P81" i="158"/>
  <c r="P82" i="158"/>
  <c r="P83" i="158"/>
  <c r="P84" i="158"/>
  <c r="P85" i="158"/>
  <c r="P86" i="158"/>
  <c r="P87" i="158"/>
  <c r="P88" i="158"/>
  <c r="P89" i="158"/>
  <c r="P90" i="158"/>
  <c r="P91" i="158"/>
  <c r="P92" i="158"/>
  <c r="P93" i="158"/>
  <c r="P94" i="158"/>
  <c r="P95" i="158"/>
  <c r="P96" i="158"/>
  <c r="P97" i="158"/>
  <c r="P98" i="158"/>
  <c r="P99" i="158"/>
  <c r="P100" i="158"/>
  <c r="P101" i="158"/>
  <c r="P102" i="158"/>
  <c r="P103" i="158"/>
  <c r="P104" i="158"/>
  <c r="P105" i="158"/>
  <c r="P106" i="158"/>
  <c r="P107" i="158"/>
  <c r="P108" i="158"/>
  <c r="P109" i="158"/>
  <c r="P110" i="158"/>
  <c r="P111" i="158"/>
  <c r="P112" i="158"/>
  <c r="P113" i="158"/>
  <c r="P114" i="158"/>
  <c r="P115" i="158"/>
  <c r="P116" i="158"/>
  <c r="P117" i="158"/>
  <c r="P118" i="158"/>
  <c r="P119" i="158"/>
  <c r="P120" i="158"/>
  <c r="P121" i="158"/>
  <c r="P122" i="158"/>
  <c r="P123" i="158"/>
  <c r="P124" i="158"/>
  <c r="P125" i="158"/>
  <c r="P126" i="158"/>
  <c r="P127" i="158"/>
  <c r="P128" i="158"/>
  <c r="P129" i="158"/>
  <c r="P130" i="158"/>
  <c r="P131" i="158"/>
  <c r="P132" i="158"/>
  <c r="P133" i="158"/>
  <c r="P134" i="158"/>
  <c r="P135" i="158"/>
  <c r="P136" i="158"/>
  <c r="P137" i="158"/>
  <c r="P142" i="158"/>
  <c r="P143" i="158"/>
  <c r="P144" i="158"/>
  <c r="P145" i="158"/>
  <c r="P146" i="158"/>
  <c r="P147" i="158"/>
  <c r="P148" i="158"/>
  <c r="P149" i="158"/>
  <c r="P150" i="158"/>
  <c r="P151" i="158"/>
  <c r="P152" i="158"/>
  <c r="P153" i="158"/>
  <c r="P154" i="158"/>
  <c r="P155" i="158"/>
  <c r="P156" i="158"/>
  <c r="P157" i="158"/>
  <c r="P158" i="158"/>
  <c r="P159" i="158"/>
  <c r="P160" i="158"/>
  <c r="P161" i="158"/>
  <c r="P162" i="158"/>
  <c r="P163" i="158"/>
  <c r="P164" i="158"/>
  <c r="P165" i="158"/>
  <c r="P166" i="158"/>
  <c r="P167" i="158"/>
  <c r="P168" i="158"/>
  <c r="P169" i="158"/>
  <c r="P170" i="158"/>
  <c r="P171" i="158"/>
  <c r="P172" i="158"/>
  <c r="P173" i="158"/>
  <c r="P174" i="158"/>
  <c r="P175" i="158"/>
  <c r="P176" i="158"/>
  <c r="P177" i="158"/>
  <c r="P178" i="158"/>
  <c r="P179" i="158"/>
  <c r="P180" i="158"/>
  <c r="P181" i="158"/>
  <c r="P182" i="158"/>
  <c r="P183" i="158"/>
  <c r="P184" i="158"/>
  <c r="P185" i="158"/>
  <c r="P186" i="158"/>
  <c r="P187" i="158"/>
  <c r="P188" i="158"/>
  <c r="P189" i="158"/>
  <c r="P190" i="158"/>
  <c r="P191" i="158"/>
  <c r="P192" i="158"/>
  <c r="P193" i="158"/>
  <c r="P194" i="158"/>
  <c r="P195" i="158"/>
  <c r="P196" i="158"/>
  <c r="P197" i="158"/>
  <c r="P198" i="158"/>
  <c r="P199" i="158"/>
  <c r="P200" i="158"/>
  <c r="P201" i="158"/>
  <c r="P202" i="158"/>
  <c r="P203" i="158"/>
  <c r="P204" i="158"/>
  <c r="P205" i="158"/>
  <c r="P206" i="158"/>
  <c r="P207" i="158"/>
  <c r="P208" i="158"/>
  <c r="P209" i="158"/>
  <c r="P210" i="158"/>
  <c r="P211" i="158"/>
  <c r="P212" i="158"/>
  <c r="P213" i="158"/>
  <c r="P214" i="158"/>
  <c r="P215" i="158"/>
  <c r="P216" i="158"/>
  <c r="P217" i="158"/>
  <c r="P218" i="158"/>
  <c r="P219" i="158"/>
  <c r="P220" i="158"/>
  <c r="P221" i="158"/>
  <c r="P222" i="158"/>
  <c r="P223" i="158"/>
  <c r="P224" i="158"/>
  <c r="P225" i="158"/>
  <c r="P226" i="158"/>
  <c r="P227" i="158"/>
  <c r="P228" i="158"/>
  <c r="P229" i="158"/>
  <c r="P230" i="158"/>
  <c r="P231" i="158"/>
  <c r="P232" i="158"/>
  <c r="P233" i="158"/>
  <c r="P234" i="158"/>
  <c r="P235" i="158"/>
  <c r="P236" i="158"/>
  <c r="P237" i="158"/>
  <c r="P238" i="158"/>
  <c r="P239" i="158"/>
  <c r="P240" i="158"/>
  <c r="P241" i="158"/>
  <c r="P242" i="158"/>
  <c r="P243" i="158"/>
  <c r="P244" i="158"/>
  <c r="P245" i="158"/>
  <c r="P246" i="158"/>
  <c r="P247" i="158"/>
  <c r="P248" i="158"/>
  <c r="P249" i="158"/>
  <c r="P250" i="158"/>
  <c r="P251" i="158"/>
  <c r="P252" i="158"/>
  <c r="P253" i="158"/>
  <c r="P254" i="158"/>
  <c r="P255" i="158"/>
  <c r="P256" i="158"/>
  <c r="P257" i="158"/>
  <c r="P258" i="158"/>
  <c r="P259" i="158"/>
  <c r="P260" i="158"/>
  <c r="P261" i="158"/>
  <c r="P262" i="158"/>
  <c r="P263" i="158"/>
  <c r="P264" i="158"/>
  <c r="P265" i="158"/>
  <c r="P266" i="158"/>
  <c r="P267" i="158"/>
  <c r="P268" i="158"/>
  <c r="P269" i="158"/>
  <c r="P270" i="158"/>
  <c r="P271" i="158"/>
  <c r="P272" i="158"/>
  <c r="P273" i="158"/>
  <c r="P274" i="158"/>
  <c r="P275" i="158"/>
  <c r="P276" i="158"/>
  <c r="P277" i="158"/>
  <c r="P278" i="158"/>
  <c r="P279" i="158"/>
  <c r="P280" i="158"/>
  <c r="P281" i="158"/>
  <c r="P282" i="158"/>
  <c r="P283" i="158"/>
  <c r="P284" i="158"/>
  <c r="P285" i="158"/>
  <c r="P286" i="158"/>
  <c r="P287" i="158"/>
  <c r="P288" i="158"/>
  <c r="P289" i="158"/>
  <c r="P290" i="158"/>
  <c r="P291" i="158"/>
  <c r="P292" i="158"/>
  <c r="P293" i="158"/>
  <c r="P294" i="158"/>
  <c r="P295" i="158"/>
  <c r="P296" i="158"/>
  <c r="P297" i="158"/>
  <c r="P298" i="158"/>
  <c r="P299" i="158"/>
  <c r="P300" i="158"/>
  <c r="P301" i="158"/>
  <c r="P302" i="158"/>
  <c r="P303" i="158"/>
  <c r="P304" i="158"/>
  <c r="P305" i="158"/>
  <c r="P306" i="158"/>
  <c r="P307" i="158"/>
  <c r="P308" i="158"/>
  <c r="P309" i="158"/>
  <c r="P310" i="158"/>
  <c r="P311" i="158"/>
  <c r="P312" i="158"/>
  <c r="P313" i="158"/>
  <c r="P314" i="158"/>
  <c r="P315" i="158"/>
  <c r="P316" i="158"/>
  <c r="P317" i="158"/>
  <c r="P318" i="158"/>
  <c r="P319" i="158"/>
  <c r="P320" i="158"/>
  <c r="P321" i="158"/>
  <c r="P322" i="158"/>
  <c r="P323" i="158"/>
  <c r="P324" i="158"/>
  <c r="P325" i="158"/>
  <c r="P326" i="158"/>
  <c r="P327" i="158"/>
  <c r="P328" i="158"/>
  <c r="P329" i="158"/>
  <c r="P330" i="158"/>
  <c r="P331" i="158"/>
  <c r="P332" i="158"/>
  <c r="P333" i="158"/>
  <c r="P334" i="158"/>
  <c r="P335" i="158"/>
  <c r="P336" i="158"/>
  <c r="P337" i="158"/>
  <c r="P338" i="158"/>
  <c r="P339" i="158"/>
  <c r="P340" i="158"/>
  <c r="P341" i="158"/>
  <c r="P342" i="158"/>
  <c r="P343" i="158"/>
  <c r="P344" i="158"/>
  <c r="P345" i="158"/>
  <c r="P346" i="158"/>
  <c r="P347" i="158"/>
  <c r="P348" i="158"/>
  <c r="P349" i="158"/>
  <c r="P350" i="158"/>
  <c r="P351" i="158"/>
  <c r="F48" i="157"/>
  <c r="F49" i="157"/>
  <c r="G48" i="157"/>
  <c r="F42" i="157"/>
  <c r="G42" i="157"/>
  <c r="F35" i="157"/>
  <c r="F346" i="158"/>
  <c r="H346" i="158"/>
  <c r="K346" i="158"/>
  <c r="L346" i="158"/>
  <c r="M346" i="158"/>
  <c r="N346" i="158"/>
  <c r="F347" i="158"/>
  <c r="F348" i="158"/>
  <c r="F349" i="158"/>
  <c r="F350" i="158"/>
  <c r="F351" i="158"/>
  <c r="H347" i="158"/>
  <c r="K347" i="158"/>
  <c r="L347" i="158"/>
  <c r="M347" i="158"/>
  <c r="N347" i="158"/>
  <c r="H348" i="158"/>
  <c r="K348" i="158"/>
  <c r="L348" i="158"/>
  <c r="M348" i="158"/>
  <c r="N348" i="158"/>
  <c r="H349" i="158"/>
  <c r="K349" i="158"/>
  <c r="L349" i="158"/>
  <c r="M349" i="158"/>
  <c r="N349" i="158"/>
  <c r="H350" i="158"/>
  <c r="K350" i="158"/>
  <c r="L350" i="158"/>
  <c r="M350" i="158"/>
  <c r="N350" i="158"/>
  <c r="H351" i="158"/>
  <c r="K351" i="158"/>
  <c r="L351" i="158"/>
  <c r="M351" i="158"/>
  <c r="N351" i="158"/>
  <c r="A346" i="158"/>
  <c r="A347" i="158"/>
  <c r="A348" i="158"/>
  <c r="A349" i="158"/>
  <c r="A350" i="158"/>
  <c r="A351" i="158"/>
  <c r="F341" i="154"/>
  <c r="H341" i="154"/>
  <c r="K341" i="154"/>
  <c r="L341" i="154"/>
  <c r="M341" i="154"/>
  <c r="N341" i="154"/>
  <c r="F342" i="154"/>
  <c r="F343" i="154"/>
  <c r="F344" i="154"/>
  <c r="F345" i="154"/>
  <c r="H342" i="154"/>
  <c r="K342" i="154"/>
  <c r="L342" i="154"/>
  <c r="M342" i="154"/>
  <c r="N342" i="154"/>
  <c r="H343" i="154"/>
  <c r="K343" i="154"/>
  <c r="L343" i="154"/>
  <c r="M343" i="154"/>
  <c r="N343" i="154"/>
  <c r="H344" i="154"/>
  <c r="K344" i="154"/>
  <c r="L344" i="154"/>
  <c r="M344" i="154"/>
  <c r="N344" i="154"/>
  <c r="H345" i="154"/>
  <c r="K345" i="154"/>
  <c r="L345" i="154"/>
  <c r="M345" i="154"/>
  <c r="N345" i="154"/>
  <c r="A341" i="154"/>
  <c r="A342" i="154"/>
  <c r="A343" i="154"/>
  <c r="A344" i="154"/>
  <c r="A345" i="154"/>
  <c r="F341" i="158"/>
  <c r="H341" i="158"/>
  <c r="K341" i="158"/>
  <c r="L341" i="158"/>
  <c r="M341" i="158"/>
  <c r="N341" i="158"/>
  <c r="F342" i="158"/>
  <c r="F343" i="158"/>
  <c r="F344" i="158"/>
  <c r="F345" i="158"/>
  <c r="H342" i="158"/>
  <c r="K342" i="158"/>
  <c r="L342" i="158"/>
  <c r="M342" i="158"/>
  <c r="N342" i="158"/>
  <c r="H343" i="158"/>
  <c r="K343" i="158"/>
  <c r="L343" i="158"/>
  <c r="M343" i="158"/>
  <c r="N343" i="158"/>
  <c r="H344" i="158"/>
  <c r="K344" i="158"/>
  <c r="L344" i="158"/>
  <c r="M344" i="158"/>
  <c r="N344" i="158"/>
  <c r="H345" i="158"/>
  <c r="K345" i="158"/>
  <c r="L345" i="158"/>
  <c r="M345" i="158"/>
  <c r="N345" i="158"/>
  <c r="A341" i="158"/>
  <c r="A342" i="158"/>
  <c r="A343" i="158"/>
  <c r="A344" i="158"/>
  <c r="A345" i="158"/>
  <c r="F336" i="154"/>
  <c r="H336" i="154"/>
  <c r="K336" i="154"/>
  <c r="L336" i="154"/>
  <c r="M336" i="154"/>
  <c r="N336" i="154"/>
  <c r="F337" i="154"/>
  <c r="F338" i="154"/>
  <c r="F339" i="154"/>
  <c r="F340" i="154"/>
  <c r="H337" i="154"/>
  <c r="K337" i="154"/>
  <c r="L337" i="154"/>
  <c r="M337" i="154"/>
  <c r="N337" i="154"/>
  <c r="H338" i="154"/>
  <c r="K338" i="154"/>
  <c r="L338" i="154"/>
  <c r="M338" i="154"/>
  <c r="N338" i="154"/>
  <c r="H339" i="154"/>
  <c r="K339" i="154"/>
  <c r="L339" i="154"/>
  <c r="M339" i="154"/>
  <c r="N339" i="154"/>
  <c r="H340" i="154"/>
  <c r="K340" i="154"/>
  <c r="L340" i="154"/>
  <c r="M340" i="154"/>
  <c r="N340" i="154"/>
  <c r="A336" i="154"/>
  <c r="A337" i="154"/>
  <c r="A338" i="154"/>
  <c r="A339" i="154"/>
  <c r="A340" i="154"/>
  <c r="F336" i="158"/>
  <c r="H336" i="158"/>
  <c r="K336" i="158"/>
  <c r="L336" i="158"/>
  <c r="M336" i="158"/>
  <c r="N336" i="158"/>
  <c r="F337" i="158"/>
  <c r="F338" i="158"/>
  <c r="F339" i="158"/>
  <c r="F340" i="158"/>
  <c r="H337" i="158"/>
  <c r="K337" i="158"/>
  <c r="L337" i="158"/>
  <c r="M337" i="158"/>
  <c r="N337" i="158"/>
  <c r="H338" i="158"/>
  <c r="K338" i="158"/>
  <c r="L338" i="158"/>
  <c r="M338" i="158"/>
  <c r="N338" i="158"/>
  <c r="H339" i="158"/>
  <c r="K339" i="158"/>
  <c r="L339" i="158"/>
  <c r="M339" i="158"/>
  <c r="N339" i="158"/>
  <c r="H340" i="158"/>
  <c r="K340" i="158"/>
  <c r="L340" i="158"/>
  <c r="M340" i="158"/>
  <c r="N340" i="158"/>
  <c r="A336" i="158"/>
  <c r="A337" i="158"/>
  <c r="A338" i="158"/>
  <c r="A339" i="158"/>
  <c r="A340" i="158"/>
  <c r="F331" i="154"/>
  <c r="H331" i="154"/>
  <c r="K331" i="154"/>
  <c r="L331" i="154"/>
  <c r="M331" i="154"/>
  <c r="N331" i="154"/>
  <c r="F332" i="154"/>
  <c r="F333" i="154"/>
  <c r="F334" i="154"/>
  <c r="F335" i="154"/>
  <c r="H332" i="154"/>
  <c r="K332" i="154"/>
  <c r="L332" i="154"/>
  <c r="M332" i="154"/>
  <c r="N332" i="154"/>
  <c r="H333" i="154"/>
  <c r="K333" i="154"/>
  <c r="L333" i="154"/>
  <c r="M333" i="154"/>
  <c r="N333" i="154"/>
  <c r="H334" i="154"/>
  <c r="K334" i="154"/>
  <c r="L334" i="154"/>
  <c r="M334" i="154"/>
  <c r="N334" i="154"/>
  <c r="H335" i="154"/>
  <c r="K335" i="154"/>
  <c r="L335" i="154"/>
  <c r="M335" i="154"/>
  <c r="N335" i="154"/>
  <c r="A331" i="154"/>
  <c r="A332" i="154"/>
  <c r="A333" i="154"/>
  <c r="A334" i="154"/>
  <c r="A335" i="154"/>
  <c r="C19" i="157"/>
  <c r="C20" i="157"/>
  <c r="C21" i="157"/>
  <c r="C22" i="157"/>
  <c r="C23" i="157"/>
  <c r="C24" i="157"/>
  <c r="C25" i="157"/>
  <c r="C26" i="157"/>
  <c r="C27" i="157"/>
  <c r="C28" i="157"/>
  <c r="C29" i="157"/>
  <c r="C30" i="157"/>
  <c r="C31" i="157"/>
  <c r="C32" i="157"/>
  <c r="F331" i="158"/>
  <c r="H331" i="158"/>
  <c r="K331" i="158"/>
  <c r="L331" i="158"/>
  <c r="M331" i="158"/>
  <c r="N331" i="158"/>
  <c r="F332" i="158"/>
  <c r="F333" i="158"/>
  <c r="F334" i="158"/>
  <c r="F335" i="158"/>
  <c r="H332" i="158"/>
  <c r="K332" i="158"/>
  <c r="L332" i="158"/>
  <c r="M332" i="158"/>
  <c r="N332" i="158"/>
  <c r="H333" i="158"/>
  <c r="K333" i="158"/>
  <c r="L333" i="158"/>
  <c r="M333" i="158"/>
  <c r="N333" i="158"/>
  <c r="H334" i="158"/>
  <c r="K334" i="158"/>
  <c r="L334" i="158"/>
  <c r="M334" i="158"/>
  <c r="N334" i="158"/>
  <c r="H335" i="158"/>
  <c r="K335" i="158"/>
  <c r="L335" i="158"/>
  <c r="M335" i="158"/>
  <c r="N335" i="158"/>
  <c r="A331" i="158"/>
  <c r="A332" i="158"/>
  <c r="A333" i="158"/>
  <c r="A334" i="158"/>
  <c r="A335" i="158"/>
  <c r="F325" i="154"/>
  <c r="H325" i="154"/>
  <c r="K325" i="154"/>
  <c r="L325" i="154"/>
  <c r="M325" i="154"/>
  <c r="N325" i="154"/>
  <c r="F326" i="154"/>
  <c r="F327" i="154"/>
  <c r="F328" i="154"/>
  <c r="F329" i="154"/>
  <c r="F330" i="154"/>
  <c r="H326" i="154"/>
  <c r="K326" i="154"/>
  <c r="L326" i="154"/>
  <c r="M326" i="154"/>
  <c r="N326" i="154"/>
  <c r="H327" i="154"/>
  <c r="K327" i="154"/>
  <c r="L327" i="154"/>
  <c r="M327" i="154"/>
  <c r="N327" i="154"/>
  <c r="H328" i="154"/>
  <c r="K328" i="154"/>
  <c r="L328" i="154"/>
  <c r="M328" i="154"/>
  <c r="N328" i="154"/>
  <c r="H329" i="154"/>
  <c r="K329" i="154"/>
  <c r="L329" i="154"/>
  <c r="M329" i="154"/>
  <c r="N329" i="154"/>
  <c r="H330" i="154"/>
  <c r="K330" i="154"/>
  <c r="L330" i="154"/>
  <c r="M330" i="154"/>
  <c r="N330" i="154"/>
  <c r="A325" i="154"/>
  <c r="A326" i="154"/>
  <c r="A327" i="154"/>
  <c r="A328" i="154"/>
  <c r="A329" i="154"/>
  <c r="A330" i="154"/>
  <c r="F325" i="158"/>
  <c r="H325" i="158"/>
  <c r="K325" i="158"/>
  <c r="L325" i="158"/>
  <c r="M325" i="158"/>
  <c r="N325" i="158"/>
  <c r="F326" i="158"/>
  <c r="F327" i="158"/>
  <c r="F328" i="158"/>
  <c r="F329" i="158"/>
  <c r="F330" i="158"/>
  <c r="F215" i="158"/>
  <c r="F216" i="158"/>
  <c r="F217" i="158"/>
  <c r="F218" i="158"/>
  <c r="F219" i="158"/>
  <c r="F220" i="158"/>
  <c r="F221" i="158"/>
  <c r="F222" i="158"/>
  <c r="F223" i="158"/>
  <c r="F224" i="158"/>
  <c r="F225" i="158"/>
  <c r="F226" i="158"/>
  <c r="F227" i="158"/>
  <c r="F228" i="158"/>
  <c r="F229" i="158"/>
  <c r="F230" i="158"/>
  <c r="F231" i="158"/>
  <c r="F232" i="158"/>
  <c r="F233" i="158"/>
  <c r="F234" i="158"/>
  <c r="F235" i="158"/>
  <c r="F236" i="158"/>
  <c r="F237" i="158"/>
  <c r="F238" i="158"/>
  <c r="F239" i="158"/>
  <c r="F240" i="158"/>
  <c r="F241" i="158"/>
  <c r="F242" i="158"/>
  <c r="F243" i="158"/>
  <c r="F244" i="158"/>
  <c r="F245" i="158"/>
  <c r="F246" i="158"/>
  <c r="F247" i="158"/>
  <c r="F248" i="158"/>
  <c r="F249" i="158"/>
  <c r="F250" i="158"/>
  <c r="F251" i="158"/>
  <c r="F252" i="158"/>
  <c r="F253" i="158"/>
  <c r="F254" i="158"/>
  <c r="F255" i="158"/>
  <c r="F256" i="158"/>
  <c r="F257" i="158"/>
  <c r="F258" i="158"/>
  <c r="F259" i="158"/>
  <c r="F260" i="158"/>
  <c r="F261" i="158"/>
  <c r="F262" i="158"/>
  <c r="F263" i="158"/>
  <c r="F264" i="158"/>
  <c r="F265" i="158"/>
  <c r="F266" i="158"/>
  <c r="F267" i="158"/>
  <c r="F268" i="158"/>
  <c r="F269" i="158"/>
  <c r="F270" i="158"/>
  <c r="F271" i="158"/>
  <c r="F272" i="158"/>
  <c r="F273" i="158"/>
  <c r="F274" i="158"/>
  <c r="F275" i="158"/>
  <c r="F276" i="158"/>
  <c r="F277" i="158"/>
  <c r="F278" i="158"/>
  <c r="F279" i="158"/>
  <c r="F280" i="158"/>
  <c r="F281" i="158"/>
  <c r="F282" i="158"/>
  <c r="F283" i="158"/>
  <c r="F284" i="158"/>
  <c r="F285" i="158"/>
  <c r="F286" i="158"/>
  <c r="F287" i="158"/>
  <c r="F288" i="158"/>
  <c r="F289" i="158"/>
  <c r="F290" i="158"/>
  <c r="F291" i="158"/>
  <c r="F292" i="158"/>
  <c r="F293" i="158"/>
  <c r="F294" i="158"/>
  <c r="F295" i="158"/>
  <c r="F296" i="158"/>
  <c r="F297" i="158"/>
  <c r="F298" i="158"/>
  <c r="F299" i="158"/>
  <c r="F300" i="158"/>
  <c r="F301" i="158"/>
  <c r="F302" i="158"/>
  <c r="F303" i="158"/>
  <c r="F304" i="158"/>
  <c r="F305" i="158"/>
  <c r="F306" i="158"/>
  <c r="F307" i="158"/>
  <c r="F308" i="158"/>
  <c r="F309" i="158"/>
  <c r="F310" i="158"/>
  <c r="F311" i="158"/>
  <c r="F312" i="158"/>
  <c r="F313" i="158"/>
  <c r="F314" i="158"/>
  <c r="F315" i="158"/>
  <c r="F316" i="158"/>
  <c r="F317" i="158"/>
  <c r="F318" i="158"/>
  <c r="F319" i="158"/>
  <c r="F320" i="158"/>
  <c r="F321" i="158"/>
  <c r="F322" i="158"/>
  <c r="F323" i="158"/>
  <c r="F324" i="158"/>
  <c r="F2" i="158"/>
  <c r="F3" i="158"/>
  <c r="F4" i="158"/>
  <c r="F5" i="158"/>
  <c r="F6" i="158"/>
  <c r="F7" i="158"/>
  <c r="F8" i="158"/>
  <c r="F9" i="158"/>
  <c r="F10" i="158"/>
  <c r="F11" i="158"/>
  <c r="F12" i="158"/>
  <c r="F13" i="158"/>
  <c r="F14" i="158"/>
  <c r="F15" i="158"/>
  <c r="F16" i="158"/>
  <c r="F17" i="158"/>
  <c r="F18" i="158"/>
  <c r="F19" i="158"/>
  <c r="F20" i="158"/>
  <c r="F21" i="158"/>
  <c r="F22" i="158"/>
  <c r="F23" i="158"/>
  <c r="F24" i="158"/>
  <c r="F25" i="158"/>
  <c r="F26" i="158"/>
  <c r="F27" i="158"/>
  <c r="F28" i="158"/>
  <c r="F29" i="158"/>
  <c r="F30" i="158"/>
  <c r="F31" i="158"/>
  <c r="F32" i="158"/>
  <c r="F33" i="158"/>
  <c r="F34" i="158"/>
  <c r="F35" i="158"/>
  <c r="F36" i="158"/>
  <c r="F37" i="158"/>
  <c r="F38" i="158"/>
  <c r="F39" i="158"/>
  <c r="F40" i="158"/>
  <c r="F41" i="158"/>
  <c r="F42" i="158"/>
  <c r="F43" i="158"/>
  <c r="F44" i="158"/>
  <c r="F45" i="158"/>
  <c r="F46" i="158"/>
  <c r="F47" i="158"/>
  <c r="F48" i="158"/>
  <c r="F49" i="158"/>
  <c r="F50" i="158"/>
  <c r="F51" i="158"/>
  <c r="F52" i="158"/>
  <c r="F53" i="158"/>
  <c r="F54" i="158"/>
  <c r="F55" i="158"/>
  <c r="F56" i="158"/>
  <c r="F57" i="158"/>
  <c r="F58" i="158"/>
  <c r="F59" i="158"/>
  <c r="F60" i="158"/>
  <c r="F61" i="158"/>
  <c r="F62" i="158"/>
  <c r="F63" i="158"/>
  <c r="F64" i="158"/>
  <c r="F65" i="158"/>
  <c r="F66" i="158"/>
  <c r="F67" i="158"/>
  <c r="F68" i="158"/>
  <c r="F69" i="158"/>
  <c r="F70" i="158"/>
  <c r="F71" i="158"/>
  <c r="F72" i="158"/>
  <c r="F73" i="158"/>
  <c r="F74" i="158"/>
  <c r="F75" i="158"/>
  <c r="F76" i="158"/>
  <c r="F77" i="158"/>
  <c r="F78" i="158"/>
  <c r="F79" i="158"/>
  <c r="F80" i="158"/>
  <c r="F81" i="158"/>
  <c r="F82" i="158"/>
  <c r="F83" i="158"/>
  <c r="F84" i="158"/>
  <c r="F85" i="158"/>
  <c r="F86" i="158"/>
  <c r="F87" i="158"/>
  <c r="F88" i="158"/>
  <c r="F89" i="158"/>
  <c r="F90" i="158"/>
  <c r="F91" i="158"/>
  <c r="F92" i="158"/>
  <c r="F93" i="158"/>
  <c r="F94" i="158"/>
  <c r="F95" i="158"/>
  <c r="F96" i="158"/>
  <c r="F97" i="158"/>
  <c r="F98" i="158"/>
  <c r="F99" i="158"/>
  <c r="F100" i="158"/>
  <c r="F101" i="158"/>
  <c r="F102" i="158"/>
  <c r="F103" i="158"/>
  <c r="F104" i="158"/>
  <c r="F105" i="158"/>
  <c r="F106" i="158"/>
  <c r="F107" i="158"/>
  <c r="F108" i="158"/>
  <c r="F109" i="158"/>
  <c r="F110" i="158"/>
  <c r="F111" i="158"/>
  <c r="F112" i="158"/>
  <c r="F113" i="158"/>
  <c r="F114" i="158"/>
  <c r="F115" i="158"/>
  <c r="F116" i="158"/>
  <c r="F117" i="158"/>
  <c r="F118" i="158"/>
  <c r="F119" i="158"/>
  <c r="F120" i="158"/>
  <c r="F121" i="158"/>
  <c r="F122" i="158"/>
  <c r="F123" i="158"/>
  <c r="F124" i="158"/>
  <c r="F125" i="158"/>
  <c r="F126" i="158"/>
  <c r="F127" i="158"/>
  <c r="F128" i="158"/>
  <c r="F129" i="158"/>
  <c r="F130" i="158"/>
  <c r="F131" i="158"/>
  <c r="F132" i="158"/>
  <c r="F133" i="158"/>
  <c r="F134" i="158"/>
  <c r="F135" i="158"/>
  <c r="F136" i="158"/>
  <c r="F137" i="158"/>
  <c r="F138" i="158"/>
  <c r="F139" i="158"/>
  <c r="F140" i="158"/>
  <c r="F141" i="158"/>
  <c r="F142" i="158"/>
  <c r="F143" i="158"/>
  <c r="F144" i="158"/>
  <c r="F145" i="158"/>
  <c r="F146" i="158"/>
  <c r="F147" i="158"/>
  <c r="F148" i="158"/>
  <c r="F149" i="158"/>
  <c r="F150" i="158"/>
  <c r="F151" i="158"/>
  <c r="F152" i="158"/>
  <c r="F153" i="158"/>
  <c r="F154" i="158"/>
  <c r="F155" i="158"/>
  <c r="F156" i="158"/>
  <c r="F157" i="158"/>
  <c r="F158" i="158"/>
  <c r="F159" i="158"/>
  <c r="F160" i="158"/>
  <c r="F161" i="158"/>
  <c r="F162" i="158"/>
  <c r="F163" i="158"/>
  <c r="F164" i="158"/>
  <c r="F165" i="158"/>
  <c r="F166" i="158"/>
  <c r="F167" i="158"/>
  <c r="F168" i="158"/>
  <c r="F169" i="158"/>
  <c r="F170" i="158"/>
  <c r="F171" i="158"/>
  <c r="F172" i="158"/>
  <c r="F173" i="158"/>
  <c r="F174" i="158"/>
  <c r="F175" i="158"/>
  <c r="F176" i="158"/>
  <c r="F177" i="158"/>
  <c r="F178" i="158"/>
  <c r="F179" i="158"/>
  <c r="F180" i="158"/>
  <c r="F181" i="158"/>
  <c r="F182" i="158"/>
  <c r="F183" i="158"/>
  <c r="F184" i="158"/>
  <c r="F185" i="158"/>
  <c r="F186" i="158"/>
  <c r="F187" i="158"/>
  <c r="F188" i="158"/>
  <c r="F189" i="158"/>
  <c r="F190" i="158"/>
  <c r="F191" i="158"/>
  <c r="F192" i="158"/>
  <c r="F193" i="158"/>
  <c r="F194" i="158"/>
  <c r="F195" i="158"/>
  <c r="F196" i="158"/>
  <c r="F197" i="158"/>
  <c r="F198" i="158"/>
  <c r="F199" i="158"/>
  <c r="F200" i="158"/>
  <c r="F201" i="158"/>
  <c r="F202" i="158"/>
  <c r="F203" i="158"/>
  <c r="F204" i="158"/>
  <c r="F205" i="158"/>
  <c r="F206" i="158"/>
  <c r="F207" i="158"/>
  <c r="F208" i="158"/>
  <c r="F209" i="158"/>
  <c r="F210" i="158"/>
  <c r="F211" i="158"/>
  <c r="F212" i="158"/>
  <c r="F213" i="158"/>
  <c r="F214" i="158"/>
  <c r="H326" i="158"/>
  <c r="K326" i="158"/>
  <c r="L326" i="158"/>
  <c r="M326" i="158"/>
  <c r="N326" i="158"/>
  <c r="H327" i="158"/>
  <c r="K327" i="158"/>
  <c r="L327" i="158"/>
  <c r="M327" i="158"/>
  <c r="N327" i="158"/>
  <c r="H328" i="158"/>
  <c r="K328" i="158"/>
  <c r="L328" i="158"/>
  <c r="M328" i="158"/>
  <c r="N328" i="158"/>
  <c r="H329" i="158"/>
  <c r="K329" i="158"/>
  <c r="L329" i="158"/>
  <c r="M329" i="158"/>
  <c r="N329" i="158"/>
  <c r="H330" i="158"/>
  <c r="K330" i="158"/>
  <c r="L330" i="158"/>
  <c r="M330" i="158"/>
  <c r="N330" i="158"/>
  <c r="A325" i="158"/>
  <c r="A326" i="158"/>
  <c r="A327" i="158"/>
  <c r="A328" i="158"/>
  <c r="A329" i="158"/>
  <c r="A330" i="158"/>
  <c r="F2" i="154"/>
  <c r="F3" i="154"/>
  <c r="F4" i="154"/>
  <c r="F5" i="154"/>
  <c r="F6" i="154"/>
  <c r="F7" i="154"/>
  <c r="F8" i="154"/>
  <c r="F9" i="154"/>
  <c r="F10" i="154"/>
  <c r="F11" i="154"/>
  <c r="F12" i="154"/>
  <c r="F13" i="154"/>
  <c r="F14" i="154"/>
  <c r="F15" i="154"/>
  <c r="F16" i="154"/>
  <c r="F17" i="154"/>
  <c r="F18" i="154"/>
  <c r="F19" i="154"/>
  <c r="F20" i="154"/>
  <c r="F21" i="154"/>
  <c r="F22" i="154"/>
  <c r="F23" i="154"/>
  <c r="F24" i="154"/>
  <c r="F25" i="154"/>
  <c r="F26" i="154"/>
  <c r="F27" i="154"/>
  <c r="F28" i="154"/>
  <c r="F29" i="154"/>
  <c r="F30" i="154"/>
  <c r="F31" i="154"/>
  <c r="F32" i="154"/>
  <c r="F33" i="154"/>
  <c r="F34" i="154"/>
  <c r="F35" i="154"/>
  <c r="F36" i="154"/>
  <c r="F37" i="154"/>
  <c r="F38" i="154"/>
  <c r="F39" i="154"/>
  <c r="F40" i="154"/>
  <c r="F41" i="154"/>
  <c r="F42" i="154"/>
  <c r="F43" i="154"/>
  <c r="F44" i="154"/>
  <c r="F45" i="154"/>
  <c r="F46" i="154"/>
  <c r="F47" i="154"/>
  <c r="F48" i="154"/>
  <c r="F49" i="154"/>
  <c r="F50" i="154"/>
  <c r="F51" i="154"/>
  <c r="F52" i="154"/>
  <c r="F53" i="154"/>
  <c r="F54" i="154"/>
  <c r="F55" i="154"/>
  <c r="F56" i="154"/>
  <c r="F57" i="154"/>
  <c r="F58" i="154"/>
  <c r="F59" i="154"/>
  <c r="F60" i="154"/>
  <c r="F61" i="154"/>
  <c r="F62" i="154"/>
  <c r="F63" i="154"/>
  <c r="F64" i="154"/>
  <c r="F65" i="154"/>
  <c r="F66" i="154"/>
  <c r="F67" i="154"/>
  <c r="F68" i="154"/>
  <c r="F69" i="154"/>
  <c r="F70" i="154"/>
  <c r="F71" i="154"/>
  <c r="F72" i="154"/>
  <c r="F73" i="154"/>
  <c r="F74" i="154"/>
  <c r="F75" i="154"/>
  <c r="F76" i="154"/>
  <c r="F77" i="154"/>
  <c r="F78" i="154"/>
  <c r="F79" i="154"/>
  <c r="F80" i="154"/>
  <c r="F81" i="154"/>
  <c r="F82" i="154"/>
  <c r="F83" i="154"/>
  <c r="F84" i="154"/>
  <c r="F85" i="154"/>
  <c r="F86" i="154"/>
  <c r="F87" i="154"/>
  <c r="F88" i="154"/>
  <c r="F89" i="154"/>
  <c r="F90" i="154"/>
  <c r="F91" i="154"/>
  <c r="F92" i="154"/>
  <c r="F93" i="154"/>
  <c r="F94" i="154"/>
  <c r="F95" i="154"/>
  <c r="F96" i="154"/>
  <c r="F97" i="154"/>
  <c r="F98" i="154"/>
  <c r="F99" i="154"/>
  <c r="F100" i="154"/>
  <c r="F101" i="154"/>
  <c r="F102" i="154"/>
  <c r="F103" i="154"/>
  <c r="F104" i="154"/>
  <c r="F105" i="154"/>
  <c r="F106" i="154"/>
  <c r="F107" i="154"/>
  <c r="F108" i="154"/>
  <c r="F109" i="154"/>
  <c r="F110" i="154"/>
  <c r="F111" i="154"/>
  <c r="F112" i="154"/>
  <c r="F113" i="154"/>
  <c r="F114" i="154"/>
  <c r="F115" i="154"/>
  <c r="F116" i="154"/>
  <c r="F117" i="154"/>
  <c r="F118" i="154"/>
  <c r="F119" i="154"/>
  <c r="F120" i="154"/>
  <c r="F121" i="154"/>
  <c r="F122" i="154"/>
  <c r="F123" i="154"/>
  <c r="F124" i="154"/>
  <c r="F125" i="154"/>
  <c r="F126" i="154"/>
  <c r="F127" i="154"/>
  <c r="F128" i="154"/>
  <c r="F129" i="154"/>
  <c r="F130" i="154"/>
  <c r="F131" i="154"/>
  <c r="F132" i="154"/>
  <c r="F133" i="154"/>
  <c r="F134" i="154"/>
  <c r="F135" i="154"/>
  <c r="F136" i="154"/>
  <c r="F137" i="154"/>
  <c r="F138" i="154"/>
  <c r="F139" i="154"/>
  <c r="F140" i="154"/>
  <c r="F141" i="154"/>
  <c r="F142" i="154"/>
  <c r="F143" i="154"/>
  <c r="F144" i="154"/>
  <c r="F145" i="154"/>
  <c r="F146" i="154"/>
  <c r="F147" i="154"/>
  <c r="F148" i="154"/>
  <c r="F149" i="154"/>
  <c r="F150" i="154"/>
  <c r="F151" i="154"/>
  <c r="F152" i="154"/>
  <c r="F153" i="154"/>
  <c r="F154" i="154"/>
  <c r="F155" i="154"/>
  <c r="F156" i="154"/>
  <c r="F157" i="154"/>
  <c r="F158" i="154"/>
  <c r="F159" i="154"/>
  <c r="F160" i="154"/>
  <c r="F161" i="154"/>
  <c r="F162" i="154"/>
  <c r="F163" i="154"/>
  <c r="F164" i="154"/>
  <c r="F165" i="154"/>
  <c r="F166" i="154"/>
  <c r="F167" i="154"/>
  <c r="F168" i="154"/>
  <c r="F169" i="154"/>
  <c r="F170" i="154"/>
  <c r="F171" i="154"/>
  <c r="F172" i="154"/>
  <c r="F173" i="154"/>
  <c r="F174" i="154"/>
  <c r="F175" i="154"/>
  <c r="F176" i="154"/>
  <c r="F177" i="154"/>
  <c r="F178" i="154"/>
  <c r="F179" i="154"/>
  <c r="F180" i="154"/>
  <c r="F181" i="154"/>
  <c r="F182" i="154"/>
  <c r="F183" i="154"/>
  <c r="F184" i="154"/>
  <c r="F185" i="154"/>
  <c r="F186" i="154"/>
  <c r="F187" i="154"/>
  <c r="F188" i="154"/>
  <c r="F189" i="154"/>
  <c r="F190" i="154"/>
  <c r="F191" i="154"/>
  <c r="F192" i="154"/>
  <c r="F193" i="154"/>
  <c r="F194" i="154"/>
  <c r="F195" i="154"/>
  <c r="F196" i="154"/>
  <c r="F197" i="154"/>
  <c r="F198" i="154"/>
  <c r="F199" i="154"/>
  <c r="F200" i="154"/>
  <c r="F201" i="154"/>
  <c r="F202" i="154"/>
  <c r="F203" i="154"/>
  <c r="F204" i="154"/>
  <c r="F205" i="154"/>
  <c r="F206" i="154"/>
  <c r="F207" i="154"/>
  <c r="F208" i="154"/>
  <c r="F209" i="154"/>
  <c r="F210" i="154"/>
  <c r="F211" i="154"/>
  <c r="F212" i="154"/>
  <c r="F213" i="154"/>
  <c r="F214" i="154"/>
  <c r="F215" i="154"/>
  <c r="F216" i="154"/>
  <c r="F217" i="154"/>
  <c r="F218" i="154"/>
  <c r="F219" i="154"/>
  <c r="F220" i="154"/>
  <c r="F221" i="154"/>
  <c r="F222" i="154"/>
  <c r="F223" i="154"/>
  <c r="F224" i="154"/>
  <c r="F225" i="154"/>
  <c r="F226" i="154"/>
  <c r="F227" i="154"/>
  <c r="F228" i="154"/>
  <c r="F229" i="154"/>
  <c r="F230" i="154"/>
  <c r="F231" i="154"/>
  <c r="F232" i="154"/>
  <c r="F233" i="154"/>
  <c r="F234" i="154"/>
  <c r="F235" i="154"/>
  <c r="F236" i="154"/>
  <c r="F237" i="154"/>
  <c r="F238" i="154"/>
  <c r="F239" i="154"/>
  <c r="F240" i="154"/>
  <c r="F241" i="154"/>
  <c r="F242" i="154"/>
  <c r="F243" i="154"/>
  <c r="F244" i="154"/>
  <c r="F245" i="154"/>
  <c r="F246" i="154"/>
  <c r="F247" i="154"/>
  <c r="F248" i="154"/>
  <c r="F249" i="154"/>
  <c r="F250" i="154"/>
  <c r="F251" i="154"/>
  <c r="F252" i="154"/>
  <c r="F253" i="154"/>
  <c r="F254" i="154"/>
  <c r="F255" i="154"/>
  <c r="F256" i="154"/>
  <c r="F257" i="154"/>
  <c r="F258" i="154"/>
  <c r="F259" i="154"/>
  <c r="F260" i="154"/>
  <c r="F261" i="154"/>
  <c r="F262" i="154"/>
  <c r="F263" i="154"/>
  <c r="F264" i="154"/>
  <c r="F265" i="154"/>
  <c r="F266" i="154"/>
  <c r="F267" i="154"/>
  <c r="F268" i="154"/>
  <c r="F269" i="154"/>
  <c r="F270" i="154"/>
  <c r="F271" i="154"/>
  <c r="F272" i="154"/>
  <c r="F273" i="154"/>
  <c r="F274" i="154"/>
  <c r="F275" i="154"/>
  <c r="F276" i="154"/>
  <c r="F277" i="154"/>
  <c r="F278" i="154"/>
  <c r="F279" i="154"/>
  <c r="F280" i="154"/>
  <c r="F281" i="154"/>
  <c r="F282" i="154"/>
  <c r="F283" i="154"/>
  <c r="F284" i="154"/>
  <c r="F285" i="154"/>
  <c r="F286" i="154"/>
  <c r="F287" i="154"/>
  <c r="F288" i="154"/>
  <c r="F289" i="154"/>
  <c r="F290" i="154"/>
  <c r="F291" i="154"/>
  <c r="F292" i="154"/>
  <c r="F293" i="154"/>
  <c r="F294" i="154"/>
  <c r="F295" i="154"/>
  <c r="F296" i="154"/>
  <c r="F297" i="154"/>
  <c r="F298" i="154"/>
  <c r="F299" i="154"/>
  <c r="F300" i="154"/>
  <c r="F301" i="154"/>
  <c r="F302" i="154"/>
  <c r="F303" i="154"/>
  <c r="F304" i="154"/>
  <c r="F305" i="154"/>
  <c r="F306" i="154"/>
  <c r="F307" i="154"/>
  <c r="F308" i="154"/>
  <c r="F309" i="154"/>
  <c r="F310" i="154"/>
  <c r="F311" i="154"/>
  <c r="F312" i="154"/>
  <c r="F313" i="154"/>
  <c r="F314" i="154"/>
  <c r="F315" i="154"/>
  <c r="F316" i="154"/>
  <c r="F317" i="154"/>
  <c r="F318" i="154"/>
  <c r="F319" i="154"/>
  <c r="F320" i="154"/>
  <c r="F321" i="154"/>
  <c r="F322" i="154"/>
  <c r="F323" i="154"/>
  <c r="F324" i="154"/>
  <c r="C4" i="103"/>
  <c r="E4" i="103"/>
  <c r="H320" i="154"/>
  <c r="K320" i="154"/>
  <c r="L320" i="154"/>
  <c r="M320" i="154"/>
  <c r="N320" i="154"/>
  <c r="H321" i="154"/>
  <c r="K321" i="154"/>
  <c r="L321" i="154"/>
  <c r="M321" i="154"/>
  <c r="N321" i="154"/>
  <c r="H322" i="154"/>
  <c r="K322" i="154"/>
  <c r="L322" i="154"/>
  <c r="M322" i="154"/>
  <c r="N322" i="154"/>
  <c r="H323" i="154"/>
  <c r="K323" i="154"/>
  <c r="L323" i="154"/>
  <c r="M323" i="154"/>
  <c r="N323" i="154"/>
  <c r="H324" i="154"/>
  <c r="K324" i="154"/>
  <c r="L324" i="154"/>
  <c r="M324" i="154"/>
  <c r="N324" i="154"/>
  <c r="A320" i="154"/>
  <c r="A321" i="154"/>
  <c r="A322" i="154"/>
  <c r="A323" i="154"/>
  <c r="A324" i="154"/>
  <c r="H320" i="158"/>
  <c r="K320" i="158"/>
  <c r="L320" i="158"/>
  <c r="M320" i="158"/>
  <c r="N320" i="158"/>
  <c r="H321" i="158"/>
  <c r="K321" i="158"/>
  <c r="L321" i="158"/>
  <c r="M321" i="158"/>
  <c r="N321" i="158"/>
  <c r="H322" i="158"/>
  <c r="K322" i="158"/>
  <c r="L322" i="158"/>
  <c r="M322" i="158"/>
  <c r="N322" i="158"/>
  <c r="H323" i="158"/>
  <c r="K323" i="158"/>
  <c r="L323" i="158"/>
  <c r="M323" i="158"/>
  <c r="N323" i="158"/>
  <c r="H324" i="158"/>
  <c r="K324" i="158"/>
  <c r="L324" i="158"/>
  <c r="M324" i="158"/>
  <c r="N324" i="158"/>
  <c r="A320" i="158"/>
  <c r="A321" i="158"/>
  <c r="A322" i="158"/>
  <c r="A323" i="158"/>
  <c r="A324" i="158"/>
  <c r="H315" i="154"/>
  <c r="K315" i="154"/>
  <c r="L315" i="154"/>
  <c r="M315" i="154"/>
  <c r="N315" i="154"/>
  <c r="H316" i="154"/>
  <c r="K316" i="154"/>
  <c r="L316" i="154"/>
  <c r="M316" i="154"/>
  <c r="N316" i="154"/>
  <c r="H317" i="154"/>
  <c r="K317" i="154"/>
  <c r="L317" i="154"/>
  <c r="M317" i="154"/>
  <c r="N317" i="154"/>
  <c r="H318" i="154"/>
  <c r="K318" i="154"/>
  <c r="L318" i="154"/>
  <c r="M318" i="154"/>
  <c r="N318" i="154"/>
  <c r="H319" i="154"/>
  <c r="K319" i="154"/>
  <c r="L319" i="154"/>
  <c r="M319" i="154"/>
  <c r="N319" i="154"/>
  <c r="A315" i="154"/>
  <c r="A316" i="154"/>
  <c r="A317" i="154"/>
  <c r="A318" i="154"/>
  <c r="A319" i="154"/>
  <c r="H315" i="158"/>
  <c r="K315" i="158"/>
  <c r="L315" i="158"/>
  <c r="M315" i="158"/>
  <c r="N315" i="158"/>
  <c r="H316" i="158"/>
  <c r="K316" i="158"/>
  <c r="L316" i="158"/>
  <c r="M316" i="158"/>
  <c r="N316" i="158"/>
  <c r="H317" i="158"/>
  <c r="K317" i="158"/>
  <c r="L317" i="158"/>
  <c r="M317" i="158"/>
  <c r="N317" i="158"/>
  <c r="H318" i="158"/>
  <c r="K318" i="158"/>
  <c r="L318" i="158"/>
  <c r="M318" i="158"/>
  <c r="N318" i="158"/>
  <c r="H319" i="158"/>
  <c r="K319" i="158"/>
  <c r="L319" i="158"/>
  <c r="M319" i="158"/>
  <c r="N319" i="158"/>
  <c r="A315" i="158"/>
  <c r="A316" i="158"/>
  <c r="A317" i="158"/>
  <c r="A318" i="158"/>
  <c r="A319" i="158"/>
  <c r="H310" i="154"/>
  <c r="K310" i="154"/>
  <c r="L310" i="154"/>
  <c r="M310" i="154"/>
  <c r="N310" i="154"/>
  <c r="H311" i="154"/>
  <c r="K311" i="154"/>
  <c r="L311" i="154"/>
  <c r="M311" i="154"/>
  <c r="N311" i="154"/>
  <c r="H312" i="154"/>
  <c r="K312" i="154"/>
  <c r="L312" i="154"/>
  <c r="M312" i="154"/>
  <c r="N312" i="154"/>
  <c r="H313" i="154"/>
  <c r="K313" i="154"/>
  <c r="L313" i="154"/>
  <c r="M313" i="154"/>
  <c r="N313" i="154"/>
  <c r="H314" i="154"/>
  <c r="K314" i="154"/>
  <c r="L314" i="154"/>
  <c r="M314" i="154"/>
  <c r="N314" i="154"/>
  <c r="A310" i="154"/>
  <c r="A311" i="154"/>
  <c r="A312" i="154"/>
  <c r="A313" i="154"/>
  <c r="A314" i="154"/>
  <c r="H310" i="158"/>
  <c r="K310" i="158"/>
  <c r="L310" i="158"/>
  <c r="M310" i="158"/>
  <c r="N310" i="158"/>
  <c r="H311" i="158"/>
  <c r="K311" i="158"/>
  <c r="L311" i="158"/>
  <c r="M311" i="158"/>
  <c r="N311" i="158"/>
  <c r="H312" i="158"/>
  <c r="K312" i="158"/>
  <c r="L312" i="158"/>
  <c r="M312" i="158"/>
  <c r="N312" i="158"/>
  <c r="H313" i="158"/>
  <c r="K313" i="158"/>
  <c r="L313" i="158"/>
  <c r="M313" i="158"/>
  <c r="N313" i="158"/>
  <c r="H314" i="158"/>
  <c r="K314" i="158"/>
  <c r="L314" i="158"/>
  <c r="M314" i="158"/>
  <c r="N314" i="158"/>
  <c r="A310" i="158"/>
  <c r="A311" i="158"/>
  <c r="A312" i="158"/>
  <c r="A313" i="158"/>
  <c r="A314" i="158"/>
  <c r="I3" i="159"/>
  <c r="D3" i="159"/>
  <c r="E3" i="159"/>
  <c r="I4" i="159"/>
  <c r="D4" i="159"/>
  <c r="E4" i="159"/>
  <c r="I5" i="159"/>
  <c r="D5" i="159"/>
  <c r="E5" i="159"/>
  <c r="I6" i="159"/>
  <c r="D6" i="159"/>
  <c r="E6" i="159"/>
  <c r="I2" i="159"/>
  <c r="E2" i="159"/>
  <c r="D2" i="159"/>
  <c r="A309" i="154"/>
  <c r="H309" i="154"/>
  <c r="K309" i="154"/>
  <c r="L309" i="154"/>
  <c r="M309" i="154"/>
  <c r="N309" i="154"/>
  <c r="A305" i="154"/>
  <c r="H305" i="154"/>
  <c r="K305" i="154"/>
  <c r="L305" i="154"/>
  <c r="M305" i="154"/>
  <c r="N305" i="154"/>
  <c r="A306" i="154"/>
  <c r="H306" i="154"/>
  <c r="K306" i="154"/>
  <c r="L306" i="154"/>
  <c r="M306" i="154"/>
  <c r="N306" i="154"/>
  <c r="A307" i="154"/>
  <c r="H307" i="154"/>
  <c r="K307" i="154"/>
  <c r="L307" i="154"/>
  <c r="M307" i="154"/>
  <c r="N307" i="154"/>
  <c r="A308" i="154"/>
  <c r="H308" i="154"/>
  <c r="K308" i="154"/>
  <c r="L308" i="154"/>
  <c r="M308" i="154"/>
  <c r="N308" i="154"/>
  <c r="A304" i="154"/>
  <c r="A305" i="158"/>
  <c r="H305" i="158"/>
  <c r="K305" i="158"/>
  <c r="L305" i="158"/>
  <c r="M305" i="158"/>
  <c r="N305" i="158"/>
  <c r="A306" i="158"/>
  <c r="H306" i="158"/>
  <c r="K306" i="158"/>
  <c r="L306" i="158"/>
  <c r="M306" i="158"/>
  <c r="N306" i="158"/>
  <c r="A307" i="158"/>
  <c r="H307" i="158"/>
  <c r="K307" i="158"/>
  <c r="L307" i="158"/>
  <c r="M307" i="158"/>
  <c r="N307" i="158"/>
  <c r="A308" i="158"/>
  <c r="H308" i="158"/>
  <c r="K308" i="158"/>
  <c r="L308" i="158"/>
  <c r="M308" i="158"/>
  <c r="N308" i="158"/>
  <c r="A309" i="158"/>
  <c r="H309" i="158"/>
  <c r="K309" i="158"/>
  <c r="L309" i="158"/>
  <c r="M309" i="158"/>
  <c r="N309" i="158"/>
  <c r="B30" i="157"/>
  <c r="P6" i="159"/>
  <c r="N6" i="159"/>
  <c r="M6" i="159"/>
  <c r="L6" i="159"/>
  <c r="K6" i="159"/>
  <c r="J6" i="159"/>
  <c r="H6" i="159"/>
  <c r="F6" i="159"/>
  <c r="C6" i="159"/>
  <c r="P5" i="159"/>
  <c r="N5" i="159"/>
  <c r="M5" i="159"/>
  <c r="L5" i="159"/>
  <c r="K5" i="159"/>
  <c r="J5" i="159"/>
  <c r="H5" i="159"/>
  <c r="F5" i="159"/>
  <c r="C5" i="159"/>
  <c r="P4" i="159"/>
  <c r="N4" i="159"/>
  <c r="M4" i="159"/>
  <c r="L4" i="159"/>
  <c r="K4" i="159"/>
  <c r="J4" i="159"/>
  <c r="H4" i="159"/>
  <c r="F4" i="159"/>
  <c r="C4" i="159"/>
  <c r="P3" i="159"/>
  <c r="N3" i="159"/>
  <c r="M3" i="159"/>
  <c r="L3" i="159"/>
  <c r="K3" i="159"/>
  <c r="J3" i="159"/>
  <c r="H3" i="159"/>
  <c r="F3" i="159"/>
  <c r="C3" i="159"/>
  <c r="P2" i="159"/>
  <c r="N2" i="159"/>
  <c r="M2" i="159"/>
  <c r="L2" i="159"/>
  <c r="K2" i="159"/>
  <c r="J2" i="159"/>
  <c r="H2" i="159"/>
  <c r="F2" i="159"/>
  <c r="C2" i="159"/>
  <c r="A300" i="154"/>
  <c r="H300" i="154"/>
  <c r="K300" i="154"/>
  <c r="L300" i="154"/>
  <c r="M300" i="154"/>
  <c r="N300" i="154"/>
  <c r="A301" i="154"/>
  <c r="H301" i="154"/>
  <c r="K301" i="154"/>
  <c r="L301" i="154"/>
  <c r="M301" i="154"/>
  <c r="N301" i="154"/>
  <c r="A302" i="154"/>
  <c r="H302" i="154"/>
  <c r="K302" i="154"/>
  <c r="L302" i="154"/>
  <c r="M302" i="154"/>
  <c r="N302" i="154"/>
  <c r="A303" i="154"/>
  <c r="H303" i="154"/>
  <c r="K303" i="154"/>
  <c r="L303" i="154"/>
  <c r="M303" i="154"/>
  <c r="N303" i="154"/>
  <c r="H304" i="154"/>
  <c r="K304" i="154"/>
  <c r="L304" i="154"/>
  <c r="M304" i="154"/>
  <c r="N304" i="154"/>
  <c r="A300" i="158"/>
  <c r="H300" i="158"/>
  <c r="K300" i="158"/>
  <c r="L300" i="158"/>
  <c r="M300" i="158"/>
  <c r="N300" i="158"/>
  <c r="A301" i="158"/>
  <c r="H301" i="158"/>
  <c r="K301" i="158"/>
  <c r="L301" i="158"/>
  <c r="M301" i="158"/>
  <c r="N301" i="158"/>
  <c r="A302" i="158"/>
  <c r="H302" i="158"/>
  <c r="K302" i="158"/>
  <c r="L302" i="158"/>
  <c r="M302" i="158"/>
  <c r="N302" i="158"/>
  <c r="A303" i="158"/>
  <c r="H303" i="158"/>
  <c r="K303" i="158"/>
  <c r="L303" i="158"/>
  <c r="M303" i="158"/>
  <c r="N303" i="158"/>
  <c r="A304" i="158"/>
  <c r="H304" i="158"/>
  <c r="K304" i="158"/>
  <c r="L304" i="158"/>
  <c r="M304" i="158"/>
  <c r="N304" i="158"/>
  <c r="A295" i="154"/>
  <c r="H295" i="154"/>
  <c r="K295" i="154"/>
  <c r="L295" i="154"/>
  <c r="M295" i="154"/>
  <c r="N295" i="154"/>
  <c r="A296" i="154"/>
  <c r="H296" i="154"/>
  <c r="K296" i="154"/>
  <c r="L296" i="154"/>
  <c r="M296" i="154"/>
  <c r="N296" i="154"/>
  <c r="A297" i="154"/>
  <c r="H297" i="154"/>
  <c r="K297" i="154"/>
  <c r="L297" i="154"/>
  <c r="M297" i="154"/>
  <c r="N297" i="154"/>
  <c r="A298" i="154"/>
  <c r="H298" i="154"/>
  <c r="K298" i="154"/>
  <c r="L298" i="154"/>
  <c r="M298" i="154"/>
  <c r="N298" i="154"/>
  <c r="A299" i="154"/>
  <c r="H299" i="154"/>
  <c r="K299" i="154"/>
  <c r="L299" i="154"/>
  <c r="M299" i="154"/>
  <c r="N299" i="154"/>
  <c r="A295" i="158"/>
  <c r="H295" i="158"/>
  <c r="K295" i="158"/>
  <c r="L295" i="158"/>
  <c r="M295" i="158"/>
  <c r="N295" i="158"/>
  <c r="A296" i="158"/>
  <c r="H296" i="158"/>
  <c r="K296" i="158"/>
  <c r="L296" i="158"/>
  <c r="M296" i="158"/>
  <c r="N296" i="158"/>
  <c r="A297" i="158"/>
  <c r="H297" i="158"/>
  <c r="K297" i="158"/>
  <c r="L297" i="158"/>
  <c r="M297" i="158"/>
  <c r="N297" i="158"/>
  <c r="A298" i="158"/>
  <c r="H298" i="158"/>
  <c r="K298" i="158"/>
  <c r="L298" i="158"/>
  <c r="M298" i="158"/>
  <c r="N298" i="158"/>
  <c r="A299" i="158"/>
  <c r="H299" i="158"/>
  <c r="K299" i="158"/>
  <c r="L299" i="158"/>
  <c r="M299" i="158"/>
  <c r="N299" i="158"/>
  <c r="R9" i="153"/>
  <c r="R10" i="153"/>
  <c r="R9" i="157"/>
  <c r="R10" i="157"/>
  <c r="H290" i="158"/>
  <c r="K290" i="158"/>
  <c r="L290" i="158"/>
  <c r="M290" i="158"/>
  <c r="N290" i="158"/>
  <c r="B10" i="157"/>
  <c r="H291" i="158"/>
  <c r="K291" i="158"/>
  <c r="L291" i="158"/>
  <c r="M291" i="158"/>
  <c r="N291" i="158"/>
  <c r="H292" i="158"/>
  <c r="K292" i="158"/>
  <c r="L292" i="158"/>
  <c r="M292" i="158"/>
  <c r="N292" i="158"/>
  <c r="H293" i="158"/>
  <c r="K293" i="158"/>
  <c r="L293" i="158"/>
  <c r="M293" i="158"/>
  <c r="N293" i="158"/>
  <c r="H294" i="158"/>
  <c r="K294" i="158"/>
  <c r="L294" i="158"/>
  <c r="M294" i="158"/>
  <c r="N294" i="158"/>
  <c r="A290" i="158"/>
  <c r="A291" i="158"/>
  <c r="A292" i="158"/>
  <c r="A293" i="158"/>
  <c r="A294" i="158"/>
  <c r="A290" i="154"/>
  <c r="H290" i="154"/>
  <c r="K290" i="154"/>
  <c r="L290" i="154"/>
  <c r="M290" i="154"/>
  <c r="N290" i="154"/>
  <c r="B10" i="153"/>
  <c r="A291" i="154"/>
  <c r="H291" i="154"/>
  <c r="K291" i="154"/>
  <c r="L291" i="154"/>
  <c r="M291" i="154"/>
  <c r="N291" i="154"/>
  <c r="A292" i="154"/>
  <c r="H292" i="154"/>
  <c r="K292" i="154"/>
  <c r="L292" i="154"/>
  <c r="M292" i="154"/>
  <c r="N292" i="154"/>
  <c r="A293" i="154"/>
  <c r="H293" i="154"/>
  <c r="K293" i="154"/>
  <c r="L293" i="154"/>
  <c r="M293" i="154"/>
  <c r="N293" i="154"/>
  <c r="A294" i="154"/>
  <c r="H294" i="154"/>
  <c r="K294" i="154"/>
  <c r="L294" i="154"/>
  <c r="M294" i="154"/>
  <c r="N294" i="154"/>
  <c r="H287" i="154"/>
  <c r="K287" i="154"/>
  <c r="L287" i="154"/>
  <c r="M287" i="154"/>
  <c r="N287" i="154"/>
  <c r="H288" i="154"/>
  <c r="K288" i="154"/>
  <c r="L288" i="154"/>
  <c r="M288" i="154"/>
  <c r="N288" i="154"/>
  <c r="H289" i="154"/>
  <c r="K289" i="154"/>
  <c r="L289" i="154"/>
  <c r="M289" i="154"/>
  <c r="N289" i="154"/>
  <c r="A287" i="154"/>
  <c r="A288" i="154"/>
  <c r="A289" i="154"/>
  <c r="A285" i="158"/>
  <c r="H285" i="158"/>
  <c r="K285" i="158"/>
  <c r="L285" i="158"/>
  <c r="M285" i="158"/>
  <c r="N285" i="158"/>
  <c r="A286" i="158"/>
  <c r="H286" i="158"/>
  <c r="K286" i="158"/>
  <c r="L286" i="158"/>
  <c r="M286" i="158"/>
  <c r="N286" i="158"/>
  <c r="A287" i="158"/>
  <c r="H287" i="158"/>
  <c r="K287" i="158"/>
  <c r="L287" i="158"/>
  <c r="M287" i="158"/>
  <c r="N287" i="158"/>
  <c r="A288" i="158"/>
  <c r="H288" i="158"/>
  <c r="K288" i="158"/>
  <c r="L288" i="158"/>
  <c r="M288" i="158"/>
  <c r="N288" i="158"/>
  <c r="A289" i="158"/>
  <c r="H289" i="158"/>
  <c r="K289" i="158"/>
  <c r="L289" i="158"/>
  <c r="M289" i="158"/>
  <c r="N289" i="158"/>
  <c r="E31" i="157"/>
  <c r="G31" i="157"/>
  <c r="H31" i="157"/>
  <c r="E30" i="157"/>
  <c r="G30" i="157"/>
  <c r="H30" i="157"/>
  <c r="N284" i="158"/>
  <c r="M284" i="158"/>
  <c r="L284" i="158"/>
  <c r="K284" i="158"/>
  <c r="H284" i="158"/>
  <c r="A284" i="158"/>
  <c r="N283" i="158"/>
  <c r="M283" i="158"/>
  <c r="L283" i="158"/>
  <c r="K283" i="158"/>
  <c r="H283" i="158"/>
  <c r="A283" i="158"/>
  <c r="N282" i="158"/>
  <c r="M282" i="158"/>
  <c r="L282" i="158"/>
  <c r="K282" i="158"/>
  <c r="H282" i="158"/>
  <c r="A282" i="158"/>
  <c r="N281" i="158"/>
  <c r="M281" i="158"/>
  <c r="L281" i="158"/>
  <c r="K281" i="158"/>
  <c r="H281" i="158"/>
  <c r="A281" i="158"/>
  <c r="N280" i="158"/>
  <c r="M280" i="158"/>
  <c r="L280" i="158"/>
  <c r="K280" i="158"/>
  <c r="H280" i="158"/>
  <c r="A280" i="158"/>
  <c r="N279" i="158"/>
  <c r="M279" i="158"/>
  <c r="L279" i="158"/>
  <c r="K279" i="158"/>
  <c r="H279" i="158"/>
  <c r="A279" i="158"/>
  <c r="N278" i="158"/>
  <c r="M278" i="158"/>
  <c r="L278" i="158"/>
  <c r="K278" i="158"/>
  <c r="H278" i="158"/>
  <c r="A278" i="158"/>
  <c r="N277" i="158"/>
  <c r="M277" i="158"/>
  <c r="L277" i="158"/>
  <c r="K277" i="158"/>
  <c r="H277" i="158"/>
  <c r="A277" i="158"/>
  <c r="N276" i="158"/>
  <c r="M276" i="158"/>
  <c r="L276" i="158"/>
  <c r="K276" i="158"/>
  <c r="H276" i="158"/>
  <c r="A276" i="158"/>
  <c r="N275" i="158"/>
  <c r="M275" i="158"/>
  <c r="L275" i="158"/>
  <c r="K275" i="158"/>
  <c r="H275" i="158"/>
  <c r="A275" i="158"/>
  <c r="N274" i="158"/>
  <c r="M274" i="158"/>
  <c r="L274" i="158"/>
  <c r="K274" i="158"/>
  <c r="H274" i="158"/>
  <c r="A274" i="158"/>
  <c r="N273" i="158"/>
  <c r="M273" i="158"/>
  <c r="L273" i="158"/>
  <c r="K273" i="158"/>
  <c r="H273" i="158"/>
  <c r="A273" i="158"/>
  <c r="N272" i="158"/>
  <c r="M272" i="158"/>
  <c r="L272" i="158"/>
  <c r="K272" i="158"/>
  <c r="H272" i="158"/>
  <c r="A272" i="158"/>
  <c r="N271" i="158"/>
  <c r="M271" i="158"/>
  <c r="L271" i="158"/>
  <c r="K271" i="158"/>
  <c r="H271" i="158"/>
  <c r="A271" i="158"/>
  <c r="N270" i="158"/>
  <c r="M270" i="158"/>
  <c r="L270" i="158"/>
  <c r="K270" i="158"/>
  <c r="H270" i="158"/>
  <c r="A270" i="158"/>
  <c r="N269" i="158"/>
  <c r="M269" i="158"/>
  <c r="L269" i="158"/>
  <c r="K269" i="158"/>
  <c r="H269" i="158"/>
  <c r="A269" i="158"/>
  <c r="N268" i="158"/>
  <c r="M268" i="158"/>
  <c r="L268" i="158"/>
  <c r="K268" i="158"/>
  <c r="H268" i="158"/>
  <c r="A268" i="158"/>
  <c r="N267" i="158"/>
  <c r="M267" i="158"/>
  <c r="L267" i="158"/>
  <c r="K267" i="158"/>
  <c r="H267" i="158"/>
  <c r="A267" i="158"/>
  <c r="N266" i="158"/>
  <c r="M266" i="158"/>
  <c r="L266" i="158"/>
  <c r="K266" i="158"/>
  <c r="H266" i="158"/>
  <c r="A266" i="158"/>
  <c r="N265" i="158"/>
  <c r="M265" i="158"/>
  <c r="L265" i="158"/>
  <c r="K265" i="158"/>
  <c r="H265" i="158"/>
  <c r="A265" i="158"/>
  <c r="N264" i="158"/>
  <c r="M264" i="158"/>
  <c r="L264" i="158"/>
  <c r="K264" i="158"/>
  <c r="H264" i="158"/>
  <c r="A264" i="158"/>
  <c r="N263" i="158"/>
  <c r="M263" i="158"/>
  <c r="L263" i="158"/>
  <c r="K263" i="158"/>
  <c r="H263" i="158"/>
  <c r="A263" i="158"/>
  <c r="N262" i="158"/>
  <c r="M262" i="158"/>
  <c r="L262" i="158"/>
  <c r="K262" i="158"/>
  <c r="H262" i="158"/>
  <c r="A262" i="158"/>
  <c r="N261" i="158"/>
  <c r="M261" i="158"/>
  <c r="L261" i="158"/>
  <c r="K261" i="158"/>
  <c r="H261" i="158"/>
  <c r="A261" i="158"/>
  <c r="N260" i="158"/>
  <c r="M260" i="158"/>
  <c r="L260" i="158"/>
  <c r="K260" i="158"/>
  <c r="H260" i="158"/>
  <c r="A260" i="158"/>
  <c r="N259" i="158"/>
  <c r="M259" i="158"/>
  <c r="L259" i="158"/>
  <c r="K259" i="158"/>
  <c r="H259" i="158"/>
  <c r="A259" i="158"/>
  <c r="N258" i="158"/>
  <c r="M258" i="158"/>
  <c r="L258" i="158"/>
  <c r="K258" i="158"/>
  <c r="H258" i="158"/>
  <c r="A258" i="158"/>
  <c r="N257" i="158"/>
  <c r="M257" i="158"/>
  <c r="L257" i="158"/>
  <c r="K257" i="158"/>
  <c r="H257" i="158"/>
  <c r="A257" i="158"/>
  <c r="N256" i="158"/>
  <c r="M256" i="158"/>
  <c r="L256" i="158"/>
  <c r="K256" i="158"/>
  <c r="H256" i="158"/>
  <c r="A256" i="158"/>
  <c r="N255" i="158"/>
  <c r="M255" i="158"/>
  <c r="L255" i="158"/>
  <c r="K255" i="158"/>
  <c r="H255" i="158"/>
  <c r="A255" i="158"/>
  <c r="N254" i="158"/>
  <c r="M254" i="158"/>
  <c r="L254" i="158"/>
  <c r="K254" i="158"/>
  <c r="H254" i="158"/>
  <c r="A254" i="158"/>
  <c r="N253" i="158"/>
  <c r="M253" i="158"/>
  <c r="L253" i="158"/>
  <c r="K253" i="158"/>
  <c r="H253" i="158"/>
  <c r="A253" i="158"/>
  <c r="N252" i="158"/>
  <c r="M252" i="158"/>
  <c r="L252" i="158"/>
  <c r="K252" i="158"/>
  <c r="H252" i="158"/>
  <c r="A252" i="158"/>
  <c r="N251" i="158"/>
  <c r="M251" i="158"/>
  <c r="L251" i="158"/>
  <c r="K251" i="158"/>
  <c r="H251" i="158"/>
  <c r="A251" i="158"/>
  <c r="N250" i="158"/>
  <c r="M250" i="158"/>
  <c r="L250" i="158"/>
  <c r="K250" i="158"/>
  <c r="H250" i="158"/>
  <c r="A250" i="158"/>
  <c r="N249" i="158"/>
  <c r="M249" i="158"/>
  <c r="L249" i="158"/>
  <c r="K249" i="158"/>
  <c r="H249" i="158"/>
  <c r="A249" i="158"/>
  <c r="N248" i="158"/>
  <c r="M248" i="158"/>
  <c r="L248" i="158"/>
  <c r="K248" i="158"/>
  <c r="H248" i="158"/>
  <c r="A248" i="158"/>
  <c r="N247" i="158"/>
  <c r="M247" i="158"/>
  <c r="L247" i="158"/>
  <c r="K247" i="158"/>
  <c r="H247" i="158"/>
  <c r="A247" i="158"/>
  <c r="N246" i="158"/>
  <c r="M246" i="158"/>
  <c r="L246" i="158"/>
  <c r="K246" i="158"/>
  <c r="H246" i="158"/>
  <c r="A246" i="158"/>
  <c r="N245" i="158"/>
  <c r="M245" i="158"/>
  <c r="L245" i="158"/>
  <c r="K245" i="158"/>
  <c r="H245" i="158"/>
  <c r="A245" i="158"/>
  <c r="N244" i="158"/>
  <c r="M244" i="158"/>
  <c r="L244" i="158"/>
  <c r="K244" i="158"/>
  <c r="H244" i="158"/>
  <c r="A244" i="158"/>
  <c r="N243" i="158"/>
  <c r="M243" i="158"/>
  <c r="L243" i="158"/>
  <c r="K243" i="158"/>
  <c r="H243" i="158"/>
  <c r="A243" i="158"/>
  <c r="N242" i="158"/>
  <c r="M242" i="158"/>
  <c r="L242" i="158"/>
  <c r="K242" i="158"/>
  <c r="H242" i="158"/>
  <c r="A242" i="158"/>
  <c r="N241" i="158"/>
  <c r="M241" i="158"/>
  <c r="L241" i="158"/>
  <c r="K241" i="158"/>
  <c r="H241" i="158"/>
  <c r="A241" i="158"/>
  <c r="N240" i="158"/>
  <c r="M240" i="158"/>
  <c r="L240" i="158"/>
  <c r="K240" i="158"/>
  <c r="H240" i="158"/>
  <c r="A240" i="158"/>
  <c r="N239" i="158"/>
  <c r="M239" i="158"/>
  <c r="L239" i="158"/>
  <c r="K239" i="158"/>
  <c r="H239" i="158"/>
  <c r="A239" i="158"/>
  <c r="N238" i="158"/>
  <c r="M238" i="158"/>
  <c r="L238" i="158"/>
  <c r="K238" i="158"/>
  <c r="H238" i="158"/>
  <c r="A238" i="158"/>
  <c r="N237" i="158"/>
  <c r="M237" i="158"/>
  <c r="L237" i="158"/>
  <c r="K237" i="158"/>
  <c r="H237" i="158"/>
  <c r="A237" i="158"/>
  <c r="N236" i="158"/>
  <c r="M236" i="158"/>
  <c r="L236" i="158"/>
  <c r="K236" i="158"/>
  <c r="H236" i="158"/>
  <c r="A236" i="158"/>
  <c r="N235" i="158"/>
  <c r="M235" i="158"/>
  <c r="L235" i="158"/>
  <c r="K235" i="158"/>
  <c r="H235" i="158"/>
  <c r="A235" i="158"/>
  <c r="N234" i="158"/>
  <c r="M234" i="158"/>
  <c r="L234" i="158"/>
  <c r="K234" i="158"/>
  <c r="H234" i="158"/>
  <c r="A234" i="158"/>
  <c r="N233" i="158"/>
  <c r="M233" i="158"/>
  <c r="L233" i="158"/>
  <c r="K233" i="158"/>
  <c r="H233" i="158"/>
  <c r="A233" i="158"/>
  <c r="N232" i="158"/>
  <c r="M232" i="158"/>
  <c r="L232" i="158"/>
  <c r="K232" i="158"/>
  <c r="H232" i="158"/>
  <c r="A232" i="158"/>
  <c r="N231" i="158"/>
  <c r="M231" i="158"/>
  <c r="L231" i="158"/>
  <c r="K231" i="158"/>
  <c r="H231" i="158"/>
  <c r="A231" i="158"/>
  <c r="N230" i="158"/>
  <c r="M230" i="158"/>
  <c r="L230" i="158"/>
  <c r="K230" i="158"/>
  <c r="H230" i="158"/>
  <c r="A230" i="158"/>
  <c r="N229" i="158"/>
  <c r="M229" i="158"/>
  <c r="L229" i="158"/>
  <c r="K229" i="158"/>
  <c r="H229" i="158"/>
  <c r="A229" i="158"/>
  <c r="N228" i="158"/>
  <c r="M228" i="158"/>
  <c r="L228" i="158"/>
  <c r="K228" i="158"/>
  <c r="H228" i="158"/>
  <c r="A228" i="158"/>
  <c r="N227" i="158"/>
  <c r="M227" i="158"/>
  <c r="L227" i="158"/>
  <c r="K227" i="158"/>
  <c r="H227" i="158"/>
  <c r="A227" i="158"/>
  <c r="N226" i="158"/>
  <c r="M226" i="158"/>
  <c r="L226" i="158"/>
  <c r="K226" i="158"/>
  <c r="H226" i="158"/>
  <c r="A226" i="158"/>
  <c r="N225" i="158"/>
  <c r="M225" i="158"/>
  <c r="L225" i="158"/>
  <c r="K225" i="158"/>
  <c r="H225" i="158"/>
  <c r="A225" i="158"/>
  <c r="N224" i="158"/>
  <c r="M224" i="158"/>
  <c r="L224" i="158"/>
  <c r="K224" i="158"/>
  <c r="H224" i="158"/>
  <c r="A224" i="158"/>
  <c r="N223" i="158"/>
  <c r="M223" i="158"/>
  <c r="L223" i="158"/>
  <c r="K223" i="158"/>
  <c r="H223" i="158"/>
  <c r="A223" i="158"/>
  <c r="N222" i="158"/>
  <c r="M222" i="158"/>
  <c r="L222" i="158"/>
  <c r="K222" i="158"/>
  <c r="H222" i="158"/>
  <c r="A222" i="158"/>
  <c r="N221" i="158"/>
  <c r="M221" i="158"/>
  <c r="L221" i="158"/>
  <c r="K221" i="158"/>
  <c r="H221" i="158"/>
  <c r="A221" i="158"/>
  <c r="N220" i="158"/>
  <c r="M220" i="158"/>
  <c r="L220" i="158"/>
  <c r="K220" i="158"/>
  <c r="H220" i="158"/>
  <c r="A220" i="158"/>
  <c r="N219" i="158"/>
  <c r="M219" i="158"/>
  <c r="L219" i="158"/>
  <c r="K219" i="158"/>
  <c r="H219" i="158"/>
  <c r="A219" i="158"/>
  <c r="N218" i="158"/>
  <c r="M218" i="158"/>
  <c r="L218" i="158"/>
  <c r="K218" i="158"/>
  <c r="H218" i="158"/>
  <c r="A218" i="158"/>
  <c r="N217" i="158"/>
  <c r="M217" i="158"/>
  <c r="L217" i="158"/>
  <c r="K217" i="158"/>
  <c r="H217" i="158"/>
  <c r="A217" i="158"/>
  <c r="N216" i="158"/>
  <c r="M216" i="158"/>
  <c r="L216" i="158"/>
  <c r="K216" i="158"/>
  <c r="H216" i="158"/>
  <c r="A216" i="158"/>
  <c r="N215" i="158"/>
  <c r="M215" i="158"/>
  <c r="L215" i="158"/>
  <c r="K215" i="158"/>
  <c r="H215" i="158"/>
  <c r="A215" i="158"/>
  <c r="N214" i="158"/>
  <c r="M214" i="158"/>
  <c r="L214" i="158"/>
  <c r="K214" i="158"/>
  <c r="H214" i="158"/>
  <c r="A214" i="158"/>
  <c r="N213" i="158"/>
  <c r="M213" i="158"/>
  <c r="L213" i="158"/>
  <c r="K213" i="158"/>
  <c r="H213" i="158"/>
  <c r="A213" i="158"/>
  <c r="N212" i="158"/>
  <c r="M212" i="158"/>
  <c r="L212" i="158"/>
  <c r="K212" i="158"/>
  <c r="H212" i="158"/>
  <c r="A212" i="158"/>
  <c r="N211" i="158"/>
  <c r="M211" i="158"/>
  <c r="L211" i="158"/>
  <c r="K211" i="158"/>
  <c r="H211" i="158"/>
  <c r="A211" i="158"/>
  <c r="N210" i="158"/>
  <c r="M210" i="158"/>
  <c r="L210" i="158"/>
  <c r="K210" i="158"/>
  <c r="H210" i="158"/>
  <c r="A210" i="158"/>
  <c r="N209" i="158"/>
  <c r="M209" i="158"/>
  <c r="L209" i="158"/>
  <c r="K209" i="158"/>
  <c r="H209" i="158"/>
  <c r="A209" i="158"/>
  <c r="N208" i="158"/>
  <c r="M208" i="158"/>
  <c r="L208" i="158"/>
  <c r="K208" i="158"/>
  <c r="H208" i="158"/>
  <c r="A208" i="158"/>
  <c r="N207" i="158"/>
  <c r="M207" i="158"/>
  <c r="L207" i="158"/>
  <c r="K207" i="158"/>
  <c r="H207" i="158"/>
  <c r="A207" i="158"/>
  <c r="N206" i="158"/>
  <c r="M206" i="158"/>
  <c r="L206" i="158"/>
  <c r="K206" i="158"/>
  <c r="H206" i="158"/>
  <c r="A206" i="158"/>
  <c r="N205" i="158"/>
  <c r="M205" i="158"/>
  <c r="L205" i="158"/>
  <c r="K205" i="158"/>
  <c r="H205" i="158"/>
  <c r="A205" i="158"/>
  <c r="N204" i="158"/>
  <c r="M204" i="158"/>
  <c r="L204" i="158"/>
  <c r="K204" i="158"/>
  <c r="H204" i="158"/>
  <c r="A204" i="158"/>
  <c r="N203" i="158"/>
  <c r="M203" i="158"/>
  <c r="L203" i="158"/>
  <c r="K203" i="158"/>
  <c r="H203" i="158"/>
  <c r="A203" i="158"/>
  <c r="N202" i="158"/>
  <c r="M202" i="158"/>
  <c r="L202" i="158"/>
  <c r="K202" i="158"/>
  <c r="H202" i="158"/>
  <c r="A202" i="158"/>
  <c r="N201" i="158"/>
  <c r="M201" i="158"/>
  <c r="L201" i="158"/>
  <c r="K201" i="158"/>
  <c r="H201" i="158"/>
  <c r="A201" i="158"/>
  <c r="N200" i="158"/>
  <c r="M200" i="158"/>
  <c r="L200" i="158"/>
  <c r="K200" i="158"/>
  <c r="H200" i="158"/>
  <c r="A200" i="158"/>
  <c r="N199" i="158"/>
  <c r="M199" i="158"/>
  <c r="L199" i="158"/>
  <c r="K199" i="158"/>
  <c r="H199" i="158"/>
  <c r="A199" i="158"/>
  <c r="N198" i="158"/>
  <c r="M198" i="158"/>
  <c r="L198" i="158"/>
  <c r="K198" i="158"/>
  <c r="H198" i="158"/>
  <c r="A198" i="158"/>
  <c r="N197" i="158"/>
  <c r="M197" i="158"/>
  <c r="L197" i="158"/>
  <c r="K197" i="158"/>
  <c r="H197" i="158"/>
  <c r="A197" i="158"/>
  <c r="N196" i="158"/>
  <c r="M196" i="158"/>
  <c r="L196" i="158"/>
  <c r="K196" i="158"/>
  <c r="H196" i="158"/>
  <c r="A196" i="158"/>
  <c r="N195" i="158"/>
  <c r="M195" i="158"/>
  <c r="L195" i="158"/>
  <c r="K195" i="158"/>
  <c r="H195" i="158"/>
  <c r="A195" i="158"/>
  <c r="N194" i="158"/>
  <c r="M194" i="158"/>
  <c r="L194" i="158"/>
  <c r="K194" i="158"/>
  <c r="H194" i="158"/>
  <c r="A194" i="158"/>
  <c r="N193" i="158"/>
  <c r="M193" i="158"/>
  <c r="L193" i="158"/>
  <c r="K193" i="158"/>
  <c r="H193" i="158"/>
  <c r="A193" i="158"/>
  <c r="N192" i="158"/>
  <c r="M192" i="158"/>
  <c r="L192" i="158"/>
  <c r="K192" i="158"/>
  <c r="H192" i="158"/>
  <c r="A192" i="158"/>
  <c r="N191" i="158"/>
  <c r="M191" i="158"/>
  <c r="L191" i="158"/>
  <c r="K191" i="158"/>
  <c r="H191" i="158"/>
  <c r="A191" i="158"/>
  <c r="N190" i="158"/>
  <c r="M190" i="158"/>
  <c r="L190" i="158"/>
  <c r="K190" i="158"/>
  <c r="H190" i="158"/>
  <c r="A190" i="158"/>
  <c r="N189" i="158"/>
  <c r="M189" i="158"/>
  <c r="L189" i="158"/>
  <c r="K189" i="158"/>
  <c r="H189" i="158"/>
  <c r="A189" i="158"/>
  <c r="N188" i="158"/>
  <c r="M188" i="158"/>
  <c r="L188" i="158"/>
  <c r="K188" i="158"/>
  <c r="H188" i="158"/>
  <c r="A188" i="158"/>
  <c r="N187" i="158"/>
  <c r="M187" i="158"/>
  <c r="L187" i="158"/>
  <c r="K187" i="158"/>
  <c r="H187" i="158"/>
  <c r="A187" i="158"/>
  <c r="N186" i="158"/>
  <c r="M186" i="158"/>
  <c r="L186" i="158"/>
  <c r="K186" i="158"/>
  <c r="H186" i="158"/>
  <c r="A186" i="158"/>
  <c r="N185" i="158"/>
  <c r="M185" i="158"/>
  <c r="L185" i="158"/>
  <c r="K185" i="158"/>
  <c r="H185" i="158"/>
  <c r="A185" i="158"/>
  <c r="N184" i="158"/>
  <c r="M184" i="158"/>
  <c r="L184" i="158"/>
  <c r="K184" i="158"/>
  <c r="H184" i="158"/>
  <c r="A184" i="158"/>
  <c r="N183" i="158"/>
  <c r="M183" i="158"/>
  <c r="L183" i="158"/>
  <c r="K183" i="158"/>
  <c r="H183" i="158"/>
  <c r="A183" i="158"/>
  <c r="N182" i="158"/>
  <c r="M182" i="158"/>
  <c r="L182" i="158"/>
  <c r="K182" i="158"/>
  <c r="H182" i="158"/>
  <c r="A182" i="158"/>
  <c r="N181" i="158"/>
  <c r="M181" i="158"/>
  <c r="L181" i="158"/>
  <c r="K181" i="158"/>
  <c r="H181" i="158"/>
  <c r="A181" i="158"/>
  <c r="N180" i="158"/>
  <c r="M180" i="158"/>
  <c r="L180" i="158"/>
  <c r="K180" i="158"/>
  <c r="H180" i="158"/>
  <c r="A180" i="158"/>
  <c r="N179" i="158"/>
  <c r="M179" i="158"/>
  <c r="L179" i="158"/>
  <c r="K179" i="158"/>
  <c r="H179" i="158"/>
  <c r="A179" i="158"/>
  <c r="N178" i="158"/>
  <c r="M178" i="158"/>
  <c r="L178" i="158"/>
  <c r="K178" i="158"/>
  <c r="H178" i="158"/>
  <c r="A178" i="158"/>
  <c r="N177" i="158"/>
  <c r="M177" i="158"/>
  <c r="L177" i="158"/>
  <c r="K177" i="158"/>
  <c r="H177" i="158"/>
  <c r="A177" i="158"/>
  <c r="N176" i="158"/>
  <c r="M176" i="158"/>
  <c r="L176" i="158"/>
  <c r="K176" i="158"/>
  <c r="H176" i="158"/>
  <c r="A176" i="158"/>
  <c r="N175" i="158"/>
  <c r="M175" i="158"/>
  <c r="L175" i="158"/>
  <c r="K175" i="158"/>
  <c r="H175" i="158"/>
  <c r="A175" i="158"/>
  <c r="N174" i="158"/>
  <c r="M174" i="158"/>
  <c r="L174" i="158"/>
  <c r="K174" i="158"/>
  <c r="H174" i="158"/>
  <c r="A174" i="158"/>
  <c r="N173" i="158"/>
  <c r="M173" i="158"/>
  <c r="L173" i="158"/>
  <c r="K173" i="158"/>
  <c r="H173" i="158"/>
  <c r="A173" i="158"/>
  <c r="N172" i="158"/>
  <c r="M172" i="158"/>
  <c r="L172" i="158"/>
  <c r="K172" i="158"/>
  <c r="H172" i="158"/>
  <c r="A172" i="158"/>
  <c r="N171" i="158"/>
  <c r="M171" i="158"/>
  <c r="L171" i="158"/>
  <c r="K171" i="158"/>
  <c r="H171" i="158"/>
  <c r="A171" i="158"/>
  <c r="N170" i="158"/>
  <c r="M170" i="158"/>
  <c r="L170" i="158"/>
  <c r="K170" i="158"/>
  <c r="H170" i="158"/>
  <c r="A170" i="158"/>
  <c r="N169" i="158"/>
  <c r="M169" i="158"/>
  <c r="L169" i="158"/>
  <c r="K169" i="158"/>
  <c r="H169" i="158"/>
  <c r="A169" i="158"/>
  <c r="N168" i="158"/>
  <c r="M168" i="158"/>
  <c r="L168" i="158"/>
  <c r="K168" i="158"/>
  <c r="H168" i="158"/>
  <c r="A168" i="158"/>
  <c r="N167" i="158"/>
  <c r="M167" i="158"/>
  <c r="L167" i="158"/>
  <c r="K167" i="158"/>
  <c r="H167" i="158"/>
  <c r="A167" i="158"/>
  <c r="N166" i="158"/>
  <c r="M166" i="158"/>
  <c r="L166" i="158"/>
  <c r="K166" i="158"/>
  <c r="H166" i="158"/>
  <c r="A166" i="158"/>
  <c r="N165" i="158"/>
  <c r="M165" i="158"/>
  <c r="L165" i="158"/>
  <c r="K165" i="158"/>
  <c r="H165" i="158"/>
  <c r="A165" i="158"/>
  <c r="N164" i="158"/>
  <c r="M164" i="158"/>
  <c r="L164" i="158"/>
  <c r="K164" i="158"/>
  <c r="H164" i="158"/>
  <c r="A164" i="158"/>
  <c r="N163" i="158"/>
  <c r="M163" i="158"/>
  <c r="L163" i="158"/>
  <c r="K163" i="158"/>
  <c r="H163" i="158"/>
  <c r="A163" i="158"/>
  <c r="N162" i="158"/>
  <c r="M162" i="158"/>
  <c r="L162" i="158"/>
  <c r="K162" i="158"/>
  <c r="H162" i="158"/>
  <c r="A162" i="158"/>
  <c r="N161" i="158"/>
  <c r="M161" i="158"/>
  <c r="L161" i="158"/>
  <c r="K161" i="158"/>
  <c r="H161" i="158"/>
  <c r="A161" i="158"/>
  <c r="N160" i="158"/>
  <c r="M160" i="158"/>
  <c r="L160" i="158"/>
  <c r="K160" i="158"/>
  <c r="H160" i="158"/>
  <c r="A160" i="158"/>
  <c r="N159" i="158"/>
  <c r="M159" i="158"/>
  <c r="L159" i="158"/>
  <c r="K159" i="158"/>
  <c r="H159" i="158"/>
  <c r="A159" i="158"/>
  <c r="N158" i="158"/>
  <c r="M158" i="158"/>
  <c r="L158" i="158"/>
  <c r="K158" i="158"/>
  <c r="H158" i="158"/>
  <c r="A158" i="158"/>
  <c r="N157" i="158"/>
  <c r="M157" i="158"/>
  <c r="L157" i="158"/>
  <c r="K157" i="158"/>
  <c r="H157" i="158"/>
  <c r="A157" i="158"/>
  <c r="N156" i="158"/>
  <c r="M156" i="158"/>
  <c r="L156" i="158"/>
  <c r="K156" i="158"/>
  <c r="H156" i="158"/>
  <c r="A156" i="158"/>
  <c r="N155" i="158"/>
  <c r="M155" i="158"/>
  <c r="L155" i="158"/>
  <c r="K155" i="158"/>
  <c r="H155" i="158"/>
  <c r="A155" i="158"/>
  <c r="N154" i="158"/>
  <c r="M154" i="158"/>
  <c r="L154" i="158"/>
  <c r="K154" i="158"/>
  <c r="H154" i="158"/>
  <c r="A154" i="158"/>
  <c r="N153" i="158"/>
  <c r="M153" i="158"/>
  <c r="L153" i="158"/>
  <c r="K153" i="158"/>
  <c r="H153" i="158"/>
  <c r="A153" i="158"/>
  <c r="N152" i="158"/>
  <c r="M152" i="158"/>
  <c r="L152" i="158"/>
  <c r="K152" i="158"/>
  <c r="H152" i="158"/>
  <c r="A152" i="158"/>
  <c r="N151" i="158"/>
  <c r="M151" i="158"/>
  <c r="L151" i="158"/>
  <c r="K151" i="158"/>
  <c r="H151" i="158"/>
  <c r="A151" i="158"/>
  <c r="N150" i="158"/>
  <c r="M150" i="158"/>
  <c r="L150" i="158"/>
  <c r="K150" i="158"/>
  <c r="H150" i="158"/>
  <c r="A150" i="158"/>
  <c r="N149" i="158"/>
  <c r="M149" i="158"/>
  <c r="L149" i="158"/>
  <c r="K149" i="158"/>
  <c r="H149" i="158"/>
  <c r="A149" i="158"/>
  <c r="N148" i="158"/>
  <c r="M148" i="158"/>
  <c r="L148" i="158"/>
  <c r="K148" i="158"/>
  <c r="H148" i="158"/>
  <c r="A148" i="158"/>
  <c r="N147" i="158"/>
  <c r="M147" i="158"/>
  <c r="L147" i="158"/>
  <c r="K147" i="158"/>
  <c r="H147" i="158"/>
  <c r="A147" i="158"/>
  <c r="N146" i="158"/>
  <c r="M146" i="158"/>
  <c r="L146" i="158"/>
  <c r="K146" i="158"/>
  <c r="H146" i="158"/>
  <c r="A146" i="158"/>
  <c r="N145" i="158"/>
  <c r="M145" i="158"/>
  <c r="L145" i="158"/>
  <c r="K145" i="158"/>
  <c r="H145" i="158"/>
  <c r="A145" i="158"/>
  <c r="N144" i="158"/>
  <c r="M144" i="158"/>
  <c r="L144" i="158"/>
  <c r="K144" i="158"/>
  <c r="H144" i="158"/>
  <c r="A144" i="158"/>
  <c r="N143" i="158"/>
  <c r="M143" i="158"/>
  <c r="L143" i="158"/>
  <c r="K143" i="158"/>
  <c r="H143" i="158"/>
  <c r="A143" i="158"/>
  <c r="N142" i="158"/>
  <c r="M142" i="158"/>
  <c r="L142" i="158"/>
  <c r="K142" i="158"/>
  <c r="H142" i="158"/>
  <c r="A142" i="158"/>
  <c r="N141" i="158"/>
  <c r="M141" i="158"/>
  <c r="L141" i="158"/>
  <c r="K141" i="158"/>
  <c r="H141" i="158"/>
  <c r="A141" i="158"/>
  <c r="N140" i="158"/>
  <c r="M140" i="158"/>
  <c r="L140" i="158"/>
  <c r="K140" i="158"/>
  <c r="H140" i="158"/>
  <c r="A140" i="158"/>
  <c r="N139" i="158"/>
  <c r="M139" i="158"/>
  <c r="L139" i="158"/>
  <c r="K139" i="158"/>
  <c r="H139" i="158"/>
  <c r="A139" i="158"/>
  <c r="N138" i="158"/>
  <c r="M138" i="158"/>
  <c r="L138" i="158"/>
  <c r="K138" i="158"/>
  <c r="H138" i="158"/>
  <c r="A138" i="158"/>
  <c r="N137" i="158"/>
  <c r="M137" i="158"/>
  <c r="L137" i="158"/>
  <c r="K137" i="158"/>
  <c r="H137" i="158"/>
  <c r="A137" i="158"/>
  <c r="N136" i="158"/>
  <c r="M136" i="158"/>
  <c r="L136" i="158"/>
  <c r="K136" i="158"/>
  <c r="H136" i="158"/>
  <c r="A136" i="158"/>
  <c r="N135" i="158"/>
  <c r="M135" i="158"/>
  <c r="L135" i="158"/>
  <c r="K135" i="158"/>
  <c r="H135" i="158"/>
  <c r="A135" i="158"/>
  <c r="N134" i="158"/>
  <c r="M134" i="158"/>
  <c r="L134" i="158"/>
  <c r="K134" i="158"/>
  <c r="H134" i="158"/>
  <c r="A134" i="158"/>
  <c r="N133" i="158"/>
  <c r="M133" i="158"/>
  <c r="L133" i="158"/>
  <c r="K133" i="158"/>
  <c r="H133" i="158"/>
  <c r="A133" i="158"/>
  <c r="N132" i="158"/>
  <c r="M132" i="158"/>
  <c r="L132" i="158"/>
  <c r="K132" i="158"/>
  <c r="H132" i="158"/>
  <c r="A132" i="158"/>
  <c r="N131" i="158"/>
  <c r="M131" i="158"/>
  <c r="L131" i="158"/>
  <c r="K131" i="158"/>
  <c r="H131" i="158"/>
  <c r="A131" i="158"/>
  <c r="N130" i="158"/>
  <c r="M130" i="158"/>
  <c r="L130" i="158"/>
  <c r="K130" i="158"/>
  <c r="H130" i="158"/>
  <c r="A130" i="158"/>
  <c r="N129" i="158"/>
  <c r="M129" i="158"/>
  <c r="L129" i="158"/>
  <c r="K129" i="158"/>
  <c r="H129" i="158"/>
  <c r="A129" i="158"/>
  <c r="N128" i="158"/>
  <c r="M128" i="158"/>
  <c r="L128" i="158"/>
  <c r="K128" i="158"/>
  <c r="H128" i="158"/>
  <c r="A128" i="158"/>
  <c r="N127" i="158"/>
  <c r="M127" i="158"/>
  <c r="L127" i="158"/>
  <c r="K127" i="158"/>
  <c r="H127" i="158"/>
  <c r="A127" i="158"/>
  <c r="N126" i="158"/>
  <c r="M126" i="158"/>
  <c r="L126" i="158"/>
  <c r="K126" i="158"/>
  <c r="H126" i="158"/>
  <c r="A126" i="158"/>
  <c r="N125" i="158"/>
  <c r="M125" i="158"/>
  <c r="L125" i="158"/>
  <c r="K125" i="158"/>
  <c r="H125" i="158"/>
  <c r="A125" i="158"/>
  <c r="N124" i="158"/>
  <c r="M124" i="158"/>
  <c r="L124" i="158"/>
  <c r="K124" i="158"/>
  <c r="H124" i="158"/>
  <c r="A124" i="158"/>
  <c r="N123" i="158"/>
  <c r="M123" i="158"/>
  <c r="L123" i="158"/>
  <c r="K123" i="158"/>
  <c r="H123" i="158"/>
  <c r="A123" i="158"/>
  <c r="N122" i="158"/>
  <c r="M122" i="158"/>
  <c r="L122" i="158"/>
  <c r="K122" i="158"/>
  <c r="H122" i="158"/>
  <c r="A122" i="158"/>
  <c r="N121" i="158"/>
  <c r="M121" i="158"/>
  <c r="L121" i="158"/>
  <c r="K121" i="158"/>
  <c r="H121" i="158"/>
  <c r="A121" i="158"/>
  <c r="N120" i="158"/>
  <c r="M120" i="158"/>
  <c r="L120" i="158"/>
  <c r="K120" i="158"/>
  <c r="H120" i="158"/>
  <c r="A120" i="158"/>
  <c r="N119" i="158"/>
  <c r="M119" i="158"/>
  <c r="L119" i="158"/>
  <c r="K119" i="158"/>
  <c r="H119" i="158"/>
  <c r="A119" i="158"/>
  <c r="N118" i="158"/>
  <c r="M118" i="158"/>
  <c r="L118" i="158"/>
  <c r="K118" i="158"/>
  <c r="H118" i="158"/>
  <c r="A118" i="158"/>
  <c r="N117" i="158"/>
  <c r="M117" i="158"/>
  <c r="L117" i="158"/>
  <c r="K117" i="158"/>
  <c r="H117" i="158"/>
  <c r="A117" i="158"/>
  <c r="N116" i="158"/>
  <c r="M116" i="158"/>
  <c r="L116" i="158"/>
  <c r="K116" i="158"/>
  <c r="H116" i="158"/>
  <c r="A116" i="158"/>
  <c r="N115" i="158"/>
  <c r="M115" i="158"/>
  <c r="L115" i="158"/>
  <c r="K115" i="158"/>
  <c r="H115" i="158"/>
  <c r="A115" i="158"/>
  <c r="N114" i="158"/>
  <c r="M114" i="158"/>
  <c r="L114" i="158"/>
  <c r="K114" i="158"/>
  <c r="H114" i="158"/>
  <c r="A114" i="158"/>
  <c r="N113" i="158"/>
  <c r="M113" i="158"/>
  <c r="L113" i="158"/>
  <c r="K113" i="158"/>
  <c r="H113" i="158"/>
  <c r="A113" i="158"/>
  <c r="N112" i="158"/>
  <c r="M112" i="158"/>
  <c r="L112" i="158"/>
  <c r="K112" i="158"/>
  <c r="H112" i="158"/>
  <c r="A112" i="158"/>
  <c r="N111" i="158"/>
  <c r="M111" i="158"/>
  <c r="L111" i="158"/>
  <c r="K111" i="158"/>
  <c r="H111" i="158"/>
  <c r="A111" i="158"/>
  <c r="N110" i="158"/>
  <c r="M110" i="158"/>
  <c r="L110" i="158"/>
  <c r="K110" i="158"/>
  <c r="H110" i="158"/>
  <c r="A110" i="158"/>
  <c r="N109" i="158"/>
  <c r="M109" i="158"/>
  <c r="L109" i="158"/>
  <c r="K109" i="158"/>
  <c r="H109" i="158"/>
  <c r="A109" i="158"/>
  <c r="N108" i="158"/>
  <c r="M108" i="158"/>
  <c r="L108" i="158"/>
  <c r="K108" i="158"/>
  <c r="H108" i="158"/>
  <c r="A108" i="158"/>
  <c r="N107" i="158"/>
  <c r="M107" i="158"/>
  <c r="L107" i="158"/>
  <c r="K107" i="158"/>
  <c r="H107" i="158"/>
  <c r="A107" i="158"/>
  <c r="N106" i="158"/>
  <c r="M106" i="158"/>
  <c r="L106" i="158"/>
  <c r="K106" i="158"/>
  <c r="H106" i="158"/>
  <c r="A106" i="158"/>
  <c r="N105" i="158"/>
  <c r="M105" i="158"/>
  <c r="L105" i="158"/>
  <c r="K105" i="158"/>
  <c r="H105" i="158"/>
  <c r="A105" i="158"/>
  <c r="N104" i="158"/>
  <c r="M104" i="158"/>
  <c r="L104" i="158"/>
  <c r="K104" i="158"/>
  <c r="H104" i="158"/>
  <c r="A104" i="158"/>
  <c r="N103" i="158"/>
  <c r="M103" i="158"/>
  <c r="L103" i="158"/>
  <c r="K103" i="158"/>
  <c r="H103" i="158"/>
  <c r="A103" i="158"/>
  <c r="N102" i="158"/>
  <c r="M102" i="158"/>
  <c r="L102" i="158"/>
  <c r="K102" i="158"/>
  <c r="H102" i="158"/>
  <c r="A102" i="158"/>
  <c r="N101" i="158"/>
  <c r="M101" i="158"/>
  <c r="L101" i="158"/>
  <c r="K101" i="158"/>
  <c r="H101" i="158"/>
  <c r="A101" i="158"/>
  <c r="N100" i="158"/>
  <c r="M100" i="158"/>
  <c r="L100" i="158"/>
  <c r="K100" i="158"/>
  <c r="H100" i="158"/>
  <c r="A100" i="158"/>
  <c r="N99" i="158"/>
  <c r="M99" i="158"/>
  <c r="L99" i="158"/>
  <c r="K99" i="158"/>
  <c r="H99" i="158"/>
  <c r="A99" i="158"/>
  <c r="N98" i="158"/>
  <c r="M98" i="158"/>
  <c r="L98" i="158"/>
  <c r="K98" i="158"/>
  <c r="H98" i="158"/>
  <c r="A98" i="158"/>
  <c r="N97" i="158"/>
  <c r="M97" i="158"/>
  <c r="L97" i="158"/>
  <c r="K97" i="158"/>
  <c r="H97" i="158"/>
  <c r="A97" i="158"/>
  <c r="N96" i="158"/>
  <c r="M96" i="158"/>
  <c r="L96" i="158"/>
  <c r="K96" i="158"/>
  <c r="H96" i="158"/>
  <c r="A96" i="158"/>
  <c r="N95" i="158"/>
  <c r="M95" i="158"/>
  <c r="L95" i="158"/>
  <c r="K95" i="158"/>
  <c r="H95" i="158"/>
  <c r="A95" i="158"/>
  <c r="N94" i="158"/>
  <c r="M94" i="158"/>
  <c r="L94" i="158"/>
  <c r="K94" i="158"/>
  <c r="H94" i="158"/>
  <c r="A94" i="158"/>
  <c r="N93" i="158"/>
  <c r="M93" i="158"/>
  <c r="L93" i="158"/>
  <c r="K93" i="158"/>
  <c r="H93" i="158"/>
  <c r="A93" i="158"/>
  <c r="N92" i="158"/>
  <c r="M92" i="158"/>
  <c r="L92" i="158"/>
  <c r="K92" i="158"/>
  <c r="H92" i="158"/>
  <c r="A92" i="158"/>
  <c r="N91" i="158"/>
  <c r="M91" i="158"/>
  <c r="L91" i="158"/>
  <c r="K91" i="158"/>
  <c r="H91" i="158"/>
  <c r="A91" i="158"/>
  <c r="N90" i="158"/>
  <c r="M90" i="158"/>
  <c r="L90" i="158"/>
  <c r="K90" i="158"/>
  <c r="H90" i="158"/>
  <c r="A90" i="158"/>
  <c r="N89" i="158"/>
  <c r="M89" i="158"/>
  <c r="L89" i="158"/>
  <c r="K89" i="158"/>
  <c r="H89" i="158"/>
  <c r="A89" i="158"/>
  <c r="N88" i="158"/>
  <c r="M88" i="158"/>
  <c r="L88" i="158"/>
  <c r="K88" i="158"/>
  <c r="H88" i="158"/>
  <c r="A88" i="158"/>
  <c r="N87" i="158"/>
  <c r="M87" i="158"/>
  <c r="L87" i="158"/>
  <c r="K87" i="158"/>
  <c r="H87" i="158"/>
  <c r="A87" i="158"/>
  <c r="N86" i="158"/>
  <c r="M86" i="158"/>
  <c r="L86" i="158"/>
  <c r="K86" i="158"/>
  <c r="H86" i="158"/>
  <c r="A86" i="158"/>
  <c r="N85" i="158"/>
  <c r="M85" i="158"/>
  <c r="L85" i="158"/>
  <c r="K85" i="158"/>
  <c r="H85" i="158"/>
  <c r="A85" i="158"/>
  <c r="N84" i="158"/>
  <c r="M84" i="158"/>
  <c r="L84" i="158"/>
  <c r="K84" i="158"/>
  <c r="H84" i="158"/>
  <c r="A84" i="158"/>
  <c r="N83" i="158"/>
  <c r="M83" i="158"/>
  <c r="L83" i="158"/>
  <c r="K83" i="158"/>
  <c r="H83" i="158"/>
  <c r="A83" i="158"/>
  <c r="N82" i="158"/>
  <c r="M82" i="158"/>
  <c r="L82" i="158"/>
  <c r="K82" i="158"/>
  <c r="H82" i="158"/>
  <c r="A82" i="158"/>
  <c r="N81" i="158"/>
  <c r="M81" i="158"/>
  <c r="L81" i="158"/>
  <c r="K81" i="158"/>
  <c r="H81" i="158"/>
  <c r="A81" i="158"/>
  <c r="N80" i="158"/>
  <c r="M80" i="158"/>
  <c r="L80" i="158"/>
  <c r="K80" i="158"/>
  <c r="H80" i="158"/>
  <c r="A80" i="158"/>
  <c r="N79" i="158"/>
  <c r="M79" i="158"/>
  <c r="L79" i="158"/>
  <c r="K79" i="158"/>
  <c r="H79" i="158"/>
  <c r="A79" i="158"/>
  <c r="N78" i="158"/>
  <c r="M78" i="158"/>
  <c r="L78" i="158"/>
  <c r="K78" i="158"/>
  <c r="H78" i="158"/>
  <c r="A78" i="158"/>
  <c r="N77" i="158"/>
  <c r="M77" i="158"/>
  <c r="L77" i="158"/>
  <c r="K77" i="158"/>
  <c r="H77" i="158"/>
  <c r="A77" i="158"/>
  <c r="N76" i="158"/>
  <c r="M76" i="158"/>
  <c r="L76" i="158"/>
  <c r="K76" i="158"/>
  <c r="H76" i="158"/>
  <c r="A76" i="158"/>
  <c r="N75" i="158"/>
  <c r="M75" i="158"/>
  <c r="L75" i="158"/>
  <c r="K75" i="158"/>
  <c r="H75" i="158"/>
  <c r="A75" i="158"/>
  <c r="N74" i="158"/>
  <c r="M74" i="158"/>
  <c r="L74" i="158"/>
  <c r="K74" i="158"/>
  <c r="H74" i="158"/>
  <c r="A74" i="158"/>
  <c r="N73" i="158"/>
  <c r="M73" i="158"/>
  <c r="L73" i="158"/>
  <c r="K73" i="158"/>
  <c r="H73" i="158"/>
  <c r="A73" i="158"/>
  <c r="N72" i="158"/>
  <c r="M72" i="158"/>
  <c r="L72" i="158"/>
  <c r="K72" i="158"/>
  <c r="H72" i="158"/>
  <c r="A72" i="158"/>
  <c r="N71" i="158"/>
  <c r="M71" i="158"/>
  <c r="L71" i="158"/>
  <c r="K71" i="158"/>
  <c r="H71" i="158"/>
  <c r="A71" i="158"/>
  <c r="N70" i="158"/>
  <c r="M70" i="158"/>
  <c r="L70" i="158"/>
  <c r="K70" i="158"/>
  <c r="H70" i="158"/>
  <c r="A70" i="158"/>
  <c r="N69" i="158"/>
  <c r="M69" i="158"/>
  <c r="L69" i="158"/>
  <c r="K69" i="158"/>
  <c r="H69" i="158"/>
  <c r="A69" i="158"/>
  <c r="N68" i="158"/>
  <c r="M68" i="158"/>
  <c r="L68" i="158"/>
  <c r="K68" i="158"/>
  <c r="H68" i="158"/>
  <c r="A68" i="158"/>
  <c r="N67" i="158"/>
  <c r="M67" i="158"/>
  <c r="L67" i="158"/>
  <c r="K67" i="158"/>
  <c r="H67" i="158"/>
  <c r="A67" i="158"/>
  <c r="N66" i="158"/>
  <c r="M66" i="158"/>
  <c r="L66" i="158"/>
  <c r="K66" i="158"/>
  <c r="H66" i="158"/>
  <c r="A66" i="158"/>
  <c r="N65" i="158"/>
  <c r="M65" i="158"/>
  <c r="L65" i="158"/>
  <c r="K65" i="158"/>
  <c r="H65" i="158"/>
  <c r="A65" i="158"/>
  <c r="N64" i="158"/>
  <c r="M64" i="158"/>
  <c r="L64" i="158"/>
  <c r="K64" i="158"/>
  <c r="H64" i="158"/>
  <c r="A64" i="158"/>
  <c r="N63" i="158"/>
  <c r="M63" i="158"/>
  <c r="L63" i="158"/>
  <c r="K63" i="158"/>
  <c r="H63" i="158"/>
  <c r="A63" i="158"/>
  <c r="N62" i="158"/>
  <c r="M62" i="158"/>
  <c r="L62" i="158"/>
  <c r="K62" i="158"/>
  <c r="H62" i="158"/>
  <c r="A62" i="158"/>
  <c r="N61" i="158"/>
  <c r="M61" i="158"/>
  <c r="L61" i="158"/>
  <c r="K61" i="158"/>
  <c r="H61" i="158"/>
  <c r="A61" i="158"/>
  <c r="N60" i="158"/>
  <c r="M60" i="158"/>
  <c r="L60" i="158"/>
  <c r="K60" i="158"/>
  <c r="H60" i="158"/>
  <c r="A60" i="158"/>
  <c r="N59" i="158"/>
  <c r="M59" i="158"/>
  <c r="L59" i="158"/>
  <c r="K59" i="158"/>
  <c r="H59" i="158"/>
  <c r="A59" i="158"/>
  <c r="N58" i="158"/>
  <c r="M58" i="158"/>
  <c r="L58" i="158"/>
  <c r="K58" i="158"/>
  <c r="H58" i="158"/>
  <c r="A58" i="158"/>
  <c r="N57" i="158"/>
  <c r="M57" i="158"/>
  <c r="L57" i="158"/>
  <c r="K57" i="158"/>
  <c r="H57" i="158"/>
  <c r="A57" i="158"/>
  <c r="N56" i="158"/>
  <c r="M56" i="158"/>
  <c r="L56" i="158"/>
  <c r="K56" i="158"/>
  <c r="H56" i="158"/>
  <c r="A56" i="158"/>
  <c r="N55" i="158"/>
  <c r="M55" i="158"/>
  <c r="L55" i="158"/>
  <c r="K55" i="158"/>
  <c r="H55" i="158"/>
  <c r="A55" i="158"/>
  <c r="N54" i="158"/>
  <c r="M54" i="158"/>
  <c r="L54" i="158"/>
  <c r="K54" i="158"/>
  <c r="H54" i="158"/>
  <c r="A54" i="158"/>
  <c r="N53" i="158"/>
  <c r="M53" i="158"/>
  <c r="L53" i="158"/>
  <c r="K53" i="158"/>
  <c r="H53" i="158"/>
  <c r="A53" i="158"/>
  <c r="N52" i="158"/>
  <c r="M52" i="158"/>
  <c r="L52" i="158"/>
  <c r="K52" i="158"/>
  <c r="H52" i="158"/>
  <c r="A52" i="158"/>
  <c r="N51" i="158"/>
  <c r="M51" i="158"/>
  <c r="L51" i="158"/>
  <c r="K51" i="158"/>
  <c r="H51" i="158"/>
  <c r="A51" i="158"/>
  <c r="N50" i="158"/>
  <c r="M50" i="158"/>
  <c r="L50" i="158"/>
  <c r="K50" i="158"/>
  <c r="H50" i="158"/>
  <c r="A50" i="158"/>
  <c r="N49" i="158"/>
  <c r="M49" i="158"/>
  <c r="L49" i="158"/>
  <c r="K49" i="158"/>
  <c r="H49" i="158"/>
  <c r="A49" i="158"/>
  <c r="N48" i="158"/>
  <c r="M48" i="158"/>
  <c r="L48" i="158"/>
  <c r="K48" i="158"/>
  <c r="H48" i="158"/>
  <c r="A48" i="158"/>
  <c r="N47" i="158"/>
  <c r="M47" i="158"/>
  <c r="L47" i="158"/>
  <c r="K47" i="158"/>
  <c r="H47" i="158"/>
  <c r="A47" i="158"/>
  <c r="N46" i="158"/>
  <c r="M46" i="158"/>
  <c r="L46" i="158"/>
  <c r="K46" i="158"/>
  <c r="H46" i="158"/>
  <c r="A46" i="158"/>
  <c r="N45" i="158"/>
  <c r="M45" i="158"/>
  <c r="L45" i="158"/>
  <c r="K45" i="158"/>
  <c r="H45" i="158"/>
  <c r="A45" i="158"/>
  <c r="N44" i="158"/>
  <c r="M44" i="158"/>
  <c r="L44" i="158"/>
  <c r="K44" i="158"/>
  <c r="H44" i="158"/>
  <c r="A44" i="158"/>
  <c r="N43" i="158"/>
  <c r="M43" i="158"/>
  <c r="L43" i="158"/>
  <c r="K43" i="158"/>
  <c r="H43" i="158"/>
  <c r="A43" i="158"/>
  <c r="N42" i="158"/>
  <c r="M42" i="158"/>
  <c r="L42" i="158"/>
  <c r="K42" i="158"/>
  <c r="H42" i="158"/>
  <c r="A42" i="158"/>
  <c r="N41" i="158"/>
  <c r="M41" i="158"/>
  <c r="L41" i="158"/>
  <c r="K41" i="158"/>
  <c r="H41" i="158"/>
  <c r="A41" i="158"/>
  <c r="N40" i="158"/>
  <c r="M40" i="158"/>
  <c r="L40" i="158"/>
  <c r="K40" i="158"/>
  <c r="H40" i="158"/>
  <c r="A40" i="158"/>
  <c r="N39" i="158"/>
  <c r="M39" i="158"/>
  <c r="L39" i="158"/>
  <c r="K39" i="158"/>
  <c r="H39" i="158"/>
  <c r="A39" i="158"/>
  <c r="N38" i="158"/>
  <c r="M38" i="158"/>
  <c r="L38" i="158"/>
  <c r="K38" i="158"/>
  <c r="H38" i="158"/>
  <c r="A38" i="158"/>
  <c r="N37" i="158"/>
  <c r="M37" i="158"/>
  <c r="L37" i="158"/>
  <c r="K37" i="158"/>
  <c r="H37" i="158"/>
  <c r="A37" i="158"/>
  <c r="N36" i="158"/>
  <c r="M36" i="158"/>
  <c r="L36" i="158"/>
  <c r="K36" i="158"/>
  <c r="H36" i="158"/>
  <c r="A36" i="158"/>
  <c r="N35" i="158"/>
  <c r="M35" i="158"/>
  <c r="L35" i="158"/>
  <c r="K35" i="158"/>
  <c r="H35" i="158"/>
  <c r="A35" i="158"/>
  <c r="N34" i="158"/>
  <c r="M34" i="158"/>
  <c r="L34" i="158"/>
  <c r="K34" i="158"/>
  <c r="H34" i="158"/>
  <c r="A34" i="158"/>
  <c r="N33" i="158"/>
  <c r="M33" i="158"/>
  <c r="L33" i="158"/>
  <c r="K33" i="158"/>
  <c r="H33" i="158"/>
  <c r="A33" i="158"/>
  <c r="N32" i="158"/>
  <c r="M32" i="158"/>
  <c r="L32" i="158"/>
  <c r="K32" i="158"/>
  <c r="H32" i="158"/>
  <c r="A32" i="158"/>
  <c r="N31" i="158"/>
  <c r="M31" i="158"/>
  <c r="L31" i="158"/>
  <c r="K31" i="158"/>
  <c r="H31" i="158"/>
  <c r="A31" i="158"/>
  <c r="N30" i="158"/>
  <c r="M30" i="158"/>
  <c r="L30" i="158"/>
  <c r="K30" i="158"/>
  <c r="H30" i="158"/>
  <c r="A30" i="158"/>
  <c r="N29" i="158"/>
  <c r="M29" i="158"/>
  <c r="L29" i="158"/>
  <c r="K29" i="158"/>
  <c r="H29" i="158"/>
  <c r="A29" i="158"/>
  <c r="N28" i="158"/>
  <c r="M28" i="158"/>
  <c r="L28" i="158"/>
  <c r="K28" i="158"/>
  <c r="H28" i="158"/>
  <c r="A28" i="158"/>
  <c r="N27" i="158"/>
  <c r="M27" i="158"/>
  <c r="L27" i="158"/>
  <c r="K27" i="158"/>
  <c r="H27" i="158"/>
  <c r="A27" i="158"/>
  <c r="N26" i="158"/>
  <c r="M26" i="158"/>
  <c r="L26" i="158"/>
  <c r="K26" i="158"/>
  <c r="H26" i="158"/>
  <c r="A26" i="158"/>
  <c r="N25" i="158"/>
  <c r="M25" i="158"/>
  <c r="L25" i="158"/>
  <c r="K25" i="158"/>
  <c r="H25" i="158"/>
  <c r="A25" i="158"/>
  <c r="N24" i="158"/>
  <c r="M24" i="158"/>
  <c r="L24" i="158"/>
  <c r="K24" i="158"/>
  <c r="H24" i="158"/>
  <c r="A24" i="158"/>
  <c r="N23" i="158"/>
  <c r="M23" i="158"/>
  <c r="L23" i="158"/>
  <c r="K23" i="158"/>
  <c r="H23" i="158"/>
  <c r="A23" i="158"/>
  <c r="N22" i="158"/>
  <c r="M22" i="158"/>
  <c r="L22" i="158"/>
  <c r="K22" i="158"/>
  <c r="H22" i="158"/>
  <c r="A22" i="158"/>
  <c r="N21" i="158"/>
  <c r="M21" i="158"/>
  <c r="L21" i="158"/>
  <c r="K21" i="158"/>
  <c r="H21" i="158"/>
  <c r="A21" i="158"/>
  <c r="N20" i="158"/>
  <c r="M20" i="158"/>
  <c r="L20" i="158"/>
  <c r="K20" i="158"/>
  <c r="H20" i="158"/>
  <c r="A20" i="158"/>
  <c r="N19" i="158"/>
  <c r="M19" i="158"/>
  <c r="L19" i="158"/>
  <c r="K19" i="158"/>
  <c r="H19" i="158"/>
  <c r="A19" i="158"/>
  <c r="N18" i="158"/>
  <c r="M18" i="158"/>
  <c r="L18" i="158"/>
  <c r="K18" i="158"/>
  <c r="H18" i="158"/>
  <c r="A18" i="158"/>
  <c r="N17" i="158"/>
  <c r="M17" i="158"/>
  <c r="L17" i="158"/>
  <c r="K17" i="158"/>
  <c r="H17" i="158"/>
  <c r="A17" i="158"/>
  <c r="N16" i="158"/>
  <c r="M16" i="158"/>
  <c r="L16" i="158"/>
  <c r="K16" i="158"/>
  <c r="H16" i="158"/>
  <c r="A16" i="158"/>
  <c r="N15" i="158"/>
  <c r="M15" i="158"/>
  <c r="L15" i="158"/>
  <c r="K15" i="158"/>
  <c r="H15" i="158"/>
  <c r="A15" i="158"/>
  <c r="N14" i="158"/>
  <c r="M14" i="158"/>
  <c r="L14" i="158"/>
  <c r="K14" i="158"/>
  <c r="H14" i="158"/>
  <c r="A14" i="158"/>
  <c r="N13" i="158"/>
  <c r="M13" i="158"/>
  <c r="L13" i="158"/>
  <c r="K13" i="158"/>
  <c r="H13" i="158"/>
  <c r="A13" i="158"/>
  <c r="N12" i="158"/>
  <c r="M12" i="158"/>
  <c r="L12" i="158"/>
  <c r="K12" i="158"/>
  <c r="H12" i="158"/>
  <c r="A12" i="158"/>
  <c r="N11" i="158"/>
  <c r="M11" i="158"/>
  <c r="L11" i="158"/>
  <c r="K11" i="158"/>
  <c r="H11" i="158"/>
  <c r="A11" i="158"/>
  <c r="N10" i="158"/>
  <c r="M10" i="158"/>
  <c r="L10" i="158"/>
  <c r="K10" i="158"/>
  <c r="H10" i="158"/>
  <c r="A10" i="158"/>
  <c r="N9" i="158"/>
  <c r="M9" i="158"/>
  <c r="L9" i="158"/>
  <c r="K9" i="158"/>
  <c r="H9" i="158"/>
  <c r="A9" i="158"/>
  <c r="N8" i="158"/>
  <c r="M8" i="158"/>
  <c r="L8" i="158"/>
  <c r="K8" i="158"/>
  <c r="H8" i="158"/>
  <c r="A8" i="158"/>
  <c r="N7" i="158"/>
  <c r="M7" i="158"/>
  <c r="L7" i="158"/>
  <c r="K7" i="158"/>
  <c r="H7" i="158"/>
  <c r="A7" i="158"/>
  <c r="N6" i="158"/>
  <c r="M6" i="158"/>
  <c r="L6" i="158"/>
  <c r="K6" i="158"/>
  <c r="H6" i="158"/>
  <c r="A6" i="158"/>
  <c r="N5" i="158"/>
  <c r="M5" i="158"/>
  <c r="L5" i="158"/>
  <c r="K5" i="158"/>
  <c r="H5" i="158"/>
  <c r="A5" i="158"/>
  <c r="N4" i="158"/>
  <c r="M4" i="158"/>
  <c r="L4" i="158"/>
  <c r="K4" i="158"/>
  <c r="H4" i="158"/>
  <c r="A4" i="158"/>
  <c r="N3" i="158"/>
  <c r="M3" i="158"/>
  <c r="L3" i="158"/>
  <c r="K3" i="158"/>
  <c r="H3" i="158"/>
  <c r="A3" i="158"/>
  <c r="N2" i="158"/>
  <c r="M2" i="158"/>
  <c r="L2" i="158"/>
  <c r="K2" i="158"/>
  <c r="H2" i="158"/>
  <c r="A2" i="158"/>
  <c r="F47" i="157"/>
  <c r="B40" i="157"/>
  <c r="B41" i="157"/>
  <c r="B42" i="157"/>
  <c r="B43" i="157"/>
  <c r="B44" i="157"/>
  <c r="B45" i="157"/>
  <c r="B46" i="157"/>
  <c r="B47" i="157"/>
  <c r="C40" i="157"/>
  <c r="C41" i="157"/>
  <c r="C42" i="157"/>
  <c r="C43" i="157"/>
  <c r="C44" i="157"/>
  <c r="C45" i="157"/>
  <c r="C46" i="157"/>
  <c r="C47" i="157"/>
  <c r="F46" i="157"/>
  <c r="F45" i="157"/>
  <c r="F40" i="157"/>
  <c r="G40" i="157"/>
  <c r="B32" i="157"/>
  <c r="D32" i="157"/>
  <c r="I31" i="157"/>
  <c r="J31" i="157"/>
  <c r="F31" i="157"/>
  <c r="D31" i="157"/>
  <c r="I30" i="157"/>
  <c r="J30" i="157"/>
  <c r="F30" i="157"/>
  <c r="D30" i="157"/>
  <c r="I29" i="157"/>
  <c r="J29" i="157"/>
  <c r="F29" i="157"/>
  <c r="D29" i="157"/>
  <c r="I28" i="157"/>
  <c r="J28" i="157"/>
  <c r="F28" i="157"/>
  <c r="D28" i="157"/>
  <c r="I27" i="157"/>
  <c r="J27" i="157"/>
  <c r="F27" i="157"/>
  <c r="D27" i="157"/>
  <c r="I26" i="157"/>
  <c r="J26" i="157"/>
  <c r="F26" i="157"/>
  <c r="D26" i="157"/>
  <c r="I25" i="157"/>
  <c r="J25" i="157"/>
  <c r="F25" i="157"/>
  <c r="D25" i="157"/>
  <c r="I24" i="157"/>
  <c r="J24" i="157"/>
  <c r="F24" i="157"/>
  <c r="D24" i="157"/>
  <c r="I23" i="157"/>
  <c r="J23" i="157"/>
  <c r="F23" i="157"/>
  <c r="D23" i="157"/>
  <c r="I22" i="157"/>
  <c r="J22" i="157"/>
  <c r="F22" i="157"/>
  <c r="D22" i="157"/>
  <c r="I21" i="157"/>
  <c r="J21" i="157"/>
  <c r="F21" i="157"/>
  <c r="D21" i="157"/>
  <c r="R20" i="157"/>
  <c r="P20" i="157"/>
  <c r="O20" i="157"/>
  <c r="M20" i="157"/>
  <c r="I20" i="157"/>
  <c r="J20" i="157"/>
  <c r="F20" i="157"/>
  <c r="D20" i="157"/>
  <c r="R19" i="157"/>
  <c r="P19" i="157"/>
  <c r="O19" i="157"/>
  <c r="M19" i="157"/>
  <c r="I19" i="157"/>
  <c r="J19" i="157"/>
  <c r="F19" i="157"/>
  <c r="D19" i="157"/>
  <c r="R18" i="157"/>
  <c r="P18" i="157"/>
  <c r="O18" i="157"/>
  <c r="M18" i="157"/>
  <c r="I18" i="157"/>
  <c r="J18" i="157"/>
  <c r="F18" i="157"/>
  <c r="C18" i="157"/>
  <c r="D18" i="157"/>
  <c r="R17" i="157"/>
  <c r="P17" i="157"/>
  <c r="O17" i="157"/>
  <c r="M17" i="157"/>
  <c r="I17" i="157"/>
  <c r="J17" i="157"/>
  <c r="F17" i="157"/>
  <c r="C17" i="157"/>
  <c r="D17" i="157"/>
  <c r="V16" i="157"/>
  <c r="R16" i="157"/>
  <c r="P16" i="157"/>
  <c r="O16" i="157"/>
  <c r="M16" i="157"/>
  <c r="V15" i="157"/>
  <c r="R15" i="157"/>
  <c r="P15" i="157"/>
  <c r="O15" i="157"/>
  <c r="M15" i="157"/>
  <c r="V14" i="157"/>
  <c r="R14" i="157"/>
  <c r="P14" i="157"/>
  <c r="O14" i="157"/>
  <c r="M14" i="157"/>
  <c r="V13" i="157"/>
  <c r="R13" i="157"/>
  <c r="P13" i="157"/>
  <c r="O13" i="157"/>
  <c r="M13" i="157"/>
  <c r="V12" i="157"/>
  <c r="R12" i="157"/>
  <c r="P12" i="157"/>
  <c r="O12" i="157"/>
  <c r="M12" i="157"/>
  <c r="V11" i="157"/>
  <c r="R11" i="157"/>
  <c r="P11" i="157"/>
  <c r="O11" i="157"/>
  <c r="M11" i="157"/>
  <c r="V10" i="157"/>
  <c r="P10" i="157"/>
  <c r="O10" i="157"/>
  <c r="M10" i="157"/>
  <c r="V9" i="157"/>
  <c r="P9" i="157"/>
  <c r="O9" i="157"/>
  <c r="M9" i="157"/>
  <c r="V8" i="157"/>
  <c r="P8" i="157"/>
  <c r="O8" i="157"/>
  <c r="M8" i="157"/>
  <c r="V7" i="157"/>
  <c r="P7" i="157"/>
  <c r="O7" i="157"/>
  <c r="M7" i="157"/>
  <c r="V6" i="157"/>
  <c r="P6" i="157"/>
  <c r="O6" i="157"/>
  <c r="M6" i="157"/>
  <c r="V5" i="157"/>
  <c r="P5" i="157"/>
  <c r="O5" i="157"/>
  <c r="M5" i="157"/>
  <c r="V4" i="157"/>
  <c r="P4" i="157"/>
  <c r="O4" i="157"/>
  <c r="M4" i="157"/>
  <c r="V3" i="157"/>
  <c r="P3" i="157"/>
  <c r="O3" i="157"/>
  <c r="M3" i="157"/>
  <c r="V2" i="157"/>
  <c r="A285" i="154"/>
  <c r="H285" i="154"/>
  <c r="K285" i="154"/>
  <c r="L285" i="154"/>
  <c r="M285" i="154"/>
  <c r="N285" i="154"/>
  <c r="G30" i="153"/>
  <c r="E30" i="153"/>
  <c r="H30" i="153"/>
  <c r="G31" i="153"/>
  <c r="E31" i="153"/>
  <c r="H31" i="153"/>
  <c r="A286" i="154"/>
  <c r="H286" i="154"/>
  <c r="K286" i="154"/>
  <c r="L286" i="154"/>
  <c r="M286" i="154"/>
  <c r="N286" i="154"/>
  <c r="A284" i="154"/>
  <c r="H284" i="154"/>
  <c r="K284" i="154"/>
  <c r="L284" i="154"/>
  <c r="M284" i="154"/>
  <c r="N284" i="154"/>
  <c r="E5" i="103"/>
  <c r="E6" i="103"/>
  <c r="C2" i="103"/>
  <c r="E2" i="103"/>
  <c r="N283" i="154"/>
  <c r="M283" i="154"/>
  <c r="L283" i="154"/>
  <c r="K283" i="154"/>
  <c r="H283" i="154"/>
  <c r="A283" i="154"/>
  <c r="N282" i="154"/>
  <c r="M282" i="154"/>
  <c r="L282" i="154"/>
  <c r="K282" i="154"/>
  <c r="H282" i="154"/>
  <c r="A282" i="154"/>
  <c r="N281" i="154"/>
  <c r="M281" i="154"/>
  <c r="L281" i="154"/>
  <c r="K281" i="154"/>
  <c r="H281" i="154"/>
  <c r="A281" i="154"/>
  <c r="N280" i="154"/>
  <c r="M280" i="154"/>
  <c r="L280" i="154"/>
  <c r="K280" i="154"/>
  <c r="H280" i="154"/>
  <c r="A280" i="154"/>
  <c r="N279" i="154"/>
  <c r="M279" i="154"/>
  <c r="L279" i="154"/>
  <c r="K279" i="154"/>
  <c r="H279" i="154"/>
  <c r="A279" i="154"/>
  <c r="N278" i="154"/>
  <c r="M278" i="154"/>
  <c r="L278" i="154"/>
  <c r="K278" i="154"/>
  <c r="H278" i="154"/>
  <c r="A278" i="154"/>
  <c r="N277" i="154"/>
  <c r="M277" i="154"/>
  <c r="L277" i="154"/>
  <c r="K277" i="154"/>
  <c r="H277" i="154"/>
  <c r="A277" i="154"/>
  <c r="N276" i="154"/>
  <c r="M276" i="154"/>
  <c r="L276" i="154"/>
  <c r="K276" i="154"/>
  <c r="H276" i="154"/>
  <c r="A276" i="154"/>
  <c r="N275" i="154"/>
  <c r="M275" i="154"/>
  <c r="L275" i="154"/>
  <c r="K275" i="154"/>
  <c r="H275" i="154"/>
  <c r="A275" i="154"/>
  <c r="N274" i="154"/>
  <c r="M274" i="154"/>
  <c r="L274" i="154"/>
  <c r="K274" i="154"/>
  <c r="H274" i="154"/>
  <c r="A274" i="154"/>
  <c r="N273" i="154"/>
  <c r="M273" i="154"/>
  <c r="L273" i="154"/>
  <c r="K273" i="154"/>
  <c r="H273" i="154"/>
  <c r="A273" i="154"/>
  <c r="N272" i="154"/>
  <c r="M272" i="154"/>
  <c r="L272" i="154"/>
  <c r="K272" i="154"/>
  <c r="H272" i="154"/>
  <c r="A272" i="154"/>
  <c r="N271" i="154"/>
  <c r="M271" i="154"/>
  <c r="L271" i="154"/>
  <c r="K271" i="154"/>
  <c r="H271" i="154"/>
  <c r="A271" i="154"/>
  <c r="N270" i="154"/>
  <c r="M270" i="154"/>
  <c r="L270" i="154"/>
  <c r="K270" i="154"/>
  <c r="H270" i="154"/>
  <c r="A270" i="154"/>
  <c r="N269" i="154"/>
  <c r="M269" i="154"/>
  <c r="L269" i="154"/>
  <c r="K269" i="154"/>
  <c r="H269" i="154"/>
  <c r="A269" i="154"/>
  <c r="N268" i="154"/>
  <c r="M268" i="154"/>
  <c r="L268" i="154"/>
  <c r="K268" i="154"/>
  <c r="H268" i="154"/>
  <c r="A268" i="154"/>
  <c r="N267" i="154"/>
  <c r="M267" i="154"/>
  <c r="L267" i="154"/>
  <c r="K267" i="154"/>
  <c r="H267" i="154"/>
  <c r="A267" i="154"/>
  <c r="N266" i="154"/>
  <c r="M266" i="154"/>
  <c r="L266" i="154"/>
  <c r="K266" i="154"/>
  <c r="H266" i="154"/>
  <c r="A266" i="154"/>
  <c r="N265" i="154"/>
  <c r="M265" i="154"/>
  <c r="L265" i="154"/>
  <c r="K265" i="154"/>
  <c r="H265" i="154"/>
  <c r="A265" i="154"/>
  <c r="N264" i="154"/>
  <c r="M264" i="154"/>
  <c r="L264" i="154"/>
  <c r="K264" i="154"/>
  <c r="H264" i="154"/>
  <c r="A264" i="154"/>
  <c r="N263" i="154"/>
  <c r="M263" i="154"/>
  <c r="L263" i="154"/>
  <c r="K263" i="154"/>
  <c r="H263" i="154"/>
  <c r="A263" i="154"/>
  <c r="N262" i="154"/>
  <c r="M262" i="154"/>
  <c r="L262" i="154"/>
  <c r="K262" i="154"/>
  <c r="H262" i="154"/>
  <c r="A262" i="154"/>
  <c r="N261" i="154"/>
  <c r="M261" i="154"/>
  <c r="L261" i="154"/>
  <c r="K261" i="154"/>
  <c r="H261" i="154"/>
  <c r="A261" i="154"/>
  <c r="N260" i="154"/>
  <c r="M260" i="154"/>
  <c r="L260" i="154"/>
  <c r="K260" i="154"/>
  <c r="H260" i="154"/>
  <c r="A260" i="154"/>
  <c r="N259" i="154"/>
  <c r="M259" i="154"/>
  <c r="L259" i="154"/>
  <c r="K259" i="154"/>
  <c r="H259" i="154"/>
  <c r="A259" i="154"/>
  <c r="N258" i="154"/>
  <c r="M258" i="154"/>
  <c r="L258" i="154"/>
  <c r="K258" i="154"/>
  <c r="H258" i="154"/>
  <c r="A258" i="154"/>
  <c r="N257" i="154"/>
  <c r="M257" i="154"/>
  <c r="L257" i="154"/>
  <c r="K257" i="154"/>
  <c r="H257" i="154"/>
  <c r="A257" i="154"/>
  <c r="N256" i="154"/>
  <c r="M256" i="154"/>
  <c r="L256" i="154"/>
  <c r="K256" i="154"/>
  <c r="H256" i="154"/>
  <c r="A256" i="154"/>
  <c r="N255" i="154"/>
  <c r="M255" i="154"/>
  <c r="L255" i="154"/>
  <c r="K255" i="154"/>
  <c r="H255" i="154"/>
  <c r="A255" i="154"/>
  <c r="N254" i="154"/>
  <c r="M254" i="154"/>
  <c r="L254" i="154"/>
  <c r="K254" i="154"/>
  <c r="H254" i="154"/>
  <c r="A254" i="154"/>
  <c r="N253" i="154"/>
  <c r="M253" i="154"/>
  <c r="L253" i="154"/>
  <c r="K253" i="154"/>
  <c r="H253" i="154"/>
  <c r="A253" i="154"/>
  <c r="N252" i="154"/>
  <c r="M252" i="154"/>
  <c r="L252" i="154"/>
  <c r="K252" i="154"/>
  <c r="H252" i="154"/>
  <c r="A252" i="154"/>
  <c r="N251" i="154"/>
  <c r="M251" i="154"/>
  <c r="L251" i="154"/>
  <c r="K251" i="154"/>
  <c r="H251" i="154"/>
  <c r="A251" i="154"/>
  <c r="N250" i="154"/>
  <c r="M250" i="154"/>
  <c r="L250" i="154"/>
  <c r="K250" i="154"/>
  <c r="H250" i="154"/>
  <c r="A250" i="154"/>
  <c r="N249" i="154"/>
  <c r="M249" i="154"/>
  <c r="L249" i="154"/>
  <c r="K249" i="154"/>
  <c r="H249" i="154"/>
  <c r="A249" i="154"/>
  <c r="N248" i="154"/>
  <c r="M248" i="154"/>
  <c r="L248" i="154"/>
  <c r="K248" i="154"/>
  <c r="H248" i="154"/>
  <c r="A248" i="154"/>
  <c r="N247" i="154"/>
  <c r="M247" i="154"/>
  <c r="L247" i="154"/>
  <c r="K247" i="154"/>
  <c r="H247" i="154"/>
  <c r="A247" i="154"/>
  <c r="N246" i="154"/>
  <c r="M246" i="154"/>
  <c r="L246" i="154"/>
  <c r="K246" i="154"/>
  <c r="H246" i="154"/>
  <c r="A246" i="154"/>
  <c r="N245" i="154"/>
  <c r="M245" i="154"/>
  <c r="L245" i="154"/>
  <c r="K245" i="154"/>
  <c r="H245" i="154"/>
  <c r="A245" i="154"/>
  <c r="N244" i="154"/>
  <c r="M244" i="154"/>
  <c r="L244" i="154"/>
  <c r="K244" i="154"/>
  <c r="H244" i="154"/>
  <c r="A244" i="154"/>
  <c r="N243" i="154"/>
  <c r="M243" i="154"/>
  <c r="L243" i="154"/>
  <c r="K243" i="154"/>
  <c r="H243" i="154"/>
  <c r="A243" i="154"/>
  <c r="N242" i="154"/>
  <c r="M242" i="154"/>
  <c r="L242" i="154"/>
  <c r="K242" i="154"/>
  <c r="H242" i="154"/>
  <c r="A242" i="154"/>
  <c r="N241" i="154"/>
  <c r="M241" i="154"/>
  <c r="L241" i="154"/>
  <c r="K241" i="154"/>
  <c r="H241" i="154"/>
  <c r="A241" i="154"/>
  <c r="N240" i="154"/>
  <c r="M240" i="154"/>
  <c r="L240" i="154"/>
  <c r="K240" i="154"/>
  <c r="H240" i="154"/>
  <c r="A240" i="154"/>
  <c r="N239" i="154"/>
  <c r="M239" i="154"/>
  <c r="L239" i="154"/>
  <c r="K239" i="154"/>
  <c r="H239" i="154"/>
  <c r="A239" i="154"/>
  <c r="N238" i="154"/>
  <c r="M238" i="154"/>
  <c r="L238" i="154"/>
  <c r="K238" i="154"/>
  <c r="H238" i="154"/>
  <c r="A238" i="154"/>
  <c r="N237" i="154"/>
  <c r="M237" i="154"/>
  <c r="L237" i="154"/>
  <c r="K237" i="154"/>
  <c r="H237" i="154"/>
  <c r="A237" i="154"/>
  <c r="N236" i="154"/>
  <c r="M236" i="154"/>
  <c r="L236" i="154"/>
  <c r="K236" i="154"/>
  <c r="H236" i="154"/>
  <c r="A236" i="154"/>
  <c r="N235" i="154"/>
  <c r="M235" i="154"/>
  <c r="L235" i="154"/>
  <c r="K235" i="154"/>
  <c r="H235" i="154"/>
  <c r="A235" i="154"/>
  <c r="N234" i="154"/>
  <c r="M234" i="154"/>
  <c r="L234" i="154"/>
  <c r="K234" i="154"/>
  <c r="H234" i="154"/>
  <c r="A234" i="154"/>
  <c r="N233" i="154"/>
  <c r="M233" i="154"/>
  <c r="L233" i="154"/>
  <c r="K233" i="154"/>
  <c r="H233" i="154"/>
  <c r="A233" i="154"/>
  <c r="N232" i="154"/>
  <c r="M232" i="154"/>
  <c r="L232" i="154"/>
  <c r="K232" i="154"/>
  <c r="H232" i="154"/>
  <c r="A232" i="154"/>
  <c r="N231" i="154"/>
  <c r="M231" i="154"/>
  <c r="L231" i="154"/>
  <c r="K231" i="154"/>
  <c r="H231" i="154"/>
  <c r="A231" i="154"/>
  <c r="N230" i="154"/>
  <c r="M230" i="154"/>
  <c r="L230" i="154"/>
  <c r="K230" i="154"/>
  <c r="H230" i="154"/>
  <c r="A230" i="154"/>
  <c r="N229" i="154"/>
  <c r="M229" i="154"/>
  <c r="L229" i="154"/>
  <c r="K229" i="154"/>
  <c r="H229" i="154"/>
  <c r="A229" i="154"/>
  <c r="N228" i="154"/>
  <c r="M228" i="154"/>
  <c r="L228" i="154"/>
  <c r="K228" i="154"/>
  <c r="H228" i="154"/>
  <c r="A228" i="154"/>
  <c r="N227" i="154"/>
  <c r="M227" i="154"/>
  <c r="L227" i="154"/>
  <c r="K227" i="154"/>
  <c r="H227" i="154"/>
  <c r="A227" i="154"/>
  <c r="N226" i="154"/>
  <c r="M226" i="154"/>
  <c r="L226" i="154"/>
  <c r="K226" i="154"/>
  <c r="H226" i="154"/>
  <c r="A226" i="154"/>
  <c r="N225" i="154"/>
  <c r="M225" i="154"/>
  <c r="L225" i="154"/>
  <c r="K225" i="154"/>
  <c r="H225" i="154"/>
  <c r="A225" i="154"/>
  <c r="N224" i="154"/>
  <c r="M224" i="154"/>
  <c r="L224" i="154"/>
  <c r="K224" i="154"/>
  <c r="H224" i="154"/>
  <c r="A224" i="154"/>
  <c r="N223" i="154"/>
  <c r="M223" i="154"/>
  <c r="L223" i="154"/>
  <c r="K223" i="154"/>
  <c r="H223" i="154"/>
  <c r="A223" i="154"/>
  <c r="N222" i="154"/>
  <c r="M222" i="154"/>
  <c r="L222" i="154"/>
  <c r="K222" i="154"/>
  <c r="H222" i="154"/>
  <c r="A222" i="154"/>
  <c r="N221" i="154"/>
  <c r="M221" i="154"/>
  <c r="L221" i="154"/>
  <c r="K221" i="154"/>
  <c r="H221" i="154"/>
  <c r="A221" i="154"/>
  <c r="N220" i="154"/>
  <c r="M220" i="154"/>
  <c r="L220" i="154"/>
  <c r="K220" i="154"/>
  <c r="H220" i="154"/>
  <c r="A220" i="154"/>
  <c r="N219" i="154"/>
  <c r="M219" i="154"/>
  <c r="L219" i="154"/>
  <c r="K219" i="154"/>
  <c r="H219" i="154"/>
  <c r="A219" i="154"/>
  <c r="N218" i="154"/>
  <c r="M218" i="154"/>
  <c r="L218" i="154"/>
  <c r="K218" i="154"/>
  <c r="H218" i="154"/>
  <c r="A218" i="154"/>
  <c r="N217" i="154"/>
  <c r="M217" i="154"/>
  <c r="L217" i="154"/>
  <c r="K217" i="154"/>
  <c r="H217" i="154"/>
  <c r="A217" i="154"/>
  <c r="N216" i="154"/>
  <c r="M216" i="154"/>
  <c r="L216" i="154"/>
  <c r="K216" i="154"/>
  <c r="H216" i="154"/>
  <c r="A216" i="154"/>
  <c r="N215" i="154"/>
  <c r="M215" i="154"/>
  <c r="L215" i="154"/>
  <c r="K215" i="154"/>
  <c r="H215" i="154"/>
  <c r="A215" i="154"/>
  <c r="N214" i="154"/>
  <c r="M214" i="154"/>
  <c r="L214" i="154"/>
  <c r="K214" i="154"/>
  <c r="H214" i="154"/>
  <c r="A214" i="154"/>
  <c r="N213" i="154"/>
  <c r="M213" i="154"/>
  <c r="L213" i="154"/>
  <c r="K213" i="154"/>
  <c r="H213" i="154"/>
  <c r="A213" i="154"/>
  <c r="N212" i="154"/>
  <c r="M212" i="154"/>
  <c r="L212" i="154"/>
  <c r="K212" i="154"/>
  <c r="H212" i="154"/>
  <c r="A212" i="154"/>
  <c r="N211" i="154"/>
  <c r="M211" i="154"/>
  <c r="L211" i="154"/>
  <c r="K211" i="154"/>
  <c r="H211" i="154"/>
  <c r="A211" i="154"/>
  <c r="N210" i="154"/>
  <c r="M210" i="154"/>
  <c r="L210" i="154"/>
  <c r="K210" i="154"/>
  <c r="H210" i="154"/>
  <c r="A210" i="154"/>
  <c r="N209" i="154"/>
  <c r="M209" i="154"/>
  <c r="L209" i="154"/>
  <c r="K209" i="154"/>
  <c r="H209" i="154"/>
  <c r="A209" i="154"/>
  <c r="N208" i="154"/>
  <c r="M208" i="154"/>
  <c r="L208" i="154"/>
  <c r="K208" i="154"/>
  <c r="H208" i="154"/>
  <c r="A208" i="154"/>
  <c r="N207" i="154"/>
  <c r="M207" i="154"/>
  <c r="L207" i="154"/>
  <c r="K207" i="154"/>
  <c r="H207" i="154"/>
  <c r="A207" i="154"/>
  <c r="N206" i="154"/>
  <c r="M206" i="154"/>
  <c r="L206" i="154"/>
  <c r="K206" i="154"/>
  <c r="H206" i="154"/>
  <c r="A206" i="154"/>
  <c r="N205" i="154"/>
  <c r="M205" i="154"/>
  <c r="L205" i="154"/>
  <c r="K205" i="154"/>
  <c r="H205" i="154"/>
  <c r="A205" i="154"/>
  <c r="N204" i="154"/>
  <c r="M204" i="154"/>
  <c r="L204" i="154"/>
  <c r="K204" i="154"/>
  <c r="H204" i="154"/>
  <c r="A204" i="154"/>
  <c r="N203" i="154"/>
  <c r="M203" i="154"/>
  <c r="L203" i="154"/>
  <c r="K203" i="154"/>
  <c r="H203" i="154"/>
  <c r="A203" i="154"/>
  <c r="N202" i="154"/>
  <c r="M202" i="154"/>
  <c r="L202" i="154"/>
  <c r="K202" i="154"/>
  <c r="H202" i="154"/>
  <c r="A202" i="154"/>
  <c r="N201" i="154"/>
  <c r="M201" i="154"/>
  <c r="L201" i="154"/>
  <c r="K201" i="154"/>
  <c r="H201" i="154"/>
  <c r="A201" i="154"/>
  <c r="N200" i="154"/>
  <c r="M200" i="154"/>
  <c r="L200" i="154"/>
  <c r="K200" i="154"/>
  <c r="H200" i="154"/>
  <c r="A200" i="154"/>
  <c r="N199" i="154"/>
  <c r="M199" i="154"/>
  <c r="L199" i="154"/>
  <c r="K199" i="154"/>
  <c r="H199" i="154"/>
  <c r="A199" i="154"/>
  <c r="N198" i="154"/>
  <c r="M198" i="154"/>
  <c r="L198" i="154"/>
  <c r="K198" i="154"/>
  <c r="H198" i="154"/>
  <c r="A198" i="154"/>
  <c r="N197" i="154"/>
  <c r="M197" i="154"/>
  <c r="L197" i="154"/>
  <c r="K197" i="154"/>
  <c r="H197" i="154"/>
  <c r="A197" i="154"/>
  <c r="N196" i="154"/>
  <c r="M196" i="154"/>
  <c r="L196" i="154"/>
  <c r="K196" i="154"/>
  <c r="H196" i="154"/>
  <c r="A196" i="154"/>
  <c r="N195" i="154"/>
  <c r="M195" i="154"/>
  <c r="L195" i="154"/>
  <c r="K195" i="154"/>
  <c r="H195" i="154"/>
  <c r="A195" i="154"/>
  <c r="N194" i="154"/>
  <c r="M194" i="154"/>
  <c r="L194" i="154"/>
  <c r="K194" i="154"/>
  <c r="H194" i="154"/>
  <c r="A194" i="154"/>
  <c r="N193" i="154"/>
  <c r="M193" i="154"/>
  <c r="L193" i="154"/>
  <c r="K193" i="154"/>
  <c r="H193" i="154"/>
  <c r="A193" i="154"/>
  <c r="N192" i="154"/>
  <c r="M192" i="154"/>
  <c r="L192" i="154"/>
  <c r="K192" i="154"/>
  <c r="H192" i="154"/>
  <c r="A192" i="154"/>
  <c r="N191" i="154"/>
  <c r="M191" i="154"/>
  <c r="L191" i="154"/>
  <c r="K191" i="154"/>
  <c r="H191" i="154"/>
  <c r="A191" i="154"/>
  <c r="N190" i="154"/>
  <c r="M190" i="154"/>
  <c r="L190" i="154"/>
  <c r="K190" i="154"/>
  <c r="H190" i="154"/>
  <c r="A190" i="154"/>
  <c r="N189" i="154"/>
  <c r="M189" i="154"/>
  <c r="L189" i="154"/>
  <c r="K189" i="154"/>
  <c r="H189" i="154"/>
  <c r="A189" i="154"/>
  <c r="N188" i="154"/>
  <c r="M188" i="154"/>
  <c r="L188" i="154"/>
  <c r="K188" i="154"/>
  <c r="H188" i="154"/>
  <c r="A188" i="154"/>
  <c r="N187" i="154"/>
  <c r="M187" i="154"/>
  <c r="L187" i="154"/>
  <c r="K187" i="154"/>
  <c r="H187" i="154"/>
  <c r="A187" i="154"/>
  <c r="N186" i="154"/>
  <c r="M186" i="154"/>
  <c r="L186" i="154"/>
  <c r="K186" i="154"/>
  <c r="H186" i="154"/>
  <c r="A186" i="154"/>
  <c r="N185" i="154"/>
  <c r="M185" i="154"/>
  <c r="L185" i="154"/>
  <c r="K185" i="154"/>
  <c r="H185" i="154"/>
  <c r="A185" i="154"/>
  <c r="N184" i="154"/>
  <c r="M184" i="154"/>
  <c r="L184" i="154"/>
  <c r="K184" i="154"/>
  <c r="H184" i="154"/>
  <c r="A184" i="154"/>
  <c r="N183" i="154"/>
  <c r="M183" i="154"/>
  <c r="L183" i="154"/>
  <c r="K183" i="154"/>
  <c r="H183" i="154"/>
  <c r="A183" i="154"/>
  <c r="N182" i="154"/>
  <c r="M182" i="154"/>
  <c r="L182" i="154"/>
  <c r="K182" i="154"/>
  <c r="H182" i="154"/>
  <c r="A182" i="154"/>
  <c r="N181" i="154"/>
  <c r="M181" i="154"/>
  <c r="L181" i="154"/>
  <c r="K181" i="154"/>
  <c r="H181" i="154"/>
  <c r="A181" i="154"/>
  <c r="N180" i="154"/>
  <c r="M180" i="154"/>
  <c r="L180" i="154"/>
  <c r="K180" i="154"/>
  <c r="H180" i="154"/>
  <c r="A180" i="154"/>
  <c r="N179" i="154"/>
  <c r="M179" i="154"/>
  <c r="L179" i="154"/>
  <c r="K179" i="154"/>
  <c r="H179" i="154"/>
  <c r="A179" i="154"/>
  <c r="N178" i="154"/>
  <c r="M178" i="154"/>
  <c r="L178" i="154"/>
  <c r="K178" i="154"/>
  <c r="H178" i="154"/>
  <c r="A178" i="154"/>
  <c r="N177" i="154"/>
  <c r="M177" i="154"/>
  <c r="L177" i="154"/>
  <c r="K177" i="154"/>
  <c r="H177" i="154"/>
  <c r="A177" i="154"/>
  <c r="N176" i="154"/>
  <c r="M176" i="154"/>
  <c r="L176" i="154"/>
  <c r="K176" i="154"/>
  <c r="H176" i="154"/>
  <c r="A176" i="154"/>
  <c r="N175" i="154"/>
  <c r="M175" i="154"/>
  <c r="L175" i="154"/>
  <c r="K175" i="154"/>
  <c r="H175" i="154"/>
  <c r="A175" i="154"/>
  <c r="N174" i="154"/>
  <c r="M174" i="154"/>
  <c r="L174" i="154"/>
  <c r="K174" i="154"/>
  <c r="H174" i="154"/>
  <c r="A174" i="154"/>
  <c r="N173" i="154"/>
  <c r="M173" i="154"/>
  <c r="L173" i="154"/>
  <c r="K173" i="154"/>
  <c r="H173" i="154"/>
  <c r="A173" i="154"/>
  <c r="N172" i="154"/>
  <c r="M172" i="154"/>
  <c r="L172" i="154"/>
  <c r="K172" i="154"/>
  <c r="H172" i="154"/>
  <c r="A172" i="154"/>
  <c r="N171" i="154"/>
  <c r="M171" i="154"/>
  <c r="L171" i="154"/>
  <c r="K171" i="154"/>
  <c r="H171" i="154"/>
  <c r="A171" i="154"/>
  <c r="N170" i="154"/>
  <c r="M170" i="154"/>
  <c r="L170" i="154"/>
  <c r="K170" i="154"/>
  <c r="H170" i="154"/>
  <c r="A170" i="154"/>
  <c r="N169" i="154"/>
  <c r="M169" i="154"/>
  <c r="L169" i="154"/>
  <c r="K169" i="154"/>
  <c r="H169" i="154"/>
  <c r="A169" i="154"/>
  <c r="N168" i="154"/>
  <c r="M168" i="154"/>
  <c r="L168" i="154"/>
  <c r="K168" i="154"/>
  <c r="H168" i="154"/>
  <c r="A168" i="154"/>
  <c r="N167" i="154"/>
  <c r="M167" i="154"/>
  <c r="L167" i="154"/>
  <c r="K167" i="154"/>
  <c r="H167" i="154"/>
  <c r="A167" i="154"/>
  <c r="N166" i="154"/>
  <c r="M166" i="154"/>
  <c r="L166" i="154"/>
  <c r="K166" i="154"/>
  <c r="H166" i="154"/>
  <c r="A166" i="154"/>
  <c r="N165" i="154"/>
  <c r="M165" i="154"/>
  <c r="L165" i="154"/>
  <c r="K165" i="154"/>
  <c r="H165" i="154"/>
  <c r="A165" i="154"/>
  <c r="N164" i="154"/>
  <c r="M164" i="154"/>
  <c r="L164" i="154"/>
  <c r="K164" i="154"/>
  <c r="H164" i="154"/>
  <c r="A164" i="154"/>
  <c r="N163" i="154"/>
  <c r="M163" i="154"/>
  <c r="L163" i="154"/>
  <c r="K163" i="154"/>
  <c r="H163" i="154"/>
  <c r="A163" i="154"/>
  <c r="N162" i="154"/>
  <c r="M162" i="154"/>
  <c r="L162" i="154"/>
  <c r="K162" i="154"/>
  <c r="H162" i="154"/>
  <c r="A162" i="154"/>
  <c r="N161" i="154"/>
  <c r="M161" i="154"/>
  <c r="L161" i="154"/>
  <c r="K161" i="154"/>
  <c r="H161" i="154"/>
  <c r="A161" i="154"/>
  <c r="N160" i="154"/>
  <c r="M160" i="154"/>
  <c r="L160" i="154"/>
  <c r="K160" i="154"/>
  <c r="H160" i="154"/>
  <c r="A160" i="154"/>
  <c r="N159" i="154"/>
  <c r="M159" i="154"/>
  <c r="L159" i="154"/>
  <c r="K159" i="154"/>
  <c r="H159" i="154"/>
  <c r="A159" i="154"/>
  <c r="N158" i="154"/>
  <c r="M158" i="154"/>
  <c r="L158" i="154"/>
  <c r="K158" i="154"/>
  <c r="H158" i="154"/>
  <c r="A158" i="154"/>
  <c r="N157" i="154"/>
  <c r="M157" i="154"/>
  <c r="L157" i="154"/>
  <c r="K157" i="154"/>
  <c r="H157" i="154"/>
  <c r="A157" i="154"/>
  <c r="N156" i="154"/>
  <c r="M156" i="154"/>
  <c r="L156" i="154"/>
  <c r="K156" i="154"/>
  <c r="H156" i="154"/>
  <c r="A156" i="154"/>
  <c r="N155" i="154"/>
  <c r="M155" i="154"/>
  <c r="L155" i="154"/>
  <c r="K155" i="154"/>
  <c r="H155" i="154"/>
  <c r="A155" i="154"/>
  <c r="N154" i="154"/>
  <c r="M154" i="154"/>
  <c r="L154" i="154"/>
  <c r="K154" i="154"/>
  <c r="H154" i="154"/>
  <c r="A154" i="154"/>
  <c r="N153" i="154"/>
  <c r="M153" i="154"/>
  <c r="L153" i="154"/>
  <c r="K153" i="154"/>
  <c r="H153" i="154"/>
  <c r="A153" i="154"/>
  <c r="N152" i="154"/>
  <c r="M152" i="154"/>
  <c r="L152" i="154"/>
  <c r="K152" i="154"/>
  <c r="H152" i="154"/>
  <c r="A152" i="154"/>
  <c r="N151" i="154"/>
  <c r="M151" i="154"/>
  <c r="L151" i="154"/>
  <c r="K151" i="154"/>
  <c r="H151" i="154"/>
  <c r="A151" i="154"/>
  <c r="N150" i="154"/>
  <c r="M150" i="154"/>
  <c r="L150" i="154"/>
  <c r="K150" i="154"/>
  <c r="H150" i="154"/>
  <c r="A150" i="154"/>
  <c r="N149" i="154"/>
  <c r="M149" i="154"/>
  <c r="L149" i="154"/>
  <c r="K149" i="154"/>
  <c r="H149" i="154"/>
  <c r="A149" i="154"/>
  <c r="N148" i="154"/>
  <c r="M148" i="154"/>
  <c r="L148" i="154"/>
  <c r="K148" i="154"/>
  <c r="H148" i="154"/>
  <c r="A148" i="154"/>
  <c r="N147" i="154"/>
  <c r="M147" i="154"/>
  <c r="L147" i="154"/>
  <c r="K147" i="154"/>
  <c r="H147" i="154"/>
  <c r="A147" i="154"/>
  <c r="N146" i="154"/>
  <c r="M146" i="154"/>
  <c r="L146" i="154"/>
  <c r="K146" i="154"/>
  <c r="H146" i="154"/>
  <c r="A146" i="154"/>
  <c r="N145" i="154"/>
  <c r="M145" i="154"/>
  <c r="L145" i="154"/>
  <c r="K145" i="154"/>
  <c r="H145" i="154"/>
  <c r="A145" i="154"/>
  <c r="N144" i="154"/>
  <c r="M144" i="154"/>
  <c r="L144" i="154"/>
  <c r="K144" i="154"/>
  <c r="H144" i="154"/>
  <c r="A144" i="154"/>
  <c r="N143" i="154"/>
  <c r="M143" i="154"/>
  <c r="L143" i="154"/>
  <c r="K143" i="154"/>
  <c r="H143" i="154"/>
  <c r="A143" i="154"/>
  <c r="N142" i="154"/>
  <c r="M142" i="154"/>
  <c r="L142" i="154"/>
  <c r="K142" i="154"/>
  <c r="H142" i="154"/>
  <c r="A142" i="154"/>
  <c r="N141" i="154"/>
  <c r="M141" i="154"/>
  <c r="L141" i="154"/>
  <c r="K141" i="154"/>
  <c r="H141" i="154"/>
  <c r="A141" i="154"/>
  <c r="N140" i="154"/>
  <c r="M140" i="154"/>
  <c r="L140" i="154"/>
  <c r="K140" i="154"/>
  <c r="H140" i="154"/>
  <c r="A140" i="154"/>
  <c r="N139" i="154"/>
  <c r="M139" i="154"/>
  <c r="L139" i="154"/>
  <c r="K139" i="154"/>
  <c r="H139" i="154"/>
  <c r="A139" i="154"/>
  <c r="N138" i="154"/>
  <c r="M138" i="154"/>
  <c r="L138" i="154"/>
  <c r="K138" i="154"/>
  <c r="H138" i="154"/>
  <c r="A138" i="154"/>
  <c r="N137" i="154"/>
  <c r="M137" i="154"/>
  <c r="L137" i="154"/>
  <c r="K137" i="154"/>
  <c r="H137" i="154"/>
  <c r="A137" i="154"/>
  <c r="N136" i="154"/>
  <c r="M136" i="154"/>
  <c r="L136" i="154"/>
  <c r="K136" i="154"/>
  <c r="H136" i="154"/>
  <c r="A136" i="154"/>
  <c r="N135" i="154"/>
  <c r="M135" i="154"/>
  <c r="L135" i="154"/>
  <c r="K135" i="154"/>
  <c r="H135" i="154"/>
  <c r="A135" i="154"/>
  <c r="N134" i="154"/>
  <c r="M134" i="154"/>
  <c r="L134" i="154"/>
  <c r="K134" i="154"/>
  <c r="H134" i="154"/>
  <c r="A134" i="154"/>
  <c r="N133" i="154"/>
  <c r="M133" i="154"/>
  <c r="L133" i="154"/>
  <c r="K133" i="154"/>
  <c r="H133" i="154"/>
  <c r="A133" i="154"/>
  <c r="N132" i="154"/>
  <c r="M132" i="154"/>
  <c r="L132" i="154"/>
  <c r="K132" i="154"/>
  <c r="H132" i="154"/>
  <c r="A132" i="154"/>
  <c r="N131" i="154"/>
  <c r="M131" i="154"/>
  <c r="L131" i="154"/>
  <c r="K131" i="154"/>
  <c r="H131" i="154"/>
  <c r="A131" i="154"/>
  <c r="N130" i="154"/>
  <c r="M130" i="154"/>
  <c r="L130" i="154"/>
  <c r="K130" i="154"/>
  <c r="H130" i="154"/>
  <c r="A130" i="154"/>
  <c r="N129" i="154"/>
  <c r="M129" i="154"/>
  <c r="L129" i="154"/>
  <c r="K129" i="154"/>
  <c r="H129" i="154"/>
  <c r="A129" i="154"/>
  <c r="N128" i="154"/>
  <c r="M128" i="154"/>
  <c r="L128" i="154"/>
  <c r="K128" i="154"/>
  <c r="H128" i="154"/>
  <c r="A128" i="154"/>
  <c r="N127" i="154"/>
  <c r="M127" i="154"/>
  <c r="L127" i="154"/>
  <c r="K127" i="154"/>
  <c r="H127" i="154"/>
  <c r="A127" i="154"/>
  <c r="N126" i="154"/>
  <c r="M126" i="154"/>
  <c r="L126" i="154"/>
  <c r="K126" i="154"/>
  <c r="H126" i="154"/>
  <c r="A126" i="154"/>
  <c r="N125" i="154"/>
  <c r="M125" i="154"/>
  <c r="L125" i="154"/>
  <c r="K125" i="154"/>
  <c r="H125" i="154"/>
  <c r="A125" i="154"/>
  <c r="N124" i="154"/>
  <c r="M124" i="154"/>
  <c r="L124" i="154"/>
  <c r="K124" i="154"/>
  <c r="H124" i="154"/>
  <c r="A124" i="154"/>
  <c r="N123" i="154"/>
  <c r="M123" i="154"/>
  <c r="L123" i="154"/>
  <c r="K123" i="154"/>
  <c r="H123" i="154"/>
  <c r="A123" i="154"/>
  <c r="N122" i="154"/>
  <c r="M122" i="154"/>
  <c r="L122" i="154"/>
  <c r="K122" i="154"/>
  <c r="H122" i="154"/>
  <c r="A122" i="154"/>
  <c r="N121" i="154"/>
  <c r="M121" i="154"/>
  <c r="L121" i="154"/>
  <c r="K121" i="154"/>
  <c r="H121" i="154"/>
  <c r="A121" i="154"/>
  <c r="N120" i="154"/>
  <c r="M120" i="154"/>
  <c r="L120" i="154"/>
  <c r="K120" i="154"/>
  <c r="H120" i="154"/>
  <c r="A120" i="154"/>
  <c r="N119" i="154"/>
  <c r="M119" i="154"/>
  <c r="L119" i="154"/>
  <c r="K119" i="154"/>
  <c r="H119" i="154"/>
  <c r="A119" i="154"/>
  <c r="N118" i="154"/>
  <c r="M118" i="154"/>
  <c r="L118" i="154"/>
  <c r="K118" i="154"/>
  <c r="H118" i="154"/>
  <c r="A118" i="154"/>
  <c r="N117" i="154"/>
  <c r="M117" i="154"/>
  <c r="L117" i="154"/>
  <c r="K117" i="154"/>
  <c r="H117" i="154"/>
  <c r="A117" i="154"/>
  <c r="N116" i="154"/>
  <c r="M116" i="154"/>
  <c r="L116" i="154"/>
  <c r="K116" i="154"/>
  <c r="H116" i="154"/>
  <c r="A116" i="154"/>
  <c r="N115" i="154"/>
  <c r="M115" i="154"/>
  <c r="L115" i="154"/>
  <c r="K115" i="154"/>
  <c r="H115" i="154"/>
  <c r="A115" i="154"/>
  <c r="N114" i="154"/>
  <c r="M114" i="154"/>
  <c r="L114" i="154"/>
  <c r="K114" i="154"/>
  <c r="H114" i="154"/>
  <c r="A114" i="154"/>
  <c r="N113" i="154"/>
  <c r="M113" i="154"/>
  <c r="L113" i="154"/>
  <c r="K113" i="154"/>
  <c r="H113" i="154"/>
  <c r="A113" i="154"/>
  <c r="N112" i="154"/>
  <c r="M112" i="154"/>
  <c r="L112" i="154"/>
  <c r="K112" i="154"/>
  <c r="H112" i="154"/>
  <c r="A112" i="154"/>
  <c r="N111" i="154"/>
  <c r="M111" i="154"/>
  <c r="L111" i="154"/>
  <c r="K111" i="154"/>
  <c r="H111" i="154"/>
  <c r="A111" i="154"/>
  <c r="N110" i="154"/>
  <c r="M110" i="154"/>
  <c r="L110" i="154"/>
  <c r="K110" i="154"/>
  <c r="H110" i="154"/>
  <c r="A110" i="154"/>
  <c r="N109" i="154"/>
  <c r="M109" i="154"/>
  <c r="L109" i="154"/>
  <c r="K109" i="154"/>
  <c r="H109" i="154"/>
  <c r="A109" i="154"/>
  <c r="N108" i="154"/>
  <c r="M108" i="154"/>
  <c r="L108" i="154"/>
  <c r="K108" i="154"/>
  <c r="H108" i="154"/>
  <c r="A108" i="154"/>
  <c r="N107" i="154"/>
  <c r="M107" i="154"/>
  <c r="L107" i="154"/>
  <c r="K107" i="154"/>
  <c r="H107" i="154"/>
  <c r="A107" i="154"/>
  <c r="N106" i="154"/>
  <c r="M106" i="154"/>
  <c r="L106" i="154"/>
  <c r="K106" i="154"/>
  <c r="H106" i="154"/>
  <c r="A106" i="154"/>
  <c r="N105" i="154"/>
  <c r="M105" i="154"/>
  <c r="L105" i="154"/>
  <c r="K105" i="154"/>
  <c r="H105" i="154"/>
  <c r="A105" i="154"/>
  <c r="N104" i="154"/>
  <c r="M104" i="154"/>
  <c r="L104" i="154"/>
  <c r="K104" i="154"/>
  <c r="H104" i="154"/>
  <c r="A104" i="154"/>
  <c r="N103" i="154"/>
  <c r="M103" i="154"/>
  <c r="L103" i="154"/>
  <c r="K103" i="154"/>
  <c r="H103" i="154"/>
  <c r="A103" i="154"/>
  <c r="N102" i="154"/>
  <c r="M102" i="154"/>
  <c r="L102" i="154"/>
  <c r="K102" i="154"/>
  <c r="H102" i="154"/>
  <c r="A102" i="154"/>
  <c r="N101" i="154"/>
  <c r="M101" i="154"/>
  <c r="L101" i="154"/>
  <c r="K101" i="154"/>
  <c r="H101" i="154"/>
  <c r="A101" i="154"/>
  <c r="N100" i="154"/>
  <c r="M100" i="154"/>
  <c r="L100" i="154"/>
  <c r="K100" i="154"/>
  <c r="H100" i="154"/>
  <c r="A100" i="154"/>
  <c r="N99" i="154"/>
  <c r="M99" i="154"/>
  <c r="L99" i="154"/>
  <c r="K99" i="154"/>
  <c r="H99" i="154"/>
  <c r="A99" i="154"/>
  <c r="N98" i="154"/>
  <c r="M98" i="154"/>
  <c r="L98" i="154"/>
  <c r="K98" i="154"/>
  <c r="H98" i="154"/>
  <c r="A98" i="154"/>
  <c r="N97" i="154"/>
  <c r="M97" i="154"/>
  <c r="L97" i="154"/>
  <c r="K97" i="154"/>
  <c r="H97" i="154"/>
  <c r="A97" i="154"/>
  <c r="N96" i="154"/>
  <c r="M96" i="154"/>
  <c r="L96" i="154"/>
  <c r="K96" i="154"/>
  <c r="H96" i="154"/>
  <c r="A96" i="154"/>
  <c r="N95" i="154"/>
  <c r="M95" i="154"/>
  <c r="L95" i="154"/>
  <c r="K95" i="154"/>
  <c r="H95" i="154"/>
  <c r="A95" i="154"/>
  <c r="N94" i="154"/>
  <c r="M94" i="154"/>
  <c r="L94" i="154"/>
  <c r="K94" i="154"/>
  <c r="H94" i="154"/>
  <c r="A94" i="154"/>
  <c r="N93" i="154"/>
  <c r="M93" i="154"/>
  <c r="L93" i="154"/>
  <c r="K93" i="154"/>
  <c r="H93" i="154"/>
  <c r="A93" i="154"/>
  <c r="N92" i="154"/>
  <c r="M92" i="154"/>
  <c r="L92" i="154"/>
  <c r="K92" i="154"/>
  <c r="H92" i="154"/>
  <c r="A92" i="154"/>
  <c r="N91" i="154"/>
  <c r="M91" i="154"/>
  <c r="L91" i="154"/>
  <c r="K91" i="154"/>
  <c r="H91" i="154"/>
  <c r="A91" i="154"/>
  <c r="N90" i="154"/>
  <c r="M90" i="154"/>
  <c r="L90" i="154"/>
  <c r="K90" i="154"/>
  <c r="H90" i="154"/>
  <c r="A90" i="154"/>
  <c r="N89" i="154"/>
  <c r="M89" i="154"/>
  <c r="L89" i="154"/>
  <c r="K89" i="154"/>
  <c r="H89" i="154"/>
  <c r="A89" i="154"/>
  <c r="N88" i="154"/>
  <c r="M88" i="154"/>
  <c r="L88" i="154"/>
  <c r="K88" i="154"/>
  <c r="H88" i="154"/>
  <c r="A88" i="154"/>
  <c r="N87" i="154"/>
  <c r="M87" i="154"/>
  <c r="L87" i="154"/>
  <c r="K87" i="154"/>
  <c r="H87" i="154"/>
  <c r="A87" i="154"/>
  <c r="N86" i="154"/>
  <c r="M86" i="154"/>
  <c r="L86" i="154"/>
  <c r="K86" i="154"/>
  <c r="H86" i="154"/>
  <c r="A86" i="154"/>
  <c r="N85" i="154"/>
  <c r="M85" i="154"/>
  <c r="L85" i="154"/>
  <c r="K85" i="154"/>
  <c r="H85" i="154"/>
  <c r="A85" i="154"/>
  <c r="N84" i="154"/>
  <c r="M84" i="154"/>
  <c r="L84" i="154"/>
  <c r="K84" i="154"/>
  <c r="H84" i="154"/>
  <c r="A84" i="154"/>
  <c r="N83" i="154"/>
  <c r="M83" i="154"/>
  <c r="L83" i="154"/>
  <c r="K83" i="154"/>
  <c r="H83" i="154"/>
  <c r="A83" i="154"/>
  <c r="N82" i="154"/>
  <c r="M82" i="154"/>
  <c r="L82" i="154"/>
  <c r="K82" i="154"/>
  <c r="H82" i="154"/>
  <c r="A82" i="154"/>
  <c r="N81" i="154"/>
  <c r="M81" i="154"/>
  <c r="L81" i="154"/>
  <c r="K81" i="154"/>
  <c r="H81" i="154"/>
  <c r="A81" i="154"/>
  <c r="N80" i="154"/>
  <c r="M80" i="154"/>
  <c r="L80" i="154"/>
  <c r="K80" i="154"/>
  <c r="H80" i="154"/>
  <c r="A80" i="154"/>
  <c r="N79" i="154"/>
  <c r="M79" i="154"/>
  <c r="L79" i="154"/>
  <c r="K79" i="154"/>
  <c r="H79" i="154"/>
  <c r="A79" i="154"/>
  <c r="N78" i="154"/>
  <c r="M78" i="154"/>
  <c r="L78" i="154"/>
  <c r="K78" i="154"/>
  <c r="H78" i="154"/>
  <c r="A78" i="154"/>
  <c r="N77" i="154"/>
  <c r="M77" i="154"/>
  <c r="L77" i="154"/>
  <c r="K77" i="154"/>
  <c r="H77" i="154"/>
  <c r="A77" i="154"/>
  <c r="N76" i="154"/>
  <c r="M76" i="154"/>
  <c r="L76" i="154"/>
  <c r="K76" i="154"/>
  <c r="H76" i="154"/>
  <c r="A76" i="154"/>
  <c r="N75" i="154"/>
  <c r="M75" i="154"/>
  <c r="L75" i="154"/>
  <c r="K75" i="154"/>
  <c r="H75" i="154"/>
  <c r="A75" i="154"/>
  <c r="N74" i="154"/>
  <c r="M74" i="154"/>
  <c r="L74" i="154"/>
  <c r="K74" i="154"/>
  <c r="H74" i="154"/>
  <c r="A74" i="154"/>
  <c r="N73" i="154"/>
  <c r="M73" i="154"/>
  <c r="L73" i="154"/>
  <c r="K73" i="154"/>
  <c r="H73" i="154"/>
  <c r="A73" i="154"/>
  <c r="N72" i="154"/>
  <c r="M72" i="154"/>
  <c r="L72" i="154"/>
  <c r="K72" i="154"/>
  <c r="H72" i="154"/>
  <c r="A72" i="154"/>
  <c r="N71" i="154"/>
  <c r="M71" i="154"/>
  <c r="L71" i="154"/>
  <c r="K71" i="154"/>
  <c r="H71" i="154"/>
  <c r="A71" i="154"/>
  <c r="N70" i="154"/>
  <c r="M70" i="154"/>
  <c r="L70" i="154"/>
  <c r="K70" i="154"/>
  <c r="H70" i="154"/>
  <c r="A70" i="154"/>
  <c r="N69" i="154"/>
  <c r="M69" i="154"/>
  <c r="L69" i="154"/>
  <c r="K69" i="154"/>
  <c r="H69" i="154"/>
  <c r="A69" i="154"/>
  <c r="N68" i="154"/>
  <c r="M68" i="154"/>
  <c r="L68" i="154"/>
  <c r="K68" i="154"/>
  <c r="H68" i="154"/>
  <c r="A68" i="154"/>
  <c r="N67" i="154"/>
  <c r="M67" i="154"/>
  <c r="L67" i="154"/>
  <c r="K67" i="154"/>
  <c r="H67" i="154"/>
  <c r="A67" i="154"/>
  <c r="N66" i="154"/>
  <c r="M66" i="154"/>
  <c r="L66" i="154"/>
  <c r="K66" i="154"/>
  <c r="H66" i="154"/>
  <c r="A66" i="154"/>
  <c r="N65" i="154"/>
  <c r="M65" i="154"/>
  <c r="L65" i="154"/>
  <c r="K65" i="154"/>
  <c r="H65" i="154"/>
  <c r="A65" i="154"/>
  <c r="N64" i="154"/>
  <c r="M64" i="154"/>
  <c r="L64" i="154"/>
  <c r="K64" i="154"/>
  <c r="H64" i="154"/>
  <c r="A64" i="154"/>
  <c r="N63" i="154"/>
  <c r="M63" i="154"/>
  <c r="L63" i="154"/>
  <c r="K63" i="154"/>
  <c r="H63" i="154"/>
  <c r="A63" i="154"/>
  <c r="N62" i="154"/>
  <c r="M62" i="154"/>
  <c r="L62" i="154"/>
  <c r="K62" i="154"/>
  <c r="H62" i="154"/>
  <c r="A62" i="154"/>
  <c r="N61" i="154"/>
  <c r="M61" i="154"/>
  <c r="L61" i="154"/>
  <c r="K61" i="154"/>
  <c r="H61" i="154"/>
  <c r="A61" i="154"/>
  <c r="N60" i="154"/>
  <c r="M60" i="154"/>
  <c r="L60" i="154"/>
  <c r="K60" i="154"/>
  <c r="H60" i="154"/>
  <c r="A60" i="154"/>
  <c r="N59" i="154"/>
  <c r="M59" i="154"/>
  <c r="L59" i="154"/>
  <c r="K59" i="154"/>
  <c r="H59" i="154"/>
  <c r="A59" i="154"/>
  <c r="N58" i="154"/>
  <c r="M58" i="154"/>
  <c r="L58" i="154"/>
  <c r="K58" i="154"/>
  <c r="H58" i="154"/>
  <c r="A58" i="154"/>
  <c r="N57" i="154"/>
  <c r="M57" i="154"/>
  <c r="L57" i="154"/>
  <c r="K57" i="154"/>
  <c r="H57" i="154"/>
  <c r="A57" i="154"/>
  <c r="N56" i="154"/>
  <c r="M56" i="154"/>
  <c r="L56" i="154"/>
  <c r="K56" i="154"/>
  <c r="H56" i="154"/>
  <c r="A56" i="154"/>
  <c r="N55" i="154"/>
  <c r="M55" i="154"/>
  <c r="L55" i="154"/>
  <c r="K55" i="154"/>
  <c r="H55" i="154"/>
  <c r="A55" i="154"/>
  <c r="N54" i="154"/>
  <c r="M54" i="154"/>
  <c r="L54" i="154"/>
  <c r="K54" i="154"/>
  <c r="H54" i="154"/>
  <c r="A54" i="154"/>
  <c r="N53" i="154"/>
  <c r="M53" i="154"/>
  <c r="L53" i="154"/>
  <c r="K53" i="154"/>
  <c r="H53" i="154"/>
  <c r="A53" i="154"/>
  <c r="N52" i="154"/>
  <c r="M52" i="154"/>
  <c r="L52" i="154"/>
  <c r="K52" i="154"/>
  <c r="H52" i="154"/>
  <c r="A52" i="154"/>
  <c r="N51" i="154"/>
  <c r="M51" i="154"/>
  <c r="L51" i="154"/>
  <c r="K51" i="154"/>
  <c r="H51" i="154"/>
  <c r="A51" i="154"/>
  <c r="N50" i="154"/>
  <c r="M50" i="154"/>
  <c r="L50" i="154"/>
  <c r="K50" i="154"/>
  <c r="H50" i="154"/>
  <c r="A50" i="154"/>
  <c r="N49" i="154"/>
  <c r="M49" i="154"/>
  <c r="L49" i="154"/>
  <c r="K49" i="154"/>
  <c r="H49" i="154"/>
  <c r="A49" i="154"/>
  <c r="N48" i="154"/>
  <c r="M48" i="154"/>
  <c r="L48" i="154"/>
  <c r="K48" i="154"/>
  <c r="H48" i="154"/>
  <c r="A48" i="154"/>
  <c r="N47" i="154"/>
  <c r="M47" i="154"/>
  <c r="L47" i="154"/>
  <c r="K47" i="154"/>
  <c r="H47" i="154"/>
  <c r="A47" i="154"/>
  <c r="N46" i="154"/>
  <c r="M46" i="154"/>
  <c r="L46" i="154"/>
  <c r="K46" i="154"/>
  <c r="H46" i="154"/>
  <c r="A46" i="154"/>
  <c r="N45" i="154"/>
  <c r="M45" i="154"/>
  <c r="L45" i="154"/>
  <c r="K45" i="154"/>
  <c r="H45" i="154"/>
  <c r="A45" i="154"/>
  <c r="N44" i="154"/>
  <c r="M44" i="154"/>
  <c r="L44" i="154"/>
  <c r="K44" i="154"/>
  <c r="H44" i="154"/>
  <c r="A44" i="154"/>
  <c r="N43" i="154"/>
  <c r="M43" i="154"/>
  <c r="L43" i="154"/>
  <c r="K43" i="154"/>
  <c r="H43" i="154"/>
  <c r="A43" i="154"/>
  <c r="N42" i="154"/>
  <c r="M42" i="154"/>
  <c r="L42" i="154"/>
  <c r="K42" i="154"/>
  <c r="H42" i="154"/>
  <c r="A42" i="154"/>
  <c r="N41" i="154"/>
  <c r="M41" i="154"/>
  <c r="L41" i="154"/>
  <c r="K41" i="154"/>
  <c r="H41" i="154"/>
  <c r="A41" i="154"/>
  <c r="N40" i="154"/>
  <c r="M40" i="154"/>
  <c r="L40" i="154"/>
  <c r="K40" i="154"/>
  <c r="H40" i="154"/>
  <c r="A40" i="154"/>
  <c r="N39" i="154"/>
  <c r="M39" i="154"/>
  <c r="L39" i="154"/>
  <c r="K39" i="154"/>
  <c r="H39" i="154"/>
  <c r="A39" i="154"/>
  <c r="N38" i="154"/>
  <c r="M38" i="154"/>
  <c r="L38" i="154"/>
  <c r="K38" i="154"/>
  <c r="H38" i="154"/>
  <c r="A38" i="154"/>
  <c r="N37" i="154"/>
  <c r="M37" i="154"/>
  <c r="L37" i="154"/>
  <c r="K37" i="154"/>
  <c r="H37" i="154"/>
  <c r="A37" i="154"/>
  <c r="N36" i="154"/>
  <c r="M36" i="154"/>
  <c r="L36" i="154"/>
  <c r="K36" i="154"/>
  <c r="H36" i="154"/>
  <c r="A36" i="154"/>
  <c r="N35" i="154"/>
  <c r="M35" i="154"/>
  <c r="L35" i="154"/>
  <c r="K35" i="154"/>
  <c r="H35" i="154"/>
  <c r="A35" i="154"/>
  <c r="N34" i="154"/>
  <c r="M34" i="154"/>
  <c r="L34" i="154"/>
  <c r="K34" i="154"/>
  <c r="H34" i="154"/>
  <c r="A34" i="154"/>
  <c r="N33" i="154"/>
  <c r="M33" i="154"/>
  <c r="L33" i="154"/>
  <c r="K33" i="154"/>
  <c r="H33" i="154"/>
  <c r="A33" i="154"/>
  <c r="N32" i="154"/>
  <c r="M32" i="154"/>
  <c r="L32" i="154"/>
  <c r="K32" i="154"/>
  <c r="H32" i="154"/>
  <c r="A32" i="154"/>
  <c r="N31" i="154"/>
  <c r="M31" i="154"/>
  <c r="L31" i="154"/>
  <c r="K31" i="154"/>
  <c r="H31" i="154"/>
  <c r="A31" i="154"/>
  <c r="N30" i="154"/>
  <c r="M30" i="154"/>
  <c r="L30" i="154"/>
  <c r="K30" i="154"/>
  <c r="H30" i="154"/>
  <c r="A30" i="154"/>
  <c r="N29" i="154"/>
  <c r="M29" i="154"/>
  <c r="L29" i="154"/>
  <c r="K29" i="154"/>
  <c r="H29" i="154"/>
  <c r="A29" i="154"/>
  <c r="N28" i="154"/>
  <c r="M28" i="154"/>
  <c r="L28" i="154"/>
  <c r="K28" i="154"/>
  <c r="H28" i="154"/>
  <c r="A28" i="154"/>
  <c r="N27" i="154"/>
  <c r="M27" i="154"/>
  <c r="L27" i="154"/>
  <c r="K27" i="154"/>
  <c r="H27" i="154"/>
  <c r="A27" i="154"/>
  <c r="N26" i="154"/>
  <c r="M26" i="154"/>
  <c r="L26" i="154"/>
  <c r="K26" i="154"/>
  <c r="H26" i="154"/>
  <c r="A26" i="154"/>
  <c r="N25" i="154"/>
  <c r="M25" i="154"/>
  <c r="L25" i="154"/>
  <c r="K25" i="154"/>
  <c r="H25" i="154"/>
  <c r="A25" i="154"/>
  <c r="N24" i="154"/>
  <c r="M24" i="154"/>
  <c r="L24" i="154"/>
  <c r="K24" i="154"/>
  <c r="H24" i="154"/>
  <c r="A24" i="154"/>
  <c r="N23" i="154"/>
  <c r="M23" i="154"/>
  <c r="L23" i="154"/>
  <c r="K23" i="154"/>
  <c r="H23" i="154"/>
  <c r="A23" i="154"/>
  <c r="N22" i="154"/>
  <c r="M22" i="154"/>
  <c r="L22" i="154"/>
  <c r="K22" i="154"/>
  <c r="H22" i="154"/>
  <c r="A22" i="154"/>
  <c r="N21" i="154"/>
  <c r="M21" i="154"/>
  <c r="L21" i="154"/>
  <c r="K21" i="154"/>
  <c r="H21" i="154"/>
  <c r="A21" i="154"/>
  <c r="N20" i="154"/>
  <c r="M20" i="154"/>
  <c r="L20" i="154"/>
  <c r="K20" i="154"/>
  <c r="H20" i="154"/>
  <c r="A20" i="154"/>
  <c r="N19" i="154"/>
  <c r="M19" i="154"/>
  <c r="L19" i="154"/>
  <c r="K19" i="154"/>
  <c r="H19" i="154"/>
  <c r="A19" i="154"/>
  <c r="N18" i="154"/>
  <c r="M18" i="154"/>
  <c r="L18" i="154"/>
  <c r="K18" i="154"/>
  <c r="H18" i="154"/>
  <c r="A18" i="154"/>
  <c r="N17" i="154"/>
  <c r="M17" i="154"/>
  <c r="L17" i="154"/>
  <c r="K17" i="154"/>
  <c r="H17" i="154"/>
  <c r="A17" i="154"/>
  <c r="N16" i="154"/>
  <c r="M16" i="154"/>
  <c r="L16" i="154"/>
  <c r="K16" i="154"/>
  <c r="H16" i="154"/>
  <c r="A16" i="154"/>
  <c r="N15" i="154"/>
  <c r="M15" i="154"/>
  <c r="L15" i="154"/>
  <c r="K15" i="154"/>
  <c r="H15" i="154"/>
  <c r="A15" i="154"/>
  <c r="N14" i="154"/>
  <c r="M14" i="154"/>
  <c r="L14" i="154"/>
  <c r="K14" i="154"/>
  <c r="H14" i="154"/>
  <c r="A14" i="154"/>
  <c r="N13" i="154"/>
  <c r="M13" i="154"/>
  <c r="L13" i="154"/>
  <c r="K13" i="154"/>
  <c r="H13" i="154"/>
  <c r="A13" i="154"/>
  <c r="N12" i="154"/>
  <c r="M12" i="154"/>
  <c r="L12" i="154"/>
  <c r="K12" i="154"/>
  <c r="H12" i="154"/>
  <c r="A12" i="154"/>
  <c r="N11" i="154"/>
  <c r="M11" i="154"/>
  <c r="L11" i="154"/>
  <c r="K11" i="154"/>
  <c r="H11" i="154"/>
  <c r="A11" i="154"/>
  <c r="N10" i="154"/>
  <c r="M10" i="154"/>
  <c r="L10" i="154"/>
  <c r="K10" i="154"/>
  <c r="H10" i="154"/>
  <c r="A10" i="154"/>
  <c r="N9" i="154"/>
  <c r="M9" i="154"/>
  <c r="L9" i="154"/>
  <c r="K9" i="154"/>
  <c r="H9" i="154"/>
  <c r="A9" i="154"/>
  <c r="N8" i="154"/>
  <c r="M8" i="154"/>
  <c r="L8" i="154"/>
  <c r="K8" i="154"/>
  <c r="H8" i="154"/>
  <c r="A8" i="154"/>
  <c r="N7" i="154"/>
  <c r="M7" i="154"/>
  <c r="L7" i="154"/>
  <c r="K7" i="154"/>
  <c r="H7" i="154"/>
  <c r="A7" i="154"/>
  <c r="N6" i="154"/>
  <c r="M6" i="154"/>
  <c r="L6" i="154"/>
  <c r="K6" i="154"/>
  <c r="H6" i="154"/>
  <c r="A6" i="154"/>
  <c r="N5" i="154"/>
  <c r="M5" i="154"/>
  <c r="L5" i="154"/>
  <c r="K5" i="154"/>
  <c r="H5" i="154"/>
  <c r="A5" i="154"/>
  <c r="N4" i="154"/>
  <c r="M4" i="154"/>
  <c r="L4" i="154"/>
  <c r="K4" i="154"/>
  <c r="H4" i="154"/>
  <c r="A4" i="154"/>
  <c r="N3" i="154"/>
  <c r="M3" i="154"/>
  <c r="L3" i="154"/>
  <c r="K3" i="154"/>
  <c r="H3" i="154"/>
  <c r="A3" i="154"/>
  <c r="N2" i="154"/>
  <c r="M2" i="154"/>
  <c r="L2" i="154"/>
  <c r="K2" i="154"/>
  <c r="H2" i="154"/>
  <c r="A2" i="154"/>
  <c r="B40" i="153"/>
  <c r="B42" i="153"/>
  <c r="B43" i="153"/>
  <c r="B44" i="153"/>
  <c r="B45" i="153"/>
  <c r="B46" i="153"/>
  <c r="F40" i="153"/>
  <c r="G40" i="153"/>
  <c r="C19" i="153"/>
  <c r="C20" i="153"/>
  <c r="C21" i="153"/>
  <c r="C22" i="153"/>
  <c r="C23" i="153"/>
  <c r="C24" i="153"/>
  <c r="C25" i="153"/>
  <c r="C26" i="153"/>
  <c r="C27" i="153"/>
  <c r="C28" i="153"/>
  <c r="C29" i="153"/>
  <c r="C30" i="153"/>
  <c r="C31" i="153"/>
  <c r="C32" i="153"/>
  <c r="I31" i="153"/>
  <c r="J31" i="153"/>
  <c r="F31" i="153"/>
  <c r="D31" i="153"/>
  <c r="I30" i="153"/>
  <c r="J30" i="153"/>
  <c r="F30" i="153"/>
  <c r="D30" i="153"/>
  <c r="I29" i="153"/>
  <c r="J29" i="153"/>
  <c r="F29" i="153"/>
  <c r="D29" i="153"/>
  <c r="I28" i="153"/>
  <c r="J28" i="153"/>
  <c r="F28" i="153"/>
  <c r="D28" i="153"/>
  <c r="I27" i="153"/>
  <c r="J27" i="153"/>
  <c r="F27" i="153"/>
  <c r="D27" i="153"/>
  <c r="I26" i="153"/>
  <c r="J26" i="153"/>
  <c r="F26" i="153"/>
  <c r="D26" i="153"/>
  <c r="I25" i="153"/>
  <c r="J25" i="153"/>
  <c r="F25" i="153"/>
  <c r="D25" i="153"/>
  <c r="I24" i="153"/>
  <c r="J24" i="153"/>
  <c r="F24" i="153"/>
  <c r="D24" i="153"/>
  <c r="I23" i="153"/>
  <c r="J23" i="153"/>
  <c r="F23" i="153"/>
  <c r="D23" i="153"/>
  <c r="I22" i="153"/>
  <c r="J22" i="153"/>
  <c r="F22" i="153"/>
  <c r="D22" i="153"/>
  <c r="I21" i="153"/>
  <c r="J21" i="153"/>
  <c r="F21" i="153"/>
  <c r="D21" i="153"/>
  <c r="R20" i="153"/>
  <c r="P20" i="153"/>
  <c r="O20" i="153"/>
  <c r="M20" i="153"/>
  <c r="R19" i="153"/>
  <c r="P19" i="153"/>
  <c r="O19" i="153"/>
  <c r="M19" i="153"/>
  <c r="I19" i="153"/>
  <c r="J19" i="153"/>
  <c r="F19" i="153"/>
  <c r="D19" i="153"/>
  <c r="R18" i="153"/>
  <c r="P18" i="153"/>
  <c r="O18" i="153"/>
  <c r="M18" i="153"/>
  <c r="I18" i="153"/>
  <c r="J18" i="153"/>
  <c r="F18" i="153"/>
  <c r="C18" i="153"/>
  <c r="D18" i="153"/>
  <c r="R17" i="153"/>
  <c r="P17" i="153"/>
  <c r="O17" i="153"/>
  <c r="M17" i="153"/>
  <c r="I17" i="153"/>
  <c r="J17" i="153"/>
  <c r="F17" i="153"/>
  <c r="C17" i="153"/>
  <c r="D17" i="153"/>
  <c r="V16" i="153"/>
  <c r="R16" i="153"/>
  <c r="P16" i="153"/>
  <c r="O16" i="153"/>
  <c r="M16" i="153"/>
  <c r="V15" i="153"/>
  <c r="R15" i="153"/>
  <c r="P15" i="153"/>
  <c r="O15" i="153"/>
  <c r="M15" i="153"/>
  <c r="V14" i="153"/>
  <c r="R14" i="153"/>
  <c r="P14" i="153"/>
  <c r="O14" i="153"/>
  <c r="M14" i="153"/>
  <c r="V13" i="153"/>
  <c r="R13" i="153"/>
  <c r="P13" i="153"/>
  <c r="O13" i="153"/>
  <c r="M13" i="153"/>
  <c r="V12" i="153"/>
  <c r="R12" i="153"/>
  <c r="P12" i="153"/>
  <c r="O12" i="153"/>
  <c r="M12" i="153"/>
  <c r="V11" i="153"/>
  <c r="R11" i="153"/>
  <c r="P11" i="153"/>
  <c r="O11" i="153"/>
  <c r="M11" i="153"/>
  <c r="V10" i="153"/>
  <c r="P10" i="153"/>
  <c r="O10" i="153"/>
  <c r="M10" i="153"/>
  <c r="V9" i="153"/>
  <c r="P9" i="153"/>
  <c r="O9" i="153"/>
  <c r="M9" i="153"/>
  <c r="V8" i="153"/>
  <c r="P8" i="153"/>
  <c r="O8" i="153"/>
  <c r="V7" i="153"/>
  <c r="P7" i="153"/>
  <c r="O7" i="153"/>
  <c r="V6" i="153"/>
  <c r="P6" i="153"/>
  <c r="O6" i="153"/>
  <c r="V5" i="153"/>
  <c r="P5" i="153"/>
  <c r="O5" i="153"/>
  <c r="V4" i="153"/>
  <c r="P4" i="153"/>
  <c r="O4" i="153"/>
  <c r="V3" i="153"/>
  <c r="P3" i="153"/>
  <c r="O3" i="153"/>
  <c r="V2" i="153"/>
  <c r="E7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3" i="103"/>
  <c r="E8" i="103"/>
  <c r="E3" i="103"/>
  <c r="D20" i="153"/>
  <c r="F20" i="153"/>
  <c r="I20" i="153"/>
  <c r="J20" i="153"/>
  <c r="B32" i="153"/>
  <c r="D32" i="153"/>
  <c r="F45" i="153"/>
  <c r="F46" i="153"/>
  <c r="B41" i="153"/>
  <c r="B47" i="153"/>
  <c r="C40" i="153"/>
  <c r="C41" i="153"/>
  <c r="C42" i="153"/>
  <c r="C43" i="153"/>
  <c r="C44" i="153"/>
  <c r="C45" i="153"/>
  <c r="C46" i="153"/>
  <c r="C47" i="153"/>
  <c r="F47" i="15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5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6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7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8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9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10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<sst xmlns="http://schemas.openxmlformats.org/spreadsheetml/2006/main" count="855" uniqueCount="240">
  <si>
    <t>character_id</t>
  </si>
  <si>
    <t>character_id</t>
    <phoneticPr fontId="16"/>
  </si>
  <si>
    <t>weight</t>
    <phoneticPr fontId="16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</si>
  <si>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</si>
  <si>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</si>
  <si>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</si>
  <si>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</si>
  <si>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</si>
  <si>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</si>
  <si>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</si>
  <si>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16"/>
  </si>
  <si>
    <t>gift_id</t>
    <phoneticPr fontId="16"/>
  </si>
  <si>
    <t>gift_type</t>
    <phoneticPr fontId="16"/>
  </si>
  <si>
    <t>gift_value</t>
    <phoneticPr fontId="16"/>
  </si>
  <si>
    <t>gift_count</t>
    <phoneticPr fontId="16"/>
  </si>
  <si>
    <t>language</t>
    <phoneticPr fontId="16"/>
  </si>
  <si>
    <t>title</t>
    <phoneticPr fontId="16"/>
  </si>
  <si>
    <t>detail</t>
    <phoneticPr fontId="16"/>
  </si>
  <si>
    <t>message</t>
    <phoneticPr fontId="16"/>
  </si>
  <si>
    <t>備考</t>
    <rPh sb="0" eb="2">
      <t>ビコウ</t>
    </rPh>
    <phoneticPr fontId="16"/>
  </si>
  <si>
    <t>character_id</t>
    <phoneticPr fontId="16"/>
  </si>
  <si>
    <t>name</t>
    <phoneticPr fontId="16"/>
  </si>
  <si>
    <t>drop_label</t>
    <phoneticPr fontId="16"/>
  </si>
  <si>
    <t>rare</t>
    <phoneticPr fontId="16"/>
  </si>
  <si>
    <t>character_type_id</t>
    <phoneticPr fontId="16"/>
  </si>
  <si>
    <t>character_tribe_id</t>
    <phoneticPr fontId="16"/>
  </si>
  <si>
    <t>unit_level</t>
    <phoneticPr fontId="16"/>
  </si>
  <si>
    <t>接頭語</t>
    <rPh sb="0" eb="3">
      <t>セットウゴ</t>
    </rPh>
    <phoneticPr fontId="49"/>
  </si>
  <si>
    <t>識別子</t>
    <rPh sb="0" eb="3">
      <t>シキベツシ</t>
    </rPh>
    <phoneticPr fontId="49"/>
  </si>
  <si>
    <t>形式</t>
    <rPh sb="0" eb="2">
      <t>ケイシキ</t>
    </rPh>
    <phoneticPr fontId="49"/>
  </si>
  <si>
    <t>出力ファイル名</t>
    <rPh sb="0" eb="2">
      <t>シュツリョク</t>
    </rPh>
    <rPh sb="6" eb="7">
      <t>メイ</t>
    </rPh>
    <phoneticPr fontId="49"/>
  </si>
  <si>
    <t>入力シート名</t>
    <rPh sb="0" eb="2">
      <t>ニュウリョク</t>
    </rPh>
    <rPh sb="5" eb="6">
      <t>メイ</t>
    </rPh>
    <phoneticPr fontId="49"/>
  </si>
  <si>
    <t>出力データ</t>
    <rPh sb="0" eb="2">
      <t>シュツリョク</t>
    </rPh>
    <phoneticPr fontId="49"/>
  </si>
  <si>
    <t>.tmp</t>
    <phoneticPr fontId="49"/>
  </si>
  <si>
    <t>.tmp</t>
    <phoneticPr fontId="49"/>
  </si>
  <si>
    <t>出力flg</t>
    <rPh sb="0" eb="2">
      <t>シュツリョク</t>
    </rPh>
    <phoneticPr fontId="49"/>
  </si>
  <si>
    <t>color</t>
    <phoneticPr fontId="16"/>
  </si>
  <si>
    <t>レアリティ別確率</t>
    <rPh sb="5" eb="6">
      <t>ベツ</t>
    </rPh>
    <rPh sb="6" eb="8">
      <t>カクリツ</t>
    </rPh>
    <phoneticPr fontId="16"/>
  </si>
  <si>
    <t>ラベル別確率</t>
    <rPh sb="3" eb="4">
      <t>ベツ</t>
    </rPh>
    <rPh sb="4" eb="6">
      <t>カクリツ</t>
    </rPh>
    <phoneticPr fontId="16"/>
  </si>
  <si>
    <t>SSS</t>
    <phoneticPr fontId="16"/>
  </si>
  <si>
    <t>SS</t>
    <phoneticPr fontId="16"/>
  </si>
  <si>
    <t>ラベル*レアリティ標準確率</t>
    <rPh sb="9" eb="11">
      <t>ヒョウジュン</t>
    </rPh>
    <rPh sb="11" eb="13">
      <t>カクリツ</t>
    </rPh>
    <phoneticPr fontId="16"/>
  </si>
  <si>
    <t>性別</t>
    <rPh sb="0" eb="2">
      <t>セイベツ</t>
    </rPh>
    <phoneticPr fontId="16"/>
  </si>
  <si>
    <t>合計</t>
    <rPh sb="0" eb="2">
      <t>ゴウケイ</t>
    </rPh>
    <phoneticPr fontId="16"/>
  </si>
  <si>
    <t>グループ</t>
    <phoneticPr fontId="16"/>
  </si>
  <si>
    <t>ピックアップ確率</t>
    <rPh sb="6" eb="8">
      <t>カクリツ</t>
    </rPh>
    <phoneticPr fontId="16"/>
  </si>
  <si>
    <t>残り確率</t>
    <rPh sb="0" eb="1">
      <t>ノコ</t>
    </rPh>
    <rPh sb="2" eb="4">
      <t>カクリツ</t>
    </rPh>
    <phoneticPr fontId="16"/>
  </si>
  <si>
    <t>確率</t>
    <rPh sb="0" eb="2">
      <t>カクリツ</t>
    </rPh>
    <phoneticPr fontId="16"/>
  </si>
  <si>
    <t>所属グループ</t>
    <rPh sb="0" eb="2">
      <t>ショゾク</t>
    </rPh>
    <phoneticPr fontId="16"/>
  </si>
  <si>
    <t>名前</t>
    <rPh sb="0" eb="2">
      <t>ナマエ</t>
    </rPh>
    <phoneticPr fontId="16"/>
  </si>
  <si>
    <t>レアリティ</t>
    <phoneticPr fontId="16"/>
  </si>
  <si>
    <t>ラベル</t>
    <phoneticPr fontId="16"/>
  </si>
  <si>
    <t>R3</t>
    <phoneticPr fontId="16"/>
  </si>
  <si>
    <t>R4</t>
    <phoneticPr fontId="16"/>
  </si>
  <si>
    <t>R5</t>
    <phoneticPr fontId="16"/>
  </si>
  <si>
    <t>個別確率</t>
    <rPh sb="0" eb="4">
      <t>コベツカクリツ</t>
    </rPh>
    <phoneticPr fontId="16"/>
  </si>
  <si>
    <t>該当数(ピックアップ除く)</t>
    <rPh sb="0" eb="2">
      <t>ガイトウ</t>
    </rPh>
    <rPh sb="2" eb="3">
      <t>スウ</t>
    </rPh>
    <rPh sb="10" eb="11">
      <t>ノゾ</t>
    </rPh>
    <phoneticPr fontId="16"/>
  </si>
  <si>
    <t>個別weight</t>
    <rPh sb="0" eb="2">
      <t>コベツ</t>
    </rPh>
    <phoneticPr fontId="16"/>
  </si>
  <si>
    <t>グループweight</t>
    <phoneticPr fontId="16"/>
  </si>
  <si>
    <t>端数</t>
    <rPh sb="0" eb="2">
      <t>ハスウ</t>
    </rPh>
    <phoneticPr fontId="16"/>
  </si>
  <si>
    <t>--検算用--</t>
    <rPh sb="3" eb="6">
      <t>ケンザンヨウ</t>
    </rPh>
    <phoneticPr fontId="16"/>
  </si>
  <si>
    <t>端数逆数</t>
    <rPh sb="0" eb="2">
      <t>ハスウ</t>
    </rPh>
    <rPh sb="2" eb="4">
      <t>ギャクスウ</t>
    </rPh>
    <phoneticPr fontId="16"/>
  </si>
  <si>
    <t>テーブルを増やしたい場合</t>
    <rPh sb="5" eb="6">
      <t>フ</t>
    </rPh>
    <rPh sb="10" eb="12">
      <t>バアイ</t>
    </rPh>
    <phoneticPr fontId="16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</si>
  <si>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16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</si>
  <si>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16"/>
  </si>
  <si>
    <t>３．outputシートで２で作ったtablesを指定する</t>
    <rPh sb="14" eb="15">
      <t>ツク</t>
    </rPh>
    <rPh sb="24" eb="26">
      <t>シテイ</t>
    </rPh>
    <phoneticPr fontId="16"/>
  </si>
  <si>
    <t>テーブルid</t>
    <phoneticPr fontId="16"/>
  </si>
  <si>
    <t>→ピックアップの確率は右のほうにいます</t>
    <rPh sb="8" eb="10">
      <t>カクリツ</t>
    </rPh>
    <rPh sb="11" eb="12">
      <t>ミギ</t>
    </rPh>
    <phoneticPr fontId="16"/>
  </si>
  <si>
    <t>table_no</t>
    <phoneticPr fontId="16"/>
  </si>
  <si>
    <t>table_no</t>
    <phoneticPr fontId="16"/>
  </si>
  <si>
    <t>hp_plus</t>
    <phoneticPr fontId="49"/>
  </si>
  <si>
    <t>attack_plus</t>
    <phoneticPr fontId="49"/>
  </si>
  <si>
    <t>heal_plus</t>
    <phoneticPr fontId="49"/>
  </si>
  <si>
    <t>defense_plus</t>
    <phoneticPr fontId="49"/>
  </si>
  <si>
    <t>level</t>
    <phoneticPr fontId="49"/>
  </si>
  <si>
    <t>skill_level</t>
    <phoneticPr fontId="49"/>
  </si>
  <si>
    <t>bug</t>
    <phoneticPr fontId="49"/>
  </si>
  <si>
    <t>drop_label2</t>
    <phoneticPr fontId="16"/>
  </si>
  <si>
    <t>Premium</t>
    <phoneticPr fontId="16"/>
  </si>
  <si>
    <t>Premium3</t>
    <phoneticPr fontId="16"/>
  </si>
  <si>
    <t>Premium4</t>
    <phoneticPr fontId="16"/>
  </si>
  <si>
    <t>Premium5</t>
    <phoneticPr fontId="16"/>
  </si>
  <si>
    <t>グループ確率</t>
    <rPh sb="4" eb="6">
      <t>カクリツ</t>
    </rPh>
    <phoneticPr fontId="16"/>
  </si>
  <si>
    <t>レア度別確率</t>
    <rPh sb="2" eb="4">
      <t>ドベツ</t>
    </rPh>
    <rPh sb="4" eb="6">
      <t>カクリツ</t>
    </rPh>
    <phoneticPr fontId="16"/>
  </si>
  <si>
    <t>color2</t>
    <phoneticPr fontId="16"/>
  </si>
  <si>
    <t>Premium3</t>
  </si>
  <si>
    <t>Premium4</t>
  </si>
  <si>
    <t>Premium5</t>
  </si>
  <si>
    <t>PremiumSS4</t>
    <phoneticPr fontId="16"/>
  </si>
  <si>
    <t>PremiumSS5</t>
    <phoneticPr fontId="16"/>
  </si>
  <si>
    <t>PremiumSSS5</t>
    <phoneticPr fontId="16"/>
  </si>
  <si>
    <t>PremiumSSS4</t>
    <phoneticPr fontId="16"/>
  </si>
  <si>
    <t>gacha_select_tables_</t>
    <phoneticPr fontId="16"/>
  </si>
  <si>
    <t>ラベル確率で考えましょう</t>
    <rPh sb="6" eb="7">
      <t>カンガエマショウ</t>
    </rPh>
    <phoneticPr fontId="49"/>
  </si>
  <si>
    <t>ラベル</t>
    <phoneticPr fontId="49"/>
  </si>
  <si>
    <t>レアリティ</t>
    <phoneticPr fontId="49"/>
  </si>
  <si>
    <t>{W}</t>
    <phoneticPr fontId="49"/>
  </si>
  <si>
    <t>{N,S}</t>
    <phoneticPr fontId="49"/>
  </si>
  <si>
    <t>{N,S}R3less</t>
    <phoneticPr fontId="49"/>
  </si>
  <si>
    <t>{N,S}R6release</t>
    <phoneticPr fontId="49"/>
  </si>
  <si>
    <t>{SS}</t>
    <phoneticPr fontId="49"/>
  </si>
  <si>
    <t>{SS}R6only</t>
    <phoneticPr fontId="49"/>
  </si>
  <si>
    <t>小計</t>
    <rPh sb="0" eb="2">
      <t>ショウケイ</t>
    </rPh>
    <phoneticPr fontId="49"/>
  </si>
  <si>
    <t>A</t>
    <phoneticPr fontId="49"/>
  </si>
  <si>
    <t>C</t>
    <phoneticPr fontId="49"/>
  </si>
  <si>
    <t>H</t>
    <phoneticPr fontId="49"/>
  </si>
  <si>
    <t>B</t>
    <phoneticPr fontId="49"/>
  </si>
  <si>
    <t>D</t>
    <phoneticPr fontId="49"/>
  </si>
  <si>
    <t>F</t>
    <phoneticPr fontId="49"/>
  </si>
  <si>
    <t>I</t>
    <phoneticPr fontId="49"/>
  </si>
  <si>
    <t>K</t>
    <phoneticPr fontId="49"/>
  </si>
  <si>
    <t>E</t>
    <phoneticPr fontId="49"/>
  </si>
  <si>
    <t>G</t>
    <phoneticPr fontId="49"/>
  </si>
  <si>
    <t>J</t>
    <phoneticPr fontId="49"/>
  </si>
  <si>
    <t>L</t>
    <phoneticPr fontId="49"/>
  </si>
  <si>
    <t>M</t>
    <phoneticPr fontId="49"/>
  </si>
  <si>
    <t>→</t>
    <phoneticPr fontId="49"/>
  </si>
  <si>
    <t>1-SS率</t>
    <rPh sb="4" eb="5">
      <t>リツ</t>
    </rPh>
    <phoneticPr fontId="49"/>
  </si>
  <si>
    <t>SS率</t>
    <rPh sb="2" eb="3">
      <t>リツ</t>
    </rPh>
    <phoneticPr fontId="49"/>
  </si>
  <si>
    <t>考え方を変える</t>
    <rPh sb="0" eb="1">
      <t>カンガエカタ</t>
    </rPh>
    <rPh sb="4" eb="5">
      <t>カエル</t>
    </rPh>
    <phoneticPr fontId="49"/>
  </si>
  <si>
    <t>SS4%は確定事項</t>
    <rPh sb="5" eb="7">
      <t>カクテイ</t>
    </rPh>
    <rPh sb="7" eb="9">
      <t>ジコウ</t>
    </rPh>
    <phoneticPr fontId="49"/>
  </si>
  <si>
    <t>当たりは分配</t>
    <rPh sb="0" eb="1">
      <t>アタリ</t>
    </rPh>
    <rPh sb="4" eb="6">
      <t>ブンパイ</t>
    </rPh>
    <phoneticPr fontId="49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</si>
  <si>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49"/>
  </si>
  <si>
    <t>=</t>
    <phoneticPr fontId="49"/>
  </si>
  <si>
    <t>X*{SS R5only}</t>
    <phoneticPr fontId="49"/>
  </si>
  <si>
    <t>K</t>
    <phoneticPr fontId="49"/>
  </si>
  <si>
    <t>=</t>
    <phoneticPr fontId="49"/>
  </si>
  <si>
    <t>X*{SS}*(R3率+R4率)</t>
    <rPh sb="10" eb="11">
      <t>リツ</t>
    </rPh>
    <rPh sb="14" eb="15">
      <t>リツ</t>
    </rPh>
    <phoneticPr fontId="49"/>
  </si>
  <si>
    <t>L</t>
    <phoneticPr fontId="49"/>
  </si>
  <si>
    <t>X*{SS}*R5率</t>
    <rPh sb="9" eb="10">
      <t>リツ</t>
    </rPh>
    <phoneticPr fontId="49"/>
  </si>
  <si>
    <t>X*{R6release}*R3率</t>
    <rPh sb="16" eb="17">
      <t>リツ</t>
    </rPh>
    <phoneticPr fontId="49"/>
  </si>
  <si>
    <t>X*{R6release}*R4率</t>
    <rPh sb="16" eb="17">
      <t>リツ</t>
    </rPh>
    <phoneticPr fontId="49"/>
  </si>
  <si>
    <t>J</t>
    <phoneticPr fontId="49"/>
  </si>
  <si>
    <t>X*{R6release}*R5率</t>
    <rPh sb="16" eb="17">
      <t>リツ</t>
    </rPh>
    <phoneticPr fontId="49"/>
  </si>
  <si>
    <t>ハズレで確率を整える</t>
    <rPh sb="4" eb="6">
      <t>カクリツ</t>
    </rPh>
    <rPh sb="7" eb="8">
      <t>トトノエル</t>
    </rPh>
    <phoneticPr fontId="49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</si>
  <si>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49"/>
  </si>
  <si>
    <t>A + C</t>
    <phoneticPr fontId="49"/>
  </si>
  <si>
    <t>=</t>
    <phoneticPr fontId="49"/>
  </si>
  <si>
    <t>50%-H</t>
    <phoneticPr fontId="49"/>
  </si>
  <si>
    <t>①</t>
    <phoneticPr fontId="49"/>
  </si>
  <si>
    <t>B + D + F</t>
    <phoneticPr fontId="49"/>
  </si>
  <si>
    <t>45%-I-K</t>
    <phoneticPr fontId="49"/>
  </si>
  <si>
    <t>②</t>
    <phoneticPr fontId="49"/>
  </si>
  <si>
    <t>E+G</t>
    <phoneticPr fontId="49"/>
  </si>
  <si>
    <t>5%-J-L-M</t>
    <phoneticPr fontId="49"/>
  </si>
  <si>
    <t>③</t>
    <phoneticPr fontId="49"/>
  </si>
  <si>
    <t>A+B</t>
    <phoneticPr fontId="49"/>
  </si>
  <si>
    <t>Y*{W}</t>
    <phoneticPr fontId="49"/>
  </si>
  <si>
    <t>④</t>
    <phoneticPr fontId="49"/>
  </si>
  <si>
    <t>C+D+E</t>
    <phoneticPr fontId="49"/>
  </si>
  <si>
    <t>Y*{N,S}</t>
    <phoneticPr fontId="49"/>
  </si>
  <si>
    <t>⑤</t>
    <phoneticPr fontId="49"/>
  </si>
  <si>
    <t>F+G</t>
    <phoneticPr fontId="49"/>
  </si>
  <si>
    <t>Y*{N,S R3less}</t>
    <phoneticPr fontId="49"/>
  </si>
  <si>
    <t>⑥</t>
    <phoneticPr fontId="49"/>
  </si>
  <si>
    <t>A+B+C+D+E+F+G</t>
    <phoneticPr fontId="49"/>
  </si>
  <si>
    <t>⑦</t>
    <phoneticPr fontId="49"/>
  </si>
  <si>
    <t>←これは4,5,6で作れるのでダメだわ</t>
    <rPh sb="10" eb="11">
      <t>ツクレル</t>
    </rPh>
    <phoneticPr fontId="49"/>
  </si>
  <si>
    <t>E*R3率/R5率</t>
    <rPh sb="4" eb="5">
      <t>リツ</t>
    </rPh>
    <rPh sb="8" eb="9">
      <t>リツ</t>
    </rPh>
    <phoneticPr fontId="49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</si>
  <si>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49"/>
  </si>
  <si>
    <t>E*R4率/R5率</t>
    <rPh sb="4" eb="5">
      <t>リツ</t>
    </rPh>
    <rPh sb="8" eb="9">
      <t>リツ</t>
    </rPh>
    <phoneticPr fontId="49"/>
  </si>
  <si>
    <t>∴</t>
    <phoneticPr fontId="49"/>
  </si>
  <si>
    <t>E</t>
    <phoneticPr fontId="49"/>
  </si>
  <si>
    <t>Y*{N,S}*R5率</t>
    <rPh sb="10" eb="11">
      <t>リツ</t>
    </rPh>
    <phoneticPr fontId="49"/>
  </si>
  <si>
    <t>Y*{N,S}*R4率</t>
    <rPh sb="10" eb="11">
      <t>リツ</t>
    </rPh>
    <phoneticPr fontId="49"/>
  </si>
  <si>
    <t>Y*{N,S}*R3率</t>
    <rPh sb="10" eb="11">
      <t>リツ</t>
    </rPh>
    <phoneticPr fontId="49"/>
  </si>
  <si>
    <t>50%-H-C</t>
    <phoneticPr fontId="49"/>
  </si>
  <si>
    <t>Y*{W}-A</t>
    <phoneticPr fontId="49"/>
  </si>
  <si>
    <t>5%-J-L-M-E</t>
    <phoneticPr fontId="49"/>
  </si>
  <si>
    <t>Y*{N,S R3less} - G</t>
    <phoneticPr fontId="49"/>
  </si>
  <si>
    <t>R6境界前後</t>
    <rPh sb="2" eb="4">
      <t>キョウカイ</t>
    </rPh>
    <rPh sb="4" eb="6">
      <t>ゼンゴ</t>
    </rPh>
    <phoneticPr fontId="16"/>
  </si>
  <si>
    <t>R6事後開放N,S</t>
    <rPh sb="2" eb="6">
      <t>ジゴカイホウ</t>
    </rPh>
    <phoneticPr fontId="16"/>
  </si>
  <si>
    <t>PremiumW3</t>
    <phoneticPr fontId="16"/>
  </si>
  <si>
    <t>PremiumW4</t>
    <phoneticPr fontId="16"/>
  </si>
  <si>
    <t>ラベル確率</t>
    <rPh sb="3" eb="5">
      <t>カクリツ</t>
    </rPh>
    <phoneticPr fontId="16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</si>
  <si>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</si>
  <si>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</si>
  <si>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</si>
  <si>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</si>
  <si>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</si>
  <si>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16"/>
  </si>
  <si>
    <t>PremiumSS5R5only</t>
  </si>
  <si>
    <t>計算用中間データ</t>
    <rPh sb="0" eb="3">
      <t>ケイサンヨウ</t>
    </rPh>
    <rPh sb="3" eb="5">
      <t>チュウカン</t>
    </rPh>
    <phoneticPr fontId="16"/>
  </si>
  <si>
    <t>X</t>
    <phoneticPr fontId="16"/>
  </si>
  <si>
    <t>Y</t>
    <phoneticPr fontId="16"/>
  </si>
  <si>
    <t>対象数</t>
    <rPh sb="0" eb="3">
      <t>タイショウスウ</t>
    </rPh>
    <phoneticPr fontId="16"/>
  </si>
  <si>
    <t>PremiumW</t>
    <phoneticPr fontId="16"/>
  </si>
  <si>
    <t>PremiumN</t>
    <phoneticPr fontId="16"/>
  </si>
  <si>
    <t>PremiumS</t>
    <phoneticPr fontId="16"/>
  </si>
  <si>
    <t>PremiumSS</t>
    <phoneticPr fontId="16"/>
  </si>
  <si>
    <t>←R6分はここから差し引く</t>
    <rPh sb="3" eb="4">
      <t>ブン</t>
    </rPh>
    <rPh sb="9" eb="10">
      <t>サシヒク</t>
    </rPh>
    <phoneticPr fontId="16"/>
  </si>
  <si>
    <t>除外確率</t>
    <rPh sb="0" eb="2">
      <t>ジョガイ</t>
    </rPh>
    <rPh sb="2" eb="4">
      <t>カクリツ</t>
    </rPh>
    <phoneticPr fontId="16"/>
  </si>
  <si>
    <t>除外数</t>
    <rPh sb="0" eb="3">
      <t>ジョガイスウ</t>
    </rPh>
    <phoneticPr fontId="16"/>
  </si>
  <si>
    <t>もうここは手で入れよう…</t>
    <rPh sb="5" eb="6">
      <t>テ</t>
    </rPh>
    <rPh sb="7" eb="8">
      <t>イレヨウ</t>
    </rPh>
    <phoneticPr fontId="16"/>
  </si>
  <si>
    <t>通常weight</t>
    <rPh sb="0" eb="2">
      <t>ツウジョウ</t>
    </rPh>
    <phoneticPr fontId="16"/>
  </si>
  <si>
    <t>A</t>
    <phoneticPr fontId="16"/>
  </si>
  <si>
    <t>B</t>
    <phoneticPr fontId="16"/>
  </si>
  <si>
    <t>PremiumW4</t>
    <phoneticPr fontId="16"/>
  </si>
  <si>
    <t>C</t>
    <phoneticPr fontId="16"/>
  </si>
  <si>
    <t>Premium3</t>
    <phoneticPr fontId="16"/>
  </si>
  <si>
    <t>D</t>
    <phoneticPr fontId="16"/>
  </si>
  <si>
    <t>Premium4</t>
    <phoneticPr fontId="16"/>
  </si>
  <si>
    <t>E</t>
    <phoneticPr fontId="16"/>
  </si>
  <si>
    <t>Premium5</t>
    <phoneticPr fontId="16"/>
  </si>
  <si>
    <t>F</t>
    <phoneticPr fontId="16"/>
  </si>
  <si>
    <t>Premium4R3less</t>
    <phoneticPr fontId="16"/>
  </si>
  <si>
    <t>G</t>
    <phoneticPr fontId="16"/>
  </si>
  <si>
    <t>Premium5R3less</t>
    <phoneticPr fontId="16"/>
  </si>
  <si>
    <t>H</t>
    <phoneticPr fontId="16"/>
  </si>
  <si>
    <t>I</t>
    <phoneticPr fontId="16"/>
  </si>
  <si>
    <t>J</t>
    <phoneticPr fontId="16"/>
  </si>
  <si>
    <t>K</t>
    <phoneticPr fontId="16"/>
  </si>
  <si>
    <t>Premium3R6release</t>
    <phoneticPr fontId="16"/>
  </si>
  <si>
    <t>Premium4R6release</t>
    <phoneticPr fontId="16"/>
  </si>
  <si>
    <t>Premium5R6release</t>
    <phoneticPr fontId="16"/>
  </si>
  <si>
    <t>PremiumSS4</t>
    <phoneticPr fontId="16"/>
  </si>
  <si>
    <t>PremiumSS5</t>
    <phoneticPr fontId="16"/>
  </si>
  <si>
    <t>L</t>
    <phoneticPr fontId="16"/>
  </si>
  <si>
    <t>M</t>
    <phoneticPr fontId="16"/>
  </si>
  <si>
    <t>PremiumSS5R5only</t>
    <phoneticPr fontId="16"/>
  </si>
  <si>
    <t>50% - H - C</t>
    <phoneticPr fontId="16"/>
  </si>
  <si>
    <t>PremiumSSS4R3less</t>
    <phoneticPr fontId="16"/>
  </si>
  <si>
    <t>PremiumSSS5R3less</t>
    <phoneticPr fontId="16"/>
  </si>
  <si>
    <t>通常確率</t>
    <phoneticPr fontId="16"/>
  </si>
  <si>
    <t>通常確率</t>
    <phoneticPr fontId="16"/>
  </si>
  <si>
    <t>old</t>
    <phoneticPr fontId="16"/>
  </si>
  <si>
    <t>old</t>
    <phoneticPr fontId="16"/>
  </si>
  <si>
    <t>gacha_settle_tables_</t>
    <phoneticPr fontId="16"/>
  </si>
  <si>
    <t>.tmp</t>
    <phoneticPr fontId="49"/>
  </si>
  <si>
    <t>PremiumSSw</t>
    <phoneticPr fontId="16"/>
  </si>
  <si>
    <t>PremiumSSw</t>
    <phoneticPr fontId="16"/>
  </si>
  <si>
    <t>tables_498100</t>
  </si>
  <si>
    <t>tables_498010</t>
  </si>
  <si>
    <t>tables_settle_498101</t>
    <phoneticPr fontId="16"/>
  </si>
  <si>
    <t>tables_settle_498102</t>
    <phoneticPr fontId="16"/>
  </si>
  <si>
    <t>tables_settle_498103</t>
    <phoneticPr fontId="16"/>
  </si>
  <si>
    <t>tables_settle_498104</t>
    <phoneticPr fontId="16"/>
  </si>
  <si>
    <t>tables_settle_498105</t>
    <phoneticPr fontId="16"/>
  </si>
  <si>
    <t>tables_498101</t>
    <phoneticPr fontId="16"/>
  </si>
  <si>
    <t>tables_498104</t>
    <phoneticPr fontId="1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</si>
</sst>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  <numFmt numFmtId="183" formatCode="0.00000000000000%"/>
  </numFmts>
  <fonts count="54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8">
    <xf numFmtId="0" fontId="0" fillId="0" borderId="0"/>
    <xf numFmtId="0" fontId="15" fillId="0" borderId="0"/>
    <xf numFmtId="0" fontId="19" fillId="0" borderId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14" fillId="0" borderId="0"/>
    <xf numFmtId="0" fontId="26" fillId="5" borderId="2" applyNumberFormat="0" applyAlignment="0" applyProtection="0"/>
    <xf numFmtId="0" fontId="27" fillId="6" borderId="0" applyNumberFormat="0" applyBorder="0" applyAlignment="0" applyProtection="0"/>
    <xf numFmtId="0" fontId="28" fillId="7" borderId="3" applyNumberFormat="0" applyAlignment="0" applyProtection="0"/>
    <xf numFmtId="0" fontId="29" fillId="0" borderId="0" applyNumberFormat="0" applyFill="0" applyBorder="0" applyAlignment="0" applyProtection="0"/>
    <xf numFmtId="0" fontId="30" fillId="8" borderId="0" applyNumberFormat="0" applyBorder="0" applyAlignment="0" applyProtection="0"/>
    <xf numFmtId="0" fontId="31" fillId="9" borderId="4" applyNumberFormat="0" applyAlignment="0" applyProtection="0"/>
    <xf numFmtId="0" fontId="32" fillId="0" borderId="0" applyNumberFormat="0" applyFill="0" applyBorder="0" applyAlignment="0" applyProtection="0"/>
    <xf numFmtId="0" fontId="33" fillId="0" borderId="5" applyNumberFormat="0" applyFill="0" applyAlignment="0" applyProtection="0"/>
    <xf numFmtId="0" fontId="34" fillId="0" borderId="6" applyNumberFormat="0" applyFill="0" applyAlignment="0" applyProtection="0"/>
    <xf numFmtId="0" fontId="35" fillId="0" borderId="7" applyNumberFormat="0" applyFill="0" applyAlignment="0" applyProtection="0"/>
    <xf numFmtId="0" fontId="35" fillId="0" borderId="0" applyNumberFormat="0" applyFill="0" applyBorder="0" applyAlignment="0" applyProtection="0"/>
    <xf numFmtId="0" fontId="36" fillId="7" borderId="0" applyNumberFormat="0" applyBorder="0" applyAlignment="0" applyProtection="0"/>
    <xf numFmtId="0" fontId="36" fillId="6" borderId="0" applyNumberFormat="0" applyBorder="0" applyAlignment="0" applyProtection="0"/>
    <xf numFmtId="0" fontId="36" fillId="10" borderId="0" applyNumberFormat="0" applyBorder="0" applyAlignment="0" applyProtection="0"/>
    <xf numFmtId="0" fontId="36" fillId="7" borderId="0" applyNumberFormat="0" applyBorder="0" applyAlignment="0" applyProtection="0"/>
    <xf numFmtId="0" fontId="36" fillId="11" borderId="0" applyNumberFormat="0" applyBorder="0" applyAlignment="0" applyProtection="0"/>
    <xf numFmtId="0" fontId="36" fillId="5" borderId="0" applyNumberFormat="0" applyBorder="0" applyAlignment="0" applyProtection="0"/>
    <xf numFmtId="0" fontId="36" fillId="7" borderId="0" applyNumberFormat="0" applyBorder="0" applyAlignment="0" applyProtection="0"/>
    <xf numFmtId="0" fontId="36" fillId="12" borderId="0" applyNumberFormat="0" applyBorder="0" applyAlignment="0" applyProtection="0"/>
    <xf numFmtId="0" fontId="36" fillId="10" borderId="0" applyNumberFormat="0" applyBorder="0" applyAlignment="0" applyProtection="0"/>
    <xf numFmtId="0" fontId="36" fillId="7" borderId="0" applyNumberFormat="0" applyBorder="0" applyAlignment="0" applyProtection="0"/>
    <xf numFmtId="0" fontId="36" fillId="13" borderId="0" applyNumberFormat="0" applyBorder="0" applyAlignment="0" applyProtection="0"/>
    <xf numFmtId="0" fontId="36" fillId="6" borderId="0" applyNumberFormat="0" applyBorder="0" applyAlignment="0" applyProtection="0"/>
    <xf numFmtId="0" fontId="37" fillId="14" borderId="0" applyNumberFormat="0" applyBorder="0" applyAlignment="0" applyProtection="0"/>
    <xf numFmtId="0" fontId="37" fillId="12" borderId="0" applyNumberFormat="0" applyBorder="0" applyAlignment="0" applyProtection="0"/>
    <xf numFmtId="0" fontId="37" fillId="10" borderId="0" applyNumberFormat="0" applyBorder="0" applyAlignment="0" applyProtection="0"/>
    <xf numFmtId="0" fontId="37" fillId="7" borderId="0" applyNumberFormat="0" applyBorder="0" applyAlignment="0" applyProtection="0"/>
    <xf numFmtId="0" fontId="37" fillId="14" borderId="0" applyNumberFormat="0" applyBorder="0" applyAlignment="0" applyProtection="0"/>
    <xf numFmtId="0" fontId="37" fillId="6" borderId="0" applyNumberFormat="0" applyBorder="0" applyAlignment="0" applyProtection="0"/>
    <xf numFmtId="0" fontId="29" fillId="0" borderId="0" applyNumberFormat="0" applyFill="0" applyBorder="0" applyAlignment="0" applyProtection="0"/>
    <xf numFmtId="0" fontId="37" fillId="14" borderId="0" applyNumberFormat="0" applyBorder="0" applyAlignment="0" applyProtection="0"/>
    <xf numFmtId="0" fontId="37" fillId="15" borderId="0" applyNumberFormat="0" applyBorder="0" applyAlignment="0" applyProtection="0"/>
    <xf numFmtId="0" fontId="37" fillId="10" borderId="0" applyNumberFormat="0" applyBorder="0" applyAlignment="0" applyProtection="0"/>
    <xf numFmtId="0" fontId="37" fillId="16" borderId="0" applyNumberFormat="0" applyBorder="0" applyAlignment="0" applyProtection="0"/>
    <xf numFmtId="0" fontId="37" fillId="14" borderId="0" applyNumberFormat="0" applyBorder="0" applyAlignment="0" applyProtection="0"/>
    <xf numFmtId="0" fontId="37" fillId="12" borderId="0" applyNumberFormat="0" applyBorder="0" applyAlignment="0" applyProtection="0"/>
    <xf numFmtId="0" fontId="38" fillId="17" borderId="0" applyNumberFormat="0" applyBorder="0" applyAlignment="0" applyProtection="0"/>
    <xf numFmtId="0" fontId="27" fillId="6" borderId="0" applyNumberFormat="0" applyBorder="0" applyAlignment="0" applyProtection="0"/>
    <xf numFmtId="0" fontId="39" fillId="0" borderId="8" applyNumberFormat="0" applyFill="0" applyAlignment="0" applyProtection="0"/>
    <xf numFmtId="0" fontId="40" fillId="7" borderId="9" applyNumberFormat="0" applyAlignment="0" applyProtection="0"/>
    <xf numFmtId="0" fontId="40" fillId="18" borderId="9" applyNumberFormat="0" applyAlignment="0" applyProtection="0"/>
    <xf numFmtId="0" fontId="28" fillId="6" borderId="3" applyNumberFormat="0" applyAlignment="0" applyProtection="0"/>
    <xf numFmtId="0" fontId="41" fillId="0" borderId="10" applyNumberFormat="0" applyFill="0" applyAlignment="0" applyProtection="0"/>
    <xf numFmtId="0" fontId="42" fillId="18" borderId="3" applyNumberFormat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11" applyNumberFormat="0" applyFill="0" applyAlignment="0" applyProtection="0"/>
    <xf numFmtId="38" fontId="14" fillId="0" borderId="0" applyFont="0" applyFill="0" applyBorder="0" applyAlignment="0" applyProtection="0">
      <alignment vertical="center"/>
    </xf>
    <xf numFmtId="0" fontId="45" fillId="19" borderId="0" applyNumberFormat="0" applyBorder="0" applyAlignment="0" applyProtection="0"/>
    <xf numFmtId="0" fontId="46" fillId="20" borderId="0" applyNumberFormat="0" applyBorder="0" applyAlignment="0" applyProtection="0"/>
    <xf numFmtId="0" fontId="14" fillId="0" borderId="0"/>
    <xf numFmtId="0" fontId="47" fillId="20" borderId="0" applyNumberFormat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12" fillId="0" borderId="0"/>
    <xf numFmtId="0" fontId="50" fillId="0" borderId="0">
      <alignment vertical="center"/>
    </xf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11" fillId="0" borderId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9" fontId="51" fillId="0" borderId="0" applyFon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8" fillId="0" borderId="0"/>
    <xf numFmtId="38" fontId="51" fillId="0" borderId="0" applyFon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</cellStyleXfs>
  <cellXfs count="97">
    <xf numFmtId="0" fontId="0" fillId="0" borderId="0" xfId="0"/>
    <xf numFmtId="0" fontId="21" fillId="0" borderId="0" xfId="2" applyFont="1" applyAlignment="1">
      <alignment vertical="center"/>
    </xf>
    <xf numFmtId="0" fontId="21" fillId="0" borderId="1" xfId="2" applyFont="1" applyBorder="1" applyAlignment="1">
      <alignment vertical="center"/>
    </xf>
    <xf numFmtId="0" fontId="21" fillId="3" borderId="1" xfId="2" applyFont="1" applyFill="1" applyBorder="1" applyAlignment="1">
      <alignment horizontal="center" vertical="center"/>
    </xf>
    <xf numFmtId="0" fontId="21" fillId="0" borderId="0" xfId="2" applyFont="1" applyAlignment="1">
      <alignment horizontal="center" vertical="center"/>
    </xf>
    <xf numFmtId="0" fontId="21" fillId="4" borderId="1" xfId="2" applyFont="1" applyFill="1" applyBorder="1" applyAlignment="1">
      <alignment vertical="center"/>
    </xf>
    <xf numFmtId="0" fontId="20" fillId="4" borderId="1" xfId="0" applyFont="1" applyFill="1" applyBorder="1" applyAlignment="1">
      <alignment horizontal="right" vertical="center"/>
    </xf>
    <xf numFmtId="0" fontId="21" fillId="3" borderId="1" xfId="2" applyFont="1" applyFill="1" applyBorder="1" applyAlignment="1">
      <alignment vertical="center"/>
    </xf>
    <xf numFmtId="0" fontId="22" fillId="4" borderId="1" xfId="0" applyFont="1" applyFill="1" applyBorder="1" applyAlignment="1">
      <alignment vertical="center"/>
    </xf>
    <xf numFmtId="0" fontId="21" fillId="0" borderId="13" xfId="2" applyFont="1" applyBorder="1" applyAlignment="1">
      <alignment vertical="center"/>
    </xf>
    <xf numFmtId="0" fontId="20" fillId="4" borderId="12" xfId="0" applyFont="1" applyFill="1" applyBorder="1" applyAlignment="1">
      <alignment horizontal="right" vertical="center"/>
    </xf>
    <xf numFmtId="0" fontId="20" fillId="4" borderId="14" xfId="0" applyFont="1" applyFill="1" applyBorder="1" applyAlignment="1">
      <alignment horizontal="right" vertical="center"/>
    </xf>
    <xf numFmtId="0" fontId="21" fillId="0" borderId="15" xfId="2" applyFont="1" applyBorder="1" applyAlignment="1">
      <alignment vertical="center"/>
    </xf>
    <xf numFmtId="0" fontId="21" fillId="2" borderId="1" xfId="2" applyFont="1" applyFill="1" applyBorder="1" applyAlignment="1">
      <alignment horizontal="left" vertical="center"/>
    </xf>
    <xf numFmtId="0" fontId="48" fillId="21" borderId="1" xfId="0" applyFont="1" applyFill="1" applyBorder="1" applyAlignment="1">
      <alignment horizontal="left" vertical="center"/>
    </xf>
    <xf numFmtId="0" fontId="21" fillId="2" borderId="1" xfId="2" applyFont="1" applyFill="1" applyBorder="1" applyAlignment="1">
      <alignment horizontal="center" vertical="center"/>
    </xf>
    <xf numFmtId="0" fontId="23" fillId="22" borderId="1" xfId="2978" applyFont="1" applyFill="1" applyBorder="1"/>
    <xf numFmtId="0" fontId="12" fillId="22" borderId="1" xfId="2978" applyFill="1" applyBorder="1"/>
    <xf numFmtId="0" fontId="12" fillId="0" borderId="0" xfId="2978"/>
    <xf numFmtId="0" fontId="12" fillId="0" borderId="1" xfId="2978" applyBorder="1"/>
    <xf numFmtId="0" fontId="14" fillId="2" borderId="1" xfId="19" applyFill="1" applyBorder="1"/>
    <xf numFmtId="0" fontId="13" fillId="2" borderId="1" xfId="19" applyFont="1" applyFill="1" applyBorder="1"/>
    <xf numFmtId="0" fontId="23" fillId="22" borderId="1" xfId="0" applyFont="1" applyFill="1" applyBorder="1"/>
    <xf numFmtId="0" fontId="48" fillId="23" borderId="1" xfId="0" applyFont="1" applyFill="1" applyBorder="1" applyAlignment="1">
      <alignment horizontal="center" vertical="center"/>
    </xf>
    <xf numFmtId="0" fontId="48" fillId="3" borderId="1" xfId="0" applyFont="1" applyFill="1" applyBorder="1" applyAlignment="1">
      <alignment vertical="center"/>
    </xf>
    <xf numFmtId="0" fontId="0" fillId="4" borderId="0" xfId="0" applyFill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10" fillId="2" borderId="1" xfId="19" applyFont="1" applyFill="1" applyBorder="1"/>
    <xf numFmtId="0" fontId="10" fillId="4" borderId="1" xfId="2978" applyFont="1" applyFill="1" applyBorder="1"/>
    <xf numFmtId="0" fontId="0" fillId="2" borderId="0" xfId="0" applyFill="1"/>
    <xf numFmtId="0" fontId="48" fillId="30" borderId="1" xfId="0" applyFont="1" applyFill="1" applyBorder="1" applyAlignment="1">
      <alignment horizontal="left" vertical="center"/>
    </xf>
    <xf numFmtId="0" fontId="21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0" fillId="25" borderId="1" xfId="0" applyFont="1" applyFill="1" applyBorder="1" applyAlignment="1">
      <alignment horizontal="right" vertical="center"/>
    </xf>
    <xf numFmtId="0" fontId="9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8" fillId="0" borderId="0" xfId="3662"/>
    <xf numFmtId="0" fontId="8" fillId="4" borderId="0" xfId="3662" applyFill="1"/>
    <xf numFmtId="9" fontId="8" fillId="0" borderId="0" xfId="3662" applyNumberFormat="1"/>
    <xf numFmtId="0" fontId="8" fillId="0" borderId="0" xfId="3662" applyFill="1"/>
    <xf numFmtId="9" fontId="8" fillId="0" borderId="0" xfId="3662" applyNumberFormat="1" applyAlignment="1"/>
    <xf numFmtId="0" fontId="8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2" fillId="0" borderId="0" xfId="0" applyFont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178" fontId="53" fillId="32" borderId="1" xfId="0" applyNumberFormat="1" applyFont="1" applyFill="1" applyBorder="1"/>
    <xf numFmtId="38" fontId="21" fillId="4" borderId="1" xfId="3663" quotePrefix="1" applyFont="1" applyFill="1" applyBorder="1" applyAlignment="1">
      <alignment vertical="center"/>
    </xf>
    <xf numFmtId="0" fontId="48" fillId="0" borderId="1" xfId="0" applyFont="1" applyBorder="1" applyAlignment="1">
      <alignment vertical="center"/>
    </xf>
    <xf numFmtId="0" fontId="48" fillId="0" borderId="1" xfId="0" applyFont="1" applyBorder="1" applyAlignment="1">
      <alignment vertical="center" wrapText="1"/>
    </xf>
    <xf numFmtId="0" fontId="21" fillId="25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7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21" fillId="0" borderId="0" xfId="2" applyFont="1" applyFill="1" applyBorder="1" applyAlignment="1">
      <alignment vertical="center"/>
    </xf>
    <xf numFmtId="0" fontId="20" fillId="25" borderId="0" xfId="0" applyFont="1" applyFill="1" applyBorder="1" applyAlignment="1">
      <alignment horizontal="right" vertical="center"/>
    </xf>
    <xf numFmtId="10" fontId="0" fillId="4" borderId="0" xfId="0" applyNumberFormat="1" applyFill="1"/>
    <xf numFmtId="0" fontId="6" fillId="0" borderId="1" xfId="3036" applyFont="1" applyBorder="1"/>
    <xf numFmtId="0" fontId="5" fillId="0" borderId="1" xfId="3036" applyFont="1" applyBorder="1"/>
    <xf numFmtId="0" fontId="22" fillId="25" borderId="1" xfId="0" applyFont="1" applyFill="1" applyBorder="1" applyAlignment="1">
      <alignment vertical="center"/>
    </xf>
    <xf numFmtId="183" fontId="0" fillId="4" borderId="1" xfId="0" applyNumberFormat="1" applyFill="1" applyBorder="1"/>
    <xf numFmtId="0" fontId="4" fillId="0" borderId="1" xfId="3036" applyFont="1" applyBorder="1"/>
    <xf numFmtId="0" fontId="4" fillId="0" borderId="1" xfId="2978" applyFont="1" applyBorder="1"/>
    <xf numFmtId="0" fontId="4" fillId="4" borderId="1" xfId="2978" applyFont="1" applyFill="1" applyBorder="1"/>
    <xf numFmtId="0" fontId="21" fillId="3" borderId="14" xfId="2" applyFont="1" applyFill="1" applyBorder="1" applyAlignment="1">
      <alignment vertical="center"/>
    </xf>
    <xf numFmtId="0" fontId="3" fillId="4" borderId="1" xfId="2978" applyFont="1" applyFill="1" applyBorder="1"/>
    <xf numFmtId="0" fontId="0" fillId="0" borderId="0" xfId="0" applyFill="1" applyBorder="1"/>
    <xf numFmtId="177" fontId="0" fillId="0" borderId="0" xfId="3575" applyNumberFormat="1" applyFont="1" applyFill="1" applyBorder="1"/>
    <xf numFmtId="0" fontId="48" fillId="0" borderId="0" xfId="0" applyFont="1" applyFill="1" applyBorder="1" applyAlignment="1">
      <alignment vertical="center"/>
    </xf>
    <xf numFmtId="0" fontId="2" fillId="4" borderId="1" xfId="2978" applyFont="1" applyFill="1" applyBorder="1"/>
    <xf numFmtId="176" fontId="0" fillId="0" borderId="0" xfId="3575" applyNumberFormat="1" applyFont="1"/>
    <xf numFmtId="0" fontId="1" fillId="4" borderId="1" xfId="2978" applyFont="1" applyFill="1" applyBorder="1"/>
  </cellXfs>
  <cellStyles count="3668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ハイパーリンク" xfId="3664" builtinId="8" hidden="1"/>
    <cellStyle name="ハイパーリンク" xfId="3666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表示済みのハイパーリンク" xfId="3665" builtinId="9" hidden="1"/>
    <cellStyle name="表示済みのハイパーリンク" xfId="3667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externalLink" Target="externalLinks/externalLink1.xml"/><Relationship Id="rId21" Type="http://schemas.openxmlformats.org/officeDocument/2006/relationships/theme" Target="theme/theme1.xml"/><Relationship Id="rId22" Type="http://schemas.openxmlformats.org/officeDocument/2006/relationships/styles" Target="styles.xml"/><Relationship Id="rId23" Type="http://schemas.openxmlformats.org/officeDocument/2006/relationships/sharedStrings" Target="sharedStrings.xml"/><Relationship Id="rId24" Type="http://schemas.openxmlformats.org/officeDocument/2006/relationships/calcChain" Target="calcChain.xml"/><Relationship Id="rId25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worksheet" Target="worksheets/sheet18.xml"/><Relationship Id="rId19" Type="http://schemas.openxmlformats.org/officeDocument/2006/relationships/worksheet" Target="worksheets/sheet19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超大型巨人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red</v>
          </cell>
          <cell r="I883">
            <v>5</v>
          </cell>
          <cell r="J883" t="str">
            <v>DropWizS</v>
          </cell>
          <cell r="K883" t="str">
            <v>hp</v>
          </cell>
          <cell r="L883" t="str">
            <v>体力タイプ</v>
          </cell>
          <cell r="M883" t="str">
            <v>unknown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C896" t="str">
            <v>未定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C899" t="str">
            <v>未定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animal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human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human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human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マジシャン_分岐覚醒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yellow</v>
          </cell>
          <cell r="I1086">
            <v>6</v>
          </cell>
          <cell r="J1086" t="str">
            <v>PremiumSSS</v>
          </cell>
          <cell r="K1086" t="str">
            <v>attack</v>
          </cell>
          <cell r="L1086" t="str">
            <v>攻撃タイプ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コードレッド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red</v>
          </cell>
          <cell r="I1087">
            <v>5</v>
          </cell>
          <cell r="J1087" t="str">
            <v>DropWizSS</v>
          </cell>
          <cell r="K1087" t="str">
            <v>balance</v>
          </cell>
          <cell r="L1087" t="str">
            <v>バランスタイプ</v>
          </cell>
          <cell r="M1087" t="str">
            <v>unknown</v>
          </cell>
        </row>
        <row r="1088">
          <cell r="A1088">
            <v>1087</v>
          </cell>
          <cell r="B1088" t="str">
            <v>ja</v>
          </cell>
          <cell r="C1088" t="str">
            <v>コードレッド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red</v>
          </cell>
          <cell r="I1088">
            <v>6</v>
          </cell>
          <cell r="J1088" t="str">
            <v>DropWizSS</v>
          </cell>
          <cell r="K1088" t="str">
            <v>balance</v>
          </cell>
          <cell r="L1088" t="str">
            <v>バランスタイプ</v>
          </cell>
          <cell r="M1088" t="str">
            <v>unknown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未定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blue</v>
          </cell>
          <cell r="I1091">
            <v>5</v>
          </cell>
          <cell r="J1091" t="str">
            <v>DropWizS</v>
          </cell>
          <cell r="K1091" t="str">
            <v>attack</v>
          </cell>
          <cell r="L1091" t="str">
            <v>攻撃タイプ</v>
          </cell>
          <cell r="M1091" t="str">
            <v>unknown</v>
          </cell>
        </row>
        <row r="1092">
          <cell r="A1092">
            <v>1091</v>
          </cell>
          <cell r="B1092" t="str">
            <v>ja</v>
          </cell>
          <cell r="C1092" t="str">
            <v>未定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blue</v>
          </cell>
          <cell r="I1092">
            <v>6</v>
          </cell>
          <cell r="J1092" t="str">
            <v>DropWizS</v>
          </cell>
          <cell r="K1092" t="str">
            <v>attack</v>
          </cell>
          <cell r="L1092" t="str">
            <v>攻撃タイプ</v>
          </cell>
          <cell r="M1092" t="str">
            <v>unknown</v>
          </cell>
        </row>
        <row r="1093">
          <cell r="A1093">
            <v>1092</v>
          </cell>
          <cell r="B1093" t="str">
            <v>ja</v>
          </cell>
          <cell r="C1093" t="str">
            <v>未定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yellow</v>
          </cell>
          <cell r="I1093">
            <v>5</v>
          </cell>
          <cell r="J1093" t="str">
            <v>DropWizS</v>
          </cell>
          <cell r="K1093" t="str">
            <v>attack</v>
          </cell>
          <cell r="L1093" t="str">
            <v>攻撃タイプ</v>
          </cell>
          <cell r="M1093" t="str">
            <v>unknown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未定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5</v>
          </cell>
          <cell r="J1109" t="str">
            <v>PremiumS</v>
          </cell>
          <cell r="K1109" t="str">
            <v>technical</v>
          </cell>
          <cell r="L1109" t="str">
            <v>テクニカルタイプ</v>
          </cell>
          <cell r="M1109" t="str">
            <v>unknown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ヘイウェイ_超覚醒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attack</v>
          </cell>
          <cell r="L1171" t="str">
            <v>攻撃タイプ</v>
          </cell>
          <cell r="M1171" t="str">
            <v>academia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PremiumSS</v>
          </cell>
          <cell r="K1174" t="str">
            <v>attack</v>
          </cell>
          <cell r="L1174" t="str">
            <v>攻撃タイプ</v>
          </cell>
          <cell r="M1174" t="str">
            <v>god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グリム_超覚醒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hp</v>
          </cell>
          <cell r="L1179" t="str">
            <v>体力タイプ</v>
          </cell>
          <cell r="M1179" t="str">
            <v>human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オーディン_超覚醒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PremiumSSS</v>
          </cell>
          <cell r="K1181" t="str">
            <v>attack</v>
          </cell>
          <cell r="L1181" t="str">
            <v>攻撃タイプ</v>
          </cell>
          <cell r="M1181" t="str">
            <v>academia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Gスターチルドレン(旧子供)_超覚醒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technical</v>
          </cell>
          <cell r="L1184" t="str">
            <v>テクニカルタイプ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hp</v>
          </cell>
          <cell r="L1239" t="str">
            <v>体力タイプ</v>
          </cell>
          <cell r="M1239" t="str">
            <v>human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hp</v>
          </cell>
          <cell r="L1240" t="str">
            <v>体力タイプ</v>
          </cell>
          <cell r="M1240" t="str">
            <v>human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コードレッド</v>
          </cell>
          <cell r="H1269" t="str">
            <v>red</v>
          </cell>
          <cell r="I1269">
            <v>6</v>
          </cell>
          <cell r="J1269" t="str">
            <v>PremiumSSS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コードレッド</v>
          </cell>
          <cell r="H1270" t="str">
            <v>red</v>
          </cell>
          <cell r="I1270">
            <v>6</v>
          </cell>
          <cell r="J1270" t="str">
            <v>PremiumSSS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沖田</v>
          </cell>
          <cell r="H1272" t="str">
            <v>blue</v>
          </cell>
          <cell r="I1272">
            <v>6</v>
          </cell>
          <cell r="J1272" t="str">
            <v>PremiumSS</v>
          </cell>
          <cell r="K1272" t="str">
            <v>attack</v>
          </cell>
          <cell r="L1272" t="str">
            <v>攻撃タイプ</v>
          </cell>
          <cell r="M1272" t="str">
            <v>human</v>
          </cell>
        </row>
        <row r="1273">
          <cell r="A1273">
            <v>1272</v>
          </cell>
          <cell r="B1273" t="str">
            <v>ja</v>
          </cell>
          <cell r="C1273" t="str">
            <v>親指</v>
          </cell>
          <cell r="H1273" t="str">
            <v>red</v>
          </cell>
          <cell r="I1273">
            <v>6</v>
          </cell>
          <cell r="J1273" t="str">
            <v>PremiumSS</v>
          </cell>
          <cell r="K1273" t="str">
            <v>attack</v>
          </cell>
          <cell r="L1273" t="str">
            <v>攻撃タイプ</v>
          </cell>
          <cell r="M1273" t="str">
            <v>human</v>
          </cell>
        </row>
        <row r="1274">
          <cell r="A1274">
            <v>1273</v>
          </cell>
          <cell r="B1274" t="str">
            <v>ja</v>
          </cell>
          <cell r="C1274" t="str">
            <v>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attack</v>
          </cell>
          <cell r="L1274" t="str">
            <v>攻撃タイプ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</row>
        <row r="1296">
          <cell r="A1296">
            <v>1295</v>
          </cell>
          <cell r="B1296" t="str">
            <v>ja</v>
          </cell>
          <cell r="C1296" t="str">
            <v>rabbit01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</row>
        <row r="1297">
          <cell r="A1297">
            <v>1296</v>
          </cell>
          <cell r="B1297" t="str">
            <v>ja</v>
          </cell>
          <cell r="C1297" t="str">
            <v>rabbit02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</row>
        <row r="1298">
          <cell r="A1298">
            <v>1297</v>
          </cell>
          <cell r="B1298" t="str">
            <v>ja</v>
          </cell>
          <cell r="C1298" t="str">
            <v>fox01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</row>
        <row r="1299">
          <cell r="A1299">
            <v>1298</v>
          </cell>
          <cell r="B1299" t="str">
            <v>ja</v>
          </cell>
          <cell r="C1299" t="str">
            <v>fox02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</row>
        <row r="1300">
          <cell r="A1300">
            <v>1299</v>
          </cell>
          <cell r="B1300" t="str">
            <v>ja</v>
          </cell>
          <cell r="C1300" t="str">
            <v>wildboar01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wolf01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wolf02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raccoon01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raccoon02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sloth01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sloth02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hedgehog01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hedgehog02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mole01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bear01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giraffe01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sheep01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lion01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goat01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camel01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weasel01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tiger01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</row>
        <row r="1318">
          <cell r="A1318">
            <v>1317</v>
          </cell>
          <cell r="B1318" t="str">
            <v>ja</v>
          </cell>
          <cell r="C1318" t="str">
            <v>tiger02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</row>
        <row r="1319">
          <cell r="A1319">
            <v>1318</v>
          </cell>
          <cell r="B1319" t="str">
            <v>ja</v>
          </cell>
          <cell r="C1319" t="str">
            <v>zebra01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</row>
        <row r="1320">
          <cell r="A1320">
            <v>1319</v>
          </cell>
          <cell r="B1320" t="str">
            <v>ja</v>
          </cell>
          <cell r="C1320" t="str">
            <v>zebra02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</row>
        <row r="1321">
          <cell r="A1321">
            <v>1320</v>
          </cell>
          <cell r="B1321" t="str">
            <v>ja</v>
          </cell>
          <cell r="C1321" t="str">
            <v>elephant01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</row>
        <row r="1322">
          <cell r="A1322">
            <v>1321</v>
          </cell>
          <cell r="B1322" t="str">
            <v>ja</v>
          </cell>
          <cell r="C1322" t="str">
            <v>elephant02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</row>
        <row r="1323">
          <cell r="A1323">
            <v>1322</v>
          </cell>
          <cell r="B1323" t="str">
            <v>ja</v>
          </cell>
          <cell r="C1323" t="str">
            <v>leopard01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</row>
        <row r="1324">
          <cell r="A1324">
            <v>1323</v>
          </cell>
          <cell r="B1324" t="str">
            <v>ja</v>
          </cell>
          <cell r="C1324" t="str">
            <v>leopard02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DropWizS</v>
          </cell>
          <cell r="K1325" t="str">
            <v>attack</v>
          </cell>
          <cell r="L1325" t="str">
            <v>攻撃タイプ</v>
          </cell>
          <cell r="M1325" t="str">
            <v>human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DropWizS</v>
          </cell>
          <cell r="K1326" t="str">
            <v>attack</v>
          </cell>
          <cell r="L1326" t="str">
            <v>攻撃タイプ</v>
          </cell>
          <cell r="M1326" t="str">
            <v>human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blue</v>
          </cell>
          <cell r="I1327">
            <v>5</v>
          </cell>
          <cell r="J1327" t="str">
            <v>DropWizS</v>
          </cell>
          <cell r="K1327" t="str">
            <v>attack</v>
          </cell>
          <cell r="L1327" t="str">
            <v>攻撃タイプ</v>
          </cell>
          <cell r="M1327" t="str">
            <v>human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blue</v>
          </cell>
          <cell r="I1328">
            <v>6</v>
          </cell>
          <cell r="J1328" t="str">
            <v>DropWizS</v>
          </cell>
          <cell r="K1328" t="str">
            <v>attack</v>
          </cell>
          <cell r="L1328" t="str">
            <v>攻撃タイプ</v>
          </cell>
          <cell r="M1328" t="str">
            <v>human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human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human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</v>
          </cell>
          <cell r="K1331" t="str">
            <v>attack</v>
          </cell>
          <cell r="L1331" t="str">
            <v>攻撃タイプ</v>
          </cell>
          <cell r="M1331" t="str">
            <v>human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</v>
          </cell>
          <cell r="K1332" t="str">
            <v>attack</v>
          </cell>
          <cell r="L1332" t="str">
            <v>攻撃タイプ</v>
          </cell>
          <cell r="M1332" t="str">
            <v>human</v>
          </cell>
        </row>
        <row r="1333">
          <cell r="A1333">
            <v>1332</v>
          </cell>
          <cell r="B1333" t="str">
            <v>ja</v>
          </cell>
          <cell r="C1333" t="str">
            <v>タマヨリヒメ</v>
          </cell>
          <cell r="H1333" t="str">
            <v>red</v>
          </cell>
          <cell r="I1333">
            <v>4</v>
          </cell>
          <cell r="J1333" t="str">
            <v>DropWizS</v>
          </cell>
          <cell r="K1333" t="str">
            <v>attack</v>
          </cell>
          <cell r="L1333" t="str">
            <v>攻撃タイプ</v>
          </cell>
          <cell r="M1333" t="str">
            <v>human</v>
          </cell>
        </row>
        <row r="1334">
          <cell r="A1334">
            <v>1333</v>
          </cell>
          <cell r="B1334" t="str">
            <v>ja</v>
          </cell>
          <cell r="C1334" t="str">
            <v>霊司の神憑 タマヨリヒメ</v>
          </cell>
          <cell r="H1334" t="str">
            <v>red</v>
          </cell>
          <cell r="I1334">
            <v>5</v>
          </cell>
          <cell r="J1334" t="str">
            <v>DropWizS</v>
          </cell>
          <cell r="K1334" t="str">
            <v>attack</v>
          </cell>
          <cell r="L1334" t="str">
            <v>攻撃タイプ</v>
          </cell>
          <cell r="M1334" t="str">
            <v>human</v>
          </cell>
        </row>
        <row r="1335">
          <cell r="A1335">
            <v>1334</v>
          </cell>
          <cell r="B1335" t="str">
            <v>ja</v>
          </cell>
          <cell r="C1335" t="str">
            <v>クシナダヒメ</v>
          </cell>
          <cell r="H1335" t="str">
            <v>green</v>
          </cell>
          <cell r="I1335">
            <v>5</v>
          </cell>
          <cell r="J1335" t="str">
            <v>DropWizS</v>
          </cell>
          <cell r="K1335" t="str">
            <v>attack</v>
          </cell>
          <cell r="L1335" t="str">
            <v>攻撃タイプ</v>
          </cell>
          <cell r="M1335" t="str">
            <v>human</v>
          </cell>
        </row>
        <row r="1336">
          <cell r="A1336">
            <v>1335</v>
          </cell>
          <cell r="B1336" t="str">
            <v>ja</v>
          </cell>
          <cell r="C1336" t="str">
            <v>神心を射る穂神 クシナダヒメ</v>
          </cell>
          <cell r="H1336" t="str">
            <v>green</v>
          </cell>
          <cell r="I1336">
            <v>6</v>
          </cell>
          <cell r="J1336" t="str">
            <v>DropWizS</v>
          </cell>
          <cell r="K1336" t="str">
            <v>attack</v>
          </cell>
          <cell r="L1336" t="str">
            <v>攻撃タイプ</v>
          </cell>
          <cell r="M1336" t="str">
            <v>human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DropWizS</v>
          </cell>
          <cell r="K1337" t="str">
            <v>attack</v>
          </cell>
          <cell r="L1337" t="str">
            <v>攻撃タイプ</v>
          </cell>
          <cell r="M1337" t="str">
            <v>human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DropWizS</v>
          </cell>
          <cell r="K1338" t="str">
            <v>attack</v>
          </cell>
          <cell r="L1338" t="str">
            <v>攻撃タイプ</v>
          </cell>
          <cell r="M1338" t="str">
            <v>human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DropWizS</v>
          </cell>
          <cell r="K1339" t="str">
            <v>attack</v>
          </cell>
          <cell r="L1339" t="str">
            <v>攻撃タイプ</v>
          </cell>
          <cell r="M1339" t="str">
            <v>human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DropWizS</v>
          </cell>
          <cell r="K1340" t="str">
            <v>attack</v>
          </cell>
          <cell r="L1340" t="str">
            <v>攻撃タイプ</v>
          </cell>
          <cell r="M1340" t="str">
            <v>human</v>
          </cell>
        </row>
        <row r="1341">
          <cell r="A1341">
            <v>1340</v>
          </cell>
          <cell r="B1341" t="str">
            <v>ja</v>
          </cell>
          <cell r="C1341" t="str">
            <v>科学者(名称未定)</v>
          </cell>
          <cell r="H1341" t="str">
            <v>green</v>
          </cell>
          <cell r="I1341">
            <v>5</v>
          </cell>
          <cell r="J1341" t="str">
            <v>DropWizS</v>
          </cell>
          <cell r="K1341" t="str">
            <v>attack</v>
          </cell>
          <cell r="L1341" t="str">
            <v>攻撃タイプ</v>
          </cell>
          <cell r="M1341" t="str">
            <v>human</v>
          </cell>
        </row>
        <row r="1342">
          <cell r="A1342">
            <v>1341</v>
          </cell>
          <cell r="B1342" t="str">
            <v>ja</v>
          </cell>
          <cell r="C1342" t="str">
            <v>科学者(名称未定)</v>
          </cell>
          <cell r="H1342" t="str">
            <v>green</v>
          </cell>
          <cell r="I1342">
            <v>6</v>
          </cell>
          <cell r="J1342" t="str">
            <v>DropWizS</v>
          </cell>
          <cell r="K1342" t="str">
            <v>attack</v>
          </cell>
          <cell r="L1342" t="str">
            <v>攻撃タイプ</v>
          </cell>
          <cell r="M1342" t="str">
            <v>human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attack</v>
          </cell>
          <cell r="L1343" t="str">
            <v>攻撃タイプ</v>
          </cell>
          <cell r="M1343" t="str">
            <v>human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attack</v>
          </cell>
          <cell r="L1344" t="str">
            <v>攻撃タイプ</v>
          </cell>
          <cell r="M1344" t="str">
            <v>human</v>
          </cell>
        </row>
        <row r="1345">
          <cell r="A1345">
            <v>1344</v>
          </cell>
          <cell r="B1345" t="str">
            <v>ja</v>
          </cell>
          <cell r="C1345" t="str">
            <v>PvP報酬_緑</v>
          </cell>
          <cell r="H1345" t="str">
            <v>green</v>
          </cell>
          <cell r="I1345">
            <v>5</v>
          </cell>
          <cell r="J1345" t="str">
            <v>DropWizS</v>
          </cell>
          <cell r="K1345" t="str">
            <v>attack</v>
          </cell>
          <cell r="L1345" t="str">
            <v>攻撃タイプ</v>
          </cell>
          <cell r="M1345" t="str">
            <v>human</v>
          </cell>
        </row>
        <row r="1346">
          <cell r="A1346">
            <v>1345</v>
          </cell>
          <cell r="B1346" t="str">
            <v>ja</v>
          </cell>
          <cell r="C1346" t="str">
            <v>PvP報酬_緑</v>
          </cell>
          <cell r="H1346" t="str">
            <v>green</v>
          </cell>
          <cell r="I1346">
            <v>6</v>
          </cell>
          <cell r="J1346" t="str">
            <v>DropWizS</v>
          </cell>
          <cell r="K1346" t="str">
            <v>attack</v>
          </cell>
          <cell r="L1346" t="str">
            <v>攻撃タイプ</v>
          </cell>
          <cell r="M1346" t="str">
            <v>human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H1347" t="str">
            <v>blue</v>
          </cell>
          <cell r="I1347">
            <v>5</v>
          </cell>
          <cell r="J1347" t="str">
            <v>DropWizS</v>
          </cell>
          <cell r="K1347" t="str">
            <v>attack</v>
          </cell>
          <cell r="L1347" t="str">
            <v>攻撃タイプ</v>
          </cell>
          <cell r="M1347" t="str">
            <v>human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H1348" t="str">
            <v>blue</v>
          </cell>
          <cell r="I1348">
            <v>6</v>
          </cell>
          <cell r="J1348" t="str">
            <v>DropWizS</v>
          </cell>
          <cell r="K1348" t="str">
            <v>attack</v>
          </cell>
          <cell r="L1348" t="str">
            <v>攻撃タイプ</v>
          </cell>
          <cell r="M1348" t="str">
            <v>human</v>
          </cell>
        </row>
        <row r="1349">
          <cell r="A1349">
            <v>1348</v>
          </cell>
          <cell r="B1349" t="str">
            <v>ja</v>
          </cell>
          <cell r="C1349" t="str">
            <v>PvP報酬_黄</v>
          </cell>
          <cell r="H1349" t="str">
            <v>yellow</v>
          </cell>
          <cell r="I1349">
            <v>5</v>
          </cell>
          <cell r="J1349" t="str">
            <v>DropWizS</v>
          </cell>
          <cell r="K1349" t="str">
            <v>attack</v>
          </cell>
          <cell r="L1349" t="str">
            <v>攻撃タイプ</v>
          </cell>
          <cell r="M1349" t="str">
            <v>human</v>
          </cell>
        </row>
        <row r="1350">
          <cell r="A1350">
            <v>1349</v>
          </cell>
          <cell r="B1350" t="str">
            <v>ja</v>
          </cell>
          <cell r="C1350" t="str">
            <v>PvP報酬_黄</v>
          </cell>
          <cell r="H1350" t="str">
            <v>yellow</v>
          </cell>
          <cell r="I1350">
            <v>6</v>
          </cell>
          <cell r="J1350" t="str">
            <v>DropWizS</v>
          </cell>
          <cell r="K1350" t="str">
            <v>attack</v>
          </cell>
          <cell r="L1350" t="str">
            <v>攻撃タイプ</v>
          </cell>
          <cell r="M1350" t="str">
            <v>human</v>
          </cell>
        </row>
        <row r="1351">
          <cell r="A1351">
            <v>1350</v>
          </cell>
          <cell r="B1351" t="str">
            <v>ja</v>
          </cell>
          <cell r="C1351" t="str">
            <v>ツンデレ制服女の子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ツンデレ制服女の子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attack</v>
          </cell>
          <cell r="L1352" t="str">
            <v>攻撃タイプ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内気制服女の子</v>
          </cell>
          <cell r="H1353" t="str">
            <v>blue</v>
          </cell>
          <cell r="I1353">
            <v>5</v>
          </cell>
          <cell r="J1353" t="str">
            <v>DropWizS</v>
          </cell>
          <cell r="K1353" t="str">
            <v>attack</v>
          </cell>
          <cell r="L1353" t="str">
            <v>攻撃タイプ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内気制服女の子</v>
          </cell>
          <cell r="H1354" t="str">
            <v>blue</v>
          </cell>
          <cell r="I1354">
            <v>6</v>
          </cell>
          <cell r="J1354" t="str">
            <v>DropWizS</v>
          </cell>
          <cell r="K1354" t="str">
            <v>attack</v>
          </cell>
          <cell r="L1354" t="str">
            <v>攻撃タイプ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フレイヤ</v>
          </cell>
          <cell r="H1355" t="str">
            <v>green</v>
          </cell>
          <cell r="I1355">
            <v>6</v>
          </cell>
          <cell r="J1355" t="str">
            <v>DropWizS</v>
          </cell>
          <cell r="K1355" t="str">
            <v>attack</v>
          </cell>
          <cell r="L1355" t="str">
            <v>攻撃タイプ</v>
          </cell>
          <cell r="M1355" t="str">
            <v>human</v>
          </cell>
        </row>
        <row r="1356">
          <cell r="A1356">
            <v>1355</v>
          </cell>
          <cell r="B1356" t="str">
            <v>ja</v>
          </cell>
          <cell r="C1356" t="str">
            <v>メタトロン</v>
          </cell>
          <cell r="H1356" t="str">
            <v>yellow</v>
          </cell>
          <cell r="I1356">
            <v>6</v>
          </cell>
          <cell r="J1356" t="str">
            <v>DropWizS</v>
          </cell>
          <cell r="K1356" t="str">
            <v>attack</v>
          </cell>
          <cell r="L1356" t="str">
            <v>攻撃タイプ</v>
          </cell>
          <cell r="M1356" t="str">
            <v>human</v>
          </cell>
        </row>
        <row r="1357">
          <cell r="A1357">
            <v>1356</v>
          </cell>
          <cell r="B1357" t="str">
            <v>ja</v>
          </cell>
          <cell r="C1357" t="str">
            <v>タマモ</v>
          </cell>
          <cell r="H1357" t="str">
            <v>red</v>
          </cell>
          <cell r="I1357">
            <v>5</v>
          </cell>
          <cell r="J1357" t="str">
            <v>DropWizS</v>
          </cell>
          <cell r="K1357" t="str">
            <v>attack</v>
          </cell>
          <cell r="L1357" t="str">
            <v>攻撃タイプ</v>
          </cell>
          <cell r="M1357" t="str">
            <v>human</v>
          </cell>
        </row>
        <row r="1358">
          <cell r="A1358">
            <v>1357</v>
          </cell>
          <cell r="B1358" t="str">
            <v>ja</v>
          </cell>
          <cell r="C1358" t="str">
            <v>アズラエル</v>
          </cell>
          <cell r="H1358" t="str">
            <v>blue</v>
          </cell>
          <cell r="I1358">
            <v>5</v>
          </cell>
          <cell r="J1358" t="str">
            <v>DropWizS</v>
          </cell>
          <cell r="K1358" t="str">
            <v>attack</v>
          </cell>
          <cell r="L1358" t="str">
            <v>攻撃タイプ</v>
          </cell>
          <cell r="M1358" t="str">
            <v>human</v>
          </cell>
        </row>
        <row r="1359">
          <cell r="A1359">
            <v>1358</v>
          </cell>
          <cell r="B1359" t="str">
            <v>ja</v>
          </cell>
          <cell r="C1359" t="str">
            <v>バハムート</v>
          </cell>
          <cell r="H1359" t="str">
            <v>yellow</v>
          </cell>
          <cell r="I1359">
            <v>5</v>
          </cell>
          <cell r="J1359" t="str">
            <v>DropWizS</v>
          </cell>
          <cell r="K1359" t="str">
            <v>attack</v>
          </cell>
          <cell r="L1359" t="str">
            <v>攻撃タイプ</v>
          </cell>
          <cell r="M1359" t="str">
            <v>human</v>
          </cell>
        </row>
        <row r="1360">
          <cell r="A1360">
            <v>1359</v>
          </cell>
          <cell r="B1360" t="str">
            <v>ja</v>
          </cell>
          <cell r="C1360" t="str">
            <v>シチュエーション別女の子(ショコラ)</v>
          </cell>
          <cell r="H1360" t="str">
            <v>red</v>
          </cell>
          <cell r="I1360">
            <v>5</v>
          </cell>
          <cell r="J1360" t="str">
            <v>DropWizS</v>
          </cell>
          <cell r="K1360" t="str">
            <v>attack</v>
          </cell>
          <cell r="L1360" t="str">
            <v>攻撃タイプ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シチュエーション別女の子(ショコラ)</v>
          </cell>
          <cell r="H1361" t="str">
            <v>red</v>
          </cell>
          <cell r="I1361">
            <v>6</v>
          </cell>
          <cell r="J1361" t="str">
            <v>DropWizS</v>
          </cell>
          <cell r="K1361" t="str">
            <v>attack</v>
          </cell>
          <cell r="L1361" t="str">
            <v>攻撃タイプ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シチュエーション別女の子(ショコラ)</v>
          </cell>
          <cell r="H1362" t="str">
            <v>red</v>
          </cell>
          <cell r="I1362">
            <v>6</v>
          </cell>
          <cell r="J1362" t="str">
            <v>DropWizS</v>
          </cell>
          <cell r="K1362" t="str">
            <v>attack</v>
          </cell>
          <cell r="L1362" t="str">
            <v>攻撃タイプ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シチュエーション別女の子</v>
          </cell>
          <cell r="H1363" t="str">
            <v>red</v>
          </cell>
          <cell r="I1363">
            <v>6</v>
          </cell>
          <cell r="J1363" t="str">
            <v>DropWizS</v>
          </cell>
          <cell r="K1363" t="str">
            <v>attack</v>
          </cell>
          <cell r="L1363" t="str">
            <v>攻撃タイプ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シチュエーション別女の子</v>
          </cell>
          <cell r="H1364" t="str">
            <v>yellow</v>
          </cell>
          <cell r="I1364">
            <v>6</v>
          </cell>
          <cell r="J1364" t="str">
            <v>DropWizS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シチュエーション別女の子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attack</v>
          </cell>
          <cell r="L1365" t="str">
            <v>攻撃タイプ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1414</v>
          </cell>
          <cell r="B1372" t="str">
            <v>ja</v>
          </cell>
          <cell r="C1372" t="str">
            <v>炎のミリオンダック 7</v>
          </cell>
          <cell r="D1372" t="str">
            <v>未定</v>
          </cell>
          <cell r="E1372" t="str">
            <v>執行者</v>
          </cell>
          <cell r="F1372" t="str">
            <v>格好いい</v>
          </cell>
          <cell r="G1372" t="str">
            <v>不明</v>
          </cell>
          <cell r="H1372" t="str">
            <v>red</v>
          </cell>
          <cell r="I1372">
            <v>6</v>
          </cell>
          <cell r="J1372" t="str">
            <v>Material</v>
          </cell>
          <cell r="K1372" t="str">
            <v>exp</v>
          </cell>
          <cell r="L1372" t="str">
            <v>強化素材タイプ</v>
          </cell>
          <cell r="M1372" t="str">
            <v>unknown</v>
          </cell>
        </row>
        <row r="1373">
          <cell r="A1373">
            <v>1415</v>
          </cell>
          <cell r="B1373" t="str">
            <v>ja</v>
          </cell>
          <cell r="C1373" t="str">
            <v>森のミリオンダック 7</v>
          </cell>
          <cell r="D1373" t="str">
            <v>未定</v>
          </cell>
          <cell r="E1373" t="str">
            <v>執行者</v>
          </cell>
          <cell r="F1373" t="str">
            <v>格好いい</v>
          </cell>
          <cell r="G1373" t="str">
            <v>不明</v>
          </cell>
          <cell r="H1373" t="str">
            <v>green</v>
          </cell>
          <cell r="I1373">
            <v>6</v>
          </cell>
          <cell r="J1373" t="str">
            <v>Material</v>
          </cell>
          <cell r="K1373" t="str">
            <v>exp</v>
          </cell>
          <cell r="L1373" t="str">
            <v>強化素材タイプ</v>
          </cell>
          <cell r="M1373" t="str">
            <v>unknown</v>
          </cell>
        </row>
        <row r="1374">
          <cell r="A1374">
            <v>1416</v>
          </cell>
          <cell r="B1374" t="str">
            <v>ja</v>
          </cell>
          <cell r="C1374" t="str">
            <v>水のミリオンダック 7</v>
          </cell>
          <cell r="D1374" t="str">
            <v>未定</v>
          </cell>
          <cell r="E1374" t="str">
            <v>執行者</v>
          </cell>
          <cell r="F1374" t="str">
            <v>格好いい</v>
          </cell>
          <cell r="G1374" t="str">
            <v>不明</v>
          </cell>
          <cell r="H1374" t="str">
            <v>blue</v>
          </cell>
          <cell r="I1374">
            <v>6</v>
          </cell>
          <cell r="J1374" t="str">
            <v>Material</v>
          </cell>
          <cell r="K1374" t="str">
            <v>exp</v>
          </cell>
          <cell r="L1374" t="str">
            <v>強化素材タイプ</v>
          </cell>
          <cell r="M1374" t="str">
            <v>unknown</v>
          </cell>
        </row>
        <row r="1375">
          <cell r="A1375">
            <v>1417</v>
          </cell>
          <cell r="B1375" t="str">
            <v>ja</v>
          </cell>
          <cell r="C1375" t="str">
            <v>雷のミリオンダック 7</v>
          </cell>
          <cell r="D1375" t="str">
            <v>未定</v>
          </cell>
          <cell r="E1375" t="str">
            <v>執行者</v>
          </cell>
          <cell r="F1375" t="str">
            <v>格好いい</v>
          </cell>
          <cell r="G1375" t="str">
            <v>不明</v>
          </cell>
          <cell r="H1375" t="str">
            <v>yellow</v>
          </cell>
          <cell r="I1375">
            <v>6</v>
          </cell>
          <cell r="J1375" t="str">
            <v>Material</v>
          </cell>
          <cell r="K1375" t="str">
            <v>exp</v>
          </cell>
          <cell r="L1375" t="str">
            <v>強化素材タイプ</v>
          </cell>
          <cell r="M1375" t="str">
            <v>unknown</v>
          </cell>
        </row>
        <row r="1376">
          <cell r="A1376">
            <v>1427</v>
          </cell>
          <cell r="B1376" t="str">
            <v>ja</v>
          </cell>
          <cell r="C1376" t="str">
            <v>超覚醒シュヴァルツシルト</v>
          </cell>
          <cell r="H1376" t="str">
            <v>blue</v>
          </cell>
          <cell r="I1376">
            <v>6</v>
          </cell>
          <cell r="J1376" t="str">
            <v>PremiumSSS</v>
          </cell>
          <cell r="K1376" t="str">
            <v>attack</v>
          </cell>
          <cell r="L1376" t="str">
            <v>攻撃タイプ</v>
          </cell>
          <cell r="M1376" t="str">
            <v>academia</v>
          </cell>
        </row>
        <row r="1377">
          <cell r="A1377">
            <v>5001</v>
          </cell>
          <cell r="B1377" t="str">
            <v>ja</v>
          </cell>
          <cell r="C1377" t="str">
            <v>ガルーダ</v>
          </cell>
          <cell r="D1377" t="str">
            <v>ノーマルクエスト</v>
          </cell>
          <cell r="E1377" t="str">
            <v>QoH</v>
          </cell>
          <cell r="F1377" t="str">
            <v>世界観</v>
          </cell>
          <cell r="G1377" t="str">
            <v>不明</v>
          </cell>
          <cell r="H1377" t="str">
            <v>red</v>
          </cell>
          <cell r="I1377">
            <v>5</v>
          </cell>
          <cell r="J1377" t="str">
            <v>PremiumSSw</v>
          </cell>
          <cell r="K1377" t="str">
            <v>attack</v>
          </cell>
          <cell r="L1377" t="str">
            <v>攻撃タイプ</v>
          </cell>
          <cell r="M1377" t="str">
            <v>god</v>
          </cell>
        </row>
        <row r="1378">
          <cell r="A1378">
            <v>5002</v>
          </cell>
          <cell r="B1378" t="str">
            <v>ja</v>
          </cell>
          <cell r="C1378" t="str">
            <v>ガルーダ★６</v>
          </cell>
          <cell r="D1378" t="str">
            <v>ノーマルクエスト</v>
          </cell>
          <cell r="E1378" t="str">
            <v>アバター</v>
          </cell>
          <cell r="F1378" t="str">
            <v>世界観</v>
          </cell>
          <cell r="G1378" t="str">
            <v>男性</v>
          </cell>
          <cell r="H1378" t="str">
            <v>red</v>
          </cell>
          <cell r="I1378">
            <v>6</v>
          </cell>
          <cell r="J1378" t="str">
            <v>PremiumSSw</v>
          </cell>
          <cell r="K1378" t="str">
            <v>attack</v>
          </cell>
          <cell r="L1378" t="str">
            <v>攻撃タイプ</v>
          </cell>
          <cell r="M1378" t="str">
            <v>god</v>
          </cell>
        </row>
        <row r="1379">
          <cell r="A1379">
            <v>5003</v>
          </cell>
          <cell r="B1379" t="str">
            <v>ja</v>
          </cell>
          <cell r="C1379" t="str">
            <v>ナーガ</v>
          </cell>
          <cell r="D1379" t="str">
            <v>リンクガチャ:4神</v>
          </cell>
          <cell r="E1379" t="str">
            <v>守護神</v>
          </cell>
          <cell r="F1379" t="str">
            <v>格好いい</v>
          </cell>
          <cell r="G1379" t="str">
            <v>不明</v>
          </cell>
          <cell r="H1379" t="str">
            <v>green</v>
          </cell>
          <cell r="I1379">
            <v>5</v>
          </cell>
          <cell r="J1379" t="str">
            <v>DropWizS</v>
          </cell>
          <cell r="K1379" t="str">
            <v>technical</v>
          </cell>
          <cell r="L1379" t="str">
            <v>テクニカルタイプ</v>
          </cell>
          <cell r="M1379" t="str">
            <v>animal</v>
          </cell>
        </row>
        <row r="1380">
          <cell r="A1380">
            <v>5004</v>
          </cell>
          <cell r="B1380" t="str">
            <v>ja</v>
          </cell>
          <cell r="C1380" t="str">
            <v>ナーガ★６</v>
          </cell>
          <cell r="D1380" t="str">
            <v>ノーマルクエスト</v>
          </cell>
          <cell r="E1380" t="str">
            <v>アバター</v>
          </cell>
          <cell r="F1380" t="str">
            <v>世界観</v>
          </cell>
          <cell r="G1380" t="str">
            <v>不明</v>
          </cell>
          <cell r="H1380" t="str">
            <v>green</v>
          </cell>
          <cell r="I1380">
            <v>6</v>
          </cell>
          <cell r="J1380" t="str">
            <v>DropWizS</v>
          </cell>
          <cell r="K1380" t="str">
            <v>technical</v>
          </cell>
          <cell r="L1380" t="str">
            <v>テクニカルタイプ</v>
          </cell>
          <cell r="M1380" t="str">
            <v>animal</v>
          </cell>
        </row>
        <row r="1381">
          <cell r="A1381">
            <v>6001</v>
          </cell>
          <cell r="B1381" t="str">
            <v>ja</v>
          </cell>
          <cell r="C1381" t="str">
            <v>ジェリー</v>
          </cell>
          <cell r="D1381" t="str">
            <v>ノーマルクエスト</v>
          </cell>
          <cell r="E1381" t="str">
            <v>QoH</v>
          </cell>
          <cell r="F1381" t="str">
            <v>世界観</v>
          </cell>
          <cell r="G1381" t="str">
            <v>不明</v>
          </cell>
          <cell r="H1381" t="str">
            <v>red</v>
          </cell>
          <cell r="I1381">
            <v>1</v>
          </cell>
          <cell r="J1381" t="str">
            <v>Drop1T</v>
          </cell>
          <cell r="K1381" t="str">
            <v>ra</v>
          </cell>
          <cell r="L1381" t="str">
            <v>ラグランジュチャレンジ</v>
          </cell>
          <cell r="M1381" t="str">
            <v>unknown</v>
          </cell>
        </row>
        <row r="1382">
          <cell r="A1382">
            <v>6002</v>
          </cell>
          <cell r="B1382" t="str">
            <v>ja</v>
          </cell>
          <cell r="C1382" t="str">
            <v>ヨシタカ</v>
          </cell>
          <cell r="D1382" t="str">
            <v>ノーマルクエスト</v>
          </cell>
          <cell r="E1382" t="str">
            <v>アバター</v>
          </cell>
          <cell r="F1382" t="str">
            <v>世界観</v>
          </cell>
          <cell r="G1382" t="str">
            <v>男性</v>
          </cell>
          <cell r="H1382" t="str">
            <v>red</v>
          </cell>
          <cell r="I1382">
            <v>2</v>
          </cell>
          <cell r="J1382" t="str">
            <v>Drop1N</v>
          </cell>
          <cell r="K1382" t="str">
            <v>ra</v>
          </cell>
          <cell r="L1382" t="str">
            <v>ラグランジュチャレンジ</v>
          </cell>
          <cell r="M1382" t="str">
            <v>human</v>
          </cell>
        </row>
        <row r="1383">
          <cell r="A1383">
            <v>6003</v>
          </cell>
          <cell r="B1383" t="str">
            <v>ja</v>
          </cell>
          <cell r="C1383" t="str">
            <v>朱雀</v>
          </cell>
          <cell r="D1383" t="str">
            <v>リンクガチャ:4神</v>
          </cell>
          <cell r="E1383" t="str">
            <v>守護神</v>
          </cell>
          <cell r="F1383" t="str">
            <v>格好いい</v>
          </cell>
          <cell r="G1383" t="str">
            <v>不明</v>
          </cell>
          <cell r="H1383" t="str">
            <v>red</v>
          </cell>
          <cell r="I1383">
            <v>3</v>
          </cell>
          <cell r="J1383" t="str">
            <v>Drop2N</v>
          </cell>
          <cell r="K1383" t="str">
            <v>ra</v>
          </cell>
          <cell r="L1383" t="str">
            <v>ラグランジュチャレンジ</v>
          </cell>
          <cell r="M1383" t="str">
            <v>animal</v>
          </cell>
        </row>
        <row r="1384">
          <cell r="A1384">
            <v>6004</v>
          </cell>
          <cell r="B1384" t="str">
            <v>ja</v>
          </cell>
          <cell r="C1384" t="str">
            <v>ブレット</v>
          </cell>
          <cell r="D1384" t="str">
            <v>ノーマルクエスト</v>
          </cell>
          <cell r="E1384" t="str">
            <v>アバター</v>
          </cell>
          <cell r="F1384" t="str">
            <v>世界観</v>
          </cell>
          <cell r="G1384" t="str">
            <v>不明</v>
          </cell>
          <cell r="H1384" t="str">
            <v>red</v>
          </cell>
          <cell r="I1384">
            <v>1</v>
          </cell>
          <cell r="J1384" t="str">
            <v>Drop1W</v>
          </cell>
          <cell r="K1384" t="str">
            <v>ra</v>
          </cell>
          <cell r="L1384" t="str">
            <v>ラグランジュチャレンジ</v>
          </cell>
          <cell r="M1384" t="str">
            <v>animal</v>
          </cell>
        </row>
        <row r="1385">
          <cell r="A1385">
            <v>6005</v>
          </cell>
          <cell r="B1385" t="str">
            <v>ja</v>
          </cell>
          <cell r="C1385" t="str">
            <v>孤神 テティス</v>
          </cell>
          <cell r="D1385" t="str">
            <v>初期ガチャ</v>
          </cell>
          <cell r="E1385" t="str">
            <v>管理者</v>
          </cell>
          <cell r="F1385" t="str">
            <v>美しい</v>
          </cell>
          <cell r="G1385" t="str">
            <v>女性</v>
          </cell>
          <cell r="H1385" t="str">
            <v>blue</v>
          </cell>
          <cell r="I1385">
            <v>4</v>
          </cell>
          <cell r="J1385" t="str">
            <v>PremiumN</v>
          </cell>
          <cell r="K1385" t="str">
            <v>ra</v>
          </cell>
          <cell r="L1385" t="str">
            <v>ラグランジュチャレンジ</v>
          </cell>
          <cell r="M1385" t="str">
            <v>god</v>
          </cell>
        </row>
        <row r="1386">
          <cell r="A1386">
            <v>6006</v>
          </cell>
          <cell r="B1386" t="str">
            <v>ja</v>
          </cell>
          <cell r="C1386" t="str">
            <v>海底の孤高神 テティス</v>
          </cell>
          <cell r="D1386" t="str">
            <v>初期ガチャ</v>
          </cell>
          <cell r="E1386" t="str">
            <v>管理者</v>
          </cell>
          <cell r="F1386" t="str">
            <v>美しい</v>
          </cell>
          <cell r="G1386" t="str">
            <v>女性</v>
          </cell>
          <cell r="H1386" t="str">
            <v>blue</v>
          </cell>
          <cell r="I1386">
            <v>5</v>
          </cell>
          <cell r="J1386" t="str">
            <v>PremiumN</v>
          </cell>
          <cell r="K1386" t="str">
            <v>ra</v>
          </cell>
          <cell r="L1386" t="str">
            <v>ラグランジュチャレンジ</v>
          </cell>
          <cell r="M1386" t="str">
            <v>god</v>
          </cell>
        </row>
        <row r="1387">
          <cell r="A1387">
            <v>6007</v>
          </cell>
          <cell r="B1387" t="str">
            <v>ja</v>
          </cell>
          <cell r="C1387" t="str">
            <v>番犬 ケルベロス</v>
          </cell>
          <cell r="D1387" t="str">
            <v>初期ガチャ</v>
          </cell>
          <cell r="E1387" t="str">
            <v>破界者</v>
          </cell>
          <cell r="F1387" t="str">
            <v>可愛い</v>
          </cell>
          <cell r="G1387" t="str">
            <v>女性</v>
          </cell>
          <cell r="H1387" t="str">
            <v>red</v>
          </cell>
          <cell r="I1387">
            <v>4</v>
          </cell>
          <cell r="J1387" t="str">
            <v>PremiumN</v>
          </cell>
          <cell r="K1387" t="str">
            <v>ra</v>
          </cell>
          <cell r="L1387" t="str">
            <v>ラグランジュチャレンジ</v>
          </cell>
          <cell r="M1387" t="str">
            <v>animal</v>
          </cell>
        </row>
        <row r="1388">
          <cell r="A1388">
            <v>6008</v>
          </cell>
          <cell r="B1388" t="str">
            <v>ja</v>
          </cell>
          <cell r="C1388" t="str">
            <v>焔神 プロメテウス</v>
          </cell>
          <cell r="D1388" t="str">
            <v>初期ガチャ</v>
          </cell>
          <cell r="E1388" t="str">
            <v>管理者</v>
          </cell>
          <cell r="F1388" t="str">
            <v>格好いい</v>
          </cell>
          <cell r="G1388" t="str">
            <v>男性</v>
          </cell>
          <cell r="H1388" t="str">
            <v>red</v>
          </cell>
          <cell r="I1388">
            <v>4</v>
          </cell>
          <cell r="J1388" t="str">
            <v>PremiumN</v>
          </cell>
          <cell r="K1388" t="str">
            <v>ra</v>
          </cell>
          <cell r="L1388" t="str">
            <v>ラグランジュチャレンジ</v>
          </cell>
          <cell r="M1388" t="str">
            <v>god</v>
          </cell>
        </row>
        <row r="1389">
          <cell r="A1389">
            <v>6009</v>
          </cell>
          <cell r="B1389" t="str">
            <v>ja</v>
          </cell>
          <cell r="C1389" t="str">
            <v>超越自我 ラグランジュ</v>
          </cell>
          <cell r="D1389" t="str">
            <v>ガチャ:フィーバーフェス02</v>
          </cell>
          <cell r="E1389" t="str">
            <v>執行者</v>
          </cell>
          <cell r="F1389" t="str">
            <v>格好いい</v>
          </cell>
          <cell r="G1389" t="str">
            <v>女性</v>
          </cell>
          <cell r="H1389" t="str">
            <v>red</v>
          </cell>
          <cell r="I1389">
            <v>5</v>
          </cell>
          <cell r="J1389" t="str">
            <v>PremiumSSS</v>
          </cell>
          <cell r="K1389" t="str">
            <v>ra</v>
          </cell>
          <cell r="L1389" t="str">
            <v>ラグランジュチャレンジ</v>
          </cell>
          <cell r="M1389" t="str">
            <v>human</v>
          </cell>
        </row>
        <row r="1390">
          <cell r="A1390">
            <v>6010</v>
          </cell>
          <cell r="B1390" t="str">
            <v>ja</v>
          </cell>
          <cell r="C1390" t="str">
            <v>超越凌駕 ラグランジュ</v>
          </cell>
          <cell r="D1390" t="str">
            <v>ガチャ:フィーバーフェス02</v>
          </cell>
          <cell r="E1390" t="str">
            <v>執行者</v>
          </cell>
          <cell r="F1390" t="str">
            <v>格好いい</v>
          </cell>
          <cell r="G1390" t="str">
            <v>女性</v>
          </cell>
          <cell r="H1390" t="str">
            <v>red</v>
          </cell>
          <cell r="I1390">
            <v>6</v>
          </cell>
          <cell r="J1390" t="str">
            <v>PremiumSSS</v>
          </cell>
          <cell r="K1390" t="str">
            <v>ra</v>
          </cell>
          <cell r="L1390" t="str">
            <v>ラグランジュチャレンジ</v>
          </cell>
          <cell r="M1390" t="str">
            <v>human</v>
          </cell>
        </row>
        <row r="1391">
          <cell r="A1391">
            <v>6011</v>
          </cell>
          <cell r="B1391" t="str">
            <v>ja</v>
          </cell>
          <cell r="C1391" t="str">
            <v>パトドッグリーダー ポチ</v>
          </cell>
          <cell r="D1391" t="str">
            <v>ガチャ:フィーバーフェス02</v>
          </cell>
          <cell r="E1391" t="str">
            <v>執行者</v>
          </cell>
          <cell r="F1391" t="str">
            <v>格好いい</v>
          </cell>
          <cell r="G1391" t="str">
            <v>男性</v>
          </cell>
          <cell r="H1391" t="str">
            <v>blue</v>
          </cell>
          <cell r="I1391">
            <v>2</v>
          </cell>
          <cell r="J1391" t="str">
            <v>Drop1T</v>
          </cell>
          <cell r="K1391" t="str">
            <v>ra002</v>
          </cell>
          <cell r="L1391" t="str">
            <v>ユークリッドチャレンジ</v>
          </cell>
          <cell r="M1391" t="str">
            <v>unknown</v>
          </cell>
        </row>
        <row r="1392">
          <cell r="A1392">
            <v>6012</v>
          </cell>
          <cell r="B1392" t="str">
            <v>ja</v>
          </cell>
          <cell r="C1392" t="str">
            <v>ミミ</v>
          </cell>
          <cell r="D1392" t="str">
            <v>ガチャ:フィーバーフェス02</v>
          </cell>
          <cell r="E1392" t="str">
            <v>執行者</v>
          </cell>
          <cell r="F1392" t="str">
            <v>格好いい</v>
          </cell>
          <cell r="G1392" t="str">
            <v>男性</v>
          </cell>
          <cell r="H1392" t="str">
            <v>yellow</v>
          </cell>
          <cell r="I1392">
            <v>1</v>
          </cell>
          <cell r="J1392" t="str">
            <v>Drop1W</v>
          </cell>
          <cell r="K1392" t="str">
            <v>ra002</v>
          </cell>
          <cell r="L1392" t="str">
            <v>ユークリッドチャレンジ</v>
          </cell>
          <cell r="M1392" t="str">
            <v>animal</v>
          </cell>
        </row>
        <row r="1393">
          <cell r="A1393">
            <v>6013</v>
          </cell>
          <cell r="B1393" t="str">
            <v>ja</v>
          </cell>
          <cell r="C1393" t="str">
            <v>護衛機人 スケアクロウ</v>
          </cell>
          <cell r="D1393" t="str">
            <v>ガチャ:フィーバーフェス02</v>
          </cell>
          <cell r="E1393" t="str">
            <v>執行者</v>
          </cell>
          <cell r="F1393" t="str">
            <v>格好いい</v>
          </cell>
          <cell r="G1393" t="str">
            <v>男性</v>
          </cell>
          <cell r="H1393" t="str">
            <v>blue</v>
          </cell>
          <cell r="I1393">
            <v>2</v>
          </cell>
          <cell r="J1393" t="str">
            <v>Drop1N</v>
          </cell>
          <cell r="K1393" t="str">
            <v>ra002</v>
          </cell>
          <cell r="L1393" t="str">
            <v>ユークリッドチャレンジ</v>
          </cell>
          <cell r="M1393" t="str">
            <v>machine</v>
          </cell>
        </row>
        <row r="1394">
          <cell r="A1394">
            <v>6014</v>
          </cell>
          <cell r="B1394" t="str">
            <v>ja</v>
          </cell>
          <cell r="C1394" t="str">
            <v>月下の人狼 ローレンス</v>
          </cell>
          <cell r="D1394" t="str">
            <v>ガチャ:フィーバーフェス02</v>
          </cell>
          <cell r="E1394" t="str">
            <v>執行者</v>
          </cell>
          <cell r="F1394" t="str">
            <v>格好いい</v>
          </cell>
          <cell r="G1394" t="str">
            <v>男性</v>
          </cell>
          <cell r="H1394" t="str">
            <v>blue</v>
          </cell>
          <cell r="I1394">
            <v>4</v>
          </cell>
          <cell r="J1394" t="str">
            <v>PremiumW</v>
          </cell>
          <cell r="K1394" t="str">
            <v>ra002</v>
          </cell>
          <cell r="L1394" t="str">
            <v>ユークリッドチャレンジ</v>
          </cell>
          <cell r="M1394" t="str">
            <v>animal</v>
          </cell>
        </row>
        <row r="1395">
          <cell r="A1395">
            <v>6015</v>
          </cell>
          <cell r="B1395" t="str">
            <v>ja</v>
          </cell>
          <cell r="C1395" t="str">
            <v>フレイヤ</v>
          </cell>
          <cell r="D1395" t="str">
            <v>ガチャ:フィーバーフェス02</v>
          </cell>
          <cell r="E1395" t="str">
            <v>執行者</v>
          </cell>
          <cell r="F1395" t="str">
            <v>格好いい</v>
          </cell>
          <cell r="G1395" t="str">
            <v>男性</v>
          </cell>
          <cell r="H1395" t="str">
            <v>blue</v>
          </cell>
          <cell r="I1395">
            <v>4</v>
          </cell>
          <cell r="J1395" t="str">
            <v>PremiumSS</v>
          </cell>
          <cell r="K1395" t="str">
            <v>ra002</v>
          </cell>
          <cell r="L1395" t="str">
            <v>ユークリッドチャレンジ</v>
          </cell>
          <cell r="M1395" t="str">
            <v>animal</v>
          </cell>
        </row>
        <row r="1396">
          <cell r="A1396">
            <v>6016</v>
          </cell>
          <cell r="B1396" t="str">
            <v>ja</v>
          </cell>
          <cell r="C1396" t="str">
            <v>根原論理 ユークリッド</v>
          </cell>
          <cell r="D1396" t="str">
            <v>ガチャ:フィーバーフェス02</v>
          </cell>
          <cell r="E1396" t="str">
            <v>執行者</v>
          </cell>
          <cell r="F1396" t="str">
            <v>格好いい</v>
          </cell>
          <cell r="G1396" t="str">
            <v>男性</v>
          </cell>
          <cell r="H1396" t="str">
            <v>blue</v>
          </cell>
          <cell r="I1396">
            <v>5</v>
          </cell>
          <cell r="J1396" t="str">
            <v>PremiumSSS</v>
          </cell>
          <cell r="K1396" t="str">
            <v>ra002</v>
          </cell>
          <cell r="L1396" t="str">
            <v>ユークリッドチャレンジ</v>
          </cell>
          <cell r="M1396" t="str">
            <v>human</v>
          </cell>
        </row>
        <row r="1397">
          <cell r="A1397">
            <v>6017</v>
          </cell>
          <cell r="B1397" t="str">
            <v>ja</v>
          </cell>
          <cell r="C1397" t="str">
            <v>不朽の極論 ユークリッド</v>
          </cell>
          <cell r="D1397" t="str">
            <v>ガチャ:フィーバーフェス02</v>
          </cell>
          <cell r="E1397" t="str">
            <v>執行者</v>
          </cell>
          <cell r="F1397" t="str">
            <v>格好いい</v>
          </cell>
          <cell r="G1397" t="str">
            <v>男性</v>
          </cell>
          <cell r="H1397" t="str">
            <v>blue</v>
          </cell>
          <cell r="I1397">
            <v>6</v>
          </cell>
          <cell r="J1397" t="str">
            <v>PremiumSSS</v>
          </cell>
          <cell r="K1397" t="str">
            <v>ra002</v>
          </cell>
          <cell r="L1397" t="str">
            <v>ユークリッドチャレンジ</v>
          </cell>
          <cell r="M1397" t="str">
            <v>human</v>
          </cell>
        </row>
        <row r="1398">
          <cell r="A1398">
            <v>6018</v>
          </cell>
          <cell r="B1398" t="str">
            <v>ja</v>
          </cell>
          <cell r="C1398" t="str">
            <v>ハヅル</v>
          </cell>
          <cell r="D1398" t="str">
            <v>ガチャ:フィーバーフェス02</v>
          </cell>
          <cell r="E1398" t="str">
            <v>執行者</v>
          </cell>
          <cell r="F1398" t="str">
            <v>格好いい</v>
          </cell>
          <cell r="G1398" t="str">
            <v>男性</v>
          </cell>
          <cell r="H1398" t="str">
            <v>red</v>
          </cell>
          <cell r="I1398">
            <v>4</v>
          </cell>
          <cell r="J1398" t="str">
            <v>PremiumSS</v>
          </cell>
          <cell r="K1398" t="str">
            <v>ra002</v>
          </cell>
          <cell r="L1398" t="str">
            <v>ユークリッドチャレンジ</v>
          </cell>
          <cell r="M1398" t="str">
            <v>animal</v>
          </cell>
        </row>
        <row r="1399">
          <cell r="A1399">
            <v>6019</v>
          </cell>
          <cell r="B1399" t="str">
            <v>ja</v>
          </cell>
          <cell r="C1399" t="str">
            <v>天織羽鶴 ハヅル</v>
          </cell>
          <cell r="D1399" t="str">
            <v>ガチャ:フィーバーフェス02</v>
          </cell>
          <cell r="E1399" t="str">
            <v>執行者</v>
          </cell>
          <cell r="F1399" t="str">
            <v>格好いい</v>
          </cell>
          <cell r="G1399" t="str">
            <v>男性</v>
          </cell>
          <cell r="H1399" t="str">
            <v>red</v>
          </cell>
          <cell r="I1399">
            <v>5</v>
          </cell>
          <cell r="J1399" t="str">
            <v>PremiumSS</v>
          </cell>
          <cell r="K1399" t="str">
            <v>ra002</v>
          </cell>
          <cell r="L1399" t="str">
            <v>ユークリッドチャレンジ</v>
          </cell>
          <cell r="M1399" t="str">
            <v>animal</v>
          </cell>
        </row>
        <row r="1400">
          <cell r="A1400">
            <v>6020</v>
          </cell>
          <cell r="B1400" t="str">
            <v>ja</v>
          </cell>
          <cell r="C1400" t="str">
            <v>ミズチ</v>
          </cell>
          <cell r="D1400" t="str">
            <v>ガチャ:フィーバーフェス02</v>
          </cell>
          <cell r="E1400" t="str">
            <v>執行者</v>
          </cell>
          <cell r="F1400" t="str">
            <v>格好いい</v>
          </cell>
          <cell r="G1400" t="str">
            <v>男性</v>
          </cell>
          <cell r="H1400" t="str">
            <v>blue</v>
          </cell>
          <cell r="I1400">
            <v>4</v>
          </cell>
          <cell r="J1400" t="str">
            <v>PremiumS</v>
          </cell>
          <cell r="K1400" t="str">
            <v>ra002</v>
          </cell>
          <cell r="L1400" t="str">
            <v>ユークリッドチャレンジ</v>
          </cell>
          <cell r="M1400" t="str">
            <v>dragon</v>
          </cell>
        </row>
        <row r="1401">
          <cell r="A1401">
            <v>8001</v>
          </cell>
          <cell r="B1401" t="str">
            <v>ja</v>
          </cell>
          <cell r="C1401" t="str">
            <v>媽祖</v>
          </cell>
          <cell r="D1401" t="str">
            <v>イベント:ミクコラボ01</v>
          </cell>
          <cell r="E1401" t="str">
            <v>執行者</v>
          </cell>
          <cell r="F1401" t="str">
            <v>格好いい</v>
          </cell>
          <cell r="G1401" t="str">
            <v>女性</v>
          </cell>
          <cell r="H1401" t="str">
            <v>yellow</v>
          </cell>
          <cell r="I1401">
            <v>5</v>
          </cell>
          <cell r="J1401" t="str">
            <v>PremiumSS</v>
          </cell>
          <cell r="K1401" t="str">
            <v>attack</v>
          </cell>
          <cell r="L1401" t="str">
            <v>攻撃タイプ</v>
          </cell>
          <cell r="M1401" t="str">
            <v>god</v>
          </cell>
        </row>
        <row r="1402">
          <cell r="A1402">
            <v>8002</v>
          </cell>
          <cell r="B1402" t="str">
            <v>ja</v>
          </cell>
          <cell r="C1402" t="str">
            <v>宣導する天海妃 媽祖</v>
          </cell>
          <cell r="D1402" t="str">
            <v>イベント:ミクコラボ01</v>
          </cell>
          <cell r="E1402" t="str">
            <v>執行者</v>
          </cell>
          <cell r="F1402" t="str">
            <v>格好いい</v>
          </cell>
          <cell r="G1402" t="str">
            <v>女性</v>
          </cell>
          <cell r="H1402" t="str">
            <v>yellow</v>
          </cell>
          <cell r="I1402">
            <v>6</v>
          </cell>
          <cell r="J1402" t="str">
            <v>PremiumSS</v>
          </cell>
          <cell r="K1402" t="str">
            <v>attack</v>
          </cell>
          <cell r="L1402" t="str">
            <v>攻撃タイプ</v>
          </cell>
          <cell r="M1402" t="str">
            <v>god</v>
          </cell>
        </row>
        <row r="1403">
          <cell r="A1403">
            <v>8003</v>
          </cell>
          <cell r="B1403" t="str">
            <v>ja</v>
          </cell>
          <cell r="C1403" t="str">
            <v>蛟龍</v>
          </cell>
          <cell r="D1403" t="str">
            <v>イベント:ミクコラボ01</v>
          </cell>
          <cell r="E1403" t="str">
            <v>執行者</v>
          </cell>
          <cell r="F1403" t="str">
            <v>格好いい</v>
          </cell>
          <cell r="G1403" t="str">
            <v>不明</v>
          </cell>
          <cell r="H1403" t="str">
            <v>blue</v>
          </cell>
          <cell r="I1403">
            <v>5</v>
          </cell>
          <cell r="J1403" t="str">
            <v>DropWizS</v>
          </cell>
          <cell r="K1403" t="str">
            <v>hp</v>
          </cell>
          <cell r="L1403" t="str">
            <v>体力タイプ</v>
          </cell>
          <cell r="M1403" t="str">
            <v>dragon</v>
          </cell>
        </row>
        <row r="1404">
          <cell r="A1404">
            <v>8004</v>
          </cell>
          <cell r="B1404" t="str">
            <v>ja</v>
          </cell>
          <cell r="C1404" t="str">
            <v>呼嵐の蒼棲龍 蛟龍</v>
          </cell>
          <cell r="D1404" t="str">
            <v>イベント:ミクコラボ01</v>
          </cell>
          <cell r="E1404" t="str">
            <v>執行者</v>
          </cell>
          <cell r="F1404" t="str">
            <v>格好いい</v>
          </cell>
          <cell r="G1404" t="str">
            <v>不明</v>
          </cell>
          <cell r="H1404" t="str">
            <v>blue</v>
          </cell>
          <cell r="I1404">
            <v>6</v>
          </cell>
          <cell r="J1404" t="str">
            <v>DropWizS</v>
          </cell>
          <cell r="K1404" t="str">
            <v>hp</v>
          </cell>
          <cell r="L1404" t="str">
            <v>体力タイプ</v>
          </cell>
          <cell r="M1404" t="str">
            <v>dragon</v>
          </cell>
        </row>
        <row r="1405">
          <cell r="A1405">
            <v>8005</v>
          </cell>
          <cell r="B1405" t="str">
            <v>ja</v>
          </cell>
          <cell r="C1405" t="str">
            <v>三蔵法師</v>
          </cell>
          <cell r="D1405" t="str">
            <v>イベント:ミクコラボ01</v>
          </cell>
          <cell r="E1405" t="str">
            <v>執行者</v>
          </cell>
          <cell r="F1405" t="str">
            <v>格好いい</v>
          </cell>
          <cell r="G1405" t="str">
            <v>不明</v>
          </cell>
          <cell r="H1405" t="str">
            <v>blue</v>
          </cell>
          <cell r="I1405">
            <v>5</v>
          </cell>
          <cell r="J1405" t="str">
            <v>PremiumSS</v>
          </cell>
          <cell r="K1405" t="str">
            <v>balance</v>
          </cell>
          <cell r="L1405" t="str">
            <v>バランスタイプ</v>
          </cell>
          <cell r="M1405" t="str">
            <v>human</v>
          </cell>
        </row>
        <row r="1406">
          <cell r="A1406">
            <v>8006</v>
          </cell>
          <cell r="B1406" t="str">
            <v>ja</v>
          </cell>
          <cell r="C1406" t="str">
            <v>慈戒の呪封使 三蔵法師</v>
          </cell>
          <cell r="D1406" t="str">
            <v>イベント:ミクコラボ01</v>
          </cell>
          <cell r="E1406" t="str">
            <v>執行者</v>
          </cell>
          <cell r="F1406" t="str">
            <v>格好いい</v>
          </cell>
          <cell r="G1406" t="str">
            <v>不明</v>
          </cell>
          <cell r="H1406" t="str">
            <v>blue</v>
          </cell>
          <cell r="I1406">
            <v>6</v>
          </cell>
          <cell r="J1406" t="str">
            <v>PremiumSS</v>
          </cell>
          <cell r="K1406" t="str">
            <v>balance</v>
          </cell>
          <cell r="L1406" t="str">
            <v>バランスタイプ</v>
          </cell>
          <cell r="M1406" t="str">
            <v>human</v>
          </cell>
        </row>
        <row r="1407">
          <cell r="A1407">
            <v>8007</v>
          </cell>
          <cell r="B1407" t="str">
            <v>ja</v>
          </cell>
          <cell r="C1407" t="str">
            <v>孫悟空</v>
          </cell>
          <cell r="D1407" t="str">
            <v>イベント:ミクコラボ01</v>
          </cell>
          <cell r="E1407" t="str">
            <v>執行者</v>
          </cell>
          <cell r="F1407" t="str">
            <v>格好いい</v>
          </cell>
          <cell r="G1407" t="str">
            <v>不明</v>
          </cell>
          <cell r="H1407" t="str">
            <v>red</v>
          </cell>
          <cell r="I1407">
            <v>5</v>
          </cell>
          <cell r="J1407" t="str">
            <v>DropWizS</v>
          </cell>
          <cell r="K1407" t="str">
            <v>attack</v>
          </cell>
          <cell r="L1407" t="str">
            <v>攻撃タイプ</v>
          </cell>
          <cell r="M1407" t="str">
            <v>animal</v>
          </cell>
        </row>
        <row r="1408">
          <cell r="A1408">
            <v>8008</v>
          </cell>
          <cell r="B1408" t="str">
            <v>ja</v>
          </cell>
          <cell r="C1408" t="str">
            <v>花果の天猿仙人 孫悟空</v>
          </cell>
          <cell r="D1408" t="str">
            <v>イベント:ミクコラボ01</v>
          </cell>
          <cell r="E1408" t="str">
            <v>執行者</v>
          </cell>
          <cell r="F1408" t="str">
            <v>格好いい</v>
          </cell>
          <cell r="G1408" t="str">
            <v>不明</v>
          </cell>
          <cell r="H1408" t="str">
            <v>red</v>
          </cell>
          <cell r="I1408">
            <v>6</v>
          </cell>
          <cell r="J1408" t="str">
            <v>DropWizS</v>
          </cell>
          <cell r="K1408" t="str">
            <v>attack</v>
          </cell>
          <cell r="L1408" t="str">
            <v>攻撃タイプ</v>
          </cell>
          <cell r="M1408" t="str">
            <v>animal</v>
          </cell>
        </row>
        <row r="1409">
          <cell r="A1409">
            <v>8009</v>
          </cell>
          <cell r="B1409" t="str">
            <v>ja</v>
          </cell>
          <cell r="C1409" t="str">
            <v>西王娘娘</v>
          </cell>
          <cell r="D1409" t="str">
            <v>イベント:ミクコラボ01</v>
          </cell>
          <cell r="E1409" t="str">
            <v>執行者</v>
          </cell>
          <cell r="F1409" t="str">
            <v>格好いい</v>
          </cell>
          <cell r="G1409" t="str">
            <v>不明</v>
          </cell>
          <cell r="H1409" t="str">
            <v>green</v>
          </cell>
          <cell r="I1409">
            <v>5</v>
          </cell>
          <cell r="J1409" t="str">
            <v>PremiumSS</v>
          </cell>
          <cell r="K1409" t="str">
            <v>attack</v>
          </cell>
          <cell r="L1409" t="str">
            <v>攻撃タイプ</v>
          </cell>
          <cell r="M1409" t="str">
            <v>god</v>
          </cell>
        </row>
        <row r="1410">
          <cell r="A1410">
            <v>8010</v>
          </cell>
          <cell r="B1410" t="str">
            <v>ja</v>
          </cell>
          <cell r="C1410" t="str">
            <v>極楽瑶池の聖母 西王娘娘</v>
          </cell>
          <cell r="D1410" t="str">
            <v>イベント:ミクコラボ01</v>
          </cell>
          <cell r="E1410" t="str">
            <v>執行者</v>
          </cell>
          <cell r="F1410" t="str">
            <v>格好いい</v>
          </cell>
          <cell r="G1410" t="str">
            <v>不明</v>
          </cell>
          <cell r="H1410" t="str">
            <v>green</v>
          </cell>
          <cell r="I1410">
            <v>6</v>
          </cell>
          <cell r="J1410" t="str">
            <v>PremiumSS</v>
          </cell>
          <cell r="K1410" t="str">
            <v>attack</v>
          </cell>
          <cell r="L1410" t="str">
            <v>攻撃タイプ</v>
          </cell>
          <cell r="M1410" t="str">
            <v>god</v>
          </cell>
        </row>
        <row r="1411">
          <cell r="A1411">
            <v>8011</v>
          </cell>
          <cell r="B1411" t="str">
            <v>ja</v>
          </cell>
          <cell r="C1411" t="str">
            <v>月下老人</v>
          </cell>
          <cell r="D1411" t="str">
            <v>イベント:ミクコラボ01</v>
          </cell>
          <cell r="E1411" t="str">
            <v>執行者</v>
          </cell>
          <cell r="F1411" t="str">
            <v>格好いい</v>
          </cell>
          <cell r="G1411" t="str">
            <v>女性</v>
          </cell>
          <cell r="H1411" t="str">
            <v>yellow</v>
          </cell>
          <cell r="I1411">
            <v>5</v>
          </cell>
          <cell r="J1411" t="str">
            <v>DropWizS</v>
          </cell>
          <cell r="K1411" t="str">
            <v>balance</v>
          </cell>
          <cell r="L1411" t="str">
            <v>バランスタイプ</v>
          </cell>
          <cell r="M1411" t="str">
            <v>god</v>
          </cell>
        </row>
        <row r="1412">
          <cell r="A1412">
            <v>8012</v>
          </cell>
          <cell r="B1412" t="str">
            <v>ja</v>
          </cell>
          <cell r="C1412" t="str">
            <v>破戀斬る縁剣 月下老人</v>
          </cell>
          <cell r="D1412" t="str">
            <v>イベント:ミクコラボ01</v>
          </cell>
          <cell r="E1412" t="str">
            <v>執行者</v>
          </cell>
          <cell r="F1412" t="str">
            <v>格好いい</v>
          </cell>
          <cell r="G1412" t="str">
            <v>女性</v>
          </cell>
          <cell r="H1412" t="str">
            <v>yellow</v>
          </cell>
          <cell r="I1412">
            <v>6</v>
          </cell>
          <cell r="J1412" t="str">
            <v>DropWizS</v>
          </cell>
          <cell r="K1412" t="str">
            <v>balance</v>
          </cell>
          <cell r="L1412" t="str">
            <v>バランスタイプ</v>
          </cell>
          <cell r="M1412" t="str">
            <v>god</v>
          </cell>
        </row>
        <row r="1413">
          <cell r="A1413">
            <v>8013</v>
          </cell>
          <cell r="B1413" t="str">
            <v>ja</v>
          </cell>
          <cell r="C1413" t="str">
            <v>初音ミクV3</v>
          </cell>
          <cell r="D1413" t="str">
            <v>初音ミクV3</v>
          </cell>
          <cell r="E1413" t="str">
            <v>執行者</v>
          </cell>
          <cell r="F1413" t="str">
            <v>格好いい</v>
          </cell>
          <cell r="G1413" t="str">
            <v>女性</v>
          </cell>
          <cell r="H1413" t="str">
            <v>yellow</v>
          </cell>
          <cell r="I1413">
            <v>4</v>
          </cell>
          <cell r="J1413" t="str">
            <v>DropWizS</v>
          </cell>
          <cell r="K1413" t="str">
            <v>balance</v>
          </cell>
          <cell r="L1413" t="str">
            <v>バランスタイプ</v>
          </cell>
          <cell r="M1413" t="str">
            <v>unknown</v>
          </cell>
        </row>
        <row r="1414">
          <cell r="A1414">
            <v>8014</v>
          </cell>
          <cell r="B1414" t="str">
            <v>ja</v>
          </cell>
          <cell r="C1414" t="str">
            <v>初音ミクV3</v>
          </cell>
          <cell r="D1414" t="str">
            <v>初音ミクV3</v>
          </cell>
          <cell r="E1414" t="str">
            <v>執行者</v>
          </cell>
          <cell r="F1414" t="str">
            <v>格好いい</v>
          </cell>
          <cell r="G1414" t="str">
            <v>女性</v>
          </cell>
          <cell r="H1414" t="str">
            <v>yellow</v>
          </cell>
          <cell r="I1414">
            <v>5</v>
          </cell>
          <cell r="J1414" t="str">
            <v>DropWizS</v>
          </cell>
          <cell r="K1414" t="str">
            <v>balance</v>
          </cell>
          <cell r="L1414" t="str">
            <v>バランスタイプ</v>
          </cell>
          <cell r="M1414" t="str">
            <v>unknown</v>
          </cell>
        </row>
        <row r="1415">
          <cell r="A1415">
            <v>8015</v>
          </cell>
          <cell r="B1415" t="str">
            <v>ja</v>
          </cell>
          <cell r="C1415" t="str">
            <v>初音ミク・アペンド</v>
          </cell>
          <cell r="D1415" t="str">
            <v>初音ミク・アペンド</v>
          </cell>
          <cell r="E1415" t="str">
            <v>執行者</v>
          </cell>
          <cell r="F1415" t="str">
            <v>格好いい</v>
          </cell>
          <cell r="G1415" t="str">
            <v>女性</v>
          </cell>
          <cell r="H1415" t="str">
            <v>green</v>
          </cell>
          <cell r="I1415">
            <v>4</v>
          </cell>
          <cell r="J1415" t="str">
            <v>PremiumSSS</v>
          </cell>
          <cell r="K1415" t="str">
            <v>technical</v>
          </cell>
          <cell r="L1415" t="str">
            <v>テクニカルタイプ</v>
          </cell>
          <cell r="M1415" t="str">
            <v>unknown</v>
          </cell>
        </row>
        <row r="1416">
          <cell r="A1416">
            <v>8016</v>
          </cell>
          <cell r="B1416" t="str">
            <v>ja</v>
          </cell>
          <cell r="C1416" t="str">
            <v>初音ミク・アペンド</v>
          </cell>
          <cell r="D1416" t="str">
            <v>初音ミク・アペンド</v>
          </cell>
          <cell r="E1416" t="str">
            <v>執行者</v>
          </cell>
          <cell r="F1416" t="str">
            <v>格好いい</v>
          </cell>
          <cell r="G1416" t="str">
            <v>女性</v>
          </cell>
          <cell r="H1416" t="str">
            <v>green</v>
          </cell>
          <cell r="I1416">
            <v>5</v>
          </cell>
          <cell r="J1416" t="str">
            <v>PremiumSSS</v>
          </cell>
          <cell r="K1416" t="str">
            <v>technical</v>
          </cell>
          <cell r="L1416" t="str">
            <v>テクニカルタイプ</v>
          </cell>
          <cell r="M1416" t="str">
            <v>unknown</v>
          </cell>
        </row>
        <row r="1417">
          <cell r="A1417">
            <v>8017</v>
          </cell>
          <cell r="B1417" t="str">
            <v>ja</v>
          </cell>
          <cell r="C1417" t="str">
            <v>初音ミク</v>
          </cell>
          <cell r="D1417" t="str">
            <v>初音ミク</v>
          </cell>
          <cell r="E1417" t="str">
            <v>執行者</v>
          </cell>
          <cell r="F1417" t="str">
            <v>格好いい</v>
          </cell>
          <cell r="G1417" t="str">
            <v>女性</v>
          </cell>
          <cell r="H1417" t="str">
            <v>green</v>
          </cell>
          <cell r="I1417">
            <v>4</v>
          </cell>
          <cell r="J1417" t="str">
            <v>PremiumSSS</v>
          </cell>
          <cell r="K1417" t="str">
            <v>balance</v>
          </cell>
          <cell r="L1417" t="str">
            <v>バランスタイプ</v>
          </cell>
          <cell r="M1417" t="str">
            <v>unknown</v>
          </cell>
        </row>
        <row r="1418">
          <cell r="A1418">
            <v>8018</v>
          </cell>
          <cell r="B1418" t="str">
            <v>ja</v>
          </cell>
          <cell r="C1418" t="str">
            <v>初音ミク</v>
          </cell>
          <cell r="D1418" t="str">
            <v>初音ミク</v>
          </cell>
          <cell r="E1418" t="str">
            <v>執行者</v>
          </cell>
          <cell r="F1418" t="str">
            <v>格好いい</v>
          </cell>
          <cell r="G1418" t="str">
            <v>女性</v>
          </cell>
          <cell r="H1418" t="str">
            <v>green</v>
          </cell>
          <cell r="I1418">
            <v>5</v>
          </cell>
          <cell r="J1418" t="str">
            <v>PremiumSSS</v>
          </cell>
          <cell r="K1418" t="str">
            <v>balance</v>
          </cell>
          <cell r="L1418" t="str">
            <v>バランスタイプ</v>
          </cell>
          <cell r="M1418" t="str">
            <v>unknown</v>
          </cell>
        </row>
        <row r="1419">
          <cell r="A1419">
            <v>8019</v>
          </cell>
          <cell r="B1419" t="str">
            <v>ja</v>
          </cell>
          <cell r="C1419" t="str">
            <v>鏡音リン</v>
          </cell>
          <cell r="D1419" t="str">
            <v>鏡音リン</v>
          </cell>
          <cell r="E1419" t="str">
            <v>執行者</v>
          </cell>
          <cell r="F1419" t="str">
            <v>格好いい</v>
          </cell>
          <cell r="G1419" t="str">
            <v>男性</v>
          </cell>
          <cell r="H1419" t="str">
            <v>yellow</v>
          </cell>
          <cell r="I1419">
            <v>4</v>
          </cell>
          <cell r="J1419" t="str">
            <v>PremiumSS</v>
          </cell>
          <cell r="K1419" t="str">
            <v>balance</v>
          </cell>
          <cell r="L1419" t="str">
            <v>バランスタイプ</v>
          </cell>
          <cell r="M1419" t="str">
            <v>unknown</v>
          </cell>
        </row>
        <row r="1420">
          <cell r="A1420">
            <v>8020</v>
          </cell>
          <cell r="B1420" t="str">
            <v>ja</v>
          </cell>
          <cell r="C1420" t="str">
            <v>鏡音リン</v>
          </cell>
          <cell r="D1420" t="str">
            <v>鏡音リン</v>
          </cell>
          <cell r="E1420" t="str">
            <v>執行者</v>
          </cell>
          <cell r="F1420" t="str">
            <v>格好いい</v>
          </cell>
          <cell r="G1420" t="str">
            <v>男性</v>
          </cell>
          <cell r="H1420" t="str">
            <v>yellow</v>
          </cell>
          <cell r="I1420">
            <v>5</v>
          </cell>
          <cell r="J1420" t="str">
            <v>PremiumSS</v>
          </cell>
          <cell r="K1420" t="str">
            <v>balance</v>
          </cell>
          <cell r="L1420" t="str">
            <v>バランスタイプ</v>
          </cell>
          <cell r="M1420" t="str">
            <v>unknown</v>
          </cell>
        </row>
        <row r="1421">
          <cell r="A1421">
            <v>8021</v>
          </cell>
          <cell r="B1421" t="str">
            <v>ja</v>
          </cell>
          <cell r="C1421" t="str">
            <v>鏡音レン</v>
          </cell>
          <cell r="D1421" t="str">
            <v>鏡音レン</v>
          </cell>
          <cell r="E1421" t="str">
            <v>執行者</v>
          </cell>
          <cell r="F1421" t="str">
            <v>格好いい</v>
          </cell>
          <cell r="G1421" t="str">
            <v>女性</v>
          </cell>
          <cell r="H1421" t="str">
            <v>yellow</v>
          </cell>
          <cell r="I1421">
            <v>4</v>
          </cell>
          <cell r="J1421" t="str">
            <v>PremiumSS</v>
          </cell>
          <cell r="K1421" t="str">
            <v>heal</v>
          </cell>
          <cell r="L1421" t="str">
            <v>回復タイプ</v>
          </cell>
          <cell r="M1421" t="str">
            <v>unknown</v>
          </cell>
        </row>
        <row r="1422">
          <cell r="A1422">
            <v>8022</v>
          </cell>
          <cell r="B1422" t="str">
            <v>ja</v>
          </cell>
          <cell r="C1422" t="str">
            <v>鏡音レン</v>
          </cell>
          <cell r="D1422" t="str">
            <v>鏡音レン</v>
          </cell>
          <cell r="E1422" t="str">
            <v>執行者</v>
          </cell>
          <cell r="F1422" t="str">
            <v>格好いい</v>
          </cell>
          <cell r="G1422" t="str">
            <v>女性</v>
          </cell>
          <cell r="H1422" t="str">
            <v>yellow</v>
          </cell>
          <cell r="I1422">
            <v>5</v>
          </cell>
          <cell r="J1422" t="str">
            <v>PremiumSS</v>
          </cell>
          <cell r="K1422" t="str">
            <v>heal</v>
          </cell>
          <cell r="L1422" t="str">
            <v>回復タイプ</v>
          </cell>
          <cell r="M1422" t="str">
            <v>unknown</v>
          </cell>
        </row>
        <row r="1423">
          <cell r="A1423">
            <v>8023</v>
          </cell>
          <cell r="B1423" t="str">
            <v>ja</v>
          </cell>
          <cell r="C1423" t="str">
            <v>巡音ルカ</v>
          </cell>
          <cell r="D1423" t="str">
            <v>巡音ルカ</v>
          </cell>
          <cell r="E1423" t="str">
            <v>執行者</v>
          </cell>
          <cell r="F1423" t="str">
            <v>格好いい</v>
          </cell>
          <cell r="G1423" t="str">
            <v>女性</v>
          </cell>
          <cell r="H1423" t="str">
            <v>red</v>
          </cell>
          <cell r="I1423">
            <v>3</v>
          </cell>
          <cell r="J1423" t="str">
            <v>PremiumS</v>
          </cell>
          <cell r="K1423" t="str">
            <v>attack</v>
          </cell>
          <cell r="L1423" t="str">
            <v>攻撃タイプ</v>
          </cell>
          <cell r="M1423" t="str">
            <v>unknown</v>
          </cell>
        </row>
        <row r="1424">
          <cell r="A1424">
            <v>8024</v>
          </cell>
          <cell r="B1424" t="str">
            <v>ja</v>
          </cell>
          <cell r="C1424" t="str">
            <v>巡音ルカ</v>
          </cell>
          <cell r="D1424" t="str">
            <v>巡音ルカ</v>
          </cell>
          <cell r="E1424" t="str">
            <v>執行者</v>
          </cell>
          <cell r="F1424" t="str">
            <v>格好いい</v>
          </cell>
          <cell r="G1424" t="str">
            <v>女性</v>
          </cell>
          <cell r="H1424" t="str">
            <v>red</v>
          </cell>
          <cell r="I1424">
            <v>4</v>
          </cell>
          <cell r="J1424" t="str">
            <v>PremiumS</v>
          </cell>
          <cell r="K1424" t="str">
            <v>attack</v>
          </cell>
          <cell r="L1424" t="str">
            <v>攻撃タイプ</v>
          </cell>
          <cell r="M1424" t="str">
            <v>unknown</v>
          </cell>
        </row>
        <row r="1425">
          <cell r="A1425">
            <v>8025</v>
          </cell>
          <cell r="B1425" t="str">
            <v>ja</v>
          </cell>
          <cell r="C1425" t="str">
            <v>MEIKO</v>
          </cell>
          <cell r="D1425" t="str">
            <v>MEIKO</v>
          </cell>
          <cell r="E1425" t="str">
            <v>執行者</v>
          </cell>
          <cell r="F1425" t="str">
            <v>格好いい</v>
          </cell>
          <cell r="G1425" t="str">
            <v>男性</v>
          </cell>
          <cell r="H1425" t="str">
            <v>red</v>
          </cell>
          <cell r="I1425">
            <v>3</v>
          </cell>
          <cell r="J1425" t="str">
            <v>PremiumS</v>
          </cell>
          <cell r="K1425" t="str">
            <v>hp</v>
          </cell>
          <cell r="L1425" t="str">
            <v>体力タイプ</v>
          </cell>
          <cell r="M1425" t="str">
            <v>unknown</v>
          </cell>
        </row>
        <row r="1426">
          <cell r="A1426">
            <v>8026</v>
          </cell>
          <cell r="B1426" t="str">
            <v>ja</v>
          </cell>
          <cell r="C1426" t="str">
            <v>MEIKO</v>
          </cell>
          <cell r="D1426" t="str">
            <v>MEIKO</v>
          </cell>
          <cell r="E1426" t="str">
            <v>執行者</v>
          </cell>
          <cell r="F1426" t="str">
            <v>格好いい</v>
          </cell>
          <cell r="G1426" t="str">
            <v>男性</v>
          </cell>
          <cell r="H1426" t="str">
            <v>red</v>
          </cell>
          <cell r="I1426">
            <v>4</v>
          </cell>
          <cell r="J1426" t="str">
            <v>PremiumS</v>
          </cell>
          <cell r="K1426" t="str">
            <v>hp</v>
          </cell>
          <cell r="L1426" t="str">
            <v>体力タイプ</v>
          </cell>
          <cell r="M1426" t="str">
            <v>unknown</v>
          </cell>
        </row>
        <row r="1427">
          <cell r="A1427">
            <v>8027</v>
          </cell>
          <cell r="B1427" t="str">
            <v>ja</v>
          </cell>
          <cell r="C1427" t="str">
            <v>KAITO</v>
          </cell>
          <cell r="D1427" t="str">
            <v>KAITO</v>
          </cell>
          <cell r="E1427" t="str">
            <v>執行者</v>
          </cell>
          <cell r="F1427" t="str">
            <v>格好いい</v>
          </cell>
          <cell r="G1427" t="str">
            <v>女性</v>
          </cell>
          <cell r="H1427" t="str">
            <v>blue</v>
          </cell>
          <cell r="I1427">
            <v>3</v>
          </cell>
          <cell r="J1427" t="str">
            <v>PremiumS</v>
          </cell>
          <cell r="K1427" t="str">
            <v>technical</v>
          </cell>
          <cell r="L1427" t="str">
            <v>テクニカルタイプ</v>
          </cell>
          <cell r="M1427" t="str">
            <v>unknown</v>
          </cell>
        </row>
        <row r="1428">
          <cell r="A1428">
            <v>8028</v>
          </cell>
          <cell r="B1428" t="str">
            <v>ja</v>
          </cell>
          <cell r="C1428" t="str">
            <v>KAITO</v>
          </cell>
          <cell r="D1428" t="str">
            <v>KAITO</v>
          </cell>
          <cell r="E1428" t="str">
            <v>執行者</v>
          </cell>
          <cell r="F1428" t="str">
            <v>格好いい</v>
          </cell>
          <cell r="G1428" t="str">
            <v>女性</v>
          </cell>
          <cell r="H1428" t="str">
            <v>blue</v>
          </cell>
          <cell r="I1428">
            <v>4</v>
          </cell>
          <cell r="J1428" t="str">
            <v>PremiumS</v>
          </cell>
          <cell r="K1428" t="str">
            <v>technical</v>
          </cell>
          <cell r="L1428" t="str">
            <v>テクニカルタイプ</v>
          </cell>
          <cell r="M1428" t="str">
            <v>unknown</v>
          </cell>
        </row>
        <row r="1429">
          <cell r="A1429">
            <v>8029</v>
          </cell>
          <cell r="B1429" t="str">
            <v>ja</v>
          </cell>
          <cell r="C1429" t="str">
            <v>Expoミク</v>
          </cell>
          <cell r="D1429" t="str">
            <v>Expoミク</v>
          </cell>
          <cell r="E1429" t="str">
            <v>執行者</v>
          </cell>
          <cell r="F1429" t="str">
            <v>格好いい</v>
          </cell>
          <cell r="G1429" t="str">
            <v>女性</v>
          </cell>
          <cell r="H1429" t="str">
            <v>blue</v>
          </cell>
          <cell r="I1429">
            <v>4</v>
          </cell>
          <cell r="J1429" t="str">
            <v>Drop2N</v>
          </cell>
          <cell r="K1429" t="str">
            <v>heal</v>
          </cell>
          <cell r="L1429" t="str">
            <v>回復タイプ</v>
          </cell>
          <cell r="M1429" t="str">
            <v>unknown</v>
          </cell>
        </row>
        <row r="1430">
          <cell r="A1430">
            <v>8030</v>
          </cell>
          <cell r="B1430" t="str">
            <v>ja</v>
          </cell>
          <cell r="C1430" t="str">
            <v>Expoミク</v>
          </cell>
          <cell r="D1430" t="str">
            <v>Expoミク</v>
          </cell>
          <cell r="E1430" t="str">
            <v>執行者</v>
          </cell>
          <cell r="F1430" t="str">
            <v>格好いい</v>
          </cell>
          <cell r="G1430" t="str">
            <v>女性</v>
          </cell>
          <cell r="H1430" t="str">
            <v>blue</v>
          </cell>
          <cell r="I1430">
            <v>5</v>
          </cell>
          <cell r="J1430" t="str">
            <v>Drop2N</v>
          </cell>
          <cell r="K1430" t="str">
            <v>heal</v>
          </cell>
          <cell r="L1430" t="str">
            <v>回復タイプ</v>
          </cell>
          <cell r="M1430" t="str">
            <v>unknown</v>
          </cell>
        </row>
        <row r="1431">
          <cell r="A1431">
            <v>8031</v>
          </cell>
          <cell r="B1431" t="str">
            <v>ja</v>
          </cell>
          <cell r="C1431" t="str">
            <v>閻羅王</v>
          </cell>
          <cell r="D1431" t="str">
            <v>Expoミク</v>
          </cell>
          <cell r="E1431" t="str">
            <v>執行者</v>
          </cell>
          <cell r="F1431" t="str">
            <v>格好いい</v>
          </cell>
          <cell r="G1431" t="str">
            <v>女性</v>
          </cell>
          <cell r="H1431" t="str">
            <v>red</v>
          </cell>
          <cell r="I1431">
            <v>5</v>
          </cell>
          <cell r="J1431" t="str">
            <v>PremiumSS</v>
          </cell>
          <cell r="K1431" t="str">
            <v>balance</v>
          </cell>
          <cell r="L1431" t="str">
            <v>バランスタイプ</v>
          </cell>
          <cell r="M1431" t="str">
            <v>god</v>
          </cell>
        </row>
        <row r="1432">
          <cell r="A1432">
            <v>8032</v>
          </cell>
          <cell r="B1432" t="str">
            <v>ja</v>
          </cell>
          <cell r="C1432" t="str">
            <v>六道輪廻の絶獄 閻羅王</v>
          </cell>
          <cell r="D1432" t="str">
            <v>Expoミク</v>
          </cell>
          <cell r="E1432" t="str">
            <v>執行者</v>
          </cell>
          <cell r="F1432" t="str">
            <v>格好いい</v>
          </cell>
          <cell r="G1432" t="str">
            <v>女性</v>
          </cell>
          <cell r="H1432" t="str">
            <v>red</v>
          </cell>
          <cell r="I1432">
            <v>6</v>
          </cell>
          <cell r="J1432" t="str">
            <v>PremiumSS</v>
          </cell>
          <cell r="K1432" t="str">
            <v>balance</v>
          </cell>
          <cell r="L1432" t="str">
            <v>バランスタイプ</v>
          </cell>
          <cell r="M1432" t="str">
            <v>god</v>
          </cell>
        </row>
        <row r="1433">
          <cell r="A1433">
            <v>8033</v>
          </cell>
          <cell r="B1433" t="str">
            <v>ja</v>
          </cell>
          <cell r="C1433" t="str">
            <v>牛頭馬面</v>
          </cell>
          <cell r="D1433" t="str">
            <v>Expoミク</v>
          </cell>
          <cell r="E1433" t="str">
            <v>執行者</v>
          </cell>
          <cell r="F1433" t="str">
            <v>格好いい</v>
          </cell>
          <cell r="G1433" t="str">
            <v>女性</v>
          </cell>
          <cell r="H1433" t="str">
            <v>green</v>
          </cell>
          <cell r="I1433">
            <v>5</v>
          </cell>
          <cell r="J1433" t="str">
            <v>DropWizS</v>
          </cell>
          <cell r="K1433" t="str">
            <v>attack</v>
          </cell>
          <cell r="L1433" t="str">
            <v>攻撃タイプ</v>
          </cell>
          <cell r="M1433" t="str">
            <v>god</v>
          </cell>
        </row>
        <row r="1434">
          <cell r="A1434">
            <v>8034</v>
          </cell>
          <cell r="B1434" t="str">
            <v>ja</v>
          </cell>
          <cell r="C1434" t="str">
            <v>冥府狩る魂使 牛頭馬面</v>
          </cell>
          <cell r="D1434" t="str">
            <v>Expoミク</v>
          </cell>
          <cell r="E1434" t="str">
            <v>執行者</v>
          </cell>
          <cell r="F1434" t="str">
            <v>格好いい</v>
          </cell>
          <cell r="G1434" t="str">
            <v>女性</v>
          </cell>
          <cell r="H1434" t="str">
            <v>green</v>
          </cell>
          <cell r="I1434">
            <v>6</v>
          </cell>
          <cell r="J1434" t="str">
            <v>DropWizS</v>
          </cell>
          <cell r="K1434" t="str">
            <v>attack</v>
          </cell>
          <cell r="L1434" t="str">
            <v>攻撃タイプ</v>
          </cell>
          <cell r="M1434" t="str">
            <v>god</v>
          </cell>
        </row>
        <row r="1435">
          <cell r="A1435">
            <v>8035</v>
          </cell>
          <cell r="B1435" t="str">
            <v>ja</v>
          </cell>
          <cell r="C1435" t="str">
            <v>飛衛</v>
          </cell>
          <cell r="D1435" t="str">
            <v>Expoミク</v>
          </cell>
          <cell r="E1435" t="str">
            <v>執行者</v>
          </cell>
          <cell r="F1435" t="str">
            <v>格好いい</v>
          </cell>
          <cell r="G1435" t="str">
            <v>女性</v>
          </cell>
          <cell r="H1435" t="str">
            <v>blue</v>
          </cell>
          <cell r="I1435">
            <v>5</v>
          </cell>
          <cell r="J1435" t="str">
            <v>PremiumSS</v>
          </cell>
          <cell r="K1435" t="str">
            <v>heal</v>
          </cell>
          <cell r="L1435" t="str">
            <v>回復タイプ</v>
          </cell>
          <cell r="M1435" t="str">
            <v>human</v>
          </cell>
        </row>
        <row r="1436">
          <cell r="A1436">
            <v>8036</v>
          </cell>
          <cell r="B1436" t="str">
            <v>ja</v>
          </cell>
          <cell r="C1436" t="str">
            <v>レア６飛衛</v>
          </cell>
          <cell r="D1436" t="str">
            <v>Expoミク</v>
          </cell>
          <cell r="E1436" t="str">
            <v>執行者</v>
          </cell>
          <cell r="F1436" t="str">
            <v>格好いい</v>
          </cell>
          <cell r="G1436" t="str">
            <v>女性</v>
          </cell>
          <cell r="H1436" t="str">
            <v>blue</v>
          </cell>
          <cell r="I1436">
            <v>6</v>
          </cell>
          <cell r="J1436" t="str">
            <v>PremiumSS</v>
          </cell>
          <cell r="K1436" t="str">
            <v>heal</v>
          </cell>
          <cell r="L1436" t="str">
            <v>回復タイプ</v>
          </cell>
          <cell r="M1436" t="str">
            <v>human</v>
          </cell>
        </row>
        <row r="1437">
          <cell r="A1437">
            <v>8037</v>
          </cell>
          <cell r="B1437" t="str">
            <v>ja</v>
          </cell>
          <cell r="C1437" t="str">
            <v>紀昌</v>
          </cell>
          <cell r="D1437" t="str">
            <v>Expoミク</v>
          </cell>
          <cell r="E1437" t="str">
            <v>執行者</v>
          </cell>
          <cell r="F1437" t="str">
            <v>格好いい</v>
          </cell>
          <cell r="G1437" t="str">
            <v>女性</v>
          </cell>
          <cell r="H1437" t="str">
            <v>red</v>
          </cell>
          <cell r="I1437">
            <v>5</v>
          </cell>
          <cell r="J1437" t="str">
            <v>DropWizS</v>
          </cell>
          <cell r="K1437" t="str">
            <v>attack</v>
          </cell>
          <cell r="L1437" t="str">
            <v>攻撃タイプ</v>
          </cell>
          <cell r="M1437" t="str">
            <v>human</v>
          </cell>
        </row>
        <row r="1438">
          <cell r="A1438">
            <v>8038</v>
          </cell>
          <cell r="B1438" t="str">
            <v>ja</v>
          </cell>
          <cell r="C1438" t="str">
            <v>レア６紀昌</v>
          </cell>
          <cell r="D1438" t="str">
            <v>Expoミク</v>
          </cell>
          <cell r="E1438" t="str">
            <v>執行者</v>
          </cell>
          <cell r="F1438" t="str">
            <v>格好いい</v>
          </cell>
          <cell r="G1438" t="str">
            <v>女性</v>
          </cell>
          <cell r="H1438" t="str">
            <v>red</v>
          </cell>
          <cell r="I1438">
            <v>6</v>
          </cell>
          <cell r="J1438" t="str">
            <v>DropWizS</v>
          </cell>
          <cell r="K1438" t="str">
            <v>attack</v>
          </cell>
          <cell r="L1438" t="str">
            <v>攻撃タイプ</v>
          </cell>
          <cell r="M1438" t="str">
            <v>human</v>
          </cell>
        </row>
        <row r="1439">
          <cell r="A1439">
            <v>8039</v>
          </cell>
          <cell r="B1439" t="str">
            <v>ja</v>
          </cell>
          <cell r="C1439" t="str">
            <v>何仙姑</v>
          </cell>
          <cell r="D1439" t="str">
            <v>Expoミク</v>
          </cell>
          <cell r="E1439" t="str">
            <v>執行者</v>
          </cell>
          <cell r="F1439" t="str">
            <v>格好いい</v>
          </cell>
          <cell r="G1439" t="str">
            <v>女性</v>
          </cell>
          <cell r="H1439" t="str">
            <v>yellow</v>
          </cell>
          <cell r="I1439">
            <v>5</v>
          </cell>
          <cell r="J1439" t="str">
            <v>PremiumSSw</v>
          </cell>
          <cell r="K1439" t="str">
            <v>hp</v>
          </cell>
          <cell r="L1439" t="str">
            <v>体力タイプ</v>
          </cell>
          <cell r="M1439" t="str">
            <v>god</v>
          </cell>
        </row>
        <row r="1440">
          <cell r="A1440">
            <v>8040</v>
          </cell>
          <cell r="B1440" t="str">
            <v>ja</v>
          </cell>
          <cell r="C1440" t="str">
            <v>レア６何仙姑</v>
          </cell>
          <cell r="D1440" t="str">
            <v>Expoミク</v>
          </cell>
          <cell r="E1440" t="str">
            <v>執行者</v>
          </cell>
          <cell r="F1440" t="str">
            <v>格好いい</v>
          </cell>
          <cell r="G1440" t="str">
            <v>女性</v>
          </cell>
          <cell r="H1440" t="str">
            <v>yellow</v>
          </cell>
          <cell r="I1440">
            <v>6</v>
          </cell>
          <cell r="J1440" t="str">
            <v>PremiumSSw</v>
          </cell>
          <cell r="K1440" t="str">
            <v>hp</v>
          </cell>
          <cell r="L1440" t="str">
            <v>体力タイプ</v>
          </cell>
          <cell r="M1440" t="str">
            <v>god</v>
          </cell>
        </row>
        <row r="1441">
          <cell r="A1441">
            <v>8041</v>
          </cell>
          <cell r="B1441" t="str">
            <v>ja</v>
          </cell>
          <cell r="C1441" t="str">
            <v>藍采和</v>
          </cell>
          <cell r="D1441" t="str">
            <v>Expoミク</v>
          </cell>
          <cell r="E1441" t="str">
            <v>執行者</v>
          </cell>
          <cell r="F1441" t="str">
            <v>格好いい</v>
          </cell>
          <cell r="G1441" t="str">
            <v>女性</v>
          </cell>
          <cell r="H1441" t="str">
            <v>blue</v>
          </cell>
          <cell r="I1441">
            <v>5</v>
          </cell>
          <cell r="J1441" t="str">
            <v>DropWizS</v>
          </cell>
          <cell r="K1441" t="str">
            <v>balance</v>
          </cell>
          <cell r="L1441" t="str">
            <v>バランスタイプ</v>
          </cell>
          <cell r="M1441" t="str">
            <v>god</v>
          </cell>
        </row>
        <row r="1442">
          <cell r="A1442">
            <v>8042</v>
          </cell>
          <cell r="B1442" t="str">
            <v>ja</v>
          </cell>
          <cell r="C1442" t="str">
            <v>レア６藍采和</v>
          </cell>
          <cell r="D1442" t="str">
            <v>Expoミク</v>
          </cell>
          <cell r="E1442" t="str">
            <v>執行者</v>
          </cell>
          <cell r="F1442" t="str">
            <v>格好いい</v>
          </cell>
          <cell r="G1442" t="str">
            <v>女性</v>
          </cell>
          <cell r="H1442" t="str">
            <v>blue</v>
          </cell>
          <cell r="I1442">
            <v>6</v>
          </cell>
          <cell r="J1442" t="str">
            <v>DropWizS</v>
          </cell>
          <cell r="K1442" t="str">
            <v>balance</v>
          </cell>
          <cell r="L1442" t="str">
            <v>バランスタイプ</v>
          </cell>
          <cell r="M1442" t="str">
            <v>god</v>
          </cell>
        </row>
        <row r="1443">
          <cell r="A1443">
            <v>8043</v>
          </cell>
          <cell r="B1443" t="str">
            <v>ja</v>
          </cell>
          <cell r="C1443" t="str">
            <v>サンリオキャラ大集合+アザゼル</v>
          </cell>
          <cell r="D1443" t="str">
            <v>サンリオキャラ大集合+アザゼル</v>
          </cell>
          <cell r="E1443" t="str">
            <v>執行者</v>
          </cell>
          <cell r="F1443" t="str">
            <v>格好いい</v>
          </cell>
          <cell r="G1443" t="str">
            <v>女性</v>
          </cell>
          <cell r="H1443" t="str">
            <v>green</v>
          </cell>
          <cell r="I1443">
            <v>5</v>
          </cell>
          <cell r="J1443" t="str">
            <v>DropWizS</v>
          </cell>
          <cell r="K1443" t="str">
            <v>technical</v>
          </cell>
          <cell r="L1443" t="str">
            <v>テクニカルタイプ</v>
          </cell>
          <cell r="M1443" t="str">
            <v>ss</v>
          </cell>
        </row>
        <row r="1444">
          <cell r="A1444">
            <v>8044</v>
          </cell>
          <cell r="B1444" t="str">
            <v>ja</v>
          </cell>
          <cell r="C1444" t="str">
            <v>サンリオキャラ大集合+アザゼル</v>
          </cell>
          <cell r="D1444" t="str">
            <v>サンリオキャラ大集合+アザゼル</v>
          </cell>
          <cell r="E1444" t="str">
            <v>執行者</v>
          </cell>
          <cell r="F1444" t="str">
            <v>格好いい</v>
          </cell>
          <cell r="G1444" t="str">
            <v>女性</v>
          </cell>
          <cell r="H1444" t="str">
            <v>green</v>
          </cell>
          <cell r="I1444">
            <v>6</v>
          </cell>
          <cell r="J1444" t="str">
            <v>DropWizS</v>
          </cell>
          <cell r="K1444" t="str">
            <v>technical</v>
          </cell>
          <cell r="L1444" t="str">
            <v>テクニカルタイプ</v>
          </cell>
          <cell r="M1444" t="str">
            <v>ss</v>
          </cell>
        </row>
        <row r="1445">
          <cell r="A1445">
            <v>8045</v>
          </cell>
          <cell r="B1445" t="str">
            <v>ja</v>
          </cell>
          <cell r="C1445" t="str">
            <v>ニムダ_サンリオキャラ混じり</v>
          </cell>
          <cell r="D1445" t="str">
            <v>ニムダ_サンリオキャラ混じり</v>
          </cell>
          <cell r="E1445" t="str">
            <v>執行者</v>
          </cell>
          <cell r="F1445" t="str">
            <v>格好いい</v>
          </cell>
          <cell r="G1445" t="str">
            <v>女性</v>
          </cell>
          <cell r="H1445" t="str">
            <v>yellow</v>
          </cell>
          <cell r="I1445">
            <v>4</v>
          </cell>
          <cell r="J1445" t="str">
            <v>Drop2N</v>
          </cell>
          <cell r="K1445" t="str">
            <v>technical</v>
          </cell>
          <cell r="L1445" t="str">
            <v>テクニカルタイプ</v>
          </cell>
          <cell r="M1445" t="str">
            <v>ss</v>
          </cell>
        </row>
        <row r="1446">
          <cell r="A1446">
            <v>8046</v>
          </cell>
          <cell r="B1446" t="str">
            <v>ja</v>
          </cell>
          <cell r="C1446" t="str">
            <v>ニムダ_サンリオキャラ混じり</v>
          </cell>
          <cell r="D1446" t="str">
            <v>ニムダ_サンリオキャラ混じり</v>
          </cell>
          <cell r="E1446" t="str">
            <v>執行者</v>
          </cell>
          <cell r="F1446" t="str">
            <v>格好いい</v>
          </cell>
          <cell r="G1446" t="str">
            <v>女性</v>
          </cell>
          <cell r="H1446" t="str">
            <v>yellow</v>
          </cell>
          <cell r="I1446">
            <v>5</v>
          </cell>
          <cell r="J1446" t="str">
            <v>Drop2N</v>
          </cell>
          <cell r="K1446" t="str">
            <v>technical</v>
          </cell>
          <cell r="L1446" t="str">
            <v>テクニカルタイプ</v>
          </cell>
          <cell r="M1446" t="str">
            <v>ss</v>
          </cell>
        </row>
        <row r="1447">
          <cell r="A1447">
            <v>8047</v>
          </cell>
          <cell r="B1447" t="str">
            <v>ja</v>
          </cell>
          <cell r="C1447" t="str">
            <v>ハローキティ</v>
          </cell>
          <cell r="D1447" t="str">
            <v>ハローキティ</v>
          </cell>
          <cell r="E1447" t="str">
            <v>執行者</v>
          </cell>
          <cell r="F1447" t="str">
            <v>格好いい</v>
          </cell>
          <cell r="G1447" t="str">
            <v>女性</v>
          </cell>
          <cell r="H1447" t="str">
            <v>red</v>
          </cell>
          <cell r="I1447">
            <v>4</v>
          </cell>
          <cell r="J1447" t="str">
            <v>Drop2N</v>
          </cell>
          <cell r="K1447" t="str">
            <v>balance</v>
          </cell>
          <cell r="L1447" t="str">
            <v>バランスタイプ</v>
          </cell>
          <cell r="M1447" t="str">
            <v>ss</v>
          </cell>
        </row>
        <row r="1448">
          <cell r="A1448">
            <v>8048</v>
          </cell>
          <cell r="B1448" t="str">
            <v>ja</v>
          </cell>
          <cell r="C1448" t="str">
            <v>ハローキティ</v>
          </cell>
          <cell r="D1448" t="str">
            <v>ハローキティ</v>
          </cell>
          <cell r="E1448" t="str">
            <v>執行者</v>
          </cell>
          <cell r="F1448" t="str">
            <v>格好いい</v>
          </cell>
          <cell r="G1448" t="str">
            <v>女性</v>
          </cell>
          <cell r="H1448" t="str">
            <v>red</v>
          </cell>
          <cell r="I1448">
            <v>5</v>
          </cell>
          <cell r="J1448" t="str">
            <v>Drop2N</v>
          </cell>
          <cell r="K1448" t="str">
            <v>balance</v>
          </cell>
          <cell r="L1448" t="str">
            <v>バランスタイプ</v>
          </cell>
          <cell r="M1448" t="str">
            <v>ss</v>
          </cell>
        </row>
        <row r="1449">
          <cell r="A1449">
            <v>8049</v>
          </cell>
          <cell r="B1449" t="str">
            <v>ja</v>
          </cell>
          <cell r="C1449" t="str">
            <v>KIRIMIちゃん</v>
          </cell>
          <cell r="D1449" t="str">
            <v>KIRIMIちゃん</v>
          </cell>
          <cell r="E1449" t="str">
            <v>執行者</v>
          </cell>
          <cell r="F1449" t="str">
            <v>格好いい</v>
          </cell>
          <cell r="G1449" t="str">
            <v>女性</v>
          </cell>
          <cell r="H1449" t="str">
            <v>red</v>
          </cell>
          <cell r="I1449">
            <v>4</v>
          </cell>
          <cell r="J1449" t="str">
            <v>Drop2N</v>
          </cell>
          <cell r="K1449" t="str">
            <v>hp</v>
          </cell>
          <cell r="L1449" t="str">
            <v>体力タイプ</v>
          </cell>
          <cell r="M1449" t="str">
            <v>ss</v>
          </cell>
        </row>
        <row r="1450">
          <cell r="A1450">
            <v>8050</v>
          </cell>
          <cell r="B1450" t="str">
            <v>ja</v>
          </cell>
          <cell r="C1450" t="str">
            <v>KIRIMIちゃん</v>
          </cell>
          <cell r="D1450" t="str">
            <v>KIRIMIちゃん</v>
          </cell>
          <cell r="E1450" t="str">
            <v>執行者</v>
          </cell>
          <cell r="F1450" t="str">
            <v>格好いい</v>
          </cell>
          <cell r="G1450" t="str">
            <v>女性</v>
          </cell>
          <cell r="H1450" t="str">
            <v>red</v>
          </cell>
          <cell r="I1450">
            <v>5</v>
          </cell>
          <cell r="J1450" t="str">
            <v>Drop2N</v>
          </cell>
          <cell r="K1450" t="str">
            <v>hp</v>
          </cell>
          <cell r="L1450" t="str">
            <v>体力タイプ</v>
          </cell>
          <cell r="M1450" t="str">
            <v>ss</v>
          </cell>
        </row>
        <row r="1451">
          <cell r="A1451">
            <v>8051</v>
          </cell>
          <cell r="B1451" t="str">
            <v>ja</v>
          </cell>
          <cell r="C1451" t="str">
            <v>ハローキティのリボン</v>
          </cell>
          <cell r="D1451" t="str">
            <v>ハローキティのリボン</v>
          </cell>
          <cell r="E1451" t="str">
            <v>執行者</v>
          </cell>
          <cell r="F1451" t="str">
            <v>格好いい</v>
          </cell>
          <cell r="G1451" t="str">
            <v>女性</v>
          </cell>
          <cell r="H1451" t="str">
            <v>red</v>
          </cell>
          <cell r="I1451">
            <v>5</v>
          </cell>
          <cell r="J1451" t="str">
            <v>Drop2N</v>
          </cell>
          <cell r="K1451" t="str">
            <v>evolution</v>
          </cell>
          <cell r="L1451" t="str">
            <v>覚醒素材タイプ</v>
          </cell>
          <cell r="M1451" t="str">
            <v>ss</v>
          </cell>
        </row>
        <row r="1452">
          <cell r="A1452">
            <v>8052</v>
          </cell>
          <cell r="B1452" t="str">
            <v>ja</v>
          </cell>
          <cell r="C1452" t="str">
            <v>ママの作ったアップルパイ</v>
          </cell>
          <cell r="D1452" t="str">
            <v>ママの作ったアップルパイ</v>
          </cell>
          <cell r="E1452" t="str">
            <v>執行者</v>
          </cell>
          <cell r="F1452" t="str">
            <v>格好いい</v>
          </cell>
          <cell r="G1452" t="str">
            <v>女性</v>
          </cell>
          <cell r="H1452" t="str">
            <v>red</v>
          </cell>
          <cell r="I1452">
            <v>4</v>
          </cell>
          <cell r="J1452" t="str">
            <v>Drop2N</v>
          </cell>
          <cell r="K1452" t="str">
            <v>evolution</v>
          </cell>
          <cell r="L1452" t="str">
            <v>覚醒素材タイプ</v>
          </cell>
          <cell r="M1452" t="str">
            <v>ss</v>
          </cell>
        </row>
        <row r="1453">
          <cell r="A1453">
            <v>8053</v>
          </cell>
          <cell r="B1453" t="str">
            <v>ja</v>
          </cell>
          <cell r="C1453" t="str">
            <v>D.R.T.H__キティコスプレ</v>
          </cell>
          <cell r="D1453" t="str">
            <v>D.R.T.H__キティコスプレ</v>
          </cell>
          <cell r="E1453" t="str">
            <v>執行者</v>
          </cell>
          <cell r="F1453" t="str">
            <v>格好いい</v>
          </cell>
          <cell r="G1453" t="str">
            <v>女性</v>
          </cell>
          <cell r="H1453" t="str">
            <v>red</v>
          </cell>
          <cell r="I1453">
            <v>5</v>
          </cell>
          <cell r="J1453" t="str">
            <v>PremiumSS</v>
          </cell>
          <cell r="K1453" t="str">
            <v>balance</v>
          </cell>
          <cell r="L1453" t="str">
            <v>バランスタイプ</v>
          </cell>
          <cell r="M1453" t="str">
            <v>ss</v>
          </cell>
        </row>
        <row r="1454">
          <cell r="A1454">
            <v>8054</v>
          </cell>
          <cell r="B1454" t="str">
            <v>ja</v>
          </cell>
          <cell r="C1454" t="str">
            <v>D.R.T.H__キティコスプレ</v>
          </cell>
          <cell r="D1454" t="str">
            <v>D.R.T.H__キティコスプレ</v>
          </cell>
          <cell r="E1454" t="str">
            <v>執行者</v>
          </cell>
          <cell r="F1454" t="str">
            <v>格好いい</v>
          </cell>
          <cell r="G1454" t="str">
            <v>女性</v>
          </cell>
          <cell r="H1454" t="str">
            <v>red</v>
          </cell>
          <cell r="I1454">
            <v>6</v>
          </cell>
          <cell r="J1454" t="str">
            <v>PremiumSS</v>
          </cell>
          <cell r="K1454" t="str">
            <v>balance</v>
          </cell>
          <cell r="L1454" t="str">
            <v>バランスタイプ</v>
          </cell>
          <cell r="M1454" t="str">
            <v>ss</v>
          </cell>
        </row>
        <row r="1455">
          <cell r="A1455">
            <v>8055</v>
          </cell>
          <cell r="B1455" t="str">
            <v>ja</v>
          </cell>
          <cell r="C1455" t="str">
            <v>マイメロディ</v>
          </cell>
          <cell r="D1455" t="str">
            <v>マイメロディ</v>
          </cell>
          <cell r="E1455" t="str">
            <v>執行者</v>
          </cell>
          <cell r="F1455" t="str">
            <v>格好いい</v>
          </cell>
          <cell r="G1455" t="str">
            <v>女性</v>
          </cell>
          <cell r="H1455" t="str">
            <v>red</v>
          </cell>
          <cell r="I1455">
            <v>4</v>
          </cell>
          <cell r="J1455" t="str">
            <v>PremiumS</v>
          </cell>
          <cell r="K1455" t="str">
            <v>attack</v>
          </cell>
          <cell r="L1455" t="str">
            <v>攻撃タイプ</v>
          </cell>
          <cell r="M1455" t="str">
            <v>ss</v>
          </cell>
        </row>
        <row r="1456">
          <cell r="A1456">
            <v>8056</v>
          </cell>
          <cell r="B1456" t="str">
            <v>ja</v>
          </cell>
          <cell r="C1456" t="str">
            <v>マイメロディ</v>
          </cell>
          <cell r="D1456" t="str">
            <v>マイメロディ</v>
          </cell>
          <cell r="E1456" t="str">
            <v>執行者</v>
          </cell>
          <cell r="F1456" t="str">
            <v>格好いい</v>
          </cell>
          <cell r="G1456" t="str">
            <v>女性</v>
          </cell>
          <cell r="H1456" t="str">
            <v>red</v>
          </cell>
          <cell r="I1456">
            <v>5</v>
          </cell>
          <cell r="J1456" t="str">
            <v>PremiumS</v>
          </cell>
          <cell r="K1456" t="str">
            <v>attack</v>
          </cell>
          <cell r="L1456" t="str">
            <v>攻撃タイプ</v>
          </cell>
          <cell r="M1456" t="str">
            <v>ss</v>
          </cell>
        </row>
        <row r="1457">
          <cell r="A1457">
            <v>8057</v>
          </cell>
          <cell r="B1457" t="str">
            <v>ja</v>
          </cell>
          <cell r="C1457" t="str">
            <v>ニーベルゲン_シナモロールコスプレ</v>
          </cell>
          <cell r="D1457" t="str">
            <v>ニーベルゲン_シナモロールコスプレ</v>
          </cell>
          <cell r="E1457" t="str">
            <v>執行者</v>
          </cell>
          <cell r="F1457" t="str">
            <v>格好いい</v>
          </cell>
          <cell r="G1457" t="str">
            <v>女性</v>
          </cell>
          <cell r="H1457" t="str">
            <v>green</v>
          </cell>
          <cell r="I1457">
            <v>4</v>
          </cell>
          <cell r="J1457" t="str">
            <v>PremiumS</v>
          </cell>
          <cell r="K1457" t="str">
            <v>balance</v>
          </cell>
          <cell r="L1457" t="str">
            <v>バランスタイプ</v>
          </cell>
          <cell r="M1457" t="str">
            <v>ss</v>
          </cell>
        </row>
        <row r="1458">
          <cell r="A1458">
            <v>8058</v>
          </cell>
          <cell r="B1458" t="str">
            <v>ja</v>
          </cell>
          <cell r="C1458" t="str">
            <v>ニーベルゲン_シナモロールコスプレ</v>
          </cell>
          <cell r="D1458" t="str">
            <v>ニーベルゲン_シナモロールコスプレ</v>
          </cell>
          <cell r="E1458" t="str">
            <v>執行者</v>
          </cell>
          <cell r="F1458" t="str">
            <v>格好いい</v>
          </cell>
          <cell r="G1458" t="str">
            <v>女性</v>
          </cell>
          <cell r="H1458" t="str">
            <v>green</v>
          </cell>
          <cell r="I1458">
            <v>5</v>
          </cell>
          <cell r="J1458" t="str">
            <v>PremiumS</v>
          </cell>
          <cell r="K1458" t="str">
            <v>balance</v>
          </cell>
          <cell r="L1458" t="str">
            <v>バランスタイプ</v>
          </cell>
          <cell r="M1458" t="str">
            <v>ss</v>
          </cell>
        </row>
        <row r="1459">
          <cell r="A1459">
            <v>8059</v>
          </cell>
          <cell r="B1459" t="str">
            <v>ja</v>
          </cell>
          <cell r="C1459" t="str">
            <v>カカシ_マイメロディコスプレ</v>
          </cell>
          <cell r="D1459" t="str">
            <v>カカシ_マイメロディコスプレ</v>
          </cell>
          <cell r="E1459" t="str">
            <v>執行者</v>
          </cell>
          <cell r="F1459" t="str">
            <v>格好いい</v>
          </cell>
          <cell r="G1459" t="str">
            <v>女性</v>
          </cell>
          <cell r="H1459" t="str">
            <v>green</v>
          </cell>
          <cell r="I1459">
            <v>4</v>
          </cell>
          <cell r="J1459" t="str">
            <v>PremiumS</v>
          </cell>
          <cell r="K1459" t="str">
            <v>technical</v>
          </cell>
          <cell r="L1459" t="str">
            <v>テクニカルタイプ</v>
          </cell>
          <cell r="M1459" t="str">
            <v>ss</v>
          </cell>
        </row>
        <row r="1460">
          <cell r="A1460">
            <v>8060</v>
          </cell>
          <cell r="B1460" t="str">
            <v>ja</v>
          </cell>
          <cell r="C1460" t="str">
            <v>カカシ_マイメロディコスプレ</v>
          </cell>
          <cell r="D1460" t="str">
            <v>カカシ_マイメロディコスプレ</v>
          </cell>
          <cell r="E1460" t="str">
            <v>執行者</v>
          </cell>
          <cell r="F1460" t="str">
            <v>格好いい</v>
          </cell>
          <cell r="G1460" t="str">
            <v>女性</v>
          </cell>
          <cell r="H1460" t="str">
            <v>green</v>
          </cell>
          <cell r="I1460">
            <v>5</v>
          </cell>
          <cell r="J1460" t="str">
            <v>PremiumS</v>
          </cell>
          <cell r="K1460" t="str">
            <v>technical</v>
          </cell>
          <cell r="L1460" t="str">
            <v>テクニカルタイプ</v>
          </cell>
          <cell r="M1460" t="str">
            <v>ss</v>
          </cell>
        </row>
        <row r="1461">
          <cell r="A1461">
            <v>8061</v>
          </cell>
          <cell r="B1461" t="str">
            <v>ja</v>
          </cell>
          <cell r="C1461" t="str">
            <v>ケロケロけろっぴ</v>
          </cell>
          <cell r="D1461" t="str">
            <v>ケロケロけろっぴ</v>
          </cell>
          <cell r="E1461" t="str">
            <v>執行者</v>
          </cell>
          <cell r="F1461" t="str">
            <v>格好いい</v>
          </cell>
          <cell r="G1461" t="str">
            <v>女性</v>
          </cell>
          <cell r="H1461" t="str">
            <v>green</v>
          </cell>
          <cell r="I1461">
            <v>3</v>
          </cell>
          <cell r="J1461" t="str">
            <v>PremiumS</v>
          </cell>
          <cell r="K1461" t="str">
            <v>balance</v>
          </cell>
          <cell r="L1461" t="str">
            <v>バランスタイプ</v>
          </cell>
          <cell r="M1461" t="str">
            <v>ss</v>
          </cell>
        </row>
        <row r="1462">
          <cell r="A1462">
            <v>8062</v>
          </cell>
          <cell r="B1462" t="str">
            <v>ja</v>
          </cell>
          <cell r="C1462" t="str">
            <v>ケロケロけろっぴ</v>
          </cell>
          <cell r="D1462" t="str">
            <v>ケロケロけろっぴ</v>
          </cell>
          <cell r="E1462" t="str">
            <v>執行者</v>
          </cell>
          <cell r="F1462" t="str">
            <v>格好いい</v>
          </cell>
          <cell r="G1462" t="str">
            <v>女性</v>
          </cell>
          <cell r="H1462" t="str">
            <v>green</v>
          </cell>
          <cell r="I1462">
            <v>4</v>
          </cell>
          <cell r="J1462" t="str">
            <v>PremiumS</v>
          </cell>
          <cell r="K1462" t="str">
            <v>balance</v>
          </cell>
          <cell r="L1462" t="str">
            <v>バランスタイプ</v>
          </cell>
          <cell r="M1462" t="str">
            <v>ss</v>
          </cell>
        </row>
        <row r="1463">
          <cell r="A1463">
            <v>8063</v>
          </cell>
          <cell r="B1463" t="str">
            <v>ja</v>
          </cell>
          <cell r="C1463" t="str">
            <v>モルドレッド_ポムポムプリンコスプレ</v>
          </cell>
          <cell r="D1463" t="str">
            <v>モルドレッド_ポムポムプリンコスプレ</v>
          </cell>
          <cell r="E1463" t="str">
            <v>執行者</v>
          </cell>
          <cell r="F1463" t="str">
            <v>格好いい</v>
          </cell>
          <cell r="G1463" t="str">
            <v>女性</v>
          </cell>
          <cell r="H1463" t="str">
            <v>blue</v>
          </cell>
          <cell r="I1463">
            <v>5</v>
          </cell>
          <cell r="J1463" t="str">
            <v>PremiumSS</v>
          </cell>
          <cell r="K1463" t="str">
            <v>heal</v>
          </cell>
          <cell r="L1463" t="str">
            <v>回復タイプ</v>
          </cell>
          <cell r="M1463" t="str">
            <v>ss</v>
          </cell>
        </row>
        <row r="1464">
          <cell r="A1464">
            <v>8064</v>
          </cell>
          <cell r="B1464" t="str">
            <v>ja</v>
          </cell>
          <cell r="C1464" t="str">
            <v>モルドレッド_ポムポムプリンコスプレ</v>
          </cell>
          <cell r="D1464" t="str">
            <v>モルドレッド_ポムポムプリンコスプレ</v>
          </cell>
          <cell r="E1464" t="str">
            <v>執行者</v>
          </cell>
          <cell r="F1464" t="str">
            <v>格好いい</v>
          </cell>
          <cell r="G1464" t="str">
            <v>女性</v>
          </cell>
          <cell r="H1464" t="str">
            <v>blue</v>
          </cell>
          <cell r="I1464">
            <v>6</v>
          </cell>
          <cell r="J1464" t="str">
            <v>PremiumSS</v>
          </cell>
          <cell r="K1464" t="str">
            <v>heal</v>
          </cell>
          <cell r="L1464" t="str">
            <v>回復タイプ</v>
          </cell>
          <cell r="M1464" t="str">
            <v>ss</v>
          </cell>
        </row>
        <row r="1465">
          <cell r="A1465">
            <v>8065</v>
          </cell>
          <cell r="B1465" t="str">
            <v>ja</v>
          </cell>
          <cell r="C1465" t="str">
            <v>クロミ</v>
          </cell>
          <cell r="D1465" t="str">
            <v>クロミ</v>
          </cell>
          <cell r="E1465" t="str">
            <v>執行者</v>
          </cell>
          <cell r="F1465" t="str">
            <v>格好いい</v>
          </cell>
          <cell r="G1465" t="str">
            <v>女性</v>
          </cell>
          <cell r="H1465" t="str">
            <v>blue</v>
          </cell>
          <cell r="I1465">
            <v>3</v>
          </cell>
          <cell r="J1465" t="str">
            <v>PremiumS</v>
          </cell>
          <cell r="K1465" t="str">
            <v>technical</v>
          </cell>
          <cell r="L1465" t="str">
            <v>テクニカルタイプ</v>
          </cell>
          <cell r="M1465" t="str">
            <v>ss</v>
          </cell>
        </row>
        <row r="1466">
          <cell r="A1466">
            <v>8066</v>
          </cell>
          <cell r="B1466" t="str">
            <v>ja</v>
          </cell>
          <cell r="C1466" t="str">
            <v>クロミ</v>
          </cell>
          <cell r="D1466" t="str">
            <v>クロミ</v>
          </cell>
          <cell r="E1466" t="str">
            <v>執行者</v>
          </cell>
          <cell r="F1466" t="str">
            <v>格好いい</v>
          </cell>
          <cell r="G1466" t="str">
            <v>女性</v>
          </cell>
          <cell r="H1466" t="str">
            <v>blue</v>
          </cell>
          <cell r="I1466">
            <v>4</v>
          </cell>
          <cell r="J1466" t="str">
            <v>PremiumS</v>
          </cell>
          <cell r="K1466" t="str">
            <v>technical</v>
          </cell>
          <cell r="L1466" t="str">
            <v>テクニカルタイプ</v>
          </cell>
          <cell r="M1466" t="str">
            <v>ss</v>
          </cell>
        </row>
        <row r="1467">
          <cell r="A1467">
            <v>8067</v>
          </cell>
          <cell r="B1467" t="str">
            <v>ja</v>
          </cell>
          <cell r="C1467" t="str">
            <v>バッドばつ丸</v>
          </cell>
          <cell r="D1467" t="str">
            <v>バッドばつ丸</v>
          </cell>
          <cell r="E1467" t="str">
            <v>執行者</v>
          </cell>
          <cell r="F1467" t="str">
            <v>格好いい</v>
          </cell>
          <cell r="G1467" t="str">
            <v>女性</v>
          </cell>
          <cell r="H1467" t="str">
            <v>blue</v>
          </cell>
          <cell r="I1467">
            <v>3</v>
          </cell>
          <cell r="J1467" t="str">
            <v>PremiumS</v>
          </cell>
          <cell r="K1467" t="str">
            <v>attack</v>
          </cell>
          <cell r="L1467" t="str">
            <v>攻撃タイプ</v>
          </cell>
          <cell r="M1467" t="str">
            <v>ss</v>
          </cell>
        </row>
        <row r="1468">
          <cell r="A1468">
            <v>8068</v>
          </cell>
          <cell r="B1468" t="str">
            <v>ja</v>
          </cell>
          <cell r="C1468" t="str">
            <v>バッドばつ丸</v>
          </cell>
          <cell r="D1468" t="str">
            <v>バッドばつ丸</v>
          </cell>
          <cell r="E1468" t="str">
            <v>執行者</v>
          </cell>
          <cell r="F1468" t="str">
            <v>格好いい</v>
          </cell>
          <cell r="G1468" t="str">
            <v>女性</v>
          </cell>
          <cell r="H1468" t="str">
            <v>blue</v>
          </cell>
          <cell r="I1468">
            <v>4</v>
          </cell>
          <cell r="J1468" t="str">
            <v>PremiumS</v>
          </cell>
          <cell r="K1468" t="str">
            <v>attack</v>
          </cell>
          <cell r="L1468" t="str">
            <v>攻撃タイプ</v>
          </cell>
          <cell r="M1468" t="str">
            <v>ss</v>
          </cell>
        </row>
        <row r="1469">
          <cell r="A1469">
            <v>8069</v>
          </cell>
          <cell r="B1469" t="str">
            <v>ja</v>
          </cell>
          <cell r="C1469" t="str">
            <v>シナモロール</v>
          </cell>
          <cell r="D1469" t="str">
            <v>シナモロール</v>
          </cell>
          <cell r="E1469" t="str">
            <v>執行者</v>
          </cell>
          <cell r="F1469" t="str">
            <v>格好いい</v>
          </cell>
          <cell r="G1469" t="str">
            <v>女性</v>
          </cell>
          <cell r="H1469" t="str">
            <v>yellow</v>
          </cell>
          <cell r="I1469">
            <v>4</v>
          </cell>
          <cell r="J1469" t="str">
            <v>PremiumS</v>
          </cell>
          <cell r="K1469" t="str">
            <v>heal</v>
          </cell>
          <cell r="L1469" t="str">
            <v>回復タイプ</v>
          </cell>
          <cell r="M1469" t="str">
            <v>ss</v>
          </cell>
        </row>
        <row r="1470">
          <cell r="A1470">
            <v>8070</v>
          </cell>
          <cell r="B1470" t="str">
            <v>ja</v>
          </cell>
          <cell r="C1470" t="str">
            <v>シナモロール</v>
          </cell>
          <cell r="D1470" t="str">
            <v>シナモロール</v>
          </cell>
          <cell r="E1470" t="str">
            <v>執行者</v>
          </cell>
          <cell r="F1470" t="str">
            <v>格好いい</v>
          </cell>
          <cell r="G1470" t="str">
            <v>女性</v>
          </cell>
          <cell r="H1470" t="str">
            <v>yellow</v>
          </cell>
          <cell r="I1470">
            <v>5</v>
          </cell>
          <cell r="J1470" t="str">
            <v>PremiumS</v>
          </cell>
          <cell r="K1470" t="str">
            <v>heal</v>
          </cell>
          <cell r="L1470" t="str">
            <v>回復タイプ</v>
          </cell>
          <cell r="M1470" t="str">
            <v>ss</v>
          </cell>
        </row>
        <row r="1471">
          <cell r="A1471">
            <v>8071</v>
          </cell>
          <cell r="B1471" t="str">
            <v>ja</v>
          </cell>
          <cell r="C1471" t="str">
            <v>ポムポムプリン</v>
          </cell>
          <cell r="D1471" t="str">
            <v>ポムポムプリン</v>
          </cell>
          <cell r="E1471" t="str">
            <v>執行者</v>
          </cell>
          <cell r="F1471" t="str">
            <v>格好いい</v>
          </cell>
          <cell r="G1471" t="str">
            <v>女性</v>
          </cell>
          <cell r="H1471" t="str">
            <v>yellow</v>
          </cell>
          <cell r="I1471">
            <v>3</v>
          </cell>
          <cell r="J1471" t="str">
            <v>PremiumS</v>
          </cell>
          <cell r="K1471" t="str">
            <v>hp</v>
          </cell>
          <cell r="L1471" t="str">
            <v>体力タイプ</v>
          </cell>
          <cell r="M1471" t="str">
            <v>ss</v>
          </cell>
        </row>
        <row r="1472">
          <cell r="A1472">
            <v>8072</v>
          </cell>
          <cell r="B1472" t="str">
            <v>ja</v>
          </cell>
          <cell r="C1472" t="str">
            <v>ポムポムプリン</v>
          </cell>
          <cell r="D1472" t="str">
            <v>ポムポムプリン</v>
          </cell>
          <cell r="E1472" t="str">
            <v>執行者</v>
          </cell>
          <cell r="F1472" t="str">
            <v>格好いい</v>
          </cell>
          <cell r="G1472" t="str">
            <v>女性</v>
          </cell>
          <cell r="H1472" t="str">
            <v>yellow</v>
          </cell>
          <cell r="I1472">
            <v>4</v>
          </cell>
          <cell r="J1472" t="str">
            <v>PremiumS</v>
          </cell>
          <cell r="K1472" t="str">
            <v>hp</v>
          </cell>
          <cell r="L1472" t="str">
            <v>体力タイプ</v>
          </cell>
          <cell r="M1472" t="str">
            <v>ss</v>
          </cell>
        </row>
        <row r="1473">
          <cell r="A1473">
            <v>8073</v>
          </cell>
          <cell r="B1473" t="str">
            <v>ja</v>
          </cell>
          <cell r="C1473" t="str">
            <v>媽祖_超覚醒</v>
          </cell>
          <cell r="D1473" t="str">
            <v>Expoミク</v>
          </cell>
          <cell r="E1473" t="str">
            <v>執行者</v>
          </cell>
          <cell r="F1473" t="str">
            <v>格好いい</v>
          </cell>
          <cell r="G1473" t="str">
            <v>女性</v>
          </cell>
          <cell r="H1473" t="str">
            <v>yellow</v>
          </cell>
          <cell r="I1473">
            <v>6</v>
          </cell>
          <cell r="J1473" t="str">
            <v>PremiumSS</v>
          </cell>
          <cell r="K1473" t="str">
            <v>attack</v>
          </cell>
          <cell r="L1473" t="str">
            <v>攻撃タイプ</v>
          </cell>
          <cell r="M1473" t="str">
            <v>human</v>
          </cell>
        </row>
        <row r="1474">
          <cell r="A1474">
            <v>8074</v>
          </cell>
          <cell r="B1474" t="str">
            <v>ja</v>
          </cell>
          <cell r="C1474" t="str">
            <v>蛟龍_超覚醒</v>
          </cell>
          <cell r="D1474" t="str">
            <v>Expoミク</v>
          </cell>
          <cell r="E1474" t="str">
            <v>執行者</v>
          </cell>
          <cell r="F1474" t="str">
            <v>格好いい</v>
          </cell>
          <cell r="G1474" t="str">
            <v>女性</v>
          </cell>
          <cell r="H1474" t="str">
            <v>blue</v>
          </cell>
          <cell r="I1474">
            <v>6</v>
          </cell>
          <cell r="J1474" t="str">
            <v>DropWizS</v>
          </cell>
          <cell r="K1474" t="str">
            <v>hp</v>
          </cell>
          <cell r="L1474" t="str">
            <v>体力タイプ</v>
          </cell>
          <cell r="M1474" t="str">
            <v>dragon</v>
          </cell>
        </row>
        <row r="1475">
          <cell r="A1475">
            <v>8075</v>
          </cell>
          <cell r="B1475" t="str">
            <v>ja</v>
          </cell>
          <cell r="C1475" t="str">
            <v>三蔵法師_超覚醒</v>
          </cell>
          <cell r="D1475" t="str">
            <v>Expoミク</v>
          </cell>
          <cell r="E1475" t="str">
            <v>執行者</v>
          </cell>
          <cell r="F1475" t="str">
            <v>格好いい</v>
          </cell>
          <cell r="G1475" t="str">
            <v>女性</v>
          </cell>
          <cell r="H1475" t="str">
            <v>blue</v>
          </cell>
          <cell r="I1475">
            <v>6</v>
          </cell>
          <cell r="J1475" t="str">
            <v>PremiumSS</v>
          </cell>
          <cell r="K1475" t="str">
            <v>balance</v>
          </cell>
          <cell r="L1475" t="str">
            <v>バランスタイプ</v>
          </cell>
          <cell r="M1475" t="str">
            <v>human</v>
          </cell>
        </row>
        <row r="1476">
          <cell r="A1476">
            <v>8076</v>
          </cell>
          <cell r="B1476" t="str">
            <v>ja</v>
          </cell>
          <cell r="C1476" t="str">
            <v>孫悟空_超覚醒</v>
          </cell>
          <cell r="D1476" t="str">
            <v>Expoミク</v>
          </cell>
          <cell r="E1476" t="str">
            <v>執行者</v>
          </cell>
          <cell r="F1476" t="str">
            <v>格好いい</v>
          </cell>
          <cell r="G1476" t="str">
            <v>女性</v>
          </cell>
          <cell r="H1476" t="str">
            <v>red</v>
          </cell>
          <cell r="I1476">
            <v>6</v>
          </cell>
          <cell r="J1476" t="str">
            <v>DropWizS</v>
          </cell>
          <cell r="K1476" t="str">
            <v>attack</v>
          </cell>
          <cell r="L1476" t="str">
            <v>攻撃タイプ</v>
          </cell>
          <cell r="M1476" t="str">
            <v>animal</v>
          </cell>
        </row>
        <row r="1477">
          <cell r="A1477">
            <v>8077</v>
          </cell>
          <cell r="B1477" t="str">
            <v>ja</v>
          </cell>
          <cell r="C1477" t="str">
            <v>鄭成功</v>
          </cell>
          <cell r="D1477" t="str">
            <v>ポムポムプリン</v>
          </cell>
          <cell r="E1477" t="str">
            <v>執行者</v>
          </cell>
          <cell r="F1477" t="str">
            <v>格好いい</v>
          </cell>
          <cell r="G1477" t="str">
            <v>女性</v>
          </cell>
          <cell r="H1477" t="str">
            <v>blue</v>
          </cell>
          <cell r="I1477">
            <v>5</v>
          </cell>
          <cell r="J1477" t="str">
            <v>PremiumSS</v>
          </cell>
          <cell r="K1477" t="str">
            <v>attack</v>
          </cell>
          <cell r="L1477" t="str">
            <v>攻撃タイプ</v>
          </cell>
          <cell r="M1477" t="str">
            <v>human</v>
          </cell>
        </row>
        <row r="1478">
          <cell r="A1478">
            <v>8078</v>
          </cell>
          <cell r="B1478" t="str">
            <v>ja</v>
          </cell>
          <cell r="C1478" t="str">
            <v>レア６鄭成功</v>
          </cell>
          <cell r="D1478" t="str">
            <v>ポムポムプリン</v>
          </cell>
          <cell r="E1478" t="str">
            <v>執行者</v>
          </cell>
          <cell r="F1478" t="str">
            <v>格好いい</v>
          </cell>
          <cell r="G1478" t="str">
            <v>女性</v>
          </cell>
          <cell r="H1478" t="str">
            <v>blue</v>
          </cell>
          <cell r="I1478">
            <v>6</v>
          </cell>
          <cell r="J1478" t="str">
            <v>PremiumSS</v>
          </cell>
          <cell r="K1478" t="str">
            <v>attack</v>
          </cell>
          <cell r="L1478" t="str">
            <v>攻撃タイプ</v>
          </cell>
          <cell r="M1478" t="str">
            <v>human</v>
          </cell>
        </row>
        <row r="1479">
          <cell r="A1479">
            <v>8079</v>
          </cell>
          <cell r="B1479" t="str">
            <v>ja</v>
          </cell>
          <cell r="C1479" t="str">
            <v>赤鬼</v>
          </cell>
          <cell r="D1479" t="str">
            <v>ポムポムプリン</v>
          </cell>
          <cell r="E1479" t="str">
            <v>執行者</v>
          </cell>
          <cell r="F1479" t="str">
            <v>格好いい</v>
          </cell>
          <cell r="G1479" t="str">
            <v>女性</v>
          </cell>
          <cell r="H1479" t="str">
            <v>red</v>
          </cell>
          <cell r="I1479">
            <v>5</v>
          </cell>
          <cell r="J1479" t="str">
            <v>DropWizS</v>
          </cell>
          <cell r="K1479" t="str">
            <v>hp</v>
          </cell>
          <cell r="L1479" t="str">
            <v>体力タイプ</v>
          </cell>
          <cell r="M1479" t="str">
            <v>dragon</v>
          </cell>
        </row>
        <row r="1480">
          <cell r="A1480">
            <v>8080</v>
          </cell>
          <cell r="B1480" t="str">
            <v>ja</v>
          </cell>
          <cell r="C1480" t="str">
            <v>レア６赤鬼</v>
          </cell>
          <cell r="D1480" t="str">
            <v>ポムポムプリン</v>
          </cell>
          <cell r="E1480" t="str">
            <v>執行者</v>
          </cell>
          <cell r="F1480" t="str">
            <v>格好いい</v>
          </cell>
          <cell r="G1480" t="str">
            <v>女性</v>
          </cell>
          <cell r="H1480" t="str">
            <v>red</v>
          </cell>
          <cell r="I1480">
            <v>6</v>
          </cell>
          <cell r="J1480" t="str">
            <v>DropWizS</v>
          </cell>
          <cell r="K1480" t="str">
            <v>hp</v>
          </cell>
          <cell r="L1480" t="str">
            <v>体力タイプ</v>
          </cell>
          <cell r="M1480" t="str">
            <v>dragon</v>
          </cell>
        </row>
        <row r="1481">
          <cell r="A1481">
            <v>8095</v>
          </cell>
          <cell r="B1481" t="str">
            <v>ja</v>
          </cell>
          <cell r="C1481" t="str">
            <v>バハムートダック赤</v>
          </cell>
          <cell r="D1481" t="str">
            <v>ポムポムプリン</v>
          </cell>
          <cell r="E1481" t="str">
            <v>執行者</v>
          </cell>
          <cell r="F1481" t="str">
            <v>格好いい</v>
          </cell>
          <cell r="G1481" t="str">
            <v>女性</v>
          </cell>
          <cell r="H1481" t="str">
            <v>red</v>
          </cell>
          <cell r="I1481">
            <v>6</v>
          </cell>
          <cell r="J1481" t="str">
            <v>Material</v>
          </cell>
          <cell r="K1481" t="str">
            <v>exp</v>
          </cell>
          <cell r="L1481" t="str">
            <v>強化素材タイプ</v>
          </cell>
          <cell r="M1481" t="str">
            <v>unknown</v>
          </cell>
        </row>
        <row r="1482">
          <cell r="A1482">
            <v>8096</v>
          </cell>
          <cell r="B1482" t="str">
            <v>ja</v>
          </cell>
          <cell r="C1482" t="str">
            <v>バハムートダック緑</v>
          </cell>
          <cell r="D1482" t="str">
            <v>ポムポムプリン</v>
          </cell>
          <cell r="E1482" t="str">
            <v>執行者</v>
          </cell>
          <cell r="F1482" t="str">
            <v>格好いい</v>
          </cell>
          <cell r="G1482" t="str">
            <v>女性</v>
          </cell>
          <cell r="H1482" t="str">
            <v>green</v>
          </cell>
          <cell r="I1482">
            <v>6</v>
          </cell>
          <cell r="J1482" t="str">
            <v>Material</v>
          </cell>
          <cell r="K1482" t="str">
            <v>exp</v>
          </cell>
          <cell r="L1482" t="str">
            <v>強化素材タイプ</v>
          </cell>
          <cell r="M1482" t="str">
            <v>unknown</v>
          </cell>
        </row>
        <row r="1483">
          <cell r="A1483">
            <v>8097</v>
          </cell>
          <cell r="B1483" t="str">
            <v>ja</v>
          </cell>
          <cell r="C1483" t="str">
            <v>バハムートダック青</v>
          </cell>
          <cell r="D1483" t="str">
            <v>ポムポムプリン</v>
          </cell>
          <cell r="E1483" t="str">
            <v>執行者</v>
          </cell>
          <cell r="F1483" t="str">
            <v>格好いい</v>
          </cell>
          <cell r="G1483" t="str">
            <v>女性</v>
          </cell>
          <cell r="H1483" t="str">
            <v>blue</v>
          </cell>
          <cell r="I1483">
            <v>6</v>
          </cell>
          <cell r="J1483" t="str">
            <v>Material</v>
          </cell>
          <cell r="K1483" t="str">
            <v>exp</v>
          </cell>
          <cell r="L1483" t="str">
            <v>強化素材タイプ</v>
          </cell>
          <cell r="M1483" t="str">
            <v>unknown</v>
          </cell>
        </row>
        <row r="1484">
          <cell r="A1484">
            <v>8098</v>
          </cell>
          <cell r="B1484" t="str">
            <v>ja</v>
          </cell>
          <cell r="C1484" t="str">
            <v>バハムートダック黄</v>
          </cell>
          <cell r="D1484" t="str">
            <v>ポムポムプリン</v>
          </cell>
          <cell r="E1484" t="str">
            <v>執行者</v>
          </cell>
          <cell r="F1484" t="str">
            <v>格好いい</v>
          </cell>
          <cell r="G1484" t="str">
            <v>女性</v>
          </cell>
          <cell r="H1484" t="str">
            <v>yellow</v>
          </cell>
          <cell r="I1484">
            <v>6</v>
          </cell>
          <cell r="J1484" t="str">
            <v>Material</v>
          </cell>
          <cell r="K1484" t="str">
            <v>exp</v>
          </cell>
          <cell r="L1484" t="str">
            <v>強化素材タイプ</v>
          </cell>
          <cell r="M1484" t="str">
            <v>unknown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7.vml"/><Relationship Id="rId2" Type="http://schemas.openxmlformats.org/officeDocument/2006/relationships/comments" Target="../comments7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8.vml"/><Relationship Id="rId2" Type="http://schemas.openxmlformats.org/officeDocument/2006/relationships/comments" Target="../comments8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9.vml"/><Relationship Id="rId2" Type="http://schemas.openxmlformats.org/officeDocument/2006/relationships/comments" Target="../comments9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0.vml"/><Relationship Id="rId2" Type="http://schemas.openxmlformats.org/officeDocument/2006/relationships/comments" Target="../comments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B9" sqref="B9"/>
    </sheetView>
  </sheetViews>
  <sheetFormatPr baseColWidth="12" defaultRowHeight="15" x14ac:dyDescent="0.15"/>
  <cols>
    <col min="1" max="1" width="45" style="57" customWidth="1"/>
    <col min="2" max="16384" width="13" style="57"/>
  </cols>
  <sheetData>
    <row r="1" spans="1:13" x14ac:dyDescent="0.15">
      <c r="A1" s="57" t="s">
        <v>93</v>
      </c>
      <c r="B1" s="57" t="s">
        <v>94</v>
      </c>
    </row>
    <row r="2" spans="1:13" x14ac:dyDescent="0.15">
      <c r="A2" s="57" t="s">
        <v>95</v>
      </c>
      <c r="B2" s="57" t="s">
        <v>96</v>
      </c>
      <c r="C2" s="57" t="s">
        <v>97</v>
      </c>
      <c r="D2" s="57" t="s">
        <v>98</v>
      </c>
      <c r="E2" s="57" t="s">
        <v>99</v>
      </c>
      <c r="F2" s="57" t="s">
        <v>100</v>
      </c>
      <c r="G2" s="57" t="s">
        <v>101</v>
      </c>
      <c r="H2" s="57" t="s">
        <v>102</v>
      </c>
    </row>
    <row r="3" spans="1:13" x14ac:dyDescent="0.15">
      <c r="A3" s="57">
        <v>3</v>
      </c>
      <c r="B3" s="58" t="s">
        <v>103</v>
      </c>
      <c r="C3" s="58" t="s">
        <v>104</v>
      </c>
      <c r="D3" s="57">
        <v>0</v>
      </c>
      <c r="E3" s="58" t="s">
        <v>105</v>
      </c>
      <c r="F3" s="57">
        <v>0</v>
      </c>
      <c r="G3" s="57">
        <v>0</v>
      </c>
      <c r="H3" s="59">
        <v>0.5</v>
      </c>
    </row>
    <row r="4" spans="1:13" x14ac:dyDescent="0.15">
      <c r="A4" s="57">
        <v>4</v>
      </c>
      <c r="B4" s="58" t="s">
        <v>106</v>
      </c>
      <c r="C4" s="58" t="s">
        <v>107</v>
      </c>
      <c r="D4" s="58" t="s">
        <v>108</v>
      </c>
      <c r="E4" s="58" t="s">
        <v>109</v>
      </c>
      <c r="F4" s="58" t="s">
        <v>110</v>
      </c>
      <c r="G4" s="57">
        <v>0</v>
      </c>
      <c r="H4" s="59">
        <v>0.45</v>
      </c>
    </row>
    <row r="5" spans="1:13" x14ac:dyDescent="0.15">
      <c r="A5" s="57">
        <v>5</v>
      </c>
      <c r="B5" s="60">
        <v>0</v>
      </c>
      <c r="C5" s="58" t="s">
        <v>111</v>
      </c>
      <c r="D5" s="58" t="s">
        <v>112</v>
      </c>
      <c r="E5" s="58" t="s">
        <v>113</v>
      </c>
      <c r="F5" s="58" t="s">
        <v>114</v>
      </c>
      <c r="G5" s="58" t="s">
        <v>115</v>
      </c>
      <c r="H5" s="59">
        <v>0.05</v>
      </c>
    </row>
    <row r="6" spans="1:13" x14ac:dyDescent="0.15">
      <c r="B6" s="59" t="s">
        <v>116</v>
      </c>
      <c r="C6" s="59" t="s">
        <v>116</v>
      </c>
      <c r="D6" s="59" t="s">
        <v>117</v>
      </c>
      <c r="E6" s="59" t="s">
        <v>116</v>
      </c>
      <c r="F6" s="59" t="s">
        <v>116</v>
      </c>
      <c r="G6" s="61" t="s">
        <v>118</v>
      </c>
      <c r="H6" s="59">
        <v>1</v>
      </c>
    </row>
    <row r="7" spans="1:13" x14ac:dyDescent="0.15">
      <c r="B7" s="59"/>
      <c r="C7" s="59"/>
      <c r="D7" s="59"/>
      <c r="E7" s="59"/>
      <c r="F7" s="59"/>
      <c r="G7" s="61"/>
      <c r="H7" s="59"/>
    </row>
    <row r="8" spans="1:13" x14ac:dyDescent="0.15">
      <c r="A8" s="57" t="s">
        <v>119</v>
      </c>
      <c r="B8" s="59"/>
      <c r="C8" s="59"/>
      <c r="D8" s="59"/>
      <c r="E8" s="59"/>
      <c r="F8" s="59"/>
      <c r="G8" s="61"/>
      <c r="H8" s="59"/>
    </row>
    <row r="9" spans="1:13" x14ac:dyDescent="0.15">
      <c r="A9" s="57" t="s">
        <v>120</v>
      </c>
      <c r="B9" s="59"/>
      <c r="C9" s="59"/>
      <c r="D9" s="59"/>
      <c r="E9" s="59"/>
      <c r="F9" s="59"/>
      <c r="G9" s="61"/>
      <c r="H9" s="59"/>
    </row>
    <row r="10" spans="1:13" x14ac:dyDescent="0.15">
      <c r="A10" s="57" t="s">
        <v>121</v>
      </c>
      <c r="B10" s="59"/>
      <c r="C10" s="59"/>
      <c r="D10" s="59"/>
      <c r="E10" s="59"/>
      <c r="F10" s="59"/>
      <c r="G10" s="61"/>
      <c r="H10" s="59"/>
    </row>
    <row r="11" spans="1:13" x14ac:dyDescent="0.15">
      <c r="A11" s="57" t="s">
        <v>122</v>
      </c>
      <c r="B11" s="59"/>
      <c r="C11" s="59"/>
      <c r="D11" s="59"/>
      <c r="E11" s="59"/>
      <c r="F11" s="59"/>
      <c r="G11" s="61"/>
      <c r="H11" s="59"/>
    </row>
    <row r="12" spans="1:13" x14ac:dyDescent="0.15">
      <c r="A12" s="57" t="s">
        <v>115</v>
      </c>
      <c r="B12" s="59" t="s">
        <v>123</v>
      </c>
      <c r="C12" s="59" t="s">
        <v>124</v>
      </c>
      <c r="D12" s="59"/>
      <c r="E12" s="59"/>
      <c r="F12" s="59"/>
      <c r="G12" s="61"/>
      <c r="H12" s="59"/>
    </row>
    <row r="13" spans="1:13" x14ac:dyDescent="0.15">
      <c r="A13" s="57" t="s">
        <v>125</v>
      </c>
      <c r="B13" s="57" t="s">
        <v>126</v>
      </c>
      <c r="C13" s="57" t="s">
        <v>127</v>
      </c>
    </row>
    <row r="14" spans="1:13" x14ac:dyDescent="0.15">
      <c r="A14" s="57" t="s">
        <v>128</v>
      </c>
      <c r="B14" s="57" t="s">
        <v>123</v>
      </c>
      <c r="C14" s="60" t="s">
        <v>129</v>
      </c>
      <c r="E14" s="60"/>
      <c r="F14" s="60"/>
      <c r="M14" s="59"/>
    </row>
    <row r="15" spans="1:13" x14ac:dyDescent="0.15">
      <c r="A15" s="57" t="s">
        <v>105</v>
      </c>
      <c r="B15" s="59" t="s">
        <v>123</v>
      </c>
      <c r="C15" s="59" t="s">
        <v>130</v>
      </c>
      <c r="H15" s="62"/>
      <c r="M15" s="59"/>
    </row>
    <row r="16" spans="1:13" x14ac:dyDescent="0.15">
      <c r="A16" s="57" t="s">
        <v>109</v>
      </c>
      <c r="B16" s="59" t="s">
        <v>123</v>
      </c>
      <c r="C16" s="59" t="s">
        <v>131</v>
      </c>
      <c r="M16" s="59"/>
    </row>
    <row r="17" spans="1:13" x14ac:dyDescent="0.15">
      <c r="A17" s="57" t="s">
        <v>132</v>
      </c>
      <c r="B17" s="59" t="s">
        <v>123</v>
      </c>
      <c r="C17" s="59" t="s">
        <v>133</v>
      </c>
      <c r="M17" s="59"/>
    </row>
    <row r="18" spans="1:13" x14ac:dyDescent="0.15">
      <c r="B18" s="59"/>
      <c r="C18" s="59"/>
    </row>
    <row r="19" spans="1:13" x14ac:dyDescent="0.15">
      <c r="A19" s="57" t="s">
        <v>134</v>
      </c>
    </row>
    <row r="20" spans="1:13" x14ac:dyDescent="0.15">
      <c r="A20" s="57" t="s">
        <v>135</v>
      </c>
      <c r="B20" s="59"/>
      <c r="C20" s="59"/>
    </row>
    <row r="21" spans="1:13" x14ac:dyDescent="0.15">
      <c r="A21" s="57" t="s">
        <v>136</v>
      </c>
      <c r="B21" s="59" t="s">
        <v>137</v>
      </c>
      <c r="C21" s="59" t="s">
        <v>138</v>
      </c>
      <c r="D21" s="57" t="s">
        <v>139</v>
      </c>
    </row>
    <row r="22" spans="1:13" x14ac:dyDescent="0.15">
      <c r="A22" s="57" t="s">
        <v>140</v>
      </c>
      <c r="B22" s="59" t="s">
        <v>123</v>
      </c>
      <c r="C22" s="59" t="s">
        <v>141</v>
      </c>
      <c r="D22" s="57" t="s">
        <v>142</v>
      </c>
    </row>
    <row r="23" spans="1:13" x14ac:dyDescent="0.15">
      <c r="A23" s="57" t="s">
        <v>143</v>
      </c>
      <c r="B23" s="59" t="s">
        <v>123</v>
      </c>
      <c r="C23" s="57" t="s">
        <v>144</v>
      </c>
      <c r="D23" s="57" t="s">
        <v>145</v>
      </c>
    </row>
    <row r="24" spans="1:13" x14ac:dyDescent="0.15">
      <c r="A24" s="57" t="s">
        <v>146</v>
      </c>
      <c r="B24" s="59" t="s">
        <v>123</v>
      </c>
      <c r="C24" s="59" t="s">
        <v>147</v>
      </c>
      <c r="D24" s="57" t="s">
        <v>148</v>
      </c>
    </row>
    <row r="25" spans="1:13" x14ac:dyDescent="0.15">
      <c r="A25" s="57" t="s">
        <v>149</v>
      </c>
      <c r="B25" s="59" t="s">
        <v>123</v>
      </c>
      <c r="C25" s="59" t="s">
        <v>150</v>
      </c>
      <c r="D25" s="57" t="s">
        <v>151</v>
      </c>
    </row>
    <row r="26" spans="1:13" x14ac:dyDescent="0.15">
      <c r="A26" s="57" t="s">
        <v>152</v>
      </c>
      <c r="B26" s="59" t="s">
        <v>123</v>
      </c>
      <c r="C26" s="59" t="s">
        <v>153</v>
      </c>
      <c r="D26" s="57" t="s">
        <v>154</v>
      </c>
    </row>
    <row r="27" spans="1:13" x14ac:dyDescent="0.15">
      <c r="A27" s="57" t="s">
        <v>155</v>
      </c>
      <c r="B27" s="59" t="s">
        <v>123</v>
      </c>
      <c r="C27" s="59" t="s">
        <v>117</v>
      </c>
      <c r="D27" s="57" t="s">
        <v>156</v>
      </c>
      <c r="E27" s="57" t="s">
        <v>157</v>
      </c>
    </row>
    <row r="28" spans="1:13" x14ac:dyDescent="0.15">
      <c r="A28" s="57" t="s">
        <v>104</v>
      </c>
      <c r="B28" s="59" t="s">
        <v>123</v>
      </c>
      <c r="C28" s="59" t="s">
        <v>158</v>
      </c>
      <c r="E28" s="57" t="s">
        <v>159</v>
      </c>
    </row>
    <row r="29" spans="1:13" x14ac:dyDescent="0.15">
      <c r="A29" s="57" t="s">
        <v>107</v>
      </c>
      <c r="B29" s="59" t="s">
        <v>123</v>
      </c>
      <c r="C29" s="59" t="s">
        <v>160</v>
      </c>
    </row>
    <row r="30" spans="1:13" x14ac:dyDescent="0.15">
      <c r="B30" s="59"/>
    </row>
    <row r="31" spans="1:13" x14ac:dyDescent="0.15">
      <c r="A31" s="57" t="s">
        <v>161</v>
      </c>
    </row>
    <row r="32" spans="1:13" x14ac:dyDescent="0.15">
      <c r="A32" s="57" t="s">
        <v>162</v>
      </c>
      <c r="B32" s="59" t="s">
        <v>123</v>
      </c>
      <c r="C32" s="59" t="s">
        <v>163</v>
      </c>
    </row>
    <row r="33" spans="1:13" x14ac:dyDescent="0.15">
      <c r="A33" s="57" t="s">
        <v>107</v>
      </c>
      <c r="B33" s="59" t="s">
        <v>123</v>
      </c>
      <c r="C33" s="59" t="s">
        <v>164</v>
      </c>
    </row>
    <row r="34" spans="1:13" x14ac:dyDescent="0.15">
      <c r="A34" s="57" t="s">
        <v>104</v>
      </c>
      <c r="B34" s="59" t="s">
        <v>123</v>
      </c>
      <c r="C34" s="59" t="s">
        <v>165</v>
      </c>
    </row>
    <row r="35" spans="1:13" x14ac:dyDescent="0.15">
      <c r="A35" s="57" t="s">
        <v>103</v>
      </c>
      <c r="B35" s="59" t="s">
        <v>123</v>
      </c>
      <c r="C35" s="59" t="s">
        <v>166</v>
      </c>
    </row>
    <row r="36" spans="1:13" x14ac:dyDescent="0.15">
      <c r="A36" s="57" t="s">
        <v>106</v>
      </c>
      <c r="B36" s="59" t="s">
        <v>123</v>
      </c>
      <c r="C36" s="59" t="s">
        <v>167</v>
      </c>
    </row>
    <row r="37" spans="1:13" x14ac:dyDescent="0.15">
      <c r="A37" s="57" t="s">
        <v>112</v>
      </c>
      <c r="B37" s="59" t="s">
        <v>123</v>
      </c>
      <c r="C37" s="59" t="s">
        <v>168</v>
      </c>
    </row>
    <row r="38" spans="1:13" x14ac:dyDescent="0.15">
      <c r="A38" s="57" t="s">
        <v>108</v>
      </c>
      <c r="B38" s="59" t="s">
        <v>123</v>
      </c>
      <c r="C38" s="59" t="s">
        <v>169</v>
      </c>
    </row>
    <row r="40" spans="1:13" x14ac:dyDescent="0.15">
      <c r="J40" s="76" t="s">
        <v>195</v>
      </c>
      <c r="K40" s="76" t="s">
        <v>172</v>
      </c>
      <c r="M40" s="76" t="s">
        <v>220</v>
      </c>
    </row>
    <row r="41" spans="1:13" x14ac:dyDescent="0.15">
      <c r="J41" s="76" t="s">
        <v>196</v>
      </c>
      <c r="K41" s="76" t="s">
        <v>197</v>
      </c>
      <c r="M41" s="59" t="s">
        <v>167</v>
      </c>
    </row>
    <row r="42" spans="1:13" x14ac:dyDescent="0.15">
      <c r="J42" s="76" t="s">
        <v>198</v>
      </c>
      <c r="K42" s="76" t="s">
        <v>199</v>
      </c>
    </row>
    <row r="43" spans="1:13" x14ac:dyDescent="0.15">
      <c r="J43" s="76" t="s">
        <v>200</v>
      </c>
      <c r="K43" s="76" t="s">
        <v>201</v>
      </c>
    </row>
    <row r="44" spans="1:13" x14ac:dyDescent="0.15">
      <c r="J44" s="76" t="s">
        <v>202</v>
      </c>
      <c r="K44" s="76" t="s">
        <v>203</v>
      </c>
    </row>
    <row r="45" spans="1:13" x14ac:dyDescent="0.15">
      <c r="J45" s="76" t="s">
        <v>204</v>
      </c>
      <c r="K45" s="76" t="s">
        <v>205</v>
      </c>
    </row>
    <row r="46" spans="1:13" x14ac:dyDescent="0.15">
      <c r="J46" s="76" t="s">
        <v>206</v>
      </c>
      <c r="K46" s="76" t="s">
        <v>207</v>
      </c>
    </row>
    <row r="47" spans="1:13" x14ac:dyDescent="0.15">
      <c r="J47" s="76" t="s">
        <v>208</v>
      </c>
      <c r="K47" s="76" t="s">
        <v>212</v>
      </c>
    </row>
    <row r="48" spans="1:13" x14ac:dyDescent="0.15">
      <c r="J48" s="76" t="s">
        <v>209</v>
      </c>
      <c r="K48" s="76" t="s">
        <v>213</v>
      </c>
    </row>
    <row r="49" spans="10:11" x14ac:dyDescent="0.15">
      <c r="J49" s="76" t="s">
        <v>210</v>
      </c>
      <c r="K49" s="76" t="s">
        <v>214</v>
      </c>
    </row>
    <row r="50" spans="10:11" x14ac:dyDescent="0.15">
      <c r="J50" s="76" t="s">
        <v>211</v>
      </c>
      <c r="K50" s="76" t="s">
        <v>215</v>
      </c>
    </row>
    <row r="51" spans="10:11" x14ac:dyDescent="0.15">
      <c r="J51" s="76" t="s">
        <v>217</v>
      </c>
      <c r="K51" s="76" t="s">
        <v>216</v>
      </c>
    </row>
    <row r="52" spans="10:11" x14ac:dyDescent="0.15">
      <c r="J52" s="76" t="s">
        <v>218</v>
      </c>
      <c r="K52" s="76" t="s">
        <v>219</v>
      </c>
    </row>
    <row r="53" spans="10:11" x14ac:dyDescent="0.15">
      <c r="J53" s="76"/>
    </row>
  </sheetData>
  <phoneticPr fontId="16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62</v>
      </c>
    </row>
    <row r="2" spans="1:1" x14ac:dyDescent="0.15">
      <c r="A2" t="s">
        <v>63</v>
      </c>
    </row>
    <row r="3" spans="1:1" x14ac:dyDescent="0.15">
      <c r="A3" t="s">
        <v>64</v>
      </c>
    </row>
    <row r="4" spans="1:1" x14ac:dyDescent="0.15">
      <c r="A4" t="s">
        <v>65</v>
      </c>
    </row>
  </sheetData>
  <phoneticPr fontId="16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workbookViewId="0">
      <selection activeCell="P9" sqref="P9:U9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2" t="s">
        <v>35</v>
      </c>
      <c r="B1" s="16" t="s">
        <v>27</v>
      </c>
      <c r="C1" s="16" t="s">
        <v>28</v>
      </c>
      <c r="D1" s="16" t="s">
        <v>29</v>
      </c>
      <c r="E1" s="16" t="s">
        <v>30</v>
      </c>
      <c r="F1" s="16" t="s">
        <v>31</v>
      </c>
      <c r="G1" s="16" t="s">
        <v>32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82" t="s">
        <v>225</v>
      </c>
      <c r="B2" s="54" t="s">
        <v>92</v>
      </c>
      <c r="C2" s="43" t="str">
        <f t="shared" ref="C2" si="0">RIGHT(F2,6)</f>
        <v>498100</v>
      </c>
      <c r="D2" s="19" t="s">
        <v>33</v>
      </c>
      <c r="E2" s="17" t="str">
        <f t="shared" ref="E2" si="1">B2&amp;C2&amp;D2</f>
        <v>gacha_select_tables_498100.tmp</v>
      </c>
      <c r="F2" s="90" t="s">
        <v>231</v>
      </c>
      <c r="G2" s="42" t="s">
        <v>69</v>
      </c>
      <c r="H2" s="20" t="s">
        <v>0</v>
      </c>
      <c r="I2" s="20" t="s">
        <v>3</v>
      </c>
      <c r="J2" s="20" t="s">
        <v>4</v>
      </c>
      <c r="K2" s="20" t="s">
        <v>5</v>
      </c>
      <c r="L2" s="20" t="s">
        <v>6</v>
      </c>
      <c r="M2" s="20" t="s">
        <v>7</v>
      </c>
      <c r="N2" s="20" t="s">
        <v>8</v>
      </c>
      <c r="O2" s="20" t="s">
        <v>9</v>
      </c>
    </row>
    <row r="3" spans="1:21" x14ac:dyDescent="0.15">
      <c r="A3" s="83" t="s">
        <v>225</v>
      </c>
      <c r="B3" s="54" t="s">
        <v>92</v>
      </c>
      <c r="C3" s="43" t="str">
        <f t="shared" ref="C3:C10" si="2">RIGHT(F3,6)</f>
        <v>498010</v>
      </c>
      <c r="D3" s="19" t="s">
        <v>33</v>
      </c>
      <c r="E3" s="17" t="str">
        <f t="shared" ref="E3:E10" si="3">B3&amp;C3&amp;D3</f>
        <v>gacha_select_tables_498010.tmp</v>
      </c>
      <c r="F3" s="90" t="s">
        <v>232</v>
      </c>
      <c r="G3" s="42" t="s">
        <v>69</v>
      </c>
      <c r="H3" s="20" t="s">
        <v>0</v>
      </c>
      <c r="I3" s="20" t="s">
        <v>3</v>
      </c>
      <c r="J3" s="20" t="s">
        <v>4</v>
      </c>
      <c r="K3" s="20" t="s">
        <v>5</v>
      </c>
      <c r="L3" s="20" t="s">
        <v>6</v>
      </c>
      <c r="M3" s="20" t="s">
        <v>7</v>
      </c>
      <c r="N3" s="20" t="s">
        <v>8</v>
      </c>
      <c r="O3" s="20" t="s">
        <v>9</v>
      </c>
    </row>
    <row r="4" spans="1:21" x14ac:dyDescent="0.15">
      <c r="A4" s="86" t="s">
        <v>226</v>
      </c>
      <c r="B4" s="87" t="s">
        <v>227</v>
      </c>
      <c r="C4" s="88" t="str">
        <f t="shared" si="2"/>
        <v>498101</v>
      </c>
      <c r="D4" s="19" t="s">
        <v>228</v>
      </c>
      <c r="E4" s="17" t="str">
        <f t="shared" si="3"/>
        <v>gacha_settle_tables_498101.tmp</v>
      </c>
      <c r="F4" s="94" t="s">
        <v>233</v>
      </c>
      <c r="G4" s="42" t="s">
        <v>69</v>
      </c>
      <c r="H4" s="20" t="s">
        <v>0</v>
      </c>
      <c r="I4" s="20" t="s">
        <v>3</v>
      </c>
      <c r="J4" s="20" t="s">
        <v>4</v>
      </c>
      <c r="K4" s="20" t="s">
        <v>5</v>
      </c>
      <c r="L4" s="20" t="s">
        <v>6</v>
      </c>
      <c r="M4" s="20" t="s">
        <v>7</v>
      </c>
      <c r="N4" s="20" t="s">
        <v>8</v>
      </c>
      <c r="O4" s="20" t="s">
        <v>9</v>
      </c>
    </row>
    <row r="5" spans="1:21" x14ac:dyDescent="0.15">
      <c r="A5" s="86" t="s">
        <v>225</v>
      </c>
      <c r="B5" s="87" t="s">
        <v>227</v>
      </c>
      <c r="C5" s="88" t="str">
        <f t="shared" si="2"/>
        <v>498102</v>
      </c>
      <c r="D5" s="19" t="s">
        <v>33</v>
      </c>
      <c r="E5" s="17" t="str">
        <f t="shared" ref="E5:E7" si="4">B5&amp;C5&amp;D5</f>
        <v>gacha_settle_tables_498102.tmp</v>
      </c>
      <c r="F5" s="94" t="s">
        <v>234</v>
      </c>
      <c r="G5" s="42" t="s">
        <v>68</v>
      </c>
      <c r="H5" s="20" t="s">
        <v>0</v>
      </c>
      <c r="I5" s="20" t="s">
        <v>3</v>
      </c>
      <c r="J5" s="20" t="s">
        <v>4</v>
      </c>
      <c r="K5" s="20" t="s">
        <v>5</v>
      </c>
      <c r="L5" s="20" t="s">
        <v>6</v>
      </c>
      <c r="M5" s="20" t="s">
        <v>7</v>
      </c>
      <c r="N5" s="20" t="s">
        <v>8</v>
      </c>
      <c r="O5" s="20" t="s">
        <v>9</v>
      </c>
    </row>
    <row r="6" spans="1:21" x14ac:dyDescent="0.15">
      <c r="A6" s="86" t="s">
        <v>225</v>
      </c>
      <c r="B6" s="87" t="s">
        <v>227</v>
      </c>
      <c r="C6" s="88" t="str">
        <f t="shared" si="2"/>
        <v>498103</v>
      </c>
      <c r="D6" s="19" t="s">
        <v>33</v>
      </c>
      <c r="E6" s="17" t="str">
        <f t="shared" ref="E6" si="5">B6&amp;C6&amp;D6</f>
        <v>gacha_settle_tables_498103.tmp</v>
      </c>
      <c r="F6" s="94" t="s">
        <v>235</v>
      </c>
      <c r="G6" s="42" t="s">
        <v>68</v>
      </c>
      <c r="H6" s="20" t="s">
        <v>0</v>
      </c>
      <c r="I6" s="20" t="s">
        <v>3</v>
      </c>
      <c r="J6" s="20" t="s">
        <v>4</v>
      </c>
      <c r="K6" s="20" t="s">
        <v>5</v>
      </c>
      <c r="L6" s="20" t="s">
        <v>6</v>
      </c>
      <c r="M6" s="20" t="s">
        <v>7</v>
      </c>
      <c r="N6" s="20" t="s">
        <v>8</v>
      </c>
      <c r="O6" s="20" t="s">
        <v>9</v>
      </c>
    </row>
    <row r="7" spans="1:21" x14ac:dyDescent="0.15">
      <c r="A7" s="86" t="s">
        <v>225</v>
      </c>
      <c r="B7" s="87" t="s">
        <v>227</v>
      </c>
      <c r="C7" s="88" t="str">
        <f t="shared" si="2"/>
        <v>498104</v>
      </c>
      <c r="D7" s="19" t="s">
        <v>33</v>
      </c>
      <c r="E7" s="17" t="str">
        <f t="shared" si="4"/>
        <v>gacha_settle_tables_498104.tmp</v>
      </c>
      <c r="F7" s="94" t="s">
        <v>236</v>
      </c>
      <c r="G7" s="42" t="s">
        <v>68</v>
      </c>
      <c r="H7" s="20" t="s">
        <v>0</v>
      </c>
      <c r="I7" s="20" t="s">
        <v>3</v>
      </c>
      <c r="J7" s="20" t="s">
        <v>4</v>
      </c>
      <c r="K7" s="20" t="s">
        <v>5</v>
      </c>
      <c r="L7" s="20" t="s">
        <v>6</v>
      </c>
      <c r="M7" s="20" t="s">
        <v>7</v>
      </c>
      <c r="N7" s="20" t="s">
        <v>8</v>
      </c>
      <c r="O7" s="20" t="s">
        <v>9</v>
      </c>
    </row>
    <row r="8" spans="1:21" x14ac:dyDescent="0.15">
      <c r="A8" s="86" t="s">
        <v>225</v>
      </c>
      <c r="B8" s="87" t="s">
        <v>227</v>
      </c>
      <c r="C8" s="88" t="str">
        <f t="shared" si="2"/>
        <v>498105</v>
      </c>
      <c r="D8" s="19" t="s">
        <v>34</v>
      </c>
      <c r="E8" s="17" t="str">
        <f t="shared" si="3"/>
        <v>gacha_settle_tables_498105.tmp</v>
      </c>
      <c r="F8" s="94" t="s">
        <v>237</v>
      </c>
      <c r="G8" s="42" t="s">
        <v>68</v>
      </c>
      <c r="H8" s="20" t="s">
        <v>0</v>
      </c>
      <c r="I8" s="20" t="s">
        <v>3</v>
      </c>
      <c r="J8" s="20" t="s">
        <v>4</v>
      </c>
      <c r="K8" s="20" t="s">
        <v>5</v>
      </c>
      <c r="L8" s="20" t="s">
        <v>6</v>
      </c>
      <c r="M8" s="20" t="s">
        <v>7</v>
      </c>
      <c r="N8" s="20" t="s">
        <v>8</v>
      </c>
      <c r="O8" s="20" t="s">
        <v>9</v>
      </c>
    </row>
    <row r="9" spans="1:21" x14ac:dyDescent="0.15">
      <c r="A9" s="82" t="s">
        <v>225</v>
      </c>
      <c r="B9" s="54" t="s">
        <v>92</v>
      </c>
      <c r="C9" s="43" t="str">
        <f t="shared" si="2"/>
        <v>498101</v>
      </c>
      <c r="D9" s="19" t="s">
        <v>33</v>
      </c>
      <c r="E9" s="17" t="str">
        <f t="shared" si="3"/>
        <v>gacha_select_tables_498101.tmp</v>
      </c>
      <c r="F9" s="96" t="s">
        <v>238</v>
      </c>
      <c r="G9" s="42" t="s">
        <v>69</v>
      </c>
      <c r="H9" s="20" t="s">
        <v>0</v>
      </c>
      <c r="I9" s="20" t="s">
        <v>3</v>
      </c>
      <c r="J9" s="20" t="s">
        <v>4</v>
      </c>
      <c r="K9" s="20" t="s">
        <v>5</v>
      </c>
      <c r="L9" s="20" t="s">
        <v>6</v>
      </c>
      <c r="M9" s="20" t="s">
        <v>7</v>
      </c>
      <c r="N9" s="20" t="s">
        <v>8</v>
      </c>
      <c r="O9" s="20" t="s">
        <v>9</v>
      </c>
      <c r="P9" s="44"/>
      <c r="Q9" s="44"/>
      <c r="R9" s="44"/>
      <c r="S9" s="44"/>
      <c r="T9" s="44"/>
      <c r="U9" s="44"/>
    </row>
    <row r="10" spans="1:21" x14ac:dyDescent="0.15">
      <c r="A10" s="82" t="s">
        <v>225</v>
      </c>
      <c r="B10" s="54" t="s">
        <v>92</v>
      </c>
      <c r="C10" s="43" t="str">
        <f t="shared" si="2"/>
        <v>498104</v>
      </c>
      <c r="D10" s="19" t="s">
        <v>33</v>
      </c>
      <c r="E10" s="17" t="str">
        <f t="shared" si="3"/>
        <v>gacha_select_tables_498104.tmp</v>
      </c>
      <c r="F10" s="96" t="s">
        <v>239</v>
      </c>
      <c r="G10" s="42" t="s">
        <v>69</v>
      </c>
      <c r="H10" s="20" t="s">
        <v>0</v>
      </c>
      <c r="I10" s="20" t="s">
        <v>3</v>
      </c>
      <c r="J10" s="20" t="s">
        <v>4</v>
      </c>
      <c r="K10" s="20" t="s">
        <v>5</v>
      </c>
      <c r="L10" s="20" t="s">
        <v>6</v>
      </c>
      <c r="M10" s="20" t="s">
        <v>7</v>
      </c>
      <c r="N10" s="20" t="s">
        <v>8</v>
      </c>
      <c r="O10" s="20" t="s">
        <v>9</v>
      </c>
    </row>
  </sheetData>
  <phoneticPr fontId="16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49"/>
  <sheetViews>
    <sheetView tabSelected="1" workbookViewId="0">
      <selection activeCell="H36" sqref="H36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1" t="s">
        <v>66</v>
      </c>
      <c r="B1" s="41"/>
      <c r="L1" s="31" t="s">
        <v>45</v>
      </c>
      <c r="M1" s="31"/>
      <c r="U1" t="s">
        <v>45</v>
      </c>
    </row>
    <row r="2" spans="1:22" x14ac:dyDescent="0.15">
      <c r="A2" t="str">
        <f ca="1">RIGHT(RIGHT(CELL("filename",A2),LEN(CELL("filename",A2))-FIND("]",CELL("filename",A2))),6)</f>
        <v>498010</v>
      </c>
      <c r="L2" s="26" t="s">
        <v>1</v>
      </c>
      <c r="M2" s="30" t="s">
        <v>49</v>
      </c>
      <c r="N2" s="26" t="s">
        <v>47</v>
      </c>
      <c r="O2" s="30" t="s">
        <v>50</v>
      </c>
      <c r="P2" s="30" t="s">
        <v>51</v>
      </c>
      <c r="Q2" s="30" t="s">
        <v>48</v>
      </c>
      <c r="R2" s="37" t="s">
        <v>57</v>
      </c>
      <c r="U2" s="26" t="s">
        <v>172</v>
      </c>
      <c r="V2" s="47">
        <f t="shared" ref="V2:V16" si="0">SUMIF(Q:Q,U2,N:N)</f>
        <v>0</v>
      </c>
    </row>
    <row r="3" spans="1:22" x14ac:dyDescent="0.15">
      <c r="H3" s="66" t="s">
        <v>193</v>
      </c>
      <c r="L3" s="1">
        <v>953</v>
      </c>
      <c r="M3" s="30" t="str">
        <f>VLOOKUP(L3,[1]characters!$A:$C,3,FALSE)</f>
        <v>ハイゼンベルク</v>
      </c>
      <c r="N3" s="95">
        <v>2E-3</v>
      </c>
      <c r="O3" s="30">
        <f>VLOOKUP(L3,[1]characters!$A:$I,9,FALSE)</f>
        <v>5</v>
      </c>
      <c r="P3" s="30" t="str">
        <f>VLOOKUP(L3,[1]characters!$A:$J,10,FALSE)</f>
        <v>PremiumSSS</v>
      </c>
      <c r="Q3" s="30" t="str">
        <f>VLOOKUP(L3,tables_498010!B:C,2,FALSE)</f>
        <v>PremiumSSS5R3less</v>
      </c>
      <c r="R3" s="55">
        <f t="shared" ref="R3:R20" si="1">N3*A$36</f>
        <v>229360</v>
      </c>
      <c r="S3">
        <v>190</v>
      </c>
      <c r="U3" s="26" t="s">
        <v>173</v>
      </c>
      <c r="V3" s="47">
        <f t="shared" si="0"/>
        <v>0</v>
      </c>
    </row>
    <row r="4" spans="1:22" x14ac:dyDescent="0.15">
      <c r="A4" s="27" t="s">
        <v>37</v>
      </c>
      <c r="B4" s="27"/>
      <c r="D4" t="s">
        <v>182</v>
      </c>
      <c r="F4" t="s">
        <v>185</v>
      </c>
      <c r="H4" t="s">
        <v>191</v>
      </c>
      <c r="I4" t="s">
        <v>192</v>
      </c>
      <c r="L4" s="1">
        <v>619</v>
      </c>
      <c r="M4" s="30" t="str">
        <f>VLOOKUP(L4,[1]characters!$A:$C,3,FALSE)</f>
        <v>メビウス</v>
      </c>
      <c r="N4" s="95">
        <v>1E-3</v>
      </c>
      <c r="O4" s="30">
        <f>VLOOKUP(L4,[1]characters!$A:$I,9,FALSE)</f>
        <v>4</v>
      </c>
      <c r="P4" s="30" t="str">
        <f>VLOOKUP(L4,[1]characters!$A:$J,10,FALSE)</f>
        <v>PremiumSSS</v>
      </c>
      <c r="Q4" s="30" t="str">
        <f>VLOOKUP(L4,tables_498010!B:C,2,FALSE)</f>
        <v>PremiumSSS4R3less</v>
      </c>
      <c r="R4" s="55">
        <f t="shared" si="1"/>
        <v>114680</v>
      </c>
      <c r="S4">
        <v>191</v>
      </c>
      <c r="U4" s="26" t="s">
        <v>79</v>
      </c>
      <c r="V4" s="47">
        <f t="shared" si="0"/>
        <v>0</v>
      </c>
    </row>
    <row r="5" spans="1:22" x14ac:dyDescent="0.15">
      <c r="A5" s="26" t="s">
        <v>52</v>
      </c>
      <c r="B5" s="65">
        <v>0.45</v>
      </c>
      <c r="D5" t="s">
        <v>183</v>
      </c>
      <c r="E5" s="36">
        <f>(B11-H5)/(F5-I5)</f>
        <v>6.5573770491803279E-4</v>
      </c>
      <c r="F5">
        <f>(COUNTIF(tables_498010!C:C,input_498010!A28)+COUNTIF(tables_498010!C:C,input_498010!A29))</f>
        <v>66</v>
      </c>
      <c r="H5" s="77">
        <v>0.01</v>
      </c>
      <c r="I5" s="25">
        <v>5</v>
      </c>
      <c r="L5" s="1">
        <v>620</v>
      </c>
      <c r="M5" s="30" t="str">
        <f>VLOOKUP(L5,[1]characters!$A:$C,3,FALSE)</f>
        <v>奇跡の調和 メビウス</v>
      </c>
      <c r="N5" s="95">
        <v>1E-3</v>
      </c>
      <c r="O5" s="30">
        <f>VLOOKUP(L5,[1]characters!$A:$I,9,FALSE)</f>
        <v>5</v>
      </c>
      <c r="P5" s="30" t="str">
        <f>VLOOKUP(L5,[1]characters!$A:$J,10,FALSE)</f>
        <v>PremiumSSS</v>
      </c>
      <c r="Q5" s="30" t="str">
        <f>VLOOKUP(L5,tables_498010!B:C,2,FALSE)</f>
        <v>PremiumSSS5R3less</v>
      </c>
      <c r="R5" s="55">
        <f t="shared" si="1"/>
        <v>114680</v>
      </c>
      <c r="S5">
        <v>192</v>
      </c>
      <c r="U5" s="26" t="s">
        <v>80</v>
      </c>
      <c r="V5" s="47">
        <f t="shared" si="0"/>
        <v>0</v>
      </c>
    </row>
    <row r="6" spans="1:22" x14ac:dyDescent="0.15">
      <c r="A6" s="26" t="s">
        <v>53</v>
      </c>
      <c r="B6" s="65">
        <v>0.45</v>
      </c>
      <c r="D6" t="s">
        <v>184</v>
      </c>
      <c r="E6" s="69">
        <f>(B10-H6)/(F6-I6)</f>
        <v>1.0106382978723403E-2</v>
      </c>
      <c r="F6">
        <f>(COUNTIF(tables_498010!C:C,input_498010!A25)+COUNTIF(tables_498010!C:C,input_498010!A18)+COUNTIF(tables_498010!C:C,input_498010!A20)+COUNTIF(tables_498010!C:C,input_498010!A22))</f>
        <v>94</v>
      </c>
      <c r="H6" s="81">
        <v>0</v>
      </c>
      <c r="I6" s="25">
        <v>0</v>
      </c>
      <c r="L6" s="1">
        <v>880</v>
      </c>
      <c r="M6" s="30" t="str">
        <f>VLOOKUP(L6,[1]characters!$A:$C,3,FALSE)</f>
        <v>ハーシェル</v>
      </c>
      <c r="N6" s="95">
        <v>2E-3</v>
      </c>
      <c r="O6" s="30">
        <f>VLOOKUP(L6,[1]characters!$A:$I,9,FALSE)</f>
        <v>5</v>
      </c>
      <c r="P6" s="30" t="str">
        <f>VLOOKUP(L6,[1]characters!$A:$J,10,FALSE)</f>
        <v>PremiumSSS</v>
      </c>
      <c r="Q6" s="30" t="str">
        <f>VLOOKUP(L6,tables_498010!B:C,2,FALSE)</f>
        <v>PremiumSSS5R3less</v>
      </c>
      <c r="R6" s="55">
        <f t="shared" si="1"/>
        <v>229360</v>
      </c>
      <c r="S6">
        <v>596</v>
      </c>
      <c r="U6" s="26" t="s">
        <v>81</v>
      </c>
      <c r="V6" s="47">
        <f t="shared" si="0"/>
        <v>0</v>
      </c>
    </row>
    <row r="7" spans="1:22" x14ac:dyDescent="0.15">
      <c r="A7" s="26" t="s">
        <v>54</v>
      </c>
      <c r="B7" s="65">
        <v>0.1</v>
      </c>
      <c r="L7" s="1">
        <v>623</v>
      </c>
      <c r="M7" s="30" t="str">
        <f>VLOOKUP(L7,[1]characters!$A:$C,3,FALSE)</f>
        <v>フェルマー</v>
      </c>
      <c r="N7" s="95">
        <v>2E-3</v>
      </c>
      <c r="O7" s="30">
        <f>VLOOKUP(L7,[1]characters!$A:$I,9,FALSE)</f>
        <v>5</v>
      </c>
      <c r="P7" s="30" t="str">
        <f>VLOOKUP(L7,[1]characters!$A:$J,10,FALSE)</f>
        <v>PremiumSSS</v>
      </c>
      <c r="Q7" s="30" t="str">
        <f>VLOOKUP(L7,tables_498010!B:C,2,FALSE)</f>
        <v>PremiumSSS5R3less</v>
      </c>
      <c r="R7" s="55">
        <f t="shared" si="1"/>
        <v>229360</v>
      </c>
      <c r="S7">
        <v>597</v>
      </c>
      <c r="U7" s="26" t="s">
        <v>178</v>
      </c>
      <c r="V7" s="47">
        <f t="shared" si="0"/>
        <v>0</v>
      </c>
    </row>
    <row r="8" spans="1:22" x14ac:dyDescent="0.15">
      <c r="A8" s="50"/>
      <c r="B8" s="64"/>
      <c r="E8" s="69"/>
      <c r="L8" s="53">
        <v>972</v>
      </c>
      <c r="M8" s="30" t="str">
        <f>VLOOKUP(L8,[1]characters!$A:$C,3,FALSE)</f>
        <v>コーシー</v>
      </c>
      <c r="N8" s="95">
        <v>2E-3</v>
      </c>
      <c r="O8" s="30">
        <f>VLOOKUP(L8,[1]characters!$A:$I,9,FALSE)</f>
        <v>5</v>
      </c>
      <c r="P8" s="30" t="str">
        <f>VLOOKUP(L8,[1]characters!$A:$J,10,FALSE)</f>
        <v>PremiumSSS</v>
      </c>
      <c r="Q8" s="30" t="str">
        <f>VLOOKUP(L8,tables_498010!B:C,2,FALSE)</f>
        <v>PremiumSSS5R3less</v>
      </c>
      <c r="R8" s="55">
        <f t="shared" si="1"/>
        <v>229360</v>
      </c>
      <c r="S8">
        <v>598</v>
      </c>
      <c r="U8" s="26" t="s">
        <v>179</v>
      </c>
      <c r="V8" s="47">
        <f t="shared" si="0"/>
        <v>0</v>
      </c>
    </row>
    <row r="9" spans="1:22" x14ac:dyDescent="0.15">
      <c r="A9" s="28" t="s">
        <v>38</v>
      </c>
      <c r="B9" s="28"/>
      <c r="L9" s="80"/>
      <c r="M9" s="30" t="e">
        <f>VLOOKUP(L9,[1]characters!$A:$C,3,FALSE)</f>
        <v>#N/A</v>
      </c>
      <c r="N9" s="56"/>
      <c r="O9" s="30" t="e">
        <f>VLOOKUP(L9,[1]characters!$A:$I,9,FALSE)</f>
        <v>#N/A</v>
      </c>
      <c r="P9" s="30" t="e">
        <f>VLOOKUP(L9,[1]characters!$A:$J,10,FALSE)</f>
        <v>#N/A</v>
      </c>
      <c r="Q9" s="30" t="e">
        <f>VLOOKUP(L9,tables_498010!B:C,2,FALSE)</f>
        <v>#N/A</v>
      </c>
      <c r="R9" s="55">
        <f t="shared" si="1"/>
        <v>0</v>
      </c>
      <c r="S9">
        <v>390</v>
      </c>
      <c r="U9" s="26" t="s">
        <v>175</v>
      </c>
      <c r="V9" s="47">
        <f t="shared" si="0"/>
        <v>0</v>
      </c>
    </row>
    <row r="10" spans="1:22" x14ac:dyDescent="0.15">
      <c r="A10" s="26" t="s">
        <v>78</v>
      </c>
      <c r="B10" s="65">
        <f>1-B11-B12</f>
        <v>0.95</v>
      </c>
      <c r="C10" t="s">
        <v>190</v>
      </c>
      <c r="L10" s="80"/>
      <c r="M10" s="30" t="e">
        <f>VLOOKUP(L10,[1]characters!$A:$C,3,FALSE)</f>
        <v>#N/A</v>
      </c>
      <c r="N10" s="56"/>
      <c r="O10" s="30" t="e">
        <f>VLOOKUP(L10,[1]characters!$A:$I,9,FALSE)</f>
        <v>#N/A</v>
      </c>
      <c r="P10" s="30" t="e">
        <f>VLOOKUP(L10,[1]characters!$A:$J,10,FALSE)</f>
        <v>#N/A</v>
      </c>
      <c r="Q10" s="30" t="e">
        <f>VLOOKUP(L10,tables_498010!B:C,2,FALSE)</f>
        <v>#N/A</v>
      </c>
      <c r="R10" s="55">
        <f t="shared" si="1"/>
        <v>0</v>
      </c>
      <c r="S10">
        <v>391</v>
      </c>
      <c r="U10" s="26" t="s">
        <v>176</v>
      </c>
      <c r="V10" s="47">
        <f t="shared" si="0"/>
        <v>0</v>
      </c>
    </row>
    <row r="11" spans="1:22" x14ac:dyDescent="0.15">
      <c r="A11" s="26" t="s">
        <v>40</v>
      </c>
      <c r="B11" s="70">
        <v>0.05</v>
      </c>
      <c r="C11" t="s">
        <v>224</v>
      </c>
      <c r="L11" s="80"/>
      <c r="M11" s="30" t="e">
        <f>VLOOKUP(L11,[1]characters!$A:$C,3,FALSE)</f>
        <v>#N/A</v>
      </c>
      <c r="N11" s="56"/>
      <c r="O11" s="30" t="e">
        <f>VLOOKUP(L11,[1]characters!$A:$I,9,FALSE)</f>
        <v>#N/A</v>
      </c>
      <c r="P11" s="30" t="e">
        <f>VLOOKUP(L11,[1]characters!$A:$J,10,FALSE)</f>
        <v>#N/A</v>
      </c>
      <c r="Q11" s="30" t="e">
        <f>VLOOKUP(L11,tables_498010!B:C,2,FALSE)</f>
        <v>#N/A</v>
      </c>
      <c r="R11" s="55">
        <f t="shared" si="1"/>
        <v>0</v>
      </c>
      <c r="S11">
        <v>811</v>
      </c>
      <c r="U11" s="26" t="s">
        <v>177</v>
      </c>
      <c r="V11" s="47">
        <f t="shared" si="0"/>
        <v>0</v>
      </c>
    </row>
    <row r="12" spans="1:22" x14ac:dyDescent="0.15">
      <c r="A12" s="26" t="s">
        <v>39</v>
      </c>
      <c r="B12" s="65">
        <v>0</v>
      </c>
      <c r="M12" s="30" t="e">
        <f>VLOOKUP(L12,[1]characters!$A:$C,3,FALSE)</f>
        <v>#N/A</v>
      </c>
      <c r="N12" s="56"/>
      <c r="O12" s="30" t="e">
        <f>VLOOKUP(L12,[1]characters!$A:$I,9,FALSE)</f>
        <v>#N/A</v>
      </c>
      <c r="P12" s="30" t="e">
        <f>VLOOKUP(L12,[1]characters!$A:$J,10,FALSE)</f>
        <v>#N/A</v>
      </c>
      <c r="Q12" s="30" t="e">
        <f>VLOOKUP(L12,tables_498010!B:C,2,FALSE)</f>
        <v>#N/A</v>
      </c>
      <c r="R12" s="55">
        <f t="shared" si="1"/>
        <v>0</v>
      </c>
      <c r="S12">
        <v>496</v>
      </c>
      <c r="U12" s="26" t="s">
        <v>88</v>
      </c>
      <c r="V12" s="47">
        <f t="shared" si="0"/>
        <v>0</v>
      </c>
    </row>
    <row r="13" spans="1:22" x14ac:dyDescent="0.15">
      <c r="M13" s="30" t="e">
        <f>VLOOKUP(L13,[1]characters!$A:$C,3,FALSE)</f>
        <v>#N/A</v>
      </c>
      <c r="N13" s="56"/>
      <c r="O13" s="30" t="e">
        <f>VLOOKUP(L13,[1]characters!$A:$I,9,FALSE)</f>
        <v>#N/A</v>
      </c>
      <c r="P13" s="30" t="e">
        <f>VLOOKUP(L13,[1]characters!$A:$J,10,FALSE)</f>
        <v>#N/A</v>
      </c>
      <c r="Q13" s="30" t="e">
        <f>VLOOKUP(L13,tables_498010!B:C,2,FALSE)</f>
        <v>#N/A</v>
      </c>
      <c r="R13" s="55">
        <f t="shared" si="1"/>
        <v>0</v>
      </c>
      <c r="S13">
        <v>497</v>
      </c>
      <c r="U13" s="26" t="s">
        <v>89</v>
      </c>
      <c r="V13" s="47">
        <f t="shared" si="0"/>
        <v>0</v>
      </c>
    </row>
    <row r="14" spans="1:22" x14ac:dyDescent="0.15">
      <c r="M14" s="30" t="e">
        <f>VLOOKUP(L14,[1]characters!$A:$C,3,FALSE)</f>
        <v>#N/A</v>
      </c>
      <c r="N14" s="56"/>
      <c r="O14" s="30" t="e">
        <f>VLOOKUP(L14,[1]characters!$A:$I,9,FALSE)</f>
        <v>#N/A</v>
      </c>
      <c r="P14" s="30" t="e">
        <f>VLOOKUP(L14,[1]characters!$A:$J,10,FALSE)</f>
        <v>#N/A</v>
      </c>
      <c r="Q14" s="30" t="e">
        <f>VLOOKUP(L14,tables_498010!B:C,2,FALSE)</f>
        <v>#N/A</v>
      </c>
      <c r="R14" s="55">
        <f t="shared" si="1"/>
        <v>0</v>
      </c>
      <c r="S14">
        <v>498</v>
      </c>
      <c r="U14" s="26" t="s">
        <v>181</v>
      </c>
      <c r="V14" s="47">
        <f t="shared" si="0"/>
        <v>0</v>
      </c>
    </row>
    <row r="15" spans="1:22" x14ac:dyDescent="0.15">
      <c r="A15" s="29" t="s">
        <v>41</v>
      </c>
      <c r="B15" s="29"/>
      <c r="C15" t="s">
        <v>67</v>
      </c>
      <c r="M15" s="30" t="e">
        <f>VLOOKUP(L15,[1]characters!$A:$C,3,FALSE)</f>
        <v>#N/A</v>
      </c>
      <c r="N15" s="56"/>
      <c r="O15" s="30" t="e">
        <f>VLOOKUP(L15,[1]characters!$A:$I,9,FALSE)</f>
        <v>#N/A</v>
      </c>
      <c r="P15" s="30" t="e">
        <f>VLOOKUP(L15,[1]characters!$A:$J,10,FALSE)</f>
        <v>#N/A</v>
      </c>
      <c r="Q15" s="30" t="e">
        <f>VLOOKUP(L15,tables_498010!B:C,2,FALSE)</f>
        <v>#N/A</v>
      </c>
      <c r="R15" s="55">
        <f t="shared" si="1"/>
        <v>0</v>
      </c>
      <c r="S15">
        <v>395</v>
      </c>
      <c r="U15" s="26" t="s">
        <v>180</v>
      </c>
      <c r="V15" s="47">
        <f t="shared" si="0"/>
        <v>0</v>
      </c>
    </row>
    <row r="16" spans="1:22" x14ac:dyDescent="0.15">
      <c r="A16" s="26" t="s">
        <v>44</v>
      </c>
      <c r="B16" s="26" t="s">
        <v>174</v>
      </c>
      <c r="C16" s="30" t="s">
        <v>45</v>
      </c>
      <c r="D16" s="30" t="s">
        <v>46</v>
      </c>
      <c r="E16" t="s">
        <v>56</v>
      </c>
      <c r="F16" t="s">
        <v>55</v>
      </c>
      <c r="G16" t="s">
        <v>58</v>
      </c>
      <c r="H16" t="s">
        <v>194</v>
      </c>
      <c r="I16" t="s">
        <v>59</v>
      </c>
      <c r="J16" t="s">
        <v>61</v>
      </c>
      <c r="M16" s="30" t="e">
        <f>VLOOKUP(L16,[1]characters!$A:$C,3,FALSE)</f>
        <v>#N/A</v>
      </c>
      <c r="N16" s="56"/>
      <c r="O16" s="30" t="e">
        <f>VLOOKUP(L16,[1]characters!$A:$I,9,FALSE)</f>
        <v>#N/A</v>
      </c>
      <c r="P16" s="30" t="e">
        <f>VLOOKUP(L16,[1]characters!$A:$J,10,FALSE)</f>
        <v>#N/A</v>
      </c>
      <c r="Q16" s="30" t="e">
        <f>VLOOKUP(L16,tables_498010!B:C,2,FALSE)</f>
        <v>#N/A</v>
      </c>
      <c r="R16" s="55">
        <f t="shared" si="1"/>
        <v>0</v>
      </c>
      <c r="S16">
        <v>396</v>
      </c>
      <c r="U16" s="26" t="s">
        <v>90</v>
      </c>
      <c r="V16" s="47">
        <f t="shared" si="0"/>
        <v>0</v>
      </c>
    </row>
    <row r="17" spans="1:19" x14ac:dyDescent="0.15">
      <c r="A17" s="26" t="s">
        <v>172</v>
      </c>
      <c r="B17" s="75">
        <f>B$5-B19-B24</f>
        <v>0.19531914893617025</v>
      </c>
      <c r="C17" s="78">
        <f t="shared" ref="C17:C31" si="2">SUMIF(Q:Q,A17,N:N)</f>
        <v>0</v>
      </c>
      <c r="D17" s="67">
        <f t="shared" ref="D17:D32" si="3">B17-C17</f>
        <v>0.19531914893617025</v>
      </c>
      <c r="E17">
        <f>COUNTIF(tables_498010!C:C,input_498010!A17)-COUNTIF(Q:Q,A17)</f>
        <v>20</v>
      </c>
      <c r="F17" s="36">
        <f>IFERROR(B17/E17,0)</f>
        <v>9.7659574468085125E-3</v>
      </c>
      <c r="G17">
        <f t="shared" ref="G17:G31" si="4">A$36*B17</f>
        <v>22399200.000000004</v>
      </c>
      <c r="H17">
        <f t="shared" ref="H17:H31" si="5">IFERROR(ROUND(G17/E17,5),0)</f>
        <v>1119960</v>
      </c>
      <c r="I17">
        <f t="shared" ref="I17:I31" si="6">MOD(H17,1)</f>
        <v>0</v>
      </c>
      <c r="J17">
        <f t="shared" ref="J17:J31" si="7">IFERROR(1/I17,1)</f>
        <v>1</v>
      </c>
      <c r="M17" s="30" t="e">
        <f>VLOOKUP(L17,[1]characters!$A:$C,3,FALSE)</f>
        <v>#N/A</v>
      </c>
      <c r="N17" s="56"/>
      <c r="O17" s="30" t="e">
        <f>VLOOKUP(L17,[1]characters!$A:$I,9,FALSE)</f>
        <v>#N/A</v>
      </c>
      <c r="P17" s="30" t="e">
        <f>VLOOKUP(L17,[1]characters!$A:$J,10,FALSE)</f>
        <v>#N/A</v>
      </c>
      <c r="Q17" s="30" t="e">
        <f>VLOOKUP(L17,tables_498010!B:C,2,FALSE)</f>
        <v>#N/A</v>
      </c>
      <c r="R17" s="55">
        <f t="shared" si="1"/>
        <v>0</v>
      </c>
      <c r="S17">
        <v>397</v>
      </c>
    </row>
    <row r="18" spans="1:19" x14ac:dyDescent="0.15">
      <c r="A18" s="26" t="s">
        <v>173</v>
      </c>
      <c r="B18" s="49">
        <f>E$6*E18-B17+E34+0.02</f>
        <v>4.0134984303105484E-2</v>
      </c>
      <c r="C18" s="78">
        <f t="shared" si="2"/>
        <v>0</v>
      </c>
      <c r="D18" s="67">
        <f t="shared" si="3"/>
        <v>4.0134984303105484E-2</v>
      </c>
      <c r="E18">
        <f>COUNTIF(tables_498010!C:C,input_498010!A18)-COUNTIF(Q:Q,A18)</f>
        <v>20</v>
      </c>
      <c r="F18" s="36">
        <f>IFERROR(B18/E18,0)</f>
        <v>2.0067492151552742E-3</v>
      </c>
      <c r="G18">
        <f t="shared" si="4"/>
        <v>4602679.9998801369</v>
      </c>
      <c r="H18">
        <f t="shared" si="5"/>
        <v>230133.99999000001</v>
      </c>
      <c r="I18">
        <f t="shared" si="6"/>
        <v>0.99999000001116656</v>
      </c>
      <c r="J18">
        <f t="shared" si="7"/>
        <v>1.0000100000888341</v>
      </c>
      <c r="M18" s="30" t="e">
        <f>VLOOKUP(L18,[1]characters!$A:$C,3,FALSE)</f>
        <v>#N/A</v>
      </c>
      <c r="N18" s="56"/>
      <c r="O18" s="30" t="e">
        <f>VLOOKUP(L18,[1]characters!$A:$I,9,FALSE)</f>
        <v>#N/A</v>
      </c>
      <c r="P18" s="30" t="e">
        <f>VLOOKUP(L18,[1]characters!$A:$J,10,FALSE)</f>
        <v>#N/A</v>
      </c>
      <c r="Q18" s="30" t="e">
        <f>VLOOKUP(L18,tables_498010!B:C,2,FALSE)</f>
        <v>#N/A</v>
      </c>
      <c r="R18" s="55">
        <f t="shared" si="1"/>
        <v>0</v>
      </c>
      <c r="S18">
        <v>324</v>
      </c>
    </row>
    <row r="19" spans="1:19" x14ac:dyDescent="0.15">
      <c r="A19" s="26" t="s">
        <v>79</v>
      </c>
      <c r="B19" s="49">
        <f>E$6*E19*B$5</f>
        <v>0.23648936170212764</v>
      </c>
      <c r="C19" s="78">
        <f t="shared" si="2"/>
        <v>0</v>
      </c>
      <c r="D19" s="67">
        <f t="shared" si="3"/>
        <v>0.23648936170212764</v>
      </c>
      <c r="E19">
        <f>COUNTIF(tables_498010!C:C,input_498010!A19)-COUNTIF(Q:Q,A19)</f>
        <v>52</v>
      </c>
      <c r="F19" s="36">
        <f t="shared" ref="F19:F31" si="8">IFERROR(B19/E19,0)</f>
        <v>4.5478723404255312E-3</v>
      </c>
      <c r="G19">
        <f t="shared" si="4"/>
        <v>27120599.999999996</v>
      </c>
      <c r="H19">
        <f t="shared" si="5"/>
        <v>521550</v>
      </c>
      <c r="I19">
        <f t="shared" si="6"/>
        <v>0</v>
      </c>
      <c r="J19">
        <f t="shared" si="7"/>
        <v>1</v>
      </c>
      <c r="M19" s="30" t="e">
        <f>VLOOKUP(L19,[1]characters!$A:$C,3,FALSE)</f>
        <v>#N/A</v>
      </c>
      <c r="N19" s="56"/>
      <c r="O19" s="30" t="e">
        <f>VLOOKUP(L19,[1]characters!$A:$I,9,FALSE)</f>
        <v>#N/A</v>
      </c>
      <c r="P19" s="30" t="e">
        <f>VLOOKUP(L19,[1]characters!$A:$J,10,FALSE)</f>
        <v>#N/A</v>
      </c>
      <c r="Q19" s="30" t="e">
        <f>VLOOKUP(L19,tables_498010!B:C,2,FALSE)</f>
        <v>#N/A</v>
      </c>
      <c r="R19" s="55">
        <f t="shared" si="1"/>
        <v>0</v>
      </c>
      <c r="S19">
        <v>325</v>
      </c>
    </row>
    <row r="20" spans="1:19" x14ac:dyDescent="0.15">
      <c r="A20" s="26" t="s">
        <v>80</v>
      </c>
      <c r="B20" s="85">
        <f>E$6*E20*B$6-0.03</f>
        <v>0.20648936170212764</v>
      </c>
      <c r="C20" s="78">
        <f t="shared" si="2"/>
        <v>0</v>
      </c>
      <c r="D20" s="67">
        <f t="shared" si="3"/>
        <v>0.20648936170212764</v>
      </c>
      <c r="E20">
        <f>COUNTIF(tables_498010!C:C,input_498010!A20)-COUNTIF(Q:Q,A20)</f>
        <v>52</v>
      </c>
      <c r="F20" s="36">
        <f t="shared" si="8"/>
        <v>3.9709492635024548E-3</v>
      </c>
      <c r="G20">
        <f t="shared" si="4"/>
        <v>23680200</v>
      </c>
      <c r="H20">
        <f t="shared" si="5"/>
        <v>455388.46153999999</v>
      </c>
      <c r="I20">
        <f t="shared" si="6"/>
        <v>0.46153999998932704</v>
      </c>
      <c r="J20">
        <f t="shared" si="7"/>
        <v>2.1666594445186216</v>
      </c>
      <c r="M20" s="30" t="e">
        <f>VLOOKUP(L20,[1]characters!$A:$C,3,FALSE)</f>
        <v>#N/A</v>
      </c>
      <c r="N20" s="56"/>
      <c r="O20" s="30" t="e">
        <f>VLOOKUP(L20,[1]characters!$A:$I,9,FALSE)</f>
        <v>#N/A</v>
      </c>
      <c r="P20" s="30" t="e">
        <f>VLOOKUP(L20,[1]characters!$A:$J,10,FALSE)</f>
        <v>#N/A</v>
      </c>
      <c r="Q20" s="30" t="e">
        <f>VLOOKUP(L20,tables_498010!B:C,2,FALSE)</f>
        <v>#N/A</v>
      </c>
      <c r="R20" s="55">
        <f t="shared" si="1"/>
        <v>0</v>
      </c>
      <c r="S20">
        <v>809</v>
      </c>
    </row>
    <row r="21" spans="1:19" x14ac:dyDescent="0.15">
      <c r="A21" s="26" t="s">
        <v>81</v>
      </c>
      <c r="B21" s="49">
        <f>B7-B23-B26-B28-B29-E35</f>
        <v>3.9226717823569256E-2</v>
      </c>
      <c r="C21" s="78">
        <f t="shared" si="2"/>
        <v>0</v>
      </c>
      <c r="D21" s="67">
        <f t="shared" si="3"/>
        <v>3.9226717823569256E-2</v>
      </c>
      <c r="E21">
        <f>COUNTIF(tables_498010!C:C,input_498010!A21)-COUNTIF(Q:Q,A21)</f>
        <v>52</v>
      </c>
      <c r="F21" s="36">
        <f t="shared" si="8"/>
        <v>7.5435995814556258E-4</v>
      </c>
      <c r="G21">
        <f t="shared" si="4"/>
        <v>4498520.0000069225</v>
      </c>
      <c r="H21">
        <f t="shared" si="5"/>
        <v>86510</v>
      </c>
      <c r="I21">
        <f t="shared" si="6"/>
        <v>0</v>
      </c>
      <c r="J21">
        <f t="shared" si="7"/>
        <v>1</v>
      </c>
      <c r="L21" s="50"/>
      <c r="M21" s="50"/>
      <c r="N21" s="51"/>
      <c r="O21" s="50"/>
      <c r="P21" s="50"/>
      <c r="Q21" s="50"/>
      <c r="R21" s="52"/>
    </row>
    <row r="22" spans="1:19" x14ac:dyDescent="0.15">
      <c r="A22" s="26" t="s">
        <v>178</v>
      </c>
      <c r="B22" s="68">
        <f>E$6*E22-B23-E36</f>
        <v>0.1676595744680851</v>
      </c>
      <c r="C22" s="78">
        <f t="shared" si="2"/>
        <v>0</v>
      </c>
      <c r="D22" s="67">
        <f t="shared" si="3"/>
        <v>0.1676595744680851</v>
      </c>
      <c r="E22">
        <f>COUNTIF(tables_498010!C:C,input_498010!A22)-COUNTIF(Q:Q,A22)</f>
        <v>18</v>
      </c>
      <c r="F22" s="36">
        <f t="shared" si="8"/>
        <v>9.3144208037825062E-3</v>
      </c>
      <c r="G22">
        <f t="shared" si="4"/>
        <v>19227200</v>
      </c>
      <c r="H22">
        <f t="shared" si="5"/>
        <v>1068177.7777799999</v>
      </c>
      <c r="I22">
        <f t="shared" si="6"/>
        <v>0.77777999988757074</v>
      </c>
      <c r="J22">
        <f t="shared" si="7"/>
        <v>1.285710612441245</v>
      </c>
      <c r="L22" s="50"/>
      <c r="M22" s="50"/>
      <c r="N22" s="51"/>
      <c r="O22" s="50"/>
      <c r="P22" s="50"/>
      <c r="Q22" s="50"/>
      <c r="R22" s="52"/>
    </row>
    <row r="23" spans="1:19" x14ac:dyDescent="0.15">
      <c r="A23" s="26" t="s">
        <v>179</v>
      </c>
      <c r="B23" s="63">
        <f>E23*E6*B7-0.01</f>
        <v>1.4255319148936166E-2</v>
      </c>
      <c r="C23" s="78">
        <f t="shared" si="2"/>
        <v>0</v>
      </c>
      <c r="D23" s="67">
        <f t="shared" si="3"/>
        <v>1.4255319148936166E-2</v>
      </c>
      <c r="E23">
        <f>COUNTIF(tables_498010!C:C,input_498010!A23)-COUNTIF(Q:Q,A23)</f>
        <v>24</v>
      </c>
      <c r="F23" s="36">
        <f t="shared" si="8"/>
        <v>5.9397163120567355E-4</v>
      </c>
      <c r="G23">
        <f t="shared" si="4"/>
        <v>1634799.9999999995</v>
      </c>
      <c r="H23">
        <f t="shared" si="5"/>
        <v>68116.666670000006</v>
      </c>
      <c r="I23">
        <f t="shared" si="6"/>
        <v>0.66667000000597909</v>
      </c>
      <c r="J23">
        <f t="shared" si="7"/>
        <v>1.499992500024047</v>
      </c>
      <c r="L23" s="50"/>
      <c r="M23" s="50"/>
      <c r="N23" s="51"/>
      <c r="O23" s="50"/>
      <c r="P23" s="50"/>
      <c r="Q23" s="50"/>
      <c r="R23" s="52"/>
    </row>
    <row r="24" spans="1:19" x14ac:dyDescent="0.15">
      <c r="A24" s="26" t="s">
        <v>175</v>
      </c>
      <c r="B24" s="49">
        <f>E$6*E24*B$5</f>
        <v>1.8191489361702125E-2</v>
      </c>
      <c r="C24" s="78">
        <f t="shared" si="2"/>
        <v>0</v>
      </c>
      <c r="D24" s="67">
        <f t="shared" si="3"/>
        <v>1.8191489361702125E-2</v>
      </c>
      <c r="E24">
        <f>COUNTIF(tables_498010!C:C,input_498010!A24)-COUNTIF(Q:Q,A24)</f>
        <v>4</v>
      </c>
      <c r="F24" s="36">
        <f t="shared" si="8"/>
        <v>4.5478723404255312E-3</v>
      </c>
      <c r="G24">
        <f t="shared" si="4"/>
        <v>2086199.9999999998</v>
      </c>
      <c r="H24">
        <f t="shared" si="5"/>
        <v>521550</v>
      </c>
      <c r="I24">
        <f t="shared" si="6"/>
        <v>0</v>
      </c>
      <c r="J24">
        <f t="shared" si="7"/>
        <v>1</v>
      </c>
      <c r="L24" s="50"/>
      <c r="M24" s="50"/>
      <c r="N24" s="51"/>
      <c r="O24" s="50"/>
      <c r="P24" s="50"/>
      <c r="Q24" s="50"/>
      <c r="R24" s="52"/>
    </row>
    <row r="25" spans="1:19" x14ac:dyDescent="0.15">
      <c r="A25" s="26" t="s">
        <v>176</v>
      </c>
      <c r="B25" s="49">
        <f>E$6*B$6*E25</f>
        <v>1.8191489361702125E-2</v>
      </c>
      <c r="C25" s="78">
        <f t="shared" si="2"/>
        <v>0</v>
      </c>
      <c r="D25" s="67">
        <f t="shared" si="3"/>
        <v>1.8191489361702125E-2</v>
      </c>
      <c r="E25">
        <f>COUNTIF(tables_498010!C:C,input_498010!A25)-COUNTIF(Q:Q,A25)</f>
        <v>4</v>
      </c>
      <c r="F25" s="36">
        <f t="shared" si="8"/>
        <v>4.5478723404255312E-3</v>
      </c>
      <c r="G25">
        <f t="shared" si="4"/>
        <v>2086199.9999999998</v>
      </c>
      <c r="H25">
        <f t="shared" si="5"/>
        <v>521550</v>
      </c>
      <c r="I25">
        <f t="shared" si="6"/>
        <v>0</v>
      </c>
      <c r="J25">
        <f t="shared" si="7"/>
        <v>1</v>
      </c>
      <c r="L25" s="50"/>
      <c r="M25" s="50"/>
      <c r="N25" s="51"/>
      <c r="O25" s="50"/>
      <c r="P25" s="50"/>
      <c r="Q25" s="50"/>
      <c r="R25" s="52"/>
    </row>
    <row r="26" spans="1:19" x14ac:dyDescent="0.15">
      <c r="A26" s="26" t="s">
        <v>177</v>
      </c>
      <c r="B26" s="49">
        <f>E$6*B$7*E26</f>
        <v>4.0425531914893616E-3</v>
      </c>
      <c r="C26" s="78">
        <f t="shared" si="2"/>
        <v>0</v>
      </c>
      <c r="D26" s="67">
        <f t="shared" si="3"/>
        <v>4.0425531914893616E-3</v>
      </c>
      <c r="E26">
        <f>COUNTIF(tables_498010!C:C,input_498010!A26)-COUNTIF(Q:Q,A26)</f>
        <v>4</v>
      </c>
      <c r="F26" s="36">
        <f t="shared" si="8"/>
        <v>1.0106382978723404E-3</v>
      </c>
      <c r="G26">
        <f t="shared" si="4"/>
        <v>463600</v>
      </c>
      <c r="H26">
        <f t="shared" si="5"/>
        <v>115900</v>
      </c>
      <c r="I26">
        <f t="shared" si="6"/>
        <v>0</v>
      </c>
      <c r="J26">
        <f t="shared" si="7"/>
        <v>1</v>
      </c>
      <c r="L26" s="50"/>
      <c r="M26" s="50"/>
      <c r="N26" s="51"/>
      <c r="O26" s="50"/>
      <c r="P26" s="50"/>
      <c r="Q26" s="50"/>
      <c r="R26" s="52"/>
    </row>
    <row r="27" spans="1:19" x14ac:dyDescent="0.15">
      <c r="A27" s="26" t="s">
        <v>88</v>
      </c>
      <c r="B27" s="49">
        <f>E$5*E27*(B$5+B$6)</f>
        <v>1.6524590163934427E-2</v>
      </c>
      <c r="C27" s="78">
        <f t="shared" si="2"/>
        <v>0</v>
      </c>
      <c r="D27" s="67">
        <f t="shared" si="3"/>
        <v>1.6524590163934427E-2</v>
      </c>
      <c r="E27">
        <f>COUNTIF(tables_498010!C:C,input_498010!A27)-COUNTIF(Q:Q,A27)</f>
        <v>28</v>
      </c>
      <c r="F27" s="36">
        <f>IFERROR(B27/E27,0)</f>
        <v>5.9016393442622953E-4</v>
      </c>
      <c r="G27">
        <f t="shared" si="4"/>
        <v>1895040.0000000002</v>
      </c>
      <c r="H27">
        <f t="shared" si="5"/>
        <v>67680</v>
      </c>
      <c r="I27">
        <f t="shared" si="6"/>
        <v>0</v>
      </c>
      <c r="J27">
        <f t="shared" si="7"/>
        <v>1</v>
      </c>
      <c r="L27" s="50"/>
      <c r="M27" s="50"/>
      <c r="N27" s="51"/>
      <c r="O27" s="50"/>
      <c r="P27" s="50"/>
      <c r="Q27" s="50"/>
      <c r="R27" s="52"/>
    </row>
    <row r="28" spans="1:19" x14ac:dyDescent="0.15">
      <c r="A28" s="26" t="s">
        <v>89</v>
      </c>
      <c r="B28" s="49">
        <f>E$5*E28*B$7</f>
        <v>1.8360655737704918E-3</v>
      </c>
      <c r="C28" s="78">
        <f t="shared" si="2"/>
        <v>0</v>
      </c>
      <c r="D28" s="67">
        <f t="shared" si="3"/>
        <v>1.8360655737704918E-3</v>
      </c>
      <c r="E28">
        <f>COUNTIF(tables_498010!C:C,input_498010!A28)-COUNTIF(Q:Q,A28)</f>
        <v>28</v>
      </c>
      <c r="F28" s="36">
        <f t="shared" si="8"/>
        <v>6.5573770491803284E-5</v>
      </c>
      <c r="G28">
        <f t="shared" si="4"/>
        <v>210560</v>
      </c>
      <c r="H28">
        <f t="shared" si="5"/>
        <v>7520</v>
      </c>
      <c r="I28">
        <f t="shared" si="6"/>
        <v>0</v>
      </c>
      <c r="J28">
        <f t="shared" si="7"/>
        <v>1</v>
      </c>
      <c r="L28" s="50"/>
      <c r="M28" s="50"/>
      <c r="N28" s="51"/>
      <c r="O28" s="50"/>
      <c r="P28" s="50"/>
      <c r="Q28" s="50"/>
      <c r="R28" s="52"/>
    </row>
    <row r="29" spans="1:19" x14ac:dyDescent="0.15">
      <c r="A29" s="26" t="s">
        <v>181</v>
      </c>
      <c r="B29" s="49">
        <f>E$5*E29+G49</f>
        <v>3.1639344262234644E-2</v>
      </c>
      <c r="C29" s="78">
        <f t="shared" si="2"/>
        <v>0</v>
      </c>
      <c r="D29" s="67">
        <f t="shared" si="3"/>
        <v>3.1639344262234644E-2</v>
      </c>
      <c r="E29">
        <f>COUNTIF(tables_498010!C:C,input_498010!A29)-COUNTIF(Q:Q,A29)</f>
        <v>38</v>
      </c>
      <c r="F29" s="36">
        <f t="shared" si="8"/>
        <v>8.3261432269038534E-4</v>
      </c>
      <c r="G29">
        <f t="shared" si="4"/>
        <v>3628399.9999930691</v>
      </c>
      <c r="H29">
        <f t="shared" si="5"/>
        <v>95484.210529999997</v>
      </c>
      <c r="I29">
        <f t="shared" si="6"/>
        <v>0.2105299999966519</v>
      </c>
      <c r="J29">
        <f t="shared" si="7"/>
        <v>4.7499168765302011</v>
      </c>
      <c r="L29" s="50"/>
      <c r="M29" s="50"/>
      <c r="N29" s="51"/>
      <c r="O29" s="50"/>
      <c r="P29" s="50"/>
      <c r="Q29" s="50"/>
      <c r="R29" s="52"/>
    </row>
    <row r="30" spans="1:19" x14ac:dyDescent="0.15">
      <c r="A30" s="26" t="s">
        <v>221</v>
      </c>
      <c r="B30" s="49">
        <f>0</f>
        <v>0</v>
      </c>
      <c r="C30" s="78">
        <f t="shared" si="2"/>
        <v>1E-3</v>
      </c>
      <c r="D30" s="67">
        <f t="shared" si="3"/>
        <v>-1E-3</v>
      </c>
      <c r="E30">
        <f>COUNTIF(tables_498010!C:C,input_498010!A30)-COUNTIF(Q:Q,A30)</f>
        <v>0</v>
      </c>
      <c r="F30" s="36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0"/>
      <c r="M30" s="50"/>
      <c r="N30" s="51"/>
      <c r="O30" s="50"/>
      <c r="P30" s="50"/>
      <c r="Q30" s="50"/>
      <c r="R30" s="52"/>
    </row>
    <row r="31" spans="1:19" x14ac:dyDescent="0.15">
      <c r="A31" s="26" t="s">
        <v>222</v>
      </c>
      <c r="B31" s="49">
        <v>0</v>
      </c>
      <c r="C31" s="78">
        <f t="shared" si="2"/>
        <v>9.0000000000000011E-3</v>
      </c>
      <c r="D31" s="67">
        <f t="shared" si="3"/>
        <v>-9.0000000000000011E-3</v>
      </c>
      <c r="E31">
        <f>COUNTIF(tables_498010!C:C,input_498010!A31)-COUNTIF(Q:Q,A31)</f>
        <v>0</v>
      </c>
      <c r="F31" s="36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0"/>
      <c r="M31" s="50"/>
      <c r="N31" s="51"/>
      <c r="O31" s="50"/>
      <c r="P31" s="50"/>
      <c r="Q31" s="50"/>
      <c r="R31" s="52"/>
    </row>
    <row r="32" spans="1:19" x14ac:dyDescent="0.15">
      <c r="A32" s="32" t="s">
        <v>43</v>
      </c>
      <c r="B32" s="33">
        <f>SUM(B17:B31)</f>
        <v>0.98999999999895472</v>
      </c>
      <c r="C32" s="34">
        <f>SUM(C19:C31)</f>
        <v>1.0000000000000002E-2</v>
      </c>
      <c r="D32" s="35">
        <f t="shared" si="3"/>
        <v>0.97999999999895471</v>
      </c>
      <c r="L32" s="50"/>
      <c r="M32" s="50"/>
      <c r="N32" s="50"/>
      <c r="O32" s="50"/>
      <c r="P32" s="50"/>
      <c r="Q32" s="50"/>
      <c r="R32" s="52"/>
    </row>
    <row r="34" spans="1:7" x14ac:dyDescent="0.15">
      <c r="E34" s="48">
        <v>1.3326473664807659E-2</v>
      </c>
      <c r="F34" s="48">
        <f ca="1">0.45-G41</f>
        <v>6.9833028248922346E-13</v>
      </c>
    </row>
    <row r="35" spans="1:7" x14ac:dyDescent="0.15">
      <c r="A35" t="s">
        <v>57</v>
      </c>
      <c r="E35">
        <v>9.0000000000000913E-3</v>
      </c>
      <c r="F35">
        <f ca="1">0.1-G42</f>
        <v>-1.918354364249808E-12</v>
      </c>
    </row>
    <row r="36" spans="1:7" x14ac:dyDescent="0.15">
      <c r="A36" s="25">
        <f>LCM(F5-I5,F6-I6)*1000*2*2*5</f>
        <v>114680000</v>
      </c>
    </row>
    <row r="38" spans="1:7" x14ac:dyDescent="0.15">
      <c r="A38" s="40" t="s">
        <v>60</v>
      </c>
    </row>
    <row r="39" spans="1:7" x14ac:dyDescent="0.15">
      <c r="A39" s="26" t="s">
        <v>44</v>
      </c>
      <c r="B39" t="s">
        <v>58</v>
      </c>
      <c r="C39" t="s">
        <v>82</v>
      </c>
      <c r="E39" t="s">
        <v>83</v>
      </c>
      <c r="F39" t="s">
        <v>2</v>
      </c>
      <c r="G39" t="s">
        <v>47</v>
      </c>
    </row>
    <row r="40" spans="1:7" x14ac:dyDescent="0.15">
      <c r="A40" s="26" t="s">
        <v>85</v>
      </c>
      <c r="B40">
        <f ca="1">SUMIF(tables_498010!C:C,input_498010!A40,tables_498010!O:O)</f>
        <v>27120600</v>
      </c>
      <c r="C40" s="47">
        <f t="shared" ref="C40:C46" ca="1" si="9">B40/B$47</f>
        <v>0.47244382537180107</v>
      </c>
      <c r="E40">
        <v>3</v>
      </c>
      <c r="F40">
        <f ca="1">SUMIF(tables_498010!J:J,input_498010!E40,tables_498010!O:O)</f>
        <v>51606000</v>
      </c>
      <c r="G40">
        <f ca="1">F40/A36</f>
        <v>0.45</v>
      </c>
    </row>
    <row r="41" spans="1:7" x14ac:dyDescent="0.15">
      <c r="A41" s="26" t="s">
        <v>86</v>
      </c>
      <c r="B41">
        <f ca="1">SUMIF(tables_498010!C:C,input_498010!A41,tables_498010!O:O)</f>
        <v>23680200.000079986</v>
      </c>
      <c r="C41" s="47">
        <f t="shared" ca="1" si="9"/>
        <v>0.41251168018432893</v>
      </c>
      <c r="E41">
        <v>4</v>
      </c>
      <c r="F41">
        <f ca="1">SUMIF(tables_498010!J:J,input_498010!E41,tables_498010!O:O)</f>
        <v>51605999.999919914</v>
      </c>
      <c r="G41">
        <f ca="1">F41/A36</f>
        <v>0.44999999999930168</v>
      </c>
    </row>
    <row r="42" spans="1:7" x14ac:dyDescent="0.15">
      <c r="A42" s="26" t="s">
        <v>88</v>
      </c>
      <c r="B42">
        <f ca="1">SUMIF(tables_498010!C:C,input_498010!A42,tables_498010!O:O)</f>
        <v>1895040</v>
      </c>
      <c r="C42" s="47">
        <f t="shared" ca="1" si="9"/>
        <v>3.3011804563047198E-2</v>
      </c>
      <c r="E42">
        <v>5</v>
      </c>
      <c r="F42">
        <f ca="1">SUMIF(tables_498010!J:J,input_498010!E42,tables_498010!O:O)</f>
        <v>11468000.000219997</v>
      </c>
      <c r="G42">
        <f ca="1">F42/A36</f>
        <v>0.10000000000191836</v>
      </c>
    </row>
    <row r="43" spans="1:7" x14ac:dyDescent="0.15">
      <c r="A43" s="26" t="s">
        <v>91</v>
      </c>
      <c r="B43">
        <f>SUMIF(tables_498010!C:C,input_498010!A43,tables_498010!O:O)</f>
        <v>0</v>
      </c>
      <c r="C43" s="47">
        <f t="shared" ca="1" si="9"/>
        <v>0</v>
      </c>
      <c r="F43" s="48"/>
    </row>
    <row r="44" spans="1:7" x14ac:dyDescent="0.15">
      <c r="A44" s="26" t="s">
        <v>87</v>
      </c>
      <c r="B44">
        <f ca="1">SUMIF(tables_498010!C:C,input_498010!A44,tables_498010!O:O)</f>
        <v>4498520</v>
      </c>
      <c r="C44" s="47">
        <f t="shared" ca="1" si="9"/>
        <v>7.8364711596039707E-2</v>
      </c>
      <c r="E44" t="s">
        <v>38</v>
      </c>
      <c r="F44" s="48"/>
    </row>
    <row r="45" spans="1:7" x14ac:dyDescent="0.15">
      <c r="A45" s="26" t="s">
        <v>89</v>
      </c>
      <c r="B45">
        <f ca="1">SUMIF(tables_498010!C:C,input_498010!A45,tables_498010!O:O)</f>
        <v>210560</v>
      </c>
      <c r="C45" s="47">
        <f t="shared" ca="1" si="9"/>
        <v>3.6679782847830219E-3</v>
      </c>
      <c r="E45" t="s">
        <v>186</v>
      </c>
      <c r="F45" s="48">
        <f ca="1">SUMIF(tables_498010!I:I,input_498010!E45,tables_498010!P:P)</f>
        <v>0.23901796302569434</v>
      </c>
    </row>
    <row r="46" spans="1:7" x14ac:dyDescent="0.15">
      <c r="A46" s="26" t="s">
        <v>90</v>
      </c>
      <c r="B46">
        <f>SUMIF(tables_498010!C:C,input_498010!A46,tables_498010!O:O)</f>
        <v>0</v>
      </c>
      <c r="C46" s="47">
        <f t="shared" ca="1" si="9"/>
        <v>0</v>
      </c>
      <c r="E46" t="s">
        <v>187</v>
      </c>
      <c r="F46" s="48">
        <f ca="1">SUMIF(tables_498010!I:I,input_498010!E46,tables_498010!P:P)</f>
        <v>0.18796323549139998</v>
      </c>
    </row>
    <row r="47" spans="1:7" x14ac:dyDescent="0.15">
      <c r="A47" s="32" t="s">
        <v>43</v>
      </c>
      <c r="B47">
        <f ca="1">SUM(B40:B46)</f>
        <v>57404920.000079989</v>
      </c>
      <c r="C47" s="48">
        <f ca="1">SUM(C40:C46)</f>
        <v>1</v>
      </c>
      <c r="E47" t="s">
        <v>188</v>
      </c>
      <c r="F47" s="48">
        <f ca="1">SUMIF(tables_498010!I:I,input_498010!E47,tables_498010!P:P)</f>
        <v>0.51301880148176104</v>
      </c>
    </row>
    <row r="48" spans="1:7" x14ac:dyDescent="0.15">
      <c r="E48" t="s">
        <v>189</v>
      </c>
      <c r="F48" s="48">
        <f ca="1">SUMIF(tables_498010!I:I,input_498010!E48,tables_498010!P:P)</f>
        <v>4.4171699742098232E-2</v>
      </c>
      <c r="G48" s="48">
        <f ca="1">0.05-F48-F49</f>
        <v>-1.1598430549319971E-12</v>
      </c>
    </row>
    <row r="49" spans="5:7" x14ac:dyDescent="0.15">
      <c r="E49" t="s">
        <v>229</v>
      </c>
      <c r="F49" s="48">
        <f ca="1">SUMIF(tables_498010!I:I,input_498010!E49,tables_498010!P:P)</f>
        <v>5.828300259061614E-3</v>
      </c>
      <c r="G49">
        <v>6.7213114753493968E-3</v>
      </c>
    </row>
  </sheetData>
  <phoneticPr fontId="16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351"/>
  <sheetViews>
    <sheetView showGridLines="0" zoomScale="75" zoomScaleNormal="75" zoomScalePageLayoutView="75" workbookViewId="0">
      <pane ySplit="1" topLeftCell="A303" activePane="bottomLeft" state="frozen"/>
      <selection activeCell="H276" sqref="H276"/>
      <selection pane="bottomLeft" activeCell="B346" sqref="B346:B351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68</v>
      </c>
      <c r="B1" s="15" t="s">
        <v>1</v>
      </c>
      <c r="C1" s="3" t="s">
        <v>19</v>
      </c>
      <c r="D1" s="3" t="s">
        <v>77</v>
      </c>
      <c r="E1" s="3" t="s">
        <v>170</v>
      </c>
      <c r="F1" s="3" t="s">
        <v>171</v>
      </c>
      <c r="G1" s="3" t="s">
        <v>84</v>
      </c>
      <c r="H1" s="3" t="s">
        <v>21</v>
      </c>
      <c r="I1" s="3" t="s">
        <v>22</v>
      </c>
      <c r="J1" s="3" t="s">
        <v>23</v>
      </c>
      <c r="K1" s="3" t="s">
        <v>36</v>
      </c>
      <c r="L1" s="3" t="s">
        <v>24</v>
      </c>
      <c r="M1" s="3" t="s">
        <v>25</v>
      </c>
      <c r="N1" s="3" t="s">
        <v>42</v>
      </c>
      <c r="O1" s="15" t="s">
        <v>2</v>
      </c>
      <c r="P1" s="3" t="s">
        <v>47</v>
      </c>
      <c r="Q1" s="15" t="s">
        <v>26</v>
      </c>
      <c r="R1" s="23" t="s">
        <v>5</v>
      </c>
      <c r="S1" s="23" t="s">
        <v>6</v>
      </c>
      <c r="T1" s="23" t="s">
        <v>7</v>
      </c>
      <c r="U1" s="23" t="s">
        <v>8</v>
      </c>
      <c r="V1" s="23" t="s">
        <v>9</v>
      </c>
    </row>
    <row r="2" spans="1:22" ht="21" customHeight="1" x14ac:dyDescent="0.15">
      <c r="A2" s="2" t="str">
        <f ca="1">input_498010!A$2</f>
        <v>498010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38">
        <f ca="1">IFERROR(VLOOKUP(B2,input_498010!L:R,7,FALSE),VLOOKUP(tables_498010!C2,input_498010!A:H,8,FALSE))</f>
        <v>1119960</v>
      </c>
      <c r="P2" s="39">
        <f t="shared" ref="P2:P65" ca="1" si="1">O2/SUM(O:O)</f>
        <v>9.7659574467966175E-3</v>
      </c>
      <c r="Q2" s="24">
        <v>1</v>
      </c>
      <c r="R2" s="24">
        <v>0</v>
      </c>
      <c r="S2" s="24">
        <v>0</v>
      </c>
      <c r="T2" s="24">
        <v>0</v>
      </c>
      <c r="U2" s="24">
        <v>0</v>
      </c>
      <c r="V2" s="24">
        <v>1</v>
      </c>
    </row>
    <row r="3" spans="1:22" ht="21" customHeight="1" x14ac:dyDescent="0.15">
      <c r="A3" s="2" t="str">
        <f ca="1">input_498010!A$2</f>
        <v>498010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38">
        <f ca="1">IFERROR(VLOOKUP(B3,input_498010!L:R,7,FALSE),VLOOKUP(tables_498010!C3,input_498010!A:H,8,FALSE))</f>
        <v>230133.99999000001</v>
      </c>
      <c r="P3" s="39">
        <f t="shared" ca="1" si="1"/>
        <v>2.0067492151178909E-3</v>
      </c>
      <c r="Q3" s="24">
        <v>1</v>
      </c>
      <c r="R3" s="24">
        <v>0</v>
      </c>
      <c r="S3" s="24">
        <v>0</v>
      </c>
      <c r="T3" s="24">
        <v>0</v>
      </c>
      <c r="U3" s="24">
        <v>0</v>
      </c>
      <c r="V3" s="24">
        <v>1</v>
      </c>
    </row>
    <row r="4" spans="1:22" ht="21" customHeight="1" x14ac:dyDescent="0.15">
      <c r="A4" s="2" t="str">
        <f ca="1">input_498010!A$2</f>
        <v>498010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38">
        <f ca="1">IFERROR(VLOOKUP(B4,input_498010!L:R,7,FALSE),VLOOKUP(tables_498010!C4,input_498010!A:H,8,FALSE))</f>
        <v>1119960</v>
      </c>
      <c r="P4" s="39">
        <f t="shared" ca="1" si="1"/>
        <v>9.7659574467966175E-3</v>
      </c>
      <c r="Q4" s="24">
        <v>1</v>
      </c>
      <c r="R4" s="24">
        <v>0</v>
      </c>
      <c r="S4" s="24">
        <v>0</v>
      </c>
      <c r="T4" s="24">
        <v>0</v>
      </c>
      <c r="U4" s="24">
        <v>0</v>
      </c>
      <c r="V4" s="24">
        <v>1</v>
      </c>
    </row>
    <row r="5" spans="1:22" ht="21" customHeight="1" x14ac:dyDescent="0.15">
      <c r="A5" s="2" t="str">
        <f ca="1">input_498010!A$2</f>
        <v>498010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38">
        <f ca="1">IFERROR(VLOOKUP(B5,input_498010!L:R,7,FALSE),VLOOKUP(tables_498010!C5,input_498010!A:H,8,FALSE))</f>
        <v>230133.99999000001</v>
      </c>
      <c r="P5" s="39">
        <f t="shared" ca="1" si="1"/>
        <v>2.0067492151178909E-3</v>
      </c>
      <c r="Q5" s="24">
        <v>1</v>
      </c>
      <c r="R5" s="24">
        <v>0</v>
      </c>
      <c r="S5" s="24">
        <v>0</v>
      </c>
      <c r="T5" s="24">
        <v>0</v>
      </c>
      <c r="U5" s="24">
        <v>0</v>
      </c>
      <c r="V5" s="24">
        <v>1</v>
      </c>
    </row>
    <row r="6" spans="1:22" ht="21" customHeight="1" x14ac:dyDescent="0.15">
      <c r="A6" s="2" t="str">
        <f ca="1">input_498010!A$2</f>
        <v>498010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38">
        <f ca="1">IFERROR(VLOOKUP(B6,input_498010!L:R,7,FALSE),VLOOKUP(tables_498010!C6,input_498010!A:H,8,FALSE))</f>
        <v>1119960</v>
      </c>
      <c r="P6" s="39">
        <f t="shared" ca="1" si="1"/>
        <v>9.7659574467966175E-3</v>
      </c>
      <c r="Q6" s="24">
        <v>1</v>
      </c>
      <c r="R6" s="24">
        <v>0</v>
      </c>
      <c r="S6" s="24">
        <v>0</v>
      </c>
      <c r="T6" s="24">
        <v>0</v>
      </c>
      <c r="U6" s="24">
        <v>0</v>
      </c>
      <c r="V6" s="24">
        <v>1</v>
      </c>
    </row>
    <row r="7" spans="1:22" ht="21" customHeight="1" x14ac:dyDescent="0.15">
      <c r="A7" s="2" t="str">
        <f ca="1">input_498010!A$2</f>
        <v>498010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38">
        <f ca="1">IFERROR(VLOOKUP(B7,input_498010!L:R,7,FALSE),VLOOKUP(tables_498010!C7,input_498010!A:H,8,FALSE))</f>
        <v>230133.99999000001</v>
      </c>
      <c r="P7" s="39">
        <f t="shared" ca="1" si="1"/>
        <v>2.0067492151178909E-3</v>
      </c>
      <c r="Q7" s="24">
        <v>1</v>
      </c>
      <c r="R7" s="24">
        <v>0</v>
      </c>
      <c r="S7" s="24">
        <v>0</v>
      </c>
      <c r="T7" s="24">
        <v>0</v>
      </c>
      <c r="U7" s="24">
        <v>0</v>
      </c>
      <c r="V7" s="24">
        <v>1</v>
      </c>
    </row>
    <row r="8" spans="1:22" ht="21" customHeight="1" x14ac:dyDescent="0.15">
      <c r="A8" s="2" t="str">
        <f ca="1">input_498010!A$2</f>
        <v>498010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38">
        <f ca="1">IFERROR(VLOOKUP(B8,input_498010!L:R,7,FALSE),VLOOKUP(tables_498010!C8,input_498010!A:H,8,FALSE))</f>
        <v>1119960</v>
      </c>
      <c r="P8" s="39">
        <f t="shared" ca="1" si="1"/>
        <v>9.7659574467966175E-3</v>
      </c>
      <c r="Q8" s="24">
        <v>1</v>
      </c>
      <c r="R8" s="24">
        <v>0</v>
      </c>
      <c r="S8" s="24">
        <v>0</v>
      </c>
      <c r="T8" s="24">
        <v>0</v>
      </c>
      <c r="U8" s="24">
        <v>0</v>
      </c>
      <c r="V8" s="24">
        <v>1</v>
      </c>
    </row>
    <row r="9" spans="1:22" ht="21" customHeight="1" x14ac:dyDescent="0.15">
      <c r="A9" s="2" t="str">
        <f ca="1">input_498010!A$2</f>
        <v>498010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38">
        <f ca="1">IFERROR(VLOOKUP(B9,input_498010!L:R,7,FALSE),VLOOKUP(tables_498010!C9,input_498010!A:H,8,FALSE))</f>
        <v>230133.99999000001</v>
      </c>
      <c r="P9" s="39">
        <f t="shared" ca="1" si="1"/>
        <v>2.0067492151178909E-3</v>
      </c>
      <c r="Q9" s="24">
        <v>1</v>
      </c>
      <c r="R9" s="24">
        <v>0</v>
      </c>
      <c r="S9" s="24">
        <v>0</v>
      </c>
      <c r="T9" s="24">
        <v>0</v>
      </c>
      <c r="U9" s="24">
        <v>0</v>
      </c>
      <c r="V9" s="24">
        <v>1</v>
      </c>
    </row>
    <row r="10" spans="1:22" ht="21" customHeight="1" x14ac:dyDescent="0.15">
      <c r="A10" s="2" t="str">
        <f ca="1">input_498010!A$2</f>
        <v>498010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38">
        <f ca="1">IFERROR(VLOOKUP(B10,input_498010!L:R,7,FALSE),VLOOKUP(tables_498010!C10,input_498010!A:H,8,FALSE))</f>
        <v>1119960</v>
      </c>
      <c r="P10" s="39">
        <f t="shared" ca="1" si="1"/>
        <v>9.7659574467966175E-3</v>
      </c>
      <c r="Q10" s="24">
        <v>1</v>
      </c>
      <c r="R10" s="24">
        <v>0</v>
      </c>
      <c r="S10" s="24">
        <v>0</v>
      </c>
      <c r="T10" s="24">
        <v>0</v>
      </c>
      <c r="U10" s="24">
        <v>0</v>
      </c>
      <c r="V10" s="24">
        <v>1</v>
      </c>
    </row>
    <row r="11" spans="1:22" ht="21" customHeight="1" x14ac:dyDescent="0.15">
      <c r="A11" s="2" t="str">
        <f ca="1">input_498010!A$2</f>
        <v>498010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38">
        <f ca="1">IFERROR(VLOOKUP(B11,input_498010!L:R,7,FALSE),VLOOKUP(tables_498010!C11,input_498010!A:H,8,FALSE))</f>
        <v>230133.99999000001</v>
      </c>
      <c r="P11" s="39">
        <f t="shared" ca="1" si="1"/>
        <v>2.0067492151178909E-3</v>
      </c>
      <c r="Q11" s="24">
        <v>1</v>
      </c>
      <c r="R11" s="24">
        <v>0</v>
      </c>
      <c r="S11" s="24">
        <v>0</v>
      </c>
      <c r="T11" s="24">
        <v>0</v>
      </c>
      <c r="U11" s="24">
        <v>0</v>
      </c>
      <c r="V11" s="24">
        <v>1</v>
      </c>
    </row>
    <row r="12" spans="1:22" ht="21" customHeight="1" x14ac:dyDescent="0.15">
      <c r="A12" s="2" t="str">
        <f ca="1">input_498010!A$2</f>
        <v>498010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38">
        <f ca="1">IFERROR(VLOOKUP(B12,input_498010!L:R,7,FALSE),VLOOKUP(tables_498010!C12,input_498010!A:H,8,FALSE))</f>
        <v>1119960</v>
      </c>
      <c r="P12" s="39">
        <f t="shared" ca="1" si="1"/>
        <v>9.7659574467966175E-3</v>
      </c>
      <c r="Q12" s="24">
        <v>1</v>
      </c>
      <c r="R12" s="24">
        <v>0</v>
      </c>
      <c r="S12" s="24">
        <v>0</v>
      </c>
      <c r="T12" s="24">
        <v>0</v>
      </c>
      <c r="U12" s="24">
        <v>0</v>
      </c>
      <c r="V12" s="24">
        <v>1</v>
      </c>
    </row>
    <row r="13" spans="1:22" ht="21" customHeight="1" x14ac:dyDescent="0.15">
      <c r="A13" s="2" t="str">
        <f ca="1">input_498010!A$2</f>
        <v>498010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38">
        <f ca="1">IFERROR(VLOOKUP(B13,input_498010!L:R,7,FALSE),VLOOKUP(tables_498010!C13,input_498010!A:H,8,FALSE))</f>
        <v>230133.99999000001</v>
      </c>
      <c r="P13" s="39">
        <f t="shared" ca="1" si="1"/>
        <v>2.0067492151178909E-3</v>
      </c>
      <c r="Q13" s="24">
        <v>1</v>
      </c>
      <c r="R13" s="24">
        <v>0</v>
      </c>
      <c r="S13" s="24">
        <v>0</v>
      </c>
      <c r="T13" s="24">
        <v>0</v>
      </c>
      <c r="U13" s="24">
        <v>0</v>
      </c>
      <c r="V13" s="24">
        <v>1</v>
      </c>
    </row>
    <row r="14" spans="1:22" ht="21" customHeight="1" x14ac:dyDescent="0.15">
      <c r="A14" s="2" t="str">
        <f ca="1">input_498010!A$2</f>
        <v>498010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38">
        <f ca="1">IFERROR(VLOOKUP(B14,input_498010!L:R,7,FALSE),VLOOKUP(tables_498010!C14,input_498010!A:H,8,FALSE))</f>
        <v>1119960</v>
      </c>
      <c r="P14" s="39">
        <f t="shared" ca="1" si="1"/>
        <v>9.7659574467966175E-3</v>
      </c>
      <c r="Q14" s="24">
        <v>1</v>
      </c>
      <c r="R14" s="24">
        <v>0</v>
      </c>
      <c r="S14" s="24">
        <v>0</v>
      </c>
      <c r="T14" s="24">
        <v>0</v>
      </c>
      <c r="U14" s="24">
        <v>0</v>
      </c>
      <c r="V14" s="24">
        <v>1</v>
      </c>
    </row>
    <row r="15" spans="1:22" ht="21" customHeight="1" x14ac:dyDescent="0.15">
      <c r="A15" s="2" t="str">
        <f ca="1">input_498010!A$2</f>
        <v>498010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38">
        <f ca="1">IFERROR(VLOOKUP(B15,input_498010!L:R,7,FALSE),VLOOKUP(tables_498010!C15,input_498010!A:H,8,FALSE))</f>
        <v>230133.99999000001</v>
      </c>
      <c r="P15" s="39">
        <f t="shared" ca="1" si="1"/>
        <v>2.0067492151178909E-3</v>
      </c>
      <c r="Q15" s="24">
        <v>1</v>
      </c>
      <c r="R15" s="24">
        <v>0</v>
      </c>
      <c r="S15" s="24">
        <v>0</v>
      </c>
      <c r="T15" s="24">
        <v>0</v>
      </c>
      <c r="U15" s="24">
        <v>0</v>
      </c>
      <c r="V15" s="24">
        <v>1</v>
      </c>
    </row>
    <row r="16" spans="1:22" ht="21" customHeight="1" x14ac:dyDescent="0.15">
      <c r="A16" s="2" t="str">
        <f ca="1">input_498010!A$2</f>
        <v>498010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38">
        <f ca="1">IFERROR(VLOOKUP(B16,input_498010!L:R,7,FALSE),VLOOKUP(tables_498010!C16,input_498010!A:H,8,FALSE))</f>
        <v>1119960</v>
      </c>
      <c r="P16" s="39">
        <f t="shared" ca="1" si="1"/>
        <v>9.7659574467966175E-3</v>
      </c>
      <c r="Q16" s="24">
        <v>1</v>
      </c>
      <c r="R16" s="24">
        <v>0</v>
      </c>
      <c r="S16" s="24">
        <v>0</v>
      </c>
      <c r="T16" s="24">
        <v>0</v>
      </c>
      <c r="U16" s="24">
        <v>0</v>
      </c>
      <c r="V16" s="24">
        <v>1</v>
      </c>
    </row>
    <row r="17" spans="1:22" ht="21" customHeight="1" x14ac:dyDescent="0.15">
      <c r="A17" s="2" t="str">
        <f ca="1">input_498010!A$2</f>
        <v>498010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38">
        <f ca="1">IFERROR(VLOOKUP(B17,input_498010!L:R,7,FALSE),VLOOKUP(tables_498010!C17,input_498010!A:H,8,FALSE))</f>
        <v>230133.99999000001</v>
      </c>
      <c r="P17" s="39">
        <f t="shared" ca="1" si="1"/>
        <v>2.0067492151178909E-3</v>
      </c>
      <c r="Q17" s="24">
        <v>1</v>
      </c>
      <c r="R17" s="24">
        <v>0</v>
      </c>
      <c r="S17" s="24">
        <v>0</v>
      </c>
      <c r="T17" s="24">
        <v>0</v>
      </c>
      <c r="U17" s="24">
        <v>0</v>
      </c>
      <c r="V17" s="24">
        <v>1</v>
      </c>
    </row>
    <row r="18" spans="1:22" ht="21" customHeight="1" x14ac:dyDescent="0.15">
      <c r="A18" s="2" t="str">
        <f ca="1">input_498010!A$2</f>
        <v>498010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38">
        <f ca="1">IFERROR(VLOOKUP(B18,input_498010!L:R,7,FALSE),VLOOKUP(tables_498010!C18,input_498010!A:H,8,FALSE))</f>
        <v>1119960</v>
      </c>
      <c r="P18" s="39">
        <f t="shared" ca="1" si="1"/>
        <v>9.7659574467966175E-3</v>
      </c>
      <c r="Q18" s="24">
        <v>1</v>
      </c>
      <c r="R18" s="24">
        <v>0</v>
      </c>
      <c r="S18" s="24">
        <v>0</v>
      </c>
      <c r="T18" s="24">
        <v>0</v>
      </c>
      <c r="U18" s="24">
        <v>0</v>
      </c>
      <c r="V18" s="24">
        <v>1</v>
      </c>
    </row>
    <row r="19" spans="1:22" s="12" customFormat="1" ht="21" customHeight="1" thickBot="1" x14ac:dyDescent="0.2">
      <c r="A19" s="2" t="str">
        <f ca="1">input_498010!A$2</f>
        <v>498010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38">
        <f ca="1">IFERROR(VLOOKUP(B19,input_498010!L:R,7,FALSE),VLOOKUP(tables_498010!C19,input_498010!A:H,8,FALSE))</f>
        <v>230133.99999000001</v>
      </c>
      <c r="P19" s="39">
        <f t="shared" ca="1" si="1"/>
        <v>2.0067492151178909E-3</v>
      </c>
      <c r="Q19" s="24">
        <v>1</v>
      </c>
      <c r="R19" s="24">
        <v>0</v>
      </c>
      <c r="S19" s="24">
        <v>0</v>
      </c>
      <c r="T19" s="24">
        <v>0</v>
      </c>
      <c r="U19" s="24">
        <v>0</v>
      </c>
      <c r="V19" s="24">
        <v>1</v>
      </c>
    </row>
    <row r="20" spans="1:22" ht="21" customHeight="1" x14ac:dyDescent="0.15">
      <c r="A20" s="2" t="str">
        <f ca="1">input_498010!A$2</f>
        <v>498010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38">
        <f ca="1">IFERROR(VLOOKUP(B20,input_498010!L:R,7,FALSE),VLOOKUP(tables_498010!C20,input_498010!A:H,8,FALSE))</f>
        <v>1119960</v>
      </c>
      <c r="P20" s="39">
        <f t="shared" ca="1" si="1"/>
        <v>9.7659574467966175E-3</v>
      </c>
      <c r="Q20" s="24">
        <v>1</v>
      </c>
      <c r="R20" s="24">
        <v>0</v>
      </c>
      <c r="S20" s="24">
        <v>0</v>
      </c>
      <c r="T20" s="24">
        <v>0</v>
      </c>
      <c r="U20" s="24">
        <v>0</v>
      </c>
      <c r="V20" s="24">
        <v>1</v>
      </c>
    </row>
    <row r="21" spans="1:22" ht="21" customHeight="1" x14ac:dyDescent="0.15">
      <c r="A21" s="2" t="str">
        <f ca="1">input_498010!A$2</f>
        <v>498010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38">
        <f ca="1">IFERROR(VLOOKUP(B21,input_498010!L:R,7,FALSE),VLOOKUP(tables_498010!C21,input_498010!A:H,8,FALSE))</f>
        <v>230133.99999000001</v>
      </c>
      <c r="P21" s="39">
        <f t="shared" ca="1" si="1"/>
        <v>2.0067492151178909E-3</v>
      </c>
      <c r="Q21" s="24">
        <v>1</v>
      </c>
      <c r="R21" s="24">
        <v>0</v>
      </c>
      <c r="S21" s="24">
        <v>0</v>
      </c>
      <c r="T21" s="24">
        <v>0</v>
      </c>
      <c r="U21" s="24">
        <v>0</v>
      </c>
      <c r="V21" s="24">
        <v>1</v>
      </c>
    </row>
    <row r="22" spans="1:22" ht="21" customHeight="1" x14ac:dyDescent="0.15">
      <c r="A22" s="2" t="str">
        <f ca="1">input_498010!A$2</f>
        <v>498010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38">
        <f ca="1">IFERROR(VLOOKUP(B22,input_498010!L:R,7,FALSE),VLOOKUP(tables_498010!C22,input_498010!A:H,8,FALSE))</f>
        <v>1119960</v>
      </c>
      <c r="P22" s="39">
        <f t="shared" ca="1" si="1"/>
        <v>9.7659574467966175E-3</v>
      </c>
      <c r="Q22" s="24">
        <v>1</v>
      </c>
      <c r="R22" s="24">
        <v>0</v>
      </c>
      <c r="S22" s="24">
        <v>0</v>
      </c>
      <c r="T22" s="24">
        <v>0</v>
      </c>
      <c r="U22" s="24">
        <v>0</v>
      </c>
      <c r="V22" s="24">
        <v>1</v>
      </c>
    </row>
    <row r="23" spans="1:22" ht="21" customHeight="1" x14ac:dyDescent="0.15">
      <c r="A23" s="2" t="str">
        <f ca="1">input_498010!A$2</f>
        <v>498010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38">
        <f ca="1">IFERROR(VLOOKUP(B23,input_498010!L:R,7,FALSE),VLOOKUP(tables_498010!C23,input_498010!A:H,8,FALSE))</f>
        <v>230133.99999000001</v>
      </c>
      <c r="P23" s="39">
        <f t="shared" ca="1" si="1"/>
        <v>2.0067492151178909E-3</v>
      </c>
      <c r="Q23" s="24">
        <v>1</v>
      </c>
      <c r="R23" s="24">
        <v>0</v>
      </c>
      <c r="S23" s="24">
        <v>0</v>
      </c>
      <c r="T23" s="24">
        <v>0</v>
      </c>
      <c r="U23" s="24">
        <v>0</v>
      </c>
      <c r="V23" s="24">
        <v>1</v>
      </c>
    </row>
    <row r="24" spans="1:22" ht="21" customHeight="1" x14ac:dyDescent="0.15">
      <c r="A24" s="2" t="str">
        <f ca="1">input_498010!A$2</f>
        <v>498010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38">
        <f ca="1">IFERROR(VLOOKUP(B24,input_498010!L:R,7,FALSE),VLOOKUP(tables_498010!C24,input_498010!A:H,8,FALSE))</f>
        <v>1119960</v>
      </c>
      <c r="P24" s="39">
        <f t="shared" ca="1" si="1"/>
        <v>9.7659574467966175E-3</v>
      </c>
      <c r="Q24" s="24">
        <v>1</v>
      </c>
      <c r="R24" s="24">
        <v>0</v>
      </c>
      <c r="S24" s="24">
        <v>0</v>
      </c>
      <c r="T24" s="24">
        <v>0</v>
      </c>
      <c r="U24" s="24">
        <v>0</v>
      </c>
      <c r="V24" s="24">
        <v>1</v>
      </c>
    </row>
    <row r="25" spans="1:22" ht="21" customHeight="1" x14ac:dyDescent="0.15">
      <c r="A25" s="2" t="str">
        <f ca="1">input_498010!A$2</f>
        <v>498010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38">
        <f ca="1">IFERROR(VLOOKUP(B25,input_498010!L:R,7,FALSE),VLOOKUP(tables_498010!C25,input_498010!A:H,8,FALSE))</f>
        <v>230133.99999000001</v>
      </c>
      <c r="P25" s="39">
        <f t="shared" ca="1" si="1"/>
        <v>2.0067492151178909E-3</v>
      </c>
      <c r="Q25" s="24">
        <v>1</v>
      </c>
      <c r="R25" s="24">
        <v>0</v>
      </c>
      <c r="S25" s="24">
        <v>0</v>
      </c>
      <c r="T25" s="24">
        <v>0</v>
      </c>
      <c r="U25" s="24">
        <v>0</v>
      </c>
      <c r="V25" s="24">
        <v>1</v>
      </c>
    </row>
    <row r="26" spans="1:22" ht="21" customHeight="1" x14ac:dyDescent="0.15">
      <c r="A26" s="2" t="str">
        <f ca="1">input_498010!A$2</f>
        <v>498010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38">
        <f ca="1">IFERROR(VLOOKUP(B26,input_498010!L:R,7,FALSE),VLOOKUP(tables_498010!C26,input_498010!A:H,8,FALSE))</f>
        <v>1119960</v>
      </c>
      <c r="P26" s="39">
        <f t="shared" ca="1" si="1"/>
        <v>9.7659574467966175E-3</v>
      </c>
      <c r="Q26" s="24">
        <v>1</v>
      </c>
      <c r="R26" s="24">
        <v>0</v>
      </c>
      <c r="S26" s="24">
        <v>0</v>
      </c>
      <c r="T26" s="24">
        <v>0</v>
      </c>
      <c r="U26" s="24">
        <v>0</v>
      </c>
      <c r="V26" s="24">
        <v>1</v>
      </c>
    </row>
    <row r="27" spans="1:22" ht="21" customHeight="1" x14ac:dyDescent="0.15">
      <c r="A27" s="2" t="str">
        <f ca="1">input_498010!A$2</f>
        <v>498010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38">
        <f ca="1">IFERROR(VLOOKUP(B27,input_498010!L:R,7,FALSE),VLOOKUP(tables_498010!C27,input_498010!A:H,8,FALSE))</f>
        <v>230133.99999000001</v>
      </c>
      <c r="P27" s="39">
        <f t="shared" ca="1" si="1"/>
        <v>2.0067492151178909E-3</v>
      </c>
      <c r="Q27" s="24">
        <v>1</v>
      </c>
      <c r="R27" s="24">
        <v>0</v>
      </c>
      <c r="S27" s="24">
        <v>0</v>
      </c>
      <c r="T27" s="24">
        <v>0</v>
      </c>
      <c r="U27" s="24">
        <v>0</v>
      </c>
      <c r="V27" s="24">
        <v>1</v>
      </c>
    </row>
    <row r="28" spans="1:22" ht="21" customHeight="1" x14ac:dyDescent="0.15">
      <c r="A28" s="2" t="str">
        <f ca="1">input_498010!A$2</f>
        <v>498010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38">
        <f ca="1">IFERROR(VLOOKUP(B28,input_498010!L:R,7,FALSE),VLOOKUP(tables_498010!C28,input_498010!A:H,8,FALSE))</f>
        <v>1119960</v>
      </c>
      <c r="P28" s="39">
        <f t="shared" ca="1" si="1"/>
        <v>9.7659574467966175E-3</v>
      </c>
      <c r="Q28" s="24">
        <v>1</v>
      </c>
      <c r="R28" s="24">
        <v>0</v>
      </c>
      <c r="S28" s="24">
        <v>0</v>
      </c>
      <c r="T28" s="24">
        <v>0</v>
      </c>
      <c r="U28" s="24">
        <v>0</v>
      </c>
      <c r="V28" s="24">
        <v>1</v>
      </c>
    </row>
    <row r="29" spans="1:22" ht="21" customHeight="1" x14ac:dyDescent="0.15">
      <c r="A29" s="2" t="str">
        <f ca="1">input_498010!A$2</f>
        <v>498010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38">
        <f ca="1">IFERROR(VLOOKUP(B29,input_498010!L:R,7,FALSE),VLOOKUP(tables_498010!C29,input_498010!A:H,8,FALSE))</f>
        <v>230133.99999000001</v>
      </c>
      <c r="P29" s="39">
        <f t="shared" ca="1" si="1"/>
        <v>2.0067492151178909E-3</v>
      </c>
      <c r="Q29" s="24">
        <v>1</v>
      </c>
      <c r="R29" s="24">
        <v>0</v>
      </c>
      <c r="S29" s="24">
        <v>0</v>
      </c>
      <c r="T29" s="24">
        <v>0</v>
      </c>
      <c r="U29" s="24">
        <v>0</v>
      </c>
      <c r="V29" s="24">
        <v>1</v>
      </c>
    </row>
    <row r="30" spans="1:22" ht="21" customHeight="1" x14ac:dyDescent="0.15">
      <c r="A30" s="2" t="str">
        <f ca="1">input_498010!A$2</f>
        <v>498010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38">
        <f ca="1">IFERROR(VLOOKUP(B30,input_498010!L:R,7,FALSE),VLOOKUP(tables_498010!C30,input_498010!A:H,8,FALSE))</f>
        <v>1119960</v>
      </c>
      <c r="P30" s="39">
        <f t="shared" ca="1" si="1"/>
        <v>9.7659574467966175E-3</v>
      </c>
      <c r="Q30" s="24">
        <v>1</v>
      </c>
      <c r="R30" s="24">
        <v>0</v>
      </c>
      <c r="S30" s="24">
        <v>0</v>
      </c>
      <c r="T30" s="24">
        <v>0</v>
      </c>
      <c r="U30" s="24">
        <v>0</v>
      </c>
      <c r="V30" s="24">
        <v>1</v>
      </c>
    </row>
    <row r="31" spans="1:22" ht="21" customHeight="1" x14ac:dyDescent="0.15">
      <c r="A31" s="2" t="str">
        <f ca="1">input_498010!A$2</f>
        <v>498010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38">
        <f ca="1">IFERROR(VLOOKUP(B31,input_498010!L:R,7,FALSE),VLOOKUP(tables_498010!C31,input_498010!A:H,8,FALSE))</f>
        <v>230133.99999000001</v>
      </c>
      <c r="P31" s="39">
        <f t="shared" ca="1" si="1"/>
        <v>2.0067492151178909E-3</v>
      </c>
      <c r="Q31" s="24">
        <v>1</v>
      </c>
      <c r="R31" s="24">
        <v>0</v>
      </c>
      <c r="S31" s="24">
        <v>0</v>
      </c>
      <c r="T31" s="24">
        <v>0</v>
      </c>
      <c r="U31" s="24">
        <v>0</v>
      </c>
      <c r="V31" s="24">
        <v>1</v>
      </c>
    </row>
    <row r="32" spans="1:22" ht="21" customHeight="1" x14ac:dyDescent="0.15">
      <c r="A32" s="2" t="str">
        <f ca="1">input_498010!A$2</f>
        <v>498010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38">
        <f ca="1">IFERROR(VLOOKUP(B32,input_498010!L:R,7,FALSE),VLOOKUP(tables_498010!C32,input_498010!A:H,8,FALSE))</f>
        <v>1119960</v>
      </c>
      <c r="P32" s="39">
        <f t="shared" ca="1" si="1"/>
        <v>9.7659574467966175E-3</v>
      </c>
      <c r="Q32" s="24">
        <v>1</v>
      </c>
      <c r="R32" s="24">
        <v>0</v>
      </c>
      <c r="S32" s="24">
        <v>0</v>
      </c>
      <c r="T32" s="24">
        <v>0</v>
      </c>
      <c r="U32" s="24">
        <v>0</v>
      </c>
      <c r="V32" s="24">
        <v>1</v>
      </c>
    </row>
    <row r="33" spans="1:22" ht="21" customHeight="1" x14ac:dyDescent="0.15">
      <c r="A33" s="2" t="str">
        <f ca="1">input_498010!A$2</f>
        <v>498010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38">
        <f ca="1">IFERROR(VLOOKUP(B33,input_498010!L:R,7,FALSE),VLOOKUP(tables_498010!C33,input_498010!A:H,8,FALSE))</f>
        <v>230133.99999000001</v>
      </c>
      <c r="P33" s="39">
        <f t="shared" ca="1" si="1"/>
        <v>2.0067492151178909E-3</v>
      </c>
      <c r="Q33" s="24">
        <v>1</v>
      </c>
      <c r="R33" s="24">
        <v>0</v>
      </c>
      <c r="S33" s="24">
        <v>0</v>
      </c>
      <c r="T33" s="24">
        <v>0</v>
      </c>
      <c r="U33" s="24">
        <v>0</v>
      </c>
      <c r="V33" s="24">
        <v>1</v>
      </c>
    </row>
    <row r="34" spans="1:22" ht="21" customHeight="1" x14ac:dyDescent="0.15">
      <c r="A34" s="2" t="str">
        <f ca="1">input_498010!A$2</f>
        <v>498010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38">
        <f ca="1">IFERROR(VLOOKUP(B34,input_498010!L:R,7,FALSE),VLOOKUP(tables_498010!C34,input_498010!A:H,8,FALSE))</f>
        <v>1119960</v>
      </c>
      <c r="P34" s="39">
        <f t="shared" ca="1" si="1"/>
        <v>9.7659574467966175E-3</v>
      </c>
      <c r="Q34" s="24">
        <v>1</v>
      </c>
      <c r="R34" s="24">
        <v>0</v>
      </c>
      <c r="S34" s="24">
        <v>0</v>
      </c>
      <c r="T34" s="24">
        <v>0</v>
      </c>
      <c r="U34" s="24">
        <v>0</v>
      </c>
      <c r="V34" s="24">
        <v>1</v>
      </c>
    </row>
    <row r="35" spans="1:22" ht="21" customHeight="1" x14ac:dyDescent="0.15">
      <c r="A35" s="2" t="str">
        <f ca="1">input_498010!A$2</f>
        <v>498010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38">
        <f ca="1">IFERROR(VLOOKUP(B35,input_498010!L:R,7,FALSE),VLOOKUP(tables_498010!C35,input_498010!A:H,8,FALSE))</f>
        <v>230133.99999000001</v>
      </c>
      <c r="P35" s="39">
        <f t="shared" ca="1" si="1"/>
        <v>2.0067492151178909E-3</v>
      </c>
      <c r="Q35" s="24">
        <v>1</v>
      </c>
      <c r="R35" s="24">
        <v>0</v>
      </c>
      <c r="S35" s="24">
        <v>0</v>
      </c>
      <c r="T35" s="24">
        <v>0</v>
      </c>
      <c r="U35" s="24">
        <v>0</v>
      </c>
      <c r="V35" s="24">
        <v>1</v>
      </c>
    </row>
    <row r="36" spans="1:22" ht="21" customHeight="1" x14ac:dyDescent="0.15">
      <c r="A36" s="2" t="str">
        <f ca="1">input_498010!A$2</f>
        <v>498010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38">
        <f ca="1">IFERROR(VLOOKUP(B36,input_498010!L:R,7,FALSE),VLOOKUP(tables_498010!C36,input_498010!A:H,8,FALSE))</f>
        <v>1119960</v>
      </c>
      <c r="P36" s="39">
        <f t="shared" ca="1" si="1"/>
        <v>9.7659574467966175E-3</v>
      </c>
      <c r="Q36" s="24">
        <v>1</v>
      </c>
      <c r="R36" s="24">
        <v>0</v>
      </c>
      <c r="S36" s="24">
        <v>0</v>
      </c>
      <c r="T36" s="24">
        <v>0</v>
      </c>
      <c r="U36" s="24">
        <v>0</v>
      </c>
      <c r="V36" s="24">
        <v>1</v>
      </c>
    </row>
    <row r="37" spans="1:22" ht="21" customHeight="1" x14ac:dyDescent="0.15">
      <c r="A37" s="2" t="str">
        <f ca="1">input_498010!A$2</f>
        <v>498010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38">
        <f ca="1">IFERROR(VLOOKUP(B37,input_498010!L:R,7,FALSE),VLOOKUP(tables_498010!C37,input_498010!A:H,8,FALSE))</f>
        <v>230133.99999000001</v>
      </c>
      <c r="P37" s="39">
        <f t="shared" ca="1" si="1"/>
        <v>2.0067492151178909E-3</v>
      </c>
      <c r="Q37" s="24">
        <v>1</v>
      </c>
      <c r="R37" s="24">
        <v>0</v>
      </c>
      <c r="S37" s="24">
        <v>0</v>
      </c>
      <c r="T37" s="24">
        <v>0</v>
      </c>
      <c r="U37" s="24">
        <v>0</v>
      </c>
      <c r="V37" s="24">
        <v>1</v>
      </c>
    </row>
    <row r="38" spans="1:22" ht="21" customHeight="1" x14ac:dyDescent="0.15">
      <c r="A38" s="2" t="str">
        <f ca="1">input_498010!A$2</f>
        <v>498010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38">
        <f ca="1">IFERROR(VLOOKUP(B38,input_498010!L:R,7,FALSE),VLOOKUP(tables_498010!C38,input_498010!A:H,8,FALSE))</f>
        <v>1119960</v>
      </c>
      <c r="P38" s="39">
        <f t="shared" ca="1" si="1"/>
        <v>9.7659574467966175E-3</v>
      </c>
      <c r="Q38" s="24">
        <v>1</v>
      </c>
      <c r="R38" s="24">
        <v>0</v>
      </c>
      <c r="S38" s="24">
        <v>0</v>
      </c>
      <c r="T38" s="24">
        <v>0</v>
      </c>
      <c r="U38" s="24">
        <v>0</v>
      </c>
      <c r="V38" s="24">
        <v>1</v>
      </c>
    </row>
    <row r="39" spans="1:22" ht="21" customHeight="1" x14ac:dyDescent="0.15">
      <c r="A39" s="2" t="str">
        <f ca="1">input_498010!A$2</f>
        <v>498010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38">
        <f ca="1">IFERROR(VLOOKUP(B39,input_498010!L:R,7,FALSE),VLOOKUP(tables_498010!C39,input_498010!A:H,8,FALSE))</f>
        <v>230133.99999000001</v>
      </c>
      <c r="P39" s="39">
        <f t="shared" ca="1" si="1"/>
        <v>2.0067492151178909E-3</v>
      </c>
      <c r="Q39" s="24">
        <v>1</v>
      </c>
      <c r="R39" s="24">
        <v>0</v>
      </c>
      <c r="S39" s="24">
        <v>0</v>
      </c>
      <c r="T39" s="24">
        <v>0</v>
      </c>
      <c r="U39" s="24">
        <v>0</v>
      </c>
      <c r="V39" s="24">
        <v>1</v>
      </c>
    </row>
    <row r="40" spans="1:22" ht="21" customHeight="1" x14ac:dyDescent="0.15">
      <c r="A40" s="2" t="str">
        <f ca="1">input_498010!A$2</f>
        <v>498010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38">
        <f ca="1">IFERROR(VLOOKUP(B40,input_498010!L:R,7,FALSE),VLOOKUP(tables_498010!C40,input_498010!A:H,8,FALSE))</f>
        <v>1119960</v>
      </c>
      <c r="P40" s="39">
        <f t="shared" ca="1" si="1"/>
        <v>9.7659574467966175E-3</v>
      </c>
      <c r="Q40" s="24">
        <v>1</v>
      </c>
      <c r="R40" s="24">
        <v>0</v>
      </c>
      <c r="S40" s="24">
        <v>0</v>
      </c>
      <c r="T40" s="24">
        <v>0</v>
      </c>
      <c r="U40" s="24">
        <v>0</v>
      </c>
      <c r="V40" s="24">
        <v>1</v>
      </c>
    </row>
    <row r="41" spans="1:22" ht="21" customHeight="1" x14ac:dyDescent="0.15">
      <c r="A41" s="2" t="str">
        <f ca="1">input_498010!A$2</f>
        <v>498010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38">
        <f ca="1">IFERROR(VLOOKUP(B41,input_498010!L:R,7,FALSE),VLOOKUP(tables_498010!C41,input_498010!A:H,8,FALSE))</f>
        <v>230133.99999000001</v>
      </c>
      <c r="P41" s="39">
        <f t="shared" ca="1" si="1"/>
        <v>2.0067492151178909E-3</v>
      </c>
      <c r="Q41" s="24">
        <v>1</v>
      </c>
      <c r="R41" s="24">
        <v>0</v>
      </c>
      <c r="S41" s="24">
        <v>0</v>
      </c>
      <c r="T41" s="24">
        <v>0</v>
      </c>
      <c r="U41" s="24">
        <v>0</v>
      </c>
      <c r="V41" s="24">
        <v>1</v>
      </c>
    </row>
    <row r="42" spans="1:22" ht="21" customHeight="1" x14ac:dyDescent="0.15">
      <c r="A42" s="2" t="str">
        <f ca="1">input_498010!A$2</f>
        <v>498010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38">
        <f ca="1">IFERROR(VLOOKUP(B42,input_498010!L:R,7,FALSE),VLOOKUP(tables_498010!C42,input_498010!A:H,8,FALSE))</f>
        <v>521550</v>
      </c>
      <c r="P42" s="39">
        <f t="shared" ca="1" si="1"/>
        <v>4.5478723404199931E-3</v>
      </c>
      <c r="Q42" s="24">
        <v>1</v>
      </c>
      <c r="R42" s="24">
        <v>0</v>
      </c>
      <c r="S42" s="24">
        <v>0</v>
      </c>
      <c r="T42" s="24">
        <v>0</v>
      </c>
      <c r="U42" s="24">
        <v>0</v>
      </c>
      <c r="V42" s="24">
        <v>1</v>
      </c>
    </row>
    <row r="43" spans="1:22" ht="21" customHeight="1" x14ac:dyDescent="0.15">
      <c r="A43" s="2" t="str">
        <f ca="1">input_498010!A$2</f>
        <v>498010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38">
        <f ca="1">IFERROR(VLOOKUP(B43,input_498010!L:R,7,FALSE),VLOOKUP(tables_498010!C43,input_498010!A:H,8,FALSE))</f>
        <v>521550</v>
      </c>
      <c r="P43" s="39">
        <f t="shared" ca="1" si="1"/>
        <v>4.5478723404199931E-3</v>
      </c>
      <c r="Q43" s="24">
        <v>1</v>
      </c>
      <c r="R43" s="24">
        <v>0</v>
      </c>
      <c r="S43" s="24">
        <v>0</v>
      </c>
      <c r="T43" s="24">
        <v>0</v>
      </c>
      <c r="U43" s="24">
        <v>0</v>
      </c>
      <c r="V43" s="24">
        <v>1</v>
      </c>
    </row>
    <row r="44" spans="1:22" ht="22" customHeight="1" x14ac:dyDescent="0.15">
      <c r="A44" s="2" t="str">
        <f ca="1">input_498010!A$2</f>
        <v>498010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38">
        <f ca="1">IFERROR(VLOOKUP(B44,input_498010!L:R,7,FALSE),VLOOKUP(tables_498010!C44,input_498010!A:H,8,FALSE))</f>
        <v>115900</v>
      </c>
      <c r="P44" s="39">
        <f t="shared" ca="1" si="1"/>
        <v>1.0106382978711096E-3</v>
      </c>
      <c r="Q44" s="24">
        <v>1</v>
      </c>
      <c r="R44" s="24">
        <v>0</v>
      </c>
      <c r="S44" s="24">
        <v>0</v>
      </c>
      <c r="T44" s="24">
        <v>0</v>
      </c>
      <c r="U44" s="24">
        <v>0</v>
      </c>
      <c r="V44" s="24">
        <v>1</v>
      </c>
    </row>
    <row r="45" spans="1:22" ht="21" customHeight="1" x14ac:dyDescent="0.15">
      <c r="A45" s="2" t="str">
        <f ca="1">input_498010!A$2</f>
        <v>498010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38">
        <f ca="1">IFERROR(VLOOKUP(B45,input_498010!L:R,7,FALSE),VLOOKUP(tables_498010!C45,input_498010!A:H,8,FALSE))</f>
        <v>521550</v>
      </c>
      <c r="P45" s="39">
        <f t="shared" ca="1" si="1"/>
        <v>4.5478723404199931E-3</v>
      </c>
      <c r="Q45" s="24">
        <v>1</v>
      </c>
      <c r="R45" s="24">
        <v>0</v>
      </c>
      <c r="S45" s="24">
        <v>0</v>
      </c>
      <c r="T45" s="24">
        <v>0</v>
      </c>
      <c r="U45" s="24">
        <v>0</v>
      </c>
      <c r="V45" s="24">
        <v>1</v>
      </c>
    </row>
    <row r="46" spans="1:22" ht="21" customHeight="1" x14ac:dyDescent="0.15">
      <c r="A46" s="2" t="str">
        <f ca="1">input_498010!A$2</f>
        <v>498010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38">
        <f ca="1">IFERROR(VLOOKUP(B46,input_498010!L:R,7,FALSE),VLOOKUP(tables_498010!C46,input_498010!A:H,8,FALSE))</f>
        <v>521550</v>
      </c>
      <c r="P46" s="39">
        <f t="shared" ca="1" si="1"/>
        <v>4.5478723404199931E-3</v>
      </c>
      <c r="Q46" s="24">
        <v>1</v>
      </c>
      <c r="R46" s="24">
        <v>0</v>
      </c>
      <c r="S46" s="24">
        <v>0</v>
      </c>
      <c r="T46" s="24">
        <v>0</v>
      </c>
      <c r="U46" s="24">
        <v>0</v>
      </c>
      <c r="V46" s="24">
        <v>1</v>
      </c>
    </row>
    <row r="47" spans="1:22" ht="21" customHeight="1" x14ac:dyDescent="0.15">
      <c r="A47" s="2" t="str">
        <f ca="1">input_498010!A$2</f>
        <v>498010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38">
        <f ca="1">IFERROR(VLOOKUP(B47,input_498010!L:R,7,FALSE),VLOOKUP(tables_498010!C47,input_498010!A:H,8,FALSE))</f>
        <v>115900</v>
      </c>
      <c r="P47" s="39">
        <f t="shared" ca="1" si="1"/>
        <v>1.0106382978711096E-3</v>
      </c>
      <c r="Q47" s="24">
        <v>1</v>
      </c>
      <c r="R47" s="24">
        <v>0</v>
      </c>
      <c r="S47" s="24">
        <v>0</v>
      </c>
      <c r="T47" s="24">
        <v>0</v>
      </c>
      <c r="U47" s="24">
        <v>0</v>
      </c>
      <c r="V47" s="24">
        <v>1</v>
      </c>
    </row>
    <row r="48" spans="1:22" ht="21" customHeight="1" x14ac:dyDescent="0.15">
      <c r="A48" s="2" t="str">
        <f ca="1">input_498010!A$2</f>
        <v>498010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38">
        <f ca="1">IFERROR(VLOOKUP(B48,input_498010!L:R,7,FALSE),VLOOKUP(tables_498010!C48,input_498010!A:H,8,FALSE))</f>
        <v>521550</v>
      </c>
      <c r="P48" s="39">
        <f t="shared" ca="1" si="1"/>
        <v>4.5478723404199931E-3</v>
      </c>
      <c r="Q48" s="24">
        <v>1</v>
      </c>
      <c r="R48" s="24">
        <v>0</v>
      </c>
      <c r="S48" s="24">
        <v>0</v>
      </c>
      <c r="T48" s="24">
        <v>0</v>
      </c>
      <c r="U48" s="24">
        <v>0</v>
      </c>
      <c r="V48" s="24">
        <v>1</v>
      </c>
    </row>
    <row r="49" spans="1:22" ht="21" customHeight="1" x14ac:dyDescent="0.15">
      <c r="A49" s="2" t="str">
        <f ca="1">input_498010!A$2</f>
        <v>498010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38">
        <f ca="1">IFERROR(VLOOKUP(B49,input_498010!L:R,7,FALSE),VLOOKUP(tables_498010!C49,input_498010!A:H,8,FALSE))</f>
        <v>521550</v>
      </c>
      <c r="P49" s="39">
        <f t="shared" ca="1" si="1"/>
        <v>4.5478723404199931E-3</v>
      </c>
      <c r="Q49" s="24">
        <v>1</v>
      </c>
      <c r="R49" s="24">
        <v>0</v>
      </c>
      <c r="S49" s="24">
        <v>0</v>
      </c>
      <c r="T49" s="24">
        <v>0</v>
      </c>
      <c r="U49" s="24">
        <v>0</v>
      </c>
      <c r="V49" s="24">
        <v>1</v>
      </c>
    </row>
    <row r="50" spans="1:22" ht="21" customHeight="1" x14ac:dyDescent="0.15">
      <c r="A50" s="2" t="str">
        <f ca="1">input_498010!A$2</f>
        <v>498010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38">
        <f ca="1">IFERROR(VLOOKUP(B50,input_498010!L:R,7,FALSE),VLOOKUP(tables_498010!C50,input_498010!A:H,8,FALSE))</f>
        <v>115900</v>
      </c>
      <c r="P50" s="39">
        <f t="shared" ca="1" si="1"/>
        <v>1.0106382978711096E-3</v>
      </c>
      <c r="Q50" s="24">
        <v>1</v>
      </c>
      <c r="R50" s="24">
        <v>0</v>
      </c>
      <c r="S50" s="24">
        <v>0</v>
      </c>
      <c r="T50" s="24">
        <v>0</v>
      </c>
      <c r="U50" s="24">
        <v>0</v>
      </c>
      <c r="V50" s="24">
        <v>1</v>
      </c>
    </row>
    <row r="51" spans="1:22" ht="21" customHeight="1" x14ac:dyDescent="0.15">
      <c r="A51" s="2" t="str">
        <f ca="1">input_498010!A$2</f>
        <v>498010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38">
        <f ca="1">IFERROR(VLOOKUP(B51,input_498010!L:R,7,FALSE),VLOOKUP(tables_498010!C51,input_498010!A:H,8,FALSE))</f>
        <v>521550</v>
      </c>
      <c r="P51" s="39">
        <f t="shared" ca="1" si="1"/>
        <v>4.5478723404199931E-3</v>
      </c>
      <c r="Q51" s="24">
        <v>1</v>
      </c>
      <c r="R51" s="24">
        <v>0</v>
      </c>
      <c r="S51" s="24">
        <v>0</v>
      </c>
      <c r="T51" s="24">
        <v>0</v>
      </c>
      <c r="U51" s="24">
        <v>0</v>
      </c>
      <c r="V51" s="24">
        <v>1</v>
      </c>
    </row>
    <row r="52" spans="1:22" ht="21" customHeight="1" x14ac:dyDescent="0.15">
      <c r="A52" s="2" t="str">
        <f ca="1">input_498010!A$2</f>
        <v>498010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38">
        <f ca="1">IFERROR(VLOOKUP(B52,input_498010!L:R,7,FALSE),VLOOKUP(tables_498010!C52,input_498010!A:H,8,FALSE))</f>
        <v>455388.46153999999</v>
      </c>
      <c r="P52" s="39">
        <f t="shared" ca="1" si="1"/>
        <v>3.9709492635110338E-3</v>
      </c>
      <c r="Q52" s="24">
        <v>1</v>
      </c>
      <c r="R52" s="24">
        <v>0</v>
      </c>
      <c r="S52" s="24">
        <v>0</v>
      </c>
      <c r="T52" s="24">
        <v>0</v>
      </c>
      <c r="U52" s="24">
        <v>0</v>
      </c>
      <c r="V52" s="24">
        <v>1</v>
      </c>
    </row>
    <row r="53" spans="1:22" ht="21" customHeight="1" x14ac:dyDescent="0.15">
      <c r="A53" s="2" t="str">
        <f ca="1">input_498010!A$2</f>
        <v>498010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38">
        <f ca="1">IFERROR(VLOOKUP(B53,input_498010!L:R,7,FALSE),VLOOKUP(tables_498010!C53,input_498010!A:H,8,FALSE))</f>
        <v>86510</v>
      </c>
      <c r="P53" s="39">
        <f t="shared" ca="1" si="1"/>
        <v>7.5435995814348308E-4</v>
      </c>
      <c r="Q53" s="24">
        <v>1</v>
      </c>
      <c r="R53" s="24">
        <v>0</v>
      </c>
      <c r="S53" s="24">
        <v>0</v>
      </c>
      <c r="T53" s="24">
        <v>0</v>
      </c>
      <c r="U53" s="24">
        <v>0</v>
      </c>
      <c r="V53" s="24">
        <v>1</v>
      </c>
    </row>
    <row r="54" spans="1:22" ht="21" customHeight="1" x14ac:dyDescent="0.15">
      <c r="A54" s="2" t="str">
        <f ca="1">input_498010!A$2</f>
        <v>498010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38">
        <f ca="1">IFERROR(VLOOKUP(B54,input_498010!L:R,7,FALSE),VLOOKUP(tables_498010!C54,input_498010!A:H,8,FALSE))</f>
        <v>521550</v>
      </c>
      <c r="P54" s="39">
        <f t="shared" ca="1" si="1"/>
        <v>4.5478723404199931E-3</v>
      </c>
      <c r="Q54" s="24">
        <v>1</v>
      </c>
      <c r="R54" s="24">
        <v>0</v>
      </c>
      <c r="S54" s="24">
        <v>0</v>
      </c>
      <c r="T54" s="24">
        <v>0</v>
      </c>
      <c r="U54" s="24">
        <v>0</v>
      </c>
      <c r="V54" s="24">
        <v>1</v>
      </c>
    </row>
    <row r="55" spans="1:22" ht="21" customHeight="1" x14ac:dyDescent="0.15">
      <c r="A55" s="2" t="str">
        <f ca="1">input_498010!A$2</f>
        <v>498010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38">
        <f ca="1">IFERROR(VLOOKUP(B55,input_498010!L:R,7,FALSE),VLOOKUP(tables_498010!C55,input_498010!A:H,8,FALSE))</f>
        <v>455388.46153999999</v>
      </c>
      <c r="P55" s="39">
        <f t="shared" ca="1" si="1"/>
        <v>3.9709492635110338E-3</v>
      </c>
      <c r="Q55" s="24">
        <v>1</v>
      </c>
      <c r="R55" s="24">
        <v>0</v>
      </c>
      <c r="S55" s="24">
        <v>0</v>
      </c>
      <c r="T55" s="24">
        <v>0</v>
      </c>
      <c r="U55" s="24">
        <v>0</v>
      </c>
      <c r="V55" s="24">
        <v>1</v>
      </c>
    </row>
    <row r="56" spans="1:22" ht="21" customHeight="1" x14ac:dyDescent="0.15">
      <c r="A56" s="2" t="str">
        <f ca="1">input_498010!A$2</f>
        <v>498010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38">
        <f ca="1">IFERROR(VLOOKUP(B56,input_498010!L:R,7,FALSE),VLOOKUP(tables_498010!C56,input_498010!A:H,8,FALSE))</f>
        <v>86510</v>
      </c>
      <c r="P56" s="39">
        <f t="shared" ca="1" si="1"/>
        <v>7.5435995814348308E-4</v>
      </c>
      <c r="Q56" s="24">
        <v>1</v>
      </c>
      <c r="R56" s="24">
        <v>0</v>
      </c>
      <c r="S56" s="24">
        <v>0</v>
      </c>
      <c r="T56" s="24">
        <v>0</v>
      </c>
      <c r="U56" s="24">
        <v>0</v>
      </c>
      <c r="V56" s="24">
        <v>1</v>
      </c>
    </row>
    <row r="57" spans="1:22" ht="21" customHeight="1" x14ac:dyDescent="0.15">
      <c r="A57" s="2" t="str">
        <f ca="1">input_498010!A$2</f>
        <v>498010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38">
        <f ca="1">IFERROR(VLOOKUP(B57,input_498010!L:R,7,FALSE),VLOOKUP(tables_498010!C57,input_498010!A:H,8,FALSE))</f>
        <v>521550</v>
      </c>
      <c r="P57" s="39">
        <f t="shared" ca="1" si="1"/>
        <v>4.5478723404199931E-3</v>
      </c>
      <c r="Q57" s="24">
        <v>1</v>
      </c>
      <c r="R57" s="24">
        <v>0</v>
      </c>
      <c r="S57" s="24">
        <v>0</v>
      </c>
      <c r="T57" s="24">
        <v>0</v>
      </c>
      <c r="U57" s="24">
        <v>0</v>
      </c>
      <c r="V57" s="24">
        <v>1</v>
      </c>
    </row>
    <row r="58" spans="1:22" ht="21" customHeight="1" x14ac:dyDescent="0.15">
      <c r="A58" s="2" t="str">
        <f ca="1">input_498010!A$2</f>
        <v>498010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38">
        <f ca="1">IFERROR(VLOOKUP(B58,input_498010!L:R,7,FALSE),VLOOKUP(tables_498010!C58,input_498010!A:H,8,FALSE))</f>
        <v>455388.46153999999</v>
      </c>
      <c r="P58" s="39">
        <f t="shared" ca="1" si="1"/>
        <v>3.9709492635110338E-3</v>
      </c>
      <c r="Q58" s="24">
        <v>1</v>
      </c>
      <c r="R58" s="24">
        <v>0</v>
      </c>
      <c r="S58" s="24">
        <v>0</v>
      </c>
      <c r="T58" s="24">
        <v>0</v>
      </c>
      <c r="U58" s="24">
        <v>0</v>
      </c>
      <c r="V58" s="24">
        <v>1</v>
      </c>
    </row>
    <row r="59" spans="1:22" ht="21" customHeight="1" x14ac:dyDescent="0.15">
      <c r="A59" s="2" t="str">
        <f ca="1">input_498010!A$2</f>
        <v>498010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38">
        <f ca="1">IFERROR(VLOOKUP(B59,input_498010!L:R,7,FALSE),VLOOKUP(tables_498010!C59,input_498010!A:H,8,FALSE))</f>
        <v>86510</v>
      </c>
      <c r="P59" s="39">
        <f t="shared" ca="1" si="1"/>
        <v>7.5435995814348308E-4</v>
      </c>
      <c r="Q59" s="24">
        <v>1</v>
      </c>
      <c r="R59" s="24">
        <v>0</v>
      </c>
      <c r="S59" s="24">
        <v>0</v>
      </c>
      <c r="T59" s="24">
        <v>0</v>
      </c>
      <c r="U59" s="24">
        <v>0</v>
      </c>
      <c r="V59" s="24">
        <v>1</v>
      </c>
    </row>
    <row r="60" spans="1:22" ht="21" customHeight="1" x14ac:dyDescent="0.15">
      <c r="A60" s="2" t="str">
        <f ca="1">input_498010!A$2</f>
        <v>498010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38">
        <f ca="1">IFERROR(VLOOKUP(B60,input_498010!L:R,7,FALSE),VLOOKUP(tables_498010!C60,input_498010!A:H,8,FALSE))</f>
        <v>521550</v>
      </c>
      <c r="P60" s="39">
        <f t="shared" ca="1" si="1"/>
        <v>4.5478723404199931E-3</v>
      </c>
      <c r="Q60" s="24">
        <v>1</v>
      </c>
      <c r="R60" s="24">
        <v>0</v>
      </c>
      <c r="S60" s="24">
        <v>0</v>
      </c>
      <c r="T60" s="24">
        <v>0</v>
      </c>
      <c r="U60" s="24">
        <v>0</v>
      </c>
      <c r="V60" s="24">
        <v>1</v>
      </c>
    </row>
    <row r="61" spans="1:22" ht="21" customHeight="1" x14ac:dyDescent="0.15">
      <c r="A61" s="2" t="str">
        <f ca="1">input_498010!A$2</f>
        <v>498010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38">
        <f ca="1">IFERROR(VLOOKUP(B61,input_498010!L:R,7,FALSE),VLOOKUP(tables_498010!C61,input_498010!A:H,8,FALSE))</f>
        <v>455388.46153999999</v>
      </c>
      <c r="P61" s="39">
        <f t="shared" ca="1" si="1"/>
        <v>3.9709492635110338E-3</v>
      </c>
      <c r="Q61" s="24">
        <v>1</v>
      </c>
      <c r="R61" s="24">
        <v>0</v>
      </c>
      <c r="S61" s="24">
        <v>0</v>
      </c>
      <c r="T61" s="24">
        <v>0</v>
      </c>
      <c r="U61" s="24">
        <v>0</v>
      </c>
      <c r="V61" s="24">
        <v>1</v>
      </c>
    </row>
    <row r="62" spans="1:22" ht="21" customHeight="1" x14ac:dyDescent="0.15">
      <c r="A62" s="2" t="str">
        <f ca="1">input_498010!A$2</f>
        <v>498010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38">
        <f ca="1">IFERROR(VLOOKUP(B62,input_498010!L:R,7,FALSE),VLOOKUP(tables_498010!C62,input_498010!A:H,8,FALSE))</f>
        <v>86510</v>
      </c>
      <c r="P62" s="39">
        <f t="shared" ca="1" si="1"/>
        <v>7.5435995814348308E-4</v>
      </c>
      <c r="Q62" s="24">
        <v>1</v>
      </c>
      <c r="R62" s="24">
        <v>0</v>
      </c>
      <c r="S62" s="24">
        <v>0</v>
      </c>
      <c r="T62" s="24">
        <v>0</v>
      </c>
      <c r="U62" s="24">
        <v>0</v>
      </c>
      <c r="V62" s="24">
        <v>1</v>
      </c>
    </row>
    <row r="63" spans="1:22" ht="21" customHeight="1" x14ac:dyDescent="0.15">
      <c r="A63" s="2" t="str">
        <f ca="1">input_498010!A$2</f>
        <v>498010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38">
        <f ca="1">IFERROR(VLOOKUP(B63,input_498010!L:R,7,FALSE),VLOOKUP(tables_498010!C63,input_498010!A:H,8,FALSE))</f>
        <v>521550</v>
      </c>
      <c r="P63" s="39">
        <f t="shared" ca="1" si="1"/>
        <v>4.5478723404199931E-3</v>
      </c>
      <c r="Q63" s="24">
        <v>1</v>
      </c>
      <c r="R63" s="24">
        <v>0</v>
      </c>
      <c r="S63" s="24">
        <v>0</v>
      </c>
      <c r="T63" s="24">
        <v>0</v>
      </c>
      <c r="U63" s="24">
        <v>0</v>
      </c>
      <c r="V63" s="24">
        <v>1</v>
      </c>
    </row>
    <row r="64" spans="1:22" ht="21" customHeight="1" x14ac:dyDescent="0.15">
      <c r="A64" s="2" t="str">
        <f ca="1">input_498010!A$2</f>
        <v>498010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38">
        <f ca="1">IFERROR(VLOOKUP(B64,input_498010!L:R,7,FALSE),VLOOKUP(tables_498010!C64,input_498010!A:H,8,FALSE))</f>
        <v>455388.46153999999</v>
      </c>
      <c r="P64" s="39">
        <f t="shared" ca="1" si="1"/>
        <v>3.9709492635110338E-3</v>
      </c>
      <c r="Q64" s="24">
        <v>1</v>
      </c>
      <c r="R64" s="24">
        <v>0</v>
      </c>
      <c r="S64" s="24">
        <v>0</v>
      </c>
      <c r="T64" s="24">
        <v>0</v>
      </c>
      <c r="U64" s="24">
        <v>0</v>
      </c>
      <c r="V64" s="24">
        <v>1</v>
      </c>
    </row>
    <row r="65" spans="1:22" ht="21" customHeight="1" x14ac:dyDescent="0.15">
      <c r="A65" s="2" t="str">
        <f ca="1">input_498010!A$2</f>
        <v>498010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38">
        <f ca="1">IFERROR(VLOOKUP(B65,input_498010!L:R,7,FALSE),VLOOKUP(tables_498010!C65,input_498010!A:H,8,FALSE))</f>
        <v>86510</v>
      </c>
      <c r="P65" s="39">
        <f t="shared" ca="1" si="1"/>
        <v>7.5435995814348308E-4</v>
      </c>
      <c r="Q65" s="24">
        <v>1</v>
      </c>
      <c r="R65" s="24">
        <v>0</v>
      </c>
      <c r="S65" s="24">
        <v>0</v>
      </c>
      <c r="T65" s="24">
        <v>0</v>
      </c>
      <c r="U65" s="24">
        <v>0</v>
      </c>
      <c r="V65" s="24">
        <v>1</v>
      </c>
    </row>
    <row r="66" spans="1:22" s="9" customFormat="1" ht="21" customHeight="1" thickBot="1" x14ac:dyDescent="0.2">
      <c r="A66" s="2" t="str">
        <f ca="1">input_498010!A$2</f>
        <v>498010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38">
        <f ca="1">IFERROR(VLOOKUP(B66,input_498010!L:R,7,FALSE),VLOOKUP(tables_498010!C66,input_498010!A:H,8,FALSE))</f>
        <v>521550</v>
      </c>
      <c r="P66" s="39">
        <f t="shared" ref="P66:P129" ca="1" si="4">O66/SUM(O:O)</f>
        <v>4.5478723404199931E-3</v>
      </c>
      <c r="Q66" s="24">
        <v>1</v>
      </c>
      <c r="R66" s="24">
        <v>0</v>
      </c>
      <c r="S66" s="24">
        <v>0</v>
      </c>
      <c r="T66" s="24">
        <v>0</v>
      </c>
      <c r="U66" s="24">
        <v>0</v>
      </c>
      <c r="V66" s="24">
        <v>1</v>
      </c>
    </row>
    <row r="67" spans="1:22" ht="21" customHeight="1" x14ac:dyDescent="0.15">
      <c r="A67" s="2" t="str">
        <f ca="1">input_498010!A$2</f>
        <v>498010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38">
        <f ca="1">IFERROR(VLOOKUP(B67,input_498010!L:R,7,FALSE),VLOOKUP(tables_498010!C67,input_498010!A:H,8,FALSE))</f>
        <v>455388.46153999999</v>
      </c>
      <c r="P67" s="39">
        <f t="shared" ca="1" si="4"/>
        <v>3.9709492635110338E-3</v>
      </c>
      <c r="Q67" s="24">
        <v>1</v>
      </c>
      <c r="R67" s="24">
        <v>0</v>
      </c>
      <c r="S67" s="24">
        <v>0</v>
      </c>
      <c r="T67" s="24">
        <v>0</v>
      </c>
      <c r="U67" s="24">
        <v>0</v>
      </c>
      <c r="V67" s="24">
        <v>1</v>
      </c>
    </row>
    <row r="68" spans="1:22" ht="21" customHeight="1" x14ac:dyDescent="0.15">
      <c r="A68" s="2" t="str">
        <f ca="1">input_498010!A$2</f>
        <v>498010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38">
        <f ca="1">IFERROR(VLOOKUP(B68,input_498010!L:R,7,FALSE),VLOOKUP(tables_498010!C68,input_498010!A:H,8,FALSE))</f>
        <v>86510</v>
      </c>
      <c r="P68" s="39">
        <f t="shared" ca="1" si="4"/>
        <v>7.5435995814348308E-4</v>
      </c>
      <c r="Q68" s="24">
        <v>1</v>
      </c>
      <c r="R68" s="24">
        <v>0</v>
      </c>
      <c r="S68" s="24">
        <v>0</v>
      </c>
      <c r="T68" s="24">
        <v>0</v>
      </c>
      <c r="U68" s="24">
        <v>0</v>
      </c>
      <c r="V68" s="24">
        <v>1</v>
      </c>
    </row>
    <row r="69" spans="1:22" ht="21" customHeight="1" x14ac:dyDescent="0.15">
      <c r="A69" s="2" t="str">
        <f ca="1">input_498010!A$2</f>
        <v>498010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38">
        <f ca="1">IFERROR(VLOOKUP(B69,input_498010!L:R,7,FALSE),VLOOKUP(tables_498010!C69,input_498010!A:H,8,FALSE))</f>
        <v>521550</v>
      </c>
      <c r="P69" s="39">
        <f t="shared" ca="1" si="4"/>
        <v>4.5478723404199931E-3</v>
      </c>
      <c r="Q69" s="24">
        <v>1</v>
      </c>
      <c r="R69" s="24">
        <v>0</v>
      </c>
      <c r="S69" s="24">
        <v>0</v>
      </c>
      <c r="T69" s="24">
        <v>0</v>
      </c>
      <c r="U69" s="24">
        <v>0</v>
      </c>
      <c r="V69" s="24">
        <v>1</v>
      </c>
    </row>
    <row r="70" spans="1:22" ht="21" customHeight="1" x14ac:dyDescent="0.15">
      <c r="A70" s="2" t="str">
        <f ca="1">input_498010!A$2</f>
        <v>498010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38">
        <f ca="1">IFERROR(VLOOKUP(B70,input_498010!L:R,7,FALSE),VLOOKUP(tables_498010!C70,input_498010!A:H,8,FALSE))</f>
        <v>455388.46153999999</v>
      </c>
      <c r="P70" s="39">
        <f t="shared" ca="1" si="4"/>
        <v>3.9709492635110338E-3</v>
      </c>
      <c r="Q70" s="24">
        <v>1</v>
      </c>
      <c r="R70" s="24">
        <v>0</v>
      </c>
      <c r="S70" s="24">
        <v>0</v>
      </c>
      <c r="T70" s="24">
        <v>0</v>
      </c>
      <c r="U70" s="24">
        <v>0</v>
      </c>
      <c r="V70" s="24">
        <v>1</v>
      </c>
    </row>
    <row r="71" spans="1:22" ht="21" customHeight="1" x14ac:dyDescent="0.15">
      <c r="A71" s="2" t="str">
        <f ca="1">input_498010!A$2</f>
        <v>498010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38">
        <f ca="1">IFERROR(VLOOKUP(B71,input_498010!L:R,7,FALSE),VLOOKUP(tables_498010!C71,input_498010!A:H,8,FALSE))</f>
        <v>86510</v>
      </c>
      <c r="P71" s="39">
        <f t="shared" ca="1" si="4"/>
        <v>7.5435995814348308E-4</v>
      </c>
      <c r="Q71" s="24">
        <v>1</v>
      </c>
      <c r="R71" s="24">
        <v>0</v>
      </c>
      <c r="S71" s="24">
        <v>0</v>
      </c>
      <c r="T71" s="24">
        <v>0</v>
      </c>
      <c r="U71" s="24">
        <v>0</v>
      </c>
      <c r="V71" s="24">
        <v>1</v>
      </c>
    </row>
    <row r="72" spans="1:22" ht="21" customHeight="1" x14ac:dyDescent="0.15">
      <c r="A72" s="2" t="str">
        <f ca="1">input_498010!A$2</f>
        <v>498010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38">
        <f ca="1">IFERROR(VLOOKUP(B72,input_498010!L:R,7,FALSE),VLOOKUP(tables_498010!C72,input_498010!A:H,8,FALSE))</f>
        <v>521550</v>
      </c>
      <c r="P72" s="39">
        <f t="shared" ca="1" si="4"/>
        <v>4.5478723404199931E-3</v>
      </c>
      <c r="Q72" s="24">
        <v>1</v>
      </c>
      <c r="R72" s="24">
        <v>0</v>
      </c>
      <c r="S72" s="24">
        <v>0</v>
      </c>
      <c r="T72" s="24">
        <v>0</v>
      </c>
      <c r="U72" s="24">
        <v>0</v>
      </c>
      <c r="V72" s="24">
        <v>1</v>
      </c>
    </row>
    <row r="73" spans="1:22" ht="21" customHeight="1" x14ac:dyDescent="0.15">
      <c r="A73" s="2" t="str">
        <f ca="1">input_498010!A$2</f>
        <v>498010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38">
        <f ca="1">IFERROR(VLOOKUP(B73,input_498010!L:R,7,FALSE),VLOOKUP(tables_498010!C73,input_498010!A:H,8,FALSE))</f>
        <v>455388.46153999999</v>
      </c>
      <c r="P73" s="39">
        <f t="shared" ca="1" si="4"/>
        <v>3.9709492635110338E-3</v>
      </c>
      <c r="Q73" s="24">
        <v>1</v>
      </c>
      <c r="R73" s="24">
        <v>0</v>
      </c>
      <c r="S73" s="24">
        <v>0</v>
      </c>
      <c r="T73" s="24">
        <v>0</v>
      </c>
      <c r="U73" s="24">
        <v>0</v>
      </c>
      <c r="V73" s="24">
        <v>1</v>
      </c>
    </row>
    <row r="74" spans="1:22" ht="21" customHeight="1" x14ac:dyDescent="0.15">
      <c r="A74" s="2" t="str">
        <f ca="1">input_498010!A$2</f>
        <v>498010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38">
        <f ca="1">IFERROR(VLOOKUP(B74,input_498010!L:R,7,FALSE),VLOOKUP(tables_498010!C74,input_498010!A:H,8,FALSE))</f>
        <v>86510</v>
      </c>
      <c r="P74" s="39">
        <f t="shared" ca="1" si="4"/>
        <v>7.5435995814348308E-4</v>
      </c>
      <c r="Q74" s="24">
        <v>1</v>
      </c>
      <c r="R74" s="24">
        <v>0</v>
      </c>
      <c r="S74" s="24">
        <v>0</v>
      </c>
      <c r="T74" s="24">
        <v>0</v>
      </c>
      <c r="U74" s="24">
        <v>0</v>
      </c>
      <c r="V74" s="24">
        <v>1</v>
      </c>
    </row>
    <row r="75" spans="1:22" ht="21" customHeight="1" x14ac:dyDescent="0.15">
      <c r="A75" s="2" t="str">
        <f ca="1">input_498010!A$2</f>
        <v>498010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38">
        <f ca="1">IFERROR(VLOOKUP(B75,input_498010!L:R,7,FALSE),VLOOKUP(tables_498010!C75,input_498010!A:H,8,FALSE))</f>
        <v>521550</v>
      </c>
      <c r="P75" s="39">
        <f t="shared" ca="1" si="4"/>
        <v>4.5478723404199931E-3</v>
      </c>
      <c r="Q75" s="24">
        <v>1</v>
      </c>
      <c r="R75" s="24">
        <v>0</v>
      </c>
      <c r="S75" s="24">
        <v>0</v>
      </c>
      <c r="T75" s="24">
        <v>0</v>
      </c>
      <c r="U75" s="24">
        <v>0</v>
      </c>
      <c r="V75" s="24">
        <v>1</v>
      </c>
    </row>
    <row r="76" spans="1:22" ht="21" customHeight="1" x14ac:dyDescent="0.15">
      <c r="A76" s="2" t="str">
        <f ca="1">input_498010!A$2</f>
        <v>498010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38">
        <f ca="1">IFERROR(VLOOKUP(B76,input_498010!L:R,7,FALSE),VLOOKUP(tables_498010!C76,input_498010!A:H,8,FALSE))</f>
        <v>455388.46153999999</v>
      </c>
      <c r="P76" s="39">
        <f t="shared" ca="1" si="4"/>
        <v>3.9709492635110338E-3</v>
      </c>
      <c r="Q76" s="24">
        <v>1</v>
      </c>
      <c r="R76" s="24">
        <v>0</v>
      </c>
      <c r="S76" s="24">
        <v>0</v>
      </c>
      <c r="T76" s="24">
        <v>0</v>
      </c>
      <c r="U76" s="24">
        <v>0</v>
      </c>
      <c r="V76" s="24">
        <v>1</v>
      </c>
    </row>
    <row r="77" spans="1:22" ht="21" customHeight="1" x14ac:dyDescent="0.15">
      <c r="A77" s="2" t="str">
        <f ca="1">input_498010!A$2</f>
        <v>498010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38">
        <f ca="1">IFERROR(VLOOKUP(B77,input_498010!L:R,7,FALSE),VLOOKUP(tables_498010!C77,input_498010!A:H,8,FALSE))</f>
        <v>86510</v>
      </c>
      <c r="P77" s="39">
        <f t="shared" ca="1" si="4"/>
        <v>7.5435995814348308E-4</v>
      </c>
      <c r="Q77" s="24">
        <v>1</v>
      </c>
      <c r="R77" s="24">
        <v>0</v>
      </c>
      <c r="S77" s="24">
        <v>0</v>
      </c>
      <c r="T77" s="24">
        <v>0</v>
      </c>
      <c r="U77" s="24">
        <v>0</v>
      </c>
      <c r="V77" s="24">
        <v>1</v>
      </c>
    </row>
    <row r="78" spans="1:22" ht="21" customHeight="1" x14ac:dyDescent="0.15">
      <c r="A78" s="2" t="str">
        <f ca="1">input_498010!A$2</f>
        <v>498010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38">
        <f ca="1">IFERROR(VLOOKUP(B78,input_498010!L:R,7,FALSE),VLOOKUP(tables_498010!C78,input_498010!A:H,8,FALSE))</f>
        <v>521550</v>
      </c>
      <c r="P78" s="39">
        <f t="shared" ca="1" si="4"/>
        <v>4.5478723404199931E-3</v>
      </c>
      <c r="Q78" s="24">
        <v>1</v>
      </c>
      <c r="R78" s="24">
        <v>0</v>
      </c>
      <c r="S78" s="24">
        <v>0</v>
      </c>
      <c r="T78" s="24">
        <v>0</v>
      </c>
      <c r="U78" s="24">
        <v>0</v>
      </c>
      <c r="V78" s="24">
        <v>1</v>
      </c>
    </row>
    <row r="79" spans="1:22" ht="21" customHeight="1" x14ac:dyDescent="0.15">
      <c r="A79" s="2" t="str">
        <f ca="1">input_498010!A$2</f>
        <v>498010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38">
        <f ca="1">IFERROR(VLOOKUP(B79,input_498010!L:R,7,FALSE),VLOOKUP(tables_498010!C79,input_498010!A:H,8,FALSE))</f>
        <v>455388.46153999999</v>
      </c>
      <c r="P79" s="39">
        <f t="shared" ca="1" si="4"/>
        <v>3.9709492635110338E-3</v>
      </c>
      <c r="Q79" s="24">
        <v>1</v>
      </c>
      <c r="R79" s="24">
        <v>0</v>
      </c>
      <c r="S79" s="24">
        <v>0</v>
      </c>
      <c r="T79" s="24">
        <v>0</v>
      </c>
      <c r="U79" s="24">
        <v>0</v>
      </c>
      <c r="V79" s="24">
        <v>1</v>
      </c>
    </row>
    <row r="80" spans="1:22" ht="21" customHeight="1" x14ac:dyDescent="0.15">
      <c r="A80" s="2" t="str">
        <f ca="1">input_498010!A$2</f>
        <v>498010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38">
        <f ca="1">IFERROR(VLOOKUP(B80,input_498010!L:R,7,FALSE),VLOOKUP(tables_498010!C80,input_498010!A:H,8,FALSE))</f>
        <v>86510</v>
      </c>
      <c r="P80" s="39">
        <f t="shared" ca="1" si="4"/>
        <v>7.5435995814348308E-4</v>
      </c>
      <c r="Q80" s="24">
        <v>1</v>
      </c>
      <c r="R80" s="24">
        <v>0</v>
      </c>
      <c r="S80" s="24">
        <v>0</v>
      </c>
      <c r="T80" s="24">
        <v>0</v>
      </c>
      <c r="U80" s="24">
        <v>0</v>
      </c>
      <c r="V80" s="24">
        <v>1</v>
      </c>
    </row>
    <row r="81" spans="1:22" ht="21" customHeight="1" x14ac:dyDescent="0.15">
      <c r="A81" s="2" t="str">
        <f ca="1">input_498010!A$2</f>
        <v>498010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38">
        <f ca="1">IFERROR(VLOOKUP(B81,input_498010!L:R,7,FALSE),VLOOKUP(tables_498010!C81,input_498010!A:H,8,FALSE))</f>
        <v>521550</v>
      </c>
      <c r="P81" s="39">
        <f t="shared" ca="1" si="4"/>
        <v>4.5478723404199931E-3</v>
      </c>
      <c r="Q81" s="24">
        <v>1</v>
      </c>
      <c r="R81" s="24">
        <v>0</v>
      </c>
      <c r="S81" s="24">
        <v>0</v>
      </c>
      <c r="T81" s="24">
        <v>0</v>
      </c>
      <c r="U81" s="24">
        <v>0</v>
      </c>
      <c r="V81" s="24">
        <v>1</v>
      </c>
    </row>
    <row r="82" spans="1:22" ht="21" customHeight="1" x14ac:dyDescent="0.15">
      <c r="A82" s="2" t="str">
        <f ca="1">input_498010!A$2</f>
        <v>498010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38">
        <f ca="1">IFERROR(VLOOKUP(B82,input_498010!L:R,7,FALSE),VLOOKUP(tables_498010!C82,input_498010!A:H,8,FALSE))</f>
        <v>455388.46153999999</v>
      </c>
      <c r="P82" s="39">
        <f t="shared" ca="1" si="4"/>
        <v>3.9709492635110338E-3</v>
      </c>
      <c r="Q82" s="24">
        <v>1</v>
      </c>
      <c r="R82" s="24">
        <v>0</v>
      </c>
      <c r="S82" s="24">
        <v>0</v>
      </c>
      <c r="T82" s="24">
        <v>0</v>
      </c>
      <c r="U82" s="24">
        <v>0</v>
      </c>
      <c r="V82" s="24">
        <v>1</v>
      </c>
    </row>
    <row r="83" spans="1:22" ht="21" customHeight="1" x14ac:dyDescent="0.15">
      <c r="A83" s="2" t="str">
        <f ca="1">input_498010!A$2</f>
        <v>498010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38">
        <f ca="1">IFERROR(VLOOKUP(B83,input_498010!L:R,7,FALSE),VLOOKUP(tables_498010!C83,input_498010!A:H,8,FALSE))</f>
        <v>86510</v>
      </c>
      <c r="P83" s="39">
        <f t="shared" ca="1" si="4"/>
        <v>7.5435995814348308E-4</v>
      </c>
      <c r="Q83" s="24">
        <v>1</v>
      </c>
      <c r="R83" s="24">
        <v>0</v>
      </c>
      <c r="S83" s="24">
        <v>0</v>
      </c>
      <c r="T83" s="24">
        <v>0</v>
      </c>
      <c r="U83" s="24">
        <v>0</v>
      </c>
      <c r="V83" s="24">
        <v>1</v>
      </c>
    </row>
    <row r="84" spans="1:22" ht="21" customHeight="1" x14ac:dyDescent="0.15">
      <c r="A84" s="2" t="str">
        <f ca="1">input_498010!A$2</f>
        <v>498010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38">
        <f ca="1">IFERROR(VLOOKUP(B84,input_498010!L:R,7,FALSE),VLOOKUP(tables_498010!C84,input_498010!A:H,8,FALSE))</f>
        <v>521550</v>
      </c>
      <c r="P84" s="39">
        <f t="shared" ca="1" si="4"/>
        <v>4.5478723404199931E-3</v>
      </c>
      <c r="Q84" s="24">
        <v>1</v>
      </c>
      <c r="R84" s="24">
        <v>0</v>
      </c>
      <c r="S84" s="24">
        <v>0</v>
      </c>
      <c r="T84" s="24">
        <v>0</v>
      </c>
      <c r="U84" s="24">
        <v>0</v>
      </c>
      <c r="V84" s="24">
        <v>1</v>
      </c>
    </row>
    <row r="85" spans="1:22" ht="21" customHeight="1" x14ac:dyDescent="0.15">
      <c r="A85" s="2" t="str">
        <f ca="1">input_498010!A$2</f>
        <v>498010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38">
        <f ca="1">IFERROR(VLOOKUP(B85,input_498010!L:R,7,FALSE),VLOOKUP(tables_498010!C85,input_498010!A:H,8,FALSE))</f>
        <v>455388.46153999999</v>
      </c>
      <c r="P85" s="39">
        <f t="shared" ca="1" si="4"/>
        <v>3.9709492635110338E-3</v>
      </c>
      <c r="Q85" s="24">
        <v>1</v>
      </c>
      <c r="R85" s="24">
        <v>0</v>
      </c>
      <c r="S85" s="24">
        <v>0</v>
      </c>
      <c r="T85" s="24">
        <v>0</v>
      </c>
      <c r="U85" s="24">
        <v>0</v>
      </c>
      <c r="V85" s="24">
        <v>1</v>
      </c>
    </row>
    <row r="86" spans="1:22" ht="21" customHeight="1" x14ac:dyDescent="0.15">
      <c r="A86" s="2" t="str">
        <f ca="1">input_498010!A$2</f>
        <v>498010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38">
        <f ca="1">IFERROR(VLOOKUP(B86,input_498010!L:R,7,FALSE),VLOOKUP(tables_498010!C86,input_498010!A:H,8,FALSE))</f>
        <v>86510</v>
      </c>
      <c r="P86" s="39">
        <f t="shared" ca="1" si="4"/>
        <v>7.5435995814348308E-4</v>
      </c>
      <c r="Q86" s="24">
        <v>1</v>
      </c>
      <c r="R86" s="24">
        <v>0</v>
      </c>
      <c r="S86" s="24">
        <v>0</v>
      </c>
      <c r="T86" s="24">
        <v>0</v>
      </c>
      <c r="U86" s="24">
        <v>0</v>
      </c>
      <c r="V86" s="24">
        <v>1</v>
      </c>
    </row>
    <row r="87" spans="1:22" ht="21" customHeight="1" x14ac:dyDescent="0.15">
      <c r="A87" s="2" t="str">
        <f ca="1">input_498010!A$2</f>
        <v>498010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38">
        <f ca="1">IFERROR(VLOOKUP(B87,input_498010!L:R,7,FALSE),VLOOKUP(tables_498010!C87,input_498010!A:H,8,FALSE))</f>
        <v>521550</v>
      </c>
      <c r="P87" s="39">
        <f t="shared" ca="1" si="4"/>
        <v>4.5478723404199931E-3</v>
      </c>
      <c r="Q87" s="24">
        <v>1</v>
      </c>
      <c r="R87" s="24">
        <v>0</v>
      </c>
      <c r="S87" s="24">
        <v>0</v>
      </c>
      <c r="T87" s="24">
        <v>0</v>
      </c>
      <c r="U87" s="24">
        <v>0</v>
      </c>
      <c r="V87" s="24">
        <v>1</v>
      </c>
    </row>
    <row r="88" spans="1:22" ht="21" customHeight="1" x14ac:dyDescent="0.15">
      <c r="A88" s="2" t="str">
        <f ca="1">input_498010!A$2</f>
        <v>498010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38">
        <f ca="1">IFERROR(VLOOKUP(B88,input_498010!L:R,7,FALSE),VLOOKUP(tables_498010!C88,input_498010!A:H,8,FALSE))</f>
        <v>455388.46153999999</v>
      </c>
      <c r="P88" s="39">
        <f t="shared" ca="1" si="4"/>
        <v>3.9709492635110338E-3</v>
      </c>
      <c r="Q88" s="24">
        <v>1</v>
      </c>
      <c r="R88" s="24">
        <v>0</v>
      </c>
      <c r="S88" s="24">
        <v>0</v>
      </c>
      <c r="T88" s="24">
        <v>0</v>
      </c>
      <c r="U88" s="24">
        <v>0</v>
      </c>
      <c r="V88" s="24">
        <v>1</v>
      </c>
    </row>
    <row r="89" spans="1:22" ht="21" customHeight="1" x14ac:dyDescent="0.15">
      <c r="A89" s="2" t="str">
        <f ca="1">input_498010!A$2</f>
        <v>498010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38">
        <f ca="1">IFERROR(VLOOKUP(B89,input_498010!L:R,7,FALSE),VLOOKUP(tables_498010!C89,input_498010!A:H,8,FALSE))</f>
        <v>86510</v>
      </c>
      <c r="P89" s="39">
        <f t="shared" ca="1" si="4"/>
        <v>7.5435995814348308E-4</v>
      </c>
      <c r="Q89" s="24">
        <v>1</v>
      </c>
      <c r="R89" s="24">
        <v>0</v>
      </c>
      <c r="S89" s="24">
        <v>0</v>
      </c>
      <c r="T89" s="24">
        <v>0</v>
      </c>
      <c r="U89" s="24">
        <v>0</v>
      </c>
      <c r="V89" s="24">
        <v>1</v>
      </c>
    </row>
    <row r="90" spans="1:22" ht="21" customHeight="1" x14ac:dyDescent="0.15">
      <c r="A90" s="2" t="str">
        <f ca="1">input_498010!A$2</f>
        <v>498010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38">
        <f ca="1">IFERROR(VLOOKUP(B90,input_498010!L:R,7,FALSE),VLOOKUP(tables_498010!C90,input_498010!A:H,8,FALSE))</f>
        <v>521550</v>
      </c>
      <c r="P90" s="39">
        <f t="shared" ca="1" si="4"/>
        <v>4.5478723404199931E-3</v>
      </c>
      <c r="Q90" s="24">
        <v>1</v>
      </c>
      <c r="R90" s="24">
        <v>0</v>
      </c>
      <c r="S90" s="24">
        <v>0</v>
      </c>
      <c r="T90" s="24">
        <v>0</v>
      </c>
      <c r="U90" s="24">
        <v>0</v>
      </c>
      <c r="V90" s="24">
        <v>1</v>
      </c>
    </row>
    <row r="91" spans="1:22" ht="21" customHeight="1" x14ac:dyDescent="0.15">
      <c r="A91" s="2" t="str">
        <f ca="1">input_498010!A$2</f>
        <v>498010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38">
        <f ca="1">IFERROR(VLOOKUP(B91,input_498010!L:R,7,FALSE),VLOOKUP(tables_498010!C91,input_498010!A:H,8,FALSE))</f>
        <v>455388.46153999999</v>
      </c>
      <c r="P91" s="39">
        <f t="shared" ca="1" si="4"/>
        <v>3.9709492635110338E-3</v>
      </c>
      <c r="Q91" s="24">
        <v>1</v>
      </c>
      <c r="R91" s="24">
        <v>0</v>
      </c>
      <c r="S91" s="24">
        <v>0</v>
      </c>
      <c r="T91" s="24">
        <v>0</v>
      </c>
      <c r="U91" s="24">
        <v>0</v>
      </c>
      <c r="V91" s="24">
        <v>1</v>
      </c>
    </row>
    <row r="92" spans="1:22" ht="21" customHeight="1" x14ac:dyDescent="0.15">
      <c r="A92" s="2" t="str">
        <f ca="1">input_498010!A$2</f>
        <v>498010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38">
        <f ca="1">IFERROR(VLOOKUP(B92,input_498010!L:R,7,FALSE),VLOOKUP(tables_498010!C92,input_498010!A:H,8,FALSE))</f>
        <v>86510</v>
      </c>
      <c r="P92" s="39">
        <f t="shared" ca="1" si="4"/>
        <v>7.5435995814348308E-4</v>
      </c>
      <c r="Q92" s="24">
        <v>1</v>
      </c>
      <c r="R92" s="24">
        <v>0</v>
      </c>
      <c r="S92" s="24">
        <v>0</v>
      </c>
      <c r="T92" s="24">
        <v>0</v>
      </c>
      <c r="U92" s="24">
        <v>0</v>
      </c>
      <c r="V92" s="24">
        <v>1</v>
      </c>
    </row>
    <row r="93" spans="1:22" ht="21" customHeight="1" x14ac:dyDescent="0.15">
      <c r="A93" s="2" t="str">
        <f ca="1">input_498010!A$2</f>
        <v>498010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38">
        <f ca="1">IFERROR(VLOOKUP(B93,input_498010!L:R,7,FALSE),VLOOKUP(tables_498010!C93,input_498010!A:H,8,FALSE))</f>
        <v>521550</v>
      </c>
      <c r="P93" s="39">
        <f t="shared" ca="1" si="4"/>
        <v>4.5478723404199931E-3</v>
      </c>
      <c r="Q93" s="24">
        <v>1</v>
      </c>
      <c r="R93" s="24">
        <v>0</v>
      </c>
      <c r="S93" s="24">
        <v>0</v>
      </c>
      <c r="T93" s="24">
        <v>0</v>
      </c>
      <c r="U93" s="24">
        <v>0</v>
      </c>
      <c r="V93" s="24">
        <v>1</v>
      </c>
    </row>
    <row r="94" spans="1:22" ht="21" customHeight="1" x14ac:dyDescent="0.15">
      <c r="A94" s="2" t="str">
        <f ca="1">input_498010!A$2</f>
        <v>498010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38">
        <f ca="1">IFERROR(VLOOKUP(B94,input_498010!L:R,7,FALSE),VLOOKUP(tables_498010!C94,input_498010!A:H,8,FALSE))</f>
        <v>455388.46153999999</v>
      </c>
      <c r="P94" s="39">
        <f t="shared" ca="1" si="4"/>
        <v>3.9709492635110338E-3</v>
      </c>
      <c r="Q94" s="24">
        <v>1</v>
      </c>
      <c r="R94" s="24">
        <v>0</v>
      </c>
      <c r="S94" s="24">
        <v>0</v>
      </c>
      <c r="T94" s="24">
        <v>0</v>
      </c>
      <c r="U94" s="24">
        <v>0</v>
      </c>
      <c r="V94" s="24">
        <v>1</v>
      </c>
    </row>
    <row r="95" spans="1:22" ht="21" customHeight="1" x14ac:dyDescent="0.15">
      <c r="A95" s="2" t="str">
        <f ca="1">input_498010!A$2</f>
        <v>498010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38">
        <f ca="1">IFERROR(VLOOKUP(B95,input_498010!L:R,7,FALSE),VLOOKUP(tables_498010!C95,input_498010!A:H,8,FALSE))</f>
        <v>86510</v>
      </c>
      <c r="P95" s="39">
        <f t="shared" ca="1" si="4"/>
        <v>7.5435995814348308E-4</v>
      </c>
      <c r="Q95" s="24">
        <v>1</v>
      </c>
      <c r="R95" s="24">
        <v>0</v>
      </c>
      <c r="S95" s="24">
        <v>0</v>
      </c>
      <c r="T95" s="24">
        <v>0</v>
      </c>
      <c r="U95" s="24">
        <v>0</v>
      </c>
      <c r="V95" s="24">
        <v>1</v>
      </c>
    </row>
    <row r="96" spans="1:22" ht="21" customHeight="1" x14ac:dyDescent="0.15">
      <c r="A96" s="2" t="str">
        <f ca="1">input_498010!A$2</f>
        <v>498010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38">
        <f ca="1">IFERROR(VLOOKUP(B96,input_498010!L:R,7,FALSE),VLOOKUP(tables_498010!C96,input_498010!A:H,8,FALSE))</f>
        <v>521550</v>
      </c>
      <c r="P96" s="39">
        <f t="shared" ca="1" si="4"/>
        <v>4.5478723404199931E-3</v>
      </c>
      <c r="Q96" s="24">
        <v>1</v>
      </c>
      <c r="R96" s="24">
        <v>0</v>
      </c>
      <c r="S96" s="24">
        <v>0</v>
      </c>
      <c r="T96" s="24">
        <v>0</v>
      </c>
      <c r="U96" s="24">
        <v>0</v>
      </c>
      <c r="V96" s="24">
        <v>1</v>
      </c>
    </row>
    <row r="97" spans="1:22" ht="21" customHeight="1" x14ac:dyDescent="0.15">
      <c r="A97" s="2" t="str">
        <f ca="1">input_498010!A$2</f>
        <v>498010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38">
        <f ca="1">IFERROR(VLOOKUP(B97,input_498010!L:R,7,FALSE),VLOOKUP(tables_498010!C97,input_498010!A:H,8,FALSE))</f>
        <v>455388.46153999999</v>
      </c>
      <c r="P97" s="39">
        <f t="shared" ca="1" si="4"/>
        <v>3.9709492635110338E-3</v>
      </c>
      <c r="Q97" s="24">
        <v>1</v>
      </c>
      <c r="R97" s="24">
        <v>0</v>
      </c>
      <c r="S97" s="24">
        <v>0</v>
      </c>
      <c r="T97" s="24">
        <v>0</v>
      </c>
      <c r="U97" s="24">
        <v>0</v>
      </c>
      <c r="V97" s="24">
        <v>1</v>
      </c>
    </row>
    <row r="98" spans="1:22" ht="21" customHeight="1" x14ac:dyDescent="0.15">
      <c r="A98" s="2" t="str">
        <f ca="1">input_498010!A$2</f>
        <v>498010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38">
        <f ca="1">IFERROR(VLOOKUP(B98,input_498010!L:R,7,FALSE),VLOOKUP(tables_498010!C98,input_498010!A:H,8,FALSE))</f>
        <v>86510</v>
      </c>
      <c r="P98" s="39">
        <f t="shared" ca="1" si="4"/>
        <v>7.5435995814348308E-4</v>
      </c>
      <c r="Q98" s="24">
        <v>1</v>
      </c>
      <c r="R98" s="24">
        <v>0</v>
      </c>
      <c r="S98" s="24">
        <v>0</v>
      </c>
      <c r="T98" s="24">
        <v>0</v>
      </c>
      <c r="U98" s="24">
        <v>0</v>
      </c>
      <c r="V98" s="24">
        <v>1</v>
      </c>
    </row>
    <row r="99" spans="1:22" ht="21" customHeight="1" x14ac:dyDescent="0.15">
      <c r="A99" s="2" t="str">
        <f ca="1">input_498010!A$2</f>
        <v>498010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38">
        <f ca="1">IFERROR(VLOOKUP(B99,input_498010!L:R,7,FALSE),VLOOKUP(tables_498010!C99,input_498010!A:H,8,FALSE))</f>
        <v>521550</v>
      </c>
      <c r="P99" s="39">
        <f t="shared" ca="1" si="4"/>
        <v>4.5478723404199931E-3</v>
      </c>
      <c r="Q99" s="24">
        <v>1</v>
      </c>
      <c r="R99" s="24">
        <v>0</v>
      </c>
      <c r="S99" s="24">
        <v>0</v>
      </c>
      <c r="T99" s="24">
        <v>0</v>
      </c>
      <c r="U99" s="24">
        <v>0</v>
      </c>
      <c r="V99" s="24">
        <v>1</v>
      </c>
    </row>
    <row r="100" spans="1:22" ht="21" customHeight="1" x14ac:dyDescent="0.15">
      <c r="A100" s="2" t="str">
        <f ca="1">input_498010!A$2</f>
        <v>498010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38">
        <f ca="1">IFERROR(VLOOKUP(B100,input_498010!L:R,7,FALSE),VLOOKUP(tables_498010!C100,input_498010!A:H,8,FALSE))</f>
        <v>455388.46153999999</v>
      </c>
      <c r="P100" s="39">
        <f t="shared" ca="1" si="4"/>
        <v>3.9709492635110338E-3</v>
      </c>
      <c r="Q100" s="24">
        <v>1</v>
      </c>
      <c r="R100" s="24">
        <v>0</v>
      </c>
      <c r="S100" s="24">
        <v>0</v>
      </c>
      <c r="T100" s="24">
        <v>0</v>
      </c>
      <c r="U100" s="24">
        <v>0</v>
      </c>
      <c r="V100" s="24">
        <v>1</v>
      </c>
    </row>
    <row r="101" spans="1:22" ht="21" customHeight="1" x14ac:dyDescent="0.15">
      <c r="A101" s="2" t="str">
        <f ca="1">input_498010!A$2</f>
        <v>498010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38">
        <f ca="1">IFERROR(VLOOKUP(B101,input_498010!L:R,7,FALSE),VLOOKUP(tables_498010!C101,input_498010!A:H,8,FALSE))</f>
        <v>86510</v>
      </c>
      <c r="P101" s="39">
        <f t="shared" ca="1" si="4"/>
        <v>7.5435995814348308E-4</v>
      </c>
      <c r="Q101" s="24">
        <v>1</v>
      </c>
      <c r="R101" s="24">
        <v>0</v>
      </c>
      <c r="S101" s="24">
        <v>0</v>
      </c>
      <c r="T101" s="24">
        <v>0</v>
      </c>
      <c r="U101" s="24">
        <v>0</v>
      </c>
      <c r="V101" s="24">
        <v>1</v>
      </c>
    </row>
    <row r="102" spans="1:22" ht="21" customHeight="1" x14ac:dyDescent="0.15">
      <c r="A102" s="2" t="str">
        <f ca="1">input_498010!A$2</f>
        <v>498010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38">
        <f ca="1">IFERROR(VLOOKUP(B102,input_498010!L:R,7,FALSE),VLOOKUP(tables_498010!C102,input_498010!A:H,8,FALSE))</f>
        <v>521550</v>
      </c>
      <c r="P102" s="39">
        <f t="shared" ca="1" si="4"/>
        <v>4.5478723404199931E-3</v>
      </c>
      <c r="Q102" s="24">
        <v>1</v>
      </c>
      <c r="R102" s="24">
        <v>0</v>
      </c>
      <c r="S102" s="24">
        <v>0</v>
      </c>
      <c r="T102" s="24">
        <v>0</v>
      </c>
      <c r="U102" s="24">
        <v>0</v>
      </c>
      <c r="V102" s="24">
        <v>1</v>
      </c>
    </row>
    <row r="103" spans="1:22" ht="21" customHeight="1" x14ac:dyDescent="0.15">
      <c r="A103" s="2" t="str">
        <f ca="1">input_498010!A$2</f>
        <v>498010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38">
        <f ca="1">IFERROR(VLOOKUP(B103,input_498010!L:R,7,FALSE),VLOOKUP(tables_498010!C103,input_498010!A:H,8,FALSE))</f>
        <v>455388.46153999999</v>
      </c>
      <c r="P103" s="39">
        <f t="shared" ca="1" si="4"/>
        <v>3.9709492635110338E-3</v>
      </c>
      <c r="Q103" s="24">
        <v>1</v>
      </c>
      <c r="R103" s="24">
        <v>0</v>
      </c>
      <c r="S103" s="24">
        <v>0</v>
      </c>
      <c r="T103" s="24">
        <v>0</v>
      </c>
      <c r="U103" s="24">
        <v>0</v>
      </c>
      <c r="V103" s="24">
        <v>1</v>
      </c>
    </row>
    <row r="104" spans="1:22" ht="21" customHeight="1" x14ac:dyDescent="0.15">
      <c r="A104" s="2" t="str">
        <f ca="1">input_498010!A$2</f>
        <v>498010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38">
        <f ca="1">IFERROR(VLOOKUP(B104,input_498010!L:R,7,FALSE),VLOOKUP(tables_498010!C104,input_498010!A:H,8,FALSE))</f>
        <v>86510</v>
      </c>
      <c r="P104" s="39">
        <f t="shared" ca="1" si="4"/>
        <v>7.5435995814348308E-4</v>
      </c>
      <c r="Q104" s="24">
        <v>1</v>
      </c>
      <c r="R104" s="24">
        <v>0</v>
      </c>
      <c r="S104" s="24">
        <v>0</v>
      </c>
      <c r="T104" s="24">
        <v>0</v>
      </c>
      <c r="U104" s="24">
        <v>0</v>
      </c>
      <c r="V104" s="24">
        <v>1</v>
      </c>
    </row>
    <row r="105" spans="1:22" ht="21" customHeight="1" x14ac:dyDescent="0.15">
      <c r="A105" s="2" t="str">
        <f ca="1">input_498010!A$2</f>
        <v>498010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38">
        <f ca="1">IFERROR(VLOOKUP(B105,input_498010!L:R,7,FALSE),VLOOKUP(tables_498010!C105,input_498010!A:H,8,FALSE))</f>
        <v>521550</v>
      </c>
      <c r="P105" s="39">
        <f t="shared" ca="1" si="4"/>
        <v>4.5478723404199931E-3</v>
      </c>
      <c r="Q105" s="24">
        <v>1</v>
      </c>
      <c r="R105" s="24">
        <v>0</v>
      </c>
      <c r="S105" s="24">
        <v>0</v>
      </c>
      <c r="T105" s="24">
        <v>0</v>
      </c>
      <c r="U105" s="24">
        <v>0</v>
      </c>
      <c r="V105" s="24">
        <v>1</v>
      </c>
    </row>
    <row r="106" spans="1:22" ht="21" customHeight="1" x14ac:dyDescent="0.15">
      <c r="A106" s="2" t="str">
        <f ca="1">input_498010!A$2</f>
        <v>498010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38">
        <f ca="1">IFERROR(VLOOKUP(B106,input_498010!L:R,7,FALSE),VLOOKUP(tables_498010!C106,input_498010!A:H,8,FALSE))</f>
        <v>455388.46153999999</v>
      </c>
      <c r="P106" s="39">
        <f t="shared" ca="1" si="4"/>
        <v>3.9709492635110338E-3</v>
      </c>
      <c r="Q106" s="24">
        <v>1</v>
      </c>
      <c r="R106" s="24">
        <v>0</v>
      </c>
      <c r="S106" s="24">
        <v>0</v>
      </c>
      <c r="T106" s="24">
        <v>0</v>
      </c>
      <c r="U106" s="24">
        <v>0</v>
      </c>
      <c r="V106" s="24">
        <v>1</v>
      </c>
    </row>
    <row r="107" spans="1:22" ht="21" customHeight="1" x14ac:dyDescent="0.15">
      <c r="A107" s="2" t="str">
        <f ca="1">input_498010!A$2</f>
        <v>498010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38">
        <f ca="1">IFERROR(VLOOKUP(B107,input_498010!L:R,7,FALSE),VLOOKUP(tables_498010!C107,input_498010!A:H,8,FALSE))</f>
        <v>86510</v>
      </c>
      <c r="P107" s="39">
        <f t="shared" ca="1" si="4"/>
        <v>7.5435995814348308E-4</v>
      </c>
      <c r="Q107" s="24">
        <v>1</v>
      </c>
      <c r="R107" s="24">
        <v>0</v>
      </c>
      <c r="S107" s="24">
        <v>0</v>
      </c>
      <c r="T107" s="24">
        <v>0</v>
      </c>
      <c r="U107" s="24">
        <v>0</v>
      </c>
      <c r="V107" s="24">
        <v>1</v>
      </c>
    </row>
    <row r="108" spans="1:22" ht="21" customHeight="1" x14ac:dyDescent="0.15">
      <c r="A108" s="2" t="str">
        <f ca="1">input_498010!A$2</f>
        <v>498010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38">
        <f ca="1">IFERROR(VLOOKUP(B108,input_498010!L:R,7,FALSE),VLOOKUP(tables_498010!C108,input_498010!A:H,8,FALSE))</f>
        <v>521550</v>
      </c>
      <c r="P108" s="39">
        <f t="shared" ca="1" si="4"/>
        <v>4.5478723404199931E-3</v>
      </c>
      <c r="Q108" s="24">
        <v>1</v>
      </c>
      <c r="R108" s="24">
        <v>0</v>
      </c>
      <c r="S108" s="24">
        <v>0</v>
      </c>
      <c r="T108" s="24">
        <v>0</v>
      </c>
      <c r="U108" s="24">
        <v>0</v>
      </c>
      <c r="V108" s="24">
        <v>1</v>
      </c>
    </row>
    <row r="109" spans="1:22" ht="21" customHeight="1" x14ac:dyDescent="0.15">
      <c r="A109" s="2" t="str">
        <f ca="1">input_498010!A$2</f>
        <v>498010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38">
        <f ca="1">IFERROR(VLOOKUP(B109,input_498010!L:R,7,FALSE),VLOOKUP(tables_498010!C109,input_498010!A:H,8,FALSE))</f>
        <v>455388.46153999999</v>
      </c>
      <c r="P109" s="39">
        <f t="shared" ca="1" si="4"/>
        <v>3.9709492635110338E-3</v>
      </c>
      <c r="Q109" s="24">
        <v>1</v>
      </c>
      <c r="R109" s="24">
        <v>0</v>
      </c>
      <c r="S109" s="24">
        <v>0</v>
      </c>
      <c r="T109" s="24">
        <v>0</v>
      </c>
      <c r="U109" s="24">
        <v>0</v>
      </c>
      <c r="V109" s="24">
        <v>1</v>
      </c>
    </row>
    <row r="110" spans="1:22" ht="21" customHeight="1" x14ac:dyDescent="0.15">
      <c r="A110" s="2" t="str">
        <f ca="1">input_498010!A$2</f>
        <v>498010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38">
        <f ca="1">IFERROR(VLOOKUP(B110,input_498010!L:R,7,FALSE),VLOOKUP(tables_498010!C110,input_498010!A:H,8,FALSE))</f>
        <v>86510</v>
      </c>
      <c r="P110" s="39">
        <f t="shared" ca="1" si="4"/>
        <v>7.5435995814348308E-4</v>
      </c>
      <c r="Q110" s="24">
        <v>1</v>
      </c>
      <c r="R110" s="24">
        <v>0</v>
      </c>
      <c r="S110" s="24">
        <v>0</v>
      </c>
      <c r="T110" s="24">
        <v>0</v>
      </c>
      <c r="U110" s="24">
        <v>0</v>
      </c>
      <c r="V110" s="24">
        <v>1</v>
      </c>
    </row>
    <row r="111" spans="1:22" ht="21" customHeight="1" x14ac:dyDescent="0.15">
      <c r="A111" s="2" t="str">
        <f ca="1">input_498010!A$2</f>
        <v>498010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38">
        <f ca="1">IFERROR(VLOOKUP(B111,input_498010!L:R,7,FALSE),VLOOKUP(tables_498010!C111,input_498010!A:H,8,FALSE))</f>
        <v>521550</v>
      </c>
      <c r="P111" s="39">
        <f t="shared" ca="1" si="4"/>
        <v>4.5478723404199931E-3</v>
      </c>
      <c r="Q111" s="24">
        <v>1</v>
      </c>
      <c r="R111" s="24">
        <v>0</v>
      </c>
      <c r="S111" s="24">
        <v>0</v>
      </c>
      <c r="T111" s="24">
        <v>0</v>
      </c>
      <c r="U111" s="24">
        <v>0</v>
      </c>
      <c r="V111" s="24">
        <v>1</v>
      </c>
    </row>
    <row r="112" spans="1:22" ht="21" customHeight="1" x14ac:dyDescent="0.15">
      <c r="A112" s="2" t="str">
        <f ca="1">input_498010!A$2</f>
        <v>498010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38">
        <f ca="1">IFERROR(VLOOKUP(B112,input_498010!L:R,7,FALSE),VLOOKUP(tables_498010!C112,input_498010!A:H,8,FALSE))</f>
        <v>521550</v>
      </c>
      <c r="P112" s="39">
        <f t="shared" ca="1" si="4"/>
        <v>4.5478723404199931E-3</v>
      </c>
      <c r="Q112" s="24">
        <v>1</v>
      </c>
      <c r="R112" s="24">
        <v>0</v>
      </c>
      <c r="S112" s="24">
        <v>0</v>
      </c>
      <c r="T112" s="24">
        <v>0</v>
      </c>
      <c r="U112" s="24">
        <v>0</v>
      </c>
      <c r="V112" s="24">
        <v>1</v>
      </c>
    </row>
    <row r="113" spans="1:22" ht="21" customHeight="1" x14ac:dyDescent="0.15">
      <c r="A113" s="2" t="str">
        <f ca="1">input_498010!A$2</f>
        <v>498010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38">
        <f ca="1">IFERROR(VLOOKUP(B113,input_498010!L:R,7,FALSE),VLOOKUP(tables_498010!C113,input_498010!A:H,8,FALSE))</f>
        <v>115900</v>
      </c>
      <c r="P113" s="39">
        <f t="shared" ca="1" si="4"/>
        <v>1.0106382978711096E-3</v>
      </c>
      <c r="Q113" s="24">
        <v>1</v>
      </c>
      <c r="R113" s="24">
        <v>0</v>
      </c>
      <c r="S113" s="24">
        <v>0</v>
      </c>
      <c r="T113" s="24">
        <v>0</v>
      </c>
      <c r="U113" s="24">
        <v>0</v>
      </c>
      <c r="V113" s="24">
        <v>1</v>
      </c>
    </row>
    <row r="114" spans="1:22" ht="21" customHeight="1" x14ac:dyDescent="0.15">
      <c r="A114" s="2" t="str">
        <f ca="1">input_498010!A$2</f>
        <v>498010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38">
        <f ca="1">IFERROR(VLOOKUP(B114,input_498010!L:R,7,FALSE),VLOOKUP(tables_498010!C114,input_498010!A:H,8,FALSE))</f>
        <v>521550</v>
      </c>
      <c r="P114" s="39">
        <f t="shared" ca="1" si="4"/>
        <v>4.5478723404199931E-3</v>
      </c>
      <c r="Q114" s="24">
        <v>1</v>
      </c>
      <c r="R114" s="24">
        <v>0</v>
      </c>
      <c r="S114" s="24">
        <v>0</v>
      </c>
      <c r="T114" s="24">
        <v>0</v>
      </c>
      <c r="U114" s="24">
        <v>0</v>
      </c>
      <c r="V114" s="24">
        <v>1</v>
      </c>
    </row>
    <row r="115" spans="1:22" ht="21" customHeight="1" x14ac:dyDescent="0.15">
      <c r="A115" s="2" t="str">
        <f ca="1">input_498010!A$2</f>
        <v>498010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38">
        <f ca="1">IFERROR(VLOOKUP(B115,input_498010!L:R,7,FALSE),VLOOKUP(tables_498010!C115,input_498010!A:H,8,FALSE))</f>
        <v>455388.46153999999</v>
      </c>
      <c r="P115" s="39">
        <f t="shared" ca="1" si="4"/>
        <v>3.9709492635110338E-3</v>
      </c>
      <c r="Q115" s="24">
        <v>1</v>
      </c>
      <c r="R115" s="24">
        <v>0</v>
      </c>
      <c r="S115" s="24">
        <v>0</v>
      </c>
      <c r="T115" s="24">
        <v>0</v>
      </c>
      <c r="U115" s="24">
        <v>0</v>
      </c>
      <c r="V115" s="24">
        <v>1</v>
      </c>
    </row>
    <row r="116" spans="1:22" ht="21" customHeight="1" x14ac:dyDescent="0.15">
      <c r="A116" s="2" t="str">
        <f ca="1">input_498010!A$2</f>
        <v>498010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38">
        <f ca="1">IFERROR(VLOOKUP(B116,input_498010!L:R,7,FALSE),VLOOKUP(tables_498010!C116,input_498010!A:H,8,FALSE))</f>
        <v>86510</v>
      </c>
      <c r="P116" s="39">
        <f t="shared" ca="1" si="4"/>
        <v>7.5435995814348308E-4</v>
      </c>
      <c r="Q116" s="24">
        <v>1</v>
      </c>
      <c r="R116" s="24">
        <v>0</v>
      </c>
      <c r="S116" s="24">
        <v>0</v>
      </c>
      <c r="T116" s="24">
        <v>0</v>
      </c>
      <c r="U116" s="24">
        <v>0</v>
      </c>
      <c r="V116" s="24">
        <v>1</v>
      </c>
    </row>
    <row r="117" spans="1:22" ht="21" customHeight="1" x14ac:dyDescent="0.15">
      <c r="A117" s="2" t="str">
        <f ca="1">input_498010!A$2</f>
        <v>498010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38">
        <f ca="1">IFERROR(VLOOKUP(B117,input_498010!L:R,7,FALSE),VLOOKUP(tables_498010!C117,input_498010!A:H,8,FALSE))</f>
        <v>521550</v>
      </c>
      <c r="P117" s="39">
        <f t="shared" ca="1" si="4"/>
        <v>4.5478723404199931E-3</v>
      </c>
      <c r="Q117" s="24">
        <v>1</v>
      </c>
      <c r="R117" s="24">
        <v>0</v>
      </c>
      <c r="S117" s="24">
        <v>0</v>
      </c>
      <c r="T117" s="24">
        <v>0</v>
      </c>
      <c r="U117" s="24">
        <v>0</v>
      </c>
      <c r="V117" s="24">
        <v>1</v>
      </c>
    </row>
    <row r="118" spans="1:22" ht="21" customHeight="1" x14ac:dyDescent="0.15">
      <c r="A118" s="2" t="str">
        <f ca="1">input_498010!A$2</f>
        <v>498010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38">
        <f ca="1">IFERROR(VLOOKUP(B118,input_498010!L:R,7,FALSE),VLOOKUP(tables_498010!C118,input_498010!A:H,8,FALSE))</f>
        <v>455388.46153999999</v>
      </c>
      <c r="P118" s="39">
        <f t="shared" ca="1" si="4"/>
        <v>3.9709492635110338E-3</v>
      </c>
      <c r="Q118" s="24">
        <v>1</v>
      </c>
      <c r="R118" s="24">
        <v>0</v>
      </c>
      <c r="S118" s="24">
        <v>0</v>
      </c>
      <c r="T118" s="24">
        <v>0</v>
      </c>
      <c r="U118" s="24">
        <v>0</v>
      </c>
      <c r="V118" s="24">
        <v>1</v>
      </c>
    </row>
    <row r="119" spans="1:22" ht="21" customHeight="1" x14ac:dyDescent="0.15">
      <c r="A119" s="2" t="str">
        <f ca="1">input_498010!A$2</f>
        <v>498010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38">
        <f ca="1">IFERROR(VLOOKUP(B119,input_498010!L:R,7,FALSE),VLOOKUP(tables_498010!C119,input_498010!A:H,8,FALSE))</f>
        <v>86510</v>
      </c>
      <c r="P119" s="39">
        <f t="shared" ca="1" si="4"/>
        <v>7.5435995814348308E-4</v>
      </c>
      <c r="Q119" s="24">
        <v>1</v>
      </c>
      <c r="R119" s="24">
        <v>0</v>
      </c>
      <c r="S119" s="24">
        <v>0</v>
      </c>
      <c r="T119" s="24">
        <v>0</v>
      </c>
      <c r="U119" s="24">
        <v>0</v>
      </c>
      <c r="V119" s="24">
        <v>1</v>
      </c>
    </row>
    <row r="120" spans="1:22" ht="21" customHeight="1" x14ac:dyDescent="0.15">
      <c r="A120" s="2" t="str">
        <f ca="1">input_498010!A$2</f>
        <v>498010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38">
        <f ca="1">IFERROR(VLOOKUP(B120,input_498010!L:R,7,FALSE),VLOOKUP(tables_498010!C120,input_498010!A:H,8,FALSE))</f>
        <v>521550</v>
      </c>
      <c r="P120" s="39">
        <f t="shared" ca="1" si="4"/>
        <v>4.5478723404199931E-3</v>
      </c>
      <c r="Q120" s="24">
        <v>1</v>
      </c>
      <c r="R120" s="24">
        <v>0</v>
      </c>
      <c r="S120" s="24">
        <v>0</v>
      </c>
      <c r="T120" s="24">
        <v>0</v>
      </c>
      <c r="U120" s="24">
        <v>0</v>
      </c>
      <c r="V120" s="24">
        <v>1</v>
      </c>
    </row>
    <row r="121" spans="1:22" ht="21" customHeight="1" x14ac:dyDescent="0.15">
      <c r="A121" s="2" t="str">
        <f ca="1">input_498010!A$2</f>
        <v>498010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38">
        <f ca="1">IFERROR(VLOOKUP(B121,input_498010!L:R,7,FALSE),VLOOKUP(tables_498010!C121,input_498010!A:H,8,FALSE))</f>
        <v>455388.46153999999</v>
      </c>
      <c r="P121" s="39">
        <f t="shared" ca="1" si="4"/>
        <v>3.9709492635110338E-3</v>
      </c>
      <c r="Q121" s="24">
        <v>1</v>
      </c>
      <c r="R121" s="24">
        <v>0</v>
      </c>
      <c r="S121" s="24">
        <v>0</v>
      </c>
      <c r="T121" s="24">
        <v>0</v>
      </c>
      <c r="U121" s="24">
        <v>0</v>
      </c>
      <c r="V121" s="24">
        <v>1</v>
      </c>
    </row>
    <row r="122" spans="1:22" ht="21" customHeight="1" x14ac:dyDescent="0.15">
      <c r="A122" s="2" t="str">
        <f ca="1">input_498010!A$2</f>
        <v>498010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38">
        <f ca="1">IFERROR(VLOOKUP(B122,input_498010!L:R,7,FALSE),VLOOKUP(tables_498010!C122,input_498010!A:H,8,FALSE))</f>
        <v>86510</v>
      </c>
      <c r="P122" s="39">
        <f t="shared" ca="1" si="4"/>
        <v>7.5435995814348308E-4</v>
      </c>
      <c r="Q122" s="24">
        <v>1</v>
      </c>
      <c r="R122" s="24">
        <v>0</v>
      </c>
      <c r="S122" s="24">
        <v>0</v>
      </c>
      <c r="T122" s="24">
        <v>0</v>
      </c>
      <c r="U122" s="24">
        <v>0</v>
      </c>
      <c r="V122" s="24">
        <v>1</v>
      </c>
    </row>
    <row r="123" spans="1:22" ht="21" customHeight="1" x14ac:dyDescent="0.15">
      <c r="A123" s="2" t="str">
        <f ca="1">input_498010!A$2</f>
        <v>498010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38">
        <f ca="1">IFERROR(VLOOKUP(B123,input_498010!L:R,7,FALSE),VLOOKUP(tables_498010!C123,input_498010!A:H,8,FALSE))</f>
        <v>521550</v>
      </c>
      <c r="P123" s="39">
        <f t="shared" ca="1" si="4"/>
        <v>4.5478723404199931E-3</v>
      </c>
      <c r="Q123" s="24">
        <v>1</v>
      </c>
      <c r="R123" s="24">
        <v>0</v>
      </c>
      <c r="S123" s="24">
        <v>0</v>
      </c>
      <c r="T123" s="24">
        <v>0</v>
      </c>
      <c r="U123" s="24">
        <v>0</v>
      </c>
      <c r="V123" s="24">
        <v>1</v>
      </c>
    </row>
    <row r="124" spans="1:22" ht="21" customHeight="1" x14ac:dyDescent="0.15">
      <c r="A124" s="2" t="str">
        <f ca="1">input_498010!A$2</f>
        <v>498010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38">
        <f ca="1">IFERROR(VLOOKUP(B124,input_498010!L:R,7,FALSE),VLOOKUP(tables_498010!C124,input_498010!A:H,8,FALSE))</f>
        <v>455388.46153999999</v>
      </c>
      <c r="P124" s="39">
        <f t="shared" ca="1" si="4"/>
        <v>3.9709492635110338E-3</v>
      </c>
      <c r="Q124" s="24">
        <v>1</v>
      </c>
      <c r="R124" s="24">
        <v>0</v>
      </c>
      <c r="S124" s="24">
        <v>0</v>
      </c>
      <c r="T124" s="24">
        <v>0</v>
      </c>
      <c r="U124" s="24">
        <v>0</v>
      </c>
      <c r="V124" s="24">
        <v>1</v>
      </c>
    </row>
    <row r="125" spans="1:22" ht="21" customHeight="1" x14ac:dyDescent="0.15">
      <c r="A125" s="2" t="str">
        <f ca="1">input_498010!A$2</f>
        <v>498010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38">
        <f ca="1">IFERROR(VLOOKUP(B125,input_498010!L:R,7,FALSE),VLOOKUP(tables_498010!C125,input_498010!A:H,8,FALSE))</f>
        <v>86510</v>
      </c>
      <c r="P125" s="39">
        <f t="shared" ca="1" si="4"/>
        <v>7.5435995814348308E-4</v>
      </c>
      <c r="Q125" s="24">
        <v>1</v>
      </c>
      <c r="R125" s="24">
        <v>0</v>
      </c>
      <c r="S125" s="24">
        <v>0</v>
      </c>
      <c r="T125" s="24">
        <v>0</v>
      </c>
      <c r="U125" s="24">
        <v>0</v>
      </c>
      <c r="V125" s="24">
        <v>1</v>
      </c>
    </row>
    <row r="126" spans="1:22" ht="21" customHeight="1" x14ac:dyDescent="0.15">
      <c r="A126" s="2" t="str">
        <f ca="1">input_498010!A$2</f>
        <v>498010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38">
        <f ca="1">IFERROR(VLOOKUP(B126,input_498010!L:R,7,FALSE),VLOOKUP(tables_498010!C126,input_498010!A:H,8,FALSE))</f>
        <v>521550</v>
      </c>
      <c r="P126" s="39">
        <f t="shared" ca="1" si="4"/>
        <v>4.5478723404199931E-3</v>
      </c>
      <c r="Q126" s="24">
        <v>1</v>
      </c>
      <c r="R126" s="24">
        <v>0</v>
      </c>
      <c r="S126" s="24">
        <v>0</v>
      </c>
      <c r="T126" s="24">
        <v>0</v>
      </c>
      <c r="U126" s="24">
        <v>0</v>
      </c>
      <c r="V126" s="24">
        <v>1</v>
      </c>
    </row>
    <row r="127" spans="1:22" ht="21" customHeight="1" x14ac:dyDescent="0.15">
      <c r="A127" s="2" t="str">
        <f ca="1">input_498010!A$2</f>
        <v>498010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38">
        <f ca="1">IFERROR(VLOOKUP(B127,input_498010!L:R,7,FALSE),VLOOKUP(tables_498010!C127,input_498010!A:H,8,FALSE))</f>
        <v>455388.46153999999</v>
      </c>
      <c r="P127" s="39">
        <f t="shared" ca="1" si="4"/>
        <v>3.9709492635110338E-3</v>
      </c>
      <c r="Q127" s="24">
        <v>1</v>
      </c>
      <c r="R127" s="24">
        <v>0</v>
      </c>
      <c r="S127" s="24">
        <v>0</v>
      </c>
      <c r="T127" s="24">
        <v>0</v>
      </c>
      <c r="U127" s="24">
        <v>0</v>
      </c>
      <c r="V127" s="24">
        <v>1</v>
      </c>
    </row>
    <row r="128" spans="1:22" ht="21" customHeight="1" x14ac:dyDescent="0.15">
      <c r="A128" s="2" t="str">
        <f ca="1">input_498010!A$2</f>
        <v>498010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38">
        <f ca="1">IFERROR(VLOOKUP(B128,input_498010!L:R,7,FALSE),VLOOKUP(tables_498010!C128,input_498010!A:H,8,FALSE))</f>
        <v>86510</v>
      </c>
      <c r="P128" s="39">
        <f t="shared" ca="1" si="4"/>
        <v>7.5435995814348308E-4</v>
      </c>
      <c r="Q128" s="24">
        <v>1</v>
      </c>
      <c r="R128" s="24">
        <v>0</v>
      </c>
      <c r="S128" s="24">
        <v>0</v>
      </c>
      <c r="T128" s="24">
        <v>0</v>
      </c>
      <c r="U128" s="24">
        <v>0</v>
      </c>
      <c r="V128" s="24">
        <v>1</v>
      </c>
    </row>
    <row r="129" spans="1:22" ht="21" customHeight="1" x14ac:dyDescent="0.15">
      <c r="A129" s="2" t="str">
        <f ca="1">input_498010!A$2</f>
        <v>498010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38">
        <f ca="1">IFERROR(VLOOKUP(B129,input_498010!L:R,7,FALSE),VLOOKUP(tables_498010!C129,input_498010!A:H,8,FALSE))</f>
        <v>521550</v>
      </c>
      <c r="P129" s="39">
        <f t="shared" ca="1" si="4"/>
        <v>4.5478723404199931E-3</v>
      </c>
      <c r="Q129" s="24">
        <v>1</v>
      </c>
      <c r="R129" s="24">
        <v>0</v>
      </c>
      <c r="S129" s="24">
        <v>0</v>
      </c>
      <c r="T129" s="24">
        <v>0</v>
      </c>
      <c r="U129" s="24">
        <v>0</v>
      </c>
      <c r="V129" s="24">
        <v>1</v>
      </c>
    </row>
    <row r="130" spans="1:22" ht="21" customHeight="1" x14ac:dyDescent="0.15">
      <c r="A130" s="2" t="str">
        <f ca="1">input_498010!A$2</f>
        <v>498010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38">
        <f ca="1">IFERROR(VLOOKUP(B130,input_498010!L:R,7,FALSE),VLOOKUP(tables_498010!C130,input_498010!A:H,8,FALSE))</f>
        <v>455388.46153999999</v>
      </c>
      <c r="P130" s="39">
        <f t="shared" ref="P130:P193" ca="1" si="7">O130/SUM(O:O)</f>
        <v>3.9709492635110338E-3</v>
      </c>
      <c r="Q130" s="24">
        <v>1</v>
      </c>
      <c r="R130" s="24">
        <v>0</v>
      </c>
      <c r="S130" s="24">
        <v>0</v>
      </c>
      <c r="T130" s="24">
        <v>0</v>
      </c>
      <c r="U130" s="24">
        <v>0</v>
      </c>
      <c r="V130" s="24">
        <v>1</v>
      </c>
    </row>
    <row r="131" spans="1:22" ht="21" customHeight="1" x14ac:dyDescent="0.15">
      <c r="A131" s="2" t="str">
        <f ca="1">input_498010!A$2</f>
        <v>498010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38">
        <f ca="1">IFERROR(VLOOKUP(B131,input_498010!L:R,7,FALSE),VLOOKUP(tables_498010!C131,input_498010!A:H,8,FALSE))</f>
        <v>86510</v>
      </c>
      <c r="P131" s="39">
        <f t="shared" ca="1" si="7"/>
        <v>7.5435995814348308E-4</v>
      </c>
      <c r="Q131" s="24">
        <v>1</v>
      </c>
      <c r="R131" s="24">
        <v>0</v>
      </c>
      <c r="S131" s="24">
        <v>0</v>
      </c>
      <c r="T131" s="24">
        <v>0</v>
      </c>
      <c r="U131" s="24">
        <v>0</v>
      </c>
      <c r="V131" s="24">
        <v>1</v>
      </c>
    </row>
    <row r="132" spans="1:22" ht="21" customHeight="1" x14ac:dyDescent="0.15">
      <c r="A132" s="2" t="str">
        <f ca="1">input_498010!A$2</f>
        <v>498010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38">
        <f ca="1">IFERROR(VLOOKUP(B132,input_498010!L:R,7,FALSE),VLOOKUP(tables_498010!C132,input_498010!A:H,8,FALSE))</f>
        <v>521550</v>
      </c>
      <c r="P132" s="39">
        <f t="shared" ca="1" si="7"/>
        <v>4.5478723404199931E-3</v>
      </c>
      <c r="Q132" s="24">
        <v>1</v>
      </c>
      <c r="R132" s="24">
        <v>0</v>
      </c>
      <c r="S132" s="24">
        <v>0</v>
      </c>
      <c r="T132" s="24">
        <v>0</v>
      </c>
      <c r="U132" s="24">
        <v>0</v>
      </c>
      <c r="V132" s="24">
        <v>1</v>
      </c>
    </row>
    <row r="133" spans="1:22" ht="21" customHeight="1" x14ac:dyDescent="0.15">
      <c r="A133" s="2" t="str">
        <f ca="1">input_498010!A$2</f>
        <v>498010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38">
        <f ca="1">IFERROR(VLOOKUP(B133,input_498010!L:R,7,FALSE),VLOOKUP(tables_498010!C133,input_498010!A:H,8,FALSE))</f>
        <v>455388.46153999999</v>
      </c>
      <c r="P133" s="39">
        <f t="shared" ca="1" si="7"/>
        <v>3.9709492635110338E-3</v>
      </c>
      <c r="Q133" s="24">
        <v>1</v>
      </c>
      <c r="R133" s="24">
        <v>0</v>
      </c>
      <c r="S133" s="24">
        <v>0</v>
      </c>
      <c r="T133" s="24">
        <v>0</v>
      </c>
      <c r="U133" s="24">
        <v>0</v>
      </c>
      <c r="V133" s="24">
        <v>1</v>
      </c>
    </row>
    <row r="134" spans="1:22" ht="21" customHeight="1" x14ac:dyDescent="0.15">
      <c r="A134" s="2" t="str">
        <f ca="1">input_498010!A$2</f>
        <v>498010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38">
        <f ca="1">IFERROR(VLOOKUP(B134,input_498010!L:R,7,FALSE),VLOOKUP(tables_498010!C134,input_498010!A:H,8,FALSE))</f>
        <v>86510</v>
      </c>
      <c r="P134" s="39">
        <f t="shared" ca="1" si="7"/>
        <v>7.5435995814348308E-4</v>
      </c>
      <c r="Q134" s="24">
        <v>1</v>
      </c>
      <c r="R134" s="24">
        <v>0</v>
      </c>
      <c r="S134" s="24">
        <v>0</v>
      </c>
      <c r="T134" s="24">
        <v>0</v>
      </c>
      <c r="U134" s="24">
        <v>0</v>
      </c>
      <c r="V134" s="24">
        <v>1</v>
      </c>
    </row>
    <row r="135" spans="1:22" ht="21" customHeight="1" x14ac:dyDescent="0.15">
      <c r="A135" s="2" t="str">
        <f ca="1">input_498010!A$2</f>
        <v>498010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38">
        <f ca="1">IFERROR(VLOOKUP(B135,input_498010!L:R,7,FALSE),VLOOKUP(tables_498010!C135,input_498010!A:H,8,FALSE))</f>
        <v>521550</v>
      </c>
      <c r="P135" s="39">
        <f t="shared" ca="1" si="7"/>
        <v>4.5478723404199931E-3</v>
      </c>
      <c r="Q135" s="24">
        <v>1</v>
      </c>
      <c r="R135" s="24">
        <v>0</v>
      </c>
      <c r="S135" s="24">
        <v>0</v>
      </c>
      <c r="T135" s="24">
        <v>0</v>
      </c>
      <c r="U135" s="24">
        <v>0</v>
      </c>
      <c r="V135" s="24">
        <v>1</v>
      </c>
    </row>
    <row r="136" spans="1:22" ht="21" customHeight="1" x14ac:dyDescent="0.15">
      <c r="A136" s="2" t="str">
        <f ca="1">input_498010!A$2</f>
        <v>498010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38">
        <f ca="1">IFERROR(VLOOKUP(B136,input_498010!L:R,7,FALSE),VLOOKUP(tables_498010!C136,input_498010!A:H,8,FALSE))</f>
        <v>455388.46153999999</v>
      </c>
      <c r="P136" s="39">
        <f t="shared" ca="1" si="7"/>
        <v>3.9709492635110338E-3</v>
      </c>
      <c r="Q136" s="24">
        <v>1</v>
      </c>
      <c r="R136" s="24">
        <v>0</v>
      </c>
      <c r="S136" s="24">
        <v>0</v>
      </c>
      <c r="T136" s="24">
        <v>0</v>
      </c>
      <c r="U136" s="24">
        <v>0</v>
      </c>
      <c r="V136" s="24">
        <v>1</v>
      </c>
    </row>
    <row r="137" spans="1:22" ht="21" customHeight="1" x14ac:dyDescent="0.15">
      <c r="A137" s="2" t="str">
        <f ca="1">input_498010!A$2</f>
        <v>498010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38">
        <f ca="1">IFERROR(VLOOKUP(B137,input_498010!L:R,7,FALSE),VLOOKUP(tables_498010!C137,input_498010!A:H,8,FALSE))</f>
        <v>86510</v>
      </c>
      <c r="P137" s="39">
        <f t="shared" ca="1" si="7"/>
        <v>7.5435995814348308E-4</v>
      </c>
      <c r="Q137" s="24">
        <v>1</v>
      </c>
      <c r="R137" s="24">
        <v>0</v>
      </c>
      <c r="S137" s="24">
        <v>0</v>
      </c>
      <c r="T137" s="24">
        <v>0</v>
      </c>
      <c r="U137" s="24">
        <v>0</v>
      </c>
      <c r="V137" s="24">
        <v>1</v>
      </c>
    </row>
    <row r="138" spans="1:22" ht="21" customHeight="1" x14ac:dyDescent="0.15">
      <c r="A138" s="2" t="str">
        <f ca="1">input_498010!A$2</f>
        <v>498010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38">
        <f ca="1">IFERROR(VLOOKUP(B138,input_498010!L:R,7,FALSE),VLOOKUP(tables_498010!C138,input_498010!A:H,8,FALSE))</f>
        <v>67680</v>
      </c>
      <c r="P138" s="39">
        <f t="shared" ca="1" si="7"/>
        <v>5.901639344255107E-4</v>
      </c>
      <c r="Q138" s="24">
        <v>1</v>
      </c>
      <c r="R138" s="24">
        <v>0</v>
      </c>
      <c r="S138" s="24">
        <v>0</v>
      </c>
      <c r="T138" s="24">
        <v>0</v>
      </c>
      <c r="U138" s="24">
        <v>0</v>
      </c>
      <c r="V138" s="24">
        <v>1</v>
      </c>
    </row>
    <row r="139" spans="1:22" ht="21" customHeight="1" x14ac:dyDescent="0.15">
      <c r="A139" s="2" t="str">
        <f ca="1">input_498010!A$2</f>
        <v>498010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38">
        <f ca="1">IFERROR(VLOOKUP(B139,input_498010!L:R,7,FALSE),VLOOKUP(tables_498010!C139,input_498010!A:H,8,FALSE))</f>
        <v>7520</v>
      </c>
      <c r="P139" s="39">
        <f t="shared" ca="1" si="7"/>
        <v>6.5573770491723419E-5</v>
      </c>
      <c r="Q139" s="24">
        <v>1</v>
      </c>
      <c r="R139" s="24">
        <v>0</v>
      </c>
      <c r="S139" s="24">
        <v>0</v>
      </c>
      <c r="T139" s="24">
        <v>0</v>
      </c>
      <c r="U139" s="24">
        <v>0</v>
      </c>
      <c r="V139" s="24">
        <v>1</v>
      </c>
    </row>
    <row r="140" spans="1:22" ht="21" customHeight="1" x14ac:dyDescent="0.15">
      <c r="A140" s="2" t="str">
        <f ca="1">input_498010!A$2</f>
        <v>498010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38">
        <f ca="1">IFERROR(VLOOKUP(B140,input_498010!L:R,7,FALSE),VLOOKUP(tables_498010!C140,input_498010!A:H,8,FALSE))</f>
        <v>67680</v>
      </c>
      <c r="P140" s="39">
        <f t="shared" ca="1" si="7"/>
        <v>5.901639344255107E-4</v>
      </c>
      <c r="Q140" s="24">
        <v>1</v>
      </c>
      <c r="R140" s="24">
        <v>0</v>
      </c>
      <c r="S140" s="24">
        <v>0</v>
      </c>
      <c r="T140" s="24">
        <v>0</v>
      </c>
      <c r="U140" s="24">
        <v>0</v>
      </c>
      <c r="V140" s="24">
        <v>1</v>
      </c>
    </row>
    <row r="141" spans="1:22" ht="21" customHeight="1" x14ac:dyDescent="0.15">
      <c r="A141" s="2" t="str">
        <f ca="1">input_498010!A$2</f>
        <v>498010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38">
        <f ca="1">IFERROR(VLOOKUP(B141,input_498010!L:R,7,FALSE),VLOOKUP(tables_498010!C141,input_498010!A:H,8,FALSE))</f>
        <v>7520</v>
      </c>
      <c r="P141" s="39">
        <f t="shared" ca="1" si="7"/>
        <v>6.5573770491723419E-5</v>
      </c>
      <c r="Q141" s="24">
        <v>1</v>
      </c>
      <c r="R141" s="24">
        <v>0</v>
      </c>
      <c r="S141" s="24">
        <v>0</v>
      </c>
      <c r="T141" s="24">
        <v>0</v>
      </c>
      <c r="U141" s="24">
        <v>0</v>
      </c>
      <c r="V141" s="24">
        <v>1</v>
      </c>
    </row>
    <row r="142" spans="1:22" ht="21" customHeight="1" x14ac:dyDescent="0.15">
      <c r="A142" s="2" t="str">
        <f ca="1">input_498010!A$2</f>
        <v>498010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38">
        <f ca="1">IFERROR(VLOOKUP(B142,input_498010!L:R,7,FALSE),VLOOKUP(tables_498010!C142,input_498010!A:H,8,FALSE))</f>
        <v>67680</v>
      </c>
      <c r="P142" s="39">
        <f t="shared" ca="1" si="7"/>
        <v>5.901639344255107E-4</v>
      </c>
      <c r="Q142" s="24">
        <v>1</v>
      </c>
      <c r="R142" s="24">
        <v>0</v>
      </c>
      <c r="S142" s="24">
        <v>0</v>
      </c>
      <c r="T142" s="24">
        <v>0</v>
      </c>
      <c r="U142" s="24">
        <v>0</v>
      </c>
      <c r="V142" s="24">
        <v>1</v>
      </c>
    </row>
    <row r="143" spans="1:22" s="12" customFormat="1" ht="21" customHeight="1" thickBot="1" x14ac:dyDescent="0.2">
      <c r="A143" s="2" t="str">
        <f ca="1">input_498010!A$2</f>
        <v>498010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38">
        <f ca="1">IFERROR(VLOOKUP(B143,input_498010!L:R,7,FALSE),VLOOKUP(tables_498010!C143,input_498010!A:H,8,FALSE))</f>
        <v>7520</v>
      </c>
      <c r="P143" s="39">
        <f t="shared" ca="1" si="7"/>
        <v>6.5573770491723419E-5</v>
      </c>
      <c r="Q143" s="24">
        <v>1</v>
      </c>
      <c r="R143" s="24">
        <v>0</v>
      </c>
      <c r="S143" s="24">
        <v>0</v>
      </c>
      <c r="T143" s="24">
        <v>0</v>
      </c>
      <c r="U143" s="24">
        <v>0</v>
      </c>
      <c r="V143" s="24">
        <v>1</v>
      </c>
    </row>
    <row r="144" spans="1:22" ht="21" customHeight="1" x14ac:dyDescent="0.15">
      <c r="A144" s="2" t="str">
        <f ca="1">input_498010!A$2</f>
        <v>498010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38">
        <f ca="1">IFERROR(VLOOKUP(B144,input_498010!L:R,7,FALSE),VLOOKUP(tables_498010!C144,input_498010!A:H,8,FALSE))</f>
        <v>67680</v>
      </c>
      <c r="P144" s="39">
        <f t="shared" ca="1" si="7"/>
        <v>5.901639344255107E-4</v>
      </c>
      <c r="Q144" s="24">
        <v>1</v>
      </c>
      <c r="R144" s="24">
        <v>0</v>
      </c>
      <c r="S144" s="24">
        <v>0</v>
      </c>
      <c r="T144" s="24">
        <v>0</v>
      </c>
      <c r="U144" s="24">
        <v>0</v>
      </c>
      <c r="V144" s="24">
        <v>1</v>
      </c>
    </row>
    <row r="145" spans="1:22" ht="21" customHeight="1" x14ac:dyDescent="0.15">
      <c r="A145" s="2" t="str">
        <f ca="1">input_498010!A$2</f>
        <v>498010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38">
        <f ca="1">IFERROR(VLOOKUP(B145,input_498010!L:R,7,FALSE),VLOOKUP(tables_498010!C145,input_498010!A:H,8,FALSE))</f>
        <v>7520</v>
      </c>
      <c r="P145" s="39">
        <f t="shared" ca="1" si="7"/>
        <v>6.5573770491723419E-5</v>
      </c>
      <c r="Q145" s="24">
        <v>1</v>
      </c>
      <c r="R145" s="24">
        <v>0</v>
      </c>
      <c r="S145" s="24">
        <v>0</v>
      </c>
      <c r="T145" s="24">
        <v>0</v>
      </c>
      <c r="U145" s="24">
        <v>0</v>
      </c>
      <c r="V145" s="24">
        <v>1</v>
      </c>
    </row>
    <row r="146" spans="1:22" ht="21" customHeight="1" x14ac:dyDescent="0.15">
      <c r="A146" s="2" t="str">
        <f ca="1">input_498010!A$2</f>
        <v>498010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38">
        <f ca="1">IFERROR(VLOOKUP(B146,input_498010!L:R,7,FALSE),VLOOKUP(tables_498010!C146,input_498010!A:H,8,FALSE))</f>
        <v>521550</v>
      </c>
      <c r="P146" s="39">
        <f t="shared" ca="1" si="7"/>
        <v>4.5478723404199931E-3</v>
      </c>
      <c r="Q146" s="24">
        <v>1</v>
      </c>
      <c r="R146" s="24">
        <v>0</v>
      </c>
      <c r="S146" s="24">
        <v>0</v>
      </c>
      <c r="T146" s="24">
        <v>0</v>
      </c>
      <c r="U146" s="24">
        <v>0</v>
      </c>
      <c r="V146" s="24">
        <v>1</v>
      </c>
    </row>
    <row r="147" spans="1:22" ht="21" customHeight="1" x14ac:dyDescent="0.15">
      <c r="A147" s="2" t="str">
        <f ca="1">input_498010!A$2</f>
        <v>498010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38">
        <f ca="1">IFERROR(VLOOKUP(B147,input_498010!L:R,7,FALSE),VLOOKUP(tables_498010!C147,input_498010!A:H,8,FALSE))</f>
        <v>455388.46153999999</v>
      </c>
      <c r="P147" s="39">
        <f t="shared" ca="1" si="7"/>
        <v>3.9709492635110338E-3</v>
      </c>
      <c r="Q147" s="24">
        <v>1</v>
      </c>
      <c r="R147" s="24">
        <v>0</v>
      </c>
      <c r="S147" s="24">
        <v>0</v>
      </c>
      <c r="T147" s="24">
        <v>0</v>
      </c>
      <c r="U147" s="24">
        <v>0</v>
      </c>
      <c r="V147" s="24">
        <v>1</v>
      </c>
    </row>
    <row r="148" spans="1:22" ht="21" customHeight="1" x14ac:dyDescent="0.15">
      <c r="A148" s="2" t="str">
        <f ca="1">input_498010!A$2</f>
        <v>498010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38">
        <f ca="1">IFERROR(VLOOKUP(B148,input_498010!L:R,7,FALSE),VLOOKUP(tables_498010!C148,input_498010!A:H,8,FALSE))</f>
        <v>86510</v>
      </c>
      <c r="P148" s="39">
        <f t="shared" ca="1" si="7"/>
        <v>7.5435995814348308E-4</v>
      </c>
      <c r="Q148" s="24">
        <v>1</v>
      </c>
      <c r="R148" s="24">
        <v>0</v>
      </c>
      <c r="S148" s="24">
        <v>0</v>
      </c>
      <c r="T148" s="24">
        <v>0</v>
      </c>
      <c r="U148" s="24">
        <v>0</v>
      </c>
      <c r="V148" s="24">
        <v>1</v>
      </c>
    </row>
    <row r="149" spans="1:22" ht="21" customHeight="1" x14ac:dyDescent="0.15">
      <c r="A149" s="2" t="str">
        <f ca="1">input_498010!A$2</f>
        <v>498010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38">
        <f ca="1">IFERROR(VLOOKUP(B149,input_498010!L:R,7,FALSE),VLOOKUP(tables_498010!C149,input_498010!A:H,8,FALSE))</f>
        <v>67680</v>
      </c>
      <c r="P149" s="39">
        <f t="shared" ca="1" si="7"/>
        <v>5.901639344255107E-4</v>
      </c>
      <c r="Q149" s="24">
        <v>1</v>
      </c>
      <c r="R149" s="24">
        <v>0</v>
      </c>
      <c r="S149" s="24">
        <v>0</v>
      </c>
      <c r="T149" s="24">
        <v>0</v>
      </c>
      <c r="U149" s="24">
        <v>0</v>
      </c>
      <c r="V149" s="24">
        <v>1</v>
      </c>
    </row>
    <row r="150" spans="1:22" ht="21" customHeight="1" x14ac:dyDescent="0.15">
      <c r="A150" s="2" t="str">
        <f ca="1">input_498010!A$2</f>
        <v>498010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38">
        <f ca="1">IFERROR(VLOOKUP(B150,input_498010!L:R,7,FALSE),VLOOKUP(tables_498010!C150,input_498010!A:H,8,FALSE))</f>
        <v>7520</v>
      </c>
      <c r="P150" s="39">
        <f t="shared" ca="1" si="7"/>
        <v>6.5573770491723419E-5</v>
      </c>
      <c r="Q150" s="24">
        <v>1</v>
      </c>
      <c r="R150" s="24">
        <v>0</v>
      </c>
      <c r="S150" s="24">
        <v>0</v>
      </c>
      <c r="T150" s="24">
        <v>0</v>
      </c>
      <c r="U150" s="24">
        <v>0</v>
      </c>
      <c r="V150" s="24">
        <v>1</v>
      </c>
    </row>
    <row r="151" spans="1:22" ht="21" customHeight="1" x14ac:dyDescent="0.15">
      <c r="A151" s="2" t="str">
        <f ca="1">input_498010!A$2</f>
        <v>498010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38">
        <f ca="1">IFERROR(VLOOKUP(B151,input_498010!L:R,7,FALSE),VLOOKUP(tables_498010!C151,input_498010!A:H,8,FALSE))</f>
        <v>67680</v>
      </c>
      <c r="P151" s="39">
        <f t="shared" ca="1" si="7"/>
        <v>5.901639344255107E-4</v>
      </c>
      <c r="Q151" s="24">
        <v>1</v>
      </c>
      <c r="R151" s="24">
        <v>0</v>
      </c>
      <c r="S151" s="24">
        <v>0</v>
      </c>
      <c r="T151" s="24">
        <v>0</v>
      </c>
      <c r="U151" s="24">
        <v>0</v>
      </c>
      <c r="V151" s="24">
        <v>1</v>
      </c>
    </row>
    <row r="152" spans="1:22" ht="21" customHeight="1" x14ac:dyDescent="0.15">
      <c r="A152" s="2" t="str">
        <f ca="1">input_498010!A$2</f>
        <v>498010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38">
        <f ca="1">IFERROR(VLOOKUP(B152,input_498010!L:R,7,FALSE),VLOOKUP(tables_498010!C152,input_498010!A:H,8,FALSE))</f>
        <v>7520</v>
      </c>
      <c r="P152" s="39">
        <f t="shared" ca="1" si="7"/>
        <v>6.5573770491723419E-5</v>
      </c>
      <c r="Q152" s="24">
        <v>1</v>
      </c>
      <c r="R152" s="24">
        <v>0</v>
      </c>
      <c r="S152" s="24">
        <v>0</v>
      </c>
      <c r="T152" s="24">
        <v>0</v>
      </c>
      <c r="U152" s="24">
        <v>0</v>
      </c>
      <c r="V152" s="24">
        <v>1</v>
      </c>
    </row>
    <row r="153" spans="1:22" ht="21" customHeight="1" x14ac:dyDescent="0.15">
      <c r="A153" s="2" t="str">
        <f ca="1">input_498010!A$2</f>
        <v>498010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38">
        <f ca="1">IFERROR(VLOOKUP(B153,input_498010!L:R,7,FALSE),VLOOKUP(tables_498010!C153,input_498010!A:H,8,FALSE))</f>
        <v>521550</v>
      </c>
      <c r="P153" s="39">
        <f t="shared" ca="1" si="7"/>
        <v>4.5478723404199931E-3</v>
      </c>
      <c r="Q153" s="24">
        <v>1</v>
      </c>
      <c r="R153" s="24">
        <v>0</v>
      </c>
      <c r="S153" s="24">
        <v>0</v>
      </c>
      <c r="T153" s="24">
        <v>0</v>
      </c>
      <c r="U153" s="24">
        <v>0</v>
      </c>
      <c r="V153" s="24">
        <v>1</v>
      </c>
    </row>
    <row r="154" spans="1:22" ht="21" customHeight="1" x14ac:dyDescent="0.15">
      <c r="A154" s="2" t="str">
        <f ca="1">input_498010!A$2</f>
        <v>498010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38">
        <f ca="1">IFERROR(VLOOKUP(B154,input_498010!L:R,7,FALSE),VLOOKUP(tables_498010!C154,input_498010!A:H,8,FALSE))</f>
        <v>455388.46153999999</v>
      </c>
      <c r="P154" s="39">
        <f t="shared" ca="1" si="7"/>
        <v>3.9709492635110338E-3</v>
      </c>
      <c r="Q154" s="24">
        <v>1</v>
      </c>
      <c r="R154" s="24">
        <v>0</v>
      </c>
      <c r="S154" s="24">
        <v>0</v>
      </c>
      <c r="T154" s="24">
        <v>0</v>
      </c>
      <c r="U154" s="24">
        <v>0</v>
      </c>
      <c r="V154" s="24">
        <v>1</v>
      </c>
    </row>
    <row r="155" spans="1:22" ht="21" customHeight="1" x14ac:dyDescent="0.15">
      <c r="A155" s="2" t="str">
        <f ca="1">input_498010!A$2</f>
        <v>498010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38">
        <f ca="1">IFERROR(VLOOKUP(B155,input_498010!L:R,7,FALSE),VLOOKUP(tables_498010!C155,input_498010!A:H,8,FALSE))</f>
        <v>86510</v>
      </c>
      <c r="P155" s="39">
        <f t="shared" ca="1" si="7"/>
        <v>7.5435995814348308E-4</v>
      </c>
      <c r="Q155" s="24">
        <v>1</v>
      </c>
      <c r="R155" s="24">
        <v>0</v>
      </c>
      <c r="S155" s="24">
        <v>0</v>
      </c>
      <c r="T155" s="24">
        <v>0</v>
      </c>
      <c r="U155" s="24">
        <v>0</v>
      </c>
      <c r="V155" s="24">
        <v>1</v>
      </c>
    </row>
    <row r="156" spans="1:22" ht="21" customHeight="1" x14ac:dyDescent="0.15">
      <c r="A156" s="2" t="str">
        <f ca="1">input_498010!A$2</f>
        <v>498010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38">
        <f ca="1">IFERROR(VLOOKUP(B156,input_498010!L:R,7,FALSE),VLOOKUP(tables_498010!C156,input_498010!A:H,8,FALSE))</f>
        <v>67680</v>
      </c>
      <c r="P156" s="39">
        <f t="shared" ca="1" si="7"/>
        <v>5.901639344255107E-4</v>
      </c>
      <c r="Q156" s="24">
        <v>1</v>
      </c>
      <c r="R156" s="24">
        <v>0</v>
      </c>
      <c r="S156" s="24">
        <v>0</v>
      </c>
      <c r="T156" s="24">
        <v>0</v>
      </c>
      <c r="U156" s="24">
        <v>0</v>
      </c>
      <c r="V156" s="24">
        <v>1</v>
      </c>
    </row>
    <row r="157" spans="1:22" ht="21" customHeight="1" x14ac:dyDescent="0.15">
      <c r="A157" s="2" t="str">
        <f ca="1">input_498010!A$2</f>
        <v>498010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38">
        <f ca="1">IFERROR(VLOOKUP(B157,input_498010!L:R,7,FALSE),VLOOKUP(tables_498010!C157,input_498010!A:H,8,FALSE))</f>
        <v>7520</v>
      </c>
      <c r="P157" s="39">
        <f t="shared" ca="1" si="7"/>
        <v>6.5573770491723419E-5</v>
      </c>
      <c r="Q157" s="24">
        <v>1</v>
      </c>
      <c r="R157" s="24">
        <v>0</v>
      </c>
      <c r="S157" s="24">
        <v>0</v>
      </c>
      <c r="T157" s="24">
        <v>0</v>
      </c>
      <c r="U157" s="24">
        <v>0</v>
      </c>
      <c r="V157" s="24">
        <v>1</v>
      </c>
    </row>
    <row r="158" spans="1:22" ht="21" customHeight="1" x14ac:dyDescent="0.15">
      <c r="A158" s="2" t="str">
        <f ca="1">input_498010!A$2</f>
        <v>498010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38">
        <f ca="1">IFERROR(VLOOKUP(B158,input_498010!L:R,7,FALSE),VLOOKUP(tables_498010!C158,input_498010!A:H,8,FALSE))</f>
        <v>521550</v>
      </c>
      <c r="P158" s="39">
        <f t="shared" ca="1" si="7"/>
        <v>4.5478723404199931E-3</v>
      </c>
      <c r="Q158" s="24">
        <v>1</v>
      </c>
      <c r="R158" s="24">
        <v>0</v>
      </c>
      <c r="S158" s="24">
        <v>0</v>
      </c>
      <c r="T158" s="24">
        <v>0</v>
      </c>
      <c r="U158" s="24">
        <v>0</v>
      </c>
      <c r="V158" s="24">
        <v>1</v>
      </c>
    </row>
    <row r="159" spans="1:22" ht="21" customHeight="1" x14ac:dyDescent="0.15">
      <c r="A159" s="2" t="str">
        <f ca="1">input_498010!A$2</f>
        <v>498010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38">
        <f ca="1">IFERROR(VLOOKUP(B159,input_498010!L:R,7,FALSE),VLOOKUP(tables_498010!C159,input_498010!A:H,8,FALSE))</f>
        <v>455388.46153999999</v>
      </c>
      <c r="P159" s="39">
        <f t="shared" ca="1" si="7"/>
        <v>3.9709492635110338E-3</v>
      </c>
      <c r="Q159" s="24">
        <v>1</v>
      </c>
      <c r="R159" s="24">
        <v>0</v>
      </c>
      <c r="S159" s="24">
        <v>0</v>
      </c>
      <c r="T159" s="24">
        <v>0</v>
      </c>
      <c r="U159" s="24">
        <v>0</v>
      </c>
      <c r="V159" s="24">
        <v>1</v>
      </c>
    </row>
    <row r="160" spans="1:22" ht="21" customHeight="1" x14ac:dyDescent="0.15">
      <c r="A160" s="2" t="str">
        <f ca="1">input_498010!A$2</f>
        <v>498010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38">
        <f ca="1">IFERROR(VLOOKUP(B160,input_498010!L:R,7,FALSE),VLOOKUP(tables_498010!C160,input_498010!A:H,8,FALSE))</f>
        <v>86510</v>
      </c>
      <c r="P160" s="39">
        <f t="shared" ca="1" si="7"/>
        <v>7.5435995814348308E-4</v>
      </c>
      <c r="Q160" s="24">
        <v>1</v>
      </c>
      <c r="R160" s="24">
        <v>0</v>
      </c>
      <c r="S160" s="24">
        <v>0</v>
      </c>
      <c r="T160" s="24">
        <v>0</v>
      </c>
      <c r="U160" s="24">
        <v>0</v>
      </c>
      <c r="V160" s="24">
        <v>1</v>
      </c>
    </row>
    <row r="161" spans="1:22" ht="21" customHeight="1" x14ac:dyDescent="0.15">
      <c r="A161" s="2" t="str">
        <f ca="1">input_498010!A$2</f>
        <v>498010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38">
        <f ca="1">IFERROR(VLOOKUP(B161,input_498010!L:R,7,FALSE),VLOOKUP(tables_498010!C161,input_498010!A:H,8,FALSE))</f>
        <v>521550</v>
      </c>
      <c r="P161" s="39">
        <f t="shared" ca="1" si="7"/>
        <v>4.5478723404199931E-3</v>
      </c>
      <c r="Q161" s="24">
        <v>1</v>
      </c>
      <c r="R161" s="24">
        <v>0</v>
      </c>
      <c r="S161" s="24">
        <v>0</v>
      </c>
      <c r="T161" s="24">
        <v>0</v>
      </c>
      <c r="U161" s="24">
        <v>0</v>
      </c>
      <c r="V161" s="24">
        <v>1</v>
      </c>
    </row>
    <row r="162" spans="1:22" ht="21" customHeight="1" x14ac:dyDescent="0.15">
      <c r="A162" s="2" t="str">
        <f ca="1">input_498010!A$2</f>
        <v>498010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38">
        <f ca="1">IFERROR(VLOOKUP(B162,input_498010!L:R,7,FALSE),VLOOKUP(tables_498010!C162,input_498010!A:H,8,FALSE))</f>
        <v>455388.46153999999</v>
      </c>
      <c r="P162" s="39">
        <f t="shared" ca="1" si="7"/>
        <v>3.9709492635110338E-3</v>
      </c>
      <c r="Q162" s="24">
        <v>1</v>
      </c>
      <c r="R162" s="24">
        <v>0</v>
      </c>
      <c r="S162" s="24">
        <v>0</v>
      </c>
      <c r="T162" s="24">
        <v>0</v>
      </c>
      <c r="U162" s="24">
        <v>0</v>
      </c>
      <c r="V162" s="24">
        <v>1</v>
      </c>
    </row>
    <row r="163" spans="1:22" ht="21" customHeight="1" x14ac:dyDescent="0.15">
      <c r="A163" s="2" t="str">
        <f ca="1">input_498010!A$2</f>
        <v>498010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38">
        <f ca="1">IFERROR(VLOOKUP(B163,input_498010!L:R,7,FALSE),VLOOKUP(tables_498010!C163,input_498010!A:H,8,FALSE))</f>
        <v>86510</v>
      </c>
      <c r="P163" s="39">
        <f t="shared" ca="1" si="7"/>
        <v>7.5435995814348308E-4</v>
      </c>
      <c r="Q163" s="24">
        <v>1</v>
      </c>
      <c r="R163" s="24">
        <v>0</v>
      </c>
      <c r="S163" s="24">
        <v>0</v>
      </c>
      <c r="T163" s="24">
        <v>0</v>
      </c>
      <c r="U163" s="24">
        <v>0</v>
      </c>
      <c r="V163" s="24">
        <v>1</v>
      </c>
    </row>
    <row r="164" spans="1:22" ht="21" customHeight="1" x14ac:dyDescent="0.15">
      <c r="A164" s="2" t="str">
        <f ca="1">input_498010!A$2</f>
        <v>498010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38">
        <f ca="1">IFERROR(VLOOKUP(B164,input_498010!L:R,7,FALSE),VLOOKUP(tables_498010!C164,input_498010!A:H,8,FALSE))</f>
        <v>67680</v>
      </c>
      <c r="P164" s="39">
        <f t="shared" ca="1" si="7"/>
        <v>5.901639344255107E-4</v>
      </c>
      <c r="Q164" s="24">
        <v>1</v>
      </c>
      <c r="R164" s="24">
        <v>0</v>
      </c>
      <c r="S164" s="24">
        <v>0</v>
      </c>
      <c r="T164" s="24">
        <v>0</v>
      </c>
      <c r="U164" s="24">
        <v>0</v>
      </c>
      <c r="V164" s="24">
        <v>1</v>
      </c>
    </row>
    <row r="165" spans="1:22" ht="21" customHeight="1" x14ac:dyDescent="0.15">
      <c r="A165" s="2" t="str">
        <f ca="1">input_498010!A$2</f>
        <v>498010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38">
        <f ca="1">IFERROR(VLOOKUP(B165,input_498010!L:R,7,FALSE),VLOOKUP(tables_498010!C165,input_498010!A:H,8,FALSE))</f>
        <v>7520</v>
      </c>
      <c r="P165" s="39">
        <f t="shared" ca="1" si="7"/>
        <v>6.5573770491723419E-5</v>
      </c>
      <c r="Q165" s="24">
        <v>1</v>
      </c>
      <c r="R165" s="24">
        <v>0</v>
      </c>
      <c r="S165" s="24">
        <v>0</v>
      </c>
      <c r="T165" s="24">
        <v>0</v>
      </c>
      <c r="U165" s="24">
        <v>0</v>
      </c>
      <c r="V165" s="24">
        <v>1</v>
      </c>
    </row>
    <row r="166" spans="1:22" ht="21" customHeight="1" x14ac:dyDescent="0.15">
      <c r="A166" s="2" t="str">
        <f ca="1">input_498010!A$2</f>
        <v>498010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38">
        <f ca="1">IFERROR(VLOOKUP(B166,input_498010!L:R,7,FALSE),VLOOKUP(tables_498010!C166,input_498010!A:H,8,FALSE))</f>
        <v>521550</v>
      </c>
      <c r="P166" s="39">
        <f t="shared" ca="1" si="7"/>
        <v>4.5478723404199931E-3</v>
      </c>
      <c r="Q166" s="24">
        <v>1</v>
      </c>
      <c r="R166" s="24">
        <v>0</v>
      </c>
      <c r="S166" s="24">
        <v>0</v>
      </c>
      <c r="T166" s="24">
        <v>0</v>
      </c>
      <c r="U166" s="24">
        <v>0</v>
      </c>
      <c r="V166" s="24">
        <v>1</v>
      </c>
    </row>
    <row r="167" spans="1:22" ht="21" customHeight="1" x14ac:dyDescent="0.15">
      <c r="A167" s="2" t="str">
        <f ca="1">input_498010!A$2</f>
        <v>498010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38">
        <f ca="1">IFERROR(VLOOKUP(B167,input_498010!L:R,7,FALSE),VLOOKUP(tables_498010!C167,input_498010!A:H,8,FALSE))</f>
        <v>455388.46153999999</v>
      </c>
      <c r="P167" s="39">
        <f t="shared" ca="1" si="7"/>
        <v>3.9709492635110338E-3</v>
      </c>
      <c r="Q167" s="24">
        <v>1</v>
      </c>
      <c r="R167" s="24">
        <v>0</v>
      </c>
      <c r="S167" s="24">
        <v>0</v>
      </c>
      <c r="T167" s="24">
        <v>0</v>
      </c>
      <c r="U167" s="24">
        <v>0</v>
      </c>
      <c r="V167" s="24">
        <v>1</v>
      </c>
    </row>
    <row r="168" spans="1:22" ht="21" customHeight="1" x14ac:dyDescent="0.15">
      <c r="A168" s="2" t="str">
        <f ca="1">input_498010!A$2</f>
        <v>498010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38">
        <f ca="1">IFERROR(VLOOKUP(B168,input_498010!L:R,7,FALSE),VLOOKUP(tables_498010!C168,input_498010!A:H,8,FALSE))</f>
        <v>86510</v>
      </c>
      <c r="P168" s="39">
        <f t="shared" ca="1" si="7"/>
        <v>7.5435995814348308E-4</v>
      </c>
      <c r="Q168" s="24">
        <v>1</v>
      </c>
      <c r="R168" s="24">
        <v>0</v>
      </c>
      <c r="S168" s="24">
        <v>0</v>
      </c>
      <c r="T168" s="24">
        <v>0</v>
      </c>
      <c r="U168" s="24">
        <v>0</v>
      </c>
      <c r="V168" s="24">
        <v>1</v>
      </c>
    </row>
    <row r="169" spans="1:22" ht="21" customHeight="1" x14ac:dyDescent="0.15">
      <c r="A169" s="2" t="str">
        <f ca="1">input_498010!A$2</f>
        <v>498010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38">
        <f ca="1">IFERROR(VLOOKUP(B169,input_498010!L:R,7,FALSE),VLOOKUP(tables_498010!C169,input_498010!A:H,8,FALSE))</f>
        <v>67680</v>
      </c>
      <c r="P169" s="39">
        <f t="shared" ca="1" si="7"/>
        <v>5.901639344255107E-4</v>
      </c>
      <c r="Q169" s="24">
        <v>1</v>
      </c>
      <c r="R169" s="24">
        <v>0</v>
      </c>
      <c r="S169" s="24">
        <v>0</v>
      </c>
      <c r="T169" s="24">
        <v>0</v>
      </c>
      <c r="U169" s="24">
        <v>0</v>
      </c>
      <c r="V169" s="24">
        <v>1</v>
      </c>
    </row>
    <row r="170" spans="1:22" ht="21" customHeight="1" x14ac:dyDescent="0.15">
      <c r="A170" s="2" t="str">
        <f ca="1">input_498010!A$2</f>
        <v>498010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38">
        <f ca="1">IFERROR(VLOOKUP(B170,input_498010!L:R,7,FALSE),VLOOKUP(tables_498010!C170,input_498010!A:H,8,FALSE))</f>
        <v>7520</v>
      </c>
      <c r="P170" s="39">
        <f t="shared" ca="1" si="7"/>
        <v>6.5573770491723419E-5</v>
      </c>
      <c r="Q170" s="24">
        <v>1</v>
      </c>
      <c r="R170" s="24">
        <v>0</v>
      </c>
      <c r="S170" s="24">
        <v>0</v>
      </c>
      <c r="T170" s="24">
        <v>0</v>
      </c>
      <c r="U170" s="24">
        <v>0</v>
      </c>
      <c r="V170" s="24">
        <v>1</v>
      </c>
    </row>
    <row r="171" spans="1:22" ht="21" customHeight="1" x14ac:dyDescent="0.15">
      <c r="A171" s="2" t="str">
        <f ca="1">input_498010!A$2</f>
        <v>498010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38">
        <f ca="1">IFERROR(VLOOKUP(B171,input_498010!L:R,7,FALSE),VLOOKUP(tables_498010!C171,input_498010!A:H,8,FALSE))</f>
        <v>521550</v>
      </c>
      <c r="P171" s="39">
        <f t="shared" ca="1" si="7"/>
        <v>4.5478723404199931E-3</v>
      </c>
      <c r="Q171" s="24">
        <v>1</v>
      </c>
      <c r="R171" s="24">
        <v>0</v>
      </c>
      <c r="S171" s="24">
        <v>0</v>
      </c>
      <c r="T171" s="24">
        <v>0</v>
      </c>
      <c r="U171" s="24">
        <v>0</v>
      </c>
      <c r="V171" s="24">
        <v>1</v>
      </c>
    </row>
    <row r="172" spans="1:22" ht="21" customHeight="1" x14ac:dyDescent="0.15">
      <c r="A172" s="2" t="str">
        <f ca="1">input_498010!A$2</f>
        <v>498010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38">
        <f ca="1">IFERROR(VLOOKUP(B172,input_498010!L:R,7,FALSE),VLOOKUP(tables_498010!C172,input_498010!A:H,8,FALSE))</f>
        <v>455388.46153999999</v>
      </c>
      <c r="P172" s="39">
        <f t="shared" ca="1" si="7"/>
        <v>3.9709492635110338E-3</v>
      </c>
      <c r="Q172" s="24">
        <v>1</v>
      </c>
      <c r="R172" s="24">
        <v>0</v>
      </c>
      <c r="S172" s="24">
        <v>0</v>
      </c>
      <c r="T172" s="24">
        <v>0</v>
      </c>
      <c r="U172" s="24">
        <v>0</v>
      </c>
      <c r="V172" s="24">
        <v>1</v>
      </c>
    </row>
    <row r="173" spans="1:22" ht="21" customHeight="1" x14ac:dyDescent="0.15">
      <c r="A173" s="2" t="str">
        <f ca="1">input_498010!A$2</f>
        <v>498010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38">
        <f ca="1">IFERROR(VLOOKUP(B173,input_498010!L:R,7,FALSE),VLOOKUP(tables_498010!C173,input_498010!A:H,8,FALSE))</f>
        <v>86510</v>
      </c>
      <c r="P173" s="39">
        <f t="shared" ca="1" si="7"/>
        <v>7.5435995814348308E-4</v>
      </c>
      <c r="Q173" s="24">
        <v>1</v>
      </c>
      <c r="R173" s="24">
        <v>0</v>
      </c>
      <c r="S173" s="24">
        <v>0</v>
      </c>
      <c r="T173" s="24">
        <v>0</v>
      </c>
      <c r="U173" s="24">
        <v>0</v>
      </c>
      <c r="V173" s="24">
        <v>1</v>
      </c>
    </row>
    <row r="174" spans="1:22" ht="21" customHeight="1" x14ac:dyDescent="0.15">
      <c r="A174" s="2" t="str">
        <f ca="1">input_498010!A$2</f>
        <v>498010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38">
        <f ca="1">IFERROR(VLOOKUP(B174,input_498010!L:R,7,FALSE),VLOOKUP(tables_498010!C174,input_498010!A:H,8,FALSE))</f>
        <v>67680</v>
      </c>
      <c r="P174" s="39">
        <f t="shared" ca="1" si="7"/>
        <v>5.901639344255107E-4</v>
      </c>
      <c r="Q174" s="24">
        <v>1</v>
      </c>
      <c r="R174" s="24">
        <v>0</v>
      </c>
      <c r="S174" s="24">
        <v>0</v>
      </c>
      <c r="T174" s="24">
        <v>0</v>
      </c>
      <c r="U174" s="24">
        <v>0</v>
      </c>
      <c r="V174" s="24">
        <v>1</v>
      </c>
    </row>
    <row r="175" spans="1:22" ht="21" customHeight="1" x14ac:dyDescent="0.15">
      <c r="A175" s="2" t="str">
        <f ca="1">input_498010!A$2</f>
        <v>498010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38">
        <f ca="1">IFERROR(VLOOKUP(B175,input_498010!L:R,7,FALSE),VLOOKUP(tables_498010!C175,input_498010!A:H,8,FALSE))</f>
        <v>7520</v>
      </c>
      <c r="P175" s="39">
        <f t="shared" ca="1" si="7"/>
        <v>6.5573770491723419E-5</v>
      </c>
      <c r="Q175" s="24">
        <v>1</v>
      </c>
      <c r="R175" s="24">
        <v>0</v>
      </c>
      <c r="S175" s="24">
        <v>0</v>
      </c>
      <c r="T175" s="24">
        <v>0</v>
      </c>
      <c r="U175" s="24">
        <v>0</v>
      </c>
      <c r="V175" s="24">
        <v>1</v>
      </c>
    </row>
    <row r="176" spans="1:22" ht="21" customHeight="1" x14ac:dyDescent="0.15">
      <c r="A176" s="2" t="str">
        <f ca="1">input_498010!A$2</f>
        <v>498010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38">
        <f ca="1">IFERROR(VLOOKUP(B176,input_498010!L:R,7,FALSE),VLOOKUP(tables_498010!C176,input_498010!A:H,8,FALSE))</f>
        <v>67680</v>
      </c>
      <c r="P176" s="39">
        <f t="shared" ca="1" si="7"/>
        <v>5.901639344255107E-4</v>
      </c>
      <c r="Q176" s="24">
        <v>1</v>
      </c>
      <c r="R176" s="24">
        <v>0</v>
      </c>
      <c r="S176" s="24">
        <v>0</v>
      </c>
      <c r="T176" s="24">
        <v>0</v>
      </c>
      <c r="U176" s="24">
        <v>0</v>
      </c>
      <c r="V176" s="24">
        <v>1</v>
      </c>
    </row>
    <row r="177" spans="1:22" ht="21" customHeight="1" x14ac:dyDescent="0.15">
      <c r="A177" s="2" t="str">
        <f ca="1">input_498010!A$2</f>
        <v>498010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38">
        <f ca="1">IFERROR(VLOOKUP(B177,input_498010!L:R,7,FALSE),VLOOKUP(tables_498010!C177,input_498010!A:H,8,FALSE))</f>
        <v>7520</v>
      </c>
      <c r="P177" s="39">
        <f t="shared" ca="1" si="7"/>
        <v>6.5573770491723419E-5</v>
      </c>
      <c r="Q177" s="24">
        <v>1</v>
      </c>
      <c r="R177" s="24">
        <v>0</v>
      </c>
      <c r="S177" s="24">
        <v>0</v>
      </c>
      <c r="T177" s="24">
        <v>0</v>
      </c>
      <c r="U177" s="24">
        <v>0</v>
      </c>
      <c r="V177" s="24">
        <v>1</v>
      </c>
    </row>
    <row r="178" spans="1:22" ht="21" customHeight="1" x14ac:dyDescent="0.15">
      <c r="A178" s="2" t="str">
        <f ca="1">input_498010!A$2</f>
        <v>498010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38">
        <f ca="1">IFERROR(VLOOKUP(B178,input_498010!L:R,7,FALSE),VLOOKUP(tables_498010!C178,input_498010!A:H,8,FALSE))</f>
        <v>521550</v>
      </c>
      <c r="P178" s="39">
        <f t="shared" ca="1" si="7"/>
        <v>4.5478723404199931E-3</v>
      </c>
      <c r="Q178" s="24">
        <v>1</v>
      </c>
      <c r="R178" s="24">
        <v>0</v>
      </c>
      <c r="S178" s="24">
        <v>0</v>
      </c>
      <c r="T178" s="24">
        <v>0</v>
      </c>
      <c r="U178" s="24">
        <v>0</v>
      </c>
      <c r="V178" s="24">
        <v>1</v>
      </c>
    </row>
    <row r="179" spans="1:22" ht="21" customHeight="1" x14ac:dyDescent="0.15">
      <c r="A179" s="2" t="str">
        <f ca="1">input_498010!A$2</f>
        <v>498010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38">
        <f ca="1">IFERROR(VLOOKUP(B179,input_498010!L:R,7,FALSE),VLOOKUP(tables_498010!C179,input_498010!A:H,8,FALSE))</f>
        <v>455388.46153999999</v>
      </c>
      <c r="P179" s="39">
        <f t="shared" ca="1" si="7"/>
        <v>3.9709492635110338E-3</v>
      </c>
      <c r="Q179" s="24">
        <v>1</v>
      </c>
      <c r="R179" s="24">
        <v>0</v>
      </c>
      <c r="S179" s="24">
        <v>0</v>
      </c>
      <c r="T179" s="24">
        <v>0</v>
      </c>
      <c r="U179" s="24">
        <v>0</v>
      </c>
      <c r="V179" s="24">
        <v>1</v>
      </c>
    </row>
    <row r="180" spans="1:22" ht="21" customHeight="1" x14ac:dyDescent="0.15">
      <c r="A180" s="2" t="str">
        <f ca="1">input_498010!A$2</f>
        <v>498010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38">
        <f ca="1">IFERROR(VLOOKUP(B180,input_498010!L:R,7,FALSE),VLOOKUP(tables_498010!C180,input_498010!A:H,8,FALSE))</f>
        <v>86510</v>
      </c>
      <c r="P180" s="39">
        <f t="shared" ca="1" si="7"/>
        <v>7.5435995814348308E-4</v>
      </c>
      <c r="Q180" s="24">
        <v>1</v>
      </c>
      <c r="R180" s="24">
        <v>0</v>
      </c>
      <c r="S180" s="24">
        <v>0</v>
      </c>
      <c r="T180" s="24">
        <v>0</v>
      </c>
      <c r="U180" s="24">
        <v>0</v>
      </c>
      <c r="V180" s="24">
        <v>1</v>
      </c>
    </row>
    <row r="181" spans="1:22" ht="21" customHeight="1" x14ac:dyDescent="0.15">
      <c r="A181" s="2" t="str">
        <f ca="1">input_498010!A$2</f>
        <v>498010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38">
        <f ca="1">IFERROR(VLOOKUP(B181,input_498010!L:R,7,FALSE),VLOOKUP(tables_498010!C181,input_498010!A:H,8,FALSE))</f>
        <v>521550</v>
      </c>
      <c r="P181" s="39">
        <f t="shared" ca="1" si="7"/>
        <v>4.5478723404199931E-3</v>
      </c>
      <c r="Q181" s="24">
        <v>1</v>
      </c>
      <c r="R181" s="24">
        <v>0</v>
      </c>
      <c r="S181" s="24">
        <v>0</v>
      </c>
      <c r="T181" s="24">
        <v>0</v>
      </c>
      <c r="U181" s="24">
        <v>0</v>
      </c>
      <c r="V181" s="24">
        <v>1</v>
      </c>
    </row>
    <row r="182" spans="1:22" ht="21" customHeight="1" x14ac:dyDescent="0.15">
      <c r="A182" s="2" t="str">
        <f ca="1">input_498010!A$2</f>
        <v>498010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38">
        <f ca="1">IFERROR(VLOOKUP(B182,input_498010!L:R,7,FALSE),VLOOKUP(tables_498010!C182,input_498010!A:H,8,FALSE))</f>
        <v>455388.46153999999</v>
      </c>
      <c r="P182" s="39">
        <f t="shared" ca="1" si="7"/>
        <v>3.9709492635110338E-3</v>
      </c>
      <c r="Q182" s="24">
        <v>1</v>
      </c>
      <c r="R182" s="24">
        <v>0</v>
      </c>
      <c r="S182" s="24">
        <v>0</v>
      </c>
      <c r="T182" s="24">
        <v>0</v>
      </c>
      <c r="U182" s="24">
        <v>0</v>
      </c>
      <c r="V182" s="24">
        <v>1</v>
      </c>
    </row>
    <row r="183" spans="1:22" ht="21" customHeight="1" x14ac:dyDescent="0.15">
      <c r="A183" s="2" t="str">
        <f ca="1">input_498010!A$2</f>
        <v>498010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38">
        <f ca="1">IFERROR(VLOOKUP(B183,input_498010!L:R,7,FALSE),VLOOKUP(tables_498010!C183,input_498010!A:H,8,FALSE))</f>
        <v>86510</v>
      </c>
      <c r="P183" s="39">
        <f t="shared" ca="1" si="7"/>
        <v>7.5435995814348308E-4</v>
      </c>
      <c r="Q183" s="24">
        <v>1</v>
      </c>
      <c r="R183" s="24">
        <v>0</v>
      </c>
      <c r="S183" s="24">
        <v>0</v>
      </c>
      <c r="T183" s="24">
        <v>0</v>
      </c>
      <c r="U183" s="24">
        <v>0</v>
      </c>
      <c r="V183" s="24">
        <v>1</v>
      </c>
    </row>
    <row r="184" spans="1:22" ht="21" customHeight="1" x14ac:dyDescent="0.15">
      <c r="A184" s="2" t="str">
        <f ca="1">input_498010!A$2</f>
        <v>498010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38">
        <f ca="1">IFERROR(VLOOKUP(B184,input_498010!L:R,7,FALSE),VLOOKUP(tables_498010!C184,input_498010!A:H,8,FALSE))</f>
        <v>67680</v>
      </c>
      <c r="P184" s="39">
        <f t="shared" ca="1" si="7"/>
        <v>5.901639344255107E-4</v>
      </c>
      <c r="Q184" s="24">
        <v>1</v>
      </c>
      <c r="R184" s="24">
        <v>0</v>
      </c>
      <c r="S184" s="24">
        <v>0</v>
      </c>
      <c r="T184" s="24">
        <v>0</v>
      </c>
      <c r="U184" s="24">
        <v>0</v>
      </c>
      <c r="V184" s="24">
        <v>1</v>
      </c>
    </row>
    <row r="185" spans="1:22" ht="21" customHeight="1" x14ac:dyDescent="0.15">
      <c r="A185" s="2" t="str">
        <f ca="1">input_498010!A$2</f>
        <v>498010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38">
        <f ca="1">IFERROR(VLOOKUP(B185,input_498010!L:R,7,FALSE),VLOOKUP(tables_498010!C185,input_498010!A:H,8,FALSE))</f>
        <v>7520</v>
      </c>
      <c r="P185" s="39">
        <f t="shared" ca="1" si="7"/>
        <v>6.5573770491723419E-5</v>
      </c>
      <c r="Q185" s="24">
        <v>1</v>
      </c>
      <c r="R185" s="24">
        <v>0</v>
      </c>
      <c r="S185" s="24">
        <v>0</v>
      </c>
      <c r="T185" s="24">
        <v>0</v>
      </c>
      <c r="U185" s="24">
        <v>0</v>
      </c>
      <c r="V185" s="24">
        <v>1</v>
      </c>
    </row>
    <row r="186" spans="1:22" ht="21" customHeight="1" x14ac:dyDescent="0.15">
      <c r="A186" s="2" t="str">
        <f ca="1">input_498010!A$2</f>
        <v>498010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38">
        <f ca="1">IFERROR(VLOOKUP(B186,input_498010!L:R,7,FALSE),VLOOKUP(tables_498010!C186,input_498010!A:H,8,FALSE))</f>
        <v>521550</v>
      </c>
      <c r="P186" s="39">
        <f t="shared" ca="1" si="7"/>
        <v>4.5478723404199931E-3</v>
      </c>
      <c r="Q186" s="24">
        <v>1</v>
      </c>
      <c r="R186" s="24">
        <v>0</v>
      </c>
      <c r="S186" s="24">
        <v>0</v>
      </c>
      <c r="T186" s="24">
        <v>0</v>
      </c>
      <c r="U186" s="24">
        <v>0</v>
      </c>
      <c r="V186" s="24">
        <v>1</v>
      </c>
    </row>
    <row r="187" spans="1:22" ht="21" customHeight="1" x14ac:dyDescent="0.15">
      <c r="A187" s="2" t="str">
        <f ca="1">input_498010!A$2</f>
        <v>498010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38">
        <f ca="1">IFERROR(VLOOKUP(B187,input_498010!L:R,7,FALSE),VLOOKUP(tables_498010!C187,input_498010!A:H,8,FALSE))</f>
        <v>455388.46153999999</v>
      </c>
      <c r="P187" s="39">
        <f t="shared" ca="1" si="7"/>
        <v>3.9709492635110338E-3</v>
      </c>
      <c r="Q187" s="24">
        <v>1</v>
      </c>
      <c r="R187" s="24">
        <v>0</v>
      </c>
      <c r="S187" s="24">
        <v>0</v>
      </c>
      <c r="T187" s="24">
        <v>0</v>
      </c>
      <c r="U187" s="24">
        <v>0</v>
      </c>
      <c r="V187" s="24">
        <v>1</v>
      </c>
    </row>
    <row r="188" spans="1:22" ht="21" customHeight="1" x14ac:dyDescent="0.15">
      <c r="A188" s="2" t="str">
        <f ca="1">input_498010!A$2</f>
        <v>498010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38">
        <f ca="1">IFERROR(VLOOKUP(B188,input_498010!L:R,7,FALSE),VLOOKUP(tables_498010!C188,input_498010!A:H,8,FALSE))</f>
        <v>86510</v>
      </c>
      <c r="P188" s="39">
        <f t="shared" ca="1" si="7"/>
        <v>7.5435995814348308E-4</v>
      </c>
      <c r="Q188" s="24">
        <v>1</v>
      </c>
      <c r="R188" s="24">
        <v>0</v>
      </c>
      <c r="S188" s="24">
        <v>0</v>
      </c>
      <c r="T188" s="24">
        <v>0</v>
      </c>
      <c r="U188" s="24">
        <v>0</v>
      </c>
      <c r="V188" s="24">
        <v>1</v>
      </c>
    </row>
    <row r="189" spans="1:22" ht="21" customHeight="1" x14ac:dyDescent="0.15">
      <c r="A189" s="2" t="str">
        <f ca="1">input_498010!A$2</f>
        <v>498010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38">
        <f ca="1">IFERROR(VLOOKUP(B189,input_498010!L:R,7,FALSE),VLOOKUP(tables_498010!C189,input_498010!A:H,8,FALSE))</f>
        <v>67680</v>
      </c>
      <c r="P189" s="39">
        <f t="shared" ca="1" si="7"/>
        <v>5.901639344255107E-4</v>
      </c>
      <c r="Q189" s="24">
        <v>1</v>
      </c>
      <c r="R189" s="24">
        <v>0</v>
      </c>
      <c r="S189" s="24">
        <v>0</v>
      </c>
      <c r="T189" s="24">
        <v>0</v>
      </c>
      <c r="U189" s="24">
        <v>0</v>
      </c>
      <c r="V189" s="24">
        <v>1</v>
      </c>
    </row>
    <row r="190" spans="1:22" s="9" customFormat="1" ht="21" customHeight="1" thickBot="1" x14ac:dyDescent="0.2">
      <c r="A190" s="2" t="str">
        <f ca="1">input_498010!A$2</f>
        <v>498010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38">
        <f ca="1">IFERROR(VLOOKUP(B190,input_498010!L:R,7,FALSE),VLOOKUP(tables_498010!C190,input_498010!A:H,8,FALSE))</f>
        <v>7520</v>
      </c>
      <c r="P190" s="39">
        <f t="shared" ca="1" si="7"/>
        <v>6.5573770491723419E-5</v>
      </c>
      <c r="Q190" s="24">
        <v>1</v>
      </c>
      <c r="R190" s="24">
        <v>0</v>
      </c>
      <c r="S190" s="24">
        <v>0</v>
      </c>
      <c r="T190" s="24">
        <v>0</v>
      </c>
      <c r="U190" s="24">
        <v>0</v>
      </c>
      <c r="V190" s="24">
        <v>1</v>
      </c>
    </row>
    <row r="191" spans="1:22" ht="21" customHeight="1" x14ac:dyDescent="0.15">
      <c r="A191" s="2" t="str">
        <f ca="1">input_498010!A$2</f>
        <v>498010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38">
        <f ca="1">IFERROR(VLOOKUP(B191,input_498010!L:R,7,FALSE),VLOOKUP(tables_498010!C191,input_498010!A:H,8,FALSE))</f>
        <v>67680</v>
      </c>
      <c r="P191" s="39">
        <f t="shared" ca="1" si="7"/>
        <v>5.901639344255107E-4</v>
      </c>
      <c r="Q191" s="24">
        <v>1</v>
      </c>
      <c r="R191" s="24">
        <v>0</v>
      </c>
      <c r="S191" s="24">
        <v>0</v>
      </c>
      <c r="T191" s="24">
        <v>0</v>
      </c>
      <c r="U191" s="24">
        <v>0</v>
      </c>
      <c r="V191" s="24">
        <v>1</v>
      </c>
    </row>
    <row r="192" spans="1:22" ht="21" customHeight="1" x14ac:dyDescent="0.15">
      <c r="A192" s="2" t="str">
        <f ca="1">input_498010!A$2</f>
        <v>498010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38">
        <f ca="1">IFERROR(VLOOKUP(B192,input_498010!L:R,7,FALSE),VLOOKUP(tables_498010!C192,input_498010!A:H,8,FALSE))</f>
        <v>7520</v>
      </c>
      <c r="P192" s="39">
        <f t="shared" ca="1" si="7"/>
        <v>6.5573770491723419E-5</v>
      </c>
      <c r="Q192" s="24">
        <v>1</v>
      </c>
      <c r="R192" s="24">
        <v>0</v>
      </c>
      <c r="S192" s="24">
        <v>0</v>
      </c>
      <c r="T192" s="24">
        <v>0</v>
      </c>
      <c r="U192" s="24">
        <v>0</v>
      </c>
      <c r="V192" s="24">
        <v>1</v>
      </c>
    </row>
    <row r="193" spans="1:22" ht="21" customHeight="1" x14ac:dyDescent="0.15">
      <c r="A193" s="2" t="str">
        <f ca="1">input_498010!A$2</f>
        <v>498010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38">
        <f ca="1">IFERROR(VLOOKUP(B193,input_498010!L:R,7,FALSE),VLOOKUP(tables_498010!C193,input_498010!A:H,8,FALSE))</f>
        <v>521550</v>
      </c>
      <c r="P193" s="39">
        <f t="shared" ca="1" si="7"/>
        <v>4.5478723404199931E-3</v>
      </c>
      <c r="Q193" s="24">
        <v>1</v>
      </c>
      <c r="R193" s="24">
        <v>0</v>
      </c>
      <c r="S193" s="24">
        <v>0</v>
      </c>
      <c r="T193" s="24">
        <v>0</v>
      </c>
      <c r="U193" s="24">
        <v>0</v>
      </c>
      <c r="V193" s="24">
        <v>1</v>
      </c>
    </row>
    <row r="194" spans="1:22" ht="21" customHeight="1" x14ac:dyDescent="0.15">
      <c r="A194" s="2" t="str">
        <f ca="1">input_498010!A$2</f>
        <v>498010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38">
        <f ca="1">IFERROR(VLOOKUP(B194,input_498010!L:R,7,FALSE),VLOOKUP(tables_498010!C194,input_498010!A:H,8,FALSE))</f>
        <v>455388.46153999999</v>
      </c>
      <c r="P194" s="39">
        <f t="shared" ref="P194:P257" ca="1" si="10">O194/SUM(O:O)</f>
        <v>3.9709492635110338E-3</v>
      </c>
      <c r="Q194" s="24">
        <v>1</v>
      </c>
      <c r="R194" s="24">
        <v>0</v>
      </c>
      <c r="S194" s="24">
        <v>0</v>
      </c>
      <c r="T194" s="24">
        <v>0</v>
      </c>
      <c r="U194" s="24">
        <v>0</v>
      </c>
      <c r="V194" s="24">
        <v>1</v>
      </c>
    </row>
    <row r="195" spans="1:22" ht="21" customHeight="1" x14ac:dyDescent="0.15">
      <c r="A195" s="2" t="str">
        <f ca="1">input_498010!A$2</f>
        <v>498010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38">
        <f ca="1">IFERROR(VLOOKUP(B195,input_498010!L:R,7,FALSE),VLOOKUP(tables_498010!C195,input_498010!A:H,8,FALSE))</f>
        <v>86510</v>
      </c>
      <c r="P195" s="39">
        <f t="shared" ca="1" si="10"/>
        <v>7.5435995814348308E-4</v>
      </c>
      <c r="Q195" s="24">
        <v>1</v>
      </c>
      <c r="R195" s="24">
        <v>0</v>
      </c>
      <c r="S195" s="24">
        <v>0</v>
      </c>
      <c r="T195" s="24">
        <v>0</v>
      </c>
      <c r="U195" s="24">
        <v>0</v>
      </c>
      <c r="V195" s="24">
        <v>1</v>
      </c>
    </row>
    <row r="196" spans="1:22" ht="21" customHeight="1" x14ac:dyDescent="0.15">
      <c r="A196" s="2" t="str">
        <f ca="1">input_498010!A$2</f>
        <v>498010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38">
        <f ca="1">IFERROR(VLOOKUP(B196,input_498010!L:R,7,FALSE),VLOOKUP(tables_498010!C196,input_498010!A:H,8,FALSE))</f>
        <v>67680</v>
      </c>
      <c r="P196" s="39">
        <f t="shared" ca="1" si="10"/>
        <v>5.901639344255107E-4</v>
      </c>
      <c r="Q196" s="24">
        <v>1</v>
      </c>
      <c r="R196" s="24">
        <v>0</v>
      </c>
      <c r="S196" s="24">
        <v>0</v>
      </c>
      <c r="T196" s="24">
        <v>0</v>
      </c>
      <c r="U196" s="24">
        <v>0</v>
      </c>
      <c r="V196" s="24">
        <v>1</v>
      </c>
    </row>
    <row r="197" spans="1:22" ht="21" customHeight="1" x14ac:dyDescent="0.15">
      <c r="A197" s="2" t="str">
        <f ca="1">input_498010!A$2</f>
        <v>498010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38">
        <f ca="1">IFERROR(VLOOKUP(B197,input_498010!L:R,7,FALSE),VLOOKUP(tables_498010!C197,input_498010!A:H,8,FALSE))</f>
        <v>7520</v>
      </c>
      <c r="P197" s="39">
        <f t="shared" ca="1" si="10"/>
        <v>6.5573770491723419E-5</v>
      </c>
      <c r="Q197" s="24">
        <v>1</v>
      </c>
      <c r="R197" s="24">
        <v>0</v>
      </c>
      <c r="S197" s="24">
        <v>0</v>
      </c>
      <c r="T197" s="24">
        <v>0</v>
      </c>
      <c r="U197" s="24">
        <v>0</v>
      </c>
      <c r="V197" s="24">
        <v>1</v>
      </c>
    </row>
    <row r="198" spans="1:22" ht="21" customHeight="1" x14ac:dyDescent="0.15">
      <c r="A198" s="2" t="str">
        <f ca="1">input_498010!A$2</f>
        <v>498010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38">
        <f ca="1">IFERROR(VLOOKUP(B198,input_498010!L:R,7,FALSE),VLOOKUP(tables_498010!C198,input_498010!A:H,8,FALSE))</f>
        <v>521550</v>
      </c>
      <c r="P198" s="39">
        <f t="shared" ca="1" si="10"/>
        <v>4.5478723404199931E-3</v>
      </c>
      <c r="Q198" s="24">
        <v>1</v>
      </c>
      <c r="R198" s="24">
        <v>0</v>
      </c>
      <c r="S198" s="24">
        <v>0</v>
      </c>
      <c r="T198" s="24">
        <v>0</v>
      </c>
      <c r="U198" s="24">
        <v>0</v>
      </c>
      <c r="V198" s="24">
        <v>1</v>
      </c>
    </row>
    <row r="199" spans="1:22" ht="21" customHeight="1" x14ac:dyDescent="0.15">
      <c r="A199" s="2" t="str">
        <f ca="1">input_498010!A$2</f>
        <v>498010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38">
        <f ca="1">IFERROR(VLOOKUP(B199,input_498010!L:R,7,FALSE),VLOOKUP(tables_498010!C199,input_498010!A:H,8,FALSE))</f>
        <v>455388.46153999999</v>
      </c>
      <c r="P199" s="39">
        <f t="shared" ca="1" si="10"/>
        <v>3.9709492635110338E-3</v>
      </c>
      <c r="Q199" s="24">
        <v>1</v>
      </c>
      <c r="R199" s="24">
        <v>0</v>
      </c>
      <c r="S199" s="24">
        <v>0</v>
      </c>
      <c r="T199" s="24">
        <v>0</v>
      </c>
      <c r="U199" s="24">
        <v>0</v>
      </c>
      <c r="V199" s="24">
        <v>1</v>
      </c>
    </row>
    <row r="200" spans="1:22" ht="21" customHeight="1" x14ac:dyDescent="0.15">
      <c r="A200" s="2" t="str">
        <f ca="1">input_498010!A$2</f>
        <v>498010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38">
        <f ca="1">IFERROR(VLOOKUP(B200,input_498010!L:R,7,FALSE),VLOOKUP(tables_498010!C200,input_498010!A:H,8,FALSE))</f>
        <v>86510</v>
      </c>
      <c r="P200" s="39">
        <f t="shared" ca="1" si="10"/>
        <v>7.5435995814348308E-4</v>
      </c>
      <c r="Q200" s="24">
        <v>1</v>
      </c>
      <c r="R200" s="24">
        <v>0</v>
      </c>
      <c r="S200" s="24">
        <v>0</v>
      </c>
      <c r="T200" s="24">
        <v>0</v>
      </c>
      <c r="U200" s="24">
        <v>0</v>
      </c>
      <c r="V200" s="24">
        <v>1</v>
      </c>
    </row>
    <row r="201" spans="1:22" ht="21" customHeight="1" x14ac:dyDescent="0.15">
      <c r="A201" s="2" t="str">
        <f ca="1">input_498010!A$2</f>
        <v>498010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38">
        <f ca="1">IFERROR(VLOOKUP(B201,input_498010!L:R,7,FALSE),VLOOKUP(tables_498010!C201,input_498010!A:H,8,FALSE))</f>
        <v>67680</v>
      </c>
      <c r="P201" s="39">
        <f t="shared" ca="1" si="10"/>
        <v>5.901639344255107E-4</v>
      </c>
      <c r="Q201" s="24">
        <v>1</v>
      </c>
      <c r="R201" s="24">
        <v>0</v>
      </c>
      <c r="S201" s="24">
        <v>0</v>
      </c>
      <c r="T201" s="24">
        <v>0</v>
      </c>
      <c r="U201" s="24">
        <v>0</v>
      </c>
      <c r="V201" s="24">
        <v>1</v>
      </c>
    </row>
    <row r="202" spans="1:22" ht="21" customHeight="1" x14ac:dyDescent="0.15">
      <c r="A202" s="2" t="str">
        <f ca="1">input_498010!A$2</f>
        <v>498010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38">
        <f ca="1">IFERROR(VLOOKUP(B202,input_498010!L:R,7,FALSE),VLOOKUP(tables_498010!C202,input_498010!A:H,8,FALSE))</f>
        <v>7520</v>
      </c>
      <c r="P202" s="39">
        <f t="shared" ca="1" si="10"/>
        <v>6.5573770491723419E-5</v>
      </c>
      <c r="Q202" s="24">
        <v>1</v>
      </c>
      <c r="R202" s="24">
        <v>0</v>
      </c>
      <c r="S202" s="24">
        <v>0</v>
      </c>
      <c r="T202" s="24">
        <v>0</v>
      </c>
      <c r="U202" s="24">
        <v>0</v>
      </c>
      <c r="V202" s="24">
        <v>1</v>
      </c>
    </row>
    <row r="203" spans="1:22" ht="21" customHeight="1" x14ac:dyDescent="0.15">
      <c r="A203" s="2" t="str">
        <f ca="1">input_498010!A$2</f>
        <v>498010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38">
        <f ca="1">IFERROR(VLOOKUP(B203,input_498010!L:R,7,FALSE),VLOOKUP(tables_498010!C203,input_498010!A:H,8,FALSE))</f>
        <v>521550</v>
      </c>
      <c r="P203" s="39">
        <f t="shared" ca="1" si="10"/>
        <v>4.5478723404199931E-3</v>
      </c>
      <c r="Q203" s="24">
        <v>1</v>
      </c>
      <c r="R203" s="24">
        <v>0</v>
      </c>
      <c r="S203" s="24">
        <v>0</v>
      </c>
      <c r="T203" s="24">
        <v>0</v>
      </c>
      <c r="U203" s="24">
        <v>0</v>
      </c>
      <c r="V203" s="24">
        <v>1</v>
      </c>
    </row>
    <row r="204" spans="1:22" ht="21" customHeight="1" x14ac:dyDescent="0.15">
      <c r="A204" s="2" t="str">
        <f ca="1">input_498010!A$2</f>
        <v>498010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38">
        <f ca="1">IFERROR(VLOOKUP(B204,input_498010!L:R,7,FALSE),VLOOKUP(tables_498010!C204,input_498010!A:H,8,FALSE))</f>
        <v>455388.46153999999</v>
      </c>
      <c r="P204" s="39">
        <f t="shared" ca="1" si="10"/>
        <v>3.9709492635110338E-3</v>
      </c>
      <c r="Q204" s="24">
        <v>1</v>
      </c>
      <c r="R204" s="24">
        <v>0</v>
      </c>
      <c r="S204" s="24">
        <v>0</v>
      </c>
      <c r="T204" s="24">
        <v>0</v>
      </c>
      <c r="U204" s="24">
        <v>0</v>
      </c>
      <c r="V204" s="24">
        <v>1</v>
      </c>
    </row>
    <row r="205" spans="1:22" ht="21" customHeight="1" x14ac:dyDescent="0.15">
      <c r="A205" s="2" t="str">
        <f ca="1">input_498010!A$2</f>
        <v>498010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38">
        <f ca="1">IFERROR(VLOOKUP(B205,input_498010!L:R,7,FALSE),VLOOKUP(tables_498010!C205,input_498010!A:H,8,FALSE))</f>
        <v>86510</v>
      </c>
      <c r="P205" s="39">
        <f t="shared" ca="1" si="10"/>
        <v>7.5435995814348308E-4</v>
      </c>
      <c r="Q205" s="24">
        <v>1</v>
      </c>
      <c r="R205" s="24">
        <v>0</v>
      </c>
      <c r="S205" s="24">
        <v>0</v>
      </c>
      <c r="T205" s="24">
        <v>0</v>
      </c>
      <c r="U205" s="24">
        <v>0</v>
      </c>
      <c r="V205" s="24">
        <v>1</v>
      </c>
    </row>
    <row r="206" spans="1:22" ht="21" customHeight="1" x14ac:dyDescent="0.15">
      <c r="A206" s="2" t="str">
        <f ca="1">input_498010!A$2</f>
        <v>498010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38">
        <f ca="1">IFERROR(VLOOKUP(B206,input_498010!L:R,7,FALSE),VLOOKUP(tables_498010!C206,input_498010!A:H,8,FALSE))</f>
        <v>67680</v>
      </c>
      <c r="P206" s="39">
        <f t="shared" ca="1" si="10"/>
        <v>5.901639344255107E-4</v>
      </c>
      <c r="Q206" s="24">
        <v>1</v>
      </c>
      <c r="R206" s="24">
        <v>0</v>
      </c>
      <c r="S206" s="24">
        <v>0</v>
      </c>
      <c r="T206" s="24">
        <v>0</v>
      </c>
      <c r="U206" s="24">
        <v>0</v>
      </c>
      <c r="V206" s="24">
        <v>1</v>
      </c>
    </row>
    <row r="207" spans="1:22" ht="21" customHeight="1" x14ac:dyDescent="0.15">
      <c r="A207" s="2" t="str">
        <f ca="1">input_498010!A$2</f>
        <v>498010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38">
        <f ca="1">IFERROR(VLOOKUP(B207,input_498010!L:R,7,FALSE),VLOOKUP(tables_498010!C207,input_498010!A:H,8,FALSE))</f>
        <v>7520</v>
      </c>
      <c r="P207" s="39">
        <f t="shared" ca="1" si="10"/>
        <v>6.5573770491723419E-5</v>
      </c>
      <c r="Q207" s="24">
        <v>1</v>
      </c>
      <c r="R207" s="24">
        <v>0</v>
      </c>
      <c r="S207" s="24">
        <v>0</v>
      </c>
      <c r="T207" s="24">
        <v>0</v>
      </c>
      <c r="U207" s="24">
        <v>0</v>
      </c>
      <c r="V207" s="24">
        <v>1</v>
      </c>
    </row>
    <row r="208" spans="1:22" ht="21" customHeight="1" x14ac:dyDescent="0.15">
      <c r="A208" s="2" t="str">
        <f ca="1">input_498010!A$2</f>
        <v>498010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38">
        <f ca="1">IFERROR(VLOOKUP(B208,input_498010!L:R,7,FALSE),VLOOKUP(tables_498010!C208,input_498010!A:H,8,FALSE))</f>
        <v>67680</v>
      </c>
      <c r="P208" s="39">
        <f t="shared" ca="1" si="10"/>
        <v>5.901639344255107E-4</v>
      </c>
      <c r="Q208" s="24">
        <v>1</v>
      </c>
      <c r="R208" s="24">
        <v>0</v>
      </c>
      <c r="S208" s="24">
        <v>0</v>
      </c>
      <c r="T208" s="24">
        <v>0</v>
      </c>
      <c r="U208" s="24">
        <v>0</v>
      </c>
      <c r="V208" s="24">
        <v>1</v>
      </c>
    </row>
    <row r="209" spans="1:22" ht="21" customHeight="1" x14ac:dyDescent="0.15">
      <c r="A209" s="2" t="str">
        <f ca="1">input_498010!A$2</f>
        <v>498010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38">
        <f ca="1">IFERROR(VLOOKUP(B209,input_498010!L:R,7,FALSE),VLOOKUP(tables_498010!C209,input_498010!A:H,8,FALSE))</f>
        <v>7520</v>
      </c>
      <c r="P209" s="39">
        <f t="shared" ca="1" si="10"/>
        <v>6.5573770491723419E-5</v>
      </c>
      <c r="Q209" s="24">
        <v>1</v>
      </c>
      <c r="R209" s="24">
        <v>0</v>
      </c>
      <c r="S209" s="24">
        <v>0</v>
      </c>
      <c r="T209" s="24">
        <v>0</v>
      </c>
      <c r="U209" s="24">
        <v>0</v>
      </c>
      <c r="V209" s="24">
        <v>1</v>
      </c>
    </row>
    <row r="210" spans="1:22" ht="21" customHeight="1" x14ac:dyDescent="0.15">
      <c r="A210" s="2" t="str">
        <f ca="1">input_498010!A$2</f>
        <v>498010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38">
        <f ca="1">IFERROR(VLOOKUP(B210,input_498010!L:R,7,FALSE),VLOOKUP(tables_498010!C210,input_498010!A:H,8,FALSE))</f>
        <v>521550</v>
      </c>
      <c r="P210" s="39">
        <f t="shared" ca="1" si="10"/>
        <v>4.5478723404199931E-3</v>
      </c>
      <c r="Q210" s="24">
        <v>1</v>
      </c>
      <c r="R210" s="24">
        <v>0</v>
      </c>
      <c r="S210" s="24">
        <v>0</v>
      </c>
      <c r="T210" s="24">
        <v>0</v>
      </c>
      <c r="U210" s="24">
        <v>0</v>
      </c>
      <c r="V210" s="24">
        <v>1</v>
      </c>
    </row>
    <row r="211" spans="1:22" ht="21" customHeight="1" x14ac:dyDescent="0.15">
      <c r="A211" s="2" t="str">
        <f ca="1">input_498010!A$2</f>
        <v>498010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38">
        <f ca="1">IFERROR(VLOOKUP(B211,input_498010!L:R,7,FALSE),VLOOKUP(tables_498010!C211,input_498010!A:H,8,FALSE))</f>
        <v>455388.46153999999</v>
      </c>
      <c r="P211" s="39">
        <f t="shared" ca="1" si="10"/>
        <v>3.9709492635110338E-3</v>
      </c>
      <c r="Q211" s="24">
        <v>1</v>
      </c>
      <c r="R211" s="24">
        <v>0</v>
      </c>
      <c r="S211" s="24">
        <v>0</v>
      </c>
      <c r="T211" s="24">
        <v>0</v>
      </c>
      <c r="U211" s="24">
        <v>0</v>
      </c>
      <c r="V211" s="24">
        <v>1</v>
      </c>
    </row>
    <row r="212" spans="1:22" ht="21" customHeight="1" x14ac:dyDescent="0.15">
      <c r="A212" s="2" t="str">
        <f ca="1">input_498010!A$2</f>
        <v>498010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38">
        <f ca="1">IFERROR(VLOOKUP(B212,input_498010!L:R,7,FALSE),VLOOKUP(tables_498010!C212,input_498010!A:H,8,FALSE))</f>
        <v>86510</v>
      </c>
      <c r="P212" s="39">
        <f t="shared" ca="1" si="10"/>
        <v>7.5435995814348308E-4</v>
      </c>
      <c r="Q212" s="24">
        <v>1</v>
      </c>
      <c r="R212" s="24">
        <v>0</v>
      </c>
      <c r="S212" s="24">
        <v>0</v>
      </c>
      <c r="T212" s="24">
        <v>0</v>
      </c>
      <c r="U212" s="24">
        <v>0</v>
      </c>
      <c r="V212" s="24">
        <v>1</v>
      </c>
    </row>
    <row r="213" spans="1:22" ht="21" customHeight="1" x14ac:dyDescent="0.15">
      <c r="A213" s="2" t="str">
        <f ca="1">input_498010!A$2</f>
        <v>498010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38">
        <f ca="1">IFERROR(VLOOKUP(B213,input_498010!L:R,7,FALSE),VLOOKUP(tables_498010!C213,input_498010!A:H,8,FALSE))</f>
        <v>67680</v>
      </c>
      <c r="P213" s="39">
        <f t="shared" ca="1" si="10"/>
        <v>5.901639344255107E-4</v>
      </c>
      <c r="Q213" s="24">
        <v>1</v>
      </c>
      <c r="R213" s="24">
        <v>0</v>
      </c>
      <c r="S213" s="24">
        <v>0</v>
      </c>
      <c r="T213" s="24">
        <v>0</v>
      </c>
      <c r="U213" s="24">
        <v>0</v>
      </c>
      <c r="V213" s="24">
        <v>1</v>
      </c>
    </row>
    <row r="214" spans="1:22" ht="21" customHeight="1" x14ac:dyDescent="0.15">
      <c r="A214" s="2" t="str">
        <f ca="1">input_498010!A$2</f>
        <v>498010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38">
        <f ca="1">IFERROR(VLOOKUP(B214,input_498010!L:R,7,FALSE),VLOOKUP(tables_498010!C214,input_498010!A:H,8,FALSE))</f>
        <v>7520</v>
      </c>
      <c r="P214" s="39">
        <f t="shared" ca="1" si="10"/>
        <v>6.5573770491723419E-5</v>
      </c>
      <c r="Q214" s="24">
        <v>1</v>
      </c>
      <c r="R214" s="24">
        <v>0</v>
      </c>
      <c r="S214" s="24">
        <v>0</v>
      </c>
      <c r="T214" s="24">
        <v>0</v>
      </c>
      <c r="U214" s="24">
        <v>0</v>
      </c>
      <c r="V214" s="24">
        <v>1</v>
      </c>
    </row>
    <row r="215" spans="1:22" ht="21" customHeight="1" x14ac:dyDescent="0.15">
      <c r="A215" s="2" t="str">
        <f ca="1">input_498010!A$2</f>
        <v>498010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38">
        <f ca="1">IFERROR(VLOOKUP(B215,input_498010!L:R,7,FALSE),VLOOKUP(tables_498010!C215,input_498010!A:H,8,FALSE))</f>
        <v>68116.666670000006</v>
      </c>
      <c r="P215" s="39">
        <f t="shared" ca="1" si="10"/>
        <v>5.9397163123401677E-4</v>
      </c>
      <c r="Q215" s="24">
        <v>1</v>
      </c>
      <c r="R215" s="24">
        <v>0</v>
      </c>
      <c r="S215" s="24">
        <v>0</v>
      </c>
      <c r="T215" s="24">
        <v>0</v>
      </c>
      <c r="U215" s="24">
        <v>0</v>
      </c>
      <c r="V215" s="24">
        <v>1</v>
      </c>
    </row>
    <row r="216" spans="1:22" ht="21" customHeight="1" x14ac:dyDescent="0.15">
      <c r="A216" s="2" t="str">
        <f ca="1">input_498010!A$2</f>
        <v>498010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38">
        <f ca="1">IFERROR(VLOOKUP(B216,input_498010!L:R,7,FALSE),VLOOKUP(tables_498010!C216,input_498010!A:H,8,FALSE))</f>
        <v>68116.666670000006</v>
      </c>
      <c r="P216" s="39">
        <f t="shared" ca="1" si="10"/>
        <v>5.9397163123401677E-4</v>
      </c>
      <c r="Q216" s="24">
        <v>1</v>
      </c>
      <c r="R216" s="24">
        <v>0</v>
      </c>
      <c r="S216" s="24">
        <v>0</v>
      </c>
      <c r="T216" s="24">
        <v>0</v>
      </c>
      <c r="U216" s="24">
        <v>0</v>
      </c>
      <c r="V216" s="24">
        <v>1</v>
      </c>
    </row>
    <row r="217" spans="1:22" ht="21" customHeight="1" x14ac:dyDescent="0.15">
      <c r="A217" s="2" t="str">
        <f ca="1">input_498010!A$2</f>
        <v>498010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38">
        <f ca="1">IFERROR(VLOOKUP(B217,input_498010!L:R,7,FALSE),VLOOKUP(tables_498010!C217,input_498010!A:H,8,FALSE))</f>
        <v>68116.666670000006</v>
      </c>
      <c r="P217" s="39">
        <f t="shared" ca="1" si="10"/>
        <v>5.9397163123401677E-4</v>
      </c>
      <c r="Q217" s="24">
        <v>1</v>
      </c>
      <c r="R217" s="24">
        <v>0</v>
      </c>
      <c r="S217" s="24">
        <v>0</v>
      </c>
      <c r="T217" s="24">
        <v>0</v>
      </c>
      <c r="U217" s="24">
        <v>0</v>
      </c>
      <c r="V217" s="24">
        <v>1</v>
      </c>
    </row>
    <row r="218" spans="1:22" ht="21" customHeight="1" x14ac:dyDescent="0.15">
      <c r="A218" s="2" t="str">
        <f ca="1">input_498010!A$2</f>
        <v>498010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38">
        <f ca="1">IFERROR(VLOOKUP(B218,input_498010!L:R,7,FALSE),VLOOKUP(tables_498010!C218,input_498010!A:H,8,FALSE))</f>
        <v>68116.666670000006</v>
      </c>
      <c r="P218" s="39">
        <f t="shared" ca="1" si="10"/>
        <v>5.9397163123401677E-4</v>
      </c>
      <c r="Q218" s="24">
        <v>1</v>
      </c>
      <c r="R218" s="24">
        <v>0</v>
      </c>
      <c r="S218" s="24">
        <v>0</v>
      </c>
      <c r="T218" s="24">
        <v>0</v>
      </c>
      <c r="U218" s="24">
        <v>0</v>
      </c>
      <c r="V218" s="24">
        <v>1</v>
      </c>
    </row>
    <row r="219" spans="1:22" ht="21" customHeight="1" x14ac:dyDescent="0.15">
      <c r="A219" s="2" t="str">
        <f ca="1">input_498010!A$2</f>
        <v>498010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38">
        <f ca="1">IFERROR(VLOOKUP(B219,input_498010!L:R,7,FALSE),VLOOKUP(tables_498010!C219,input_498010!A:H,8,FALSE))</f>
        <v>68116.666670000006</v>
      </c>
      <c r="P219" s="39">
        <f t="shared" ca="1" si="10"/>
        <v>5.9397163123401677E-4</v>
      </c>
      <c r="Q219" s="24">
        <v>1</v>
      </c>
      <c r="R219" s="24">
        <v>0</v>
      </c>
      <c r="S219" s="24">
        <v>0</v>
      </c>
      <c r="T219" s="24">
        <v>0</v>
      </c>
      <c r="U219" s="24">
        <v>0</v>
      </c>
      <c r="V219" s="24">
        <v>1</v>
      </c>
    </row>
    <row r="220" spans="1:22" ht="21" customHeight="1" x14ac:dyDescent="0.15">
      <c r="A220" s="2" t="str">
        <f ca="1">input_498010!A$2</f>
        <v>498010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38">
        <f ca="1">IFERROR(VLOOKUP(B220,input_498010!L:R,7,FALSE),VLOOKUP(tables_498010!C220,input_498010!A:H,8,FALSE))</f>
        <v>68116.666670000006</v>
      </c>
      <c r="P220" s="39">
        <f t="shared" ca="1" si="10"/>
        <v>5.9397163123401677E-4</v>
      </c>
      <c r="Q220" s="24">
        <v>1</v>
      </c>
      <c r="R220" s="24">
        <v>0</v>
      </c>
      <c r="S220" s="24">
        <v>0</v>
      </c>
      <c r="T220" s="24">
        <v>0</v>
      </c>
      <c r="U220" s="24">
        <v>0</v>
      </c>
      <c r="V220" s="24">
        <v>1</v>
      </c>
    </row>
    <row r="221" spans="1:22" ht="21" customHeight="1" x14ac:dyDescent="0.15">
      <c r="A221" s="2" t="str">
        <f ca="1">input_498010!A$2</f>
        <v>498010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38">
        <f ca="1">IFERROR(VLOOKUP(B221,input_498010!L:R,7,FALSE),VLOOKUP(tables_498010!C221,input_498010!A:H,8,FALSE))</f>
        <v>67680</v>
      </c>
      <c r="P221" s="39">
        <f t="shared" ca="1" si="10"/>
        <v>5.901639344255107E-4</v>
      </c>
      <c r="Q221" s="24">
        <v>1</v>
      </c>
      <c r="R221" s="24">
        <v>0</v>
      </c>
      <c r="S221" s="24">
        <v>0</v>
      </c>
      <c r="T221" s="24">
        <v>0</v>
      </c>
      <c r="U221" s="24">
        <v>0</v>
      </c>
      <c r="V221" s="24">
        <v>1</v>
      </c>
    </row>
    <row r="222" spans="1:22" ht="21" customHeight="1" x14ac:dyDescent="0.15">
      <c r="A222" s="2" t="str">
        <f ca="1">input_498010!A$2</f>
        <v>498010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38">
        <f ca="1">IFERROR(VLOOKUP(B222,input_498010!L:R,7,FALSE),VLOOKUP(tables_498010!C222,input_498010!A:H,8,FALSE))</f>
        <v>7520</v>
      </c>
      <c r="P222" s="39">
        <f t="shared" ca="1" si="10"/>
        <v>6.5573770491723419E-5</v>
      </c>
      <c r="Q222" s="24">
        <v>1</v>
      </c>
      <c r="R222" s="24">
        <v>0</v>
      </c>
      <c r="S222" s="24">
        <v>0</v>
      </c>
      <c r="T222" s="24">
        <v>0</v>
      </c>
      <c r="U222" s="24">
        <v>0</v>
      </c>
      <c r="V222" s="24">
        <v>1</v>
      </c>
    </row>
    <row r="223" spans="1:22" ht="21" customHeight="1" x14ac:dyDescent="0.15">
      <c r="A223" s="2" t="str">
        <f ca="1">input_498010!A$2</f>
        <v>498010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38">
        <f ca="1">IFERROR(VLOOKUP(B223,input_498010!L:R,7,FALSE),VLOOKUP(tables_498010!C223,input_498010!A:H,8,FALSE))</f>
        <v>521550</v>
      </c>
      <c r="P223" s="39">
        <f t="shared" ca="1" si="10"/>
        <v>4.5478723404199931E-3</v>
      </c>
      <c r="Q223" s="24">
        <v>1</v>
      </c>
      <c r="R223" s="24">
        <v>0</v>
      </c>
      <c r="S223" s="24">
        <v>0</v>
      </c>
      <c r="T223" s="24">
        <v>0</v>
      </c>
      <c r="U223" s="24">
        <v>0</v>
      </c>
      <c r="V223" s="24">
        <v>1</v>
      </c>
    </row>
    <row r="224" spans="1:22" ht="21" customHeight="1" x14ac:dyDescent="0.15">
      <c r="A224" s="2" t="str">
        <f ca="1">input_498010!A$2</f>
        <v>498010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38">
        <f ca="1">IFERROR(VLOOKUP(B224,input_498010!L:R,7,FALSE),VLOOKUP(tables_498010!C224,input_498010!A:H,8,FALSE))</f>
        <v>455388.46153999999</v>
      </c>
      <c r="P224" s="39">
        <f t="shared" ca="1" si="10"/>
        <v>3.9709492635110338E-3</v>
      </c>
      <c r="Q224" s="24">
        <v>1</v>
      </c>
      <c r="R224" s="24">
        <v>0</v>
      </c>
      <c r="S224" s="24">
        <v>0</v>
      </c>
      <c r="T224" s="24">
        <v>0</v>
      </c>
      <c r="U224" s="24">
        <v>0</v>
      </c>
      <c r="V224" s="24">
        <v>1</v>
      </c>
    </row>
    <row r="225" spans="1:22" ht="21" customHeight="1" x14ac:dyDescent="0.15">
      <c r="A225" s="2" t="str">
        <f ca="1">input_498010!A$2</f>
        <v>498010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38">
        <f ca="1">IFERROR(VLOOKUP(B225,input_498010!L:R,7,FALSE),VLOOKUP(tables_498010!C225,input_498010!A:H,8,FALSE))</f>
        <v>86510</v>
      </c>
      <c r="P225" s="39">
        <f t="shared" ca="1" si="10"/>
        <v>7.5435995814348308E-4</v>
      </c>
      <c r="Q225" s="24">
        <v>1</v>
      </c>
      <c r="R225" s="24">
        <v>0</v>
      </c>
      <c r="S225" s="24">
        <v>0</v>
      </c>
      <c r="T225" s="24">
        <v>0</v>
      </c>
      <c r="U225" s="24">
        <v>0</v>
      </c>
      <c r="V225" s="24">
        <v>1</v>
      </c>
    </row>
    <row r="226" spans="1:22" ht="21" customHeight="1" x14ac:dyDescent="0.15">
      <c r="A226" s="2" t="str">
        <f ca="1">input_498010!A$2</f>
        <v>498010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38">
        <f ca="1">IFERROR(VLOOKUP(B226,input_498010!L:R,7,FALSE),VLOOKUP(tables_498010!C226,input_498010!A:H,8,FALSE))</f>
        <v>521550</v>
      </c>
      <c r="P226" s="39">
        <f t="shared" ca="1" si="10"/>
        <v>4.5478723404199931E-3</v>
      </c>
      <c r="Q226" s="24">
        <v>1</v>
      </c>
      <c r="R226" s="24">
        <v>0</v>
      </c>
      <c r="S226" s="24">
        <v>0</v>
      </c>
      <c r="T226" s="24">
        <v>0</v>
      </c>
      <c r="U226" s="24">
        <v>0</v>
      </c>
      <c r="V226" s="24">
        <v>1</v>
      </c>
    </row>
    <row r="227" spans="1:22" ht="21" customHeight="1" x14ac:dyDescent="0.15">
      <c r="A227" s="2" t="str">
        <f ca="1">input_498010!A$2</f>
        <v>498010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38">
        <f ca="1">IFERROR(VLOOKUP(B227,input_498010!L:R,7,FALSE),VLOOKUP(tables_498010!C227,input_498010!A:H,8,FALSE))</f>
        <v>455388.46153999999</v>
      </c>
      <c r="P227" s="39">
        <f t="shared" ca="1" si="10"/>
        <v>3.9709492635110338E-3</v>
      </c>
      <c r="Q227" s="24">
        <v>1</v>
      </c>
      <c r="R227" s="24">
        <v>0</v>
      </c>
      <c r="S227" s="24">
        <v>0</v>
      </c>
      <c r="T227" s="24">
        <v>0</v>
      </c>
      <c r="U227" s="24">
        <v>0</v>
      </c>
      <c r="V227" s="24">
        <v>1</v>
      </c>
    </row>
    <row r="228" spans="1:22" ht="21" customHeight="1" x14ac:dyDescent="0.15">
      <c r="A228" s="2" t="str">
        <f ca="1">input_498010!A$2</f>
        <v>498010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38">
        <f ca="1">IFERROR(VLOOKUP(B228,input_498010!L:R,7,FALSE),VLOOKUP(tables_498010!C228,input_498010!A:H,8,FALSE))</f>
        <v>86510</v>
      </c>
      <c r="P228" s="39">
        <f t="shared" ca="1" si="10"/>
        <v>7.5435995814348308E-4</v>
      </c>
      <c r="Q228" s="24">
        <v>1</v>
      </c>
      <c r="R228" s="24">
        <v>0</v>
      </c>
      <c r="S228" s="24">
        <v>0</v>
      </c>
      <c r="T228" s="24">
        <v>0</v>
      </c>
      <c r="U228" s="24">
        <v>0</v>
      </c>
      <c r="V228" s="24">
        <v>1</v>
      </c>
    </row>
    <row r="229" spans="1:22" ht="21" customHeight="1" x14ac:dyDescent="0.15">
      <c r="A229" s="2" t="str">
        <f ca="1">input_498010!A$2</f>
        <v>498010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38">
        <f ca="1">IFERROR(VLOOKUP(B229,input_498010!L:R,7,FALSE),VLOOKUP(tables_498010!C229,input_498010!A:H,8,FALSE))</f>
        <v>67680</v>
      </c>
      <c r="P229" s="39">
        <f t="shared" ca="1" si="10"/>
        <v>5.901639344255107E-4</v>
      </c>
      <c r="Q229" s="24">
        <v>1</v>
      </c>
      <c r="R229" s="24">
        <v>0</v>
      </c>
      <c r="S229" s="24">
        <v>0</v>
      </c>
      <c r="T229" s="24">
        <v>0</v>
      </c>
      <c r="U229" s="24">
        <v>0</v>
      </c>
      <c r="V229" s="24">
        <v>1</v>
      </c>
    </row>
    <row r="230" spans="1:22" ht="21" customHeight="1" x14ac:dyDescent="0.15">
      <c r="A230" s="2" t="str">
        <f ca="1">input_498010!A$2</f>
        <v>498010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38">
        <f ca="1">IFERROR(VLOOKUP(B230,input_498010!L:R,7,FALSE),VLOOKUP(tables_498010!C230,input_498010!A:H,8,FALSE))</f>
        <v>7520</v>
      </c>
      <c r="P230" s="39">
        <f t="shared" ca="1" si="10"/>
        <v>6.5573770491723419E-5</v>
      </c>
      <c r="Q230" s="24">
        <v>1</v>
      </c>
      <c r="R230" s="24">
        <v>0</v>
      </c>
      <c r="S230" s="24">
        <v>0</v>
      </c>
      <c r="T230" s="24">
        <v>0</v>
      </c>
      <c r="U230" s="24">
        <v>0</v>
      </c>
      <c r="V230" s="24">
        <v>1</v>
      </c>
    </row>
    <row r="231" spans="1:22" ht="21" customHeight="1" x14ac:dyDescent="0.15">
      <c r="A231" s="2" t="str">
        <f ca="1">input_498010!A$2</f>
        <v>498010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38">
        <f ca="1">IFERROR(VLOOKUP(B231,input_498010!L:R,7,FALSE),VLOOKUP(tables_498010!C231,input_498010!A:H,8,FALSE))</f>
        <v>521550</v>
      </c>
      <c r="P231" s="39">
        <f t="shared" ca="1" si="10"/>
        <v>4.5478723404199931E-3</v>
      </c>
      <c r="Q231" s="24">
        <v>1</v>
      </c>
      <c r="R231" s="24">
        <v>0</v>
      </c>
      <c r="S231" s="24">
        <v>0</v>
      </c>
      <c r="T231" s="24">
        <v>0</v>
      </c>
      <c r="U231" s="24">
        <v>0</v>
      </c>
      <c r="V231" s="24">
        <v>1</v>
      </c>
    </row>
    <row r="232" spans="1:22" ht="21" customHeight="1" x14ac:dyDescent="0.15">
      <c r="A232" s="2" t="str">
        <f ca="1">input_498010!A$2</f>
        <v>498010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38">
        <f ca="1">IFERROR(VLOOKUP(B232,input_498010!L:R,7,FALSE),VLOOKUP(tables_498010!C232,input_498010!A:H,8,FALSE))</f>
        <v>455388.46153999999</v>
      </c>
      <c r="P232" s="39">
        <f t="shared" ca="1" si="10"/>
        <v>3.9709492635110338E-3</v>
      </c>
      <c r="Q232" s="24">
        <v>1</v>
      </c>
      <c r="R232" s="24">
        <v>0</v>
      </c>
      <c r="S232" s="24">
        <v>0</v>
      </c>
      <c r="T232" s="24">
        <v>0</v>
      </c>
      <c r="U232" s="24">
        <v>0</v>
      </c>
      <c r="V232" s="24">
        <v>1</v>
      </c>
    </row>
    <row r="233" spans="1:22" ht="21" customHeight="1" x14ac:dyDescent="0.15">
      <c r="A233" s="2" t="str">
        <f ca="1">input_498010!A$2</f>
        <v>498010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38">
        <f ca="1">IFERROR(VLOOKUP(B233,input_498010!L:R,7,FALSE),VLOOKUP(tables_498010!C233,input_498010!A:H,8,FALSE))</f>
        <v>86510</v>
      </c>
      <c r="P233" s="39">
        <f t="shared" ca="1" si="10"/>
        <v>7.5435995814348308E-4</v>
      </c>
      <c r="Q233" s="24">
        <v>1</v>
      </c>
      <c r="R233" s="24">
        <v>0</v>
      </c>
      <c r="S233" s="24">
        <v>0</v>
      </c>
      <c r="T233" s="24">
        <v>0</v>
      </c>
      <c r="U233" s="24">
        <v>0</v>
      </c>
      <c r="V233" s="24">
        <v>1</v>
      </c>
    </row>
    <row r="234" spans="1:22" ht="21" customHeight="1" x14ac:dyDescent="0.15">
      <c r="A234" s="2" t="str">
        <f ca="1">input_498010!A$2</f>
        <v>498010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38">
        <f ca="1">IFERROR(VLOOKUP(B234,input_498010!L:R,7,FALSE),VLOOKUP(tables_498010!C234,input_498010!A:H,8,FALSE))</f>
        <v>521550</v>
      </c>
      <c r="P234" s="39">
        <f t="shared" ca="1" si="10"/>
        <v>4.5478723404199931E-3</v>
      </c>
      <c r="Q234" s="24">
        <v>1</v>
      </c>
      <c r="R234" s="24">
        <v>0</v>
      </c>
      <c r="S234" s="24">
        <v>0</v>
      </c>
      <c r="T234" s="24">
        <v>0</v>
      </c>
      <c r="U234" s="24">
        <v>0</v>
      </c>
      <c r="V234" s="24">
        <v>1</v>
      </c>
    </row>
    <row r="235" spans="1:22" ht="21" customHeight="1" x14ac:dyDescent="0.15">
      <c r="A235" s="2" t="str">
        <f ca="1">input_498010!A$2</f>
        <v>498010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38">
        <f ca="1">IFERROR(VLOOKUP(B235,input_498010!L:R,7,FALSE),VLOOKUP(tables_498010!C235,input_498010!A:H,8,FALSE))</f>
        <v>455388.46153999999</v>
      </c>
      <c r="P235" s="39">
        <f t="shared" ca="1" si="10"/>
        <v>3.9709492635110338E-3</v>
      </c>
      <c r="Q235" s="24">
        <v>1</v>
      </c>
      <c r="R235" s="24">
        <v>0</v>
      </c>
      <c r="S235" s="24">
        <v>0</v>
      </c>
      <c r="T235" s="24">
        <v>0</v>
      </c>
      <c r="U235" s="24">
        <v>0</v>
      </c>
      <c r="V235" s="24">
        <v>1</v>
      </c>
    </row>
    <row r="236" spans="1:22" ht="21" customHeight="1" x14ac:dyDescent="0.15">
      <c r="A236" s="2" t="str">
        <f ca="1">input_498010!A$2</f>
        <v>498010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38">
        <f ca="1">IFERROR(VLOOKUP(B236,input_498010!L:R,7,FALSE),VLOOKUP(tables_498010!C236,input_498010!A:H,8,FALSE))</f>
        <v>86510</v>
      </c>
      <c r="P236" s="39">
        <f t="shared" ca="1" si="10"/>
        <v>7.5435995814348308E-4</v>
      </c>
      <c r="Q236" s="24">
        <v>1</v>
      </c>
      <c r="R236" s="24">
        <v>0</v>
      </c>
      <c r="S236" s="24">
        <v>0</v>
      </c>
      <c r="T236" s="24">
        <v>0</v>
      </c>
      <c r="U236" s="24">
        <v>0</v>
      </c>
      <c r="V236" s="24">
        <v>1</v>
      </c>
    </row>
    <row r="237" spans="1:22" ht="21" customHeight="1" x14ac:dyDescent="0.15">
      <c r="A237" s="2" t="str">
        <f ca="1">input_498010!A$2</f>
        <v>498010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38">
        <f ca="1">IFERROR(VLOOKUP(B237,input_498010!L:R,7,FALSE),VLOOKUP(tables_498010!C237,input_498010!A:H,8,FALSE))</f>
        <v>67680</v>
      </c>
      <c r="P237" s="39">
        <f t="shared" ca="1" si="10"/>
        <v>5.901639344255107E-4</v>
      </c>
      <c r="Q237" s="24">
        <v>1</v>
      </c>
      <c r="R237" s="24">
        <v>0</v>
      </c>
      <c r="S237" s="24">
        <v>0</v>
      </c>
      <c r="T237" s="24">
        <v>0</v>
      </c>
      <c r="U237" s="24">
        <v>0</v>
      </c>
      <c r="V237" s="24">
        <v>1</v>
      </c>
    </row>
    <row r="238" spans="1:22" ht="21" customHeight="1" x14ac:dyDescent="0.15">
      <c r="A238" s="2" t="str">
        <f ca="1">input_498010!A$2</f>
        <v>498010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38">
        <f ca="1">IFERROR(VLOOKUP(B238,input_498010!L:R,7,FALSE),VLOOKUP(tables_498010!C238,input_498010!A:H,8,FALSE))</f>
        <v>7520</v>
      </c>
      <c r="P238" s="39">
        <f t="shared" ca="1" si="10"/>
        <v>6.5573770491723419E-5</v>
      </c>
      <c r="Q238" s="24">
        <v>1</v>
      </c>
      <c r="R238" s="24">
        <v>0</v>
      </c>
      <c r="S238" s="24">
        <v>0</v>
      </c>
      <c r="T238" s="24">
        <v>0</v>
      </c>
      <c r="U238" s="24">
        <v>0</v>
      </c>
      <c r="V238" s="24">
        <v>1</v>
      </c>
    </row>
    <row r="239" spans="1:22" ht="21" customHeight="1" x14ac:dyDescent="0.15">
      <c r="A239" s="2" t="str">
        <f ca="1">input_498010!A$2</f>
        <v>498010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38">
        <f ca="1">IFERROR(VLOOKUP(B239,input_498010!L:R,7,FALSE),VLOOKUP(tables_498010!C239,input_498010!A:H,8,FALSE))</f>
        <v>521550</v>
      </c>
      <c r="P239" s="39">
        <f t="shared" ca="1" si="10"/>
        <v>4.5478723404199931E-3</v>
      </c>
      <c r="Q239" s="24">
        <v>1</v>
      </c>
      <c r="R239" s="24">
        <v>0</v>
      </c>
      <c r="S239" s="24">
        <v>0</v>
      </c>
      <c r="T239" s="24">
        <v>0</v>
      </c>
      <c r="U239" s="24">
        <v>0</v>
      </c>
      <c r="V239" s="24">
        <v>1</v>
      </c>
    </row>
    <row r="240" spans="1:22" ht="21" customHeight="1" x14ac:dyDescent="0.15">
      <c r="A240" s="2" t="str">
        <f ca="1">input_498010!A$2</f>
        <v>498010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38">
        <f ca="1">IFERROR(VLOOKUP(B240,input_498010!L:R,7,FALSE),VLOOKUP(tables_498010!C240,input_498010!A:H,8,FALSE))</f>
        <v>455388.46153999999</v>
      </c>
      <c r="P240" s="39">
        <f t="shared" ca="1" si="10"/>
        <v>3.9709492635110338E-3</v>
      </c>
      <c r="Q240" s="24">
        <v>1</v>
      </c>
      <c r="R240" s="24">
        <v>0</v>
      </c>
      <c r="S240" s="24">
        <v>0</v>
      </c>
      <c r="T240" s="24">
        <v>0</v>
      </c>
      <c r="U240" s="24">
        <v>0</v>
      </c>
      <c r="V240" s="24">
        <v>1</v>
      </c>
    </row>
    <row r="241" spans="1:22" ht="21" customHeight="1" x14ac:dyDescent="0.15">
      <c r="A241" s="2" t="str">
        <f ca="1">input_498010!A$2</f>
        <v>498010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38">
        <f ca="1">IFERROR(VLOOKUP(B241,input_498010!L:R,7,FALSE),VLOOKUP(tables_498010!C241,input_498010!A:H,8,FALSE))</f>
        <v>86510</v>
      </c>
      <c r="P241" s="39">
        <f t="shared" ca="1" si="10"/>
        <v>7.5435995814348308E-4</v>
      </c>
      <c r="Q241" s="24">
        <v>1</v>
      </c>
      <c r="R241" s="24">
        <v>0</v>
      </c>
      <c r="S241" s="24">
        <v>0</v>
      </c>
      <c r="T241" s="24">
        <v>0</v>
      </c>
      <c r="U241" s="24">
        <v>0</v>
      </c>
      <c r="V241" s="24">
        <v>1</v>
      </c>
    </row>
    <row r="242" spans="1:22" ht="21" customHeight="1" x14ac:dyDescent="0.15">
      <c r="A242" s="2" t="str">
        <f ca="1">input_498010!A$2</f>
        <v>498010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38">
        <f ca="1">IFERROR(VLOOKUP(B242,input_498010!L:R,7,FALSE),VLOOKUP(tables_498010!C242,input_498010!A:H,8,FALSE))</f>
        <v>67680</v>
      </c>
      <c r="P242" s="39">
        <f t="shared" ca="1" si="10"/>
        <v>5.901639344255107E-4</v>
      </c>
      <c r="Q242" s="24">
        <v>1</v>
      </c>
      <c r="R242" s="24">
        <v>0</v>
      </c>
      <c r="S242" s="24">
        <v>0</v>
      </c>
      <c r="T242" s="24">
        <v>0</v>
      </c>
      <c r="U242" s="24">
        <v>0</v>
      </c>
      <c r="V242" s="24">
        <v>1</v>
      </c>
    </row>
    <row r="243" spans="1:22" ht="21" customHeight="1" x14ac:dyDescent="0.15">
      <c r="A243" s="2" t="str">
        <f ca="1">input_498010!A$2</f>
        <v>498010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38">
        <f ca="1">IFERROR(VLOOKUP(B243,input_498010!L:R,7,FALSE),VLOOKUP(tables_498010!C243,input_498010!A:H,8,FALSE))</f>
        <v>7520</v>
      </c>
      <c r="P243" s="39">
        <f t="shared" ca="1" si="10"/>
        <v>6.5573770491723419E-5</v>
      </c>
      <c r="Q243" s="24">
        <v>1</v>
      </c>
      <c r="R243" s="24">
        <v>0</v>
      </c>
      <c r="S243" s="24">
        <v>0</v>
      </c>
      <c r="T243" s="24">
        <v>0</v>
      </c>
      <c r="U243" s="24">
        <v>0</v>
      </c>
      <c r="V243" s="24">
        <v>1</v>
      </c>
    </row>
    <row r="244" spans="1:22" ht="21" customHeight="1" x14ac:dyDescent="0.15">
      <c r="A244" s="2" t="str">
        <f ca="1">input_498010!A$2</f>
        <v>498010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38">
        <f ca="1">IFERROR(VLOOKUP(B244,input_498010!L:R,7,FALSE),VLOOKUP(tables_498010!C244,input_498010!A:H,8,FALSE))</f>
        <v>67680</v>
      </c>
      <c r="P244" s="39">
        <f t="shared" ca="1" si="10"/>
        <v>5.901639344255107E-4</v>
      </c>
      <c r="Q244" s="24">
        <v>1</v>
      </c>
      <c r="R244" s="24">
        <v>0</v>
      </c>
      <c r="S244" s="24">
        <v>0</v>
      </c>
      <c r="T244" s="24">
        <v>0</v>
      </c>
      <c r="U244" s="24">
        <v>0</v>
      </c>
      <c r="V244" s="24">
        <v>1</v>
      </c>
    </row>
    <row r="245" spans="1:22" ht="21" customHeight="1" x14ac:dyDescent="0.15">
      <c r="A245" s="2" t="str">
        <f ca="1">input_498010!A$2</f>
        <v>498010</v>
      </c>
      <c r="B245" s="53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38">
        <f ca="1">IFERROR(VLOOKUP(B245,input_498010!L:R,7,FALSE),VLOOKUP(tables_498010!C245,input_498010!A:H,8,FALSE))</f>
        <v>7520</v>
      </c>
      <c r="P245" s="39">
        <f t="shared" ca="1" si="10"/>
        <v>6.5573770491723419E-5</v>
      </c>
      <c r="Q245" s="24">
        <v>1</v>
      </c>
      <c r="R245" s="24">
        <v>0</v>
      </c>
      <c r="S245" s="24">
        <v>0</v>
      </c>
      <c r="T245" s="24">
        <v>0</v>
      </c>
      <c r="U245" s="24">
        <v>0</v>
      </c>
      <c r="V245" s="24">
        <v>1</v>
      </c>
    </row>
    <row r="246" spans="1:22" ht="21" customHeight="1" x14ac:dyDescent="0.15">
      <c r="A246" s="2" t="str">
        <f ca="1">input_498010!A$2</f>
        <v>498010</v>
      </c>
      <c r="B246" s="53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38">
        <f ca="1">IFERROR(VLOOKUP(B246,input_498010!L:R,7,FALSE),VLOOKUP(tables_498010!C246,input_498010!A:H,8,FALSE))</f>
        <v>521550</v>
      </c>
      <c r="P246" s="39">
        <f t="shared" ca="1" si="10"/>
        <v>4.5478723404199931E-3</v>
      </c>
      <c r="Q246" s="24">
        <v>1</v>
      </c>
      <c r="R246" s="24">
        <v>0</v>
      </c>
      <c r="S246" s="24">
        <v>0</v>
      </c>
      <c r="T246" s="24">
        <v>0</v>
      </c>
      <c r="U246" s="24">
        <v>0</v>
      </c>
      <c r="V246" s="24">
        <v>1</v>
      </c>
    </row>
    <row r="247" spans="1:22" ht="21" customHeight="1" x14ac:dyDescent="0.15">
      <c r="A247" s="2" t="str">
        <f ca="1">input_498010!A$2</f>
        <v>498010</v>
      </c>
      <c r="B247" s="53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38">
        <f ca="1">IFERROR(VLOOKUP(B247,input_498010!L:R,7,FALSE),VLOOKUP(tables_498010!C247,input_498010!A:H,8,FALSE))</f>
        <v>455388.46153999999</v>
      </c>
      <c r="P247" s="39">
        <f t="shared" ca="1" si="10"/>
        <v>3.9709492635110338E-3</v>
      </c>
      <c r="Q247" s="24">
        <v>1</v>
      </c>
      <c r="R247" s="24">
        <v>0</v>
      </c>
      <c r="S247" s="24">
        <v>0</v>
      </c>
      <c r="T247" s="24">
        <v>0</v>
      </c>
      <c r="U247" s="24">
        <v>0</v>
      </c>
      <c r="V247" s="24">
        <v>1</v>
      </c>
    </row>
    <row r="248" spans="1:22" ht="21" customHeight="1" x14ac:dyDescent="0.15">
      <c r="A248" s="2" t="str">
        <f ca="1">input_498010!A$2</f>
        <v>498010</v>
      </c>
      <c r="B248" s="53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38">
        <f ca="1">IFERROR(VLOOKUP(B248,input_498010!L:R,7,FALSE),VLOOKUP(tables_498010!C248,input_498010!A:H,8,FALSE))</f>
        <v>86510</v>
      </c>
      <c r="P248" s="39">
        <f t="shared" ca="1" si="10"/>
        <v>7.5435995814348308E-4</v>
      </c>
      <c r="Q248" s="24">
        <v>1</v>
      </c>
      <c r="R248" s="24">
        <v>0</v>
      </c>
      <c r="S248" s="24">
        <v>0</v>
      </c>
      <c r="T248" s="24">
        <v>0</v>
      </c>
      <c r="U248" s="24">
        <v>0</v>
      </c>
      <c r="V248" s="24">
        <v>1</v>
      </c>
    </row>
    <row r="249" spans="1:22" ht="21" customHeight="1" x14ac:dyDescent="0.15">
      <c r="A249" s="2" t="str">
        <f ca="1">input_498010!A$2</f>
        <v>498010</v>
      </c>
      <c r="B249" s="53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38">
        <f ca="1">IFERROR(VLOOKUP(B249,input_498010!L:R,7,FALSE),VLOOKUP(tables_498010!C249,input_498010!A:H,8,FALSE))</f>
        <v>521550</v>
      </c>
      <c r="P249" s="39">
        <f t="shared" ca="1" si="10"/>
        <v>4.5478723404199931E-3</v>
      </c>
      <c r="Q249" s="24">
        <v>1</v>
      </c>
      <c r="R249" s="24">
        <v>0</v>
      </c>
      <c r="S249" s="24">
        <v>0</v>
      </c>
      <c r="T249" s="24">
        <v>0</v>
      </c>
      <c r="U249" s="24">
        <v>0</v>
      </c>
      <c r="V249" s="24">
        <v>1</v>
      </c>
    </row>
    <row r="250" spans="1:22" ht="21" customHeight="1" x14ac:dyDescent="0.15">
      <c r="A250" s="2" t="str">
        <f ca="1">input_498010!A$2</f>
        <v>498010</v>
      </c>
      <c r="B250" s="53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38">
        <f ca="1">IFERROR(VLOOKUP(B250,input_498010!L:R,7,FALSE),VLOOKUP(tables_498010!C250,input_498010!A:H,8,FALSE))</f>
        <v>455388.46153999999</v>
      </c>
      <c r="P250" s="39">
        <f t="shared" ca="1" si="10"/>
        <v>3.9709492635110338E-3</v>
      </c>
      <c r="Q250" s="24">
        <v>1</v>
      </c>
      <c r="R250" s="24">
        <v>0</v>
      </c>
      <c r="S250" s="24">
        <v>0</v>
      </c>
      <c r="T250" s="24">
        <v>0</v>
      </c>
      <c r="U250" s="24">
        <v>0</v>
      </c>
      <c r="V250" s="24">
        <v>1</v>
      </c>
    </row>
    <row r="251" spans="1:22" ht="21" customHeight="1" x14ac:dyDescent="0.15">
      <c r="A251" s="2" t="str">
        <f ca="1">input_498010!A$2</f>
        <v>498010</v>
      </c>
      <c r="B251" s="53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38">
        <f ca="1">IFERROR(VLOOKUP(B251,input_498010!L:R,7,FALSE),VLOOKUP(tables_498010!C251,input_498010!A:H,8,FALSE))</f>
        <v>86510</v>
      </c>
      <c r="P251" s="39">
        <f t="shared" ca="1" si="10"/>
        <v>7.5435995814348308E-4</v>
      </c>
      <c r="Q251" s="24">
        <v>1</v>
      </c>
      <c r="R251" s="24">
        <v>0</v>
      </c>
      <c r="S251" s="24">
        <v>0</v>
      </c>
      <c r="T251" s="24">
        <v>0</v>
      </c>
      <c r="U251" s="24">
        <v>0</v>
      </c>
      <c r="V251" s="24">
        <v>1</v>
      </c>
    </row>
    <row r="252" spans="1:22" ht="21" customHeight="1" x14ac:dyDescent="0.15">
      <c r="A252" s="2" t="str">
        <f ca="1">input_498010!A$2</f>
        <v>498010</v>
      </c>
      <c r="B252" s="53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38">
        <f ca="1">IFERROR(VLOOKUP(B252,input_498010!L:R,7,FALSE),VLOOKUP(tables_498010!C252,input_498010!A:H,8,FALSE))</f>
        <v>521550</v>
      </c>
      <c r="P252" s="39">
        <f t="shared" ca="1" si="10"/>
        <v>4.5478723404199931E-3</v>
      </c>
      <c r="Q252" s="24">
        <v>1</v>
      </c>
      <c r="R252" s="24">
        <v>0</v>
      </c>
      <c r="S252" s="24">
        <v>0</v>
      </c>
      <c r="T252" s="24">
        <v>0</v>
      </c>
      <c r="U252" s="24">
        <v>0</v>
      </c>
      <c r="V252" s="24">
        <v>1</v>
      </c>
    </row>
    <row r="253" spans="1:22" ht="21" customHeight="1" x14ac:dyDescent="0.15">
      <c r="A253" s="2" t="str">
        <f ca="1">input_498010!A$2</f>
        <v>498010</v>
      </c>
      <c r="B253" s="53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38">
        <f ca="1">IFERROR(VLOOKUP(B253,input_498010!L:R,7,FALSE),VLOOKUP(tables_498010!C253,input_498010!A:H,8,FALSE))</f>
        <v>455388.46153999999</v>
      </c>
      <c r="P253" s="39">
        <f t="shared" ca="1" si="10"/>
        <v>3.9709492635110338E-3</v>
      </c>
      <c r="Q253" s="24">
        <v>1</v>
      </c>
      <c r="R253" s="24">
        <v>0</v>
      </c>
      <c r="S253" s="24">
        <v>0</v>
      </c>
      <c r="T253" s="24">
        <v>0</v>
      </c>
      <c r="U253" s="24">
        <v>0</v>
      </c>
      <c r="V253" s="24">
        <v>1</v>
      </c>
    </row>
    <row r="254" spans="1:22" ht="21" customHeight="1" x14ac:dyDescent="0.15">
      <c r="A254" s="2" t="str">
        <f ca="1">input_498010!A$2</f>
        <v>498010</v>
      </c>
      <c r="B254" s="53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38">
        <f ca="1">IFERROR(VLOOKUP(B254,input_498010!L:R,7,FALSE),VLOOKUP(tables_498010!C254,input_498010!A:H,8,FALSE))</f>
        <v>86510</v>
      </c>
      <c r="P254" s="39">
        <f t="shared" ca="1" si="10"/>
        <v>7.5435995814348308E-4</v>
      </c>
      <c r="Q254" s="24">
        <v>1</v>
      </c>
      <c r="R254" s="24">
        <v>0</v>
      </c>
      <c r="S254" s="24">
        <v>0</v>
      </c>
      <c r="T254" s="24">
        <v>0</v>
      </c>
      <c r="U254" s="24">
        <v>0</v>
      </c>
      <c r="V254" s="24">
        <v>1</v>
      </c>
    </row>
    <row r="255" spans="1:22" ht="21" customHeight="1" x14ac:dyDescent="0.15">
      <c r="A255" s="2" t="str">
        <f ca="1">input_498010!A$2</f>
        <v>498010</v>
      </c>
      <c r="B255" s="53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38">
        <f ca="1">IFERROR(VLOOKUP(B255,input_498010!L:R,7,FALSE),VLOOKUP(tables_498010!C255,input_498010!A:H,8,FALSE))</f>
        <v>521550</v>
      </c>
      <c r="P255" s="39">
        <f t="shared" ca="1" si="10"/>
        <v>4.5478723404199931E-3</v>
      </c>
      <c r="Q255" s="24">
        <v>1</v>
      </c>
      <c r="R255" s="24">
        <v>0</v>
      </c>
      <c r="S255" s="24">
        <v>0</v>
      </c>
      <c r="T255" s="24">
        <v>0</v>
      </c>
      <c r="U255" s="24">
        <v>0</v>
      </c>
      <c r="V255" s="24">
        <v>1</v>
      </c>
    </row>
    <row r="256" spans="1:22" ht="21" customHeight="1" x14ac:dyDescent="0.15">
      <c r="A256" s="2" t="str">
        <f ca="1">input_498010!A$2</f>
        <v>498010</v>
      </c>
      <c r="B256" s="53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38">
        <f ca="1">IFERROR(VLOOKUP(B256,input_498010!L:R,7,FALSE),VLOOKUP(tables_498010!C256,input_498010!A:H,8,FALSE))</f>
        <v>455388.46153999999</v>
      </c>
      <c r="P256" s="39">
        <f t="shared" ca="1" si="10"/>
        <v>3.9709492635110338E-3</v>
      </c>
      <c r="Q256" s="24">
        <v>1</v>
      </c>
      <c r="R256" s="24">
        <v>0</v>
      </c>
      <c r="S256" s="24">
        <v>0</v>
      </c>
      <c r="T256" s="24">
        <v>0</v>
      </c>
      <c r="U256" s="24">
        <v>0</v>
      </c>
      <c r="V256" s="24">
        <v>1</v>
      </c>
    </row>
    <row r="257" spans="1:22" ht="21" customHeight="1" x14ac:dyDescent="0.15">
      <c r="A257" s="2" t="str">
        <f ca="1">input_498010!A$2</f>
        <v>498010</v>
      </c>
      <c r="B257" s="53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38">
        <f ca="1">IFERROR(VLOOKUP(B257,input_498010!L:R,7,FALSE),VLOOKUP(tables_498010!C257,input_498010!A:H,8,FALSE))</f>
        <v>86510</v>
      </c>
      <c r="P257" s="39">
        <f t="shared" ca="1" si="10"/>
        <v>7.5435995814348308E-4</v>
      </c>
      <c r="Q257" s="24">
        <v>1</v>
      </c>
      <c r="R257" s="24">
        <v>0</v>
      </c>
      <c r="S257" s="24">
        <v>0</v>
      </c>
      <c r="T257" s="24">
        <v>0</v>
      </c>
      <c r="U257" s="24">
        <v>0</v>
      </c>
      <c r="V257" s="24">
        <v>1</v>
      </c>
    </row>
    <row r="258" spans="1:22" ht="21" customHeight="1" x14ac:dyDescent="0.15">
      <c r="A258" s="2" t="str">
        <f ca="1">input_498010!A$2</f>
        <v>498010</v>
      </c>
      <c r="B258" s="53">
        <v>674</v>
      </c>
      <c r="C258" s="7" t="str">
        <f t="shared" ref="C258:C284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38">
        <f ca="1">IFERROR(VLOOKUP(B258,input_498010!L:R,7,FALSE),VLOOKUP(tables_498010!C258,input_498010!A:H,8,FALSE))</f>
        <v>67680</v>
      </c>
      <c r="P258" s="39">
        <f t="shared" ref="P258:P321" ca="1" si="13">O258/SUM(O:O)</f>
        <v>5.901639344255107E-4</v>
      </c>
      <c r="Q258" s="24">
        <v>1</v>
      </c>
      <c r="R258" s="24">
        <v>0</v>
      </c>
      <c r="S258" s="24">
        <v>0</v>
      </c>
      <c r="T258" s="24">
        <v>0</v>
      </c>
      <c r="U258" s="24">
        <v>0</v>
      </c>
      <c r="V258" s="24">
        <v>1</v>
      </c>
    </row>
    <row r="259" spans="1:22" ht="21" customHeight="1" x14ac:dyDescent="0.15">
      <c r="A259" s="2" t="str">
        <f ca="1">input_498010!A$2</f>
        <v>498010</v>
      </c>
      <c r="B259" s="53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38">
        <f ca="1">IFERROR(VLOOKUP(B259,input_498010!L:R,7,FALSE),VLOOKUP(tables_498010!C259,input_498010!A:H,8,FALSE))</f>
        <v>7520</v>
      </c>
      <c r="P259" s="39">
        <f t="shared" ca="1" si="13"/>
        <v>6.5573770491723419E-5</v>
      </c>
      <c r="Q259" s="24">
        <v>1</v>
      </c>
      <c r="R259" s="24">
        <v>0</v>
      </c>
      <c r="S259" s="24">
        <v>0</v>
      </c>
      <c r="T259" s="24">
        <v>0</v>
      </c>
      <c r="U259" s="24">
        <v>0</v>
      </c>
      <c r="V259" s="24">
        <v>1</v>
      </c>
    </row>
    <row r="260" spans="1:22" ht="21" customHeight="1" x14ac:dyDescent="0.15">
      <c r="A260" s="2" t="str">
        <f ca="1">input_498010!A$2</f>
        <v>498010</v>
      </c>
      <c r="B260" s="53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38">
        <f ca="1">IFERROR(VLOOKUP(B260,input_498010!L:R,7,FALSE),VLOOKUP(tables_498010!C260,input_498010!A:H,8,FALSE))</f>
        <v>67680</v>
      </c>
      <c r="P260" s="39">
        <f t="shared" ca="1" si="13"/>
        <v>5.901639344255107E-4</v>
      </c>
      <c r="Q260" s="24">
        <v>1</v>
      </c>
      <c r="R260" s="24">
        <v>0</v>
      </c>
      <c r="S260" s="24">
        <v>0</v>
      </c>
      <c r="T260" s="24">
        <v>0</v>
      </c>
      <c r="U260" s="24">
        <v>0</v>
      </c>
      <c r="V260" s="24">
        <v>1</v>
      </c>
    </row>
    <row r="261" spans="1:22" ht="21" customHeight="1" x14ac:dyDescent="0.15">
      <c r="A261" s="2" t="str">
        <f ca="1">input_498010!A$2</f>
        <v>498010</v>
      </c>
      <c r="B261" s="53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38">
        <f ca="1">IFERROR(VLOOKUP(B261,input_498010!L:R,7,FALSE),VLOOKUP(tables_498010!C261,input_498010!A:H,8,FALSE))</f>
        <v>7520</v>
      </c>
      <c r="P261" s="39">
        <f t="shared" ca="1" si="13"/>
        <v>6.5573770491723419E-5</v>
      </c>
      <c r="Q261" s="24">
        <v>1</v>
      </c>
      <c r="R261" s="24">
        <v>0</v>
      </c>
      <c r="S261" s="24">
        <v>0</v>
      </c>
      <c r="T261" s="24">
        <v>0</v>
      </c>
      <c r="U261" s="24">
        <v>0</v>
      </c>
      <c r="V261" s="24">
        <v>1</v>
      </c>
    </row>
    <row r="262" spans="1:22" ht="21" customHeight="1" x14ac:dyDescent="0.15">
      <c r="A262" s="2" t="str">
        <f ca="1">input_498010!A$2</f>
        <v>498010</v>
      </c>
      <c r="B262" s="53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38">
        <f ca="1">IFERROR(VLOOKUP(B262,input_498010!L:R,7,FALSE),VLOOKUP(tables_498010!C262,input_498010!A:H,8,FALSE))</f>
        <v>1068177.7777799999</v>
      </c>
      <c r="P262" s="39">
        <f t="shared" ca="1" si="13"/>
        <v>9.3144208037905379E-3</v>
      </c>
      <c r="Q262" s="24">
        <v>1</v>
      </c>
      <c r="R262" s="24">
        <v>0</v>
      </c>
      <c r="S262" s="24">
        <v>0</v>
      </c>
      <c r="T262" s="24">
        <v>0</v>
      </c>
      <c r="U262" s="24">
        <v>0</v>
      </c>
      <c r="V262" s="24">
        <v>1</v>
      </c>
    </row>
    <row r="263" spans="1:22" ht="21" customHeight="1" x14ac:dyDescent="0.15">
      <c r="A263" s="2" t="str">
        <f ca="1">input_498010!A$2</f>
        <v>498010</v>
      </c>
      <c r="B263" s="53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38">
        <f ca="1">IFERROR(VLOOKUP(B263,input_498010!L:R,7,FALSE),VLOOKUP(tables_498010!C263,input_498010!A:H,8,FALSE))</f>
        <v>68116.666670000006</v>
      </c>
      <c r="P263" s="39">
        <f t="shared" ca="1" si="13"/>
        <v>5.9397163123401677E-4</v>
      </c>
      <c r="Q263" s="24">
        <v>1</v>
      </c>
      <c r="R263" s="24">
        <v>0</v>
      </c>
      <c r="S263" s="24">
        <v>0</v>
      </c>
      <c r="T263" s="24">
        <v>0</v>
      </c>
      <c r="U263" s="24">
        <v>0</v>
      </c>
      <c r="V263" s="24">
        <v>1</v>
      </c>
    </row>
    <row r="264" spans="1:22" ht="21" customHeight="1" x14ac:dyDescent="0.15">
      <c r="A264" s="2" t="str">
        <f ca="1">input_498010!A$2</f>
        <v>498010</v>
      </c>
      <c r="B264" s="53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38">
        <f ca="1">IFERROR(VLOOKUP(B264,input_498010!L:R,7,FALSE),VLOOKUP(tables_498010!C264,input_498010!A:H,8,FALSE))</f>
        <v>1068177.7777799999</v>
      </c>
      <c r="P264" s="39">
        <f t="shared" ca="1" si="13"/>
        <v>9.3144208037905379E-3</v>
      </c>
      <c r="Q264" s="24">
        <v>1</v>
      </c>
      <c r="R264" s="24">
        <v>0</v>
      </c>
      <c r="S264" s="24">
        <v>0</v>
      </c>
      <c r="T264" s="24">
        <v>0</v>
      </c>
      <c r="U264" s="24">
        <v>0</v>
      </c>
      <c r="V264" s="24">
        <v>1</v>
      </c>
    </row>
    <row r="265" spans="1:22" ht="21" customHeight="1" x14ac:dyDescent="0.15">
      <c r="A265" s="2" t="str">
        <f ca="1">input_498010!A$2</f>
        <v>498010</v>
      </c>
      <c r="B265" s="53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38">
        <f ca="1">IFERROR(VLOOKUP(B265,input_498010!L:R,7,FALSE),VLOOKUP(tables_498010!C265,input_498010!A:H,8,FALSE))</f>
        <v>68116.666670000006</v>
      </c>
      <c r="P265" s="39">
        <f t="shared" ca="1" si="13"/>
        <v>5.9397163123401677E-4</v>
      </c>
      <c r="Q265" s="24">
        <v>1</v>
      </c>
      <c r="R265" s="24">
        <v>0</v>
      </c>
      <c r="S265" s="24">
        <v>0</v>
      </c>
      <c r="T265" s="24">
        <v>0</v>
      </c>
      <c r="U265" s="24">
        <v>0</v>
      </c>
      <c r="V265" s="24">
        <v>1</v>
      </c>
    </row>
    <row r="266" spans="1:22" ht="21" customHeight="1" x14ac:dyDescent="0.15">
      <c r="A266" s="2" t="str">
        <f ca="1">input_498010!A$2</f>
        <v>498010</v>
      </c>
      <c r="B266" s="53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38">
        <f ca="1">IFERROR(VLOOKUP(B266,input_498010!L:R,7,FALSE),VLOOKUP(tables_498010!C266,input_498010!A:H,8,FALSE))</f>
        <v>95484.210529999997</v>
      </c>
      <c r="P266" s="39">
        <f t="shared" ca="1" si="13"/>
        <v>8.326143227230878E-4</v>
      </c>
      <c r="Q266" s="24">
        <v>1</v>
      </c>
      <c r="R266" s="24">
        <v>0</v>
      </c>
      <c r="S266" s="24">
        <v>0</v>
      </c>
      <c r="T266" s="24">
        <v>0</v>
      </c>
      <c r="U266" s="24">
        <v>0</v>
      </c>
      <c r="V266" s="24">
        <v>1</v>
      </c>
    </row>
    <row r="267" spans="1:22" ht="21" customHeight="1" x14ac:dyDescent="0.15">
      <c r="A267" s="2" t="str">
        <f ca="1">input_498010!A$2</f>
        <v>498010</v>
      </c>
      <c r="B267" s="53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38">
        <f ca="1">IFERROR(VLOOKUP(B267,input_498010!L:R,7,FALSE),VLOOKUP(tables_498010!C267,input_498010!A:H,8,FALSE))</f>
        <v>95484.210529999997</v>
      </c>
      <c r="P267" s="39">
        <f t="shared" ca="1" si="13"/>
        <v>8.326143227230878E-4</v>
      </c>
      <c r="Q267" s="24">
        <v>1</v>
      </c>
      <c r="R267" s="24">
        <v>0</v>
      </c>
      <c r="S267" s="24">
        <v>0</v>
      </c>
      <c r="T267" s="24">
        <v>0</v>
      </c>
      <c r="U267" s="24">
        <v>0</v>
      </c>
      <c r="V267" s="24">
        <v>1</v>
      </c>
    </row>
    <row r="268" spans="1:22" ht="21" customHeight="1" x14ac:dyDescent="0.15">
      <c r="A268" s="2" t="str">
        <f ca="1">input_498010!A$2</f>
        <v>498010</v>
      </c>
      <c r="B268" s="53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38">
        <f ca="1">IFERROR(VLOOKUP(B268,input_498010!L:R,7,FALSE),VLOOKUP(tables_498010!C268,input_498010!A:H,8,FALSE))</f>
        <v>95484.210529999997</v>
      </c>
      <c r="P268" s="39">
        <f t="shared" ca="1" si="13"/>
        <v>8.326143227230878E-4</v>
      </c>
      <c r="Q268" s="24">
        <v>1</v>
      </c>
      <c r="R268" s="24">
        <v>0</v>
      </c>
      <c r="S268" s="24">
        <v>0</v>
      </c>
      <c r="T268" s="24">
        <v>0</v>
      </c>
      <c r="U268" s="24">
        <v>0</v>
      </c>
      <c r="V268" s="24">
        <v>1</v>
      </c>
    </row>
    <row r="269" spans="1:22" ht="21" customHeight="1" x14ac:dyDescent="0.15">
      <c r="A269" s="2" t="str">
        <f ca="1">input_498010!A$2</f>
        <v>498010</v>
      </c>
      <c r="B269" s="53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38">
        <f ca="1">IFERROR(VLOOKUP(B269,input_498010!L:R,7,FALSE),VLOOKUP(tables_498010!C269,input_498010!A:H,8,FALSE))</f>
        <v>95484.210529999997</v>
      </c>
      <c r="P269" s="39">
        <f t="shared" ca="1" si="13"/>
        <v>8.326143227230878E-4</v>
      </c>
      <c r="Q269" s="24">
        <v>1</v>
      </c>
      <c r="R269" s="24">
        <v>0</v>
      </c>
      <c r="S269" s="24">
        <v>0</v>
      </c>
      <c r="T269" s="24">
        <v>0</v>
      </c>
      <c r="U269" s="24">
        <v>0</v>
      </c>
      <c r="V269" s="24">
        <v>1</v>
      </c>
    </row>
    <row r="270" spans="1:22" ht="21" customHeight="1" x14ac:dyDescent="0.15">
      <c r="A270" s="2" t="str">
        <f ca="1">input_498010!A$2</f>
        <v>498010</v>
      </c>
      <c r="B270" s="53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38">
        <f ca="1">IFERROR(VLOOKUP(B270,input_498010!L:R,7,FALSE),VLOOKUP(tables_498010!C270,input_498010!A:H,8,FALSE))</f>
        <v>1068177.7777799999</v>
      </c>
      <c r="P270" s="39">
        <f t="shared" ca="1" si="13"/>
        <v>9.3144208037905379E-3</v>
      </c>
      <c r="Q270" s="24">
        <v>1</v>
      </c>
      <c r="R270" s="24">
        <v>0</v>
      </c>
      <c r="S270" s="24">
        <v>0</v>
      </c>
      <c r="T270" s="24">
        <v>0</v>
      </c>
      <c r="U270" s="24">
        <v>0</v>
      </c>
      <c r="V270" s="24">
        <v>1</v>
      </c>
    </row>
    <row r="271" spans="1:22" ht="21" customHeight="1" x14ac:dyDescent="0.15">
      <c r="A271" s="2" t="str">
        <f ca="1">input_498010!A$2</f>
        <v>498010</v>
      </c>
      <c r="B271" s="74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38">
        <f ca="1">IFERROR(VLOOKUP(B271,input_498010!L:R,7,FALSE),VLOOKUP(tables_498010!C271,input_498010!A:H,8,FALSE))</f>
        <v>68116.666670000006</v>
      </c>
      <c r="P271" s="39">
        <f t="shared" ca="1" si="13"/>
        <v>5.9397163123401677E-4</v>
      </c>
      <c r="Q271" s="24">
        <v>1</v>
      </c>
      <c r="R271" s="24">
        <v>0</v>
      </c>
      <c r="S271" s="24">
        <v>0</v>
      </c>
      <c r="T271" s="24">
        <v>0</v>
      </c>
      <c r="U271" s="24">
        <v>0</v>
      </c>
      <c r="V271" s="24">
        <v>1</v>
      </c>
    </row>
    <row r="272" spans="1:22" ht="21" customHeight="1" x14ac:dyDescent="0.15">
      <c r="A272" s="2" t="str">
        <f ca="1">input_498010!A$2</f>
        <v>498010</v>
      </c>
      <c r="B272" s="74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38">
        <f ca="1">IFERROR(VLOOKUP(B272,input_498010!L:R,7,FALSE),VLOOKUP(tables_498010!C272,input_498010!A:H,8,FALSE))</f>
        <v>1068177.7777799999</v>
      </c>
      <c r="P272" s="39">
        <f t="shared" ca="1" si="13"/>
        <v>9.3144208037905379E-3</v>
      </c>
      <c r="Q272" s="24">
        <v>1</v>
      </c>
      <c r="R272" s="24">
        <v>0</v>
      </c>
      <c r="S272" s="24">
        <v>0</v>
      </c>
      <c r="T272" s="24">
        <v>0</v>
      </c>
      <c r="U272" s="24">
        <v>0</v>
      </c>
      <c r="V272" s="24">
        <v>1</v>
      </c>
    </row>
    <row r="273" spans="1:22" ht="21" customHeight="1" x14ac:dyDescent="0.15">
      <c r="A273" s="2" t="str">
        <f ca="1">input_498010!A$2</f>
        <v>498010</v>
      </c>
      <c r="B273" s="74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38">
        <f ca="1">IFERROR(VLOOKUP(B273,input_498010!L:R,7,FALSE),VLOOKUP(tables_498010!C273,input_498010!A:H,8,FALSE))</f>
        <v>68116.666670000006</v>
      </c>
      <c r="P273" s="39">
        <f t="shared" ca="1" si="13"/>
        <v>5.9397163123401677E-4</v>
      </c>
      <c r="Q273" s="24">
        <v>1</v>
      </c>
      <c r="R273" s="24">
        <v>0</v>
      </c>
      <c r="S273" s="24">
        <v>0</v>
      </c>
      <c r="T273" s="24">
        <v>0</v>
      </c>
      <c r="U273" s="24">
        <v>0</v>
      </c>
      <c r="V273" s="24">
        <v>1</v>
      </c>
    </row>
    <row r="274" spans="1:22" ht="21" customHeight="1" x14ac:dyDescent="0.15">
      <c r="A274" s="2" t="str">
        <f ca="1">input_498010!A$2</f>
        <v>498010</v>
      </c>
      <c r="B274" s="74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38">
        <f ca="1">IFERROR(VLOOKUP(B274,input_498010!L:R,7,FALSE),VLOOKUP(tables_498010!C274,input_498010!A:H,8,FALSE))</f>
        <v>67680</v>
      </c>
      <c r="P274" s="39">
        <f t="shared" ca="1" si="13"/>
        <v>5.901639344255107E-4</v>
      </c>
      <c r="Q274" s="24">
        <v>1</v>
      </c>
      <c r="R274" s="24">
        <v>0</v>
      </c>
      <c r="S274" s="24">
        <v>0</v>
      </c>
      <c r="T274" s="24">
        <v>0</v>
      </c>
      <c r="U274" s="24">
        <v>0</v>
      </c>
      <c r="V274" s="24">
        <v>1</v>
      </c>
    </row>
    <row r="275" spans="1:22" ht="21" customHeight="1" x14ac:dyDescent="0.15">
      <c r="A275" s="2" t="str">
        <f ca="1">input_498010!A$2</f>
        <v>498010</v>
      </c>
      <c r="B275" s="74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38">
        <f ca="1">IFERROR(VLOOKUP(B275,input_498010!L:R,7,FALSE),VLOOKUP(tables_498010!C275,input_498010!A:H,8,FALSE))</f>
        <v>7520</v>
      </c>
      <c r="P275" s="39">
        <f t="shared" ca="1" si="13"/>
        <v>6.5573770491723419E-5</v>
      </c>
      <c r="Q275" s="24">
        <v>1</v>
      </c>
      <c r="R275" s="24">
        <v>0</v>
      </c>
      <c r="S275" s="24">
        <v>0</v>
      </c>
      <c r="T275" s="24">
        <v>0</v>
      </c>
      <c r="U275" s="24">
        <v>0</v>
      </c>
      <c r="V275" s="24">
        <v>1</v>
      </c>
    </row>
    <row r="276" spans="1:22" ht="21" customHeight="1" x14ac:dyDescent="0.15">
      <c r="A276" s="2" t="str">
        <f ca="1">input_498010!A$2</f>
        <v>498010</v>
      </c>
      <c r="B276" s="74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38">
        <f ca="1">IFERROR(VLOOKUP(B276,input_498010!L:R,7,FALSE),VLOOKUP(tables_498010!C276,input_498010!A:H,8,FALSE))</f>
        <v>67680</v>
      </c>
      <c r="P276" s="39">
        <f t="shared" ca="1" si="13"/>
        <v>5.901639344255107E-4</v>
      </c>
      <c r="Q276" s="24">
        <v>1</v>
      </c>
      <c r="R276" s="24">
        <v>0</v>
      </c>
      <c r="S276" s="24">
        <v>0</v>
      </c>
      <c r="T276" s="24">
        <v>0</v>
      </c>
      <c r="U276" s="24">
        <v>0</v>
      </c>
      <c r="V276" s="24">
        <v>1</v>
      </c>
    </row>
    <row r="277" spans="1:22" ht="21" customHeight="1" x14ac:dyDescent="0.15">
      <c r="A277" s="2" t="str">
        <f ca="1">input_498010!A$2</f>
        <v>498010</v>
      </c>
      <c r="B277" s="74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38">
        <f ca="1">IFERROR(VLOOKUP(B277,input_498010!L:R,7,FALSE),VLOOKUP(tables_498010!C277,input_498010!A:H,8,FALSE))</f>
        <v>7520</v>
      </c>
      <c r="P277" s="39">
        <f t="shared" ca="1" si="13"/>
        <v>6.5573770491723419E-5</v>
      </c>
      <c r="Q277" s="24">
        <v>1</v>
      </c>
      <c r="R277" s="24">
        <v>0</v>
      </c>
      <c r="S277" s="24">
        <v>0</v>
      </c>
      <c r="T277" s="24">
        <v>0</v>
      </c>
      <c r="U277" s="24">
        <v>0</v>
      </c>
      <c r="V277" s="24">
        <v>1</v>
      </c>
    </row>
    <row r="278" spans="1:22" ht="21" customHeight="1" x14ac:dyDescent="0.15">
      <c r="A278" s="2" t="str">
        <f ca="1">input_498010!A$2</f>
        <v>498010</v>
      </c>
      <c r="B278" s="74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38">
        <f ca="1">IFERROR(VLOOKUP(B278,input_498010!L:R,7,FALSE),VLOOKUP(tables_498010!C278,input_498010!A:H,8,FALSE))</f>
        <v>521550</v>
      </c>
      <c r="P278" s="39">
        <f t="shared" ca="1" si="13"/>
        <v>4.5478723404199931E-3</v>
      </c>
      <c r="Q278" s="24">
        <v>1</v>
      </c>
      <c r="R278" s="24">
        <v>0</v>
      </c>
      <c r="S278" s="24">
        <v>0</v>
      </c>
      <c r="T278" s="24">
        <v>0</v>
      </c>
      <c r="U278" s="24">
        <v>0</v>
      </c>
      <c r="V278" s="24">
        <v>1</v>
      </c>
    </row>
    <row r="279" spans="1:22" ht="21" customHeight="1" x14ac:dyDescent="0.15">
      <c r="A279" s="2" t="str">
        <f ca="1">input_498010!A$2</f>
        <v>498010</v>
      </c>
      <c r="B279" s="74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38">
        <f ca="1">IFERROR(VLOOKUP(B279,input_498010!L:R,7,FALSE),VLOOKUP(tables_498010!C279,input_498010!A:H,8,FALSE))</f>
        <v>455388.46153999999</v>
      </c>
      <c r="P279" s="39">
        <f t="shared" ca="1" si="13"/>
        <v>3.9709492635110338E-3</v>
      </c>
      <c r="Q279" s="24">
        <v>1</v>
      </c>
      <c r="R279" s="24">
        <v>0</v>
      </c>
      <c r="S279" s="24">
        <v>0</v>
      </c>
      <c r="T279" s="24">
        <v>0</v>
      </c>
      <c r="U279" s="24">
        <v>0</v>
      </c>
      <c r="V279" s="24">
        <v>1</v>
      </c>
    </row>
    <row r="280" spans="1:22" ht="21" customHeight="1" x14ac:dyDescent="0.15">
      <c r="A280" s="2" t="str">
        <f ca="1">input_498010!A$2</f>
        <v>498010</v>
      </c>
      <c r="B280" s="74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38">
        <f ca="1">IFERROR(VLOOKUP(B280,input_498010!L:R,7,FALSE),VLOOKUP(tables_498010!C280,input_498010!A:H,8,FALSE))</f>
        <v>86510</v>
      </c>
      <c r="P280" s="39">
        <f t="shared" ca="1" si="13"/>
        <v>7.5435995814348308E-4</v>
      </c>
      <c r="Q280" s="24">
        <v>1</v>
      </c>
      <c r="R280" s="24">
        <v>0</v>
      </c>
      <c r="S280" s="24">
        <v>0</v>
      </c>
      <c r="T280" s="24">
        <v>0</v>
      </c>
      <c r="U280" s="24">
        <v>0</v>
      </c>
      <c r="V280" s="24">
        <v>1</v>
      </c>
    </row>
    <row r="281" spans="1:22" ht="21" customHeight="1" x14ac:dyDescent="0.15">
      <c r="A281" s="2" t="str">
        <f ca="1">input_498010!A$2</f>
        <v>498010</v>
      </c>
      <c r="B281" s="74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38">
        <f ca="1">IFERROR(VLOOKUP(B281,input_498010!L:R,7,FALSE),VLOOKUP(tables_498010!C281,input_498010!A:H,8,FALSE))</f>
        <v>521550</v>
      </c>
      <c r="P281" s="39">
        <f t="shared" ca="1" si="13"/>
        <v>4.5478723404199931E-3</v>
      </c>
      <c r="Q281" s="24">
        <v>1</v>
      </c>
      <c r="R281" s="24">
        <v>0</v>
      </c>
      <c r="S281" s="24">
        <v>0</v>
      </c>
      <c r="T281" s="24">
        <v>0</v>
      </c>
      <c r="U281" s="24">
        <v>0</v>
      </c>
      <c r="V281" s="24">
        <v>1</v>
      </c>
    </row>
    <row r="282" spans="1:22" ht="21" customHeight="1" x14ac:dyDescent="0.15">
      <c r="A282" s="2" t="str">
        <f ca="1">input_498010!A$2</f>
        <v>498010</v>
      </c>
      <c r="B282" s="74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38">
        <f ca="1">IFERROR(VLOOKUP(B282,input_498010!L:R,7,FALSE),VLOOKUP(tables_498010!C282,input_498010!A:H,8,FALSE))</f>
        <v>455388.46153999999</v>
      </c>
      <c r="P282" s="39">
        <f t="shared" ca="1" si="13"/>
        <v>3.9709492635110338E-3</v>
      </c>
      <c r="Q282" s="24">
        <v>1</v>
      </c>
      <c r="R282" s="24">
        <v>0</v>
      </c>
      <c r="S282" s="24">
        <v>0</v>
      </c>
      <c r="T282" s="24">
        <v>0</v>
      </c>
      <c r="U282" s="24">
        <v>0</v>
      </c>
      <c r="V282" s="24">
        <v>1</v>
      </c>
    </row>
    <row r="283" spans="1:22" ht="21" customHeight="1" x14ac:dyDescent="0.15">
      <c r="A283" s="2" t="str">
        <f ca="1">input_498010!A$2</f>
        <v>498010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38">
        <f ca="1">IFERROR(VLOOKUP(B283,input_498010!L:R,7,FALSE),VLOOKUP(tables_498010!C283,input_498010!A:H,8,FALSE))</f>
        <v>86510</v>
      </c>
      <c r="P283" s="39">
        <f t="shared" ca="1" si="13"/>
        <v>7.5435995814348308E-4</v>
      </c>
      <c r="Q283" s="24">
        <v>1</v>
      </c>
      <c r="R283" s="24">
        <v>0</v>
      </c>
      <c r="S283" s="24">
        <v>0</v>
      </c>
      <c r="T283" s="24">
        <v>0</v>
      </c>
      <c r="U283" s="24">
        <v>0</v>
      </c>
      <c r="V283" s="24">
        <v>1</v>
      </c>
    </row>
    <row r="284" spans="1:22" ht="21" customHeight="1" x14ac:dyDescent="0.15">
      <c r="A284" s="2" t="str">
        <f ca="1">input_498010!A$2</f>
        <v>498010</v>
      </c>
      <c r="B284" s="5">
        <v>848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38">
        <f ca="1">IFERROR(VLOOKUP(B284,input_498010!L:R,7,FALSE),VLOOKUP(tables_498010!C284,input_498010!A:H,8,FALSE))</f>
        <v>95484.210529999997</v>
      </c>
      <c r="P284" s="39">
        <f t="shared" ca="1" si="13"/>
        <v>8.326143227230878E-4</v>
      </c>
      <c r="Q284" s="24">
        <v>1</v>
      </c>
      <c r="R284" s="24">
        <v>0</v>
      </c>
      <c r="S284" s="24">
        <v>0</v>
      </c>
      <c r="T284" s="24">
        <v>0</v>
      </c>
      <c r="U284" s="24">
        <v>0</v>
      </c>
      <c r="V284" s="24">
        <v>1</v>
      </c>
    </row>
    <row r="285" spans="1:22" ht="21" customHeight="1" x14ac:dyDescent="0.15">
      <c r="A285" s="2" t="str">
        <f ca="1">input_498010!A$2</f>
        <v>498010</v>
      </c>
      <c r="B285" s="5">
        <v>850</v>
      </c>
      <c r="C285" s="7" t="str">
        <f t="shared" ref="C285:C289" si="15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38">
        <f ca="1">IFERROR(VLOOKUP(B285,input_498010!L:R,7,FALSE),VLOOKUP(tables_498010!C285,input_498010!A:H,8,FALSE))</f>
        <v>95484.210529999997</v>
      </c>
      <c r="P285" s="39">
        <f t="shared" ca="1" si="13"/>
        <v>8.326143227230878E-4</v>
      </c>
      <c r="Q285" s="24">
        <v>1</v>
      </c>
      <c r="R285" s="24">
        <v>0</v>
      </c>
      <c r="S285" s="24">
        <v>0</v>
      </c>
      <c r="T285" s="24">
        <v>0</v>
      </c>
      <c r="U285" s="24">
        <v>0</v>
      </c>
      <c r="V285" s="24">
        <v>1</v>
      </c>
    </row>
    <row r="286" spans="1:22" ht="21" customHeight="1" x14ac:dyDescent="0.15">
      <c r="A286" s="2" t="str">
        <f ca="1">input_498010!A$2</f>
        <v>498010</v>
      </c>
      <c r="B286" s="5">
        <v>852</v>
      </c>
      <c r="C286" s="7" t="str">
        <f t="shared" si="15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38">
        <f ca="1">IFERROR(VLOOKUP(B286,input_498010!L:R,7,FALSE),VLOOKUP(tables_498010!C286,input_498010!A:H,8,FALSE))</f>
        <v>1068177.7777799999</v>
      </c>
      <c r="P286" s="39">
        <f t="shared" ca="1" si="13"/>
        <v>9.3144208037905379E-3</v>
      </c>
      <c r="Q286" s="24">
        <v>1</v>
      </c>
      <c r="R286" s="24">
        <v>0</v>
      </c>
      <c r="S286" s="24">
        <v>0</v>
      </c>
      <c r="T286" s="24">
        <v>0</v>
      </c>
      <c r="U286" s="24">
        <v>0</v>
      </c>
      <c r="V286" s="24">
        <v>1</v>
      </c>
    </row>
    <row r="287" spans="1:22" ht="21" customHeight="1" x14ac:dyDescent="0.15">
      <c r="A287" s="2" t="str">
        <f ca="1">input_498010!A$2</f>
        <v>498010</v>
      </c>
      <c r="B287" s="5">
        <v>853</v>
      </c>
      <c r="C287" s="7" t="str">
        <f t="shared" si="15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38">
        <f ca="1">IFERROR(VLOOKUP(B287,input_498010!L:R,7,FALSE),VLOOKUP(tables_498010!C287,input_498010!A:H,8,FALSE))</f>
        <v>68116.666670000006</v>
      </c>
      <c r="P287" s="39">
        <f t="shared" ca="1" si="13"/>
        <v>5.9397163123401677E-4</v>
      </c>
      <c r="Q287" s="24">
        <v>1</v>
      </c>
      <c r="R287" s="24">
        <v>0</v>
      </c>
      <c r="S287" s="24">
        <v>0</v>
      </c>
      <c r="T287" s="24">
        <v>0</v>
      </c>
      <c r="U287" s="24">
        <v>0</v>
      </c>
      <c r="V287" s="24">
        <v>1</v>
      </c>
    </row>
    <row r="288" spans="1:22" ht="21" customHeight="1" x14ac:dyDescent="0.15">
      <c r="A288" s="2" t="str">
        <f ca="1">input_498010!A$2</f>
        <v>498010</v>
      </c>
      <c r="B288" s="5">
        <v>854</v>
      </c>
      <c r="C288" s="7" t="str">
        <f t="shared" si="15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38">
        <f ca="1">IFERROR(VLOOKUP(B288,input_498010!L:R,7,FALSE),VLOOKUP(tables_498010!C288,input_498010!A:H,8,FALSE))</f>
        <v>1068177.7777799999</v>
      </c>
      <c r="P288" s="39">
        <f t="shared" ca="1" si="13"/>
        <v>9.3144208037905379E-3</v>
      </c>
      <c r="Q288" s="24">
        <v>1</v>
      </c>
      <c r="R288" s="24">
        <v>0</v>
      </c>
      <c r="S288" s="24">
        <v>0</v>
      </c>
      <c r="T288" s="24">
        <v>0</v>
      </c>
      <c r="U288" s="24">
        <v>0</v>
      </c>
      <c r="V288" s="24">
        <v>1</v>
      </c>
    </row>
    <row r="289" spans="1:22" ht="21" customHeight="1" x14ac:dyDescent="0.15">
      <c r="A289" s="2" t="str">
        <f ca="1">input_498010!A$2</f>
        <v>498010</v>
      </c>
      <c r="B289" s="5">
        <v>855</v>
      </c>
      <c r="C289" s="7" t="str">
        <f t="shared" si="15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38">
        <f ca="1">IFERROR(VLOOKUP(B289,input_498010!L:R,7,FALSE),VLOOKUP(tables_498010!C289,input_498010!A:H,8,FALSE))</f>
        <v>68116.666670000006</v>
      </c>
      <c r="P289" s="39">
        <f t="shared" ca="1" si="13"/>
        <v>5.9397163123401677E-4</v>
      </c>
      <c r="Q289" s="24">
        <v>1</v>
      </c>
      <c r="R289" s="24">
        <v>0</v>
      </c>
      <c r="S289" s="24">
        <v>0</v>
      </c>
      <c r="T289" s="24">
        <v>0</v>
      </c>
      <c r="U289" s="24">
        <v>0</v>
      </c>
      <c r="V289" s="24">
        <v>1</v>
      </c>
    </row>
    <row r="290" spans="1:22" ht="21" customHeight="1" x14ac:dyDescent="0.15">
      <c r="A290" s="2" t="str">
        <f ca="1">input_498010!A$2</f>
        <v>498010</v>
      </c>
      <c r="B290" s="5">
        <v>862</v>
      </c>
      <c r="C290" s="7" t="str">
        <f t="shared" ref="C290:C294" si="16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38">
        <f ca="1">IFERROR(VLOOKUP(B290,input_498010!L:R,7,FALSE),VLOOKUP(tables_498010!C290,input_498010!A:H,8,FALSE))</f>
        <v>1068177.7777799999</v>
      </c>
      <c r="P290" s="39">
        <f t="shared" ca="1" si="13"/>
        <v>9.3144208037905379E-3</v>
      </c>
      <c r="Q290" s="24">
        <v>1</v>
      </c>
      <c r="R290" s="24">
        <v>0</v>
      </c>
      <c r="S290" s="24">
        <v>0</v>
      </c>
      <c r="T290" s="24">
        <v>0</v>
      </c>
      <c r="U290" s="24">
        <v>0</v>
      </c>
      <c r="V290" s="24">
        <v>1</v>
      </c>
    </row>
    <row r="291" spans="1:22" ht="21" customHeight="1" x14ac:dyDescent="0.15">
      <c r="A291" s="2" t="str">
        <f ca="1">input_498010!A$2</f>
        <v>498010</v>
      </c>
      <c r="B291" s="5">
        <v>863</v>
      </c>
      <c r="C291" s="7" t="str">
        <f t="shared" si="16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38">
        <f ca="1">IFERROR(VLOOKUP(B291,input_498010!L:R,7,FALSE),VLOOKUP(tables_498010!C291,input_498010!A:H,8,FALSE))</f>
        <v>68116.666670000006</v>
      </c>
      <c r="P291" s="39">
        <f t="shared" ca="1" si="13"/>
        <v>5.9397163123401677E-4</v>
      </c>
      <c r="Q291" s="24">
        <v>1</v>
      </c>
      <c r="R291" s="24">
        <v>0</v>
      </c>
      <c r="S291" s="24">
        <v>0</v>
      </c>
      <c r="T291" s="24">
        <v>0</v>
      </c>
      <c r="U291" s="24">
        <v>0</v>
      </c>
      <c r="V291" s="24">
        <v>1</v>
      </c>
    </row>
    <row r="292" spans="1:22" ht="21" customHeight="1" x14ac:dyDescent="0.15">
      <c r="A292" s="2" t="str">
        <f ca="1">input_498010!A$2</f>
        <v>498010</v>
      </c>
      <c r="B292" s="5">
        <v>864</v>
      </c>
      <c r="C292" s="7" t="str">
        <f t="shared" si="16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38">
        <f ca="1">IFERROR(VLOOKUP(B292,input_498010!L:R,7,FALSE),VLOOKUP(tables_498010!C292,input_498010!A:H,8,FALSE))</f>
        <v>1068177.7777799999</v>
      </c>
      <c r="P292" s="39">
        <f t="shared" ca="1" si="13"/>
        <v>9.3144208037905379E-3</v>
      </c>
      <c r="Q292" s="24">
        <v>1</v>
      </c>
      <c r="R292" s="24">
        <v>0</v>
      </c>
      <c r="S292" s="24">
        <v>0</v>
      </c>
      <c r="T292" s="24">
        <v>0</v>
      </c>
      <c r="U292" s="24">
        <v>0</v>
      </c>
      <c r="V292" s="24">
        <v>1</v>
      </c>
    </row>
    <row r="293" spans="1:22" ht="21" customHeight="1" x14ac:dyDescent="0.15">
      <c r="A293" s="2" t="str">
        <f ca="1">input_498010!A$2</f>
        <v>498010</v>
      </c>
      <c r="B293" s="5">
        <v>865</v>
      </c>
      <c r="C293" s="7" t="str">
        <f t="shared" si="16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38">
        <f ca="1">IFERROR(VLOOKUP(B293,input_498010!L:R,7,FALSE),VLOOKUP(tables_498010!C293,input_498010!A:H,8,FALSE))</f>
        <v>68116.666670000006</v>
      </c>
      <c r="P293" s="39">
        <f t="shared" ca="1" si="13"/>
        <v>5.9397163123401677E-4</v>
      </c>
      <c r="Q293" s="24">
        <v>1</v>
      </c>
      <c r="R293" s="24">
        <v>0</v>
      </c>
      <c r="S293" s="24">
        <v>0</v>
      </c>
      <c r="T293" s="24">
        <v>0</v>
      </c>
      <c r="U293" s="24">
        <v>0</v>
      </c>
      <c r="V293" s="24">
        <v>1</v>
      </c>
    </row>
    <row r="294" spans="1:22" ht="21" customHeight="1" x14ac:dyDescent="0.15">
      <c r="A294" s="2" t="str">
        <f ca="1">input_498010!A$2</f>
        <v>498010</v>
      </c>
      <c r="B294" s="5">
        <v>866</v>
      </c>
      <c r="C294" s="7" t="str">
        <f t="shared" si="16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38">
        <f ca="1">IFERROR(VLOOKUP(B294,input_498010!L:R,7,FALSE),VLOOKUP(tables_498010!C294,input_498010!A:H,8,FALSE))</f>
        <v>95484.210529999997</v>
      </c>
      <c r="P294" s="39">
        <f t="shared" ca="1" si="13"/>
        <v>8.326143227230878E-4</v>
      </c>
      <c r="Q294" s="24">
        <v>1</v>
      </c>
      <c r="R294" s="24">
        <v>0</v>
      </c>
      <c r="S294" s="24">
        <v>0</v>
      </c>
      <c r="T294" s="24">
        <v>0</v>
      </c>
      <c r="U294" s="24">
        <v>0</v>
      </c>
      <c r="V294" s="24">
        <v>1</v>
      </c>
    </row>
    <row r="295" spans="1:22" ht="21" customHeight="1" x14ac:dyDescent="0.15">
      <c r="A295" s="2" t="str">
        <f ca="1">input_498010!A$2</f>
        <v>498010</v>
      </c>
      <c r="B295" s="5">
        <v>868</v>
      </c>
      <c r="C295" s="7" t="str">
        <f t="shared" ref="C295:C299" si="17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38">
        <f ca="1">IFERROR(VLOOKUP(B295,input_498010!L:R,7,FALSE),VLOOKUP(tables_498010!C295,input_498010!A:H,8,FALSE))</f>
        <v>95484.210529999997</v>
      </c>
      <c r="P295" s="39">
        <f t="shared" ca="1" si="13"/>
        <v>8.326143227230878E-4</v>
      </c>
      <c r="Q295" s="24">
        <v>1</v>
      </c>
      <c r="R295" s="24">
        <v>0</v>
      </c>
      <c r="S295" s="24">
        <v>0</v>
      </c>
      <c r="T295" s="24">
        <v>0</v>
      </c>
      <c r="U295" s="24">
        <v>0</v>
      </c>
      <c r="V295" s="24">
        <v>1</v>
      </c>
    </row>
    <row r="296" spans="1:22" ht="21" customHeight="1" x14ac:dyDescent="0.15">
      <c r="A296" s="2" t="str">
        <f ca="1">input_498010!A$2</f>
        <v>498010</v>
      </c>
      <c r="B296" s="5">
        <v>937</v>
      </c>
      <c r="C296" s="7" t="str">
        <f t="shared" si="17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38">
        <f ca="1">IFERROR(VLOOKUP(B296,input_498010!L:R,7,FALSE),VLOOKUP(tables_498010!C296,input_498010!A:H,8,FALSE))</f>
        <v>95484.210529999997</v>
      </c>
      <c r="P296" s="39">
        <f t="shared" ca="1" si="13"/>
        <v>8.326143227230878E-4</v>
      </c>
      <c r="Q296" s="24">
        <v>1</v>
      </c>
      <c r="R296" s="24">
        <v>0</v>
      </c>
      <c r="S296" s="24">
        <v>0</v>
      </c>
      <c r="T296" s="24">
        <v>0</v>
      </c>
      <c r="U296" s="24">
        <v>0</v>
      </c>
      <c r="V296" s="24">
        <v>1</v>
      </c>
    </row>
    <row r="297" spans="1:22" ht="21" customHeight="1" x14ac:dyDescent="0.15">
      <c r="A297" s="2" t="str">
        <f ca="1">input_498010!A$2</f>
        <v>498010</v>
      </c>
      <c r="B297" s="5">
        <v>939</v>
      </c>
      <c r="C297" s="7" t="str">
        <f t="shared" si="17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38">
        <f ca="1">IFERROR(VLOOKUP(B297,input_498010!L:R,7,FALSE),VLOOKUP(tables_498010!C297,input_498010!A:H,8,FALSE))</f>
        <v>1068177.7777799999</v>
      </c>
      <c r="P297" s="39">
        <f t="shared" ca="1" si="13"/>
        <v>9.3144208037905379E-3</v>
      </c>
      <c r="Q297" s="24">
        <v>1</v>
      </c>
      <c r="R297" s="24">
        <v>0</v>
      </c>
      <c r="S297" s="24">
        <v>0</v>
      </c>
      <c r="T297" s="24">
        <v>0</v>
      </c>
      <c r="U297" s="24">
        <v>0</v>
      </c>
      <c r="V297" s="24">
        <v>1</v>
      </c>
    </row>
    <row r="298" spans="1:22" ht="21" customHeight="1" x14ac:dyDescent="0.15">
      <c r="A298" s="2" t="str">
        <f ca="1">input_498010!A$2</f>
        <v>498010</v>
      </c>
      <c r="B298" s="5">
        <v>940</v>
      </c>
      <c r="C298" s="7" t="str">
        <f t="shared" si="17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38">
        <f ca="1">IFERROR(VLOOKUP(B298,input_498010!L:R,7,FALSE),VLOOKUP(tables_498010!C298,input_498010!A:H,8,FALSE))</f>
        <v>68116.666670000006</v>
      </c>
      <c r="P298" s="39">
        <f t="shared" ca="1" si="13"/>
        <v>5.9397163123401677E-4</v>
      </c>
      <c r="Q298" s="24">
        <v>1</v>
      </c>
      <c r="R298" s="24">
        <v>0</v>
      </c>
      <c r="S298" s="24">
        <v>0</v>
      </c>
      <c r="T298" s="24">
        <v>0</v>
      </c>
      <c r="U298" s="24">
        <v>0</v>
      </c>
      <c r="V298" s="24">
        <v>1</v>
      </c>
    </row>
    <row r="299" spans="1:22" ht="21" customHeight="1" x14ac:dyDescent="0.15">
      <c r="A299" s="2" t="str">
        <f ca="1">input_498010!A$2</f>
        <v>498010</v>
      </c>
      <c r="B299" s="5">
        <v>941</v>
      </c>
      <c r="C299" s="7" t="str">
        <f t="shared" si="17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38">
        <f ca="1">IFERROR(VLOOKUP(B299,input_498010!L:R,7,FALSE),VLOOKUP(tables_498010!C299,input_498010!A:H,8,FALSE))</f>
        <v>95484.210529999997</v>
      </c>
      <c r="P299" s="39">
        <f t="shared" ca="1" si="13"/>
        <v>8.326143227230878E-4</v>
      </c>
      <c r="Q299" s="24">
        <v>1</v>
      </c>
      <c r="R299" s="24">
        <v>0</v>
      </c>
      <c r="S299" s="24">
        <v>0</v>
      </c>
      <c r="T299" s="24">
        <v>0</v>
      </c>
      <c r="U299" s="24">
        <v>0</v>
      </c>
      <c r="V299" s="24">
        <v>1</v>
      </c>
    </row>
    <row r="300" spans="1:22" ht="21" customHeight="1" x14ac:dyDescent="0.15">
      <c r="A300" s="2" t="str">
        <f ca="1">input_498010!A$2</f>
        <v>498010</v>
      </c>
      <c r="B300" s="5">
        <v>943</v>
      </c>
      <c r="C300" s="7" t="str">
        <f t="shared" ref="C300:C304" si="18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38">
        <f ca="1">IFERROR(VLOOKUP(B300,input_498010!L:R,7,FALSE),VLOOKUP(tables_498010!C300,input_498010!A:H,8,FALSE))</f>
        <v>95484.210529999997</v>
      </c>
      <c r="P300" s="39">
        <f t="shared" ca="1" si="13"/>
        <v>8.326143227230878E-4</v>
      </c>
      <c r="Q300" s="24">
        <v>1</v>
      </c>
      <c r="R300" s="24">
        <v>0</v>
      </c>
      <c r="S300" s="24">
        <v>0</v>
      </c>
      <c r="T300" s="24">
        <v>0</v>
      </c>
      <c r="U300" s="24">
        <v>0</v>
      </c>
      <c r="V300" s="24">
        <v>1</v>
      </c>
    </row>
    <row r="301" spans="1:22" ht="21" customHeight="1" x14ac:dyDescent="0.15">
      <c r="A301" s="2" t="str">
        <f ca="1">input_498010!A$2</f>
        <v>498010</v>
      </c>
      <c r="B301" s="5">
        <v>1012</v>
      </c>
      <c r="C301" s="7" t="str">
        <f t="shared" si="18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38">
        <f ca="1">IFERROR(VLOOKUP(B301,input_498010!L:R,7,FALSE),VLOOKUP(tables_498010!C301,input_498010!A:H,8,FALSE))</f>
        <v>95484.210529999997</v>
      </c>
      <c r="P301" s="39">
        <f t="shared" ca="1" si="13"/>
        <v>8.326143227230878E-4</v>
      </c>
      <c r="Q301" s="24">
        <v>1</v>
      </c>
      <c r="R301" s="24">
        <v>0</v>
      </c>
      <c r="S301" s="24">
        <v>0</v>
      </c>
      <c r="T301" s="24">
        <v>0</v>
      </c>
      <c r="U301" s="24">
        <v>0</v>
      </c>
      <c r="V301" s="24">
        <v>1</v>
      </c>
    </row>
    <row r="302" spans="1:22" ht="21" customHeight="1" x14ac:dyDescent="0.15">
      <c r="A302" s="2" t="str">
        <f ca="1">input_498010!A$2</f>
        <v>498010</v>
      </c>
      <c r="B302" s="5">
        <v>1014</v>
      </c>
      <c r="C302" s="7" t="str">
        <f t="shared" si="18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38">
        <f ca="1">IFERROR(VLOOKUP(B302,input_498010!L:R,7,FALSE),VLOOKUP(tables_498010!C302,input_498010!A:H,8,FALSE))</f>
        <v>95484.210529999997</v>
      </c>
      <c r="P302" s="39">
        <f t="shared" ca="1" si="13"/>
        <v>8.326143227230878E-4</v>
      </c>
      <c r="Q302" s="24">
        <v>1</v>
      </c>
      <c r="R302" s="24">
        <v>0</v>
      </c>
      <c r="S302" s="24">
        <v>0</v>
      </c>
      <c r="T302" s="24">
        <v>0</v>
      </c>
      <c r="U302" s="24">
        <v>0</v>
      </c>
      <c r="V302" s="24">
        <v>1</v>
      </c>
    </row>
    <row r="303" spans="1:22" ht="21" customHeight="1" x14ac:dyDescent="0.15">
      <c r="A303" s="2" t="str">
        <f ca="1">input_498010!A$2</f>
        <v>498010</v>
      </c>
      <c r="B303" s="5">
        <v>1016</v>
      </c>
      <c r="C303" s="7" t="str">
        <f t="shared" si="18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38">
        <f ca="1">IFERROR(VLOOKUP(B303,input_498010!L:R,7,FALSE),VLOOKUP(tables_498010!C303,input_498010!A:H,8,FALSE))</f>
        <v>1068177.7777799999</v>
      </c>
      <c r="P303" s="39">
        <f t="shared" ca="1" si="13"/>
        <v>9.3144208037905379E-3</v>
      </c>
      <c r="Q303" s="24">
        <v>1</v>
      </c>
      <c r="R303" s="24">
        <v>0</v>
      </c>
      <c r="S303" s="24">
        <v>0</v>
      </c>
      <c r="T303" s="24">
        <v>0</v>
      </c>
      <c r="U303" s="24">
        <v>0</v>
      </c>
      <c r="V303" s="24">
        <v>1</v>
      </c>
    </row>
    <row r="304" spans="1:22" ht="21" customHeight="1" x14ac:dyDescent="0.15">
      <c r="A304" s="2" t="str">
        <f ca="1">input_498010!A$2</f>
        <v>498010</v>
      </c>
      <c r="B304" s="5">
        <v>1017</v>
      </c>
      <c r="C304" s="7" t="str">
        <f t="shared" si="18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38">
        <f ca="1">IFERROR(VLOOKUP(B304,input_498010!L:R,7,FALSE),VLOOKUP(tables_498010!C304,input_498010!A:H,8,FALSE))</f>
        <v>68116.666670000006</v>
      </c>
      <c r="P304" s="39">
        <f t="shared" ca="1" si="13"/>
        <v>5.9397163123401677E-4</v>
      </c>
      <c r="Q304" s="24">
        <v>1</v>
      </c>
      <c r="R304" s="24">
        <v>0</v>
      </c>
      <c r="S304" s="24">
        <v>0</v>
      </c>
      <c r="T304" s="24">
        <v>0</v>
      </c>
      <c r="U304" s="24">
        <v>0</v>
      </c>
      <c r="V304" s="24">
        <v>1</v>
      </c>
    </row>
    <row r="305" spans="1:22" ht="21" customHeight="1" x14ac:dyDescent="0.15">
      <c r="A305" s="2" t="str">
        <f ca="1">input_498010!A$2</f>
        <v>498010</v>
      </c>
      <c r="B305" s="5">
        <v>1018</v>
      </c>
      <c r="C305" s="7" t="str">
        <f t="shared" ref="C305:C309" si="19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38">
        <f ca="1">IFERROR(VLOOKUP(B305,input_498010!L:R,7,FALSE),VLOOKUP(tables_498010!C305,input_498010!A:H,8,FALSE))</f>
        <v>95484.210529999997</v>
      </c>
      <c r="P305" s="39">
        <f t="shared" ca="1" si="13"/>
        <v>8.326143227230878E-4</v>
      </c>
      <c r="Q305" s="24">
        <v>1</v>
      </c>
      <c r="R305" s="24">
        <v>0</v>
      </c>
      <c r="S305" s="24">
        <v>0</v>
      </c>
      <c r="T305" s="24">
        <v>0</v>
      </c>
      <c r="U305" s="24">
        <v>0</v>
      </c>
      <c r="V305" s="24">
        <v>1</v>
      </c>
    </row>
    <row r="306" spans="1:22" ht="21" customHeight="1" x14ac:dyDescent="0.15">
      <c r="A306" s="2" t="str">
        <f ca="1">input_498010!A$2</f>
        <v>498010</v>
      </c>
      <c r="B306" s="5">
        <v>1026</v>
      </c>
      <c r="C306" s="7" t="str">
        <f t="shared" si="19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38">
        <f ca="1">IFERROR(VLOOKUP(B306,input_498010!L:R,7,FALSE),VLOOKUP(tables_498010!C306,input_498010!A:H,8,FALSE))</f>
        <v>1068177.7777799999</v>
      </c>
      <c r="P306" s="39">
        <f t="shared" ca="1" si="13"/>
        <v>9.3144208037905379E-3</v>
      </c>
      <c r="Q306" s="24">
        <v>1</v>
      </c>
      <c r="R306" s="24">
        <v>0</v>
      </c>
      <c r="S306" s="24">
        <v>0</v>
      </c>
      <c r="T306" s="24">
        <v>0</v>
      </c>
      <c r="U306" s="24">
        <v>0</v>
      </c>
      <c r="V306" s="24">
        <v>1</v>
      </c>
    </row>
    <row r="307" spans="1:22" ht="21" customHeight="1" x14ac:dyDescent="0.15">
      <c r="A307" s="2" t="str">
        <f ca="1">input_498010!A$2</f>
        <v>498010</v>
      </c>
      <c r="B307" s="5">
        <v>1027</v>
      </c>
      <c r="C307" s="7" t="str">
        <f t="shared" si="19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38">
        <f ca="1">IFERROR(VLOOKUP(B307,input_498010!L:R,7,FALSE),VLOOKUP(tables_498010!C307,input_498010!A:H,8,FALSE))</f>
        <v>68116.666670000006</v>
      </c>
      <c r="P307" s="39">
        <f t="shared" ca="1" si="13"/>
        <v>5.9397163123401677E-4</v>
      </c>
      <c r="Q307" s="24">
        <v>1</v>
      </c>
      <c r="R307" s="24">
        <v>0</v>
      </c>
      <c r="S307" s="24">
        <v>0</v>
      </c>
      <c r="T307" s="24">
        <v>0</v>
      </c>
      <c r="U307" s="24">
        <v>0</v>
      </c>
      <c r="V307" s="24">
        <v>1</v>
      </c>
    </row>
    <row r="308" spans="1:22" ht="21" customHeight="1" x14ac:dyDescent="0.15">
      <c r="A308" s="2" t="str">
        <f ca="1">input_498010!A$2</f>
        <v>498010</v>
      </c>
      <c r="B308" s="5">
        <v>1028</v>
      </c>
      <c r="C308" s="7" t="str">
        <f t="shared" si="19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38">
        <f ca="1">IFERROR(VLOOKUP(B308,input_498010!L:R,7,FALSE),VLOOKUP(tables_498010!C308,input_498010!A:H,8,FALSE))</f>
        <v>95484.210529999997</v>
      </c>
      <c r="P308" s="39">
        <f t="shared" ca="1" si="13"/>
        <v>8.326143227230878E-4</v>
      </c>
      <c r="Q308" s="24">
        <v>1</v>
      </c>
      <c r="R308" s="24">
        <v>0</v>
      </c>
      <c r="S308" s="24">
        <v>0</v>
      </c>
      <c r="T308" s="24">
        <v>0</v>
      </c>
      <c r="U308" s="24">
        <v>0</v>
      </c>
      <c r="V308" s="24">
        <v>1</v>
      </c>
    </row>
    <row r="309" spans="1:22" ht="21" customHeight="1" x14ac:dyDescent="0.15">
      <c r="A309" s="2" t="str">
        <f ca="1">input_498010!A$2</f>
        <v>498010</v>
      </c>
      <c r="B309" s="5">
        <v>1031</v>
      </c>
      <c r="C309" s="7" t="str">
        <f t="shared" si="19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38">
        <f ca="1">IFERROR(VLOOKUP(B309,input_498010!L:R,7,FALSE),VLOOKUP(tables_498010!C309,input_498010!A:H,8,FALSE))</f>
        <v>95484.210529999997</v>
      </c>
      <c r="P309" s="39">
        <f t="shared" ca="1" si="13"/>
        <v>8.326143227230878E-4</v>
      </c>
      <c r="Q309" s="24">
        <v>1</v>
      </c>
      <c r="R309" s="24">
        <v>0</v>
      </c>
      <c r="S309" s="24">
        <v>0</v>
      </c>
      <c r="T309" s="24">
        <v>0</v>
      </c>
      <c r="U309" s="24">
        <v>0</v>
      </c>
      <c r="V309" s="24">
        <v>1</v>
      </c>
    </row>
    <row r="310" spans="1:22" ht="21" customHeight="1" x14ac:dyDescent="0.15">
      <c r="A310" s="2" t="str">
        <f ca="1">input_498010!A$2</f>
        <v>498010</v>
      </c>
      <c r="B310" s="5">
        <v>1033</v>
      </c>
      <c r="C310" s="7" t="str">
        <f t="shared" ref="C310:C314" si="20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38">
        <f ca="1">IFERROR(VLOOKUP(B310,input_498010!L:R,7,FALSE),VLOOKUP(tables_498010!C310,input_498010!A:H,8,FALSE))</f>
        <v>95484.210529999997</v>
      </c>
      <c r="P310" s="39">
        <f t="shared" ca="1" si="13"/>
        <v>8.326143227230878E-4</v>
      </c>
      <c r="Q310" s="24">
        <v>1</v>
      </c>
      <c r="R310" s="24">
        <v>0</v>
      </c>
      <c r="S310" s="24">
        <v>0</v>
      </c>
      <c r="T310" s="24">
        <v>0</v>
      </c>
      <c r="U310" s="24">
        <v>0</v>
      </c>
      <c r="V310" s="24">
        <v>1</v>
      </c>
    </row>
    <row r="311" spans="1:22" ht="21" customHeight="1" x14ac:dyDescent="0.15">
      <c r="A311" s="2" t="str">
        <f ca="1">input_498010!A$2</f>
        <v>498010</v>
      </c>
      <c r="B311" s="5">
        <v>1067</v>
      </c>
      <c r="C311" s="7" t="str">
        <f t="shared" si="20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38">
        <f ca="1">IFERROR(VLOOKUP(B311,input_498010!L:R,7,FALSE),VLOOKUP(tables_498010!C311,input_498010!A:H,8,FALSE))</f>
        <v>1068177.7777799999</v>
      </c>
      <c r="P311" s="39">
        <f t="shared" ca="1" si="13"/>
        <v>9.3144208037905379E-3</v>
      </c>
      <c r="Q311" s="24">
        <v>1</v>
      </c>
      <c r="R311" s="24">
        <v>0</v>
      </c>
      <c r="S311" s="24">
        <v>0</v>
      </c>
      <c r="T311" s="24">
        <v>0</v>
      </c>
      <c r="U311" s="24">
        <v>0</v>
      </c>
      <c r="V311" s="24">
        <v>1</v>
      </c>
    </row>
    <row r="312" spans="1:22" ht="21" customHeight="1" x14ac:dyDescent="0.15">
      <c r="A312" s="2" t="str">
        <f ca="1">input_498010!A$2</f>
        <v>498010</v>
      </c>
      <c r="B312" s="5">
        <v>1068</v>
      </c>
      <c r="C312" s="7" t="str">
        <f t="shared" si="20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38">
        <f ca="1">IFERROR(VLOOKUP(B312,input_498010!L:R,7,FALSE),VLOOKUP(tables_498010!C312,input_498010!A:H,8,FALSE))</f>
        <v>68116.666670000006</v>
      </c>
      <c r="P312" s="39">
        <f t="shared" ca="1" si="13"/>
        <v>5.9397163123401677E-4</v>
      </c>
      <c r="Q312" s="24">
        <v>1</v>
      </c>
      <c r="R312" s="24">
        <v>0</v>
      </c>
      <c r="S312" s="24">
        <v>0</v>
      </c>
      <c r="T312" s="24">
        <v>0</v>
      </c>
      <c r="U312" s="24">
        <v>0</v>
      </c>
      <c r="V312" s="24">
        <v>1</v>
      </c>
    </row>
    <row r="313" spans="1:22" ht="21" customHeight="1" x14ac:dyDescent="0.15">
      <c r="A313" s="2" t="str">
        <f ca="1">input_498010!A$2</f>
        <v>498010</v>
      </c>
      <c r="B313" s="5">
        <v>1069</v>
      </c>
      <c r="C313" s="7" t="str">
        <f t="shared" si="20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38">
        <f ca="1">IFERROR(VLOOKUP(B313,input_498010!L:R,7,FALSE),VLOOKUP(tables_498010!C313,input_498010!A:H,8,FALSE))</f>
        <v>95484.210529999997</v>
      </c>
      <c r="P313" s="39">
        <f t="shared" ca="1" si="13"/>
        <v>8.326143227230878E-4</v>
      </c>
      <c r="Q313" s="24">
        <v>1</v>
      </c>
      <c r="R313" s="24">
        <v>0</v>
      </c>
      <c r="S313" s="24">
        <v>0</v>
      </c>
      <c r="T313" s="24">
        <v>0</v>
      </c>
      <c r="U313" s="24">
        <v>0</v>
      </c>
      <c r="V313" s="24">
        <v>1</v>
      </c>
    </row>
    <row r="314" spans="1:22" ht="21" customHeight="1" x14ac:dyDescent="0.15">
      <c r="A314" s="2" t="str">
        <f ca="1">input_498010!A$2</f>
        <v>498010</v>
      </c>
      <c r="B314" s="5">
        <v>1072</v>
      </c>
      <c r="C314" s="7" t="str">
        <f t="shared" si="20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38">
        <f ca="1">IFERROR(VLOOKUP(B314,input_498010!L:R,7,FALSE),VLOOKUP(tables_498010!C314,input_498010!A:H,8,FALSE))</f>
        <v>95484.210529999997</v>
      </c>
      <c r="P314" s="39">
        <f t="shared" ca="1" si="13"/>
        <v>8.326143227230878E-4</v>
      </c>
      <c r="Q314" s="24">
        <v>1</v>
      </c>
      <c r="R314" s="24">
        <v>0</v>
      </c>
      <c r="S314" s="24">
        <v>0</v>
      </c>
      <c r="T314" s="24">
        <v>0</v>
      </c>
      <c r="U314" s="24">
        <v>0</v>
      </c>
      <c r="V314" s="24">
        <v>1</v>
      </c>
    </row>
    <row r="315" spans="1:22" ht="21" customHeight="1" x14ac:dyDescent="0.15">
      <c r="A315" s="2" t="str">
        <f ca="1">input_498010!A$2</f>
        <v>498010</v>
      </c>
      <c r="B315" s="5">
        <v>1074</v>
      </c>
      <c r="C315" s="7" t="str">
        <f t="shared" ref="C315:C319" si="21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38">
        <f ca="1">IFERROR(VLOOKUP(B315,input_498010!L:R,7,FALSE),VLOOKUP(tables_498010!C315,input_498010!A:H,8,FALSE))</f>
        <v>95484.210529999997</v>
      </c>
      <c r="P315" s="39">
        <f t="shared" ca="1" si="13"/>
        <v>8.326143227230878E-4</v>
      </c>
      <c r="Q315" s="24">
        <v>1</v>
      </c>
      <c r="R315" s="24">
        <v>0</v>
      </c>
      <c r="S315" s="24">
        <v>0</v>
      </c>
      <c r="T315" s="24">
        <v>0</v>
      </c>
      <c r="U315" s="24">
        <v>0</v>
      </c>
      <c r="V315" s="24">
        <v>1</v>
      </c>
    </row>
    <row r="316" spans="1:22" ht="21" customHeight="1" x14ac:dyDescent="0.15">
      <c r="A316" s="2" t="str">
        <f ca="1">input_498010!A$2</f>
        <v>498010</v>
      </c>
      <c r="B316" s="5">
        <v>1100</v>
      </c>
      <c r="C316" s="7" t="str">
        <f t="shared" si="21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38">
        <f ca="1">IFERROR(VLOOKUP(B316,input_498010!L:R,7,FALSE),VLOOKUP(tables_498010!C316,input_498010!A:H,8,FALSE))</f>
        <v>95484.210529999997</v>
      </c>
      <c r="P316" s="39">
        <f t="shared" ca="1" si="13"/>
        <v>8.326143227230878E-4</v>
      </c>
      <c r="Q316" s="24">
        <v>1</v>
      </c>
      <c r="R316" s="24">
        <v>0</v>
      </c>
      <c r="S316" s="24">
        <v>0</v>
      </c>
      <c r="T316" s="24">
        <v>0</v>
      </c>
      <c r="U316" s="24">
        <v>0</v>
      </c>
      <c r="V316" s="24">
        <v>1</v>
      </c>
    </row>
    <row r="317" spans="1:22" ht="21" customHeight="1" x14ac:dyDescent="0.15">
      <c r="A317" s="2" t="str">
        <f ca="1">input_498010!A$2</f>
        <v>498010</v>
      </c>
      <c r="B317" s="5">
        <v>1102</v>
      </c>
      <c r="C317" s="7" t="str">
        <f t="shared" si="21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38">
        <f ca="1">IFERROR(VLOOKUP(B317,input_498010!L:R,7,FALSE),VLOOKUP(tables_498010!C317,input_498010!A:H,8,FALSE))</f>
        <v>95484.210529999997</v>
      </c>
      <c r="P317" s="39">
        <f t="shared" ca="1" si="13"/>
        <v>8.326143227230878E-4</v>
      </c>
      <c r="Q317" s="24">
        <v>1</v>
      </c>
      <c r="R317" s="24">
        <v>0</v>
      </c>
      <c r="S317" s="24">
        <v>0</v>
      </c>
      <c r="T317" s="24">
        <v>0</v>
      </c>
      <c r="U317" s="24">
        <v>0</v>
      </c>
      <c r="V317" s="24">
        <v>1</v>
      </c>
    </row>
    <row r="318" spans="1:22" ht="21" customHeight="1" x14ac:dyDescent="0.15">
      <c r="A318" s="2" t="str">
        <f ca="1">input_498010!A$2</f>
        <v>498010</v>
      </c>
      <c r="B318" s="5">
        <v>1104</v>
      </c>
      <c r="C318" s="7" t="str">
        <f t="shared" si="21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38">
        <f ca="1">IFERROR(VLOOKUP(B318,input_498010!L:R,7,FALSE),VLOOKUP(tables_498010!C318,input_498010!A:H,8,FALSE))</f>
        <v>1068177.7777799999</v>
      </c>
      <c r="P318" s="39">
        <f t="shared" ca="1" si="13"/>
        <v>9.3144208037905379E-3</v>
      </c>
      <c r="Q318" s="24">
        <v>1</v>
      </c>
      <c r="R318" s="24">
        <v>0</v>
      </c>
      <c r="S318" s="24">
        <v>0</v>
      </c>
      <c r="T318" s="24">
        <v>0</v>
      </c>
      <c r="U318" s="24">
        <v>0</v>
      </c>
      <c r="V318" s="24">
        <v>1</v>
      </c>
    </row>
    <row r="319" spans="1:22" ht="21" customHeight="1" x14ac:dyDescent="0.15">
      <c r="A319" s="2" t="str">
        <f ca="1">input_498010!A$2</f>
        <v>498010</v>
      </c>
      <c r="B319" s="5">
        <v>1105</v>
      </c>
      <c r="C319" s="7" t="str">
        <f t="shared" si="21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38">
        <f ca="1">IFERROR(VLOOKUP(B319,input_498010!L:R,7,FALSE),VLOOKUP(tables_498010!C319,input_498010!A:H,8,FALSE))</f>
        <v>68116.666670000006</v>
      </c>
      <c r="P319" s="39">
        <f t="shared" ca="1" si="13"/>
        <v>5.9397163123401677E-4</v>
      </c>
      <c r="Q319" s="24">
        <v>1</v>
      </c>
      <c r="R319" s="24">
        <v>0</v>
      </c>
      <c r="S319" s="24">
        <v>0</v>
      </c>
      <c r="T319" s="24">
        <v>0</v>
      </c>
      <c r="U319" s="24">
        <v>0</v>
      </c>
      <c r="V319" s="24">
        <v>1</v>
      </c>
    </row>
    <row r="320" spans="1:22" ht="21" customHeight="1" x14ac:dyDescent="0.15">
      <c r="A320" s="2" t="str">
        <f ca="1">input_498010!A$2</f>
        <v>498010</v>
      </c>
      <c r="B320" s="5">
        <v>1106</v>
      </c>
      <c r="C320" s="7" t="str">
        <f t="shared" ref="C320:C324" si="22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38">
        <f ca="1">IFERROR(VLOOKUP(B320,input_498010!L:R,7,FALSE),VLOOKUP(tables_498010!C320,input_498010!A:H,8,FALSE))</f>
        <v>95484.210529999997</v>
      </c>
      <c r="P320" s="39">
        <f t="shared" ca="1" si="13"/>
        <v>8.326143227230878E-4</v>
      </c>
      <c r="Q320" s="24">
        <v>1</v>
      </c>
      <c r="R320" s="24">
        <v>0</v>
      </c>
      <c r="S320" s="24">
        <v>0</v>
      </c>
      <c r="T320" s="24">
        <v>0</v>
      </c>
      <c r="U320" s="24">
        <v>0</v>
      </c>
      <c r="V320" s="24">
        <v>1</v>
      </c>
    </row>
    <row r="321" spans="1:22" ht="21" customHeight="1" x14ac:dyDescent="0.15">
      <c r="A321" s="2" t="str">
        <f ca="1">input_498010!A$2</f>
        <v>498010</v>
      </c>
      <c r="B321" s="5">
        <v>1137</v>
      </c>
      <c r="C321" s="7" t="str">
        <f t="shared" si="22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38">
        <f ca="1">IFERROR(VLOOKUP(B321,input_498010!L:R,7,FALSE),VLOOKUP(tables_498010!C321,input_498010!A:H,8,FALSE))</f>
        <v>95484.210529999997</v>
      </c>
      <c r="P321" s="39">
        <f t="shared" ca="1" si="13"/>
        <v>8.326143227230878E-4</v>
      </c>
      <c r="Q321" s="24">
        <v>1</v>
      </c>
      <c r="R321" s="24">
        <v>0</v>
      </c>
      <c r="S321" s="24">
        <v>0</v>
      </c>
      <c r="T321" s="24">
        <v>0</v>
      </c>
      <c r="U321" s="24">
        <v>0</v>
      </c>
      <c r="V321" s="24">
        <v>1</v>
      </c>
    </row>
    <row r="322" spans="1:22" ht="21" customHeight="1" x14ac:dyDescent="0.15">
      <c r="A322" s="2" t="str">
        <f ca="1">input_498010!A$2</f>
        <v>498010</v>
      </c>
      <c r="B322" s="5">
        <v>1139</v>
      </c>
      <c r="C322" s="7" t="str">
        <f t="shared" si="22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38">
        <f ca="1">IFERROR(VLOOKUP(B322,input_498010!L:R,7,FALSE),VLOOKUP(tables_498010!C322,input_498010!A:H,8,FALSE))</f>
        <v>95484.210529999997</v>
      </c>
      <c r="P322" s="39">
        <f t="shared" ref="P322:P330" ca="1" si="23">O322/SUM(O:O)</f>
        <v>8.326143227230878E-4</v>
      </c>
      <c r="Q322" s="24">
        <v>1</v>
      </c>
      <c r="R322" s="24">
        <v>0</v>
      </c>
      <c r="S322" s="24">
        <v>0</v>
      </c>
      <c r="T322" s="24">
        <v>0</v>
      </c>
      <c r="U322" s="24">
        <v>0</v>
      </c>
      <c r="V322" s="24">
        <v>1</v>
      </c>
    </row>
    <row r="323" spans="1:22" ht="21" customHeight="1" x14ac:dyDescent="0.15">
      <c r="A323" s="2" t="str">
        <f ca="1">input_498010!A$2</f>
        <v>498010</v>
      </c>
      <c r="B323" s="5">
        <v>1141</v>
      </c>
      <c r="C323" s="7" t="str">
        <f t="shared" si="22"/>
        <v>PremiumSS5R5only</v>
      </c>
      <c r="D323" s="7" t="str">
        <f t="shared" ref="D323:D330" si="24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38">
        <f ca="1">IFERROR(VLOOKUP(B323,input_498010!L:R,7,FALSE),VLOOKUP(tables_498010!C323,input_498010!A:H,8,FALSE))</f>
        <v>95484.210529999997</v>
      </c>
      <c r="P323" s="39">
        <f t="shared" ca="1" si="23"/>
        <v>8.326143227230878E-4</v>
      </c>
      <c r="Q323" s="24">
        <v>1</v>
      </c>
      <c r="R323" s="24">
        <v>0</v>
      </c>
      <c r="S323" s="24">
        <v>0</v>
      </c>
      <c r="T323" s="24">
        <v>0</v>
      </c>
      <c r="U323" s="24">
        <v>0</v>
      </c>
      <c r="V323" s="24">
        <v>1</v>
      </c>
    </row>
    <row r="324" spans="1:22" ht="21" customHeight="1" x14ac:dyDescent="0.15">
      <c r="A324" s="2" t="str">
        <f ca="1">input_498010!A$2</f>
        <v>498010</v>
      </c>
      <c r="B324" s="2">
        <v>1143</v>
      </c>
      <c r="C324" s="7" t="str">
        <f t="shared" si="22"/>
        <v>Premium4R3less</v>
      </c>
      <c r="D324" s="7" t="str">
        <f t="shared" si="24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38">
        <f ca="1">IFERROR(VLOOKUP(B324,input_498010!L:R,7,FALSE),VLOOKUP(tables_498010!C324,input_498010!A:H,8,FALSE))</f>
        <v>1068177.7777799999</v>
      </c>
      <c r="P324" s="39">
        <f t="shared" ca="1" si="23"/>
        <v>9.3144208037905379E-3</v>
      </c>
      <c r="Q324" s="24">
        <v>1</v>
      </c>
      <c r="R324" s="24">
        <v>0</v>
      </c>
      <c r="S324" s="24">
        <v>0</v>
      </c>
      <c r="T324" s="24">
        <v>0</v>
      </c>
      <c r="U324" s="24">
        <v>0</v>
      </c>
      <c r="V324" s="24">
        <v>1</v>
      </c>
    </row>
    <row r="325" spans="1:22" ht="21" customHeight="1" x14ac:dyDescent="0.15">
      <c r="A325" s="2" t="str">
        <f ca="1">input_498010!A$2</f>
        <v>498010</v>
      </c>
      <c r="B325" s="2">
        <v>1144</v>
      </c>
      <c r="C325" s="7" t="str">
        <f t="shared" ref="C325:C330" si="25">D325&amp;J325&amp;E325&amp;F325&amp;G325</f>
        <v>Premium5R3less</v>
      </c>
      <c r="D325" s="7" t="str">
        <f t="shared" si="24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38">
        <f ca="1">IFERROR(VLOOKUP(B325,input_498010!L:R,7,FALSE),VLOOKUP(tables_498010!C325,input_498010!A:H,8,FALSE))</f>
        <v>68116.666670000006</v>
      </c>
      <c r="P325" s="39">
        <f t="shared" ca="1" si="23"/>
        <v>5.9397163123401677E-4</v>
      </c>
      <c r="Q325" s="24">
        <v>1</v>
      </c>
      <c r="R325" s="24">
        <v>0</v>
      </c>
      <c r="S325" s="24">
        <v>0</v>
      </c>
      <c r="T325" s="24">
        <v>0</v>
      </c>
      <c r="U325" s="24">
        <v>0</v>
      </c>
      <c r="V325" s="24">
        <v>1</v>
      </c>
    </row>
    <row r="326" spans="1:22" ht="21" customHeight="1" x14ac:dyDescent="0.15">
      <c r="A326" s="2" t="str">
        <f ca="1">input_498010!A$2</f>
        <v>498010</v>
      </c>
      <c r="B326" s="2">
        <v>1151</v>
      </c>
      <c r="C326" s="7" t="str">
        <f t="shared" si="25"/>
        <v>Premium4R3less</v>
      </c>
      <c r="D326" s="7" t="str">
        <f t="shared" si="24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38">
        <f ca="1">IFERROR(VLOOKUP(B326,input_498010!L:R,7,FALSE),VLOOKUP(tables_498010!C326,input_498010!A:H,8,FALSE))</f>
        <v>1068177.7777799999</v>
      </c>
      <c r="P326" s="39">
        <f t="shared" ca="1" si="23"/>
        <v>9.3144208037905379E-3</v>
      </c>
      <c r="Q326" s="24">
        <v>1</v>
      </c>
      <c r="R326" s="24">
        <v>0</v>
      </c>
      <c r="S326" s="24">
        <v>0</v>
      </c>
      <c r="T326" s="24">
        <v>0</v>
      </c>
      <c r="U326" s="24">
        <v>0</v>
      </c>
      <c r="V326" s="24">
        <v>1</v>
      </c>
    </row>
    <row r="327" spans="1:22" ht="21" customHeight="1" x14ac:dyDescent="0.15">
      <c r="A327" s="2" t="str">
        <f ca="1">input_498010!A$2</f>
        <v>498010</v>
      </c>
      <c r="B327" s="2">
        <v>1152</v>
      </c>
      <c r="C327" s="7" t="str">
        <f t="shared" si="25"/>
        <v>Premium5R3less</v>
      </c>
      <c r="D327" s="7" t="str">
        <f t="shared" si="24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38">
        <f ca="1">IFERROR(VLOOKUP(B327,input_498010!L:R,7,FALSE),VLOOKUP(tables_498010!C327,input_498010!A:H,8,FALSE))</f>
        <v>68116.666670000006</v>
      </c>
      <c r="P327" s="39">
        <f t="shared" ca="1" si="23"/>
        <v>5.9397163123401677E-4</v>
      </c>
      <c r="Q327" s="24">
        <v>1</v>
      </c>
      <c r="R327" s="24">
        <v>0</v>
      </c>
      <c r="S327" s="24">
        <v>0</v>
      </c>
      <c r="T327" s="24">
        <v>0</v>
      </c>
      <c r="U327" s="24">
        <v>0</v>
      </c>
      <c r="V327" s="24">
        <v>1</v>
      </c>
    </row>
    <row r="328" spans="1:22" ht="21" customHeight="1" x14ac:dyDescent="0.15">
      <c r="A328" s="2" t="str">
        <f ca="1">input_498010!A$2</f>
        <v>498010</v>
      </c>
      <c r="B328" s="2">
        <v>1153</v>
      </c>
      <c r="C328" s="7" t="str">
        <f t="shared" si="25"/>
        <v>PremiumSS5R5only</v>
      </c>
      <c r="D328" s="7" t="str">
        <f t="shared" si="24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38">
        <f ca="1">IFERROR(VLOOKUP(B328,input_498010!L:R,7,FALSE),VLOOKUP(tables_498010!C328,input_498010!A:H,8,FALSE))</f>
        <v>95484.210529999997</v>
      </c>
      <c r="P328" s="39">
        <f t="shared" ca="1" si="23"/>
        <v>8.326143227230878E-4</v>
      </c>
      <c r="Q328" s="24">
        <v>1</v>
      </c>
      <c r="R328" s="24">
        <v>0</v>
      </c>
      <c r="S328" s="24">
        <v>0</v>
      </c>
      <c r="T328" s="24">
        <v>0</v>
      </c>
      <c r="U328" s="24">
        <v>0</v>
      </c>
      <c r="V328" s="24">
        <v>1</v>
      </c>
    </row>
    <row r="329" spans="1:22" ht="21" customHeight="1" x14ac:dyDescent="0.15">
      <c r="A329" s="2" t="str">
        <f ca="1">input_498010!A$2</f>
        <v>498010</v>
      </c>
      <c r="B329" s="2">
        <v>1155</v>
      </c>
      <c r="C329" s="7" t="str">
        <f t="shared" si="25"/>
        <v>PremiumSS5R5only</v>
      </c>
      <c r="D329" s="7" t="str">
        <f t="shared" si="24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38">
        <f ca="1">IFERROR(VLOOKUP(B329,input_498010!L:R,7,FALSE),VLOOKUP(tables_498010!C329,input_498010!A:H,8,FALSE))</f>
        <v>95484.210529999997</v>
      </c>
      <c r="P329" s="39">
        <f t="shared" ca="1" si="23"/>
        <v>8.326143227230878E-4</v>
      </c>
      <c r="Q329" s="24">
        <v>1</v>
      </c>
      <c r="R329" s="24">
        <v>0</v>
      </c>
      <c r="S329" s="24">
        <v>0</v>
      </c>
      <c r="T329" s="24">
        <v>0</v>
      </c>
      <c r="U329" s="24">
        <v>0</v>
      </c>
      <c r="V329" s="24">
        <v>1</v>
      </c>
    </row>
    <row r="330" spans="1:22" ht="21" customHeight="1" x14ac:dyDescent="0.15">
      <c r="A330" s="2" t="str">
        <f ca="1">input_498010!A$2</f>
        <v>498010</v>
      </c>
      <c r="B330" s="2">
        <v>1157</v>
      </c>
      <c r="C330" s="7" t="str">
        <f t="shared" si="25"/>
        <v>PremiumSS5R5only</v>
      </c>
      <c r="D330" s="89" t="str">
        <f t="shared" si="24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38">
        <f ca="1">IFERROR(VLOOKUP(B330,input_498010!L:R,7,FALSE),VLOOKUP(tables_498010!C330,input_498010!A:H,8,FALSE))</f>
        <v>95484.210529999997</v>
      </c>
      <c r="P330" s="39">
        <f t="shared" ca="1" si="23"/>
        <v>8.326143227230878E-4</v>
      </c>
      <c r="Q330" s="24">
        <v>1</v>
      </c>
      <c r="R330" s="24">
        <v>0</v>
      </c>
      <c r="S330" s="24">
        <v>0</v>
      </c>
      <c r="T330" s="24">
        <v>0</v>
      </c>
      <c r="U330" s="24">
        <v>0</v>
      </c>
      <c r="V330" s="24">
        <v>1</v>
      </c>
    </row>
    <row r="331" spans="1:22" ht="21" customHeight="1" x14ac:dyDescent="0.15">
      <c r="A331" s="2" t="str">
        <f ca="1">input_498010!A$2</f>
        <v>498010</v>
      </c>
      <c r="B331" s="53">
        <v>1214</v>
      </c>
      <c r="C331" s="7" t="str">
        <f t="shared" ref="C331:C335" si="26">D331&amp;J331&amp;E331&amp;F331&amp;G331</f>
        <v>PremiumSS5R5only</v>
      </c>
      <c r="D331" s="89" t="str">
        <f t="shared" ref="D331:D335" si="27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38">
        <f ca="1">IFERROR(VLOOKUP(B331,input_498010!L:R,7,FALSE),VLOOKUP(tables_498010!C331,input_498010!A:H,8,FALSE))</f>
        <v>95484.210529999997</v>
      </c>
      <c r="P331" s="39">
        <f t="shared" ref="P331:P335" ca="1" si="28">O331/SUM(O:O)</f>
        <v>8.326143227230878E-4</v>
      </c>
      <c r="Q331" s="24">
        <v>1</v>
      </c>
      <c r="R331" s="24">
        <v>0</v>
      </c>
      <c r="S331" s="24">
        <v>0</v>
      </c>
      <c r="T331" s="24">
        <v>0</v>
      </c>
      <c r="U331" s="24">
        <v>0</v>
      </c>
      <c r="V331" s="24">
        <v>1</v>
      </c>
    </row>
    <row r="332" spans="1:22" ht="21" customHeight="1" x14ac:dyDescent="0.15">
      <c r="A332" s="2" t="str">
        <f ca="1">input_498010!A$2</f>
        <v>498010</v>
      </c>
      <c r="B332" s="53">
        <v>1212</v>
      </c>
      <c r="C332" s="7" t="str">
        <f t="shared" si="26"/>
        <v>PremiumSS5R5only</v>
      </c>
      <c r="D332" s="89" t="str">
        <f t="shared" si="2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38">
        <f ca="1">IFERROR(VLOOKUP(B332,input_498010!L:R,7,FALSE),VLOOKUP(tables_498010!C332,input_498010!A:H,8,FALSE))</f>
        <v>95484.210529999997</v>
      </c>
      <c r="P332" s="39">
        <f t="shared" ca="1" si="28"/>
        <v>8.326143227230878E-4</v>
      </c>
      <c r="Q332" s="24">
        <v>1</v>
      </c>
      <c r="R332" s="24">
        <v>0</v>
      </c>
      <c r="S332" s="24">
        <v>0</v>
      </c>
      <c r="T332" s="24">
        <v>0</v>
      </c>
      <c r="U332" s="24">
        <v>0</v>
      </c>
      <c r="V332" s="24">
        <v>1</v>
      </c>
    </row>
    <row r="333" spans="1:22" ht="21" customHeight="1" x14ac:dyDescent="0.15">
      <c r="A333" s="2" t="str">
        <f ca="1">input_498010!A$2</f>
        <v>498010</v>
      </c>
      <c r="B333" s="53">
        <v>1208</v>
      </c>
      <c r="C333" s="7" t="str">
        <f t="shared" si="26"/>
        <v>PremiumSS5R5only</v>
      </c>
      <c r="D333" s="89" t="str">
        <f t="shared" si="2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38">
        <f ca="1">IFERROR(VLOOKUP(B333,input_498010!L:R,7,FALSE),VLOOKUP(tables_498010!C333,input_498010!A:H,8,FALSE))</f>
        <v>95484.210529999997</v>
      </c>
      <c r="P333" s="39">
        <f t="shared" ca="1" si="28"/>
        <v>8.326143227230878E-4</v>
      </c>
      <c r="Q333" s="24">
        <v>1</v>
      </c>
      <c r="R333" s="24">
        <v>0</v>
      </c>
      <c r="S333" s="24">
        <v>0</v>
      </c>
      <c r="T333" s="24">
        <v>0</v>
      </c>
      <c r="U333" s="24">
        <v>0</v>
      </c>
      <c r="V333" s="24">
        <v>1</v>
      </c>
    </row>
    <row r="334" spans="1:22" ht="21" customHeight="1" x14ac:dyDescent="0.15">
      <c r="A334" s="2" t="str">
        <f ca="1">input_498010!A$2</f>
        <v>498010</v>
      </c>
      <c r="B334" s="84">
        <v>1210</v>
      </c>
      <c r="C334" s="7" t="str">
        <f t="shared" si="26"/>
        <v>Premium4R3less</v>
      </c>
      <c r="D334" s="89" t="str">
        <f t="shared" si="2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38">
        <f ca="1">IFERROR(VLOOKUP(B334,input_498010!L:R,7,FALSE),VLOOKUP(tables_498010!C334,input_498010!A:H,8,FALSE))</f>
        <v>1068177.7777799999</v>
      </c>
      <c r="P334" s="39">
        <f t="shared" ca="1" si="28"/>
        <v>9.3144208037905379E-3</v>
      </c>
      <c r="Q334" s="24">
        <v>1</v>
      </c>
      <c r="R334" s="24">
        <v>0</v>
      </c>
      <c r="S334" s="24">
        <v>0</v>
      </c>
      <c r="T334" s="24">
        <v>0</v>
      </c>
      <c r="U334" s="24">
        <v>0</v>
      </c>
      <c r="V334" s="24">
        <v>1</v>
      </c>
    </row>
    <row r="335" spans="1:22" ht="21" customHeight="1" x14ac:dyDescent="0.15">
      <c r="A335" s="2" t="str">
        <f ca="1">input_498010!A$2</f>
        <v>498010</v>
      </c>
      <c r="B335" s="53">
        <v>1211</v>
      </c>
      <c r="C335" s="7" t="str">
        <f t="shared" si="26"/>
        <v>Premium5R3less</v>
      </c>
      <c r="D335" s="89" t="str">
        <f t="shared" si="2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38">
        <f ca="1">IFERROR(VLOOKUP(B335,input_498010!L:R,7,FALSE),VLOOKUP(tables_498010!C335,input_498010!A:H,8,FALSE))</f>
        <v>68116.666670000006</v>
      </c>
      <c r="P335" s="39">
        <f t="shared" ca="1" si="28"/>
        <v>5.9397163123401677E-4</v>
      </c>
      <c r="Q335" s="24">
        <v>1</v>
      </c>
      <c r="R335" s="24">
        <v>0</v>
      </c>
      <c r="S335" s="24">
        <v>0</v>
      </c>
      <c r="T335" s="24">
        <v>0</v>
      </c>
      <c r="U335" s="24">
        <v>0</v>
      </c>
      <c r="V335" s="24">
        <v>1</v>
      </c>
    </row>
    <row r="336" spans="1:22" ht="21" customHeight="1" x14ac:dyDescent="0.15">
      <c r="A336" s="2" t="str">
        <f ca="1">input_498010!A$2</f>
        <v>498010</v>
      </c>
      <c r="B336" s="53">
        <v>1228</v>
      </c>
      <c r="C336" s="7" t="str">
        <f t="shared" ref="C336:C340" si="29">D336&amp;J336&amp;E336&amp;F336&amp;G336</f>
        <v>PremiumSS5R5only</v>
      </c>
      <c r="D336" s="89" t="str">
        <f t="shared" ref="D336:D340" si="30">IF(OR(I336="PremiumSS",I336="PremiumSSw"),"PremiumSS",IF(I336="PremiumSSS",I336,IF(I336="PremiumW",IF(J336=5,"premium",I336),"Premium")))</f>
        <v>PremiumSS</v>
      </c>
      <c r="E336" s="7" t="str">
        <f>IF(COUNTIF('R6追加前'!A:A,B336)=0,IF(OR(I336="PremiumSS",I336="PremiumSSw"),"R5only","R3less"),"")</f>
        <v>R5only</v>
      </c>
      <c r="F336" s="7" t="str">
        <f>IF(COUNTIF('R6開放'!A:A,B336)&gt;0,"R6release","")</f>
        <v/>
      </c>
      <c r="G336" s="7"/>
      <c r="H336" s="7" t="str">
        <f>VLOOKUP(B336,[1]characters!$A:$C,3,FALSE)</f>
        <v>芥川龍之介</v>
      </c>
      <c r="I336" s="7" t="str">
        <f>VLOOKUP(B336,[1]characters!$A:$J,10,FALSE)</f>
        <v>PremiumSSw</v>
      </c>
      <c r="J336" s="7">
        <f>VLOOKUP(B336,[1]characters!$A:$I,9,FALSE)</f>
        <v>5</v>
      </c>
      <c r="K336" s="7" t="str">
        <f>VLOOKUP(B336,[1]characters!$A:$H,8,FALSE)</f>
        <v>blue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38">
        <f ca="1">IFERROR(VLOOKUP(B336,input_498010!L:R,7,FALSE),VLOOKUP(tables_498010!C336,input_498010!A:H,8,FALSE))</f>
        <v>95484.210529999997</v>
      </c>
      <c r="P336" s="39">
        <f t="shared" ref="P336:P340" ca="1" si="31">O336/SUM(O:O)</f>
        <v>8.326143227230878E-4</v>
      </c>
      <c r="Q336" s="24">
        <v>1</v>
      </c>
      <c r="R336" s="24">
        <v>0</v>
      </c>
      <c r="S336" s="24">
        <v>0</v>
      </c>
      <c r="T336" s="24">
        <v>0</v>
      </c>
      <c r="U336" s="24">
        <v>0</v>
      </c>
      <c r="V336" s="24">
        <v>1</v>
      </c>
    </row>
    <row r="337" spans="1:22" ht="21" customHeight="1" x14ac:dyDescent="0.15">
      <c r="A337" s="2" t="str">
        <f ca="1">input_498010!A$2</f>
        <v>498010</v>
      </c>
      <c r="B337" s="53">
        <v>1226</v>
      </c>
      <c r="C337" s="7" t="str">
        <f t="shared" si="29"/>
        <v>PremiumSS5R5only</v>
      </c>
      <c r="D337" s="89" t="str">
        <f t="shared" si="30"/>
        <v>PremiumSS</v>
      </c>
      <c r="E337" s="7" t="str">
        <f>IF(COUNTIF('R6追加前'!A:A,B337)=0,IF(OR(I337="PremiumSS",I337="PremiumSSw"),"R5only","R3less"),"")</f>
        <v>R5only</v>
      </c>
      <c r="F337" s="7" t="str">
        <f>IF(COUNTIF('R6開放'!A:A,B337)&gt;0,"R6release","")</f>
        <v/>
      </c>
      <c r="G337" s="7"/>
      <c r="H337" s="7" t="str">
        <f>VLOOKUP(B337,[1]characters!$A:$C,3,FALSE)</f>
        <v>トルストイ</v>
      </c>
      <c r="I337" s="7" t="str">
        <f>VLOOKUP(B337,[1]characters!$A:$J,10,FALSE)</f>
        <v>PremiumSS</v>
      </c>
      <c r="J337" s="7">
        <f>VLOOKUP(B337,[1]characters!$A:$I,9,FALSE)</f>
        <v>5</v>
      </c>
      <c r="K337" s="7" t="str">
        <f>VLOOKUP(B337,[1]characters!$A:$H,8,FALSE)</f>
        <v>green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38">
        <f ca="1">IFERROR(VLOOKUP(B337,input_498010!L:R,7,FALSE),VLOOKUP(tables_498010!C337,input_498010!A:H,8,FALSE))</f>
        <v>95484.210529999997</v>
      </c>
      <c r="P337" s="39">
        <f t="shared" ca="1" si="31"/>
        <v>8.326143227230878E-4</v>
      </c>
      <c r="Q337" s="24">
        <v>1</v>
      </c>
      <c r="R337" s="24">
        <v>0</v>
      </c>
      <c r="S337" s="24">
        <v>0</v>
      </c>
      <c r="T337" s="24">
        <v>0</v>
      </c>
      <c r="U337" s="24">
        <v>0</v>
      </c>
      <c r="V337" s="24">
        <v>1</v>
      </c>
    </row>
    <row r="338" spans="1:22" ht="21" customHeight="1" x14ac:dyDescent="0.15">
      <c r="A338" s="2" t="str">
        <f ca="1">input_498010!A$2</f>
        <v>498010</v>
      </c>
      <c r="B338" s="53">
        <v>1230</v>
      </c>
      <c r="C338" s="7" t="str">
        <f t="shared" si="29"/>
        <v>PremiumSS5R5only</v>
      </c>
      <c r="D338" s="89" t="str">
        <f t="shared" si="30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夏目漱石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yellow</v>
      </c>
      <c r="L338" s="7" t="str">
        <f>VLOOKUP(B338,[1]characters!$A:$K,11,FALSE)</f>
        <v>heal</v>
      </c>
      <c r="M338" s="7" t="str">
        <f>VLOOKUP(B338,[1]characters!$A:$M,13,FALSE)</f>
        <v>animal</v>
      </c>
      <c r="N338" s="7">
        <f>VLOOKUP(B338,[1]characters!$A:$G,7,FALSE)</f>
        <v>0</v>
      </c>
      <c r="O338" s="38">
        <f ca="1">IFERROR(VLOOKUP(B338,input_498010!L:R,7,FALSE),VLOOKUP(tables_498010!C338,input_498010!A:H,8,FALSE))</f>
        <v>95484.210529999997</v>
      </c>
      <c r="P338" s="39">
        <f t="shared" ca="1" si="31"/>
        <v>8.326143227230878E-4</v>
      </c>
      <c r="Q338" s="24">
        <v>1</v>
      </c>
      <c r="R338" s="24">
        <v>0</v>
      </c>
      <c r="S338" s="24">
        <v>0</v>
      </c>
      <c r="T338" s="24">
        <v>0</v>
      </c>
      <c r="U338" s="24">
        <v>0</v>
      </c>
      <c r="V338" s="24">
        <v>1</v>
      </c>
    </row>
    <row r="339" spans="1:22" ht="21" customHeight="1" x14ac:dyDescent="0.15">
      <c r="A339" s="2" t="str">
        <f ca="1">input_498010!A$2</f>
        <v>498010</v>
      </c>
      <c r="B339" s="84">
        <v>1224</v>
      </c>
      <c r="C339" s="7" t="str">
        <f t="shared" si="29"/>
        <v>Premium4R3less</v>
      </c>
      <c r="D339" s="89" t="str">
        <f t="shared" si="30"/>
        <v>Premium</v>
      </c>
      <c r="E339" s="7" t="str">
        <f>IF(COUNTIF('R6追加前'!A:A,B339)=0,IF(OR(I339="PremiumSS",I339="PremiumSSw"),"R5only","R3less"),"")</f>
        <v>R3less</v>
      </c>
      <c r="F339" s="7" t="str">
        <f>IF(COUNTIF('R6開放'!A:A,B339)&gt;0,"R6release","")</f>
        <v/>
      </c>
      <c r="G339" s="7"/>
      <c r="H339" s="7" t="str">
        <f>VLOOKUP(B339,[1]characters!$A:$C,3,FALSE)</f>
        <v>セルバンテス</v>
      </c>
      <c r="I339" s="7" t="str">
        <f>VLOOKUP(B339,[1]characters!$A:$J,10,FALSE)</f>
        <v>PremiumS</v>
      </c>
      <c r="J339" s="7">
        <f>VLOOKUP(B339,[1]characters!$A:$I,9,FALSE)</f>
        <v>4</v>
      </c>
      <c r="K339" s="7" t="str">
        <f>VLOOKUP(B339,[1]characters!$A:$H,8,FALSE)</f>
        <v>red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38">
        <f ca="1">IFERROR(VLOOKUP(B339,input_498010!L:R,7,FALSE),VLOOKUP(tables_498010!C339,input_498010!A:H,8,FALSE))</f>
        <v>1068177.7777799999</v>
      </c>
      <c r="P339" s="39">
        <f t="shared" ca="1" si="31"/>
        <v>9.3144208037905379E-3</v>
      </c>
      <c r="Q339" s="24">
        <v>1</v>
      </c>
      <c r="R339" s="24">
        <v>0</v>
      </c>
      <c r="S339" s="24">
        <v>0</v>
      </c>
      <c r="T339" s="24">
        <v>0</v>
      </c>
      <c r="U339" s="24">
        <v>0</v>
      </c>
      <c r="V339" s="24">
        <v>1</v>
      </c>
    </row>
    <row r="340" spans="1:22" ht="21" customHeight="1" x14ac:dyDescent="0.15">
      <c r="A340" s="2" t="str">
        <f ca="1">input_498010!A$2</f>
        <v>498010</v>
      </c>
      <c r="B340" s="53">
        <v>1225</v>
      </c>
      <c r="C340" s="7" t="str">
        <f t="shared" si="29"/>
        <v>Premium5R3less</v>
      </c>
      <c r="D340" s="89" t="str">
        <f t="shared" si="30"/>
        <v>Premium</v>
      </c>
      <c r="E340" s="7" t="str">
        <f>IF(COUNTIF('R6追加前'!A:A,B340)=0,IF(OR(I340="PremiumSS",I340="PremiumSSw"),"R5only","R3less"),"")</f>
        <v>R3less</v>
      </c>
      <c r="F340" s="7" t="str">
        <f>IF(COUNTIF('R6開放'!A:A,B340)&gt;0,"R6release","")</f>
        <v/>
      </c>
      <c r="G340" s="7"/>
      <c r="H340" s="7" t="str">
        <f>VLOOKUP(B340,[1]characters!$A:$C,3,FALSE)</f>
        <v>優柔なる風断者 セルバンテス</v>
      </c>
      <c r="I340" s="7" t="str">
        <f>VLOOKUP(B340,[1]characters!$A:$J,10,FALSE)</f>
        <v>PremiumS</v>
      </c>
      <c r="J340" s="7">
        <f>VLOOKUP(B340,[1]characters!$A:$I,9,FALSE)</f>
        <v>5</v>
      </c>
      <c r="K340" s="7" t="str">
        <f>VLOOKUP(B340,[1]characters!$A:$H,8,FALSE)</f>
        <v>red</v>
      </c>
      <c r="L340" s="7" t="str">
        <f>VLOOKUP(B340,[1]characters!$A:$K,11,FALSE)</f>
        <v>attack</v>
      </c>
      <c r="M340" s="7" t="str">
        <f>VLOOKUP(B340,[1]characters!$A:$M,13,FALSE)</f>
        <v>human</v>
      </c>
      <c r="N340" s="7">
        <f>VLOOKUP(B340,[1]characters!$A:$G,7,FALSE)</f>
        <v>0</v>
      </c>
      <c r="O340" s="38">
        <f ca="1">IFERROR(VLOOKUP(B340,input_498010!L:R,7,FALSE),VLOOKUP(tables_498010!C340,input_498010!A:H,8,FALSE))</f>
        <v>68116.666670000006</v>
      </c>
      <c r="P340" s="39">
        <f t="shared" ca="1" si="31"/>
        <v>5.9397163123401677E-4</v>
      </c>
      <c r="Q340" s="24">
        <v>1</v>
      </c>
      <c r="R340" s="24">
        <v>0</v>
      </c>
      <c r="S340" s="24">
        <v>0</v>
      </c>
      <c r="T340" s="24">
        <v>0</v>
      </c>
      <c r="U340" s="24">
        <v>0</v>
      </c>
      <c r="V340" s="24">
        <v>1</v>
      </c>
    </row>
    <row r="341" spans="1:22" ht="21" customHeight="1" x14ac:dyDescent="0.15">
      <c r="A341" s="2" t="str">
        <f ca="1">input_498010!A$2</f>
        <v>498010</v>
      </c>
      <c r="B341" s="1">
        <v>1250</v>
      </c>
      <c r="C341" s="7" t="str">
        <f t="shared" ref="C341:C345" si="32">D341&amp;J341&amp;E341&amp;F341&amp;G341</f>
        <v>PremiumSS5R5only</v>
      </c>
      <c r="D341" s="89" t="str">
        <f t="shared" ref="D341:D345" si="33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真田幸村</v>
      </c>
      <c r="I341" s="7" t="str">
        <f>VLOOKUP(B341,[1]characters!$A:$J,10,FALSE)</f>
        <v>PremiumSSw</v>
      </c>
      <c r="J341" s="7">
        <f>VLOOKUP(B341,[1]characters!$A:$I,9,FALSE)</f>
        <v>5</v>
      </c>
      <c r="K341" s="7" t="str">
        <f>VLOOKUP(B341,[1]characters!$A:$H,8,FALSE)</f>
        <v>yellow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38">
        <f ca="1">IFERROR(VLOOKUP(B341,input_498010!L:R,7,FALSE),VLOOKUP(tables_498010!C341,input_498010!A:H,8,FALSE))</f>
        <v>95484.210529999997</v>
      </c>
      <c r="P341" s="39">
        <f t="shared" ref="P341:P345" ca="1" si="34">O341/SUM(O:O)</f>
        <v>8.326143227230878E-4</v>
      </c>
      <c r="Q341" s="24">
        <v>1</v>
      </c>
      <c r="R341" s="24">
        <v>0</v>
      </c>
      <c r="S341" s="24">
        <v>0</v>
      </c>
      <c r="T341" s="24">
        <v>0</v>
      </c>
      <c r="U341" s="24">
        <v>0</v>
      </c>
      <c r="V341" s="24">
        <v>1</v>
      </c>
    </row>
    <row r="342" spans="1:22" ht="21" customHeight="1" x14ac:dyDescent="0.15">
      <c r="A342" s="2" t="str">
        <f ca="1">input_498010!A$2</f>
        <v>498010</v>
      </c>
      <c r="B342" s="1">
        <v>1244</v>
      </c>
      <c r="C342" s="7" t="str">
        <f t="shared" si="32"/>
        <v>PremiumSS5R5only</v>
      </c>
      <c r="D342" s="89" t="str">
        <f t="shared" si="33"/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/>
      <c r="H342" s="7" t="str">
        <f>VLOOKUP(B342,[1]characters!$A:$C,3,FALSE)</f>
        <v>猿飛佐助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red</v>
      </c>
      <c r="L342" s="7" t="str">
        <f>VLOOKUP(B342,[1]characters!$A:$K,11,FALSE)</f>
        <v>attack</v>
      </c>
      <c r="M342" s="7" t="str">
        <f>VLOOKUP(B342,[1]characters!$A:$M,13,FALSE)</f>
        <v>human</v>
      </c>
      <c r="N342" s="7">
        <f>VLOOKUP(B342,[1]characters!$A:$G,7,FALSE)</f>
        <v>0</v>
      </c>
      <c r="O342" s="38">
        <f ca="1">IFERROR(VLOOKUP(B342,input_498010!L:R,7,FALSE),VLOOKUP(tables_498010!C342,input_498010!A:H,8,FALSE))</f>
        <v>95484.210529999997</v>
      </c>
      <c r="P342" s="39">
        <f t="shared" ca="1" si="34"/>
        <v>8.326143227230878E-4</v>
      </c>
      <c r="Q342" s="24">
        <v>1</v>
      </c>
      <c r="R342" s="24">
        <v>0</v>
      </c>
      <c r="S342" s="24">
        <v>0</v>
      </c>
      <c r="T342" s="24">
        <v>0</v>
      </c>
      <c r="U342" s="24">
        <v>0</v>
      </c>
      <c r="V342" s="24">
        <v>1</v>
      </c>
    </row>
    <row r="343" spans="1:22" ht="21" customHeight="1" x14ac:dyDescent="0.15">
      <c r="A343" s="2" t="str">
        <f ca="1">input_498010!A$2</f>
        <v>498010</v>
      </c>
      <c r="B343" s="1">
        <v>1246</v>
      </c>
      <c r="C343" s="7" t="str">
        <f t="shared" si="32"/>
        <v>PremiumSS5R5only</v>
      </c>
      <c r="D343" s="89" t="str">
        <f t="shared" si="33"/>
        <v>PremiumSS</v>
      </c>
      <c r="E343" s="7" t="str">
        <f>IF(COUNTIF('R6追加前'!A:A,B343)=0,IF(OR(I343="PremiumSS",I343="PremiumSSw"),"R5only","R3less"),"")</f>
        <v>R5only</v>
      </c>
      <c r="F343" s="7" t="str">
        <f>IF(COUNTIF('R6開放'!A:A,B343)&gt;0,"R6release","")</f>
        <v/>
      </c>
      <c r="G343" s="7"/>
      <c r="H343" s="7" t="str">
        <f>VLOOKUP(B343,[1]characters!$A:$C,3,FALSE)</f>
        <v>望月千代女</v>
      </c>
      <c r="I343" s="7" t="str">
        <f>VLOOKUP(B343,[1]characters!$A:$J,10,FALSE)</f>
        <v>PremiumSS</v>
      </c>
      <c r="J343" s="7">
        <f>VLOOKUP(B343,[1]characters!$A:$I,9,FALSE)</f>
        <v>5</v>
      </c>
      <c r="K343" s="7" t="str">
        <f>VLOOKUP(B343,[1]characters!$A:$H,8,FALSE)</f>
        <v>green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38">
        <f ca="1">IFERROR(VLOOKUP(B343,input_498010!L:R,7,FALSE),VLOOKUP(tables_498010!C343,input_498010!A:H,8,FALSE))</f>
        <v>95484.210529999997</v>
      </c>
      <c r="P343" s="39">
        <f t="shared" ca="1" si="34"/>
        <v>8.326143227230878E-4</v>
      </c>
      <c r="Q343" s="24">
        <v>1</v>
      </c>
      <c r="R343" s="24">
        <v>0</v>
      </c>
      <c r="S343" s="24">
        <v>0</v>
      </c>
      <c r="T343" s="24">
        <v>0</v>
      </c>
      <c r="U343" s="24">
        <v>0</v>
      </c>
      <c r="V343" s="24">
        <v>1</v>
      </c>
    </row>
    <row r="344" spans="1:22" ht="21" customHeight="1" x14ac:dyDescent="0.15">
      <c r="A344" s="2" t="str">
        <f ca="1">input_498010!A$2</f>
        <v>498010</v>
      </c>
      <c r="B344" s="1">
        <v>1248</v>
      </c>
      <c r="C344" s="7" t="str">
        <f t="shared" si="32"/>
        <v>Premium4R3less</v>
      </c>
      <c r="D344" s="89" t="str">
        <f t="shared" si="33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/>
      <c r="H344" s="7" t="str">
        <f>VLOOKUP(B344,[1]characters!$A:$C,3,FALSE)</f>
        <v>寧々</v>
      </c>
      <c r="I344" s="7" t="str">
        <f>VLOOKUP(B344,[1]characters!$A:$J,10,FALSE)</f>
        <v>PremiumS</v>
      </c>
      <c r="J344" s="7">
        <f>VLOOKUP(B344,[1]characters!$A:$I,9,FALSE)</f>
        <v>4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38">
        <f ca="1">IFERROR(VLOOKUP(B344,input_498010!L:R,7,FALSE),VLOOKUP(tables_498010!C344,input_498010!A:H,8,FALSE))</f>
        <v>1068177.7777799999</v>
      </c>
      <c r="P344" s="39">
        <f t="shared" ca="1" si="34"/>
        <v>9.3144208037905379E-3</v>
      </c>
      <c r="Q344" s="24">
        <v>1</v>
      </c>
      <c r="R344" s="24">
        <v>0</v>
      </c>
      <c r="S344" s="24">
        <v>0</v>
      </c>
      <c r="T344" s="24">
        <v>0</v>
      </c>
      <c r="U344" s="24">
        <v>0</v>
      </c>
      <c r="V344" s="24">
        <v>1</v>
      </c>
    </row>
    <row r="345" spans="1:22" ht="21" customHeight="1" x14ac:dyDescent="0.15">
      <c r="A345" s="2" t="str">
        <f ca="1">input_498010!A$2</f>
        <v>498010</v>
      </c>
      <c r="B345" s="1">
        <v>1249</v>
      </c>
      <c r="C345" s="7" t="str">
        <f t="shared" si="32"/>
        <v>Premium5R3less</v>
      </c>
      <c r="D345" s="89" t="str">
        <f t="shared" si="33"/>
        <v>Premium</v>
      </c>
      <c r="E345" s="7" t="str">
        <f>IF(COUNTIF('R6追加前'!A:A,B345)=0,IF(OR(I345="PremiumSS",I345="PremiumSSw"),"R5only","R3less"),"")</f>
        <v>R3less</v>
      </c>
      <c r="F345" s="7" t="str">
        <f>IF(COUNTIF('R6開放'!A:A,B345)&gt;0,"R6release","")</f>
        <v/>
      </c>
      <c r="G345" s="7"/>
      <c r="H345" s="7" t="str">
        <f>VLOOKUP(B345,[1]characters!$A:$C,3,FALSE)</f>
        <v>君臨する姐御様 寧々</v>
      </c>
      <c r="I345" s="7" t="str">
        <f>VLOOKUP(B345,[1]characters!$A:$J,10,FALSE)</f>
        <v>PremiumS</v>
      </c>
      <c r="J345" s="7">
        <f>VLOOKUP(B345,[1]characters!$A:$I,9,FALSE)</f>
        <v>5</v>
      </c>
      <c r="K345" s="7" t="str">
        <f>VLOOKUP(B345,[1]characters!$A:$H,8,FALSE)</f>
        <v>blue</v>
      </c>
      <c r="L345" s="7" t="str">
        <f>VLOOKUP(B345,[1]characters!$A:$K,11,FALSE)</f>
        <v>heal</v>
      </c>
      <c r="M345" s="7" t="str">
        <f>VLOOKUP(B345,[1]characters!$A:$M,13,FALSE)</f>
        <v>human</v>
      </c>
      <c r="N345" s="7">
        <f>VLOOKUP(B345,[1]characters!$A:$G,7,FALSE)</f>
        <v>0</v>
      </c>
      <c r="O345" s="38">
        <f ca="1">IFERROR(VLOOKUP(B345,input_498010!L:R,7,FALSE),VLOOKUP(tables_498010!C345,input_498010!A:H,8,FALSE))</f>
        <v>68116.666670000006</v>
      </c>
      <c r="P345" s="39">
        <f t="shared" ca="1" si="34"/>
        <v>5.9397163123401677E-4</v>
      </c>
      <c r="Q345" s="24">
        <v>1</v>
      </c>
      <c r="R345" s="24">
        <v>0</v>
      </c>
      <c r="S345" s="24">
        <v>0</v>
      </c>
      <c r="T345" s="24">
        <v>0</v>
      </c>
      <c r="U345" s="24">
        <v>0</v>
      </c>
      <c r="V345" s="24">
        <v>1</v>
      </c>
    </row>
    <row r="346" spans="1:22" ht="21" customHeight="1" x14ac:dyDescent="0.15">
      <c r="A346" s="2" t="str">
        <f ca="1">input_498010!A$2</f>
        <v>498010</v>
      </c>
      <c r="B346" s="1">
        <v>953</v>
      </c>
      <c r="C346" s="7" t="str">
        <f t="shared" ref="C346:C351" si="35">D346&amp;J346&amp;E346&amp;F346&amp;G346</f>
        <v>PremiumSSS5R3less</v>
      </c>
      <c r="D346" s="89" t="str">
        <f t="shared" ref="D346:D351" si="36">IF(OR(I346="PremiumSS",I346="PremiumSSw"),"PremiumSS",IF(I346="PremiumSSS",I346,IF(I346="PremiumW",IF(J346=5,"premium",I346),"Premium")))</f>
        <v>PremiumSSS</v>
      </c>
      <c r="E346" s="7" t="str">
        <f>IF(COUNTIF('R6追加前'!A:A,B346)=0,IF(OR(I346="PremiumSS",I346="PremiumSSw"),"R5only","R3less"),"")</f>
        <v>R3less</v>
      </c>
      <c r="F346" s="7" t="str">
        <f>IF(COUNTIF('R6開放'!A:A,B346)&gt;0,"R6release","")</f>
        <v/>
      </c>
      <c r="G346" s="7"/>
      <c r="H346" s="7" t="str">
        <f>VLOOKUP(B346,[1]characters!$A:$C,3,FALSE)</f>
        <v>ハイゼンベルク</v>
      </c>
      <c r="I346" s="7" t="str">
        <f>VLOOKUP(B346,[1]characters!$A:$J,10,FALSE)</f>
        <v>PremiumSSS</v>
      </c>
      <c r="J346" s="7">
        <f>VLOOKUP(B346,[1]characters!$A:$I,9,FALSE)</f>
        <v>5</v>
      </c>
      <c r="K346" s="7" t="str">
        <f>VLOOKUP(B346,[1]characters!$A:$H,8,FALSE)</f>
        <v>green</v>
      </c>
      <c r="L346" s="7" t="str">
        <f>VLOOKUP(B346,[1]characters!$A:$K,11,FALSE)</f>
        <v>attack</v>
      </c>
      <c r="M346" s="7" t="str">
        <f>VLOOKUP(B346,[1]characters!$A:$M,13,FALSE)</f>
        <v>academia</v>
      </c>
      <c r="N346" s="7" t="str">
        <f>VLOOKUP(B346,[1]characters!$A:$G,7,FALSE)</f>
        <v>男性</v>
      </c>
      <c r="O346" s="38">
        <f>IFERROR(VLOOKUP(B346,input_498010!L:R,7,FALSE),VLOOKUP(tables_498010!C346,input_498010!A:H,8,FALSE))</f>
        <v>229360</v>
      </c>
      <c r="P346" s="39">
        <f t="shared" ref="P346:P351" ca="1" si="37">O346/SUM(O:O)</f>
        <v>1.9999999999975641E-3</v>
      </c>
      <c r="Q346" s="24">
        <v>1</v>
      </c>
      <c r="R346" s="24">
        <v>0</v>
      </c>
      <c r="S346" s="24">
        <v>0</v>
      </c>
      <c r="T346" s="24">
        <v>0</v>
      </c>
      <c r="U346" s="24">
        <v>0</v>
      </c>
      <c r="V346" s="24">
        <v>1</v>
      </c>
    </row>
    <row r="347" spans="1:22" ht="21" customHeight="1" x14ac:dyDescent="0.15">
      <c r="A347" s="2" t="str">
        <f ca="1">input_498010!A$2</f>
        <v>498010</v>
      </c>
      <c r="B347" s="1">
        <v>619</v>
      </c>
      <c r="C347" s="7" t="str">
        <f t="shared" si="35"/>
        <v>PremiumSSS4R3less</v>
      </c>
      <c r="D347" s="89" t="str">
        <f t="shared" si="36"/>
        <v>PremiumSSS</v>
      </c>
      <c r="E347" s="7" t="str">
        <f>IF(COUNTIF('R6追加前'!A:A,B347)=0,IF(OR(I347="PremiumSS",I347="PremiumSSw"),"R5only","R3less"),"")</f>
        <v>R3less</v>
      </c>
      <c r="F347" s="7" t="str">
        <f>IF(COUNTIF('R6開放'!A:A,B347)&gt;0,"R6release","")</f>
        <v/>
      </c>
      <c r="G347" s="7"/>
      <c r="H347" s="7" t="str">
        <f>VLOOKUP(B347,[1]characters!$A:$C,3,FALSE)</f>
        <v>メビウス</v>
      </c>
      <c r="I347" s="7" t="str">
        <f>VLOOKUP(B347,[1]characters!$A:$J,10,FALSE)</f>
        <v>PremiumSSS</v>
      </c>
      <c r="J347" s="7">
        <f>VLOOKUP(B347,[1]characters!$A:$I,9,FALSE)</f>
        <v>4</v>
      </c>
      <c r="K347" s="7" t="str">
        <f>VLOOKUP(B347,[1]characters!$A:$H,8,FALSE)</f>
        <v>blue</v>
      </c>
      <c r="L347" s="7" t="str">
        <f>VLOOKUP(B347,[1]characters!$A:$K,11,FALSE)</f>
        <v>balance</v>
      </c>
      <c r="M347" s="7" t="str">
        <f>VLOOKUP(B347,[1]characters!$A:$M,13,FALSE)</f>
        <v>human</v>
      </c>
      <c r="N347" s="7" t="str">
        <f>VLOOKUP(B347,[1]characters!$A:$G,7,FALSE)</f>
        <v>女性</v>
      </c>
      <c r="O347" s="38">
        <f>IFERROR(VLOOKUP(B347,input_498010!L:R,7,FALSE),VLOOKUP(tables_498010!C347,input_498010!A:H,8,FALSE))</f>
        <v>114680</v>
      </c>
      <c r="P347" s="39">
        <f t="shared" ca="1" si="37"/>
        <v>9.9999999999878203E-4</v>
      </c>
      <c r="Q347" s="24">
        <v>1</v>
      </c>
      <c r="R347" s="24">
        <v>0</v>
      </c>
      <c r="S347" s="24">
        <v>0</v>
      </c>
      <c r="T347" s="24">
        <v>0</v>
      </c>
      <c r="U347" s="24">
        <v>0</v>
      </c>
      <c r="V347" s="24">
        <v>1</v>
      </c>
    </row>
    <row r="348" spans="1:22" ht="21" customHeight="1" x14ac:dyDescent="0.15">
      <c r="A348" s="2" t="str">
        <f ca="1">input_498010!A$2</f>
        <v>498010</v>
      </c>
      <c r="B348" s="1">
        <v>620</v>
      </c>
      <c r="C348" s="7" t="str">
        <f t="shared" si="35"/>
        <v>PremiumSSS5R3less</v>
      </c>
      <c r="D348" s="89" t="str">
        <f t="shared" si="36"/>
        <v>PremiumSSS</v>
      </c>
      <c r="E348" s="7" t="str">
        <f>IF(COUNTIF('R6追加前'!A:A,B348)=0,IF(OR(I348="PremiumSS",I348="PremiumSSw"),"R5only","R3less"),"")</f>
        <v>R3less</v>
      </c>
      <c r="F348" s="7" t="str">
        <f>IF(COUNTIF('R6開放'!A:A,B348)&gt;0,"R6release","")</f>
        <v/>
      </c>
      <c r="G348" s="7"/>
      <c r="H348" s="7" t="str">
        <f>VLOOKUP(B348,[1]characters!$A:$C,3,FALSE)</f>
        <v>奇跡の調和 メビウス</v>
      </c>
      <c r="I348" s="7" t="str">
        <f>VLOOKUP(B348,[1]characters!$A:$J,10,FALSE)</f>
        <v>PremiumSSS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balance</v>
      </c>
      <c r="M348" s="7" t="str">
        <f>VLOOKUP(B348,[1]characters!$A:$M,13,FALSE)</f>
        <v>human</v>
      </c>
      <c r="N348" s="7" t="str">
        <f>VLOOKUP(B348,[1]characters!$A:$G,7,FALSE)</f>
        <v>女性</v>
      </c>
      <c r="O348" s="38">
        <f>IFERROR(VLOOKUP(B348,input_498010!L:R,7,FALSE),VLOOKUP(tables_498010!C348,input_498010!A:H,8,FALSE))</f>
        <v>114680</v>
      </c>
      <c r="P348" s="39">
        <f t="shared" ca="1" si="37"/>
        <v>9.9999999999878203E-4</v>
      </c>
      <c r="Q348" s="24">
        <v>1</v>
      </c>
      <c r="R348" s="24">
        <v>0</v>
      </c>
      <c r="S348" s="24">
        <v>0</v>
      </c>
      <c r="T348" s="24">
        <v>0</v>
      </c>
      <c r="U348" s="24">
        <v>0</v>
      </c>
      <c r="V348" s="24">
        <v>1</v>
      </c>
    </row>
    <row r="349" spans="1:22" ht="21" customHeight="1" x14ac:dyDescent="0.15">
      <c r="A349" s="2" t="str">
        <f ca="1">input_498010!A$2</f>
        <v>498010</v>
      </c>
      <c r="B349" s="1">
        <v>880</v>
      </c>
      <c r="C349" s="7" t="str">
        <f t="shared" si="35"/>
        <v>PremiumSSS5R3less</v>
      </c>
      <c r="D349" s="89" t="str">
        <f t="shared" si="36"/>
        <v>PremiumSSS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ハーシェル</v>
      </c>
      <c r="I349" s="7" t="str">
        <f>VLOOKUP(B349,[1]characters!$A:$J,10,FALSE)</f>
        <v>PremiumSSS</v>
      </c>
      <c r="J349" s="7">
        <f>VLOOKUP(B349,[1]characters!$A:$I,9,FALSE)</f>
        <v>5</v>
      </c>
      <c r="K349" s="7" t="str">
        <f>VLOOKUP(B349,[1]characters!$A:$H,8,FALSE)</f>
        <v>yellow</v>
      </c>
      <c r="L349" s="7" t="str">
        <f>VLOOKUP(B349,[1]characters!$A:$K,11,FALSE)</f>
        <v>heal</v>
      </c>
      <c r="M349" s="7" t="str">
        <f>VLOOKUP(B349,[1]characters!$A:$M,13,FALSE)</f>
        <v>academia</v>
      </c>
      <c r="N349" s="7" t="str">
        <f>VLOOKUP(B349,[1]characters!$A:$G,7,FALSE)</f>
        <v>男性</v>
      </c>
      <c r="O349" s="38">
        <f>IFERROR(VLOOKUP(B349,input_498010!L:R,7,FALSE),VLOOKUP(tables_498010!C349,input_498010!A:H,8,FALSE))</f>
        <v>229360</v>
      </c>
      <c r="P349" s="39">
        <f t="shared" ca="1" si="37"/>
        <v>1.9999999999975641E-3</v>
      </c>
      <c r="Q349" s="24">
        <v>1</v>
      </c>
      <c r="R349" s="24">
        <v>0</v>
      </c>
      <c r="S349" s="24">
        <v>0</v>
      </c>
      <c r="T349" s="24">
        <v>0</v>
      </c>
      <c r="U349" s="24">
        <v>0</v>
      </c>
      <c r="V349" s="24">
        <v>1</v>
      </c>
    </row>
    <row r="350" spans="1:22" ht="21" customHeight="1" x14ac:dyDescent="0.15">
      <c r="A350" s="2" t="str">
        <f ca="1">input_498010!A$2</f>
        <v>498010</v>
      </c>
      <c r="B350" s="1">
        <v>623</v>
      </c>
      <c r="C350" s="7" t="str">
        <f t="shared" si="35"/>
        <v>PremiumSSS5R3less</v>
      </c>
      <c r="D350" s="89" t="str">
        <f t="shared" si="36"/>
        <v>PremiumSSS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フェルマー</v>
      </c>
      <c r="I350" s="7" t="str">
        <f>VLOOKUP(B350,[1]characters!$A:$J,10,FALSE)</f>
        <v>PremiumSSS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attack</v>
      </c>
      <c r="M350" s="7" t="str">
        <f>VLOOKUP(B350,[1]characters!$A:$M,13,FALSE)</f>
        <v>academia</v>
      </c>
      <c r="N350" s="7" t="str">
        <f>VLOOKUP(B350,[1]characters!$A:$G,7,FALSE)</f>
        <v>女性</v>
      </c>
      <c r="O350" s="38">
        <f>IFERROR(VLOOKUP(B350,input_498010!L:R,7,FALSE),VLOOKUP(tables_498010!C350,input_498010!A:H,8,FALSE))</f>
        <v>229360</v>
      </c>
      <c r="P350" s="39">
        <f t="shared" ca="1" si="37"/>
        <v>1.9999999999975641E-3</v>
      </c>
      <c r="Q350" s="24">
        <v>1</v>
      </c>
      <c r="R350" s="24">
        <v>0</v>
      </c>
      <c r="S350" s="24">
        <v>0</v>
      </c>
      <c r="T350" s="24">
        <v>0</v>
      </c>
      <c r="U350" s="24">
        <v>0</v>
      </c>
      <c r="V350" s="24">
        <v>1</v>
      </c>
    </row>
    <row r="351" spans="1:22" ht="21" customHeight="1" x14ac:dyDescent="0.15">
      <c r="A351" s="2" t="str">
        <f ca="1">input_498010!A$2</f>
        <v>498010</v>
      </c>
      <c r="B351" s="53">
        <v>972</v>
      </c>
      <c r="C351" s="7" t="str">
        <f t="shared" si="35"/>
        <v>PremiumSSS5R3less</v>
      </c>
      <c r="D351" s="89" t="str">
        <f t="shared" si="36"/>
        <v>PremiumSSS</v>
      </c>
      <c r="E351" s="7" t="str">
        <f>IF(COUNTIF('R6追加前'!A:A,B351)=0,IF(OR(I351="PremiumSS",I351="PremiumSSw"),"R5only","R3less"),"")</f>
        <v>R3less</v>
      </c>
      <c r="F351" s="7" t="str">
        <f>IF(COUNTIF('R6開放'!A:A,B351)&gt;0,"R6release","")</f>
        <v/>
      </c>
      <c r="G351" s="7"/>
      <c r="H351" s="7" t="str">
        <f>VLOOKUP(B351,[1]characters!$A:$C,3,FALSE)</f>
        <v>コーシー</v>
      </c>
      <c r="I351" s="7" t="str">
        <f>VLOOKUP(B351,[1]characters!$A:$J,10,FALSE)</f>
        <v>PremiumSSS</v>
      </c>
      <c r="J351" s="7">
        <f>VLOOKUP(B351,[1]characters!$A:$I,9,FALSE)</f>
        <v>5</v>
      </c>
      <c r="K351" s="7" t="str">
        <f>VLOOKUP(B351,[1]characters!$A:$H,8,FALSE)</f>
        <v>red</v>
      </c>
      <c r="L351" s="7" t="str">
        <f>VLOOKUP(B351,[1]characters!$A:$K,11,FALSE)</f>
        <v>attack</v>
      </c>
      <c r="M351" s="7" t="str">
        <f>VLOOKUP(B351,[1]characters!$A:$M,13,FALSE)</f>
        <v>academia</v>
      </c>
      <c r="N351" s="7" t="str">
        <f>VLOOKUP(B351,[1]characters!$A:$G,7,FALSE)</f>
        <v>男性</v>
      </c>
      <c r="O351" s="38">
        <f>IFERROR(VLOOKUP(B351,input_498010!L:R,7,FALSE),VLOOKUP(tables_498010!C351,input_498010!A:H,8,FALSE))</f>
        <v>229360</v>
      </c>
      <c r="P351" s="39">
        <f t="shared" ca="1" si="37"/>
        <v>1.9999999999975641E-3</v>
      </c>
      <c r="Q351" s="24">
        <v>1</v>
      </c>
      <c r="R351" s="24">
        <v>0</v>
      </c>
      <c r="S351" s="24">
        <v>0</v>
      </c>
      <c r="T351" s="24">
        <v>0</v>
      </c>
      <c r="U351" s="24">
        <v>0</v>
      </c>
      <c r="V351" s="24">
        <v>1</v>
      </c>
    </row>
  </sheetData>
  <autoFilter ref="A1:V294"/>
  <phoneticPr fontId="16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>
    <tabColor theme="5"/>
  </sheetPr>
  <dimension ref="A1:V49"/>
  <sheetViews>
    <sheetView workbookViewId="0">
      <selection activeCell="Q6" sqref="Q6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1" t="s">
        <v>66</v>
      </c>
      <c r="B1" s="41"/>
      <c r="L1" s="31" t="s">
        <v>45</v>
      </c>
      <c r="M1" s="31"/>
      <c r="U1" t="s">
        <v>45</v>
      </c>
    </row>
    <row r="2" spans="1:22" x14ac:dyDescent="0.15">
      <c r="A2" t="str">
        <f ca="1">RIGHT(RIGHT(CELL("filename",A2),LEN(CELL("filename",A2))-FIND("]",CELL("filename",A2))),6)</f>
        <v>498101</v>
      </c>
      <c r="L2" s="26" t="s">
        <v>1</v>
      </c>
      <c r="M2" s="30" t="s">
        <v>49</v>
      </c>
      <c r="N2" s="26" t="s">
        <v>47</v>
      </c>
      <c r="O2" s="30" t="s">
        <v>50</v>
      </c>
      <c r="P2" s="30" t="s">
        <v>51</v>
      </c>
      <c r="Q2" s="30" t="s">
        <v>48</v>
      </c>
      <c r="R2" s="37" t="s">
        <v>57</v>
      </c>
      <c r="U2" s="26" t="s">
        <v>172</v>
      </c>
      <c r="V2" s="47">
        <f t="shared" ref="V2:V16" si="0">SUMIF(Q:Q,U2,N:N)</f>
        <v>0</v>
      </c>
    </row>
    <row r="3" spans="1:22" x14ac:dyDescent="0.15">
      <c r="H3" s="66" t="s">
        <v>193</v>
      </c>
      <c r="L3" s="1">
        <v>953</v>
      </c>
      <c r="M3" s="30" t="str">
        <f>VLOOKUP(L3,[1]characters!$A:$C,3,FALSE)</f>
        <v>ハイゼンベルク</v>
      </c>
      <c r="N3" s="95">
        <v>2E-3</v>
      </c>
      <c r="O3" s="30">
        <f>VLOOKUP(L3,[1]characters!$A:$I,9,FALSE)</f>
        <v>5</v>
      </c>
      <c r="P3" s="30" t="str">
        <f>VLOOKUP(L3,[1]characters!$A:$J,10,FALSE)</f>
        <v>PremiumSSS</v>
      </c>
      <c r="Q3" s="30" t="str">
        <f>VLOOKUP(L3,tables_498101!B:C,2,FALSE)</f>
        <v>PremiumSSS5R3less</v>
      </c>
      <c r="R3" s="55">
        <f t="shared" ref="R3:R20" si="1">N3*A$36</f>
        <v>229360</v>
      </c>
      <c r="S3">
        <v>190</v>
      </c>
      <c r="U3" s="26" t="s">
        <v>173</v>
      </c>
      <c r="V3" s="47">
        <f t="shared" si="0"/>
        <v>0</v>
      </c>
    </row>
    <row r="4" spans="1:22" x14ac:dyDescent="0.15">
      <c r="A4" s="27" t="s">
        <v>37</v>
      </c>
      <c r="B4" s="27"/>
      <c r="D4" t="s">
        <v>182</v>
      </c>
      <c r="F4" t="s">
        <v>185</v>
      </c>
      <c r="H4" t="s">
        <v>191</v>
      </c>
      <c r="I4" t="s">
        <v>192</v>
      </c>
      <c r="L4" s="1">
        <v>619</v>
      </c>
      <c r="M4" s="30" t="str">
        <f>VLOOKUP(L4,[1]characters!$A:$C,3,FALSE)</f>
        <v>メビウス</v>
      </c>
      <c r="N4" s="95">
        <v>1E-3</v>
      </c>
      <c r="O4" s="30">
        <f>VLOOKUP(L4,[1]characters!$A:$I,9,FALSE)</f>
        <v>4</v>
      </c>
      <c r="P4" s="30" t="str">
        <f>VLOOKUP(L4,[1]characters!$A:$J,10,FALSE)</f>
        <v>PremiumSSS</v>
      </c>
      <c r="Q4" s="30" t="str">
        <f>VLOOKUP(L4,tables_498101!B:C,2,FALSE)</f>
        <v>PremiumSSS4R3less</v>
      </c>
      <c r="R4" s="55">
        <f t="shared" si="1"/>
        <v>114680</v>
      </c>
      <c r="S4">
        <v>191</v>
      </c>
      <c r="U4" s="26" t="s">
        <v>79</v>
      </c>
      <c r="V4" s="47">
        <f t="shared" si="0"/>
        <v>0</v>
      </c>
    </row>
    <row r="5" spans="1:22" x14ac:dyDescent="0.15">
      <c r="A5" s="26" t="s">
        <v>52</v>
      </c>
      <c r="B5" s="65">
        <v>0</v>
      </c>
      <c r="D5" t="s">
        <v>183</v>
      </c>
      <c r="E5" s="36">
        <f>(B11-H5)/(F5-I5)</f>
        <v>6.5573770491803279E-4</v>
      </c>
      <c r="F5">
        <f>(COUNTIF(tables_498101!C:C,input_498101!A28)+COUNTIF(tables_498101!C:C,input_498101!A29))</f>
        <v>66</v>
      </c>
      <c r="H5" s="77">
        <v>0.01</v>
      </c>
      <c r="I5" s="25">
        <v>5</v>
      </c>
      <c r="L5" s="1">
        <v>620</v>
      </c>
      <c r="M5" s="30" t="str">
        <f>VLOOKUP(L5,[1]characters!$A:$C,3,FALSE)</f>
        <v>奇跡の調和 メビウス</v>
      </c>
      <c r="N5" s="95">
        <v>1E-3</v>
      </c>
      <c r="O5" s="30">
        <f>VLOOKUP(L5,[1]characters!$A:$I,9,FALSE)</f>
        <v>5</v>
      </c>
      <c r="P5" s="30" t="str">
        <f>VLOOKUP(L5,[1]characters!$A:$J,10,FALSE)</f>
        <v>PremiumSSS</v>
      </c>
      <c r="Q5" s="30" t="str">
        <f>VLOOKUP(L5,tables_498101!B:C,2,FALSE)</f>
        <v>PremiumSSS5R3less</v>
      </c>
      <c r="R5" s="55">
        <f t="shared" si="1"/>
        <v>114680</v>
      </c>
      <c r="S5">
        <v>192</v>
      </c>
      <c r="U5" s="26" t="s">
        <v>80</v>
      </c>
      <c r="V5" s="47">
        <f t="shared" si="0"/>
        <v>0</v>
      </c>
    </row>
    <row r="6" spans="1:22" x14ac:dyDescent="0.15">
      <c r="A6" s="26" t="s">
        <v>53</v>
      </c>
      <c r="B6" s="65">
        <v>0.9</v>
      </c>
      <c r="D6" t="s">
        <v>184</v>
      </c>
      <c r="E6" s="69">
        <f>(B10-H6)/(F6-I6)</f>
        <v>1.0106382978723403E-2</v>
      </c>
      <c r="F6">
        <f>(COUNTIF(tables_498101!C:C,input_498101!A25)+COUNTIF(tables_498101!C:C,input_498101!A18)+COUNTIF(tables_498101!C:C,input_498101!A20)+COUNTIF(tables_498101!C:C,input_498101!A22))</f>
        <v>94</v>
      </c>
      <c r="H6" s="81">
        <v>0</v>
      </c>
      <c r="I6" s="25">
        <v>0</v>
      </c>
      <c r="L6" s="1">
        <v>880</v>
      </c>
      <c r="M6" s="30" t="str">
        <f>VLOOKUP(L6,[1]characters!$A:$C,3,FALSE)</f>
        <v>ハーシェル</v>
      </c>
      <c r="N6" s="95">
        <v>2E-3</v>
      </c>
      <c r="O6" s="30">
        <f>VLOOKUP(L6,[1]characters!$A:$I,9,FALSE)</f>
        <v>5</v>
      </c>
      <c r="P6" s="30" t="str">
        <f>VLOOKUP(L6,[1]characters!$A:$J,10,FALSE)</f>
        <v>PremiumSSS</v>
      </c>
      <c r="Q6" s="30" t="str">
        <f>VLOOKUP(L6,tables_498101!B:C,2,FALSE)</f>
        <v>PremiumSSS5R3less</v>
      </c>
      <c r="R6" s="55">
        <f t="shared" si="1"/>
        <v>229360</v>
      </c>
      <c r="S6">
        <v>596</v>
      </c>
      <c r="U6" s="26" t="s">
        <v>81</v>
      </c>
      <c r="V6" s="47">
        <f t="shared" si="0"/>
        <v>0</v>
      </c>
    </row>
    <row r="7" spans="1:22" x14ac:dyDescent="0.15">
      <c r="A7" s="26" t="s">
        <v>54</v>
      </c>
      <c r="B7" s="65">
        <v>0.1</v>
      </c>
      <c r="L7" s="1">
        <v>623</v>
      </c>
      <c r="M7" s="30" t="str">
        <f>VLOOKUP(L7,[1]characters!$A:$C,3,FALSE)</f>
        <v>フェルマー</v>
      </c>
      <c r="N7" s="95">
        <v>2E-3</v>
      </c>
      <c r="O7" s="30">
        <f>VLOOKUP(L7,[1]characters!$A:$I,9,FALSE)</f>
        <v>5</v>
      </c>
      <c r="P7" s="30" t="str">
        <f>VLOOKUP(L7,[1]characters!$A:$J,10,FALSE)</f>
        <v>PremiumSSS</v>
      </c>
      <c r="Q7" s="30" t="str">
        <f>VLOOKUP(L7,tables_498101!B:C,2,FALSE)</f>
        <v>PremiumSSS5R3less</v>
      </c>
      <c r="R7" s="55">
        <f t="shared" si="1"/>
        <v>229360</v>
      </c>
      <c r="S7">
        <v>597</v>
      </c>
      <c r="U7" s="26" t="s">
        <v>178</v>
      </c>
      <c r="V7" s="47">
        <f t="shared" si="0"/>
        <v>0</v>
      </c>
    </row>
    <row r="8" spans="1:22" x14ac:dyDescent="0.15">
      <c r="A8" s="50"/>
      <c r="B8" s="64"/>
      <c r="E8" s="69"/>
      <c r="L8" s="53">
        <v>972</v>
      </c>
      <c r="M8" s="30" t="str">
        <f>VLOOKUP(L8,[1]characters!$A:$C,3,FALSE)</f>
        <v>コーシー</v>
      </c>
      <c r="N8" s="95">
        <v>2E-3</v>
      </c>
      <c r="O8" s="30">
        <f>VLOOKUP(L8,[1]characters!$A:$I,9,FALSE)</f>
        <v>5</v>
      </c>
      <c r="P8" s="30" t="str">
        <f>VLOOKUP(L8,[1]characters!$A:$J,10,FALSE)</f>
        <v>PremiumSSS</v>
      </c>
      <c r="Q8" s="30" t="str">
        <f>VLOOKUP(L8,tables_498101!B:C,2,FALSE)</f>
        <v>PremiumSSS5R3less</v>
      </c>
      <c r="R8" s="55">
        <f t="shared" si="1"/>
        <v>229360</v>
      </c>
      <c r="S8">
        <v>598</v>
      </c>
      <c r="U8" s="26" t="s">
        <v>179</v>
      </c>
      <c r="V8" s="47">
        <f t="shared" si="0"/>
        <v>0</v>
      </c>
    </row>
    <row r="9" spans="1:22" x14ac:dyDescent="0.15">
      <c r="A9" s="28" t="s">
        <v>38</v>
      </c>
      <c r="B9" s="28"/>
      <c r="L9" s="80"/>
      <c r="M9" s="30" t="e">
        <f>VLOOKUP(L9,[1]characters!$A:$C,3,FALSE)</f>
        <v>#N/A</v>
      </c>
      <c r="N9" s="56"/>
      <c r="O9" s="30" t="e">
        <f>VLOOKUP(L9,[1]characters!$A:$I,9,FALSE)</f>
        <v>#N/A</v>
      </c>
      <c r="P9" s="30" t="e">
        <f>VLOOKUP(L9,[1]characters!$A:$J,10,FALSE)</f>
        <v>#N/A</v>
      </c>
      <c r="Q9" s="30" t="e">
        <f>VLOOKUP(L9,tables_498101!B:C,2,FALSE)</f>
        <v>#N/A</v>
      </c>
      <c r="R9" s="55">
        <f t="shared" si="1"/>
        <v>0</v>
      </c>
      <c r="S9">
        <v>390</v>
      </c>
      <c r="U9" s="26" t="s">
        <v>175</v>
      </c>
      <c r="V9" s="47">
        <f t="shared" si="0"/>
        <v>0</v>
      </c>
    </row>
    <row r="10" spans="1:22" x14ac:dyDescent="0.15">
      <c r="A10" s="26" t="s">
        <v>78</v>
      </c>
      <c r="B10" s="65">
        <f>1-B11-B12</f>
        <v>0.95</v>
      </c>
      <c r="C10" t="s">
        <v>190</v>
      </c>
      <c r="L10" s="80"/>
      <c r="M10" s="30" t="e">
        <f>VLOOKUP(L10,[1]characters!$A:$C,3,FALSE)</f>
        <v>#N/A</v>
      </c>
      <c r="N10" s="56"/>
      <c r="O10" s="30" t="e">
        <f>VLOOKUP(L10,[1]characters!$A:$I,9,FALSE)</f>
        <v>#N/A</v>
      </c>
      <c r="P10" s="30" t="e">
        <f>VLOOKUP(L10,[1]characters!$A:$J,10,FALSE)</f>
        <v>#N/A</v>
      </c>
      <c r="Q10" s="30" t="e">
        <f>VLOOKUP(L10,tables_498101!B:C,2,FALSE)</f>
        <v>#N/A</v>
      </c>
      <c r="R10" s="55">
        <f t="shared" si="1"/>
        <v>0</v>
      </c>
      <c r="S10">
        <v>391</v>
      </c>
      <c r="U10" s="26" t="s">
        <v>176</v>
      </c>
      <c r="V10" s="47">
        <f t="shared" si="0"/>
        <v>0</v>
      </c>
    </row>
    <row r="11" spans="1:22" x14ac:dyDescent="0.15">
      <c r="A11" s="26" t="s">
        <v>40</v>
      </c>
      <c r="B11" s="70">
        <v>0.05</v>
      </c>
      <c r="C11" t="s">
        <v>223</v>
      </c>
      <c r="M11" s="30" t="e">
        <f>VLOOKUP(L11,[1]characters!$A:$C,3,FALSE)</f>
        <v>#N/A</v>
      </c>
      <c r="N11" s="56"/>
      <c r="O11" s="30" t="e">
        <f>VLOOKUP(L11,[1]characters!$A:$I,9,FALSE)</f>
        <v>#N/A</v>
      </c>
      <c r="P11" s="30" t="e">
        <f>VLOOKUP(L11,[1]characters!$A:$J,10,FALSE)</f>
        <v>#N/A</v>
      </c>
      <c r="Q11" s="30" t="e">
        <f>VLOOKUP(L11,tables_498101!B:C,2,FALSE)</f>
        <v>#N/A</v>
      </c>
      <c r="R11" s="55">
        <f t="shared" si="1"/>
        <v>0</v>
      </c>
      <c r="S11">
        <v>811</v>
      </c>
      <c r="U11" s="26" t="s">
        <v>177</v>
      </c>
      <c r="V11" s="47">
        <f t="shared" si="0"/>
        <v>0</v>
      </c>
    </row>
    <row r="12" spans="1:22" x14ac:dyDescent="0.15">
      <c r="A12" s="26" t="s">
        <v>39</v>
      </c>
      <c r="B12" s="65">
        <v>0</v>
      </c>
      <c r="M12" s="30" t="e">
        <f>VLOOKUP(L12,[1]characters!$A:$C,3,FALSE)</f>
        <v>#N/A</v>
      </c>
      <c r="N12" s="56"/>
      <c r="O12" s="30" t="e">
        <f>VLOOKUP(L12,[1]characters!$A:$I,9,FALSE)</f>
        <v>#N/A</v>
      </c>
      <c r="P12" s="30" t="e">
        <f>VLOOKUP(L12,[1]characters!$A:$J,10,FALSE)</f>
        <v>#N/A</v>
      </c>
      <c r="Q12" s="30" t="e">
        <f>VLOOKUP(L12,tables_498101!B:C,2,FALSE)</f>
        <v>#N/A</v>
      </c>
      <c r="R12" s="55">
        <f t="shared" si="1"/>
        <v>0</v>
      </c>
      <c r="S12">
        <v>496</v>
      </c>
      <c r="U12" s="26" t="s">
        <v>88</v>
      </c>
      <c r="V12" s="47">
        <f t="shared" si="0"/>
        <v>0</v>
      </c>
    </row>
    <row r="13" spans="1:22" x14ac:dyDescent="0.15">
      <c r="M13" s="30" t="e">
        <f>VLOOKUP(L13,[1]characters!$A:$C,3,FALSE)</f>
        <v>#N/A</v>
      </c>
      <c r="N13" s="56"/>
      <c r="O13" s="30" t="e">
        <f>VLOOKUP(L13,[1]characters!$A:$I,9,FALSE)</f>
        <v>#N/A</v>
      </c>
      <c r="P13" s="30" t="e">
        <f>VLOOKUP(L13,[1]characters!$A:$J,10,FALSE)</f>
        <v>#N/A</v>
      </c>
      <c r="Q13" s="30" t="e">
        <f>VLOOKUP(L13,tables_498101!B:C,2,FALSE)</f>
        <v>#N/A</v>
      </c>
      <c r="R13" s="55">
        <f t="shared" si="1"/>
        <v>0</v>
      </c>
      <c r="S13">
        <v>497</v>
      </c>
      <c r="U13" s="26" t="s">
        <v>89</v>
      </c>
      <c r="V13" s="47">
        <f t="shared" si="0"/>
        <v>0</v>
      </c>
    </row>
    <row r="14" spans="1:22" x14ac:dyDescent="0.15">
      <c r="M14" s="30" t="e">
        <f>VLOOKUP(L14,[1]characters!$A:$C,3,FALSE)</f>
        <v>#N/A</v>
      </c>
      <c r="N14" s="56"/>
      <c r="O14" s="30" t="e">
        <f>VLOOKUP(L14,[1]characters!$A:$I,9,FALSE)</f>
        <v>#N/A</v>
      </c>
      <c r="P14" s="30" t="e">
        <f>VLOOKUP(L14,[1]characters!$A:$J,10,FALSE)</f>
        <v>#N/A</v>
      </c>
      <c r="Q14" s="30" t="e">
        <f>VLOOKUP(L14,tables_498101!B:C,2,FALSE)</f>
        <v>#N/A</v>
      </c>
      <c r="R14" s="55">
        <f t="shared" si="1"/>
        <v>0</v>
      </c>
      <c r="S14">
        <v>498</v>
      </c>
      <c r="U14" s="26" t="s">
        <v>181</v>
      </c>
      <c r="V14" s="47">
        <f t="shared" si="0"/>
        <v>0</v>
      </c>
    </row>
    <row r="15" spans="1:22" x14ac:dyDescent="0.15">
      <c r="A15" s="29" t="s">
        <v>41</v>
      </c>
      <c r="B15" s="29"/>
      <c r="C15" t="s">
        <v>67</v>
      </c>
      <c r="M15" s="30" t="e">
        <f>VLOOKUP(L15,[1]characters!$A:$C,3,FALSE)</f>
        <v>#N/A</v>
      </c>
      <c r="N15" s="56"/>
      <c r="O15" s="30" t="e">
        <f>VLOOKUP(L15,[1]characters!$A:$I,9,FALSE)</f>
        <v>#N/A</v>
      </c>
      <c r="P15" s="30" t="e">
        <f>VLOOKUP(L15,[1]characters!$A:$J,10,FALSE)</f>
        <v>#N/A</v>
      </c>
      <c r="Q15" s="30" t="e">
        <f>VLOOKUP(L15,tables_498101!B:C,2,FALSE)</f>
        <v>#N/A</v>
      </c>
      <c r="R15" s="55">
        <f t="shared" si="1"/>
        <v>0</v>
      </c>
      <c r="S15">
        <v>395</v>
      </c>
      <c r="U15" s="26" t="s">
        <v>180</v>
      </c>
      <c r="V15" s="47">
        <f t="shared" si="0"/>
        <v>0</v>
      </c>
    </row>
    <row r="16" spans="1:22" x14ac:dyDescent="0.15">
      <c r="A16" s="26" t="s">
        <v>44</v>
      </c>
      <c r="B16" s="26" t="s">
        <v>174</v>
      </c>
      <c r="C16" s="30" t="s">
        <v>45</v>
      </c>
      <c r="D16" s="30" t="s">
        <v>46</v>
      </c>
      <c r="E16" t="s">
        <v>56</v>
      </c>
      <c r="F16" t="s">
        <v>55</v>
      </c>
      <c r="G16" t="s">
        <v>58</v>
      </c>
      <c r="H16" t="s">
        <v>194</v>
      </c>
      <c r="I16" t="s">
        <v>59</v>
      </c>
      <c r="J16" t="s">
        <v>61</v>
      </c>
      <c r="M16" s="30" t="e">
        <f>VLOOKUP(L16,[1]characters!$A:$C,3,FALSE)</f>
        <v>#N/A</v>
      </c>
      <c r="N16" s="56"/>
      <c r="O16" s="30" t="e">
        <f>VLOOKUP(L16,[1]characters!$A:$I,9,FALSE)</f>
        <v>#N/A</v>
      </c>
      <c r="P16" s="30" t="e">
        <f>VLOOKUP(L16,[1]characters!$A:$J,10,FALSE)</f>
        <v>#N/A</v>
      </c>
      <c r="Q16" s="30" t="e">
        <f>VLOOKUP(L16,tables_498101!B:C,2,FALSE)</f>
        <v>#N/A</v>
      </c>
      <c r="R16" s="55">
        <f t="shared" si="1"/>
        <v>0</v>
      </c>
      <c r="S16">
        <v>396</v>
      </c>
      <c r="U16" s="26" t="s">
        <v>90</v>
      </c>
      <c r="V16" s="47">
        <f t="shared" si="0"/>
        <v>0</v>
      </c>
    </row>
    <row r="17" spans="1:19" x14ac:dyDescent="0.15">
      <c r="A17" s="26" t="s">
        <v>172</v>
      </c>
      <c r="B17" s="75">
        <f>B$5-B19-B24</f>
        <v>0</v>
      </c>
      <c r="C17" s="78">
        <f t="shared" ref="C17:C31" si="2">SUMIF(Q:Q,A17,N:N)</f>
        <v>0</v>
      </c>
      <c r="D17" s="67">
        <f t="shared" ref="D17:D32" si="3">B17-C17</f>
        <v>0</v>
      </c>
      <c r="E17">
        <f>COUNTIF(tables_498101!C:C,input_498101!A17)-COUNTIF(Q:Q,A17)</f>
        <v>20</v>
      </c>
      <c r="F17" s="36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0" t="e">
        <f>VLOOKUP(L17,[1]characters!$A:$C,3,FALSE)</f>
        <v>#N/A</v>
      </c>
      <c r="N17" s="56"/>
      <c r="O17" s="30" t="e">
        <f>VLOOKUP(L17,[1]characters!$A:$I,9,FALSE)</f>
        <v>#N/A</v>
      </c>
      <c r="P17" s="30" t="e">
        <f>VLOOKUP(L17,[1]characters!$A:$J,10,FALSE)</f>
        <v>#N/A</v>
      </c>
      <c r="Q17" s="30" t="e">
        <f>VLOOKUP(L17,tables_498101!B:C,2,FALSE)</f>
        <v>#N/A</v>
      </c>
      <c r="R17" s="55">
        <f t="shared" si="1"/>
        <v>0</v>
      </c>
      <c r="S17">
        <v>397</v>
      </c>
    </row>
    <row r="18" spans="1:19" x14ac:dyDescent="0.15">
      <c r="A18" s="26" t="s">
        <v>173</v>
      </c>
      <c r="B18" s="49">
        <f>E$6*E18-B17+E34+0.02</f>
        <v>0.23545413323927572</v>
      </c>
      <c r="C18" s="78">
        <f t="shared" si="2"/>
        <v>0</v>
      </c>
      <c r="D18" s="67">
        <f t="shared" si="3"/>
        <v>0.23545413323927572</v>
      </c>
      <c r="E18">
        <f>COUNTIF(tables_498101!C:C,input_498101!A18)-COUNTIF(Q:Q,A18)</f>
        <v>20</v>
      </c>
      <c r="F18" s="36">
        <f>IFERROR(B18/E18,0)</f>
        <v>1.1772706661963787E-2</v>
      </c>
      <c r="G18">
        <f t="shared" si="4"/>
        <v>27001879.999880139</v>
      </c>
      <c r="H18">
        <f t="shared" si="5"/>
        <v>1350093.9999899999</v>
      </c>
      <c r="I18">
        <f t="shared" si="6"/>
        <v>0.99998999992385507</v>
      </c>
      <c r="J18">
        <f t="shared" si="7"/>
        <v>1.0000100001761474</v>
      </c>
      <c r="M18" s="30" t="e">
        <f>VLOOKUP(L18,[1]characters!$A:$C,3,FALSE)</f>
        <v>#N/A</v>
      </c>
      <c r="N18" s="56"/>
      <c r="O18" s="30" t="e">
        <f>VLOOKUP(L18,[1]characters!$A:$I,9,FALSE)</f>
        <v>#N/A</v>
      </c>
      <c r="P18" s="30" t="e">
        <f>VLOOKUP(L18,[1]characters!$A:$J,10,FALSE)</f>
        <v>#N/A</v>
      </c>
      <c r="Q18" s="30" t="e">
        <f>VLOOKUP(L18,tables_498101!B:C,2,FALSE)</f>
        <v>#N/A</v>
      </c>
      <c r="R18" s="55">
        <f t="shared" si="1"/>
        <v>0</v>
      </c>
      <c r="S18">
        <v>324</v>
      </c>
    </row>
    <row r="19" spans="1:19" x14ac:dyDescent="0.15">
      <c r="A19" s="26" t="s">
        <v>79</v>
      </c>
      <c r="B19" s="49">
        <f>E$6*E19*B$5</f>
        <v>0</v>
      </c>
      <c r="C19" s="78">
        <f t="shared" si="2"/>
        <v>0</v>
      </c>
      <c r="D19" s="67">
        <f t="shared" si="3"/>
        <v>0</v>
      </c>
      <c r="E19">
        <f>COUNTIF(tables_498101!C:C,input_498101!A19)-COUNTIF(Q:Q,A19)</f>
        <v>52</v>
      </c>
      <c r="F19" s="36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0" t="e">
        <f>VLOOKUP(L19,[1]characters!$A:$C,3,FALSE)</f>
        <v>#N/A</v>
      </c>
      <c r="N19" s="56"/>
      <c r="O19" s="30" t="e">
        <f>VLOOKUP(L19,[1]characters!$A:$I,9,FALSE)</f>
        <v>#N/A</v>
      </c>
      <c r="P19" s="30" t="e">
        <f>VLOOKUP(L19,[1]characters!$A:$J,10,FALSE)</f>
        <v>#N/A</v>
      </c>
      <c r="Q19" s="30" t="e">
        <f>VLOOKUP(L19,tables_498101!B:C,2,FALSE)</f>
        <v>#N/A</v>
      </c>
      <c r="R19" s="55">
        <f t="shared" si="1"/>
        <v>0</v>
      </c>
      <c r="S19">
        <v>325</v>
      </c>
    </row>
    <row r="20" spans="1:19" x14ac:dyDescent="0.15">
      <c r="A20" s="26" t="s">
        <v>80</v>
      </c>
      <c r="B20" s="85">
        <f>E$6*E20*B$6-0.03</f>
        <v>0.44297872340425526</v>
      </c>
      <c r="C20" s="78">
        <f t="shared" si="2"/>
        <v>0</v>
      </c>
      <c r="D20" s="67">
        <f t="shared" si="3"/>
        <v>0.44297872340425526</v>
      </c>
      <c r="E20">
        <f>COUNTIF(tables_498101!C:C,input_498101!A20)-COUNTIF(Q:Q,A20)</f>
        <v>52</v>
      </c>
      <c r="F20" s="36">
        <f t="shared" si="8"/>
        <v>8.5188216039279851E-3</v>
      </c>
      <c r="G20">
        <f t="shared" si="4"/>
        <v>50800799.999999993</v>
      </c>
      <c r="H20">
        <f t="shared" si="5"/>
        <v>976938.46154000005</v>
      </c>
      <c r="I20">
        <f t="shared" si="6"/>
        <v>0.4615400000475347</v>
      </c>
      <c r="J20">
        <f t="shared" si="7"/>
        <v>2.1666594442453708</v>
      </c>
      <c r="M20" s="30" t="e">
        <f>VLOOKUP(L20,[1]characters!$A:$C,3,FALSE)</f>
        <v>#N/A</v>
      </c>
      <c r="N20" s="56"/>
      <c r="O20" s="30" t="e">
        <f>VLOOKUP(L20,[1]characters!$A:$I,9,FALSE)</f>
        <v>#N/A</v>
      </c>
      <c r="P20" s="30" t="e">
        <f>VLOOKUP(L20,[1]characters!$A:$J,10,FALSE)</f>
        <v>#N/A</v>
      </c>
      <c r="Q20" s="30" t="e">
        <f>VLOOKUP(L20,tables_498101!B:C,2,FALSE)</f>
        <v>#N/A</v>
      </c>
      <c r="R20" s="55">
        <f t="shared" si="1"/>
        <v>0</v>
      </c>
      <c r="S20">
        <v>809</v>
      </c>
    </row>
    <row r="21" spans="1:19" x14ac:dyDescent="0.15">
      <c r="A21" s="26" t="s">
        <v>81</v>
      </c>
      <c r="B21" s="49">
        <f>B7-B23-B26-B28-B29-E35</f>
        <v>3.9226717823569256E-2</v>
      </c>
      <c r="C21" s="78">
        <f t="shared" si="2"/>
        <v>0</v>
      </c>
      <c r="D21" s="67">
        <f t="shared" si="3"/>
        <v>3.9226717823569256E-2</v>
      </c>
      <c r="E21">
        <f>COUNTIF(tables_498101!C:C,input_498101!A21)-COUNTIF(Q:Q,A21)</f>
        <v>52</v>
      </c>
      <c r="F21" s="36">
        <f t="shared" si="8"/>
        <v>7.5435995814556258E-4</v>
      </c>
      <c r="G21">
        <f t="shared" si="4"/>
        <v>4498520.0000069225</v>
      </c>
      <c r="H21">
        <f t="shared" si="5"/>
        <v>86510</v>
      </c>
      <c r="I21">
        <f t="shared" si="6"/>
        <v>0</v>
      </c>
      <c r="J21">
        <f t="shared" si="7"/>
        <v>1</v>
      </c>
      <c r="L21" s="50"/>
      <c r="M21" s="50"/>
      <c r="N21" s="51"/>
      <c r="O21" s="50"/>
      <c r="P21" s="50"/>
      <c r="Q21" s="50"/>
      <c r="R21" s="52"/>
    </row>
    <row r="22" spans="1:19" x14ac:dyDescent="0.15">
      <c r="A22" s="26" t="s">
        <v>178</v>
      </c>
      <c r="B22" s="68">
        <f>E$6*E22-B23-E36</f>
        <v>0.1676595744680851</v>
      </c>
      <c r="C22" s="78">
        <f t="shared" si="2"/>
        <v>0</v>
      </c>
      <c r="D22" s="67">
        <f t="shared" si="3"/>
        <v>0.1676595744680851</v>
      </c>
      <c r="E22">
        <f>COUNTIF(tables_498101!C:C,input_498101!A22)-COUNTIF(Q:Q,A22)</f>
        <v>18</v>
      </c>
      <c r="F22" s="36">
        <f t="shared" si="8"/>
        <v>9.3144208037825062E-3</v>
      </c>
      <c r="G22">
        <f t="shared" si="4"/>
        <v>19227200</v>
      </c>
      <c r="H22">
        <f t="shared" si="5"/>
        <v>1068177.7777799999</v>
      </c>
      <c r="I22">
        <f t="shared" si="6"/>
        <v>0.77777999988757074</v>
      </c>
      <c r="J22">
        <f t="shared" si="7"/>
        <v>1.285710612441245</v>
      </c>
      <c r="L22" s="50"/>
      <c r="M22" s="50"/>
      <c r="N22" s="51"/>
      <c r="O22" s="50"/>
      <c r="P22" s="50"/>
      <c r="Q22" s="50"/>
      <c r="R22" s="52"/>
    </row>
    <row r="23" spans="1:19" x14ac:dyDescent="0.15">
      <c r="A23" s="26" t="s">
        <v>179</v>
      </c>
      <c r="B23" s="63">
        <f>E23*E6*B7-0.01</f>
        <v>1.4255319148936166E-2</v>
      </c>
      <c r="C23" s="78">
        <f t="shared" si="2"/>
        <v>0</v>
      </c>
      <c r="D23" s="67">
        <f t="shared" si="3"/>
        <v>1.4255319148936166E-2</v>
      </c>
      <c r="E23">
        <f>COUNTIF(tables_498101!C:C,input_498101!A23)-COUNTIF(Q:Q,A23)</f>
        <v>24</v>
      </c>
      <c r="F23" s="36">
        <f t="shared" si="8"/>
        <v>5.9397163120567355E-4</v>
      </c>
      <c r="G23">
        <f t="shared" si="4"/>
        <v>1634799.9999999995</v>
      </c>
      <c r="H23">
        <f t="shared" si="5"/>
        <v>68116.666670000006</v>
      </c>
      <c r="I23">
        <f t="shared" si="6"/>
        <v>0.66667000000597909</v>
      </c>
      <c r="J23">
        <f t="shared" si="7"/>
        <v>1.499992500024047</v>
      </c>
      <c r="L23" s="50"/>
      <c r="M23" s="50"/>
      <c r="N23" s="51"/>
      <c r="O23" s="50"/>
      <c r="P23" s="50"/>
      <c r="Q23" s="50"/>
      <c r="R23" s="52"/>
    </row>
    <row r="24" spans="1:19" x14ac:dyDescent="0.15">
      <c r="A24" s="26" t="s">
        <v>175</v>
      </c>
      <c r="B24" s="49">
        <f>E$6*E24*B$5</f>
        <v>0</v>
      </c>
      <c r="C24" s="78">
        <f t="shared" si="2"/>
        <v>0</v>
      </c>
      <c r="D24" s="67">
        <f t="shared" si="3"/>
        <v>0</v>
      </c>
      <c r="E24">
        <f>COUNTIF(tables_498101!C:C,input_498101!A24)-COUNTIF(Q:Q,A24)</f>
        <v>4</v>
      </c>
      <c r="F24" s="36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0"/>
      <c r="M24" s="50"/>
      <c r="N24" s="51"/>
      <c r="O24" s="50"/>
      <c r="P24" s="50"/>
      <c r="Q24" s="50"/>
      <c r="R24" s="52"/>
    </row>
    <row r="25" spans="1:19" x14ac:dyDescent="0.15">
      <c r="A25" s="26" t="s">
        <v>176</v>
      </c>
      <c r="B25" s="49">
        <f>E$6*B$6*E25</f>
        <v>3.638297872340425E-2</v>
      </c>
      <c r="C25" s="78">
        <f t="shared" si="2"/>
        <v>0</v>
      </c>
      <c r="D25" s="67">
        <f t="shared" si="3"/>
        <v>3.638297872340425E-2</v>
      </c>
      <c r="E25">
        <f>COUNTIF(tables_498101!C:C,input_498101!A25)-COUNTIF(Q:Q,A25)</f>
        <v>4</v>
      </c>
      <c r="F25" s="36">
        <f t="shared" si="8"/>
        <v>9.0957446808510624E-3</v>
      </c>
      <c r="G25">
        <f t="shared" si="4"/>
        <v>4172399.9999999995</v>
      </c>
      <c r="H25">
        <f t="shared" si="5"/>
        <v>1043100</v>
      </c>
      <c r="I25">
        <f t="shared" si="6"/>
        <v>0</v>
      </c>
      <c r="J25">
        <f t="shared" si="7"/>
        <v>1</v>
      </c>
      <c r="L25" s="50"/>
      <c r="M25" s="50"/>
      <c r="N25" s="51"/>
      <c r="O25" s="50"/>
      <c r="P25" s="50"/>
      <c r="Q25" s="50"/>
      <c r="R25" s="52"/>
    </row>
    <row r="26" spans="1:19" x14ac:dyDescent="0.15">
      <c r="A26" s="26" t="s">
        <v>177</v>
      </c>
      <c r="B26" s="49">
        <f>E$6*B$7*E26</f>
        <v>4.0425531914893616E-3</v>
      </c>
      <c r="C26" s="78">
        <f t="shared" si="2"/>
        <v>0</v>
      </c>
      <c r="D26" s="67">
        <f t="shared" si="3"/>
        <v>4.0425531914893616E-3</v>
      </c>
      <c r="E26">
        <f>COUNTIF(tables_498101!C:C,input_498101!A26)-COUNTIF(Q:Q,A26)</f>
        <v>4</v>
      </c>
      <c r="F26" s="36">
        <f t="shared" si="8"/>
        <v>1.0106382978723404E-3</v>
      </c>
      <c r="G26">
        <f t="shared" si="4"/>
        <v>463600</v>
      </c>
      <c r="H26">
        <f t="shared" si="5"/>
        <v>115900</v>
      </c>
      <c r="I26">
        <f t="shared" si="6"/>
        <v>0</v>
      </c>
      <c r="J26">
        <f t="shared" si="7"/>
        <v>1</v>
      </c>
      <c r="L26" s="50"/>
      <c r="M26" s="50"/>
      <c r="N26" s="51"/>
      <c r="O26" s="50"/>
      <c r="P26" s="50"/>
      <c r="Q26" s="50"/>
      <c r="R26" s="52"/>
    </row>
    <row r="27" spans="1:19" x14ac:dyDescent="0.15">
      <c r="A27" s="26" t="s">
        <v>88</v>
      </c>
      <c r="B27" s="49">
        <f>E$5*E27*(B$5+B$6)</f>
        <v>1.6524590163934427E-2</v>
      </c>
      <c r="C27" s="78">
        <f t="shared" si="2"/>
        <v>0</v>
      </c>
      <c r="D27" s="67">
        <f t="shared" si="3"/>
        <v>1.6524590163934427E-2</v>
      </c>
      <c r="E27">
        <f>COUNTIF(tables_498101!C:C,input_498101!A27)-COUNTIF(Q:Q,A27)</f>
        <v>28</v>
      </c>
      <c r="F27" s="36">
        <f>IFERROR(B27/E27,0)</f>
        <v>5.9016393442622953E-4</v>
      </c>
      <c r="G27">
        <f t="shared" si="4"/>
        <v>1895040.0000000002</v>
      </c>
      <c r="H27">
        <f t="shared" si="5"/>
        <v>67680</v>
      </c>
      <c r="I27">
        <f t="shared" si="6"/>
        <v>0</v>
      </c>
      <c r="J27">
        <f t="shared" si="7"/>
        <v>1</v>
      </c>
      <c r="L27" s="50"/>
      <c r="M27" s="50"/>
      <c r="N27" s="51"/>
      <c r="O27" s="50"/>
      <c r="P27" s="50"/>
      <c r="Q27" s="50"/>
      <c r="R27" s="52"/>
    </row>
    <row r="28" spans="1:19" x14ac:dyDescent="0.15">
      <c r="A28" s="26" t="s">
        <v>89</v>
      </c>
      <c r="B28" s="49">
        <f>E$5*E28*B$7</f>
        <v>1.8360655737704918E-3</v>
      </c>
      <c r="C28" s="78">
        <f t="shared" si="2"/>
        <v>0</v>
      </c>
      <c r="D28" s="67">
        <f t="shared" si="3"/>
        <v>1.8360655737704918E-3</v>
      </c>
      <c r="E28">
        <f>COUNTIF(tables_498101!C:C,input_498101!A28)-COUNTIF(Q:Q,A28)</f>
        <v>28</v>
      </c>
      <c r="F28" s="36">
        <f t="shared" si="8"/>
        <v>6.5573770491803284E-5</v>
      </c>
      <c r="G28">
        <f t="shared" si="4"/>
        <v>210560</v>
      </c>
      <c r="H28">
        <f t="shared" si="5"/>
        <v>7520</v>
      </c>
      <c r="I28">
        <f t="shared" si="6"/>
        <v>0</v>
      </c>
      <c r="J28">
        <f t="shared" si="7"/>
        <v>1</v>
      </c>
      <c r="L28" s="50"/>
      <c r="M28" s="50"/>
      <c r="N28" s="51"/>
      <c r="O28" s="50"/>
      <c r="P28" s="50"/>
      <c r="Q28" s="50"/>
      <c r="R28" s="52"/>
    </row>
    <row r="29" spans="1:19" x14ac:dyDescent="0.15">
      <c r="A29" s="26" t="s">
        <v>181</v>
      </c>
      <c r="B29" s="49">
        <f>E$5*E29+G49</f>
        <v>3.1639344262234644E-2</v>
      </c>
      <c r="C29" s="78">
        <f t="shared" si="2"/>
        <v>0</v>
      </c>
      <c r="D29" s="67">
        <f t="shared" si="3"/>
        <v>3.1639344262234644E-2</v>
      </c>
      <c r="E29">
        <f>COUNTIF(tables_498101!C:C,input_498101!A29)-COUNTIF(Q:Q,A29)</f>
        <v>38</v>
      </c>
      <c r="F29" s="36">
        <f t="shared" si="8"/>
        <v>8.3261432269038534E-4</v>
      </c>
      <c r="G29">
        <f t="shared" si="4"/>
        <v>3628399.9999930691</v>
      </c>
      <c r="H29">
        <f t="shared" si="5"/>
        <v>95484.210529999997</v>
      </c>
      <c r="I29">
        <f t="shared" si="6"/>
        <v>0.2105299999966519</v>
      </c>
      <c r="J29">
        <f t="shared" si="7"/>
        <v>4.7499168765302011</v>
      </c>
      <c r="L29" s="50"/>
      <c r="M29" s="50"/>
      <c r="N29" s="51"/>
      <c r="O29" s="50"/>
      <c r="P29" s="50"/>
      <c r="Q29" s="50"/>
      <c r="R29" s="52"/>
    </row>
    <row r="30" spans="1:19" x14ac:dyDescent="0.15">
      <c r="A30" s="26" t="s">
        <v>221</v>
      </c>
      <c r="B30" s="49">
        <f>0</f>
        <v>0</v>
      </c>
      <c r="C30" s="78">
        <f t="shared" si="2"/>
        <v>1E-3</v>
      </c>
      <c r="D30" s="67">
        <f t="shared" si="3"/>
        <v>-1E-3</v>
      </c>
      <c r="E30">
        <f>COUNTIF(tables_498101!C:C,input_498101!A30)-COUNTIF(Q:Q,A30)</f>
        <v>0</v>
      </c>
      <c r="F30" s="36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0"/>
      <c r="M30" s="50"/>
      <c r="N30" s="51"/>
      <c r="O30" s="50"/>
      <c r="P30" s="50"/>
      <c r="Q30" s="50"/>
      <c r="R30" s="52"/>
    </row>
    <row r="31" spans="1:19" x14ac:dyDescent="0.15">
      <c r="A31" s="26" t="s">
        <v>222</v>
      </c>
      <c r="B31" s="49">
        <v>0</v>
      </c>
      <c r="C31" s="78">
        <f t="shared" si="2"/>
        <v>9.0000000000000011E-3</v>
      </c>
      <c r="D31" s="67">
        <f t="shared" si="3"/>
        <v>-9.0000000000000011E-3</v>
      </c>
      <c r="E31">
        <f>COUNTIF(tables_498101!C:C,input_498101!A31)-COUNTIF(Q:Q,A31)</f>
        <v>0</v>
      </c>
      <c r="F31" s="36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0"/>
      <c r="M31" s="50"/>
      <c r="N31" s="51"/>
      <c r="O31" s="50"/>
      <c r="P31" s="50"/>
      <c r="Q31" s="50"/>
      <c r="R31" s="52"/>
    </row>
    <row r="32" spans="1:19" x14ac:dyDescent="0.15">
      <c r="A32" s="32" t="s">
        <v>43</v>
      </c>
      <c r="B32" s="33">
        <f>SUM(B17:B31)</f>
        <v>0.98999999999895472</v>
      </c>
      <c r="C32" s="34">
        <f>SUM(C19:C31)</f>
        <v>1.0000000000000002E-2</v>
      </c>
      <c r="D32" s="35">
        <f t="shared" si="3"/>
        <v>0.97999999999895471</v>
      </c>
      <c r="L32" s="50"/>
      <c r="M32" s="50"/>
      <c r="N32" s="50"/>
      <c r="O32" s="50"/>
      <c r="P32" s="50"/>
      <c r="Q32" s="50"/>
      <c r="R32" s="52"/>
    </row>
    <row r="34" spans="1:7" x14ac:dyDescent="0.15">
      <c r="E34" s="48">
        <v>1.3326473664807659E-2</v>
      </c>
      <c r="F34" s="48">
        <f ca="1">0.9-G41</f>
        <v>6.9877437169907353E-13</v>
      </c>
    </row>
    <row r="35" spans="1:7" x14ac:dyDescent="0.15">
      <c r="A35" t="s">
        <v>57</v>
      </c>
      <c r="E35">
        <v>9.0000000000000913E-3</v>
      </c>
      <c r="F35">
        <f ca="1">G42-0.1</f>
        <v>1.918354364249808E-12</v>
      </c>
    </row>
    <row r="36" spans="1:7" x14ac:dyDescent="0.15">
      <c r="A36" s="25">
        <f>LCM(F5-I5,F6-I6)*1000*2*2*5</f>
        <v>114680000</v>
      </c>
    </row>
    <row r="38" spans="1:7" x14ac:dyDescent="0.15">
      <c r="A38" s="40" t="s">
        <v>60</v>
      </c>
    </row>
    <row r="39" spans="1:7" x14ac:dyDescent="0.15">
      <c r="A39" s="26" t="s">
        <v>44</v>
      </c>
      <c r="B39" t="s">
        <v>58</v>
      </c>
      <c r="C39" t="s">
        <v>82</v>
      </c>
      <c r="E39" t="s">
        <v>83</v>
      </c>
      <c r="F39" t="s">
        <v>2</v>
      </c>
      <c r="G39" t="s">
        <v>47</v>
      </c>
    </row>
    <row r="40" spans="1:7" x14ac:dyDescent="0.15">
      <c r="A40" s="26" t="s">
        <v>85</v>
      </c>
      <c r="B40">
        <f ca="1">SUMIF(tables_498101!C:C,input_498101!A40,tables_498101!O:O)</f>
        <v>0</v>
      </c>
      <c r="C40" s="47">
        <f t="shared" ref="C40:C46" ca="1" si="9">B40/B$47</f>
        <v>0</v>
      </c>
      <c r="E40">
        <v>3</v>
      </c>
      <c r="F40">
        <f ca="1">SUMIF(tables_498101!J:J,input_498101!E40,tables_498101!O:O)</f>
        <v>0</v>
      </c>
      <c r="G40">
        <f ca="1">F40/A36</f>
        <v>0</v>
      </c>
    </row>
    <row r="41" spans="1:7" x14ac:dyDescent="0.15">
      <c r="A41" s="26" t="s">
        <v>86</v>
      </c>
      <c r="B41">
        <f ca="1">SUMIF(tables_498101!C:C,input_498101!A41,tables_498101!O:O)</f>
        <v>50800800.00007996</v>
      </c>
      <c r="C41" s="47">
        <f t="shared" ca="1" si="9"/>
        <v>0.88495550555613001</v>
      </c>
      <c r="E41">
        <v>4</v>
      </c>
      <c r="F41">
        <f ca="1">SUMIF(tables_498101!J:J,input_498101!E41,tables_498101!O:O)</f>
        <v>103211999.99991986</v>
      </c>
      <c r="G41">
        <f ca="1">F41/A36</f>
        <v>0.89999999999930125</v>
      </c>
    </row>
    <row r="42" spans="1:7" x14ac:dyDescent="0.15">
      <c r="A42" s="26" t="s">
        <v>88</v>
      </c>
      <c r="B42">
        <f ca="1">SUMIF(tables_498101!C:C,input_498101!A42,tables_498101!O:O)</f>
        <v>1895040</v>
      </c>
      <c r="C42" s="47">
        <f t="shared" ca="1" si="9"/>
        <v>3.3011804563047219E-2</v>
      </c>
      <c r="E42">
        <v>5</v>
      </c>
      <c r="F42">
        <f ca="1">SUMIF(tables_498101!J:J,input_498101!E42,tables_498101!O:O)</f>
        <v>11468000.000219997</v>
      </c>
      <c r="G42">
        <f ca="1">F42/A36</f>
        <v>0.10000000000191836</v>
      </c>
    </row>
    <row r="43" spans="1:7" x14ac:dyDescent="0.15">
      <c r="A43" s="26" t="s">
        <v>91</v>
      </c>
      <c r="B43">
        <f>SUMIF(tables_498101!C:C,input_498101!A43,tables_498101!O:O)</f>
        <v>0</v>
      </c>
      <c r="C43" s="47">
        <f t="shared" ca="1" si="9"/>
        <v>0</v>
      </c>
      <c r="F43" s="48"/>
    </row>
    <row r="44" spans="1:7" x14ac:dyDescent="0.15">
      <c r="A44" s="26" t="s">
        <v>87</v>
      </c>
      <c r="B44">
        <f ca="1">SUMIF(tables_498101!C:C,input_498101!A44,tables_498101!O:O)</f>
        <v>4498520</v>
      </c>
      <c r="C44" s="47">
        <f t="shared" ca="1" si="9"/>
        <v>7.8364711596039749E-2</v>
      </c>
      <c r="E44" t="s">
        <v>38</v>
      </c>
      <c r="F44" s="48"/>
    </row>
    <row r="45" spans="1:7" x14ac:dyDescent="0.15">
      <c r="A45" s="26" t="s">
        <v>89</v>
      </c>
      <c r="B45">
        <f ca="1">SUMIF(tables_498101!C:C,input_498101!A45,tables_498101!O:O)</f>
        <v>210560</v>
      </c>
      <c r="C45" s="47">
        <f t="shared" ca="1" si="9"/>
        <v>3.6679782847830241E-3</v>
      </c>
      <c r="E45" t="s">
        <v>186</v>
      </c>
      <c r="F45" s="48">
        <f ca="1">SUMIF(tables_498101!I:I,input_498101!E45,tables_498101!P:P)</f>
        <v>0.23901796302569425</v>
      </c>
    </row>
    <row r="46" spans="1:7" x14ac:dyDescent="0.15">
      <c r="A46" s="26" t="s">
        <v>90</v>
      </c>
      <c r="B46">
        <f>SUMIF(tables_498101!C:C,input_498101!A46,tables_498101!O:O)</f>
        <v>0</v>
      </c>
      <c r="C46" s="47">
        <f t="shared" ca="1" si="9"/>
        <v>0</v>
      </c>
      <c r="E46" t="s">
        <v>187</v>
      </c>
      <c r="F46" s="48">
        <f ca="1">SUMIF(tables_498101!I:I,input_498101!E46,tables_498101!P:P)</f>
        <v>0.18796323549139998</v>
      </c>
    </row>
    <row r="47" spans="1:7" x14ac:dyDescent="0.15">
      <c r="A47" s="32" t="s">
        <v>43</v>
      </c>
      <c r="B47">
        <f ca="1">SUM(B40:B46)</f>
        <v>57404920.00007996</v>
      </c>
      <c r="C47" s="48">
        <f ca="1">SUM(C40:C46)</f>
        <v>1</v>
      </c>
      <c r="E47" t="s">
        <v>188</v>
      </c>
      <c r="F47" s="48">
        <f ca="1">SUMIF(tables_498101!I:I,input_498101!E47,tables_498101!P:P)</f>
        <v>0.51301880148176104</v>
      </c>
    </row>
    <row r="48" spans="1:7" x14ac:dyDescent="0.15">
      <c r="E48" t="s">
        <v>189</v>
      </c>
      <c r="F48" s="48">
        <f ca="1">SUMIF(tables_498101!I:I,input_498101!E48,tables_498101!P:P)</f>
        <v>4.4171699742098232E-2</v>
      </c>
      <c r="G48" s="48">
        <f ca="1">0.05-F48-F49</f>
        <v>-1.1598430549319971E-12</v>
      </c>
    </row>
    <row r="49" spans="5:7" x14ac:dyDescent="0.15">
      <c r="E49" t="s">
        <v>230</v>
      </c>
      <c r="F49" s="48">
        <f ca="1">SUMIF(tables_498101!I:I,input_498101!E49,tables_498101!P:P)</f>
        <v>5.828300259061614E-3</v>
      </c>
      <c r="G49">
        <v>6.7213114753493968E-3</v>
      </c>
    </row>
  </sheetData>
  <phoneticPr fontId="16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5" enableFormatConditionsCalculation="0">
    <tabColor rgb="FF0000FF"/>
    <outlinePr summaryBelow="0" summaryRight="0"/>
  </sheetPr>
  <dimension ref="A1:V351"/>
  <sheetViews>
    <sheetView showGridLines="0" zoomScale="75" zoomScaleNormal="75" zoomScalePageLayoutView="75" workbookViewId="0">
      <pane ySplit="1" topLeftCell="A308" activePane="bottomLeft" state="frozen"/>
      <selection activeCell="D34" sqref="D34"/>
      <selection pane="bottomLeft" activeCell="A337" sqref="A337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68</v>
      </c>
      <c r="B1" s="15" t="s">
        <v>1</v>
      </c>
      <c r="C1" s="3" t="s">
        <v>19</v>
      </c>
      <c r="D1" s="3" t="s">
        <v>77</v>
      </c>
      <c r="E1" s="3" t="s">
        <v>170</v>
      </c>
      <c r="F1" s="3" t="s">
        <v>171</v>
      </c>
      <c r="G1" s="3" t="s">
        <v>84</v>
      </c>
      <c r="H1" s="3" t="s">
        <v>21</v>
      </c>
      <c r="I1" s="3" t="s">
        <v>22</v>
      </c>
      <c r="J1" s="3" t="s">
        <v>23</v>
      </c>
      <c r="K1" s="3" t="s">
        <v>36</v>
      </c>
      <c r="L1" s="3" t="s">
        <v>24</v>
      </c>
      <c r="M1" s="3" t="s">
        <v>25</v>
      </c>
      <c r="N1" s="3" t="s">
        <v>42</v>
      </c>
      <c r="O1" s="15" t="s">
        <v>2</v>
      </c>
      <c r="P1" s="3" t="s">
        <v>47</v>
      </c>
      <c r="Q1" s="15" t="s">
        <v>26</v>
      </c>
      <c r="R1" s="23" t="s">
        <v>5</v>
      </c>
      <c r="S1" s="23" t="s">
        <v>6</v>
      </c>
      <c r="T1" s="23" t="s">
        <v>7</v>
      </c>
      <c r="U1" s="23" t="s">
        <v>8</v>
      </c>
      <c r="V1" s="23" t="s">
        <v>9</v>
      </c>
    </row>
    <row r="2" spans="1:22" ht="21" customHeight="1" x14ac:dyDescent="0.15">
      <c r="A2" s="2" t="str">
        <f ca="1">input_498101!A$2</f>
        <v>498101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38">
        <f ca="1">IFERROR(VLOOKUP(B2,input_498101!L:R,7,FALSE),VLOOKUP(tables_498101!C2,input_498101!A:H,8,FALSE))</f>
        <v>0</v>
      </c>
      <c r="P2" s="39">
        <f t="shared" ref="P2:P65" ca="1" si="1">O2/SUM(O:O)</f>
        <v>0</v>
      </c>
      <c r="Q2" s="24">
        <v>1</v>
      </c>
      <c r="R2" s="24">
        <v>0</v>
      </c>
      <c r="S2" s="24">
        <v>0</v>
      </c>
      <c r="T2" s="24">
        <v>0</v>
      </c>
      <c r="U2" s="24">
        <v>0</v>
      </c>
      <c r="V2" s="24">
        <v>1</v>
      </c>
    </row>
    <row r="3" spans="1:22" ht="21" customHeight="1" x14ac:dyDescent="0.15">
      <c r="A3" s="2" t="str">
        <f ca="1">input_498101!A$2</f>
        <v>498101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38">
        <f ca="1">IFERROR(VLOOKUP(B3,input_498101!L:R,7,FALSE),VLOOKUP(tables_498101!C3,input_498101!A:H,8,FALSE))</f>
        <v>1350093.9999899999</v>
      </c>
      <c r="P3" s="39">
        <f t="shared" ca="1" si="1"/>
        <v>1.1772706661914507E-2</v>
      </c>
      <c r="Q3" s="24">
        <v>1</v>
      </c>
      <c r="R3" s="24">
        <v>0</v>
      </c>
      <c r="S3" s="24">
        <v>0</v>
      </c>
      <c r="T3" s="24">
        <v>0</v>
      </c>
      <c r="U3" s="24">
        <v>0</v>
      </c>
      <c r="V3" s="24">
        <v>1</v>
      </c>
    </row>
    <row r="4" spans="1:22" ht="21" customHeight="1" x14ac:dyDescent="0.15">
      <c r="A4" s="2" t="str">
        <f ca="1">input_498101!A$2</f>
        <v>498101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38">
        <f ca="1">IFERROR(VLOOKUP(B4,input_498101!L:R,7,FALSE),VLOOKUP(tables_498101!C4,input_498101!A:H,8,FALSE))</f>
        <v>0</v>
      </c>
      <c r="P4" s="39">
        <f t="shared" ca="1" si="1"/>
        <v>0</v>
      </c>
      <c r="Q4" s="24">
        <v>1</v>
      </c>
      <c r="R4" s="24">
        <v>0</v>
      </c>
      <c r="S4" s="24">
        <v>0</v>
      </c>
      <c r="T4" s="24">
        <v>0</v>
      </c>
      <c r="U4" s="24">
        <v>0</v>
      </c>
      <c r="V4" s="24">
        <v>1</v>
      </c>
    </row>
    <row r="5" spans="1:22" ht="21" customHeight="1" x14ac:dyDescent="0.15">
      <c r="A5" s="2" t="str">
        <f ca="1">input_498101!A$2</f>
        <v>498101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38">
        <f ca="1">IFERROR(VLOOKUP(B5,input_498101!L:R,7,FALSE),VLOOKUP(tables_498101!C5,input_498101!A:H,8,FALSE))</f>
        <v>1350093.9999899999</v>
      </c>
      <c r="P5" s="39">
        <f t="shared" ca="1" si="1"/>
        <v>1.1772706661914507E-2</v>
      </c>
      <c r="Q5" s="24">
        <v>1</v>
      </c>
      <c r="R5" s="24">
        <v>0</v>
      </c>
      <c r="S5" s="24">
        <v>0</v>
      </c>
      <c r="T5" s="24">
        <v>0</v>
      </c>
      <c r="U5" s="24">
        <v>0</v>
      </c>
      <c r="V5" s="24">
        <v>1</v>
      </c>
    </row>
    <row r="6" spans="1:22" ht="21" customHeight="1" x14ac:dyDescent="0.15">
      <c r="A6" s="2" t="str">
        <f ca="1">input_498101!A$2</f>
        <v>498101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38">
        <f ca="1">IFERROR(VLOOKUP(B6,input_498101!L:R,7,FALSE),VLOOKUP(tables_498101!C6,input_498101!A:H,8,FALSE))</f>
        <v>0</v>
      </c>
      <c r="P6" s="39">
        <f t="shared" ca="1" si="1"/>
        <v>0</v>
      </c>
      <c r="Q6" s="24">
        <v>1</v>
      </c>
      <c r="R6" s="24">
        <v>0</v>
      </c>
      <c r="S6" s="24">
        <v>0</v>
      </c>
      <c r="T6" s="24">
        <v>0</v>
      </c>
      <c r="U6" s="24">
        <v>0</v>
      </c>
      <c r="V6" s="24">
        <v>1</v>
      </c>
    </row>
    <row r="7" spans="1:22" ht="21" customHeight="1" x14ac:dyDescent="0.15">
      <c r="A7" s="2" t="str">
        <f ca="1">input_498101!A$2</f>
        <v>498101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38">
        <f ca="1">IFERROR(VLOOKUP(B7,input_498101!L:R,7,FALSE),VLOOKUP(tables_498101!C7,input_498101!A:H,8,FALSE))</f>
        <v>1350093.9999899999</v>
      </c>
      <c r="P7" s="39">
        <f t="shared" ca="1" si="1"/>
        <v>1.1772706661914507E-2</v>
      </c>
      <c r="Q7" s="24">
        <v>1</v>
      </c>
      <c r="R7" s="24">
        <v>0</v>
      </c>
      <c r="S7" s="24">
        <v>0</v>
      </c>
      <c r="T7" s="24">
        <v>0</v>
      </c>
      <c r="U7" s="24">
        <v>0</v>
      </c>
      <c r="V7" s="24">
        <v>1</v>
      </c>
    </row>
    <row r="8" spans="1:22" ht="21" customHeight="1" x14ac:dyDescent="0.15">
      <c r="A8" s="2" t="str">
        <f ca="1">input_498101!A$2</f>
        <v>498101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38">
        <f ca="1">IFERROR(VLOOKUP(B8,input_498101!L:R,7,FALSE),VLOOKUP(tables_498101!C8,input_498101!A:H,8,FALSE))</f>
        <v>0</v>
      </c>
      <c r="P8" s="39">
        <f t="shared" ca="1" si="1"/>
        <v>0</v>
      </c>
      <c r="Q8" s="24">
        <v>1</v>
      </c>
      <c r="R8" s="24">
        <v>0</v>
      </c>
      <c r="S8" s="24">
        <v>0</v>
      </c>
      <c r="T8" s="24">
        <v>0</v>
      </c>
      <c r="U8" s="24">
        <v>0</v>
      </c>
      <c r="V8" s="24">
        <v>1</v>
      </c>
    </row>
    <row r="9" spans="1:22" ht="21" customHeight="1" x14ac:dyDescent="0.15">
      <c r="A9" s="2" t="str">
        <f ca="1">input_498101!A$2</f>
        <v>498101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38">
        <f ca="1">IFERROR(VLOOKUP(B9,input_498101!L:R,7,FALSE),VLOOKUP(tables_498101!C9,input_498101!A:H,8,FALSE))</f>
        <v>1350093.9999899999</v>
      </c>
      <c r="P9" s="39">
        <f t="shared" ca="1" si="1"/>
        <v>1.1772706661914507E-2</v>
      </c>
      <c r="Q9" s="24">
        <v>1</v>
      </c>
      <c r="R9" s="24">
        <v>0</v>
      </c>
      <c r="S9" s="24">
        <v>0</v>
      </c>
      <c r="T9" s="24">
        <v>0</v>
      </c>
      <c r="U9" s="24">
        <v>0</v>
      </c>
      <c r="V9" s="24">
        <v>1</v>
      </c>
    </row>
    <row r="10" spans="1:22" ht="21" customHeight="1" x14ac:dyDescent="0.15">
      <c r="A10" s="2" t="str">
        <f ca="1">input_498101!A$2</f>
        <v>498101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38">
        <f ca="1">IFERROR(VLOOKUP(B10,input_498101!L:R,7,FALSE),VLOOKUP(tables_498101!C10,input_498101!A:H,8,FALSE))</f>
        <v>0</v>
      </c>
      <c r="P10" s="39">
        <f t="shared" ca="1" si="1"/>
        <v>0</v>
      </c>
      <c r="Q10" s="24">
        <v>1</v>
      </c>
      <c r="R10" s="24">
        <v>0</v>
      </c>
      <c r="S10" s="24">
        <v>0</v>
      </c>
      <c r="T10" s="24">
        <v>0</v>
      </c>
      <c r="U10" s="24">
        <v>0</v>
      </c>
      <c r="V10" s="24">
        <v>1</v>
      </c>
    </row>
    <row r="11" spans="1:22" ht="21" customHeight="1" x14ac:dyDescent="0.15">
      <c r="A11" s="2" t="str">
        <f ca="1">input_498101!A$2</f>
        <v>498101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38">
        <f ca="1">IFERROR(VLOOKUP(B11,input_498101!L:R,7,FALSE),VLOOKUP(tables_498101!C11,input_498101!A:H,8,FALSE))</f>
        <v>1350093.9999899999</v>
      </c>
      <c r="P11" s="39">
        <f t="shared" ca="1" si="1"/>
        <v>1.1772706661914507E-2</v>
      </c>
      <c r="Q11" s="24">
        <v>1</v>
      </c>
      <c r="R11" s="24">
        <v>0</v>
      </c>
      <c r="S11" s="24">
        <v>0</v>
      </c>
      <c r="T11" s="24">
        <v>0</v>
      </c>
      <c r="U11" s="24">
        <v>0</v>
      </c>
      <c r="V11" s="24">
        <v>1</v>
      </c>
    </row>
    <row r="12" spans="1:22" ht="21" customHeight="1" x14ac:dyDescent="0.15">
      <c r="A12" s="2" t="str">
        <f ca="1">input_498101!A$2</f>
        <v>498101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38">
        <f ca="1">IFERROR(VLOOKUP(B12,input_498101!L:R,7,FALSE),VLOOKUP(tables_498101!C12,input_498101!A:H,8,FALSE))</f>
        <v>0</v>
      </c>
      <c r="P12" s="39">
        <f t="shared" ca="1" si="1"/>
        <v>0</v>
      </c>
      <c r="Q12" s="24">
        <v>1</v>
      </c>
      <c r="R12" s="24">
        <v>0</v>
      </c>
      <c r="S12" s="24">
        <v>0</v>
      </c>
      <c r="T12" s="24">
        <v>0</v>
      </c>
      <c r="U12" s="24">
        <v>0</v>
      </c>
      <c r="V12" s="24">
        <v>1</v>
      </c>
    </row>
    <row r="13" spans="1:22" ht="21" customHeight="1" x14ac:dyDescent="0.15">
      <c r="A13" s="2" t="str">
        <f ca="1">input_498101!A$2</f>
        <v>498101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38">
        <f ca="1">IFERROR(VLOOKUP(B13,input_498101!L:R,7,FALSE),VLOOKUP(tables_498101!C13,input_498101!A:H,8,FALSE))</f>
        <v>1350093.9999899999</v>
      </c>
      <c r="P13" s="39">
        <f t="shared" ca="1" si="1"/>
        <v>1.1772706661914507E-2</v>
      </c>
      <c r="Q13" s="24">
        <v>1</v>
      </c>
      <c r="R13" s="24">
        <v>0</v>
      </c>
      <c r="S13" s="24">
        <v>0</v>
      </c>
      <c r="T13" s="24">
        <v>0</v>
      </c>
      <c r="U13" s="24">
        <v>0</v>
      </c>
      <c r="V13" s="24">
        <v>1</v>
      </c>
    </row>
    <row r="14" spans="1:22" ht="21" customHeight="1" x14ac:dyDescent="0.15">
      <c r="A14" s="2" t="str">
        <f ca="1">input_498101!A$2</f>
        <v>498101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38">
        <f ca="1">IFERROR(VLOOKUP(B14,input_498101!L:R,7,FALSE),VLOOKUP(tables_498101!C14,input_498101!A:H,8,FALSE))</f>
        <v>0</v>
      </c>
      <c r="P14" s="39">
        <f t="shared" ca="1" si="1"/>
        <v>0</v>
      </c>
      <c r="Q14" s="24">
        <v>1</v>
      </c>
      <c r="R14" s="24">
        <v>0</v>
      </c>
      <c r="S14" s="24">
        <v>0</v>
      </c>
      <c r="T14" s="24">
        <v>0</v>
      </c>
      <c r="U14" s="24">
        <v>0</v>
      </c>
      <c r="V14" s="24">
        <v>1</v>
      </c>
    </row>
    <row r="15" spans="1:22" ht="21" customHeight="1" x14ac:dyDescent="0.15">
      <c r="A15" s="2" t="str">
        <f ca="1">input_498101!A$2</f>
        <v>498101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38">
        <f ca="1">IFERROR(VLOOKUP(B15,input_498101!L:R,7,FALSE),VLOOKUP(tables_498101!C15,input_498101!A:H,8,FALSE))</f>
        <v>1350093.9999899999</v>
      </c>
      <c r="P15" s="39">
        <f t="shared" ca="1" si="1"/>
        <v>1.1772706661914507E-2</v>
      </c>
      <c r="Q15" s="24">
        <v>1</v>
      </c>
      <c r="R15" s="24">
        <v>0</v>
      </c>
      <c r="S15" s="24">
        <v>0</v>
      </c>
      <c r="T15" s="24">
        <v>0</v>
      </c>
      <c r="U15" s="24">
        <v>0</v>
      </c>
      <c r="V15" s="24">
        <v>1</v>
      </c>
    </row>
    <row r="16" spans="1:22" ht="21" customHeight="1" x14ac:dyDescent="0.15">
      <c r="A16" s="2" t="str">
        <f ca="1">input_498101!A$2</f>
        <v>498101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38">
        <f ca="1">IFERROR(VLOOKUP(B16,input_498101!L:R,7,FALSE),VLOOKUP(tables_498101!C16,input_498101!A:H,8,FALSE))</f>
        <v>0</v>
      </c>
      <c r="P16" s="39">
        <f t="shared" ca="1" si="1"/>
        <v>0</v>
      </c>
      <c r="Q16" s="24">
        <v>1</v>
      </c>
      <c r="R16" s="24">
        <v>0</v>
      </c>
      <c r="S16" s="24">
        <v>0</v>
      </c>
      <c r="T16" s="24">
        <v>0</v>
      </c>
      <c r="U16" s="24">
        <v>0</v>
      </c>
      <c r="V16" s="24">
        <v>1</v>
      </c>
    </row>
    <row r="17" spans="1:22" ht="21" customHeight="1" x14ac:dyDescent="0.15">
      <c r="A17" s="2" t="str">
        <f ca="1">input_498101!A$2</f>
        <v>498101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38">
        <f ca="1">IFERROR(VLOOKUP(B17,input_498101!L:R,7,FALSE),VLOOKUP(tables_498101!C17,input_498101!A:H,8,FALSE))</f>
        <v>1350093.9999899999</v>
      </c>
      <c r="P17" s="39">
        <f t="shared" ca="1" si="1"/>
        <v>1.1772706661914507E-2</v>
      </c>
      <c r="Q17" s="24">
        <v>1</v>
      </c>
      <c r="R17" s="24">
        <v>0</v>
      </c>
      <c r="S17" s="24">
        <v>0</v>
      </c>
      <c r="T17" s="24">
        <v>0</v>
      </c>
      <c r="U17" s="24">
        <v>0</v>
      </c>
      <c r="V17" s="24">
        <v>1</v>
      </c>
    </row>
    <row r="18" spans="1:22" ht="21" customHeight="1" x14ac:dyDescent="0.15">
      <c r="A18" s="2" t="str">
        <f ca="1">input_498101!A$2</f>
        <v>498101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38">
        <f ca="1">IFERROR(VLOOKUP(B18,input_498101!L:R,7,FALSE),VLOOKUP(tables_498101!C18,input_498101!A:H,8,FALSE))</f>
        <v>0</v>
      </c>
      <c r="P18" s="39">
        <f t="shared" ca="1" si="1"/>
        <v>0</v>
      </c>
      <c r="Q18" s="24">
        <v>1</v>
      </c>
      <c r="R18" s="24">
        <v>0</v>
      </c>
      <c r="S18" s="24">
        <v>0</v>
      </c>
      <c r="T18" s="24">
        <v>0</v>
      </c>
      <c r="U18" s="24">
        <v>0</v>
      </c>
      <c r="V18" s="24">
        <v>1</v>
      </c>
    </row>
    <row r="19" spans="1:22" s="12" customFormat="1" ht="21" customHeight="1" thickBot="1" x14ac:dyDescent="0.2">
      <c r="A19" s="2" t="str">
        <f ca="1">input_498101!A$2</f>
        <v>498101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38">
        <f ca="1">IFERROR(VLOOKUP(B19,input_498101!L:R,7,FALSE),VLOOKUP(tables_498101!C19,input_498101!A:H,8,FALSE))</f>
        <v>1350093.9999899999</v>
      </c>
      <c r="P19" s="39">
        <f t="shared" ca="1" si="1"/>
        <v>1.1772706661914507E-2</v>
      </c>
      <c r="Q19" s="24">
        <v>1</v>
      </c>
      <c r="R19" s="24">
        <v>0</v>
      </c>
      <c r="S19" s="24">
        <v>0</v>
      </c>
      <c r="T19" s="24">
        <v>0</v>
      </c>
      <c r="U19" s="24">
        <v>0</v>
      </c>
      <c r="V19" s="24">
        <v>1</v>
      </c>
    </row>
    <row r="20" spans="1:22" ht="21" customHeight="1" x14ac:dyDescent="0.15">
      <c r="A20" s="2" t="str">
        <f ca="1">input_498101!A$2</f>
        <v>498101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38">
        <f ca="1">IFERROR(VLOOKUP(B20,input_498101!L:R,7,FALSE),VLOOKUP(tables_498101!C20,input_498101!A:H,8,FALSE))</f>
        <v>0</v>
      </c>
      <c r="P20" s="39">
        <f t="shared" ca="1" si="1"/>
        <v>0</v>
      </c>
      <c r="Q20" s="24">
        <v>1</v>
      </c>
      <c r="R20" s="24">
        <v>0</v>
      </c>
      <c r="S20" s="24">
        <v>0</v>
      </c>
      <c r="T20" s="24">
        <v>0</v>
      </c>
      <c r="U20" s="24">
        <v>0</v>
      </c>
      <c r="V20" s="24">
        <v>1</v>
      </c>
    </row>
    <row r="21" spans="1:22" ht="21" customHeight="1" x14ac:dyDescent="0.15">
      <c r="A21" s="2" t="str">
        <f ca="1">input_498101!A$2</f>
        <v>498101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38">
        <f ca="1">IFERROR(VLOOKUP(B21,input_498101!L:R,7,FALSE),VLOOKUP(tables_498101!C21,input_498101!A:H,8,FALSE))</f>
        <v>1350093.9999899999</v>
      </c>
      <c r="P21" s="39">
        <f t="shared" ca="1" si="1"/>
        <v>1.1772706661914507E-2</v>
      </c>
      <c r="Q21" s="24">
        <v>1</v>
      </c>
      <c r="R21" s="24">
        <v>0</v>
      </c>
      <c r="S21" s="24">
        <v>0</v>
      </c>
      <c r="T21" s="24">
        <v>0</v>
      </c>
      <c r="U21" s="24">
        <v>0</v>
      </c>
      <c r="V21" s="24">
        <v>1</v>
      </c>
    </row>
    <row r="22" spans="1:22" ht="21" customHeight="1" x14ac:dyDescent="0.15">
      <c r="A22" s="2" t="str">
        <f ca="1">input_498101!A$2</f>
        <v>498101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38">
        <f ca="1">IFERROR(VLOOKUP(B22,input_498101!L:R,7,FALSE),VLOOKUP(tables_498101!C22,input_498101!A:H,8,FALSE))</f>
        <v>0</v>
      </c>
      <c r="P22" s="39">
        <f t="shared" ca="1" si="1"/>
        <v>0</v>
      </c>
      <c r="Q22" s="24">
        <v>1</v>
      </c>
      <c r="R22" s="24">
        <v>0</v>
      </c>
      <c r="S22" s="24">
        <v>0</v>
      </c>
      <c r="T22" s="24">
        <v>0</v>
      </c>
      <c r="U22" s="24">
        <v>0</v>
      </c>
      <c r="V22" s="24">
        <v>1</v>
      </c>
    </row>
    <row r="23" spans="1:22" ht="21" customHeight="1" x14ac:dyDescent="0.15">
      <c r="A23" s="2" t="str">
        <f ca="1">input_498101!A$2</f>
        <v>498101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38">
        <f ca="1">IFERROR(VLOOKUP(B23,input_498101!L:R,7,FALSE),VLOOKUP(tables_498101!C23,input_498101!A:H,8,FALSE))</f>
        <v>1350093.9999899999</v>
      </c>
      <c r="P23" s="39">
        <f t="shared" ca="1" si="1"/>
        <v>1.1772706661914507E-2</v>
      </c>
      <c r="Q23" s="24">
        <v>1</v>
      </c>
      <c r="R23" s="24">
        <v>0</v>
      </c>
      <c r="S23" s="24">
        <v>0</v>
      </c>
      <c r="T23" s="24">
        <v>0</v>
      </c>
      <c r="U23" s="24">
        <v>0</v>
      </c>
      <c r="V23" s="24">
        <v>1</v>
      </c>
    </row>
    <row r="24" spans="1:22" ht="21" customHeight="1" x14ac:dyDescent="0.15">
      <c r="A24" s="2" t="str">
        <f ca="1">input_498101!A$2</f>
        <v>498101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38">
        <f ca="1">IFERROR(VLOOKUP(B24,input_498101!L:R,7,FALSE),VLOOKUP(tables_498101!C24,input_498101!A:H,8,FALSE))</f>
        <v>0</v>
      </c>
      <c r="P24" s="39">
        <f t="shared" ca="1" si="1"/>
        <v>0</v>
      </c>
      <c r="Q24" s="24">
        <v>1</v>
      </c>
      <c r="R24" s="24">
        <v>0</v>
      </c>
      <c r="S24" s="24">
        <v>0</v>
      </c>
      <c r="T24" s="24">
        <v>0</v>
      </c>
      <c r="U24" s="24">
        <v>0</v>
      </c>
      <c r="V24" s="24">
        <v>1</v>
      </c>
    </row>
    <row r="25" spans="1:22" ht="21" customHeight="1" x14ac:dyDescent="0.15">
      <c r="A25" s="2" t="str">
        <f ca="1">input_498101!A$2</f>
        <v>498101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38">
        <f ca="1">IFERROR(VLOOKUP(B25,input_498101!L:R,7,FALSE),VLOOKUP(tables_498101!C25,input_498101!A:H,8,FALSE))</f>
        <v>1350093.9999899999</v>
      </c>
      <c r="P25" s="39">
        <f t="shared" ca="1" si="1"/>
        <v>1.1772706661914507E-2</v>
      </c>
      <c r="Q25" s="24">
        <v>1</v>
      </c>
      <c r="R25" s="24">
        <v>0</v>
      </c>
      <c r="S25" s="24">
        <v>0</v>
      </c>
      <c r="T25" s="24">
        <v>0</v>
      </c>
      <c r="U25" s="24">
        <v>0</v>
      </c>
      <c r="V25" s="24">
        <v>1</v>
      </c>
    </row>
    <row r="26" spans="1:22" ht="21" customHeight="1" x14ac:dyDescent="0.15">
      <c r="A26" s="2" t="str">
        <f ca="1">input_498101!A$2</f>
        <v>498101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38">
        <f ca="1">IFERROR(VLOOKUP(B26,input_498101!L:R,7,FALSE),VLOOKUP(tables_498101!C26,input_498101!A:H,8,FALSE))</f>
        <v>0</v>
      </c>
      <c r="P26" s="39">
        <f t="shared" ca="1" si="1"/>
        <v>0</v>
      </c>
      <c r="Q26" s="24">
        <v>1</v>
      </c>
      <c r="R26" s="24">
        <v>0</v>
      </c>
      <c r="S26" s="24">
        <v>0</v>
      </c>
      <c r="T26" s="24">
        <v>0</v>
      </c>
      <c r="U26" s="24">
        <v>0</v>
      </c>
      <c r="V26" s="24">
        <v>1</v>
      </c>
    </row>
    <row r="27" spans="1:22" ht="21" customHeight="1" x14ac:dyDescent="0.15">
      <c r="A27" s="2" t="str">
        <f ca="1">input_498101!A$2</f>
        <v>498101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38">
        <f ca="1">IFERROR(VLOOKUP(B27,input_498101!L:R,7,FALSE),VLOOKUP(tables_498101!C27,input_498101!A:H,8,FALSE))</f>
        <v>1350093.9999899999</v>
      </c>
      <c r="P27" s="39">
        <f t="shared" ca="1" si="1"/>
        <v>1.1772706661914507E-2</v>
      </c>
      <c r="Q27" s="24">
        <v>1</v>
      </c>
      <c r="R27" s="24">
        <v>0</v>
      </c>
      <c r="S27" s="24">
        <v>0</v>
      </c>
      <c r="T27" s="24">
        <v>0</v>
      </c>
      <c r="U27" s="24">
        <v>0</v>
      </c>
      <c r="V27" s="24">
        <v>1</v>
      </c>
    </row>
    <row r="28" spans="1:22" ht="21" customHeight="1" x14ac:dyDescent="0.15">
      <c r="A28" s="2" t="str">
        <f ca="1">input_498101!A$2</f>
        <v>498101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38">
        <f ca="1">IFERROR(VLOOKUP(B28,input_498101!L:R,7,FALSE),VLOOKUP(tables_498101!C28,input_498101!A:H,8,FALSE))</f>
        <v>0</v>
      </c>
      <c r="P28" s="39">
        <f t="shared" ca="1" si="1"/>
        <v>0</v>
      </c>
      <c r="Q28" s="24">
        <v>1</v>
      </c>
      <c r="R28" s="24">
        <v>0</v>
      </c>
      <c r="S28" s="24">
        <v>0</v>
      </c>
      <c r="T28" s="24">
        <v>0</v>
      </c>
      <c r="U28" s="24">
        <v>0</v>
      </c>
      <c r="V28" s="24">
        <v>1</v>
      </c>
    </row>
    <row r="29" spans="1:22" ht="21" customHeight="1" x14ac:dyDescent="0.15">
      <c r="A29" s="2" t="str">
        <f ca="1">input_498101!A$2</f>
        <v>498101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38">
        <f ca="1">IFERROR(VLOOKUP(B29,input_498101!L:R,7,FALSE),VLOOKUP(tables_498101!C29,input_498101!A:H,8,FALSE))</f>
        <v>1350093.9999899999</v>
      </c>
      <c r="P29" s="39">
        <f t="shared" ca="1" si="1"/>
        <v>1.1772706661914507E-2</v>
      </c>
      <c r="Q29" s="24">
        <v>1</v>
      </c>
      <c r="R29" s="24">
        <v>0</v>
      </c>
      <c r="S29" s="24">
        <v>0</v>
      </c>
      <c r="T29" s="24">
        <v>0</v>
      </c>
      <c r="U29" s="24">
        <v>0</v>
      </c>
      <c r="V29" s="24">
        <v>1</v>
      </c>
    </row>
    <row r="30" spans="1:22" ht="21" customHeight="1" x14ac:dyDescent="0.15">
      <c r="A30" s="2" t="str">
        <f ca="1">input_498101!A$2</f>
        <v>498101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38">
        <f ca="1">IFERROR(VLOOKUP(B30,input_498101!L:R,7,FALSE),VLOOKUP(tables_498101!C30,input_498101!A:H,8,FALSE))</f>
        <v>0</v>
      </c>
      <c r="P30" s="39">
        <f t="shared" ca="1" si="1"/>
        <v>0</v>
      </c>
      <c r="Q30" s="24">
        <v>1</v>
      </c>
      <c r="R30" s="24">
        <v>0</v>
      </c>
      <c r="S30" s="24">
        <v>0</v>
      </c>
      <c r="T30" s="24">
        <v>0</v>
      </c>
      <c r="U30" s="24">
        <v>0</v>
      </c>
      <c r="V30" s="24">
        <v>1</v>
      </c>
    </row>
    <row r="31" spans="1:22" ht="21" customHeight="1" x14ac:dyDescent="0.15">
      <c r="A31" s="2" t="str">
        <f ca="1">input_498101!A$2</f>
        <v>498101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38">
        <f ca="1">IFERROR(VLOOKUP(B31,input_498101!L:R,7,FALSE),VLOOKUP(tables_498101!C31,input_498101!A:H,8,FALSE))</f>
        <v>1350093.9999899999</v>
      </c>
      <c r="P31" s="39">
        <f t="shared" ca="1" si="1"/>
        <v>1.1772706661914507E-2</v>
      </c>
      <c r="Q31" s="24">
        <v>1</v>
      </c>
      <c r="R31" s="24">
        <v>0</v>
      </c>
      <c r="S31" s="24">
        <v>0</v>
      </c>
      <c r="T31" s="24">
        <v>0</v>
      </c>
      <c r="U31" s="24">
        <v>0</v>
      </c>
      <c r="V31" s="24">
        <v>1</v>
      </c>
    </row>
    <row r="32" spans="1:22" ht="21" customHeight="1" x14ac:dyDescent="0.15">
      <c r="A32" s="2" t="str">
        <f ca="1">input_498101!A$2</f>
        <v>498101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38">
        <f ca="1">IFERROR(VLOOKUP(B32,input_498101!L:R,7,FALSE),VLOOKUP(tables_498101!C32,input_498101!A:H,8,FALSE))</f>
        <v>0</v>
      </c>
      <c r="P32" s="39">
        <f t="shared" ca="1" si="1"/>
        <v>0</v>
      </c>
      <c r="Q32" s="24">
        <v>1</v>
      </c>
      <c r="R32" s="24">
        <v>0</v>
      </c>
      <c r="S32" s="24">
        <v>0</v>
      </c>
      <c r="T32" s="24">
        <v>0</v>
      </c>
      <c r="U32" s="24">
        <v>0</v>
      </c>
      <c r="V32" s="24">
        <v>1</v>
      </c>
    </row>
    <row r="33" spans="1:22" ht="21" customHeight="1" x14ac:dyDescent="0.15">
      <c r="A33" s="2" t="str">
        <f ca="1">input_498101!A$2</f>
        <v>498101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38">
        <f ca="1">IFERROR(VLOOKUP(B33,input_498101!L:R,7,FALSE),VLOOKUP(tables_498101!C33,input_498101!A:H,8,FALSE))</f>
        <v>1350093.9999899999</v>
      </c>
      <c r="P33" s="39">
        <f t="shared" ca="1" si="1"/>
        <v>1.1772706661914507E-2</v>
      </c>
      <c r="Q33" s="24">
        <v>1</v>
      </c>
      <c r="R33" s="24">
        <v>0</v>
      </c>
      <c r="S33" s="24">
        <v>0</v>
      </c>
      <c r="T33" s="24">
        <v>0</v>
      </c>
      <c r="U33" s="24">
        <v>0</v>
      </c>
      <c r="V33" s="24">
        <v>1</v>
      </c>
    </row>
    <row r="34" spans="1:22" ht="21" customHeight="1" x14ac:dyDescent="0.15">
      <c r="A34" s="2" t="str">
        <f ca="1">input_498101!A$2</f>
        <v>498101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38">
        <f ca="1">IFERROR(VLOOKUP(B34,input_498101!L:R,7,FALSE),VLOOKUP(tables_498101!C34,input_498101!A:H,8,FALSE))</f>
        <v>0</v>
      </c>
      <c r="P34" s="39">
        <f t="shared" ca="1" si="1"/>
        <v>0</v>
      </c>
      <c r="Q34" s="24">
        <v>1</v>
      </c>
      <c r="R34" s="24">
        <v>0</v>
      </c>
      <c r="S34" s="24">
        <v>0</v>
      </c>
      <c r="T34" s="24">
        <v>0</v>
      </c>
      <c r="U34" s="24">
        <v>0</v>
      </c>
      <c r="V34" s="24">
        <v>1</v>
      </c>
    </row>
    <row r="35" spans="1:22" ht="21" customHeight="1" x14ac:dyDescent="0.15">
      <c r="A35" s="2" t="str">
        <f ca="1">input_498101!A$2</f>
        <v>498101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38">
        <f ca="1">IFERROR(VLOOKUP(B35,input_498101!L:R,7,FALSE),VLOOKUP(tables_498101!C35,input_498101!A:H,8,FALSE))</f>
        <v>1350093.9999899999</v>
      </c>
      <c r="P35" s="39">
        <f t="shared" ca="1" si="1"/>
        <v>1.1772706661914507E-2</v>
      </c>
      <c r="Q35" s="24">
        <v>1</v>
      </c>
      <c r="R35" s="24">
        <v>0</v>
      </c>
      <c r="S35" s="24">
        <v>0</v>
      </c>
      <c r="T35" s="24">
        <v>0</v>
      </c>
      <c r="U35" s="24">
        <v>0</v>
      </c>
      <c r="V35" s="24">
        <v>1</v>
      </c>
    </row>
    <row r="36" spans="1:22" ht="21" customHeight="1" x14ac:dyDescent="0.15">
      <c r="A36" s="2" t="str">
        <f ca="1">input_498101!A$2</f>
        <v>498101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38">
        <f ca="1">IFERROR(VLOOKUP(B36,input_498101!L:R,7,FALSE),VLOOKUP(tables_498101!C36,input_498101!A:H,8,FALSE))</f>
        <v>0</v>
      </c>
      <c r="P36" s="39">
        <f t="shared" ca="1" si="1"/>
        <v>0</v>
      </c>
      <c r="Q36" s="24">
        <v>1</v>
      </c>
      <c r="R36" s="24">
        <v>0</v>
      </c>
      <c r="S36" s="24">
        <v>0</v>
      </c>
      <c r="T36" s="24">
        <v>0</v>
      </c>
      <c r="U36" s="24">
        <v>0</v>
      </c>
      <c r="V36" s="24">
        <v>1</v>
      </c>
    </row>
    <row r="37" spans="1:22" ht="21" customHeight="1" x14ac:dyDescent="0.15">
      <c r="A37" s="2" t="str">
        <f ca="1">input_498101!A$2</f>
        <v>498101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38">
        <f ca="1">IFERROR(VLOOKUP(B37,input_498101!L:R,7,FALSE),VLOOKUP(tables_498101!C37,input_498101!A:H,8,FALSE))</f>
        <v>1350093.9999899999</v>
      </c>
      <c r="P37" s="39">
        <f t="shared" ca="1" si="1"/>
        <v>1.1772706661914507E-2</v>
      </c>
      <c r="Q37" s="24">
        <v>1</v>
      </c>
      <c r="R37" s="24">
        <v>0</v>
      </c>
      <c r="S37" s="24">
        <v>0</v>
      </c>
      <c r="T37" s="24">
        <v>0</v>
      </c>
      <c r="U37" s="24">
        <v>0</v>
      </c>
      <c r="V37" s="24">
        <v>1</v>
      </c>
    </row>
    <row r="38" spans="1:22" ht="21" customHeight="1" x14ac:dyDescent="0.15">
      <c r="A38" s="2" t="str">
        <f ca="1">input_498101!A$2</f>
        <v>498101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38">
        <f ca="1">IFERROR(VLOOKUP(B38,input_498101!L:R,7,FALSE),VLOOKUP(tables_498101!C38,input_498101!A:H,8,FALSE))</f>
        <v>0</v>
      </c>
      <c r="P38" s="39">
        <f t="shared" ca="1" si="1"/>
        <v>0</v>
      </c>
      <c r="Q38" s="24">
        <v>1</v>
      </c>
      <c r="R38" s="24">
        <v>0</v>
      </c>
      <c r="S38" s="24">
        <v>0</v>
      </c>
      <c r="T38" s="24">
        <v>0</v>
      </c>
      <c r="U38" s="24">
        <v>0</v>
      </c>
      <c r="V38" s="24">
        <v>1</v>
      </c>
    </row>
    <row r="39" spans="1:22" ht="21" customHeight="1" x14ac:dyDescent="0.15">
      <c r="A39" s="2" t="str">
        <f ca="1">input_498101!A$2</f>
        <v>498101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38">
        <f ca="1">IFERROR(VLOOKUP(B39,input_498101!L:R,7,FALSE),VLOOKUP(tables_498101!C39,input_498101!A:H,8,FALSE))</f>
        <v>1350093.9999899999</v>
      </c>
      <c r="P39" s="39">
        <f t="shared" ca="1" si="1"/>
        <v>1.1772706661914507E-2</v>
      </c>
      <c r="Q39" s="24">
        <v>1</v>
      </c>
      <c r="R39" s="24">
        <v>0</v>
      </c>
      <c r="S39" s="24">
        <v>0</v>
      </c>
      <c r="T39" s="24">
        <v>0</v>
      </c>
      <c r="U39" s="24">
        <v>0</v>
      </c>
      <c r="V39" s="24">
        <v>1</v>
      </c>
    </row>
    <row r="40" spans="1:22" ht="21" customHeight="1" x14ac:dyDescent="0.15">
      <c r="A40" s="2" t="str">
        <f ca="1">input_498101!A$2</f>
        <v>498101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38">
        <f ca="1">IFERROR(VLOOKUP(B40,input_498101!L:R,7,FALSE),VLOOKUP(tables_498101!C40,input_498101!A:H,8,FALSE))</f>
        <v>0</v>
      </c>
      <c r="P40" s="39">
        <f t="shared" ca="1" si="1"/>
        <v>0</v>
      </c>
      <c r="Q40" s="24">
        <v>1</v>
      </c>
      <c r="R40" s="24">
        <v>0</v>
      </c>
      <c r="S40" s="24">
        <v>0</v>
      </c>
      <c r="T40" s="24">
        <v>0</v>
      </c>
      <c r="U40" s="24">
        <v>0</v>
      </c>
      <c r="V40" s="24">
        <v>1</v>
      </c>
    </row>
    <row r="41" spans="1:22" ht="21" customHeight="1" x14ac:dyDescent="0.15">
      <c r="A41" s="2" t="str">
        <f ca="1">input_498101!A$2</f>
        <v>498101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38">
        <f ca="1">IFERROR(VLOOKUP(B41,input_498101!L:R,7,FALSE),VLOOKUP(tables_498101!C41,input_498101!A:H,8,FALSE))</f>
        <v>1350093.9999899999</v>
      </c>
      <c r="P41" s="39">
        <f t="shared" ca="1" si="1"/>
        <v>1.1772706661914507E-2</v>
      </c>
      <c r="Q41" s="24">
        <v>1</v>
      </c>
      <c r="R41" s="24">
        <v>0</v>
      </c>
      <c r="S41" s="24">
        <v>0</v>
      </c>
      <c r="T41" s="24">
        <v>0</v>
      </c>
      <c r="U41" s="24">
        <v>0</v>
      </c>
      <c r="V41" s="24">
        <v>1</v>
      </c>
    </row>
    <row r="42" spans="1:22" ht="21" customHeight="1" x14ac:dyDescent="0.15">
      <c r="A42" s="2" t="str">
        <f ca="1">input_498101!A$2</f>
        <v>498101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38">
        <f ca="1">IFERROR(VLOOKUP(B42,input_498101!L:R,7,FALSE),VLOOKUP(tables_498101!C42,input_498101!A:H,8,FALSE))</f>
        <v>0</v>
      </c>
      <c r="P42" s="39">
        <f t="shared" ca="1" si="1"/>
        <v>0</v>
      </c>
      <c r="Q42" s="24">
        <v>1</v>
      </c>
      <c r="R42" s="24">
        <v>0</v>
      </c>
      <c r="S42" s="24">
        <v>0</v>
      </c>
      <c r="T42" s="24">
        <v>0</v>
      </c>
      <c r="U42" s="24">
        <v>0</v>
      </c>
      <c r="V42" s="24">
        <v>1</v>
      </c>
    </row>
    <row r="43" spans="1:22" ht="21" customHeight="1" x14ac:dyDescent="0.15">
      <c r="A43" s="2" t="str">
        <f ca="1">input_498101!A$2</f>
        <v>498101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38">
        <f ca="1">IFERROR(VLOOKUP(B43,input_498101!L:R,7,FALSE),VLOOKUP(tables_498101!C43,input_498101!A:H,8,FALSE))</f>
        <v>1043100</v>
      </c>
      <c r="P43" s="39">
        <f t="shared" ca="1" si="1"/>
        <v>9.0957446808399862E-3</v>
      </c>
      <c r="Q43" s="24">
        <v>1</v>
      </c>
      <c r="R43" s="24">
        <v>0</v>
      </c>
      <c r="S43" s="24">
        <v>0</v>
      </c>
      <c r="T43" s="24">
        <v>0</v>
      </c>
      <c r="U43" s="24">
        <v>0</v>
      </c>
      <c r="V43" s="24">
        <v>1</v>
      </c>
    </row>
    <row r="44" spans="1:22" ht="21" customHeight="1" x14ac:dyDescent="0.15">
      <c r="A44" s="2" t="str">
        <f ca="1">input_498101!A$2</f>
        <v>498101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38">
        <f ca="1">IFERROR(VLOOKUP(B44,input_498101!L:R,7,FALSE),VLOOKUP(tables_498101!C44,input_498101!A:H,8,FALSE))</f>
        <v>115900</v>
      </c>
      <c r="P44" s="39">
        <f t="shared" ca="1" si="1"/>
        <v>1.0106382978711096E-3</v>
      </c>
      <c r="Q44" s="24">
        <v>1</v>
      </c>
      <c r="R44" s="24">
        <v>0</v>
      </c>
      <c r="S44" s="24">
        <v>0</v>
      </c>
      <c r="T44" s="24">
        <v>0</v>
      </c>
      <c r="U44" s="24">
        <v>0</v>
      </c>
      <c r="V44" s="24">
        <v>1</v>
      </c>
    </row>
    <row r="45" spans="1:22" ht="21" customHeight="1" x14ac:dyDescent="0.15">
      <c r="A45" s="2" t="str">
        <f ca="1">input_498101!A$2</f>
        <v>498101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38">
        <f ca="1">IFERROR(VLOOKUP(B45,input_498101!L:R,7,FALSE),VLOOKUP(tables_498101!C45,input_498101!A:H,8,FALSE))</f>
        <v>0</v>
      </c>
      <c r="P45" s="39">
        <f t="shared" ca="1" si="1"/>
        <v>0</v>
      </c>
      <c r="Q45" s="24">
        <v>1</v>
      </c>
      <c r="R45" s="24">
        <v>0</v>
      </c>
      <c r="S45" s="24">
        <v>0</v>
      </c>
      <c r="T45" s="24">
        <v>0</v>
      </c>
      <c r="U45" s="24">
        <v>0</v>
      </c>
      <c r="V45" s="24">
        <v>1</v>
      </c>
    </row>
    <row r="46" spans="1:22" ht="21" customHeight="1" x14ac:dyDescent="0.15">
      <c r="A46" s="2" t="str">
        <f ca="1">input_498101!A$2</f>
        <v>498101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38">
        <f ca="1">IFERROR(VLOOKUP(B46,input_498101!L:R,7,FALSE),VLOOKUP(tables_498101!C46,input_498101!A:H,8,FALSE))</f>
        <v>1043100</v>
      </c>
      <c r="P46" s="39">
        <f t="shared" ca="1" si="1"/>
        <v>9.0957446808399862E-3</v>
      </c>
      <c r="Q46" s="24">
        <v>1</v>
      </c>
      <c r="R46" s="24">
        <v>0</v>
      </c>
      <c r="S46" s="24">
        <v>0</v>
      </c>
      <c r="T46" s="24">
        <v>0</v>
      </c>
      <c r="U46" s="24">
        <v>0</v>
      </c>
      <c r="V46" s="24">
        <v>1</v>
      </c>
    </row>
    <row r="47" spans="1:22" ht="21" customHeight="1" x14ac:dyDescent="0.15">
      <c r="A47" s="2" t="str">
        <f ca="1">input_498101!A$2</f>
        <v>498101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38">
        <f ca="1">IFERROR(VLOOKUP(B47,input_498101!L:R,7,FALSE),VLOOKUP(tables_498101!C47,input_498101!A:H,8,FALSE))</f>
        <v>115900</v>
      </c>
      <c r="P47" s="39">
        <f t="shared" ca="1" si="1"/>
        <v>1.0106382978711096E-3</v>
      </c>
      <c r="Q47" s="24">
        <v>1</v>
      </c>
      <c r="R47" s="24">
        <v>0</v>
      </c>
      <c r="S47" s="24">
        <v>0</v>
      </c>
      <c r="T47" s="24">
        <v>0</v>
      </c>
      <c r="U47" s="24">
        <v>0</v>
      </c>
      <c r="V47" s="24">
        <v>1</v>
      </c>
    </row>
    <row r="48" spans="1:22" ht="21" customHeight="1" x14ac:dyDescent="0.15">
      <c r="A48" s="2" t="str">
        <f ca="1">input_498101!A$2</f>
        <v>498101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38">
        <f ca="1">IFERROR(VLOOKUP(B48,input_498101!L:R,7,FALSE),VLOOKUP(tables_498101!C48,input_498101!A:H,8,FALSE))</f>
        <v>0</v>
      </c>
      <c r="P48" s="39">
        <f t="shared" ca="1" si="1"/>
        <v>0</v>
      </c>
      <c r="Q48" s="24">
        <v>1</v>
      </c>
      <c r="R48" s="24">
        <v>0</v>
      </c>
      <c r="S48" s="24">
        <v>0</v>
      </c>
      <c r="T48" s="24">
        <v>0</v>
      </c>
      <c r="U48" s="24">
        <v>0</v>
      </c>
      <c r="V48" s="24">
        <v>1</v>
      </c>
    </row>
    <row r="49" spans="1:22" ht="21" customHeight="1" x14ac:dyDescent="0.15">
      <c r="A49" s="2" t="str">
        <f ca="1">input_498101!A$2</f>
        <v>498101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38">
        <f ca="1">IFERROR(VLOOKUP(B49,input_498101!L:R,7,FALSE),VLOOKUP(tables_498101!C49,input_498101!A:H,8,FALSE))</f>
        <v>1043100</v>
      </c>
      <c r="P49" s="39">
        <f t="shared" ca="1" si="1"/>
        <v>9.0957446808399862E-3</v>
      </c>
      <c r="Q49" s="24">
        <v>1</v>
      </c>
      <c r="R49" s="24">
        <v>0</v>
      </c>
      <c r="S49" s="24">
        <v>0</v>
      </c>
      <c r="T49" s="24">
        <v>0</v>
      </c>
      <c r="U49" s="24">
        <v>0</v>
      </c>
      <c r="V49" s="24">
        <v>1</v>
      </c>
    </row>
    <row r="50" spans="1:22" ht="21" customHeight="1" x14ac:dyDescent="0.15">
      <c r="A50" s="2" t="str">
        <f ca="1">input_498101!A$2</f>
        <v>498101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38">
        <f ca="1">IFERROR(VLOOKUP(B50,input_498101!L:R,7,FALSE),VLOOKUP(tables_498101!C50,input_498101!A:H,8,FALSE))</f>
        <v>115900</v>
      </c>
      <c r="P50" s="39">
        <f t="shared" ca="1" si="1"/>
        <v>1.0106382978711096E-3</v>
      </c>
      <c r="Q50" s="24">
        <v>1</v>
      </c>
      <c r="R50" s="24">
        <v>0</v>
      </c>
      <c r="S50" s="24">
        <v>0</v>
      </c>
      <c r="T50" s="24">
        <v>0</v>
      </c>
      <c r="U50" s="24">
        <v>0</v>
      </c>
      <c r="V50" s="24">
        <v>1</v>
      </c>
    </row>
    <row r="51" spans="1:22" ht="21" customHeight="1" x14ac:dyDescent="0.15">
      <c r="A51" s="2" t="str">
        <f ca="1">input_498101!A$2</f>
        <v>498101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38">
        <f ca="1">IFERROR(VLOOKUP(B51,input_498101!L:R,7,FALSE),VLOOKUP(tables_498101!C51,input_498101!A:H,8,FALSE))</f>
        <v>0</v>
      </c>
      <c r="P51" s="39">
        <f t="shared" ca="1" si="1"/>
        <v>0</v>
      </c>
      <c r="Q51" s="24">
        <v>1</v>
      </c>
      <c r="R51" s="24">
        <v>0</v>
      </c>
      <c r="S51" s="24">
        <v>0</v>
      </c>
      <c r="T51" s="24">
        <v>0</v>
      </c>
      <c r="U51" s="24">
        <v>0</v>
      </c>
      <c r="V51" s="24">
        <v>1</v>
      </c>
    </row>
    <row r="52" spans="1:22" ht="21" customHeight="1" x14ac:dyDescent="0.15">
      <c r="A52" s="2" t="str">
        <f ca="1">input_498101!A$2</f>
        <v>498101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38">
        <f ca="1">IFERROR(VLOOKUP(B52,input_498101!L:R,7,FALSE),VLOOKUP(tables_498101!C52,input_498101!A:H,8,FALSE))</f>
        <v>976938.46154000005</v>
      </c>
      <c r="P52" s="39">
        <f t="shared" ca="1" si="1"/>
        <v>8.5188216039310278E-3</v>
      </c>
      <c r="Q52" s="24">
        <v>1</v>
      </c>
      <c r="R52" s="24">
        <v>0</v>
      </c>
      <c r="S52" s="24">
        <v>0</v>
      </c>
      <c r="T52" s="24">
        <v>0</v>
      </c>
      <c r="U52" s="24">
        <v>0</v>
      </c>
      <c r="V52" s="24">
        <v>1</v>
      </c>
    </row>
    <row r="53" spans="1:22" ht="21" customHeight="1" x14ac:dyDescent="0.15">
      <c r="A53" s="2" t="str">
        <f ca="1">input_498101!A$2</f>
        <v>498101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38">
        <f ca="1">IFERROR(VLOOKUP(B53,input_498101!L:R,7,FALSE),VLOOKUP(tables_498101!C53,input_498101!A:H,8,FALSE))</f>
        <v>86510</v>
      </c>
      <c r="P53" s="39">
        <f t="shared" ca="1" si="1"/>
        <v>7.5435995814348308E-4</v>
      </c>
      <c r="Q53" s="24">
        <v>1</v>
      </c>
      <c r="R53" s="24">
        <v>0</v>
      </c>
      <c r="S53" s="24">
        <v>0</v>
      </c>
      <c r="T53" s="24">
        <v>0</v>
      </c>
      <c r="U53" s="24">
        <v>0</v>
      </c>
      <c r="V53" s="24">
        <v>1</v>
      </c>
    </row>
    <row r="54" spans="1:22" ht="21" customHeight="1" x14ac:dyDescent="0.15">
      <c r="A54" s="2" t="str">
        <f ca="1">input_498101!A$2</f>
        <v>498101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38">
        <f ca="1">IFERROR(VLOOKUP(B54,input_498101!L:R,7,FALSE),VLOOKUP(tables_498101!C54,input_498101!A:H,8,FALSE))</f>
        <v>0</v>
      </c>
      <c r="P54" s="39">
        <f t="shared" ca="1" si="1"/>
        <v>0</v>
      </c>
      <c r="Q54" s="24">
        <v>1</v>
      </c>
      <c r="R54" s="24">
        <v>0</v>
      </c>
      <c r="S54" s="24">
        <v>0</v>
      </c>
      <c r="T54" s="24">
        <v>0</v>
      </c>
      <c r="U54" s="24">
        <v>0</v>
      </c>
      <c r="V54" s="24">
        <v>1</v>
      </c>
    </row>
    <row r="55" spans="1:22" ht="21" customHeight="1" x14ac:dyDescent="0.15">
      <c r="A55" s="2" t="str">
        <f ca="1">input_498101!A$2</f>
        <v>498101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38">
        <f ca="1">IFERROR(VLOOKUP(B55,input_498101!L:R,7,FALSE),VLOOKUP(tables_498101!C55,input_498101!A:H,8,FALSE))</f>
        <v>976938.46154000005</v>
      </c>
      <c r="P55" s="39">
        <f t="shared" ca="1" si="1"/>
        <v>8.5188216039310278E-3</v>
      </c>
      <c r="Q55" s="24">
        <v>1</v>
      </c>
      <c r="R55" s="24">
        <v>0</v>
      </c>
      <c r="S55" s="24">
        <v>0</v>
      </c>
      <c r="T55" s="24">
        <v>0</v>
      </c>
      <c r="U55" s="24">
        <v>0</v>
      </c>
      <c r="V55" s="24">
        <v>1</v>
      </c>
    </row>
    <row r="56" spans="1:22" ht="21" customHeight="1" x14ac:dyDescent="0.15">
      <c r="A56" s="2" t="str">
        <f ca="1">input_498101!A$2</f>
        <v>498101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38">
        <f ca="1">IFERROR(VLOOKUP(B56,input_498101!L:R,7,FALSE),VLOOKUP(tables_498101!C56,input_498101!A:H,8,FALSE))</f>
        <v>86510</v>
      </c>
      <c r="P56" s="39">
        <f t="shared" ca="1" si="1"/>
        <v>7.5435995814348308E-4</v>
      </c>
      <c r="Q56" s="24">
        <v>1</v>
      </c>
      <c r="R56" s="24">
        <v>0</v>
      </c>
      <c r="S56" s="24">
        <v>0</v>
      </c>
      <c r="T56" s="24">
        <v>0</v>
      </c>
      <c r="U56" s="24">
        <v>0</v>
      </c>
      <c r="V56" s="24">
        <v>1</v>
      </c>
    </row>
    <row r="57" spans="1:22" ht="21" customHeight="1" x14ac:dyDescent="0.15">
      <c r="A57" s="2" t="str">
        <f ca="1">input_498101!A$2</f>
        <v>498101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38">
        <f ca="1">IFERROR(VLOOKUP(B57,input_498101!L:R,7,FALSE),VLOOKUP(tables_498101!C57,input_498101!A:H,8,FALSE))</f>
        <v>0</v>
      </c>
      <c r="P57" s="39">
        <f t="shared" ca="1" si="1"/>
        <v>0</v>
      </c>
      <c r="Q57" s="24">
        <v>1</v>
      </c>
      <c r="R57" s="24">
        <v>0</v>
      </c>
      <c r="S57" s="24">
        <v>0</v>
      </c>
      <c r="T57" s="24">
        <v>0</v>
      </c>
      <c r="U57" s="24">
        <v>0</v>
      </c>
      <c r="V57" s="24">
        <v>1</v>
      </c>
    </row>
    <row r="58" spans="1:22" ht="21" customHeight="1" x14ac:dyDescent="0.15">
      <c r="A58" s="2" t="str">
        <f ca="1">input_498101!A$2</f>
        <v>498101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38">
        <f ca="1">IFERROR(VLOOKUP(B58,input_498101!L:R,7,FALSE),VLOOKUP(tables_498101!C58,input_498101!A:H,8,FALSE))</f>
        <v>976938.46154000005</v>
      </c>
      <c r="P58" s="39">
        <f t="shared" ca="1" si="1"/>
        <v>8.5188216039310278E-3</v>
      </c>
      <c r="Q58" s="24">
        <v>1</v>
      </c>
      <c r="R58" s="24">
        <v>0</v>
      </c>
      <c r="S58" s="24">
        <v>0</v>
      </c>
      <c r="T58" s="24">
        <v>0</v>
      </c>
      <c r="U58" s="24">
        <v>0</v>
      </c>
      <c r="V58" s="24">
        <v>1</v>
      </c>
    </row>
    <row r="59" spans="1:22" ht="21" customHeight="1" x14ac:dyDescent="0.15">
      <c r="A59" s="2" t="str">
        <f ca="1">input_498101!A$2</f>
        <v>498101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38">
        <f ca="1">IFERROR(VLOOKUP(B59,input_498101!L:R,7,FALSE),VLOOKUP(tables_498101!C59,input_498101!A:H,8,FALSE))</f>
        <v>86510</v>
      </c>
      <c r="P59" s="39">
        <f t="shared" ca="1" si="1"/>
        <v>7.5435995814348308E-4</v>
      </c>
      <c r="Q59" s="24">
        <v>1</v>
      </c>
      <c r="R59" s="24">
        <v>0</v>
      </c>
      <c r="S59" s="24">
        <v>0</v>
      </c>
      <c r="T59" s="24">
        <v>0</v>
      </c>
      <c r="U59" s="24">
        <v>0</v>
      </c>
      <c r="V59" s="24">
        <v>1</v>
      </c>
    </row>
    <row r="60" spans="1:22" ht="21" customHeight="1" x14ac:dyDescent="0.15">
      <c r="A60" s="2" t="str">
        <f ca="1">input_498101!A$2</f>
        <v>498101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38">
        <f ca="1">IFERROR(VLOOKUP(B60,input_498101!L:R,7,FALSE),VLOOKUP(tables_498101!C60,input_498101!A:H,8,FALSE))</f>
        <v>0</v>
      </c>
      <c r="P60" s="39">
        <f t="shared" ca="1" si="1"/>
        <v>0</v>
      </c>
      <c r="Q60" s="24">
        <v>1</v>
      </c>
      <c r="R60" s="24">
        <v>0</v>
      </c>
      <c r="S60" s="24">
        <v>0</v>
      </c>
      <c r="T60" s="24">
        <v>0</v>
      </c>
      <c r="U60" s="24">
        <v>0</v>
      </c>
      <c r="V60" s="24">
        <v>1</v>
      </c>
    </row>
    <row r="61" spans="1:22" ht="21" customHeight="1" x14ac:dyDescent="0.15">
      <c r="A61" s="2" t="str">
        <f ca="1">input_498101!A$2</f>
        <v>498101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38">
        <f ca="1">IFERROR(VLOOKUP(B61,input_498101!L:R,7,FALSE),VLOOKUP(tables_498101!C61,input_498101!A:H,8,FALSE))</f>
        <v>976938.46154000005</v>
      </c>
      <c r="P61" s="39">
        <f t="shared" ca="1" si="1"/>
        <v>8.5188216039310278E-3</v>
      </c>
      <c r="Q61" s="24">
        <v>1</v>
      </c>
      <c r="R61" s="24">
        <v>0</v>
      </c>
      <c r="S61" s="24">
        <v>0</v>
      </c>
      <c r="T61" s="24">
        <v>0</v>
      </c>
      <c r="U61" s="24">
        <v>0</v>
      </c>
      <c r="V61" s="24">
        <v>1</v>
      </c>
    </row>
    <row r="62" spans="1:22" ht="21" customHeight="1" x14ac:dyDescent="0.15">
      <c r="A62" s="2" t="str">
        <f ca="1">input_498101!A$2</f>
        <v>498101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38">
        <f ca="1">IFERROR(VLOOKUP(B62,input_498101!L:R,7,FALSE),VLOOKUP(tables_498101!C62,input_498101!A:H,8,FALSE))</f>
        <v>86510</v>
      </c>
      <c r="P62" s="39">
        <f t="shared" ca="1" si="1"/>
        <v>7.5435995814348308E-4</v>
      </c>
      <c r="Q62" s="24">
        <v>1</v>
      </c>
      <c r="R62" s="24">
        <v>0</v>
      </c>
      <c r="S62" s="24">
        <v>0</v>
      </c>
      <c r="T62" s="24">
        <v>0</v>
      </c>
      <c r="U62" s="24">
        <v>0</v>
      </c>
      <c r="V62" s="24">
        <v>1</v>
      </c>
    </row>
    <row r="63" spans="1:22" ht="21" customHeight="1" x14ac:dyDescent="0.15">
      <c r="A63" s="2" t="str">
        <f ca="1">input_498101!A$2</f>
        <v>498101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38">
        <f ca="1">IFERROR(VLOOKUP(B63,input_498101!L:R,7,FALSE),VLOOKUP(tables_498101!C63,input_498101!A:H,8,FALSE))</f>
        <v>0</v>
      </c>
      <c r="P63" s="39">
        <f t="shared" ca="1" si="1"/>
        <v>0</v>
      </c>
      <c r="Q63" s="24">
        <v>1</v>
      </c>
      <c r="R63" s="24">
        <v>0</v>
      </c>
      <c r="S63" s="24">
        <v>0</v>
      </c>
      <c r="T63" s="24">
        <v>0</v>
      </c>
      <c r="U63" s="24">
        <v>0</v>
      </c>
      <c r="V63" s="24">
        <v>1</v>
      </c>
    </row>
    <row r="64" spans="1:22" ht="21" customHeight="1" x14ac:dyDescent="0.15">
      <c r="A64" s="2" t="str">
        <f ca="1">input_498101!A$2</f>
        <v>498101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38">
        <f ca="1">IFERROR(VLOOKUP(B64,input_498101!L:R,7,FALSE),VLOOKUP(tables_498101!C64,input_498101!A:H,8,FALSE))</f>
        <v>976938.46154000005</v>
      </c>
      <c r="P64" s="39">
        <f t="shared" ca="1" si="1"/>
        <v>8.5188216039310278E-3</v>
      </c>
      <c r="Q64" s="24">
        <v>1</v>
      </c>
      <c r="R64" s="24">
        <v>0</v>
      </c>
      <c r="S64" s="24">
        <v>0</v>
      </c>
      <c r="T64" s="24">
        <v>0</v>
      </c>
      <c r="U64" s="24">
        <v>0</v>
      </c>
      <c r="V64" s="24">
        <v>1</v>
      </c>
    </row>
    <row r="65" spans="1:22" ht="21" customHeight="1" x14ac:dyDescent="0.15">
      <c r="A65" s="2" t="str">
        <f ca="1">input_498101!A$2</f>
        <v>498101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38">
        <f ca="1">IFERROR(VLOOKUP(B65,input_498101!L:R,7,FALSE),VLOOKUP(tables_498101!C65,input_498101!A:H,8,FALSE))</f>
        <v>86510</v>
      </c>
      <c r="P65" s="39">
        <f t="shared" ca="1" si="1"/>
        <v>7.5435995814348308E-4</v>
      </c>
      <c r="Q65" s="24">
        <v>1</v>
      </c>
      <c r="R65" s="24">
        <v>0</v>
      </c>
      <c r="S65" s="24">
        <v>0</v>
      </c>
      <c r="T65" s="24">
        <v>0</v>
      </c>
      <c r="U65" s="24">
        <v>0</v>
      </c>
      <c r="V65" s="24">
        <v>1</v>
      </c>
    </row>
    <row r="66" spans="1:22" s="9" customFormat="1" ht="21" customHeight="1" thickBot="1" x14ac:dyDescent="0.2">
      <c r="A66" s="2" t="str">
        <f ca="1">input_498101!A$2</f>
        <v>498101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38">
        <f ca="1">IFERROR(VLOOKUP(B66,input_498101!L:R,7,FALSE),VLOOKUP(tables_498101!C66,input_498101!A:H,8,FALSE))</f>
        <v>0</v>
      </c>
      <c r="P66" s="39">
        <f t="shared" ref="P66:P129" ca="1" si="4">O66/SUM(O:O)</f>
        <v>0</v>
      </c>
      <c r="Q66" s="24">
        <v>1</v>
      </c>
      <c r="R66" s="24">
        <v>0</v>
      </c>
      <c r="S66" s="24">
        <v>0</v>
      </c>
      <c r="T66" s="24">
        <v>0</v>
      </c>
      <c r="U66" s="24">
        <v>0</v>
      </c>
      <c r="V66" s="24">
        <v>1</v>
      </c>
    </row>
    <row r="67" spans="1:22" ht="21" customHeight="1" x14ac:dyDescent="0.15">
      <c r="A67" s="2" t="str">
        <f ca="1">input_498101!A$2</f>
        <v>498101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38">
        <f ca="1">IFERROR(VLOOKUP(B67,input_498101!L:R,7,FALSE),VLOOKUP(tables_498101!C67,input_498101!A:H,8,FALSE))</f>
        <v>976938.46154000005</v>
      </c>
      <c r="P67" s="39">
        <f t="shared" ca="1" si="4"/>
        <v>8.5188216039310278E-3</v>
      </c>
      <c r="Q67" s="24">
        <v>1</v>
      </c>
      <c r="R67" s="24">
        <v>0</v>
      </c>
      <c r="S67" s="24">
        <v>0</v>
      </c>
      <c r="T67" s="24">
        <v>0</v>
      </c>
      <c r="U67" s="24">
        <v>0</v>
      </c>
      <c r="V67" s="24">
        <v>1</v>
      </c>
    </row>
    <row r="68" spans="1:22" ht="21" customHeight="1" x14ac:dyDescent="0.15">
      <c r="A68" s="2" t="str">
        <f ca="1">input_498101!A$2</f>
        <v>498101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38">
        <f ca="1">IFERROR(VLOOKUP(B68,input_498101!L:R,7,FALSE),VLOOKUP(tables_498101!C68,input_498101!A:H,8,FALSE))</f>
        <v>86510</v>
      </c>
      <c r="P68" s="39">
        <f t="shared" ca="1" si="4"/>
        <v>7.5435995814348308E-4</v>
      </c>
      <c r="Q68" s="24">
        <v>1</v>
      </c>
      <c r="R68" s="24">
        <v>0</v>
      </c>
      <c r="S68" s="24">
        <v>0</v>
      </c>
      <c r="T68" s="24">
        <v>0</v>
      </c>
      <c r="U68" s="24">
        <v>0</v>
      </c>
      <c r="V68" s="24">
        <v>1</v>
      </c>
    </row>
    <row r="69" spans="1:22" ht="21" customHeight="1" x14ac:dyDescent="0.15">
      <c r="A69" s="2" t="str">
        <f ca="1">input_498101!A$2</f>
        <v>498101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38">
        <f ca="1">IFERROR(VLOOKUP(B69,input_498101!L:R,7,FALSE),VLOOKUP(tables_498101!C69,input_498101!A:H,8,FALSE))</f>
        <v>0</v>
      </c>
      <c r="P69" s="39">
        <f t="shared" ca="1" si="4"/>
        <v>0</v>
      </c>
      <c r="Q69" s="24">
        <v>1</v>
      </c>
      <c r="R69" s="24">
        <v>0</v>
      </c>
      <c r="S69" s="24">
        <v>0</v>
      </c>
      <c r="T69" s="24">
        <v>0</v>
      </c>
      <c r="U69" s="24">
        <v>0</v>
      </c>
      <c r="V69" s="24">
        <v>1</v>
      </c>
    </row>
    <row r="70" spans="1:22" ht="21" customHeight="1" x14ac:dyDescent="0.15">
      <c r="A70" s="2" t="str">
        <f ca="1">input_498101!A$2</f>
        <v>498101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38">
        <f ca="1">IFERROR(VLOOKUP(B70,input_498101!L:R,7,FALSE),VLOOKUP(tables_498101!C70,input_498101!A:H,8,FALSE))</f>
        <v>976938.46154000005</v>
      </c>
      <c r="P70" s="39">
        <f t="shared" ca="1" si="4"/>
        <v>8.5188216039310278E-3</v>
      </c>
      <c r="Q70" s="24">
        <v>1</v>
      </c>
      <c r="R70" s="24">
        <v>0</v>
      </c>
      <c r="S70" s="24">
        <v>0</v>
      </c>
      <c r="T70" s="24">
        <v>0</v>
      </c>
      <c r="U70" s="24">
        <v>0</v>
      </c>
      <c r="V70" s="24">
        <v>1</v>
      </c>
    </row>
    <row r="71" spans="1:22" ht="21" customHeight="1" x14ac:dyDescent="0.15">
      <c r="A71" s="2" t="str">
        <f ca="1">input_498101!A$2</f>
        <v>498101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38">
        <f ca="1">IFERROR(VLOOKUP(B71,input_498101!L:R,7,FALSE),VLOOKUP(tables_498101!C71,input_498101!A:H,8,FALSE))</f>
        <v>86510</v>
      </c>
      <c r="P71" s="39">
        <f t="shared" ca="1" si="4"/>
        <v>7.5435995814348308E-4</v>
      </c>
      <c r="Q71" s="24">
        <v>1</v>
      </c>
      <c r="R71" s="24">
        <v>0</v>
      </c>
      <c r="S71" s="24">
        <v>0</v>
      </c>
      <c r="T71" s="24">
        <v>0</v>
      </c>
      <c r="U71" s="24">
        <v>0</v>
      </c>
      <c r="V71" s="24">
        <v>1</v>
      </c>
    </row>
    <row r="72" spans="1:22" ht="21" customHeight="1" x14ac:dyDescent="0.15">
      <c r="A72" s="2" t="str">
        <f ca="1">input_498101!A$2</f>
        <v>498101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38">
        <f ca="1">IFERROR(VLOOKUP(B72,input_498101!L:R,7,FALSE),VLOOKUP(tables_498101!C72,input_498101!A:H,8,FALSE))</f>
        <v>0</v>
      </c>
      <c r="P72" s="39">
        <f t="shared" ca="1" si="4"/>
        <v>0</v>
      </c>
      <c r="Q72" s="24">
        <v>1</v>
      </c>
      <c r="R72" s="24">
        <v>0</v>
      </c>
      <c r="S72" s="24">
        <v>0</v>
      </c>
      <c r="T72" s="24">
        <v>0</v>
      </c>
      <c r="U72" s="24">
        <v>0</v>
      </c>
      <c r="V72" s="24">
        <v>1</v>
      </c>
    </row>
    <row r="73" spans="1:22" ht="21" customHeight="1" x14ac:dyDescent="0.15">
      <c r="A73" s="2" t="str">
        <f ca="1">input_498101!A$2</f>
        <v>498101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38">
        <f ca="1">IFERROR(VLOOKUP(B73,input_498101!L:R,7,FALSE),VLOOKUP(tables_498101!C73,input_498101!A:H,8,FALSE))</f>
        <v>976938.46154000005</v>
      </c>
      <c r="P73" s="39">
        <f t="shared" ca="1" si="4"/>
        <v>8.5188216039310278E-3</v>
      </c>
      <c r="Q73" s="24">
        <v>1</v>
      </c>
      <c r="R73" s="24">
        <v>0</v>
      </c>
      <c r="S73" s="24">
        <v>0</v>
      </c>
      <c r="T73" s="24">
        <v>0</v>
      </c>
      <c r="U73" s="24">
        <v>0</v>
      </c>
      <c r="V73" s="24">
        <v>1</v>
      </c>
    </row>
    <row r="74" spans="1:22" ht="21" customHeight="1" x14ac:dyDescent="0.15">
      <c r="A74" s="2" t="str">
        <f ca="1">input_498101!A$2</f>
        <v>498101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38">
        <f ca="1">IFERROR(VLOOKUP(B74,input_498101!L:R,7,FALSE),VLOOKUP(tables_498101!C74,input_498101!A:H,8,FALSE))</f>
        <v>86510</v>
      </c>
      <c r="P74" s="39">
        <f t="shared" ca="1" si="4"/>
        <v>7.5435995814348308E-4</v>
      </c>
      <c r="Q74" s="24">
        <v>1</v>
      </c>
      <c r="R74" s="24">
        <v>0</v>
      </c>
      <c r="S74" s="24">
        <v>0</v>
      </c>
      <c r="T74" s="24">
        <v>0</v>
      </c>
      <c r="U74" s="24">
        <v>0</v>
      </c>
      <c r="V74" s="24">
        <v>1</v>
      </c>
    </row>
    <row r="75" spans="1:22" ht="21" customHeight="1" x14ac:dyDescent="0.15">
      <c r="A75" s="2" t="str">
        <f ca="1">input_498101!A$2</f>
        <v>498101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38">
        <f ca="1">IFERROR(VLOOKUP(B75,input_498101!L:R,7,FALSE),VLOOKUP(tables_498101!C75,input_498101!A:H,8,FALSE))</f>
        <v>0</v>
      </c>
      <c r="P75" s="39">
        <f t="shared" ca="1" si="4"/>
        <v>0</v>
      </c>
      <c r="Q75" s="24">
        <v>1</v>
      </c>
      <c r="R75" s="24">
        <v>0</v>
      </c>
      <c r="S75" s="24">
        <v>0</v>
      </c>
      <c r="T75" s="24">
        <v>0</v>
      </c>
      <c r="U75" s="24">
        <v>0</v>
      </c>
      <c r="V75" s="24">
        <v>1</v>
      </c>
    </row>
    <row r="76" spans="1:22" ht="21" customHeight="1" x14ac:dyDescent="0.15">
      <c r="A76" s="2" t="str">
        <f ca="1">input_498101!A$2</f>
        <v>498101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38">
        <f ca="1">IFERROR(VLOOKUP(B76,input_498101!L:R,7,FALSE),VLOOKUP(tables_498101!C76,input_498101!A:H,8,FALSE))</f>
        <v>976938.46154000005</v>
      </c>
      <c r="P76" s="39">
        <f t="shared" ca="1" si="4"/>
        <v>8.5188216039310278E-3</v>
      </c>
      <c r="Q76" s="24">
        <v>1</v>
      </c>
      <c r="R76" s="24">
        <v>0</v>
      </c>
      <c r="S76" s="24">
        <v>0</v>
      </c>
      <c r="T76" s="24">
        <v>0</v>
      </c>
      <c r="U76" s="24">
        <v>0</v>
      </c>
      <c r="V76" s="24">
        <v>1</v>
      </c>
    </row>
    <row r="77" spans="1:22" ht="21" customHeight="1" x14ac:dyDescent="0.15">
      <c r="A77" s="2" t="str">
        <f ca="1">input_498101!A$2</f>
        <v>498101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38">
        <f ca="1">IFERROR(VLOOKUP(B77,input_498101!L:R,7,FALSE),VLOOKUP(tables_498101!C77,input_498101!A:H,8,FALSE))</f>
        <v>86510</v>
      </c>
      <c r="P77" s="39">
        <f t="shared" ca="1" si="4"/>
        <v>7.5435995814348308E-4</v>
      </c>
      <c r="Q77" s="24">
        <v>1</v>
      </c>
      <c r="R77" s="24">
        <v>0</v>
      </c>
      <c r="S77" s="24">
        <v>0</v>
      </c>
      <c r="T77" s="24">
        <v>0</v>
      </c>
      <c r="U77" s="24">
        <v>0</v>
      </c>
      <c r="V77" s="24">
        <v>1</v>
      </c>
    </row>
    <row r="78" spans="1:22" ht="21" customHeight="1" x14ac:dyDescent="0.15">
      <c r="A78" s="2" t="str">
        <f ca="1">input_498101!A$2</f>
        <v>498101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38">
        <f ca="1">IFERROR(VLOOKUP(B78,input_498101!L:R,7,FALSE),VLOOKUP(tables_498101!C78,input_498101!A:H,8,FALSE))</f>
        <v>0</v>
      </c>
      <c r="P78" s="39">
        <f t="shared" ca="1" si="4"/>
        <v>0</v>
      </c>
      <c r="Q78" s="24">
        <v>1</v>
      </c>
      <c r="R78" s="24">
        <v>0</v>
      </c>
      <c r="S78" s="24">
        <v>0</v>
      </c>
      <c r="T78" s="24">
        <v>0</v>
      </c>
      <c r="U78" s="24">
        <v>0</v>
      </c>
      <c r="V78" s="24">
        <v>1</v>
      </c>
    </row>
    <row r="79" spans="1:22" ht="21" customHeight="1" x14ac:dyDescent="0.15">
      <c r="A79" s="2" t="str">
        <f ca="1">input_498101!A$2</f>
        <v>498101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38">
        <f ca="1">IFERROR(VLOOKUP(B79,input_498101!L:R,7,FALSE),VLOOKUP(tables_498101!C79,input_498101!A:H,8,FALSE))</f>
        <v>976938.46154000005</v>
      </c>
      <c r="P79" s="39">
        <f t="shared" ca="1" si="4"/>
        <v>8.5188216039310278E-3</v>
      </c>
      <c r="Q79" s="24">
        <v>1</v>
      </c>
      <c r="R79" s="24">
        <v>0</v>
      </c>
      <c r="S79" s="24">
        <v>0</v>
      </c>
      <c r="T79" s="24">
        <v>0</v>
      </c>
      <c r="U79" s="24">
        <v>0</v>
      </c>
      <c r="V79" s="24">
        <v>1</v>
      </c>
    </row>
    <row r="80" spans="1:22" ht="21" customHeight="1" x14ac:dyDescent="0.15">
      <c r="A80" s="2" t="str">
        <f ca="1">input_498101!A$2</f>
        <v>498101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38">
        <f ca="1">IFERROR(VLOOKUP(B80,input_498101!L:R,7,FALSE),VLOOKUP(tables_498101!C80,input_498101!A:H,8,FALSE))</f>
        <v>86510</v>
      </c>
      <c r="P80" s="39">
        <f t="shared" ca="1" si="4"/>
        <v>7.5435995814348308E-4</v>
      </c>
      <c r="Q80" s="24">
        <v>1</v>
      </c>
      <c r="R80" s="24">
        <v>0</v>
      </c>
      <c r="S80" s="24">
        <v>0</v>
      </c>
      <c r="T80" s="24">
        <v>0</v>
      </c>
      <c r="U80" s="24">
        <v>0</v>
      </c>
      <c r="V80" s="24">
        <v>1</v>
      </c>
    </row>
    <row r="81" spans="1:22" ht="21" customHeight="1" x14ac:dyDescent="0.15">
      <c r="A81" s="2" t="str">
        <f ca="1">input_498101!A$2</f>
        <v>498101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38">
        <f ca="1">IFERROR(VLOOKUP(B81,input_498101!L:R,7,FALSE),VLOOKUP(tables_498101!C81,input_498101!A:H,8,FALSE))</f>
        <v>0</v>
      </c>
      <c r="P81" s="39">
        <f t="shared" ca="1" si="4"/>
        <v>0</v>
      </c>
      <c r="Q81" s="24">
        <v>1</v>
      </c>
      <c r="R81" s="24">
        <v>0</v>
      </c>
      <c r="S81" s="24">
        <v>0</v>
      </c>
      <c r="T81" s="24">
        <v>0</v>
      </c>
      <c r="U81" s="24">
        <v>0</v>
      </c>
      <c r="V81" s="24">
        <v>1</v>
      </c>
    </row>
    <row r="82" spans="1:22" ht="21" customHeight="1" x14ac:dyDescent="0.15">
      <c r="A82" s="2" t="str">
        <f ca="1">input_498101!A$2</f>
        <v>498101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38">
        <f ca="1">IFERROR(VLOOKUP(B82,input_498101!L:R,7,FALSE),VLOOKUP(tables_498101!C82,input_498101!A:H,8,FALSE))</f>
        <v>976938.46154000005</v>
      </c>
      <c r="P82" s="39">
        <f t="shared" ca="1" si="4"/>
        <v>8.5188216039310278E-3</v>
      </c>
      <c r="Q82" s="24">
        <v>1</v>
      </c>
      <c r="R82" s="24">
        <v>0</v>
      </c>
      <c r="S82" s="24">
        <v>0</v>
      </c>
      <c r="T82" s="24">
        <v>0</v>
      </c>
      <c r="U82" s="24">
        <v>0</v>
      </c>
      <c r="V82" s="24">
        <v>1</v>
      </c>
    </row>
    <row r="83" spans="1:22" ht="21" customHeight="1" x14ac:dyDescent="0.15">
      <c r="A83" s="2" t="str">
        <f ca="1">input_498101!A$2</f>
        <v>498101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38">
        <f ca="1">IFERROR(VLOOKUP(B83,input_498101!L:R,7,FALSE),VLOOKUP(tables_498101!C83,input_498101!A:H,8,FALSE))</f>
        <v>86510</v>
      </c>
      <c r="P83" s="39">
        <f t="shared" ca="1" si="4"/>
        <v>7.5435995814348308E-4</v>
      </c>
      <c r="Q83" s="24">
        <v>1</v>
      </c>
      <c r="R83" s="24">
        <v>0</v>
      </c>
      <c r="S83" s="24">
        <v>0</v>
      </c>
      <c r="T83" s="24">
        <v>0</v>
      </c>
      <c r="U83" s="24">
        <v>0</v>
      </c>
      <c r="V83" s="24">
        <v>1</v>
      </c>
    </row>
    <row r="84" spans="1:22" ht="21" customHeight="1" x14ac:dyDescent="0.15">
      <c r="A84" s="2" t="str">
        <f ca="1">input_498101!A$2</f>
        <v>498101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38">
        <f ca="1">IFERROR(VLOOKUP(B84,input_498101!L:R,7,FALSE),VLOOKUP(tables_498101!C84,input_498101!A:H,8,FALSE))</f>
        <v>0</v>
      </c>
      <c r="P84" s="39">
        <f t="shared" ca="1" si="4"/>
        <v>0</v>
      </c>
      <c r="Q84" s="24">
        <v>1</v>
      </c>
      <c r="R84" s="24">
        <v>0</v>
      </c>
      <c r="S84" s="24">
        <v>0</v>
      </c>
      <c r="T84" s="24">
        <v>0</v>
      </c>
      <c r="U84" s="24">
        <v>0</v>
      </c>
      <c r="V84" s="24">
        <v>1</v>
      </c>
    </row>
    <row r="85" spans="1:22" ht="21" customHeight="1" x14ac:dyDescent="0.15">
      <c r="A85" s="2" t="str">
        <f ca="1">input_498101!A$2</f>
        <v>498101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38">
        <f ca="1">IFERROR(VLOOKUP(B85,input_498101!L:R,7,FALSE),VLOOKUP(tables_498101!C85,input_498101!A:H,8,FALSE))</f>
        <v>976938.46154000005</v>
      </c>
      <c r="P85" s="39">
        <f t="shared" ca="1" si="4"/>
        <v>8.5188216039310278E-3</v>
      </c>
      <c r="Q85" s="24">
        <v>1</v>
      </c>
      <c r="R85" s="24">
        <v>0</v>
      </c>
      <c r="S85" s="24">
        <v>0</v>
      </c>
      <c r="T85" s="24">
        <v>0</v>
      </c>
      <c r="U85" s="24">
        <v>0</v>
      </c>
      <c r="V85" s="24">
        <v>1</v>
      </c>
    </row>
    <row r="86" spans="1:22" ht="21" customHeight="1" x14ac:dyDescent="0.15">
      <c r="A86" s="2" t="str">
        <f ca="1">input_498101!A$2</f>
        <v>498101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38">
        <f ca="1">IFERROR(VLOOKUP(B86,input_498101!L:R,7,FALSE),VLOOKUP(tables_498101!C86,input_498101!A:H,8,FALSE))</f>
        <v>86510</v>
      </c>
      <c r="P86" s="39">
        <f t="shared" ca="1" si="4"/>
        <v>7.5435995814348308E-4</v>
      </c>
      <c r="Q86" s="24">
        <v>1</v>
      </c>
      <c r="R86" s="24">
        <v>0</v>
      </c>
      <c r="S86" s="24">
        <v>0</v>
      </c>
      <c r="T86" s="24">
        <v>0</v>
      </c>
      <c r="U86" s="24">
        <v>0</v>
      </c>
      <c r="V86" s="24">
        <v>1</v>
      </c>
    </row>
    <row r="87" spans="1:22" ht="21" customHeight="1" x14ac:dyDescent="0.15">
      <c r="A87" s="2" t="str">
        <f ca="1">input_498101!A$2</f>
        <v>498101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38">
        <f ca="1">IFERROR(VLOOKUP(B87,input_498101!L:R,7,FALSE),VLOOKUP(tables_498101!C87,input_498101!A:H,8,FALSE))</f>
        <v>0</v>
      </c>
      <c r="P87" s="39">
        <f t="shared" ca="1" si="4"/>
        <v>0</v>
      </c>
      <c r="Q87" s="24">
        <v>1</v>
      </c>
      <c r="R87" s="24">
        <v>0</v>
      </c>
      <c r="S87" s="24">
        <v>0</v>
      </c>
      <c r="T87" s="24">
        <v>0</v>
      </c>
      <c r="U87" s="24">
        <v>0</v>
      </c>
      <c r="V87" s="24">
        <v>1</v>
      </c>
    </row>
    <row r="88" spans="1:22" ht="21" customHeight="1" x14ac:dyDescent="0.15">
      <c r="A88" s="2" t="str">
        <f ca="1">input_498101!A$2</f>
        <v>498101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38">
        <f ca="1">IFERROR(VLOOKUP(B88,input_498101!L:R,7,FALSE),VLOOKUP(tables_498101!C88,input_498101!A:H,8,FALSE))</f>
        <v>976938.46154000005</v>
      </c>
      <c r="P88" s="39">
        <f t="shared" ca="1" si="4"/>
        <v>8.5188216039310278E-3</v>
      </c>
      <c r="Q88" s="24">
        <v>1</v>
      </c>
      <c r="R88" s="24">
        <v>0</v>
      </c>
      <c r="S88" s="24">
        <v>0</v>
      </c>
      <c r="T88" s="24">
        <v>0</v>
      </c>
      <c r="U88" s="24">
        <v>0</v>
      </c>
      <c r="V88" s="24">
        <v>1</v>
      </c>
    </row>
    <row r="89" spans="1:22" ht="21" customHeight="1" x14ac:dyDescent="0.15">
      <c r="A89" s="2" t="str">
        <f ca="1">input_498101!A$2</f>
        <v>498101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38">
        <f ca="1">IFERROR(VLOOKUP(B89,input_498101!L:R,7,FALSE),VLOOKUP(tables_498101!C89,input_498101!A:H,8,FALSE))</f>
        <v>86510</v>
      </c>
      <c r="P89" s="39">
        <f t="shared" ca="1" si="4"/>
        <v>7.5435995814348308E-4</v>
      </c>
      <c r="Q89" s="24">
        <v>1</v>
      </c>
      <c r="R89" s="24">
        <v>0</v>
      </c>
      <c r="S89" s="24">
        <v>0</v>
      </c>
      <c r="T89" s="24">
        <v>0</v>
      </c>
      <c r="U89" s="24">
        <v>0</v>
      </c>
      <c r="V89" s="24">
        <v>1</v>
      </c>
    </row>
    <row r="90" spans="1:22" ht="21" customHeight="1" x14ac:dyDescent="0.15">
      <c r="A90" s="2" t="str">
        <f ca="1">input_498101!A$2</f>
        <v>498101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38">
        <f ca="1">IFERROR(VLOOKUP(B90,input_498101!L:R,7,FALSE),VLOOKUP(tables_498101!C90,input_498101!A:H,8,FALSE))</f>
        <v>0</v>
      </c>
      <c r="P90" s="39">
        <f t="shared" ca="1" si="4"/>
        <v>0</v>
      </c>
      <c r="Q90" s="24">
        <v>1</v>
      </c>
      <c r="R90" s="24">
        <v>0</v>
      </c>
      <c r="S90" s="24">
        <v>0</v>
      </c>
      <c r="T90" s="24">
        <v>0</v>
      </c>
      <c r="U90" s="24">
        <v>0</v>
      </c>
      <c r="V90" s="24">
        <v>1</v>
      </c>
    </row>
    <row r="91" spans="1:22" ht="21" customHeight="1" x14ac:dyDescent="0.15">
      <c r="A91" s="2" t="str">
        <f ca="1">input_498101!A$2</f>
        <v>498101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38">
        <f ca="1">IFERROR(VLOOKUP(B91,input_498101!L:R,7,FALSE),VLOOKUP(tables_498101!C91,input_498101!A:H,8,FALSE))</f>
        <v>976938.46154000005</v>
      </c>
      <c r="P91" s="39">
        <f t="shared" ca="1" si="4"/>
        <v>8.5188216039310278E-3</v>
      </c>
      <c r="Q91" s="24">
        <v>1</v>
      </c>
      <c r="R91" s="24">
        <v>0</v>
      </c>
      <c r="S91" s="24">
        <v>0</v>
      </c>
      <c r="T91" s="24">
        <v>0</v>
      </c>
      <c r="U91" s="24">
        <v>0</v>
      </c>
      <c r="V91" s="24">
        <v>1</v>
      </c>
    </row>
    <row r="92" spans="1:22" ht="21" customHeight="1" x14ac:dyDescent="0.15">
      <c r="A92" s="2" t="str">
        <f ca="1">input_498101!A$2</f>
        <v>498101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38">
        <f ca="1">IFERROR(VLOOKUP(B92,input_498101!L:R,7,FALSE),VLOOKUP(tables_498101!C92,input_498101!A:H,8,FALSE))</f>
        <v>86510</v>
      </c>
      <c r="P92" s="39">
        <f t="shared" ca="1" si="4"/>
        <v>7.5435995814348308E-4</v>
      </c>
      <c r="Q92" s="24">
        <v>1</v>
      </c>
      <c r="R92" s="24">
        <v>0</v>
      </c>
      <c r="S92" s="24">
        <v>0</v>
      </c>
      <c r="T92" s="24">
        <v>0</v>
      </c>
      <c r="U92" s="24">
        <v>0</v>
      </c>
      <c r="V92" s="24">
        <v>1</v>
      </c>
    </row>
    <row r="93" spans="1:22" ht="21" customHeight="1" x14ac:dyDescent="0.15">
      <c r="A93" s="2" t="str">
        <f ca="1">input_498101!A$2</f>
        <v>498101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38">
        <f ca="1">IFERROR(VLOOKUP(B93,input_498101!L:R,7,FALSE),VLOOKUP(tables_498101!C93,input_498101!A:H,8,FALSE))</f>
        <v>0</v>
      </c>
      <c r="P93" s="39">
        <f t="shared" ca="1" si="4"/>
        <v>0</v>
      </c>
      <c r="Q93" s="24">
        <v>1</v>
      </c>
      <c r="R93" s="24">
        <v>0</v>
      </c>
      <c r="S93" s="24">
        <v>0</v>
      </c>
      <c r="T93" s="24">
        <v>0</v>
      </c>
      <c r="U93" s="24">
        <v>0</v>
      </c>
      <c r="V93" s="24">
        <v>1</v>
      </c>
    </row>
    <row r="94" spans="1:22" ht="21" customHeight="1" x14ac:dyDescent="0.15">
      <c r="A94" s="2" t="str">
        <f ca="1">input_498101!A$2</f>
        <v>498101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38">
        <f ca="1">IFERROR(VLOOKUP(B94,input_498101!L:R,7,FALSE),VLOOKUP(tables_498101!C94,input_498101!A:H,8,FALSE))</f>
        <v>976938.46154000005</v>
      </c>
      <c r="P94" s="39">
        <f t="shared" ca="1" si="4"/>
        <v>8.5188216039310278E-3</v>
      </c>
      <c r="Q94" s="24">
        <v>1</v>
      </c>
      <c r="R94" s="24">
        <v>0</v>
      </c>
      <c r="S94" s="24">
        <v>0</v>
      </c>
      <c r="T94" s="24">
        <v>0</v>
      </c>
      <c r="U94" s="24">
        <v>0</v>
      </c>
      <c r="V94" s="24">
        <v>1</v>
      </c>
    </row>
    <row r="95" spans="1:22" ht="21" customHeight="1" x14ac:dyDescent="0.15">
      <c r="A95" s="2" t="str">
        <f ca="1">input_498101!A$2</f>
        <v>498101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38">
        <f ca="1">IFERROR(VLOOKUP(B95,input_498101!L:R,7,FALSE),VLOOKUP(tables_498101!C95,input_498101!A:H,8,FALSE))</f>
        <v>86510</v>
      </c>
      <c r="P95" s="39">
        <f t="shared" ca="1" si="4"/>
        <v>7.5435995814348308E-4</v>
      </c>
      <c r="Q95" s="24">
        <v>1</v>
      </c>
      <c r="R95" s="24">
        <v>0</v>
      </c>
      <c r="S95" s="24">
        <v>0</v>
      </c>
      <c r="T95" s="24">
        <v>0</v>
      </c>
      <c r="U95" s="24">
        <v>0</v>
      </c>
      <c r="V95" s="24">
        <v>1</v>
      </c>
    </row>
    <row r="96" spans="1:22" ht="21" customHeight="1" x14ac:dyDescent="0.15">
      <c r="A96" s="2" t="str">
        <f ca="1">input_498101!A$2</f>
        <v>498101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38">
        <f ca="1">IFERROR(VLOOKUP(B96,input_498101!L:R,7,FALSE),VLOOKUP(tables_498101!C96,input_498101!A:H,8,FALSE))</f>
        <v>0</v>
      </c>
      <c r="P96" s="39">
        <f t="shared" ca="1" si="4"/>
        <v>0</v>
      </c>
      <c r="Q96" s="24">
        <v>1</v>
      </c>
      <c r="R96" s="24">
        <v>0</v>
      </c>
      <c r="S96" s="24">
        <v>0</v>
      </c>
      <c r="T96" s="24">
        <v>0</v>
      </c>
      <c r="U96" s="24">
        <v>0</v>
      </c>
      <c r="V96" s="24">
        <v>1</v>
      </c>
    </row>
    <row r="97" spans="1:22" ht="21" customHeight="1" x14ac:dyDescent="0.15">
      <c r="A97" s="2" t="str">
        <f ca="1">input_498101!A$2</f>
        <v>498101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38">
        <f ca="1">IFERROR(VLOOKUP(B97,input_498101!L:R,7,FALSE),VLOOKUP(tables_498101!C97,input_498101!A:H,8,FALSE))</f>
        <v>976938.46154000005</v>
      </c>
      <c r="P97" s="39">
        <f t="shared" ca="1" si="4"/>
        <v>8.5188216039310278E-3</v>
      </c>
      <c r="Q97" s="24">
        <v>1</v>
      </c>
      <c r="R97" s="24">
        <v>0</v>
      </c>
      <c r="S97" s="24">
        <v>0</v>
      </c>
      <c r="T97" s="24">
        <v>0</v>
      </c>
      <c r="U97" s="24">
        <v>0</v>
      </c>
      <c r="V97" s="24">
        <v>1</v>
      </c>
    </row>
    <row r="98" spans="1:22" ht="21" customHeight="1" x14ac:dyDescent="0.15">
      <c r="A98" s="2" t="str">
        <f ca="1">input_498101!A$2</f>
        <v>498101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38">
        <f ca="1">IFERROR(VLOOKUP(B98,input_498101!L:R,7,FALSE),VLOOKUP(tables_498101!C98,input_498101!A:H,8,FALSE))</f>
        <v>86510</v>
      </c>
      <c r="P98" s="39">
        <f t="shared" ca="1" si="4"/>
        <v>7.5435995814348308E-4</v>
      </c>
      <c r="Q98" s="24">
        <v>1</v>
      </c>
      <c r="R98" s="24">
        <v>0</v>
      </c>
      <c r="S98" s="24">
        <v>0</v>
      </c>
      <c r="T98" s="24">
        <v>0</v>
      </c>
      <c r="U98" s="24">
        <v>0</v>
      </c>
      <c r="V98" s="24">
        <v>1</v>
      </c>
    </row>
    <row r="99" spans="1:22" ht="21" customHeight="1" x14ac:dyDescent="0.15">
      <c r="A99" s="2" t="str">
        <f ca="1">input_498101!A$2</f>
        <v>498101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38">
        <f ca="1">IFERROR(VLOOKUP(B99,input_498101!L:R,7,FALSE),VLOOKUP(tables_498101!C99,input_498101!A:H,8,FALSE))</f>
        <v>0</v>
      </c>
      <c r="P99" s="39">
        <f t="shared" ca="1" si="4"/>
        <v>0</v>
      </c>
      <c r="Q99" s="24">
        <v>1</v>
      </c>
      <c r="R99" s="24">
        <v>0</v>
      </c>
      <c r="S99" s="24">
        <v>0</v>
      </c>
      <c r="T99" s="24">
        <v>0</v>
      </c>
      <c r="U99" s="24">
        <v>0</v>
      </c>
      <c r="V99" s="24">
        <v>1</v>
      </c>
    </row>
    <row r="100" spans="1:22" ht="21" customHeight="1" x14ac:dyDescent="0.15">
      <c r="A100" s="2" t="str">
        <f ca="1">input_498101!A$2</f>
        <v>498101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38">
        <f ca="1">IFERROR(VLOOKUP(B100,input_498101!L:R,7,FALSE),VLOOKUP(tables_498101!C100,input_498101!A:H,8,FALSE))</f>
        <v>976938.46154000005</v>
      </c>
      <c r="P100" s="39">
        <f t="shared" ca="1" si="4"/>
        <v>8.5188216039310278E-3</v>
      </c>
      <c r="Q100" s="24">
        <v>1</v>
      </c>
      <c r="R100" s="24">
        <v>0</v>
      </c>
      <c r="S100" s="24">
        <v>0</v>
      </c>
      <c r="T100" s="24">
        <v>0</v>
      </c>
      <c r="U100" s="24">
        <v>0</v>
      </c>
      <c r="V100" s="24">
        <v>1</v>
      </c>
    </row>
    <row r="101" spans="1:22" ht="21" customHeight="1" x14ac:dyDescent="0.15">
      <c r="A101" s="2" t="str">
        <f ca="1">input_498101!A$2</f>
        <v>498101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38">
        <f ca="1">IFERROR(VLOOKUP(B101,input_498101!L:R,7,FALSE),VLOOKUP(tables_498101!C101,input_498101!A:H,8,FALSE))</f>
        <v>86510</v>
      </c>
      <c r="P101" s="39">
        <f t="shared" ca="1" si="4"/>
        <v>7.5435995814348308E-4</v>
      </c>
      <c r="Q101" s="24">
        <v>1</v>
      </c>
      <c r="R101" s="24">
        <v>0</v>
      </c>
      <c r="S101" s="24">
        <v>0</v>
      </c>
      <c r="T101" s="24">
        <v>0</v>
      </c>
      <c r="U101" s="24">
        <v>0</v>
      </c>
      <c r="V101" s="24">
        <v>1</v>
      </c>
    </row>
    <row r="102" spans="1:22" ht="21" customHeight="1" x14ac:dyDescent="0.15">
      <c r="A102" s="2" t="str">
        <f ca="1">input_498101!A$2</f>
        <v>498101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38">
        <f ca="1">IFERROR(VLOOKUP(B102,input_498101!L:R,7,FALSE),VLOOKUP(tables_498101!C102,input_498101!A:H,8,FALSE))</f>
        <v>0</v>
      </c>
      <c r="P102" s="39">
        <f t="shared" ca="1" si="4"/>
        <v>0</v>
      </c>
      <c r="Q102" s="24">
        <v>1</v>
      </c>
      <c r="R102" s="24">
        <v>0</v>
      </c>
      <c r="S102" s="24">
        <v>0</v>
      </c>
      <c r="T102" s="24">
        <v>0</v>
      </c>
      <c r="U102" s="24">
        <v>0</v>
      </c>
      <c r="V102" s="24">
        <v>1</v>
      </c>
    </row>
    <row r="103" spans="1:22" ht="21" customHeight="1" x14ac:dyDescent="0.15">
      <c r="A103" s="2" t="str">
        <f ca="1">input_498101!A$2</f>
        <v>498101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38">
        <f ca="1">IFERROR(VLOOKUP(B103,input_498101!L:R,7,FALSE),VLOOKUP(tables_498101!C103,input_498101!A:H,8,FALSE))</f>
        <v>976938.46154000005</v>
      </c>
      <c r="P103" s="39">
        <f t="shared" ca="1" si="4"/>
        <v>8.5188216039310278E-3</v>
      </c>
      <c r="Q103" s="24">
        <v>1</v>
      </c>
      <c r="R103" s="24">
        <v>0</v>
      </c>
      <c r="S103" s="24">
        <v>0</v>
      </c>
      <c r="T103" s="24">
        <v>0</v>
      </c>
      <c r="U103" s="24">
        <v>0</v>
      </c>
      <c r="V103" s="24">
        <v>1</v>
      </c>
    </row>
    <row r="104" spans="1:22" ht="21" customHeight="1" x14ac:dyDescent="0.15">
      <c r="A104" s="2" t="str">
        <f ca="1">input_498101!A$2</f>
        <v>498101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38">
        <f ca="1">IFERROR(VLOOKUP(B104,input_498101!L:R,7,FALSE),VLOOKUP(tables_498101!C104,input_498101!A:H,8,FALSE))</f>
        <v>86510</v>
      </c>
      <c r="P104" s="39">
        <f t="shared" ca="1" si="4"/>
        <v>7.5435995814348308E-4</v>
      </c>
      <c r="Q104" s="24">
        <v>1</v>
      </c>
      <c r="R104" s="24">
        <v>0</v>
      </c>
      <c r="S104" s="24">
        <v>0</v>
      </c>
      <c r="T104" s="24">
        <v>0</v>
      </c>
      <c r="U104" s="24">
        <v>0</v>
      </c>
      <c r="V104" s="24">
        <v>1</v>
      </c>
    </row>
    <row r="105" spans="1:22" ht="21" customHeight="1" x14ac:dyDescent="0.15">
      <c r="A105" s="2" t="str">
        <f ca="1">input_498101!A$2</f>
        <v>498101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38">
        <f ca="1">IFERROR(VLOOKUP(B105,input_498101!L:R,7,FALSE),VLOOKUP(tables_498101!C105,input_498101!A:H,8,FALSE))</f>
        <v>0</v>
      </c>
      <c r="P105" s="39">
        <f t="shared" ca="1" si="4"/>
        <v>0</v>
      </c>
      <c r="Q105" s="24">
        <v>1</v>
      </c>
      <c r="R105" s="24">
        <v>0</v>
      </c>
      <c r="S105" s="24">
        <v>0</v>
      </c>
      <c r="T105" s="24">
        <v>0</v>
      </c>
      <c r="U105" s="24">
        <v>0</v>
      </c>
      <c r="V105" s="24">
        <v>1</v>
      </c>
    </row>
    <row r="106" spans="1:22" ht="21" customHeight="1" x14ac:dyDescent="0.15">
      <c r="A106" s="2" t="str">
        <f ca="1">input_498101!A$2</f>
        <v>498101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38">
        <f ca="1">IFERROR(VLOOKUP(B106,input_498101!L:R,7,FALSE),VLOOKUP(tables_498101!C106,input_498101!A:H,8,FALSE))</f>
        <v>976938.46154000005</v>
      </c>
      <c r="P106" s="39">
        <f t="shared" ca="1" si="4"/>
        <v>8.5188216039310278E-3</v>
      </c>
      <c r="Q106" s="24">
        <v>1</v>
      </c>
      <c r="R106" s="24">
        <v>0</v>
      </c>
      <c r="S106" s="24">
        <v>0</v>
      </c>
      <c r="T106" s="24">
        <v>0</v>
      </c>
      <c r="U106" s="24">
        <v>0</v>
      </c>
      <c r="V106" s="24">
        <v>1</v>
      </c>
    </row>
    <row r="107" spans="1:22" ht="21" customHeight="1" x14ac:dyDescent="0.15">
      <c r="A107" s="2" t="str">
        <f ca="1">input_498101!A$2</f>
        <v>498101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38">
        <f ca="1">IFERROR(VLOOKUP(B107,input_498101!L:R,7,FALSE),VLOOKUP(tables_498101!C107,input_498101!A:H,8,FALSE))</f>
        <v>86510</v>
      </c>
      <c r="P107" s="39">
        <f t="shared" ca="1" si="4"/>
        <v>7.5435995814348308E-4</v>
      </c>
      <c r="Q107" s="24">
        <v>1</v>
      </c>
      <c r="R107" s="24">
        <v>0</v>
      </c>
      <c r="S107" s="24">
        <v>0</v>
      </c>
      <c r="T107" s="24">
        <v>0</v>
      </c>
      <c r="U107" s="24">
        <v>0</v>
      </c>
      <c r="V107" s="24">
        <v>1</v>
      </c>
    </row>
    <row r="108" spans="1:22" ht="21" customHeight="1" x14ac:dyDescent="0.15">
      <c r="A108" s="2" t="str">
        <f ca="1">input_498101!A$2</f>
        <v>498101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38">
        <f ca="1">IFERROR(VLOOKUP(B108,input_498101!L:R,7,FALSE),VLOOKUP(tables_498101!C108,input_498101!A:H,8,FALSE))</f>
        <v>0</v>
      </c>
      <c r="P108" s="39">
        <f t="shared" ca="1" si="4"/>
        <v>0</v>
      </c>
      <c r="Q108" s="24">
        <v>1</v>
      </c>
      <c r="R108" s="24">
        <v>0</v>
      </c>
      <c r="S108" s="24">
        <v>0</v>
      </c>
      <c r="T108" s="24">
        <v>0</v>
      </c>
      <c r="U108" s="24">
        <v>0</v>
      </c>
      <c r="V108" s="24">
        <v>1</v>
      </c>
    </row>
    <row r="109" spans="1:22" ht="21" customHeight="1" x14ac:dyDescent="0.15">
      <c r="A109" s="2" t="str">
        <f ca="1">input_498101!A$2</f>
        <v>498101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38">
        <f ca="1">IFERROR(VLOOKUP(B109,input_498101!L:R,7,FALSE),VLOOKUP(tables_498101!C109,input_498101!A:H,8,FALSE))</f>
        <v>976938.46154000005</v>
      </c>
      <c r="P109" s="39">
        <f t="shared" ca="1" si="4"/>
        <v>8.5188216039310278E-3</v>
      </c>
      <c r="Q109" s="24">
        <v>1</v>
      </c>
      <c r="R109" s="24">
        <v>0</v>
      </c>
      <c r="S109" s="24">
        <v>0</v>
      </c>
      <c r="T109" s="24">
        <v>0</v>
      </c>
      <c r="U109" s="24">
        <v>0</v>
      </c>
      <c r="V109" s="24">
        <v>1</v>
      </c>
    </row>
    <row r="110" spans="1:22" ht="21" customHeight="1" x14ac:dyDescent="0.15">
      <c r="A110" s="2" t="str">
        <f ca="1">input_498101!A$2</f>
        <v>498101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38">
        <f ca="1">IFERROR(VLOOKUP(B110,input_498101!L:R,7,FALSE),VLOOKUP(tables_498101!C110,input_498101!A:H,8,FALSE))</f>
        <v>86510</v>
      </c>
      <c r="P110" s="39">
        <f t="shared" ca="1" si="4"/>
        <v>7.5435995814348308E-4</v>
      </c>
      <c r="Q110" s="24">
        <v>1</v>
      </c>
      <c r="R110" s="24">
        <v>0</v>
      </c>
      <c r="S110" s="24">
        <v>0</v>
      </c>
      <c r="T110" s="24">
        <v>0</v>
      </c>
      <c r="U110" s="24">
        <v>0</v>
      </c>
      <c r="V110" s="24">
        <v>1</v>
      </c>
    </row>
    <row r="111" spans="1:22" ht="21" customHeight="1" x14ac:dyDescent="0.15">
      <c r="A111" s="2" t="str">
        <f ca="1">input_498101!A$2</f>
        <v>498101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38">
        <f ca="1">IFERROR(VLOOKUP(B111,input_498101!L:R,7,FALSE),VLOOKUP(tables_498101!C111,input_498101!A:H,8,FALSE))</f>
        <v>0</v>
      </c>
      <c r="P111" s="39">
        <f t="shared" ca="1" si="4"/>
        <v>0</v>
      </c>
      <c r="Q111" s="24">
        <v>1</v>
      </c>
      <c r="R111" s="24">
        <v>0</v>
      </c>
      <c r="S111" s="24">
        <v>0</v>
      </c>
      <c r="T111" s="24">
        <v>0</v>
      </c>
      <c r="U111" s="24">
        <v>0</v>
      </c>
      <c r="V111" s="24">
        <v>1</v>
      </c>
    </row>
    <row r="112" spans="1:22" ht="21" customHeight="1" x14ac:dyDescent="0.15">
      <c r="A112" s="2" t="str">
        <f ca="1">input_498101!A$2</f>
        <v>498101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38">
        <f ca="1">IFERROR(VLOOKUP(B112,input_498101!L:R,7,FALSE),VLOOKUP(tables_498101!C112,input_498101!A:H,8,FALSE))</f>
        <v>1043100</v>
      </c>
      <c r="P112" s="39">
        <f t="shared" ca="1" si="4"/>
        <v>9.0957446808399862E-3</v>
      </c>
      <c r="Q112" s="24">
        <v>1</v>
      </c>
      <c r="R112" s="24">
        <v>0</v>
      </c>
      <c r="S112" s="24">
        <v>0</v>
      </c>
      <c r="T112" s="24">
        <v>0</v>
      </c>
      <c r="U112" s="24">
        <v>0</v>
      </c>
      <c r="V112" s="24">
        <v>1</v>
      </c>
    </row>
    <row r="113" spans="1:22" ht="21" customHeight="1" x14ac:dyDescent="0.15">
      <c r="A113" s="2" t="str">
        <f ca="1">input_498101!A$2</f>
        <v>498101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38">
        <f ca="1">IFERROR(VLOOKUP(B113,input_498101!L:R,7,FALSE),VLOOKUP(tables_498101!C113,input_498101!A:H,8,FALSE))</f>
        <v>115900</v>
      </c>
      <c r="P113" s="39">
        <f t="shared" ca="1" si="4"/>
        <v>1.0106382978711096E-3</v>
      </c>
      <c r="Q113" s="24">
        <v>1</v>
      </c>
      <c r="R113" s="24">
        <v>0</v>
      </c>
      <c r="S113" s="24">
        <v>0</v>
      </c>
      <c r="T113" s="24">
        <v>0</v>
      </c>
      <c r="U113" s="24">
        <v>0</v>
      </c>
      <c r="V113" s="24">
        <v>1</v>
      </c>
    </row>
    <row r="114" spans="1:22" ht="21" customHeight="1" x14ac:dyDescent="0.15">
      <c r="A114" s="2" t="str">
        <f ca="1">input_498101!A$2</f>
        <v>498101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38">
        <f ca="1">IFERROR(VLOOKUP(B114,input_498101!L:R,7,FALSE),VLOOKUP(tables_498101!C114,input_498101!A:H,8,FALSE))</f>
        <v>0</v>
      </c>
      <c r="P114" s="39">
        <f t="shared" ca="1" si="4"/>
        <v>0</v>
      </c>
      <c r="Q114" s="24">
        <v>1</v>
      </c>
      <c r="R114" s="24">
        <v>0</v>
      </c>
      <c r="S114" s="24">
        <v>0</v>
      </c>
      <c r="T114" s="24">
        <v>0</v>
      </c>
      <c r="U114" s="24">
        <v>0</v>
      </c>
      <c r="V114" s="24">
        <v>1</v>
      </c>
    </row>
    <row r="115" spans="1:22" ht="21" customHeight="1" x14ac:dyDescent="0.15">
      <c r="A115" s="2" t="str">
        <f ca="1">input_498101!A$2</f>
        <v>498101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38">
        <f ca="1">IFERROR(VLOOKUP(B115,input_498101!L:R,7,FALSE),VLOOKUP(tables_498101!C115,input_498101!A:H,8,FALSE))</f>
        <v>976938.46154000005</v>
      </c>
      <c r="P115" s="39">
        <f t="shared" ca="1" si="4"/>
        <v>8.5188216039310278E-3</v>
      </c>
      <c r="Q115" s="24">
        <v>1</v>
      </c>
      <c r="R115" s="24">
        <v>0</v>
      </c>
      <c r="S115" s="24">
        <v>0</v>
      </c>
      <c r="T115" s="24">
        <v>0</v>
      </c>
      <c r="U115" s="24">
        <v>0</v>
      </c>
      <c r="V115" s="24">
        <v>1</v>
      </c>
    </row>
    <row r="116" spans="1:22" ht="21" customHeight="1" x14ac:dyDescent="0.15">
      <c r="A116" s="2" t="str">
        <f ca="1">input_498101!A$2</f>
        <v>498101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38">
        <f ca="1">IFERROR(VLOOKUP(B116,input_498101!L:R,7,FALSE),VLOOKUP(tables_498101!C116,input_498101!A:H,8,FALSE))</f>
        <v>86510</v>
      </c>
      <c r="P116" s="39">
        <f t="shared" ca="1" si="4"/>
        <v>7.5435995814348308E-4</v>
      </c>
      <c r="Q116" s="24">
        <v>1</v>
      </c>
      <c r="R116" s="24">
        <v>0</v>
      </c>
      <c r="S116" s="24">
        <v>0</v>
      </c>
      <c r="T116" s="24">
        <v>0</v>
      </c>
      <c r="U116" s="24">
        <v>0</v>
      </c>
      <c r="V116" s="24">
        <v>1</v>
      </c>
    </row>
    <row r="117" spans="1:22" ht="21" customHeight="1" x14ac:dyDescent="0.15">
      <c r="A117" s="2" t="str">
        <f ca="1">input_498101!A$2</f>
        <v>498101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38">
        <f ca="1">IFERROR(VLOOKUP(B117,input_498101!L:R,7,FALSE),VLOOKUP(tables_498101!C117,input_498101!A:H,8,FALSE))</f>
        <v>0</v>
      </c>
      <c r="P117" s="39">
        <f t="shared" ca="1" si="4"/>
        <v>0</v>
      </c>
      <c r="Q117" s="24">
        <v>1</v>
      </c>
      <c r="R117" s="24">
        <v>0</v>
      </c>
      <c r="S117" s="24">
        <v>0</v>
      </c>
      <c r="T117" s="24">
        <v>0</v>
      </c>
      <c r="U117" s="24">
        <v>0</v>
      </c>
      <c r="V117" s="24">
        <v>1</v>
      </c>
    </row>
    <row r="118" spans="1:22" ht="21" customHeight="1" x14ac:dyDescent="0.15">
      <c r="A118" s="2" t="str">
        <f ca="1">input_498101!A$2</f>
        <v>498101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38">
        <f ca="1">IFERROR(VLOOKUP(B118,input_498101!L:R,7,FALSE),VLOOKUP(tables_498101!C118,input_498101!A:H,8,FALSE))</f>
        <v>976938.46154000005</v>
      </c>
      <c r="P118" s="39">
        <f t="shared" ca="1" si="4"/>
        <v>8.5188216039310278E-3</v>
      </c>
      <c r="Q118" s="24">
        <v>1</v>
      </c>
      <c r="R118" s="24">
        <v>0</v>
      </c>
      <c r="S118" s="24">
        <v>0</v>
      </c>
      <c r="T118" s="24">
        <v>0</v>
      </c>
      <c r="U118" s="24">
        <v>0</v>
      </c>
      <c r="V118" s="24">
        <v>1</v>
      </c>
    </row>
    <row r="119" spans="1:22" ht="21" customHeight="1" x14ac:dyDescent="0.15">
      <c r="A119" s="2" t="str">
        <f ca="1">input_498101!A$2</f>
        <v>498101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38">
        <f ca="1">IFERROR(VLOOKUP(B119,input_498101!L:R,7,FALSE),VLOOKUP(tables_498101!C119,input_498101!A:H,8,FALSE))</f>
        <v>86510</v>
      </c>
      <c r="P119" s="39">
        <f t="shared" ca="1" si="4"/>
        <v>7.5435995814348308E-4</v>
      </c>
      <c r="Q119" s="24">
        <v>1</v>
      </c>
      <c r="R119" s="24">
        <v>0</v>
      </c>
      <c r="S119" s="24">
        <v>0</v>
      </c>
      <c r="T119" s="24">
        <v>0</v>
      </c>
      <c r="U119" s="24">
        <v>0</v>
      </c>
      <c r="V119" s="24">
        <v>1</v>
      </c>
    </row>
    <row r="120" spans="1:22" ht="21" customHeight="1" x14ac:dyDescent="0.15">
      <c r="A120" s="2" t="str">
        <f ca="1">input_498101!A$2</f>
        <v>498101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38">
        <f ca="1">IFERROR(VLOOKUP(B120,input_498101!L:R,7,FALSE),VLOOKUP(tables_498101!C120,input_498101!A:H,8,FALSE))</f>
        <v>0</v>
      </c>
      <c r="P120" s="39">
        <f t="shared" ca="1" si="4"/>
        <v>0</v>
      </c>
      <c r="Q120" s="24">
        <v>1</v>
      </c>
      <c r="R120" s="24">
        <v>0</v>
      </c>
      <c r="S120" s="24">
        <v>0</v>
      </c>
      <c r="T120" s="24">
        <v>0</v>
      </c>
      <c r="U120" s="24">
        <v>0</v>
      </c>
      <c r="V120" s="24">
        <v>1</v>
      </c>
    </row>
    <row r="121" spans="1:22" ht="21" customHeight="1" x14ac:dyDescent="0.15">
      <c r="A121" s="2" t="str">
        <f ca="1">input_498101!A$2</f>
        <v>498101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38">
        <f ca="1">IFERROR(VLOOKUP(B121,input_498101!L:R,7,FALSE),VLOOKUP(tables_498101!C121,input_498101!A:H,8,FALSE))</f>
        <v>976938.46154000005</v>
      </c>
      <c r="P121" s="39">
        <f t="shared" ca="1" si="4"/>
        <v>8.5188216039310278E-3</v>
      </c>
      <c r="Q121" s="24">
        <v>1</v>
      </c>
      <c r="R121" s="24">
        <v>0</v>
      </c>
      <c r="S121" s="24">
        <v>0</v>
      </c>
      <c r="T121" s="24">
        <v>0</v>
      </c>
      <c r="U121" s="24">
        <v>0</v>
      </c>
      <c r="V121" s="24">
        <v>1</v>
      </c>
    </row>
    <row r="122" spans="1:22" ht="21" customHeight="1" x14ac:dyDescent="0.15">
      <c r="A122" s="2" t="str">
        <f ca="1">input_498101!A$2</f>
        <v>498101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38">
        <f ca="1">IFERROR(VLOOKUP(B122,input_498101!L:R,7,FALSE),VLOOKUP(tables_498101!C122,input_498101!A:H,8,FALSE))</f>
        <v>86510</v>
      </c>
      <c r="P122" s="39">
        <f t="shared" ca="1" si="4"/>
        <v>7.5435995814348308E-4</v>
      </c>
      <c r="Q122" s="24">
        <v>1</v>
      </c>
      <c r="R122" s="24">
        <v>0</v>
      </c>
      <c r="S122" s="24">
        <v>0</v>
      </c>
      <c r="T122" s="24">
        <v>0</v>
      </c>
      <c r="U122" s="24">
        <v>0</v>
      </c>
      <c r="V122" s="24">
        <v>1</v>
      </c>
    </row>
    <row r="123" spans="1:22" ht="21" customHeight="1" x14ac:dyDescent="0.15">
      <c r="A123" s="2" t="str">
        <f ca="1">input_498101!A$2</f>
        <v>498101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38">
        <f ca="1">IFERROR(VLOOKUP(B123,input_498101!L:R,7,FALSE),VLOOKUP(tables_498101!C123,input_498101!A:H,8,FALSE))</f>
        <v>0</v>
      </c>
      <c r="P123" s="39">
        <f t="shared" ca="1" si="4"/>
        <v>0</v>
      </c>
      <c r="Q123" s="24">
        <v>1</v>
      </c>
      <c r="R123" s="24">
        <v>0</v>
      </c>
      <c r="S123" s="24">
        <v>0</v>
      </c>
      <c r="T123" s="24">
        <v>0</v>
      </c>
      <c r="U123" s="24">
        <v>0</v>
      </c>
      <c r="V123" s="24">
        <v>1</v>
      </c>
    </row>
    <row r="124" spans="1:22" ht="21" customHeight="1" x14ac:dyDescent="0.15">
      <c r="A124" s="2" t="str">
        <f ca="1">input_498101!A$2</f>
        <v>498101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38">
        <f ca="1">IFERROR(VLOOKUP(B124,input_498101!L:R,7,FALSE),VLOOKUP(tables_498101!C124,input_498101!A:H,8,FALSE))</f>
        <v>976938.46154000005</v>
      </c>
      <c r="P124" s="39">
        <f t="shared" ca="1" si="4"/>
        <v>8.5188216039310278E-3</v>
      </c>
      <c r="Q124" s="24">
        <v>1</v>
      </c>
      <c r="R124" s="24">
        <v>0</v>
      </c>
      <c r="S124" s="24">
        <v>0</v>
      </c>
      <c r="T124" s="24">
        <v>0</v>
      </c>
      <c r="U124" s="24">
        <v>0</v>
      </c>
      <c r="V124" s="24">
        <v>1</v>
      </c>
    </row>
    <row r="125" spans="1:22" ht="21" customHeight="1" x14ac:dyDescent="0.15">
      <c r="A125" s="2" t="str">
        <f ca="1">input_498101!A$2</f>
        <v>498101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38">
        <f ca="1">IFERROR(VLOOKUP(B125,input_498101!L:R,7,FALSE),VLOOKUP(tables_498101!C125,input_498101!A:H,8,FALSE))</f>
        <v>86510</v>
      </c>
      <c r="P125" s="39">
        <f t="shared" ca="1" si="4"/>
        <v>7.5435995814348308E-4</v>
      </c>
      <c r="Q125" s="24">
        <v>1</v>
      </c>
      <c r="R125" s="24">
        <v>0</v>
      </c>
      <c r="S125" s="24">
        <v>0</v>
      </c>
      <c r="T125" s="24">
        <v>0</v>
      </c>
      <c r="U125" s="24">
        <v>0</v>
      </c>
      <c r="V125" s="24">
        <v>1</v>
      </c>
    </row>
    <row r="126" spans="1:22" ht="21" customHeight="1" x14ac:dyDescent="0.15">
      <c r="A126" s="2" t="str">
        <f ca="1">input_498101!A$2</f>
        <v>498101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38">
        <f ca="1">IFERROR(VLOOKUP(B126,input_498101!L:R,7,FALSE),VLOOKUP(tables_498101!C126,input_498101!A:H,8,FALSE))</f>
        <v>0</v>
      </c>
      <c r="P126" s="39">
        <f t="shared" ca="1" si="4"/>
        <v>0</v>
      </c>
      <c r="Q126" s="24">
        <v>1</v>
      </c>
      <c r="R126" s="24">
        <v>0</v>
      </c>
      <c r="S126" s="24">
        <v>0</v>
      </c>
      <c r="T126" s="24">
        <v>0</v>
      </c>
      <c r="U126" s="24">
        <v>0</v>
      </c>
      <c r="V126" s="24">
        <v>1</v>
      </c>
    </row>
    <row r="127" spans="1:22" ht="21" customHeight="1" x14ac:dyDescent="0.15">
      <c r="A127" s="2" t="str">
        <f ca="1">input_498101!A$2</f>
        <v>498101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38">
        <f ca="1">IFERROR(VLOOKUP(B127,input_498101!L:R,7,FALSE),VLOOKUP(tables_498101!C127,input_498101!A:H,8,FALSE))</f>
        <v>976938.46154000005</v>
      </c>
      <c r="P127" s="39">
        <f t="shared" ca="1" si="4"/>
        <v>8.5188216039310278E-3</v>
      </c>
      <c r="Q127" s="24">
        <v>1</v>
      </c>
      <c r="R127" s="24">
        <v>0</v>
      </c>
      <c r="S127" s="24">
        <v>0</v>
      </c>
      <c r="T127" s="24">
        <v>0</v>
      </c>
      <c r="U127" s="24">
        <v>0</v>
      </c>
      <c r="V127" s="24">
        <v>1</v>
      </c>
    </row>
    <row r="128" spans="1:22" ht="21" customHeight="1" x14ac:dyDescent="0.15">
      <c r="A128" s="2" t="str">
        <f ca="1">input_498101!A$2</f>
        <v>498101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38">
        <f ca="1">IFERROR(VLOOKUP(B128,input_498101!L:R,7,FALSE),VLOOKUP(tables_498101!C128,input_498101!A:H,8,FALSE))</f>
        <v>86510</v>
      </c>
      <c r="P128" s="39">
        <f t="shared" ca="1" si="4"/>
        <v>7.5435995814348308E-4</v>
      </c>
      <c r="Q128" s="24">
        <v>1</v>
      </c>
      <c r="R128" s="24">
        <v>0</v>
      </c>
      <c r="S128" s="24">
        <v>0</v>
      </c>
      <c r="T128" s="24">
        <v>0</v>
      </c>
      <c r="U128" s="24">
        <v>0</v>
      </c>
      <c r="V128" s="24">
        <v>1</v>
      </c>
    </row>
    <row r="129" spans="1:22" ht="21" customHeight="1" x14ac:dyDescent="0.15">
      <c r="A129" s="2" t="str">
        <f ca="1">input_498101!A$2</f>
        <v>498101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38">
        <f ca="1">IFERROR(VLOOKUP(B129,input_498101!L:R,7,FALSE),VLOOKUP(tables_498101!C129,input_498101!A:H,8,FALSE))</f>
        <v>0</v>
      </c>
      <c r="P129" s="39">
        <f t="shared" ca="1" si="4"/>
        <v>0</v>
      </c>
      <c r="Q129" s="24">
        <v>1</v>
      </c>
      <c r="R129" s="24">
        <v>0</v>
      </c>
      <c r="S129" s="24">
        <v>0</v>
      </c>
      <c r="T129" s="24">
        <v>0</v>
      </c>
      <c r="U129" s="24">
        <v>0</v>
      </c>
      <c r="V129" s="24">
        <v>1</v>
      </c>
    </row>
    <row r="130" spans="1:22" ht="21" customHeight="1" x14ac:dyDescent="0.15">
      <c r="A130" s="2" t="str">
        <f ca="1">input_498101!A$2</f>
        <v>498101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38">
        <f ca="1">IFERROR(VLOOKUP(B130,input_498101!L:R,7,FALSE),VLOOKUP(tables_498101!C130,input_498101!A:H,8,FALSE))</f>
        <v>976938.46154000005</v>
      </c>
      <c r="P130" s="39">
        <f t="shared" ref="P130:P193" ca="1" si="7">O130/SUM(O:O)</f>
        <v>8.5188216039310278E-3</v>
      </c>
      <c r="Q130" s="24">
        <v>1</v>
      </c>
      <c r="R130" s="24">
        <v>0</v>
      </c>
      <c r="S130" s="24">
        <v>0</v>
      </c>
      <c r="T130" s="24">
        <v>0</v>
      </c>
      <c r="U130" s="24">
        <v>0</v>
      </c>
      <c r="V130" s="24">
        <v>1</v>
      </c>
    </row>
    <row r="131" spans="1:22" ht="21" customHeight="1" x14ac:dyDescent="0.15">
      <c r="A131" s="2" t="str">
        <f ca="1">input_498101!A$2</f>
        <v>498101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38">
        <f ca="1">IFERROR(VLOOKUP(B131,input_498101!L:R,7,FALSE),VLOOKUP(tables_498101!C131,input_498101!A:H,8,FALSE))</f>
        <v>86510</v>
      </c>
      <c r="P131" s="39">
        <f t="shared" ca="1" si="7"/>
        <v>7.5435995814348308E-4</v>
      </c>
      <c r="Q131" s="24">
        <v>1</v>
      </c>
      <c r="R131" s="24">
        <v>0</v>
      </c>
      <c r="S131" s="24">
        <v>0</v>
      </c>
      <c r="T131" s="24">
        <v>0</v>
      </c>
      <c r="U131" s="24">
        <v>0</v>
      </c>
      <c r="V131" s="24">
        <v>1</v>
      </c>
    </row>
    <row r="132" spans="1:22" ht="21" customHeight="1" x14ac:dyDescent="0.15">
      <c r="A132" s="2" t="str">
        <f ca="1">input_498101!A$2</f>
        <v>498101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38">
        <f ca="1">IFERROR(VLOOKUP(B132,input_498101!L:R,7,FALSE),VLOOKUP(tables_498101!C132,input_498101!A:H,8,FALSE))</f>
        <v>0</v>
      </c>
      <c r="P132" s="39">
        <f t="shared" ca="1" si="7"/>
        <v>0</v>
      </c>
      <c r="Q132" s="24">
        <v>1</v>
      </c>
      <c r="R132" s="24">
        <v>0</v>
      </c>
      <c r="S132" s="24">
        <v>0</v>
      </c>
      <c r="T132" s="24">
        <v>0</v>
      </c>
      <c r="U132" s="24">
        <v>0</v>
      </c>
      <c r="V132" s="24">
        <v>1</v>
      </c>
    </row>
    <row r="133" spans="1:22" ht="21" customHeight="1" x14ac:dyDescent="0.15">
      <c r="A133" s="2" t="str">
        <f ca="1">input_498101!A$2</f>
        <v>498101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38">
        <f ca="1">IFERROR(VLOOKUP(B133,input_498101!L:R,7,FALSE),VLOOKUP(tables_498101!C133,input_498101!A:H,8,FALSE))</f>
        <v>976938.46154000005</v>
      </c>
      <c r="P133" s="39">
        <f t="shared" ca="1" si="7"/>
        <v>8.5188216039310278E-3</v>
      </c>
      <c r="Q133" s="24">
        <v>1</v>
      </c>
      <c r="R133" s="24">
        <v>0</v>
      </c>
      <c r="S133" s="24">
        <v>0</v>
      </c>
      <c r="T133" s="24">
        <v>0</v>
      </c>
      <c r="U133" s="24">
        <v>0</v>
      </c>
      <c r="V133" s="24">
        <v>1</v>
      </c>
    </row>
    <row r="134" spans="1:22" ht="21" customHeight="1" x14ac:dyDescent="0.15">
      <c r="A134" s="2" t="str">
        <f ca="1">input_498101!A$2</f>
        <v>498101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38">
        <f ca="1">IFERROR(VLOOKUP(B134,input_498101!L:R,7,FALSE),VLOOKUP(tables_498101!C134,input_498101!A:H,8,FALSE))</f>
        <v>86510</v>
      </c>
      <c r="P134" s="39">
        <f t="shared" ca="1" si="7"/>
        <v>7.5435995814348308E-4</v>
      </c>
      <c r="Q134" s="24">
        <v>1</v>
      </c>
      <c r="R134" s="24">
        <v>0</v>
      </c>
      <c r="S134" s="24">
        <v>0</v>
      </c>
      <c r="T134" s="24">
        <v>0</v>
      </c>
      <c r="U134" s="24">
        <v>0</v>
      </c>
      <c r="V134" s="24">
        <v>1</v>
      </c>
    </row>
    <row r="135" spans="1:22" ht="21" customHeight="1" x14ac:dyDescent="0.15">
      <c r="A135" s="2" t="str">
        <f ca="1">input_498101!A$2</f>
        <v>498101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38">
        <f ca="1">IFERROR(VLOOKUP(B135,input_498101!L:R,7,FALSE),VLOOKUP(tables_498101!C135,input_498101!A:H,8,FALSE))</f>
        <v>0</v>
      </c>
      <c r="P135" s="39">
        <f t="shared" ca="1" si="7"/>
        <v>0</v>
      </c>
      <c r="Q135" s="24">
        <v>1</v>
      </c>
      <c r="R135" s="24">
        <v>0</v>
      </c>
      <c r="S135" s="24">
        <v>0</v>
      </c>
      <c r="T135" s="24">
        <v>0</v>
      </c>
      <c r="U135" s="24">
        <v>0</v>
      </c>
      <c r="V135" s="24">
        <v>1</v>
      </c>
    </row>
    <row r="136" spans="1:22" ht="21" customHeight="1" x14ac:dyDescent="0.15">
      <c r="A136" s="2" t="str">
        <f ca="1">input_498101!A$2</f>
        <v>498101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38">
        <f ca="1">IFERROR(VLOOKUP(B136,input_498101!L:R,7,FALSE),VLOOKUP(tables_498101!C136,input_498101!A:H,8,FALSE))</f>
        <v>976938.46154000005</v>
      </c>
      <c r="P136" s="39">
        <f t="shared" ca="1" si="7"/>
        <v>8.5188216039310278E-3</v>
      </c>
      <c r="Q136" s="24">
        <v>1</v>
      </c>
      <c r="R136" s="24">
        <v>0</v>
      </c>
      <c r="S136" s="24">
        <v>0</v>
      </c>
      <c r="T136" s="24">
        <v>0</v>
      </c>
      <c r="U136" s="24">
        <v>0</v>
      </c>
      <c r="V136" s="24">
        <v>1</v>
      </c>
    </row>
    <row r="137" spans="1:22" ht="21" customHeight="1" x14ac:dyDescent="0.15">
      <c r="A137" s="2" t="str">
        <f ca="1">input_498101!A$2</f>
        <v>498101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38">
        <f ca="1">IFERROR(VLOOKUP(B137,input_498101!L:R,7,FALSE),VLOOKUP(tables_498101!C137,input_498101!A:H,8,FALSE))</f>
        <v>86510</v>
      </c>
      <c r="P137" s="39">
        <f t="shared" ca="1" si="7"/>
        <v>7.5435995814348308E-4</v>
      </c>
      <c r="Q137" s="24">
        <v>1</v>
      </c>
      <c r="R137" s="24">
        <v>0</v>
      </c>
      <c r="S137" s="24">
        <v>0</v>
      </c>
      <c r="T137" s="24">
        <v>0</v>
      </c>
      <c r="U137" s="24">
        <v>0</v>
      </c>
      <c r="V137" s="24">
        <v>1</v>
      </c>
    </row>
    <row r="138" spans="1:22" ht="21" customHeight="1" x14ac:dyDescent="0.15">
      <c r="A138" s="2" t="str">
        <f ca="1">input_498101!A$2</f>
        <v>498101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38">
        <f ca="1">IFERROR(VLOOKUP(B138,input_498101!L:R,7,FALSE),VLOOKUP(tables_498101!C138,input_498101!A:H,8,FALSE))</f>
        <v>67680</v>
      </c>
      <c r="P138" s="39">
        <f t="shared" ca="1" si="7"/>
        <v>5.901639344255107E-4</v>
      </c>
      <c r="Q138" s="24">
        <v>1</v>
      </c>
      <c r="R138" s="24">
        <v>0</v>
      </c>
      <c r="S138" s="24">
        <v>0</v>
      </c>
      <c r="T138" s="24">
        <v>0</v>
      </c>
      <c r="U138" s="24">
        <v>0</v>
      </c>
      <c r="V138" s="24">
        <v>1</v>
      </c>
    </row>
    <row r="139" spans="1:22" ht="21" customHeight="1" x14ac:dyDescent="0.15">
      <c r="A139" s="2" t="str">
        <f ca="1">input_498101!A$2</f>
        <v>498101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38">
        <f ca="1">IFERROR(VLOOKUP(B139,input_498101!L:R,7,FALSE),VLOOKUP(tables_498101!C139,input_498101!A:H,8,FALSE))</f>
        <v>7520</v>
      </c>
      <c r="P139" s="39">
        <f t="shared" ca="1" si="7"/>
        <v>6.5573770491723419E-5</v>
      </c>
      <c r="Q139" s="24">
        <v>1</v>
      </c>
      <c r="R139" s="24">
        <v>0</v>
      </c>
      <c r="S139" s="24">
        <v>0</v>
      </c>
      <c r="T139" s="24">
        <v>0</v>
      </c>
      <c r="U139" s="24">
        <v>0</v>
      </c>
      <c r="V139" s="24">
        <v>1</v>
      </c>
    </row>
    <row r="140" spans="1:22" ht="21" customHeight="1" x14ac:dyDescent="0.15">
      <c r="A140" s="2" t="str">
        <f ca="1">input_498101!A$2</f>
        <v>498101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38">
        <f ca="1">IFERROR(VLOOKUP(B140,input_498101!L:R,7,FALSE),VLOOKUP(tables_498101!C140,input_498101!A:H,8,FALSE))</f>
        <v>67680</v>
      </c>
      <c r="P140" s="39">
        <f t="shared" ca="1" si="7"/>
        <v>5.901639344255107E-4</v>
      </c>
      <c r="Q140" s="24">
        <v>1</v>
      </c>
      <c r="R140" s="24">
        <v>0</v>
      </c>
      <c r="S140" s="24">
        <v>0</v>
      </c>
      <c r="T140" s="24">
        <v>0</v>
      </c>
      <c r="U140" s="24">
        <v>0</v>
      </c>
      <c r="V140" s="24">
        <v>1</v>
      </c>
    </row>
    <row r="141" spans="1:22" ht="21" customHeight="1" x14ac:dyDescent="0.15">
      <c r="A141" s="2" t="str">
        <f ca="1">input_498101!A$2</f>
        <v>498101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38">
        <f ca="1">IFERROR(VLOOKUP(B141,input_498101!L:R,7,FALSE),VLOOKUP(tables_498101!C141,input_498101!A:H,8,FALSE))</f>
        <v>7520</v>
      </c>
      <c r="P141" s="39">
        <f t="shared" ca="1" si="7"/>
        <v>6.5573770491723419E-5</v>
      </c>
      <c r="Q141" s="24">
        <v>1</v>
      </c>
      <c r="R141" s="24">
        <v>0</v>
      </c>
      <c r="S141" s="24">
        <v>0</v>
      </c>
      <c r="T141" s="24">
        <v>0</v>
      </c>
      <c r="U141" s="24">
        <v>0</v>
      </c>
      <c r="V141" s="24">
        <v>1</v>
      </c>
    </row>
    <row r="142" spans="1:22" ht="21" customHeight="1" x14ac:dyDescent="0.15">
      <c r="A142" s="2" t="str">
        <f ca="1">input_498101!A$2</f>
        <v>498101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38">
        <f ca="1">IFERROR(VLOOKUP(B142,input_498101!L:R,7,FALSE),VLOOKUP(tables_498101!C142,input_498101!A:H,8,FALSE))</f>
        <v>67680</v>
      </c>
      <c r="P142" s="39">
        <f t="shared" ca="1" si="7"/>
        <v>5.901639344255107E-4</v>
      </c>
      <c r="Q142" s="24">
        <v>1</v>
      </c>
      <c r="R142" s="24">
        <v>0</v>
      </c>
      <c r="S142" s="24">
        <v>0</v>
      </c>
      <c r="T142" s="24">
        <v>0</v>
      </c>
      <c r="U142" s="24">
        <v>0</v>
      </c>
      <c r="V142" s="24">
        <v>1</v>
      </c>
    </row>
    <row r="143" spans="1:22" s="12" customFormat="1" ht="21" customHeight="1" thickBot="1" x14ac:dyDescent="0.2">
      <c r="A143" s="2" t="str">
        <f ca="1">input_498101!A$2</f>
        <v>498101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38">
        <f ca="1">IFERROR(VLOOKUP(B143,input_498101!L:R,7,FALSE),VLOOKUP(tables_498101!C143,input_498101!A:H,8,FALSE))</f>
        <v>7520</v>
      </c>
      <c r="P143" s="39">
        <f t="shared" ca="1" si="7"/>
        <v>6.5573770491723419E-5</v>
      </c>
      <c r="Q143" s="24">
        <v>1</v>
      </c>
      <c r="R143" s="24">
        <v>0</v>
      </c>
      <c r="S143" s="24">
        <v>0</v>
      </c>
      <c r="T143" s="24">
        <v>0</v>
      </c>
      <c r="U143" s="24">
        <v>0</v>
      </c>
      <c r="V143" s="24">
        <v>1</v>
      </c>
    </row>
    <row r="144" spans="1:22" ht="21" customHeight="1" x14ac:dyDescent="0.15">
      <c r="A144" s="2" t="str">
        <f ca="1">input_498101!A$2</f>
        <v>498101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38">
        <f ca="1">IFERROR(VLOOKUP(B144,input_498101!L:R,7,FALSE),VLOOKUP(tables_498101!C144,input_498101!A:H,8,FALSE))</f>
        <v>67680</v>
      </c>
      <c r="P144" s="39">
        <f t="shared" ca="1" si="7"/>
        <v>5.901639344255107E-4</v>
      </c>
      <c r="Q144" s="24">
        <v>1</v>
      </c>
      <c r="R144" s="24">
        <v>0</v>
      </c>
      <c r="S144" s="24">
        <v>0</v>
      </c>
      <c r="T144" s="24">
        <v>0</v>
      </c>
      <c r="U144" s="24">
        <v>0</v>
      </c>
      <c r="V144" s="24">
        <v>1</v>
      </c>
    </row>
    <row r="145" spans="1:22" ht="21" customHeight="1" x14ac:dyDescent="0.15">
      <c r="A145" s="2" t="str">
        <f ca="1">input_498101!A$2</f>
        <v>498101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38">
        <f ca="1">IFERROR(VLOOKUP(B145,input_498101!L:R,7,FALSE),VLOOKUP(tables_498101!C145,input_498101!A:H,8,FALSE))</f>
        <v>7520</v>
      </c>
      <c r="P145" s="39">
        <f t="shared" ca="1" si="7"/>
        <v>6.5573770491723419E-5</v>
      </c>
      <c r="Q145" s="24">
        <v>1</v>
      </c>
      <c r="R145" s="24">
        <v>0</v>
      </c>
      <c r="S145" s="24">
        <v>0</v>
      </c>
      <c r="T145" s="24">
        <v>0</v>
      </c>
      <c r="U145" s="24">
        <v>0</v>
      </c>
      <c r="V145" s="24">
        <v>1</v>
      </c>
    </row>
    <row r="146" spans="1:22" ht="21" customHeight="1" x14ac:dyDescent="0.15">
      <c r="A146" s="2" t="str">
        <f ca="1">input_498101!A$2</f>
        <v>498101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38">
        <f ca="1">IFERROR(VLOOKUP(B146,input_498101!L:R,7,FALSE),VLOOKUP(tables_498101!C146,input_498101!A:H,8,FALSE))</f>
        <v>0</v>
      </c>
      <c r="P146" s="39">
        <f t="shared" ca="1" si="7"/>
        <v>0</v>
      </c>
      <c r="Q146" s="24">
        <v>1</v>
      </c>
      <c r="R146" s="24">
        <v>0</v>
      </c>
      <c r="S146" s="24">
        <v>0</v>
      </c>
      <c r="T146" s="24">
        <v>0</v>
      </c>
      <c r="U146" s="24">
        <v>0</v>
      </c>
      <c r="V146" s="24">
        <v>1</v>
      </c>
    </row>
    <row r="147" spans="1:22" ht="21" customHeight="1" x14ac:dyDescent="0.15">
      <c r="A147" s="2" t="str">
        <f ca="1">input_498101!A$2</f>
        <v>498101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38">
        <f ca="1">IFERROR(VLOOKUP(B147,input_498101!L:R,7,FALSE),VLOOKUP(tables_498101!C147,input_498101!A:H,8,FALSE))</f>
        <v>976938.46154000005</v>
      </c>
      <c r="P147" s="39">
        <f t="shared" ca="1" si="7"/>
        <v>8.5188216039310278E-3</v>
      </c>
      <c r="Q147" s="24">
        <v>1</v>
      </c>
      <c r="R147" s="24">
        <v>0</v>
      </c>
      <c r="S147" s="24">
        <v>0</v>
      </c>
      <c r="T147" s="24">
        <v>0</v>
      </c>
      <c r="U147" s="24">
        <v>0</v>
      </c>
      <c r="V147" s="24">
        <v>1</v>
      </c>
    </row>
    <row r="148" spans="1:22" ht="21" customHeight="1" x14ac:dyDescent="0.15">
      <c r="A148" s="2" t="str">
        <f ca="1">input_498101!A$2</f>
        <v>498101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38">
        <f ca="1">IFERROR(VLOOKUP(B148,input_498101!L:R,7,FALSE),VLOOKUP(tables_498101!C148,input_498101!A:H,8,FALSE))</f>
        <v>86510</v>
      </c>
      <c r="P148" s="39">
        <f t="shared" ca="1" si="7"/>
        <v>7.5435995814348308E-4</v>
      </c>
      <c r="Q148" s="24">
        <v>1</v>
      </c>
      <c r="R148" s="24">
        <v>0</v>
      </c>
      <c r="S148" s="24">
        <v>0</v>
      </c>
      <c r="T148" s="24">
        <v>0</v>
      </c>
      <c r="U148" s="24">
        <v>0</v>
      </c>
      <c r="V148" s="24">
        <v>1</v>
      </c>
    </row>
    <row r="149" spans="1:22" ht="21" customHeight="1" x14ac:dyDescent="0.15">
      <c r="A149" s="2" t="str">
        <f ca="1">input_498101!A$2</f>
        <v>498101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38">
        <f ca="1">IFERROR(VLOOKUP(B149,input_498101!L:R,7,FALSE),VLOOKUP(tables_498101!C149,input_498101!A:H,8,FALSE))</f>
        <v>67680</v>
      </c>
      <c r="P149" s="39">
        <f t="shared" ca="1" si="7"/>
        <v>5.901639344255107E-4</v>
      </c>
      <c r="Q149" s="24">
        <v>1</v>
      </c>
      <c r="R149" s="24">
        <v>0</v>
      </c>
      <c r="S149" s="24">
        <v>0</v>
      </c>
      <c r="T149" s="24">
        <v>0</v>
      </c>
      <c r="U149" s="24">
        <v>0</v>
      </c>
      <c r="V149" s="24">
        <v>1</v>
      </c>
    </row>
    <row r="150" spans="1:22" ht="21" customHeight="1" x14ac:dyDescent="0.15">
      <c r="A150" s="2" t="str">
        <f ca="1">input_498101!A$2</f>
        <v>498101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38">
        <f ca="1">IFERROR(VLOOKUP(B150,input_498101!L:R,7,FALSE),VLOOKUP(tables_498101!C150,input_498101!A:H,8,FALSE))</f>
        <v>7520</v>
      </c>
      <c r="P150" s="39">
        <f t="shared" ca="1" si="7"/>
        <v>6.5573770491723419E-5</v>
      </c>
      <c r="Q150" s="24">
        <v>1</v>
      </c>
      <c r="R150" s="24">
        <v>0</v>
      </c>
      <c r="S150" s="24">
        <v>0</v>
      </c>
      <c r="T150" s="24">
        <v>0</v>
      </c>
      <c r="U150" s="24">
        <v>0</v>
      </c>
      <c r="V150" s="24">
        <v>1</v>
      </c>
    </row>
    <row r="151" spans="1:22" ht="21" customHeight="1" x14ac:dyDescent="0.15">
      <c r="A151" s="2" t="str">
        <f ca="1">input_498101!A$2</f>
        <v>498101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38">
        <f ca="1">IFERROR(VLOOKUP(B151,input_498101!L:R,7,FALSE),VLOOKUP(tables_498101!C151,input_498101!A:H,8,FALSE))</f>
        <v>67680</v>
      </c>
      <c r="P151" s="39">
        <f t="shared" ca="1" si="7"/>
        <v>5.901639344255107E-4</v>
      </c>
      <c r="Q151" s="24">
        <v>1</v>
      </c>
      <c r="R151" s="24">
        <v>0</v>
      </c>
      <c r="S151" s="24">
        <v>0</v>
      </c>
      <c r="T151" s="24">
        <v>0</v>
      </c>
      <c r="U151" s="24">
        <v>0</v>
      </c>
      <c r="V151" s="24">
        <v>1</v>
      </c>
    </row>
    <row r="152" spans="1:22" ht="21" customHeight="1" x14ac:dyDescent="0.15">
      <c r="A152" s="2" t="str">
        <f ca="1">input_498101!A$2</f>
        <v>498101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38">
        <f ca="1">IFERROR(VLOOKUP(B152,input_498101!L:R,7,FALSE),VLOOKUP(tables_498101!C152,input_498101!A:H,8,FALSE))</f>
        <v>7520</v>
      </c>
      <c r="P152" s="39">
        <f t="shared" ca="1" si="7"/>
        <v>6.5573770491723419E-5</v>
      </c>
      <c r="Q152" s="24">
        <v>1</v>
      </c>
      <c r="R152" s="24">
        <v>0</v>
      </c>
      <c r="S152" s="24">
        <v>0</v>
      </c>
      <c r="T152" s="24">
        <v>0</v>
      </c>
      <c r="U152" s="24">
        <v>0</v>
      </c>
      <c r="V152" s="24">
        <v>1</v>
      </c>
    </row>
    <row r="153" spans="1:22" ht="21" customHeight="1" x14ac:dyDescent="0.15">
      <c r="A153" s="2" t="str">
        <f ca="1">input_498101!A$2</f>
        <v>498101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38">
        <f ca="1">IFERROR(VLOOKUP(B153,input_498101!L:R,7,FALSE),VLOOKUP(tables_498101!C153,input_498101!A:H,8,FALSE))</f>
        <v>0</v>
      </c>
      <c r="P153" s="39">
        <f t="shared" ca="1" si="7"/>
        <v>0</v>
      </c>
      <c r="Q153" s="24">
        <v>1</v>
      </c>
      <c r="R153" s="24">
        <v>0</v>
      </c>
      <c r="S153" s="24">
        <v>0</v>
      </c>
      <c r="T153" s="24">
        <v>0</v>
      </c>
      <c r="U153" s="24">
        <v>0</v>
      </c>
      <c r="V153" s="24">
        <v>1</v>
      </c>
    </row>
    <row r="154" spans="1:22" ht="21" customHeight="1" x14ac:dyDescent="0.15">
      <c r="A154" s="2" t="str">
        <f ca="1">input_498101!A$2</f>
        <v>498101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38">
        <f ca="1">IFERROR(VLOOKUP(B154,input_498101!L:R,7,FALSE),VLOOKUP(tables_498101!C154,input_498101!A:H,8,FALSE))</f>
        <v>976938.46154000005</v>
      </c>
      <c r="P154" s="39">
        <f t="shared" ca="1" si="7"/>
        <v>8.5188216039310278E-3</v>
      </c>
      <c r="Q154" s="24">
        <v>1</v>
      </c>
      <c r="R154" s="24">
        <v>0</v>
      </c>
      <c r="S154" s="24">
        <v>0</v>
      </c>
      <c r="T154" s="24">
        <v>0</v>
      </c>
      <c r="U154" s="24">
        <v>0</v>
      </c>
      <c r="V154" s="24">
        <v>1</v>
      </c>
    </row>
    <row r="155" spans="1:22" ht="21" customHeight="1" x14ac:dyDescent="0.15">
      <c r="A155" s="2" t="str">
        <f ca="1">input_498101!A$2</f>
        <v>498101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38">
        <f ca="1">IFERROR(VLOOKUP(B155,input_498101!L:R,7,FALSE),VLOOKUP(tables_498101!C155,input_498101!A:H,8,FALSE))</f>
        <v>86510</v>
      </c>
      <c r="P155" s="39">
        <f t="shared" ca="1" si="7"/>
        <v>7.5435995814348308E-4</v>
      </c>
      <c r="Q155" s="24">
        <v>1</v>
      </c>
      <c r="R155" s="24">
        <v>0</v>
      </c>
      <c r="S155" s="24">
        <v>0</v>
      </c>
      <c r="T155" s="24">
        <v>0</v>
      </c>
      <c r="U155" s="24">
        <v>0</v>
      </c>
      <c r="V155" s="24">
        <v>1</v>
      </c>
    </row>
    <row r="156" spans="1:22" ht="21" customHeight="1" x14ac:dyDescent="0.15">
      <c r="A156" s="2" t="str">
        <f ca="1">input_498101!A$2</f>
        <v>498101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38">
        <f ca="1">IFERROR(VLOOKUP(B156,input_498101!L:R,7,FALSE),VLOOKUP(tables_498101!C156,input_498101!A:H,8,FALSE))</f>
        <v>67680</v>
      </c>
      <c r="P156" s="39">
        <f t="shared" ca="1" si="7"/>
        <v>5.901639344255107E-4</v>
      </c>
      <c r="Q156" s="24">
        <v>1</v>
      </c>
      <c r="R156" s="24">
        <v>0</v>
      </c>
      <c r="S156" s="24">
        <v>0</v>
      </c>
      <c r="T156" s="24">
        <v>0</v>
      </c>
      <c r="U156" s="24">
        <v>0</v>
      </c>
      <c r="V156" s="24">
        <v>1</v>
      </c>
    </row>
    <row r="157" spans="1:22" ht="21" customHeight="1" x14ac:dyDescent="0.15">
      <c r="A157" s="2" t="str">
        <f ca="1">input_498101!A$2</f>
        <v>498101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38">
        <f ca="1">IFERROR(VLOOKUP(B157,input_498101!L:R,7,FALSE),VLOOKUP(tables_498101!C157,input_498101!A:H,8,FALSE))</f>
        <v>7520</v>
      </c>
      <c r="P157" s="39">
        <f t="shared" ca="1" si="7"/>
        <v>6.5573770491723419E-5</v>
      </c>
      <c r="Q157" s="24">
        <v>1</v>
      </c>
      <c r="R157" s="24">
        <v>0</v>
      </c>
      <c r="S157" s="24">
        <v>0</v>
      </c>
      <c r="T157" s="24">
        <v>0</v>
      </c>
      <c r="U157" s="24">
        <v>0</v>
      </c>
      <c r="V157" s="24">
        <v>1</v>
      </c>
    </row>
    <row r="158" spans="1:22" ht="21" customHeight="1" x14ac:dyDescent="0.15">
      <c r="A158" s="2" t="str">
        <f ca="1">input_498101!A$2</f>
        <v>498101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38">
        <f ca="1">IFERROR(VLOOKUP(B158,input_498101!L:R,7,FALSE),VLOOKUP(tables_498101!C158,input_498101!A:H,8,FALSE))</f>
        <v>0</v>
      </c>
      <c r="P158" s="39">
        <f t="shared" ca="1" si="7"/>
        <v>0</v>
      </c>
      <c r="Q158" s="24">
        <v>1</v>
      </c>
      <c r="R158" s="24">
        <v>0</v>
      </c>
      <c r="S158" s="24">
        <v>0</v>
      </c>
      <c r="T158" s="24">
        <v>0</v>
      </c>
      <c r="U158" s="24">
        <v>0</v>
      </c>
      <c r="V158" s="24">
        <v>1</v>
      </c>
    </row>
    <row r="159" spans="1:22" ht="21" customHeight="1" x14ac:dyDescent="0.15">
      <c r="A159" s="2" t="str">
        <f ca="1">input_498101!A$2</f>
        <v>498101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38">
        <f ca="1">IFERROR(VLOOKUP(B159,input_498101!L:R,7,FALSE),VLOOKUP(tables_498101!C159,input_498101!A:H,8,FALSE))</f>
        <v>976938.46154000005</v>
      </c>
      <c r="P159" s="39">
        <f t="shared" ca="1" si="7"/>
        <v>8.5188216039310278E-3</v>
      </c>
      <c r="Q159" s="24">
        <v>1</v>
      </c>
      <c r="R159" s="24">
        <v>0</v>
      </c>
      <c r="S159" s="24">
        <v>0</v>
      </c>
      <c r="T159" s="24">
        <v>0</v>
      </c>
      <c r="U159" s="24">
        <v>0</v>
      </c>
      <c r="V159" s="24">
        <v>1</v>
      </c>
    </row>
    <row r="160" spans="1:22" ht="21" customHeight="1" x14ac:dyDescent="0.15">
      <c r="A160" s="2" t="str">
        <f ca="1">input_498101!A$2</f>
        <v>498101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38">
        <f ca="1">IFERROR(VLOOKUP(B160,input_498101!L:R,7,FALSE),VLOOKUP(tables_498101!C160,input_498101!A:H,8,FALSE))</f>
        <v>86510</v>
      </c>
      <c r="P160" s="39">
        <f t="shared" ca="1" si="7"/>
        <v>7.5435995814348308E-4</v>
      </c>
      <c r="Q160" s="24">
        <v>1</v>
      </c>
      <c r="R160" s="24">
        <v>0</v>
      </c>
      <c r="S160" s="24">
        <v>0</v>
      </c>
      <c r="T160" s="24">
        <v>0</v>
      </c>
      <c r="U160" s="24">
        <v>0</v>
      </c>
      <c r="V160" s="24">
        <v>1</v>
      </c>
    </row>
    <row r="161" spans="1:22" ht="21" customHeight="1" x14ac:dyDescent="0.15">
      <c r="A161" s="2" t="str">
        <f ca="1">input_498101!A$2</f>
        <v>498101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38">
        <f ca="1">IFERROR(VLOOKUP(B161,input_498101!L:R,7,FALSE),VLOOKUP(tables_498101!C161,input_498101!A:H,8,FALSE))</f>
        <v>0</v>
      </c>
      <c r="P161" s="39">
        <f t="shared" ca="1" si="7"/>
        <v>0</v>
      </c>
      <c r="Q161" s="24">
        <v>1</v>
      </c>
      <c r="R161" s="24">
        <v>0</v>
      </c>
      <c r="S161" s="24">
        <v>0</v>
      </c>
      <c r="T161" s="24">
        <v>0</v>
      </c>
      <c r="U161" s="24">
        <v>0</v>
      </c>
      <c r="V161" s="24">
        <v>1</v>
      </c>
    </row>
    <row r="162" spans="1:22" ht="21" customHeight="1" x14ac:dyDescent="0.15">
      <c r="A162" s="2" t="str">
        <f ca="1">input_498101!A$2</f>
        <v>498101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38">
        <f ca="1">IFERROR(VLOOKUP(B162,input_498101!L:R,7,FALSE),VLOOKUP(tables_498101!C162,input_498101!A:H,8,FALSE))</f>
        <v>976938.46154000005</v>
      </c>
      <c r="P162" s="39">
        <f t="shared" ca="1" si="7"/>
        <v>8.5188216039310278E-3</v>
      </c>
      <c r="Q162" s="24">
        <v>1</v>
      </c>
      <c r="R162" s="24">
        <v>0</v>
      </c>
      <c r="S162" s="24">
        <v>0</v>
      </c>
      <c r="T162" s="24">
        <v>0</v>
      </c>
      <c r="U162" s="24">
        <v>0</v>
      </c>
      <c r="V162" s="24">
        <v>1</v>
      </c>
    </row>
    <row r="163" spans="1:22" ht="21" customHeight="1" x14ac:dyDescent="0.15">
      <c r="A163" s="2" t="str">
        <f ca="1">input_498101!A$2</f>
        <v>498101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38">
        <f ca="1">IFERROR(VLOOKUP(B163,input_498101!L:R,7,FALSE),VLOOKUP(tables_498101!C163,input_498101!A:H,8,FALSE))</f>
        <v>86510</v>
      </c>
      <c r="P163" s="39">
        <f t="shared" ca="1" si="7"/>
        <v>7.5435995814348308E-4</v>
      </c>
      <c r="Q163" s="24">
        <v>1</v>
      </c>
      <c r="R163" s="24">
        <v>0</v>
      </c>
      <c r="S163" s="24">
        <v>0</v>
      </c>
      <c r="T163" s="24">
        <v>0</v>
      </c>
      <c r="U163" s="24">
        <v>0</v>
      </c>
      <c r="V163" s="24">
        <v>1</v>
      </c>
    </row>
    <row r="164" spans="1:22" ht="21" customHeight="1" x14ac:dyDescent="0.15">
      <c r="A164" s="2" t="str">
        <f ca="1">input_498101!A$2</f>
        <v>498101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38">
        <f ca="1">IFERROR(VLOOKUP(B164,input_498101!L:R,7,FALSE),VLOOKUP(tables_498101!C164,input_498101!A:H,8,FALSE))</f>
        <v>67680</v>
      </c>
      <c r="P164" s="39">
        <f t="shared" ca="1" si="7"/>
        <v>5.901639344255107E-4</v>
      </c>
      <c r="Q164" s="24">
        <v>1</v>
      </c>
      <c r="R164" s="24">
        <v>0</v>
      </c>
      <c r="S164" s="24">
        <v>0</v>
      </c>
      <c r="T164" s="24">
        <v>0</v>
      </c>
      <c r="U164" s="24">
        <v>0</v>
      </c>
      <c r="V164" s="24">
        <v>1</v>
      </c>
    </row>
    <row r="165" spans="1:22" ht="21" customHeight="1" x14ac:dyDescent="0.15">
      <c r="A165" s="2" t="str">
        <f ca="1">input_498101!A$2</f>
        <v>498101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38">
        <f ca="1">IFERROR(VLOOKUP(B165,input_498101!L:R,7,FALSE),VLOOKUP(tables_498101!C165,input_498101!A:H,8,FALSE))</f>
        <v>7520</v>
      </c>
      <c r="P165" s="39">
        <f t="shared" ca="1" si="7"/>
        <v>6.5573770491723419E-5</v>
      </c>
      <c r="Q165" s="24">
        <v>1</v>
      </c>
      <c r="R165" s="24">
        <v>0</v>
      </c>
      <c r="S165" s="24">
        <v>0</v>
      </c>
      <c r="T165" s="24">
        <v>0</v>
      </c>
      <c r="U165" s="24">
        <v>0</v>
      </c>
      <c r="V165" s="24">
        <v>1</v>
      </c>
    </row>
    <row r="166" spans="1:22" ht="21" customHeight="1" x14ac:dyDescent="0.15">
      <c r="A166" s="2" t="str">
        <f ca="1">input_498101!A$2</f>
        <v>498101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38">
        <f ca="1">IFERROR(VLOOKUP(B166,input_498101!L:R,7,FALSE),VLOOKUP(tables_498101!C166,input_498101!A:H,8,FALSE))</f>
        <v>0</v>
      </c>
      <c r="P166" s="39">
        <f t="shared" ca="1" si="7"/>
        <v>0</v>
      </c>
      <c r="Q166" s="24">
        <v>1</v>
      </c>
      <c r="R166" s="24">
        <v>0</v>
      </c>
      <c r="S166" s="24">
        <v>0</v>
      </c>
      <c r="T166" s="24">
        <v>0</v>
      </c>
      <c r="U166" s="24">
        <v>0</v>
      </c>
      <c r="V166" s="24">
        <v>1</v>
      </c>
    </row>
    <row r="167" spans="1:22" ht="21" customHeight="1" x14ac:dyDescent="0.15">
      <c r="A167" s="2" t="str">
        <f ca="1">input_498101!A$2</f>
        <v>498101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38">
        <f ca="1">IFERROR(VLOOKUP(B167,input_498101!L:R,7,FALSE),VLOOKUP(tables_498101!C167,input_498101!A:H,8,FALSE))</f>
        <v>976938.46154000005</v>
      </c>
      <c r="P167" s="39">
        <f t="shared" ca="1" si="7"/>
        <v>8.5188216039310278E-3</v>
      </c>
      <c r="Q167" s="24">
        <v>1</v>
      </c>
      <c r="R167" s="24">
        <v>0</v>
      </c>
      <c r="S167" s="24">
        <v>0</v>
      </c>
      <c r="T167" s="24">
        <v>0</v>
      </c>
      <c r="U167" s="24">
        <v>0</v>
      </c>
      <c r="V167" s="24">
        <v>1</v>
      </c>
    </row>
    <row r="168" spans="1:22" ht="21" customHeight="1" x14ac:dyDescent="0.15">
      <c r="A168" s="2" t="str">
        <f ca="1">input_498101!A$2</f>
        <v>498101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38">
        <f ca="1">IFERROR(VLOOKUP(B168,input_498101!L:R,7,FALSE),VLOOKUP(tables_498101!C168,input_498101!A:H,8,FALSE))</f>
        <v>86510</v>
      </c>
      <c r="P168" s="39">
        <f t="shared" ca="1" si="7"/>
        <v>7.5435995814348308E-4</v>
      </c>
      <c r="Q168" s="24">
        <v>1</v>
      </c>
      <c r="R168" s="24">
        <v>0</v>
      </c>
      <c r="S168" s="24">
        <v>0</v>
      </c>
      <c r="T168" s="24">
        <v>0</v>
      </c>
      <c r="U168" s="24">
        <v>0</v>
      </c>
      <c r="V168" s="24">
        <v>1</v>
      </c>
    </row>
    <row r="169" spans="1:22" ht="21" customHeight="1" x14ac:dyDescent="0.15">
      <c r="A169" s="2" t="str">
        <f ca="1">input_498101!A$2</f>
        <v>498101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38">
        <f ca="1">IFERROR(VLOOKUP(B169,input_498101!L:R,7,FALSE),VLOOKUP(tables_498101!C169,input_498101!A:H,8,FALSE))</f>
        <v>67680</v>
      </c>
      <c r="P169" s="39">
        <f t="shared" ca="1" si="7"/>
        <v>5.901639344255107E-4</v>
      </c>
      <c r="Q169" s="24">
        <v>1</v>
      </c>
      <c r="R169" s="24">
        <v>0</v>
      </c>
      <c r="S169" s="24">
        <v>0</v>
      </c>
      <c r="T169" s="24">
        <v>0</v>
      </c>
      <c r="U169" s="24">
        <v>0</v>
      </c>
      <c r="V169" s="24">
        <v>1</v>
      </c>
    </row>
    <row r="170" spans="1:22" ht="21" customHeight="1" x14ac:dyDescent="0.15">
      <c r="A170" s="2" t="str">
        <f ca="1">input_498101!A$2</f>
        <v>498101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38">
        <f ca="1">IFERROR(VLOOKUP(B170,input_498101!L:R,7,FALSE),VLOOKUP(tables_498101!C170,input_498101!A:H,8,FALSE))</f>
        <v>7520</v>
      </c>
      <c r="P170" s="39">
        <f t="shared" ca="1" si="7"/>
        <v>6.5573770491723419E-5</v>
      </c>
      <c r="Q170" s="24">
        <v>1</v>
      </c>
      <c r="R170" s="24">
        <v>0</v>
      </c>
      <c r="S170" s="24">
        <v>0</v>
      </c>
      <c r="T170" s="24">
        <v>0</v>
      </c>
      <c r="U170" s="24">
        <v>0</v>
      </c>
      <c r="V170" s="24">
        <v>1</v>
      </c>
    </row>
    <row r="171" spans="1:22" ht="21" customHeight="1" x14ac:dyDescent="0.15">
      <c r="A171" s="2" t="str">
        <f ca="1">input_498101!A$2</f>
        <v>498101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38">
        <f ca="1">IFERROR(VLOOKUP(B171,input_498101!L:R,7,FALSE),VLOOKUP(tables_498101!C171,input_498101!A:H,8,FALSE))</f>
        <v>0</v>
      </c>
      <c r="P171" s="39">
        <f t="shared" ca="1" si="7"/>
        <v>0</v>
      </c>
      <c r="Q171" s="24">
        <v>1</v>
      </c>
      <c r="R171" s="24">
        <v>0</v>
      </c>
      <c r="S171" s="24">
        <v>0</v>
      </c>
      <c r="T171" s="24">
        <v>0</v>
      </c>
      <c r="U171" s="24">
        <v>0</v>
      </c>
      <c r="V171" s="24">
        <v>1</v>
      </c>
    </row>
    <row r="172" spans="1:22" ht="21" customHeight="1" x14ac:dyDescent="0.15">
      <c r="A172" s="2" t="str">
        <f ca="1">input_498101!A$2</f>
        <v>498101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38">
        <f ca="1">IFERROR(VLOOKUP(B172,input_498101!L:R,7,FALSE),VLOOKUP(tables_498101!C172,input_498101!A:H,8,FALSE))</f>
        <v>976938.46154000005</v>
      </c>
      <c r="P172" s="39">
        <f t="shared" ca="1" si="7"/>
        <v>8.5188216039310278E-3</v>
      </c>
      <c r="Q172" s="24">
        <v>1</v>
      </c>
      <c r="R172" s="24">
        <v>0</v>
      </c>
      <c r="S172" s="24">
        <v>0</v>
      </c>
      <c r="T172" s="24">
        <v>0</v>
      </c>
      <c r="U172" s="24">
        <v>0</v>
      </c>
      <c r="V172" s="24">
        <v>1</v>
      </c>
    </row>
    <row r="173" spans="1:22" ht="21" customHeight="1" x14ac:dyDescent="0.15">
      <c r="A173" s="2" t="str">
        <f ca="1">input_498101!A$2</f>
        <v>498101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38">
        <f ca="1">IFERROR(VLOOKUP(B173,input_498101!L:R,7,FALSE),VLOOKUP(tables_498101!C173,input_498101!A:H,8,FALSE))</f>
        <v>86510</v>
      </c>
      <c r="P173" s="39">
        <f t="shared" ca="1" si="7"/>
        <v>7.5435995814348308E-4</v>
      </c>
      <c r="Q173" s="24">
        <v>1</v>
      </c>
      <c r="R173" s="24">
        <v>0</v>
      </c>
      <c r="S173" s="24">
        <v>0</v>
      </c>
      <c r="T173" s="24">
        <v>0</v>
      </c>
      <c r="U173" s="24">
        <v>0</v>
      </c>
      <c r="V173" s="24">
        <v>1</v>
      </c>
    </row>
    <row r="174" spans="1:22" ht="21" customHeight="1" x14ac:dyDescent="0.15">
      <c r="A174" s="2" t="str">
        <f ca="1">input_498101!A$2</f>
        <v>498101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38">
        <f ca="1">IFERROR(VLOOKUP(B174,input_498101!L:R,7,FALSE),VLOOKUP(tables_498101!C174,input_498101!A:H,8,FALSE))</f>
        <v>67680</v>
      </c>
      <c r="P174" s="39">
        <f t="shared" ca="1" si="7"/>
        <v>5.901639344255107E-4</v>
      </c>
      <c r="Q174" s="24">
        <v>1</v>
      </c>
      <c r="R174" s="24">
        <v>0</v>
      </c>
      <c r="S174" s="24">
        <v>0</v>
      </c>
      <c r="T174" s="24">
        <v>0</v>
      </c>
      <c r="U174" s="24">
        <v>0</v>
      </c>
      <c r="V174" s="24">
        <v>1</v>
      </c>
    </row>
    <row r="175" spans="1:22" ht="21" customHeight="1" x14ac:dyDescent="0.15">
      <c r="A175" s="2" t="str">
        <f ca="1">input_498101!A$2</f>
        <v>498101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38">
        <f ca="1">IFERROR(VLOOKUP(B175,input_498101!L:R,7,FALSE),VLOOKUP(tables_498101!C175,input_498101!A:H,8,FALSE))</f>
        <v>7520</v>
      </c>
      <c r="P175" s="39">
        <f t="shared" ca="1" si="7"/>
        <v>6.5573770491723419E-5</v>
      </c>
      <c r="Q175" s="24">
        <v>1</v>
      </c>
      <c r="R175" s="24">
        <v>0</v>
      </c>
      <c r="S175" s="24">
        <v>0</v>
      </c>
      <c r="T175" s="24">
        <v>0</v>
      </c>
      <c r="U175" s="24">
        <v>0</v>
      </c>
      <c r="V175" s="24">
        <v>1</v>
      </c>
    </row>
    <row r="176" spans="1:22" ht="21" customHeight="1" x14ac:dyDescent="0.15">
      <c r="A176" s="2" t="str">
        <f ca="1">input_498101!A$2</f>
        <v>498101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38">
        <f ca="1">IFERROR(VLOOKUP(B176,input_498101!L:R,7,FALSE),VLOOKUP(tables_498101!C176,input_498101!A:H,8,FALSE))</f>
        <v>67680</v>
      </c>
      <c r="P176" s="39">
        <f t="shared" ca="1" si="7"/>
        <v>5.901639344255107E-4</v>
      </c>
      <c r="Q176" s="24">
        <v>1</v>
      </c>
      <c r="R176" s="24">
        <v>0</v>
      </c>
      <c r="S176" s="24">
        <v>0</v>
      </c>
      <c r="T176" s="24">
        <v>0</v>
      </c>
      <c r="U176" s="24">
        <v>0</v>
      </c>
      <c r="V176" s="24">
        <v>1</v>
      </c>
    </row>
    <row r="177" spans="1:22" ht="21" customHeight="1" x14ac:dyDescent="0.15">
      <c r="A177" s="2" t="str">
        <f ca="1">input_498101!A$2</f>
        <v>498101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38">
        <f ca="1">IFERROR(VLOOKUP(B177,input_498101!L:R,7,FALSE),VLOOKUP(tables_498101!C177,input_498101!A:H,8,FALSE))</f>
        <v>7520</v>
      </c>
      <c r="P177" s="39">
        <f t="shared" ca="1" si="7"/>
        <v>6.5573770491723419E-5</v>
      </c>
      <c r="Q177" s="24">
        <v>1</v>
      </c>
      <c r="R177" s="24">
        <v>0</v>
      </c>
      <c r="S177" s="24">
        <v>0</v>
      </c>
      <c r="T177" s="24">
        <v>0</v>
      </c>
      <c r="U177" s="24">
        <v>0</v>
      </c>
      <c r="V177" s="24">
        <v>1</v>
      </c>
    </row>
    <row r="178" spans="1:22" ht="21" customHeight="1" x14ac:dyDescent="0.15">
      <c r="A178" s="2" t="str">
        <f ca="1">input_498101!A$2</f>
        <v>498101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38">
        <f ca="1">IFERROR(VLOOKUP(B178,input_498101!L:R,7,FALSE),VLOOKUP(tables_498101!C178,input_498101!A:H,8,FALSE))</f>
        <v>0</v>
      </c>
      <c r="P178" s="39">
        <f t="shared" ca="1" si="7"/>
        <v>0</v>
      </c>
      <c r="Q178" s="24">
        <v>1</v>
      </c>
      <c r="R178" s="24">
        <v>0</v>
      </c>
      <c r="S178" s="24">
        <v>0</v>
      </c>
      <c r="T178" s="24">
        <v>0</v>
      </c>
      <c r="U178" s="24">
        <v>0</v>
      </c>
      <c r="V178" s="24">
        <v>1</v>
      </c>
    </row>
    <row r="179" spans="1:22" ht="21" customHeight="1" x14ac:dyDescent="0.15">
      <c r="A179" s="2" t="str">
        <f ca="1">input_498101!A$2</f>
        <v>498101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38">
        <f ca="1">IFERROR(VLOOKUP(B179,input_498101!L:R,7,FALSE),VLOOKUP(tables_498101!C179,input_498101!A:H,8,FALSE))</f>
        <v>976938.46154000005</v>
      </c>
      <c r="P179" s="39">
        <f t="shared" ca="1" si="7"/>
        <v>8.5188216039310278E-3</v>
      </c>
      <c r="Q179" s="24">
        <v>1</v>
      </c>
      <c r="R179" s="24">
        <v>0</v>
      </c>
      <c r="S179" s="24">
        <v>0</v>
      </c>
      <c r="T179" s="24">
        <v>0</v>
      </c>
      <c r="U179" s="24">
        <v>0</v>
      </c>
      <c r="V179" s="24">
        <v>1</v>
      </c>
    </row>
    <row r="180" spans="1:22" ht="21" customHeight="1" x14ac:dyDescent="0.15">
      <c r="A180" s="2" t="str">
        <f ca="1">input_498101!A$2</f>
        <v>498101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38">
        <f ca="1">IFERROR(VLOOKUP(B180,input_498101!L:R,7,FALSE),VLOOKUP(tables_498101!C180,input_498101!A:H,8,FALSE))</f>
        <v>86510</v>
      </c>
      <c r="P180" s="39">
        <f t="shared" ca="1" si="7"/>
        <v>7.5435995814348308E-4</v>
      </c>
      <c r="Q180" s="24">
        <v>1</v>
      </c>
      <c r="R180" s="24">
        <v>0</v>
      </c>
      <c r="S180" s="24">
        <v>0</v>
      </c>
      <c r="T180" s="24">
        <v>0</v>
      </c>
      <c r="U180" s="24">
        <v>0</v>
      </c>
      <c r="V180" s="24">
        <v>1</v>
      </c>
    </row>
    <row r="181" spans="1:22" ht="21" customHeight="1" x14ac:dyDescent="0.15">
      <c r="A181" s="2" t="str">
        <f ca="1">input_498101!A$2</f>
        <v>498101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38">
        <f ca="1">IFERROR(VLOOKUP(B181,input_498101!L:R,7,FALSE),VLOOKUP(tables_498101!C181,input_498101!A:H,8,FALSE))</f>
        <v>0</v>
      </c>
      <c r="P181" s="39">
        <f t="shared" ca="1" si="7"/>
        <v>0</v>
      </c>
      <c r="Q181" s="24">
        <v>1</v>
      </c>
      <c r="R181" s="24">
        <v>0</v>
      </c>
      <c r="S181" s="24">
        <v>0</v>
      </c>
      <c r="T181" s="24">
        <v>0</v>
      </c>
      <c r="U181" s="24">
        <v>0</v>
      </c>
      <c r="V181" s="24">
        <v>1</v>
      </c>
    </row>
    <row r="182" spans="1:22" ht="21" customHeight="1" x14ac:dyDescent="0.15">
      <c r="A182" s="2" t="str">
        <f ca="1">input_498101!A$2</f>
        <v>498101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38">
        <f ca="1">IFERROR(VLOOKUP(B182,input_498101!L:R,7,FALSE),VLOOKUP(tables_498101!C182,input_498101!A:H,8,FALSE))</f>
        <v>976938.46154000005</v>
      </c>
      <c r="P182" s="39">
        <f t="shared" ca="1" si="7"/>
        <v>8.5188216039310278E-3</v>
      </c>
      <c r="Q182" s="24">
        <v>1</v>
      </c>
      <c r="R182" s="24">
        <v>0</v>
      </c>
      <c r="S182" s="24">
        <v>0</v>
      </c>
      <c r="T182" s="24">
        <v>0</v>
      </c>
      <c r="U182" s="24">
        <v>0</v>
      </c>
      <c r="V182" s="24">
        <v>1</v>
      </c>
    </row>
    <row r="183" spans="1:22" ht="21" customHeight="1" x14ac:dyDescent="0.15">
      <c r="A183" s="2" t="str">
        <f ca="1">input_498101!A$2</f>
        <v>498101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38">
        <f ca="1">IFERROR(VLOOKUP(B183,input_498101!L:R,7,FALSE),VLOOKUP(tables_498101!C183,input_498101!A:H,8,FALSE))</f>
        <v>86510</v>
      </c>
      <c r="P183" s="39">
        <f t="shared" ca="1" si="7"/>
        <v>7.5435995814348308E-4</v>
      </c>
      <c r="Q183" s="24">
        <v>1</v>
      </c>
      <c r="R183" s="24">
        <v>0</v>
      </c>
      <c r="S183" s="24">
        <v>0</v>
      </c>
      <c r="T183" s="24">
        <v>0</v>
      </c>
      <c r="U183" s="24">
        <v>0</v>
      </c>
      <c r="V183" s="24">
        <v>1</v>
      </c>
    </row>
    <row r="184" spans="1:22" ht="21" customHeight="1" x14ac:dyDescent="0.15">
      <c r="A184" s="2" t="str">
        <f ca="1">input_498101!A$2</f>
        <v>498101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38">
        <f ca="1">IFERROR(VLOOKUP(B184,input_498101!L:R,7,FALSE),VLOOKUP(tables_498101!C184,input_498101!A:H,8,FALSE))</f>
        <v>67680</v>
      </c>
      <c r="P184" s="39">
        <f t="shared" ca="1" si="7"/>
        <v>5.901639344255107E-4</v>
      </c>
      <c r="Q184" s="24">
        <v>1</v>
      </c>
      <c r="R184" s="24">
        <v>0</v>
      </c>
      <c r="S184" s="24">
        <v>0</v>
      </c>
      <c r="T184" s="24">
        <v>0</v>
      </c>
      <c r="U184" s="24">
        <v>0</v>
      </c>
      <c r="V184" s="24">
        <v>1</v>
      </c>
    </row>
    <row r="185" spans="1:22" ht="21" customHeight="1" x14ac:dyDescent="0.15">
      <c r="A185" s="2" t="str">
        <f ca="1">input_498101!A$2</f>
        <v>498101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38">
        <f ca="1">IFERROR(VLOOKUP(B185,input_498101!L:R,7,FALSE),VLOOKUP(tables_498101!C185,input_498101!A:H,8,FALSE))</f>
        <v>7520</v>
      </c>
      <c r="P185" s="39">
        <f t="shared" ca="1" si="7"/>
        <v>6.5573770491723419E-5</v>
      </c>
      <c r="Q185" s="24">
        <v>1</v>
      </c>
      <c r="R185" s="24">
        <v>0</v>
      </c>
      <c r="S185" s="24">
        <v>0</v>
      </c>
      <c r="T185" s="24">
        <v>0</v>
      </c>
      <c r="U185" s="24">
        <v>0</v>
      </c>
      <c r="V185" s="24">
        <v>1</v>
      </c>
    </row>
    <row r="186" spans="1:22" ht="21" customHeight="1" x14ac:dyDescent="0.15">
      <c r="A186" s="2" t="str">
        <f ca="1">input_498101!A$2</f>
        <v>498101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38">
        <f ca="1">IFERROR(VLOOKUP(B186,input_498101!L:R,7,FALSE),VLOOKUP(tables_498101!C186,input_498101!A:H,8,FALSE))</f>
        <v>0</v>
      </c>
      <c r="P186" s="39">
        <f t="shared" ca="1" si="7"/>
        <v>0</v>
      </c>
      <c r="Q186" s="24">
        <v>1</v>
      </c>
      <c r="R186" s="24">
        <v>0</v>
      </c>
      <c r="S186" s="24">
        <v>0</v>
      </c>
      <c r="T186" s="24">
        <v>0</v>
      </c>
      <c r="U186" s="24">
        <v>0</v>
      </c>
      <c r="V186" s="24">
        <v>1</v>
      </c>
    </row>
    <row r="187" spans="1:22" ht="21" customHeight="1" x14ac:dyDescent="0.15">
      <c r="A187" s="2" t="str">
        <f ca="1">input_498101!A$2</f>
        <v>498101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38">
        <f ca="1">IFERROR(VLOOKUP(B187,input_498101!L:R,7,FALSE),VLOOKUP(tables_498101!C187,input_498101!A:H,8,FALSE))</f>
        <v>976938.46154000005</v>
      </c>
      <c r="P187" s="39">
        <f t="shared" ca="1" si="7"/>
        <v>8.5188216039310278E-3</v>
      </c>
      <c r="Q187" s="24">
        <v>1</v>
      </c>
      <c r="R187" s="24">
        <v>0</v>
      </c>
      <c r="S187" s="24">
        <v>0</v>
      </c>
      <c r="T187" s="24">
        <v>0</v>
      </c>
      <c r="U187" s="24">
        <v>0</v>
      </c>
      <c r="V187" s="24">
        <v>1</v>
      </c>
    </row>
    <row r="188" spans="1:22" ht="21" customHeight="1" x14ac:dyDescent="0.15">
      <c r="A188" s="2" t="str">
        <f ca="1">input_498101!A$2</f>
        <v>498101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38">
        <f ca="1">IFERROR(VLOOKUP(B188,input_498101!L:R,7,FALSE),VLOOKUP(tables_498101!C188,input_498101!A:H,8,FALSE))</f>
        <v>86510</v>
      </c>
      <c r="P188" s="39">
        <f t="shared" ca="1" si="7"/>
        <v>7.5435995814348308E-4</v>
      </c>
      <c r="Q188" s="24">
        <v>1</v>
      </c>
      <c r="R188" s="24">
        <v>0</v>
      </c>
      <c r="S188" s="24">
        <v>0</v>
      </c>
      <c r="T188" s="24">
        <v>0</v>
      </c>
      <c r="U188" s="24">
        <v>0</v>
      </c>
      <c r="V188" s="24">
        <v>1</v>
      </c>
    </row>
    <row r="189" spans="1:22" ht="21" customHeight="1" x14ac:dyDescent="0.15">
      <c r="A189" s="2" t="str">
        <f ca="1">input_498101!A$2</f>
        <v>498101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38">
        <f ca="1">IFERROR(VLOOKUP(B189,input_498101!L:R,7,FALSE),VLOOKUP(tables_498101!C189,input_498101!A:H,8,FALSE))</f>
        <v>67680</v>
      </c>
      <c r="P189" s="39">
        <f t="shared" ca="1" si="7"/>
        <v>5.901639344255107E-4</v>
      </c>
      <c r="Q189" s="24">
        <v>1</v>
      </c>
      <c r="R189" s="24">
        <v>0</v>
      </c>
      <c r="S189" s="24">
        <v>0</v>
      </c>
      <c r="T189" s="24">
        <v>0</v>
      </c>
      <c r="U189" s="24">
        <v>0</v>
      </c>
      <c r="V189" s="24">
        <v>1</v>
      </c>
    </row>
    <row r="190" spans="1:22" s="9" customFormat="1" ht="21" customHeight="1" thickBot="1" x14ac:dyDescent="0.2">
      <c r="A190" s="2" t="str">
        <f ca="1">input_498101!A$2</f>
        <v>498101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38">
        <f ca="1">IFERROR(VLOOKUP(B190,input_498101!L:R,7,FALSE),VLOOKUP(tables_498101!C190,input_498101!A:H,8,FALSE))</f>
        <v>7520</v>
      </c>
      <c r="P190" s="39">
        <f t="shared" ca="1" si="7"/>
        <v>6.5573770491723419E-5</v>
      </c>
      <c r="Q190" s="24">
        <v>1</v>
      </c>
      <c r="R190" s="24">
        <v>0</v>
      </c>
      <c r="S190" s="24">
        <v>0</v>
      </c>
      <c r="T190" s="24">
        <v>0</v>
      </c>
      <c r="U190" s="24">
        <v>0</v>
      </c>
      <c r="V190" s="24">
        <v>1</v>
      </c>
    </row>
    <row r="191" spans="1:22" ht="21" customHeight="1" x14ac:dyDescent="0.15">
      <c r="A191" s="2" t="str">
        <f ca="1">input_498101!A$2</f>
        <v>498101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38">
        <f ca="1">IFERROR(VLOOKUP(B191,input_498101!L:R,7,FALSE),VLOOKUP(tables_498101!C191,input_498101!A:H,8,FALSE))</f>
        <v>67680</v>
      </c>
      <c r="P191" s="39">
        <f t="shared" ca="1" si="7"/>
        <v>5.901639344255107E-4</v>
      </c>
      <c r="Q191" s="24">
        <v>1</v>
      </c>
      <c r="R191" s="24">
        <v>0</v>
      </c>
      <c r="S191" s="24">
        <v>0</v>
      </c>
      <c r="T191" s="24">
        <v>0</v>
      </c>
      <c r="U191" s="24">
        <v>0</v>
      </c>
      <c r="V191" s="24">
        <v>1</v>
      </c>
    </row>
    <row r="192" spans="1:22" ht="21" customHeight="1" x14ac:dyDescent="0.15">
      <c r="A192" s="2" t="str">
        <f ca="1">input_498101!A$2</f>
        <v>498101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38">
        <f ca="1">IFERROR(VLOOKUP(B192,input_498101!L:R,7,FALSE),VLOOKUP(tables_498101!C192,input_498101!A:H,8,FALSE))</f>
        <v>7520</v>
      </c>
      <c r="P192" s="39">
        <f t="shared" ca="1" si="7"/>
        <v>6.5573770491723419E-5</v>
      </c>
      <c r="Q192" s="24">
        <v>1</v>
      </c>
      <c r="R192" s="24">
        <v>0</v>
      </c>
      <c r="S192" s="24">
        <v>0</v>
      </c>
      <c r="T192" s="24">
        <v>0</v>
      </c>
      <c r="U192" s="24">
        <v>0</v>
      </c>
      <c r="V192" s="24">
        <v>1</v>
      </c>
    </row>
    <row r="193" spans="1:22" ht="21" customHeight="1" x14ac:dyDescent="0.15">
      <c r="A193" s="2" t="str">
        <f ca="1">input_498101!A$2</f>
        <v>498101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38">
        <f ca="1">IFERROR(VLOOKUP(B193,input_498101!L:R,7,FALSE),VLOOKUP(tables_498101!C193,input_498101!A:H,8,FALSE))</f>
        <v>0</v>
      </c>
      <c r="P193" s="39">
        <f t="shared" ca="1" si="7"/>
        <v>0</v>
      </c>
      <c r="Q193" s="24">
        <v>1</v>
      </c>
      <c r="R193" s="24">
        <v>0</v>
      </c>
      <c r="S193" s="24">
        <v>0</v>
      </c>
      <c r="T193" s="24">
        <v>0</v>
      </c>
      <c r="U193" s="24">
        <v>0</v>
      </c>
      <c r="V193" s="24">
        <v>1</v>
      </c>
    </row>
    <row r="194" spans="1:22" ht="21" customHeight="1" x14ac:dyDescent="0.15">
      <c r="A194" s="2" t="str">
        <f ca="1">input_498101!A$2</f>
        <v>498101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38">
        <f ca="1">IFERROR(VLOOKUP(B194,input_498101!L:R,7,FALSE),VLOOKUP(tables_498101!C194,input_498101!A:H,8,FALSE))</f>
        <v>976938.46154000005</v>
      </c>
      <c r="P194" s="39">
        <f t="shared" ref="P194:P257" ca="1" si="10">O194/SUM(O:O)</f>
        <v>8.5188216039310278E-3</v>
      </c>
      <c r="Q194" s="24">
        <v>1</v>
      </c>
      <c r="R194" s="24">
        <v>0</v>
      </c>
      <c r="S194" s="24">
        <v>0</v>
      </c>
      <c r="T194" s="24">
        <v>0</v>
      </c>
      <c r="U194" s="24">
        <v>0</v>
      </c>
      <c r="V194" s="24">
        <v>1</v>
      </c>
    </row>
    <row r="195" spans="1:22" ht="21" customHeight="1" x14ac:dyDescent="0.15">
      <c r="A195" s="2" t="str">
        <f ca="1">input_498101!A$2</f>
        <v>498101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38">
        <f ca="1">IFERROR(VLOOKUP(B195,input_498101!L:R,7,FALSE),VLOOKUP(tables_498101!C195,input_498101!A:H,8,FALSE))</f>
        <v>86510</v>
      </c>
      <c r="P195" s="39">
        <f t="shared" ca="1" si="10"/>
        <v>7.5435995814348308E-4</v>
      </c>
      <c r="Q195" s="24">
        <v>1</v>
      </c>
      <c r="R195" s="24">
        <v>0</v>
      </c>
      <c r="S195" s="24">
        <v>0</v>
      </c>
      <c r="T195" s="24">
        <v>0</v>
      </c>
      <c r="U195" s="24">
        <v>0</v>
      </c>
      <c r="V195" s="24">
        <v>1</v>
      </c>
    </row>
    <row r="196" spans="1:22" ht="21" customHeight="1" x14ac:dyDescent="0.15">
      <c r="A196" s="2" t="str">
        <f ca="1">input_498101!A$2</f>
        <v>498101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38">
        <f ca="1">IFERROR(VLOOKUP(B196,input_498101!L:R,7,FALSE),VLOOKUP(tables_498101!C196,input_498101!A:H,8,FALSE))</f>
        <v>67680</v>
      </c>
      <c r="P196" s="39">
        <f t="shared" ca="1" si="10"/>
        <v>5.901639344255107E-4</v>
      </c>
      <c r="Q196" s="24">
        <v>1</v>
      </c>
      <c r="R196" s="24">
        <v>0</v>
      </c>
      <c r="S196" s="24">
        <v>0</v>
      </c>
      <c r="T196" s="24">
        <v>0</v>
      </c>
      <c r="U196" s="24">
        <v>0</v>
      </c>
      <c r="V196" s="24">
        <v>1</v>
      </c>
    </row>
    <row r="197" spans="1:22" ht="21" customHeight="1" x14ac:dyDescent="0.15">
      <c r="A197" s="2" t="str">
        <f ca="1">input_498101!A$2</f>
        <v>498101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38">
        <f ca="1">IFERROR(VLOOKUP(B197,input_498101!L:R,7,FALSE),VLOOKUP(tables_498101!C197,input_498101!A:H,8,FALSE))</f>
        <v>7520</v>
      </c>
      <c r="P197" s="39">
        <f t="shared" ca="1" si="10"/>
        <v>6.5573770491723419E-5</v>
      </c>
      <c r="Q197" s="24">
        <v>1</v>
      </c>
      <c r="R197" s="24">
        <v>0</v>
      </c>
      <c r="S197" s="24">
        <v>0</v>
      </c>
      <c r="T197" s="24">
        <v>0</v>
      </c>
      <c r="U197" s="24">
        <v>0</v>
      </c>
      <c r="V197" s="24">
        <v>1</v>
      </c>
    </row>
    <row r="198" spans="1:22" ht="21" customHeight="1" x14ac:dyDescent="0.15">
      <c r="A198" s="2" t="str">
        <f ca="1">input_498101!A$2</f>
        <v>498101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38">
        <f ca="1">IFERROR(VLOOKUP(B198,input_498101!L:R,7,FALSE),VLOOKUP(tables_498101!C198,input_498101!A:H,8,FALSE))</f>
        <v>0</v>
      </c>
      <c r="P198" s="39">
        <f t="shared" ca="1" si="10"/>
        <v>0</v>
      </c>
      <c r="Q198" s="24">
        <v>1</v>
      </c>
      <c r="R198" s="24">
        <v>0</v>
      </c>
      <c r="S198" s="24">
        <v>0</v>
      </c>
      <c r="T198" s="24">
        <v>0</v>
      </c>
      <c r="U198" s="24">
        <v>0</v>
      </c>
      <c r="V198" s="24">
        <v>1</v>
      </c>
    </row>
    <row r="199" spans="1:22" ht="21" customHeight="1" x14ac:dyDescent="0.15">
      <c r="A199" s="2" t="str">
        <f ca="1">input_498101!A$2</f>
        <v>498101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38">
        <f ca="1">IFERROR(VLOOKUP(B199,input_498101!L:R,7,FALSE),VLOOKUP(tables_498101!C199,input_498101!A:H,8,FALSE))</f>
        <v>976938.46154000005</v>
      </c>
      <c r="P199" s="39">
        <f t="shared" ca="1" si="10"/>
        <v>8.5188216039310278E-3</v>
      </c>
      <c r="Q199" s="24">
        <v>1</v>
      </c>
      <c r="R199" s="24">
        <v>0</v>
      </c>
      <c r="S199" s="24">
        <v>0</v>
      </c>
      <c r="T199" s="24">
        <v>0</v>
      </c>
      <c r="U199" s="24">
        <v>0</v>
      </c>
      <c r="V199" s="24">
        <v>1</v>
      </c>
    </row>
    <row r="200" spans="1:22" ht="21" customHeight="1" x14ac:dyDescent="0.15">
      <c r="A200" s="2" t="str">
        <f ca="1">input_498101!A$2</f>
        <v>498101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38">
        <f ca="1">IFERROR(VLOOKUP(B200,input_498101!L:R,7,FALSE),VLOOKUP(tables_498101!C200,input_498101!A:H,8,FALSE))</f>
        <v>86510</v>
      </c>
      <c r="P200" s="39">
        <f t="shared" ca="1" si="10"/>
        <v>7.5435995814348308E-4</v>
      </c>
      <c r="Q200" s="24">
        <v>1</v>
      </c>
      <c r="R200" s="24">
        <v>0</v>
      </c>
      <c r="S200" s="24">
        <v>0</v>
      </c>
      <c r="T200" s="24">
        <v>0</v>
      </c>
      <c r="U200" s="24">
        <v>0</v>
      </c>
      <c r="V200" s="24">
        <v>1</v>
      </c>
    </row>
    <row r="201" spans="1:22" ht="21" customHeight="1" x14ac:dyDescent="0.15">
      <c r="A201" s="2" t="str">
        <f ca="1">input_498101!A$2</f>
        <v>498101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38">
        <f ca="1">IFERROR(VLOOKUP(B201,input_498101!L:R,7,FALSE),VLOOKUP(tables_498101!C201,input_498101!A:H,8,FALSE))</f>
        <v>67680</v>
      </c>
      <c r="P201" s="39">
        <f t="shared" ca="1" si="10"/>
        <v>5.901639344255107E-4</v>
      </c>
      <c r="Q201" s="24">
        <v>1</v>
      </c>
      <c r="R201" s="24">
        <v>0</v>
      </c>
      <c r="S201" s="24">
        <v>0</v>
      </c>
      <c r="T201" s="24">
        <v>0</v>
      </c>
      <c r="U201" s="24">
        <v>0</v>
      </c>
      <c r="V201" s="24">
        <v>1</v>
      </c>
    </row>
    <row r="202" spans="1:22" ht="21" customHeight="1" x14ac:dyDescent="0.15">
      <c r="A202" s="2" t="str">
        <f ca="1">input_498101!A$2</f>
        <v>498101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38">
        <f ca="1">IFERROR(VLOOKUP(B202,input_498101!L:R,7,FALSE),VLOOKUP(tables_498101!C202,input_498101!A:H,8,FALSE))</f>
        <v>7520</v>
      </c>
      <c r="P202" s="39">
        <f t="shared" ca="1" si="10"/>
        <v>6.5573770491723419E-5</v>
      </c>
      <c r="Q202" s="24">
        <v>1</v>
      </c>
      <c r="R202" s="24">
        <v>0</v>
      </c>
      <c r="S202" s="24">
        <v>0</v>
      </c>
      <c r="T202" s="24">
        <v>0</v>
      </c>
      <c r="U202" s="24">
        <v>0</v>
      </c>
      <c r="V202" s="24">
        <v>1</v>
      </c>
    </row>
    <row r="203" spans="1:22" ht="21" customHeight="1" x14ac:dyDescent="0.15">
      <c r="A203" s="2" t="str">
        <f ca="1">input_498101!A$2</f>
        <v>498101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38">
        <f ca="1">IFERROR(VLOOKUP(B203,input_498101!L:R,7,FALSE),VLOOKUP(tables_498101!C203,input_498101!A:H,8,FALSE))</f>
        <v>0</v>
      </c>
      <c r="P203" s="39">
        <f t="shared" ca="1" si="10"/>
        <v>0</v>
      </c>
      <c r="Q203" s="24">
        <v>1</v>
      </c>
      <c r="R203" s="24">
        <v>0</v>
      </c>
      <c r="S203" s="24">
        <v>0</v>
      </c>
      <c r="T203" s="24">
        <v>0</v>
      </c>
      <c r="U203" s="24">
        <v>0</v>
      </c>
      <c r="V203" s="24">
        <v>1</v>
      </c>
    </row>
    <row r="204" spans="1:22" ht="21" customHeight="1" x14ac:dyDescent="0.15">
      <c r="A204" s="2" t="str">
        <f ca="1">input_498101!A$2</f>
        <v>498101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38">
        <f ca="1">IFERROR(VLOOKUP(B204,input_498101!L:R,7,FALSE),VLOOKUP(tables_498101!C204,input_498101!A:H,8,FALSE))</f>
        <v>976938.46154000005</v>
      </c>
      <c r="P204" s="39">
        <f t="shared" ca="1" si="10"/>
        <v>8.5188216039310278E-3</v>
      </c>
      <c r="Q204" s="24">
        <v>1</v>
      </c>
      <c r="R204" s="24">
        <v>0</v>
      </c>
      <c r="S204" s="24">
        <v>0</v>
      </c>
      <c r="T204" s="24">
        <v>0</v>
      </c>
      <c r="U204" s="24">
        <v>0</v>
      </c>
      <c r="V204" s="24">
        <v>1</v>
      </c>
    </row>
    <row r="205" spans="1:22" ht="21" customHeight="1" x14ac:dyDescent="0.15">
      <c r="A205" s="2" t="str">
        <f ca="1">input_498101!A$2</f>
        <v>498101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38">
        <f ca="1">IFERROR(VLOOKUP(B205,input_498101!L:R,7,FALSE),VLOOKUP(tables_498101!C205,input_498101!A:H,8,FALSE))</f>
        <v>86510</v>
      </c>
      <c r="P205" s="39">
        <f t="shared" ca="1" si="10"/>
        <v>7.5435995814348308E-4</v>
      </c>
      <c r="Q205" s="24">
        <v>1</v>
      </c>
      <c r="R205" s="24">
        <v>0</v>
      </c>
      <c r="S205" s="24">
        <v>0</v>
      </c>
      <c r="T205" s="24">
        <v>0</v>
      </c>
      <c r="U205" s="24">
        <v>0</v>
      </c>
      <c r="V205" s="24">
        <v>1</v>
      </c>
    </row>
    <row r="206" spans="1:22" ht="21" customHeight="1" x14ac:dyDescent="0.15">
      <c r="A206" s="2" t="str">
        <f ca="1">input_498101!A$2</f>
        <v>498101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38">
        <f ca="1">IFERROR(VLOOKUP(B206,input_498101!L:R,7,FALSE),VLOOKUP(tables_498101!C206,input_498101!A:H,8,FALSE))</f>
        <v>67680</v>
      </c>
      <c r="P206" s="39">
        <f t="shared" ca="1" si="10"/>
        <v>5.901639344255107E-4</v>
      </c>
      <c r="Q206" s="24">
        <v>1</v>
      </c>
      <c r="R206" s="24">
        <v>0</v>
      </c>
      <c r="S206" s="24">
        <v>0</v>
      </c>
      <c r="T206" s="24">
        <v>0</v>
      </c>
      <c r="U206" s="24">
        <v>0</v>
      </c>
      <c r="V206" s="24">
        <v>1</v>
      </c>
    </row>
    <row r="207" spans="1:22" ht="21" customHeight="1" x14ac:dyDescent="0.15">
      <c r="A207" s="2" t="str">
        <f ca="1">input_498101!A$2</f>
        <v>498101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38">
        <f ca="1">IFERROR(VLOOKUP(B207,input_498101!L:R,7,FALSE),VLOOKUP(tables_498101!C207,input_498101!A:H,8,FALSE))</f>
        <v>7520</v>
      </c>
      <c r="P207" s="39">
        <f t="shared" ca="1" si="10"/>
        <v>6.5573770491723419E-5</v>
      </c>
      <c r="Q207" s="24">
        <v>1</v>
      </c>
      <c r="R207" s="24">
        <v>0</v>
      </c>
      <c r="S207" s="24">
        <v>0</v>
      </c>
      <c r="T207" s="24">
        <v>0</v>
      </c>
      <c r="U207" s="24">
        <v>0</v>
      </c>
      <c r="V207" s="24">
        <v>1</v>
      </c>
    </row>
    <row r="208" spans="1:22" ht="21" customHeight="1" x14ac:dyDescent="0.15">
      <c r="A208" s="2" t="str">
        <f ca="1">input_498101!A$2</f>
        <v>498101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38">
        <f ca="1">IFERROR(VLOOKUP(B208,input_498101!L:R,7,FALSE),VLOOKUP(tables_498101!C208,input_498101!A:H,8,FALSE))</f>
        <v>67680</v>
      </c>
      <c r="P208" s="39">
        <f t="shared" ca="1" si="10"/>
        <v>5.901639344255107E-4</v>
      </c>
      <c r="Q208" s="24">
        <v>1</v>
      </c>
      <c r="R208" s="24">
        <v>0</v>
      </c>
      <c r="S208" s="24">
        <v>0</v>
      </c>
      <c r="T208" s="24">
        <v>0</v>
      </c>
      <c r="U208" s="24">
        <v>0</v>
      </c>
      <c r="V208" s="24">
        <v>1</v>
      </c>
    </row>
    <row r="209" spans="1:22" ht="21" customHeight="1" x14ac:dyDescent="0.15">
      <c r="A209" s="2" t="str">
        <f ca="1">input_498101!A$2</f>
        <v>498101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38">
        <f ca="1">IFERROR(VLOOKUP(B209,input_498101!L:R,7,FALSE),VLOOKUP(tables_498101!C209,input_498101!A:H,8,FALSE))</f>
        <v>7520</v>
      </c>
      <c r="P209" s="39">
        <f t="shared" ca="1" si="10"/>
        <v>6.5573770491723419E-5</v>
      </c>
      <c r="Q209" s="24">
        <v>1</v>
      </c>
      <c r="R209" s="24">
        <v>0</v>
      </c>
      <c r="S209" s="24">
        <v>0</v>
      </c>
      <c r="T209" s="24">
        <v>0</v>
      </c>
      <c r="U209" s="24">
        <v>0</v>
      </c>
      <c r="V209" s="24">
        <v>1</v>
      </c>
    </row>
    <row r="210" spans="1:22" ht="21" customHeight="1" x14ac:dyDescent="0.15">
      <c r="A210" s="2" t="str">
        <f ca="1">input_498101!A$2</f>
        <v>498101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38">
        <f ca="1">IFERROR(VLOOKUP(B210,input_498101!L:R,7,FALSE),VLOOKUP(tables_498101!C210,input_498101!A:H,8,FALSE))</f>
        <v>0</v>
      </c>
      <c r="P210" s="39">
        <f t="shared" ca="1" si="10"/>
        <v>0</v>
      </c>
      <c r="Q210" s="24">
        <v>1</v>
      </c>
      <c r="R210" s="24">
        <v>0</v>
      </c>
      <c r="S210" s="24">
        <v>0</v>
      </c>
      <c r="T210" s="24">
        <v>0</v>
      </c>
      <c r="U210" s="24">
        <v>0</v>
      </c>
      <c r="V210" s="24">
        <v>1</v>
      </c>
    </row>
    <row r="211" spans="1:22" ht="21" customHeight="1" x14ac:dyDescent="0.15">
      <c r="A211" s="2" t="str">
        <f ca="1">input_498101!A$2</f>
        <v>498101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38">
        <f ca="1">IFERROR(VLOOKUP(B211,input_498101!L:R,7,FALSE),VLOOKUP(tables_498101!C211,input_498101!A:H,8,FALSE))</f>
        <v>976938.46154000005</v>
      </c>
      <c r="P211" s="39">
        <f t="shared" ca="1" si="10"/>
        <v>8.5188216039310278E-3</v>
      </c>
      <c r="Q211" s="24">
        <v>1</v>
      </c>
      <c r="R211" s="24">
        <v>0</v>
      </c>
      <c r="S211" s="24">
        <v>0</v>
      </c>
      <c r="T211" s="24">
        <v>0</v>
      </c>
      <c r="U211" s="24">
        <v>0</v>
      </c>
      <c r="V211" s="24">
        <v>1</v>
      </c>
    </row>
    <row r="212" spans="1:22" ht="21" customHeight="1" x14ac:dyDescent="0.15">
      <c r="A212" s="2" t="str">
        <f ca="1">input_498101!A$2</f>
        <v>498101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38">
        <f ca="1">IFERROR(VLOOKUP(B212,input_498101!L:R,7,FALSE),VLOOKUP(tables_498101!C212,input_498101!A:H,8,FALSE))</f>
        <v>86510</v>
      </c>
      <c r="P212" s="39">
        <f t="shared" ca="1" si="10"/>
        <v>7.5435995814348308E-4</v>
      </c>
      <c r="Q212" s="24">
        <v>1</v>
      </c>
      <c r="R212" s="24">
        <v>0</v>
      </c>
      <c r="S212" s="24">
        <v>0</v>
      </c>
      <c r="T212" s="24">
        <v>0</v>
      </c>
      <c r="U212" s="24">
        <v>0</v>
      </c>
      <c r="V212" s="24">
        <v>1</v>
      </c>
    </row>
    <row r="213" spans="1:22" ht="21" customHeight="1" x14ac:dyDescent="0.15">
      <c r="A213" s="2" t="str">
        <f ca="1">input_498101!A$2</f>
        <v>498101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38">
        <f ca="1">IFERROR(VLOOKUP(B213,input_498101!L:R,7,FALSE),VLOOKUP(tables_498101!C213,input_498101!A:H,8,FALSE))</f>
        <v>67680</v>
      </c>
      <c r="P213" s="39">
        <f t="shared" ca="1" si="10"/>
        <v>5.901639344255107E-4</v>
      </c>
      <c r="Q213" s="24">
        <v>1</v>
      </c>
      <c r="R213" s="24">
        <v>0</v>
      </c>
      <c r="S213" s="24">
        <v>0</v>
      </c>
      <c r="T213" s="24">
        <v>0</v>
      </c>
      <c r="U213" s="24">
        <v>0</v>
      </c>
      <c r="V213" s="24">
        <v>1</v>
      </c>
    </row>
    <row r="214" spans="1:22" ht="21" customHeight="1" x14ac:dyDescent="0.15">
      <c r="A214" s="2" t="str">
        <f ca="1">input_498101!A$2</f>
        <v>498101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38">
        <f ca="1">IFERROR(VLOOKUP(B214,input_498101!L:R,7,FALSE),VLOOKUP(tables_498101!C214,input_498101!A:H,8,FALSE))</f>
        <v>7520</v>
      </c>
      <c r="P214" s="39">
        <f t="shared" ca="1" si="10"/>
        <v>6.5573770491723419E-5</v>
      </c>
      <c r="Q214" s="24">
        <v>1</v>
      </c>
      <c r="R214" s="24">
        <v>0</v>
      </c>
      <c r="S214" s="24">
        <v>0</v>
      </c>
      <c r="T214" s="24">
        <v>0</v>
      </c>
      <c r="U214" s="24">
        <v>0</v>
      </c>
      <c r="V214" s="24">
        <v>1</v>
      </c>
    </row>
    <row r="215" spans="1:22" ht="21" customHeight="1" x14ac:dyDescent="0.15">
      <c r="A215" s="2" t="str">
        <f ca="1">input_498101!A$2</f>
        <v>498101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38">
        <f ca="1">IFERROR(VLOOKUP(B215,input_498101!L:R,7,FALSE),VLOOKUP(tables_498101!C215,input_498101!A:H,8,FALSE))</f>
        <v>68116.666670000006</v>
      </c>
      <c r="P215" s="39">
        <f t="shared" ca="1" si="10"/>
        <v>5.9397163123401677E-4</v>
      </c>
      <c r="Q215" s="24">
        <v>1</v>
      </c>
      <c r="R215" s="24">
        <v>0</v>
      </c>
      <c r="S215" s="24">
        <v>0</v>
      </c>
      <c r="T215" s="24">
        <v>0</v>
      </c>
      <c r="U215" s="24">
        <v>0</v>
      </c>
      <c r="V215" s="24">
        <v>1</v>
      </c>
    </row>
    <row r="216" spans="1:22" ht="21" customHeight="1" x14ac:dyDescent="0.15">
      <c r="A216" s="2" t="str">
        <f ca="1">input_498101!A$2</f>
        <v>498101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38">
        <f ca="1">IFERROR(VLOOKUP(B216,input_498101!L:R,7,FALSE),VLOOKUP(tables_498101!C216,input_498101!A:H,8,FALSE))</f>
        <v>68116.666670000006</v>
      </c>
      <c r="P216" s="39">
        <f t="shared" ca="1" si="10"/>
        <v>5.9397163123401677E-4</v>
      </c>
      <c r="Q216" s="24">
        <v>1</v>
      </c>
      <c r="R216" s="24">
        <v>0</v>
      </c>
      <c r="S216" s="24">
        <v>0</v>
      </c>
      <c r="T216" s="24">
        <v>0</v>
      </c>
      <c r="U216" s="24">
        <v>0</v>
      </c>
      <c r="V216" s="24">
        <v>1</v>
      </c>
    </row>
    <row r="217" spans="1:22" ht="21" customHeight="1" x14ac:dyDescent="0.15">
      <c r="A217" s="2" t="str">
        <f ca="1">input_498101!A$2</f>
        <v>498101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38">
        <f ca="1">IFERROR(VLOOKUP(B217,input_498101!L:R,7,FALSE),VLOOKUP(tables_498101!C217,input_498101!A:H,8,FALSE))</f>
        <v>68116.666670000006</v>
      </c>
      <c r="P217" s="39">
        <f t="shared" ca="1" si="10"/>
        <v>5.9397163123401677E-4</v>
      </c>
      <c r="Q217" s="24">
        <v>1</v>
      </c>
      <c r="R217" s="24">
        <v>0</v>
      </c>
      <c r="S217" s="24">
        <v>0</v>
      </c>
      <c r="T217" s="24">
        <v>0</v>
      </c>
      <c r="U217" s="24">
        <v>0</v>
      </c>
      <c r="V217" s="24">
        <v>1</v>
      </c>
    </row>
    <row r="218" spans="1:22" ht="21" customHeight="1" x14ac:dyDescent="0.15">
      <c r="A218" s="2" t="str">
        <f ca="1">input_498101!A$2</f>
        <v>498101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38">
        <f ca="1">IFERROR(VLOOKUP(B218,input_498101!L:R,7,FALSE),VLOOKUP(tables_498101!C218,input_498101!A:H,8,FALSE))</f>
        <v>68116.666670000006</v>
      </c>
      <c r="P218" s="39">
        <f t="shared" ca="1" si="10"/>
        <v>5.9397163123401677E-4</v>
      </c>
      <c r="Q218" s="24">
        <v>1</v>
      </c>
      <c r="R218" s="24">
        <v>0</v>
      </c>
      <c r="S218" s="24">
        <v>0</v>
      </c>
      <c r="T218" s="24">
        <v>0</v>
      </c>
      <c r="U218" s="24">
        <v>0</v>
      </c>
      <c r="V218" s="24">
        <v>1</v>
      </c>
    </row>
    <row r="219" spans="1:22" ht="21" customHeight="1" x14ac:dyDescent="0.15">
      <c r="A219" s="2" t="str">
        <f ca="1">input_498101!A$2</f>
        <v>498101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38">
        <f ca="1">IFERROR(VLOOKUP(B219,input_498101!L:R,7,FALSE),VLOOKUP(tables_498101!C219,input_498101!A:H,8,FALSE))</f>
        <v>68116.666670000006</v>
      </c>
      <c r="P219" s="39">
        <f t="shared" ca="1" si="10"/>
        <v>5.9397163123401677E-4</v>
      </c>
      <c r="Q219" s="24">
        <v>1</v>
      </c>
      <c r="R219" s="24">
        <v>0</v>
      </c>
      <c r="S219" s="24">
        <v>0</v>
      </c>
      <c r="T219" s="24">
        <v>0</v>
      </c>
      <c r="U219" s="24">
        <v>0</v>
      </c>
      <c r="V219" s="24">
        <v>1</v>
      </c>
    </row>
    <row r="220" spans="1:22" ht="21" customHeight="1" x14ac:dyDescent="0.15">
      <c r="A220" s="2" t="str">
        <f ca="1">input_498101!A$2</f>
        <v>498101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38">
        <f ca="1">IFERROR(VLOOKUP(B220,input_498101!L:R,7,FALSE),VLOOKUP(tables_498101!C220,input_498101!A:H,8,FALSE))</f>
        <v>68116.666670000006</v>
      </c>
      <c r="P220" s="39">
        <f t="shared" ca="1" si="10"/>
        <v>5.9397163123401677E-4</v>
      </c>
      <c r="Q220" s="24">
        <v>1</v>
      </c>
      <c r="R220" s="24">
        <v>0</v>
      </c>
      <c r="S220" s="24">
        <v>0</v>
      </c>
      <c r="T220" s="24">
        <v>0</v>
      </c>
      <c r="U220" s="24">
        <v>0</v>
      </c>
      <c r="V220" s="24">
        <v>1</v>
      </c>
    </row>
    <row r="221" spans="1:22" ht="21" customHeight="1" x14ac:dyDescent="0.15">
      <c r="A221" s="2" t="str">
        <f ca="1">input_498101!A$2</f>
        <v>498101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38">
        <f ca="1">IFERROR(VLOOKUP(B221,input_498101!L:R,7,FALSE),VLOOKUP(tables_498101!C221,input_498101!A:H,8,FALSE))</f>
        <v>67680</v>
      </c>
      <c r="P221" s="39">
        <f t="shared" ca="1" si="10"/>
        <v>5.901639344255107E-4</v>
      </c>
      <c r="Q221" s="24">
        <v>1</v>
      </c>
      <c r="R221" s="24">
        <v>0</v>
      </c>
      <c r="S221" s="24">
        <v>0</v>
      </c>
      <c r="T221" s="24">
        <v>0</v>
      </c>
      <c r="U221" s="24">
        <v>0</v>
      </c>
      <c r="V221" s="24">
        <v>1</v>
      </c>
    </row>
    <row r="222" spans="1:22" ht="21" customHeight="1" x14ac:dyDescent="0.15">
      <c r="A222" s="2" t="str">
        <f ca="1">input_498101!A$2</f>
        <v>498101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38">
        <f ca="1">IFERROR(VLOOKUP(B222,input_498101!L:R,7,FALSE),VLOOKUP(tables_498101!C222,input_498101!A:H,8,FALSE))</f>
        <v>7520</v>
      </c>
      <c r="P222" s="39">
        <f t="shared" ca="1" si="10"/>
        <v>6.5573770491723419E-5</v>
      </c>
      <c r="Q222" s="24">
        <v>1</v>
      </c>
      <c r="R222" s="24">
        <v>0</v>
      </c>
      <c r="S222" s="24">
        <v>0</v>
      </c>
      <c r="T222" s="24">
        <v>0</v>
      </c>
      <c r="U222" s="24">
        <v>0</v>
      </c>
      <c r="V222" s="24">
        <v>1</v>
      </c>
    </row>
    <row r="223" spans="1:22" ht="21" customHeight="1" x14ac:dyDescent="0.15">
      <c r="A223" s="2" t="str">
        <f ca="1">input_498101!A$2</f>
        <v>498101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38">
        <f ca="1">IFERROR(VLOOKUP(B223,input_498101!L:R,7,FALSE),VLOOKUP(tables_498101!C223,input_498101!A:H,8,FALSE))</f>
        <v>0</v>
      </c>
      <c r="P223" s="39">
        <f t="shared" ca="1" si="10"/>
        <v>0</v>
      </c>
      <c r="Q223" s="24">
        <v>1</v>
      </c>
      <c r="R223" s="24">
        <v>0</v>
      </c>
      <c r="S223" s="24">
        <v>0</v>
      </c>
      <c r="T223" s="24">
        <v>0</v>
      </c>
      <c r="U223" s="24">
        <v>0</v>
      </c>
      <c r="V223" s="24">
        <v>1</v>
      </c>
    </row>
    <row r="224" spans="1:22" ht="21" customHeight="1" x14ac:dyDescent="0.15">
      <c r="A224" s="2" t="str">
        <f ca="1">input_498101!A$2</f>
        <v>498101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38">
        <f ca="1">IFERROR(VLOOKUP(B224,input_498101!L:R,7,FALSE),VLOOKUP(tables_498101!C224,input_498101!A:H,8,FALSE))</f>
        <v>976938.46154000005</v>
      </c>
      <c r="P224" s="39">
        <f t="shared" ca="1" si="10"/>
        <v>8.5188216039310278E-3</v>
      </c>
      <c r="Q224" s="24">
        <v>1</v>
      </c>
      <c r="R224" s="24">
        <v>0</v>
      </c>
      <c r="S224" s="24">
        <v>0</v>
      </c>
      <c r="T224" s="24">
        <v>0</v>
      </c>
      <c r="U224" s="24">
        <v>0</v>
      </c>
      <c r="V224" s="24">
        <v>1</v>
      </c>
    </row>
    <row r="225" spans="1:22" ht="21" customHeight="1" x14ac:dyDescent="0.15">
      <c r="A225" s="2" t="str">
        <f ca="1">input_498101!A$2</f>
        <v>498101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38">
        <f ca="1">IFERROR(VLOOKUP(B225,input_498101!L:R,7,FALSE),VLOOKUP(tables_498101!C225,input_498101!A:H,8,FALSE))</f>
        <v>86510</v>
      </c>
      <c r="P225" s="39">
        <f t="shared" ca="1" si="10"/>
        <v>7.5435995814348308E-4</v>
      </c>
      <c r="Q225" s="24">
        <v>1</v>
      </c>
      <c r="R225" s="24">
        <v>0</v>
      </c>
      <c r="S225" s="24">
        <v>0</v>
      </c>
      <c r="T225" s="24">
        <v>0</v>
      </c>
      <c r="U225" s="24">
        <v>0</v>
      </c>
      <c r="V225" s="24">
        <v>1</v>
      </c>
    </row>
    <row r="226" spans="1:22" ht="21" customHeight="1" x14ac:dyDescent="0.15">
      <c r="A226" s="2" t="str">
        <f ca="1">input_498101!A$2</f>
        <v>498101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38">
        <f ca="1">IFERROR(VLOOKUP(B226,input_498101!L:R,7,FALSE),VLOOKUP(tables_498101!C226,input_498101!A:H,8,FALSE))</f>
        <v>0</v>
      </c>
      <c r="P226" s="39">
        <f t="shared" ca="1" si="10"/>
        <v>0</v>
      </c>
      <c r="Q226" s="24">
        <v>1</v>
      </c>
      <c r="R226" s="24">
        <v>0</v>
      </c>
      <c r="S226" s="24">
        <v>0</v>
      </c>
      <c r="T226" s="24">
        <v>0</v>
      </c>
      <c r="U226" s="24">
        <v>0</v>
      </c>
      <c r="V226" s="24">
        <v>1</v>
      </c>
    </row>
    <row r="227" spans="1:22" ht="21" customHeight="1" x14ac:dyDescent="0.15">
      <c r="A227" s="2" t="str">
        <f ca="1">input_498101!A$2</f>
        <v>498101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38">
        <f ca="1">IFERROR(VLOOKUP(B227,input_498101!L:R,7,FALSE),VLOOKUP(tables_498101!C227,input_498101!A:H,8,FALSE))</f>
        <v>976938.46154000005</v>
      </c>
      <c r="P227" s="39">
        <f t="shared" ca="1" si="10"/>
        <v>8.5188216039310278E-3</v>
      </c>
      <c r="Q227" s="24">
        <v>1</v>
      </c>
      <c r="R227" s="24">
        <v>0</v>
      </c>
      <c r="S227" s="24">
        <v>0</v>
      </c>
      <c r="T227" s="24">
        <v>0</v>
      </c>
      <c r="U227" s="24">
        <v>0</v>
      </c>
      <c r="V227" s="24">
        <v>1</v>
      </c>
    </row>
    <row r="228" spans="1:22" ht="21" customHeight="1" x14ac:dyDescent="0.15">
      <c r="A228" s="2" t="str">
        <f ca="1">input_498101!A$2</f>
        <v>498101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38">
        <f ca="1">IFERROR(VLOOKUP(B228,input_498101!L:R,7,FALSE),VLOOKUP(tables_498101!C228,input_498101!A:H,8,FALSE))</f>
        <v>86510</v>
      </c>
      <c r="P228" s="39">
        <f t="shared" ca="1" si="10"/>
        <v>7.5435995814348308E-4</v>
      </c>
      <c r="Q228" s="24">
        <v>1</v>
      </c>
      <c r="R228" s="24">
        <v>0</v>
      </c>
      <c r="S228" s="24">
        <v>0</v>
      </c>
      <c r="T228" s="24">
        <v>0</v>
      </c>
      <c r="U228" s="24">
        <v>0</v>
      </c>
      <c r="V228" s="24">
        <v>1</v>
      </c>
    </row>
    <row r="229" spans="1:22" ht="21" customHeight="1" x14ac:dyDescent="0.15">
      <c r="A229" s="2" t="str">
        <f ca="1">input_498101!A$2</f>
        <v>498101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38">
        <f ca="1">IFERROR(VLOOKUP(B229,input_498101!L:R,7,FALSE),VLOOKUP(tables_498101!C229,input_498101!A:H,8,FALSE))</f>
        <v>67680</v>
      </c>
      <c r="P229" s="39">
        <f t="shared" ca="1" si="10"/>
        <v>5.901639344255107E-4</v>
      </c>
      <c r="Q229" s="24">
        <v>1</v>
      </c>
      <c r="R229" s="24">
        <v>0</v>
      </c>
      <c r="S229" s="24">
        <v>0</v>
      </c>
      <c r="T229" s="24">
        <v>0</v>
      </c>
      <c r="U229" s="24">
        <v>0</v>
      </c>
      <c r="V229" s="24">
        <v>1</v>
      </c>
    </row>
    <row r="230" spans="1:22" ht="21" customHeight="1" x14ac:dyDescent="0.15">
      <c r="A230" s="2" t="str">
        <f ca="1">input_498101!A$2</f>
        <v>498101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38">
        <f ca="1">IFERROR(VLOOKUP(B230,input_498101!L:R,7,FALSE),VLOOKUP(tables_498101!C230,input_498101!A:H,8,FALSE))</f>
        <v>7520</v>
      </c>
      <c r="P230" s="39">
        <f t="shared" ca="1" si="10"/>
        <v>6.5573770491723419E-5</v>
      </c>
      <c r="Q230" s="24">
        <v>1</v>
      </c>
      <c r="R230" s="24">
        <v>0</v>
      </c>
      <c r="S230" s="24">
        <v>0</v>
      </c>
      <c r="T230" s="24">
        <v>0</v>
      </c>
      <c r="U230" s="24">
        <v>0</v>
      </c>
      <c r="V230" s="24">
        <v>1</v>
      </c>
    </row>
    <row r="231" spans="1:22" ht="21" customHeight="1" x14ac:dyDescent="0.15">
      <c r="A231" s="2" t="str">
        <f ca="1">input_498101!A$2</f>
        <v>498101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38">
        <f ca="1">IFERROR(VLOOKUP(B231,input_498101!L:R,7,FALSE),VLOOKUP(tables_498101!C231,input_498101!A:H,8,FALSE))</f>
        <v>0</v>
      </c>
      <c r="P231" s="39">
        <f t="shared" ca="1" si="10"/>
        <v>0</v>
      </c>
      <c r="Q231" s="24">
        <v>1</v>
      </c>
      <c r="R231" s="24">
        <v>0</v>
      </c>
      <c r="S231" s="24">
        <v>0</v>
      </c>
      <c r="T231" s="24">
        <v>0</v>
      </c>
      <c r="U231" s="24">
        <v>0</v>
      </c>
      <c r="V231" s="24">
        <v>1</v>
      </c>
    </row>
    <row r="232" spans="1:22" ht="21" customHeight="1" x14ac:dyDescent="0.15">
      <c r="A232" s="2" t="str">
        <f ca="1">input_498101!A$2</f>
        <v>498101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38">
        <f ca="1">IFERROR(VLOOKUP(B232,input_498101!L:R,7,FALSE),VLOOKUP(tables_498101!C232,input_498101!A:H,8,FALSE))</f>
        <v>976938.46154000005</v>
      </c>
      <c r="P232" s="39">
        <f t="shared" ca="1" si="10"/>
        <v>8.5188216039310278E-3</v>
      </c>
      <c r="Q232" s="24">
        <v>1</v>
      </c>
      <c r="R232" s="24">
        <v>0</v>
      </c>
      <c r="S232" s="24">
        <v>0</v>
      </c>
      <c r="T232" s="24">
        <v>0</v>
      </c>
      <c r="U232" s="24">
        <v>0</v>
      </c>
      <c r="V232" s="24">
        <v>1</v>
      </c>
    </row>
    <row r="233" spans="1:22" ht="21" customHeight="1" x14ac:dyDescent="0.15">
      <c r="A233" s="2" t="str">
        <f ca="1">input_498101!A$2</f>
        <v>498101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38">
        <f ca="1">IFERROR(VLOOKUP(B233,input_498101!L:R,7,FALSE),VLOOKUP(tables_498101!C233,input_498101!A:H,8,FALSE))</f>
        <v>86510</v>
      </c>
      <c r="P233" s="39">
        <f t="shared" ca="1" si="10"/>
        <v>7.5435995814348308E-4</v>
      </c>
      <c r="Q233" s="24">
        <v>1</v>
      </c>
      <c r="R233" s="24">
        <v>0</v>
      </c>
      <c r="S233" s="24">
        <v>0</v>
      </c>
      <c r="T233" s="24">
        <v>0</v>
      </c>
      <c r="U233" s="24">
        <v>0</v>
      </c>
      <c r="V233" s="24">
        <v>1</v>
      </c>
    </row>
    <row r="234" spans="1:22" ht="21" customHeight="1" x14ac:dyDescent="0.15">
      <c r="A234" s="2" t="str">
        <f ca="1">input_498101!A$2</f>
        <v>498101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38">
        <f ca="1">IFERROR(VLOOKUP(B234,input_498101!L:R,7,FALSE),VLOOKUP(tables_498101!C234,input_498101!A:H,8,FALSE))</f>
        <v>0</v>
      </c>
      <c r="P234" s="39">
        <f t="shared" ca="1" si="10"/>
        <v>0</v>
      </c>
      <c r="Q234" s="24">
        <v>1</v>
      </c>
      <c r="R234" s="24">
        <v>0</v>
      </c>
      <c r="S234" s="24">
        <v>0</v>
      </c>
      <c r="T234" s="24">
        <v>0</v>
      </c>
      <c r="U234" s="24">
        <v>0</v>
      </c>
      <c r="V234" s="24">
        <v>1</v>
      </c>
    </row>
    <row r="235" spans="1:22" ht="21" customHeight="1" x14ac:dyDescent="0.15">
      <c r="A235" s="2" t="str">
        <f ca="1">input_498101!A$2</f>
        <v>498101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38">
        <f ca="1">IFERROR(VLOOKUP(B235,input_498101!L:R,7,FALSE),VLOOKUP(tables_498101!C235,input_498101!A:H,8,FALSE))</f>
        <v>976938.46154000005</v>
      </c>
      <c r="P235" s="39">
        <f t="shared" ca="1" si="10"/>
        <v>8.5188216039310278E-3</v>
      </c>
      <c r="Q235" s="24">
        <v>1</v>
      </c>
      <c r="R235" s="24">
        <v>0</v>
      </c>
      <c r="S235" s="24">
        <v>0</v>
      </c>
      <c r="T235" s="24">
        <v>0</v>
      </c>
      <c r="U235" s="24">
        <v>0</v>
      </c>
      <c r="V235" s="24">
        <v>1</v>
      </c>
    </row>
    <row r="236" spans="1:22" ht="21" customHeight="1" x14ac:dyDescent="0.15">
      <c r="A236" s="2" t="str">
        <f ca="1">input_498101!A$2</f>
        <v>498101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38">
        <f ca="1">IFERROR(VLOOKUP(B236,input_498101!L:R,7,FALSE),VLOOKUP(tables_498101!C236,input_498101!A:H,8,FALSE))</f>
        <v>86510</v>
      </c>
      <c r="P236" s="39">
        <f t="shared" ca="1" si="10"/>
        <v>7.5435995814348308E-4</v>
      </c>
      <c r="Q236" s="24">
        <v>1</v>
      </c>
      <c r="R236" s="24">
        <v>0</v>
      </c>
      <c r="S236" s="24">
        <v>0</v>
      </c>
      <c r="T236" s="24">
        <v>0</v>
      </c>
      <c r="U236" s="24">
        <v>0</v>
      </c>
      <c r="V236" s="24">
        <v>1</v>
      </c>
    </row>
    <row r="237" spans="1:22" ht="21" customHeight="1" x14ac:dyDescent="0.15">
      <c r="A237" s="2" t="str">
        <f ca="1">input_498101!A$2</f>
        <v>498101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38">
        <f ca="1">IFERROR(VLOOKUP(B237,input_498101!L:R,7,FALSE),VLOOKUP(tables_498101!C237,input_498101!A:H,8,FALSE))</f>
        <v>67680</v>
      </c>
      <c r="P237" s="39">
        <f t="shared" ca="1" si="10"/>
        <v>5.901639344255107E-4</v>
      </c>
      <c r="Q237" s="24">
        <v>1</v>
      </c>
      <c r="R237" s="24">
        <v>0</v>
      </c>
      <c r="S237" s="24">
        <v>0</v>
      </c>
      <c r="T237" s="24">
        <v>0</v>
      </c>
      <c r="U237" s="24">
        <v>0</v>
      </c>
      <c r="V237" s="24">
        <v>1</v>
      </c>
    </row>
    <row r="238" spans="1:22" ht="21" customHeight="1" x14ac:dyDescent="0.15">
      <c r="A238" s="2" t="str">
        <f ca="1">input_498101!A$2</f>
        <v>498101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38">
        <f ca="1">IFERROR(VLOOKUP(B238,input_498101!L:R,7,FALSE),VLOOKUP(tables_498101!C238,input_498101!A:H,8,FALSE))</f>
        <v>7520</v>
      </c>
      <c r="P238" s="39">
        <f t="shared" ca="1" si="10"/>
        <v>6.5573770491723419E-5</v>
      </c>
      <c r="Q238" s="24">
        <v>1</v>
      </c>
      <c r="R238" s="24">
        <v>0</v>
      </c>
      <c r="S238" s="24">
        <v>0</v>
      </c>
      <c r="T238" s="24">
        <v>0</v>
      </c>
      <c r="U238" s="24">
        <v>0</v>
      </c>
      <c r="V238" s="24">
        <v>1</v>
      </c>
    </row>
    <row r="239" spans="1:22" ht="21" customHeight="1" x14ac:dyDescent="0.15">
      <c r="A239" s="2" t="str">
        <f ca="1">input_498101!A$2</f>
        <v>498101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38">
        <f ca="1">IFERROR(VLOOKUP(B239,input_498101!L:R,7,FALSE),VLOOKUP(tables_498101!C239,input_498101!A:H,8,FALSE))</f>
        <v>0</v>
      </c>
      <c r="P239" s="39">
        <f t="shared" ca="1" si="10"/>
        <v>0</v>
      </c>
      <c r="Q239" s="24">
        <v>1</v>
      </c>
      <c r="R239" s="24">
        <v>0</v>
      </c>
      <c r="S239" s="24">
        <v>0</v>
      </c>
      <c r="T239" s="24">
        <v>0</v>
      </c>
      <c r="U239" s="24">
        <v>0</v>
      </c>
      <c r="V239" s="24">
        <v>1</v>
      </c>
    </row>
    <row r="240" spans="1:22" ht="21" customHeight="1" x14ac:dyDescent="0.15">
      <c r="A240" s="2" t="str">
        <f ca="1">input_498101!A$2</f>
        <v>498101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38">
        <f ca="1">IFERROR(VLOOKUP(B240,input_498101!L:R,7,FALSE),VLOOKUP(tables_498101!C240,input_498101!A:H,8,FALSE))</f>
        <v>976938.46154000005</v>
      </c>
      <c r="P240" s="39">
        <f t="shared" ca="1" si="10"/>
        <v>8.5188216039310278E-3</v>
      </c>
      <c r="Q240" s="24">
        <v>1</v>
      </c>
      <c r="R240" s="24">
        <v>0</v>
      </c>
      <c r="S240" s="24">
        <v>0</v>
      </c>
      <c r="T240" s="24">
        <v>0</v>
      </c>
      <c r="U240" s="24">
        <v>0</v>
      </c>
      <c r="V240" s="24">
        <v>1</v>
      </c>
    </row>
    <row r="241" spans="1:22" ht="21" customHeight="1" x14ac:dyDescent="0.15">
      <c r="A241" s="2" t="str">
        <f ca="1">input_498101!A$2</f>
        <v>498101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38">
        <f ca="1">IFERROR(VLOOKUP(B241,input_498101!L:R,7,FALSE),VLOOKUP(tables_498101!C241,input_498101!A:H,8,FALSE))</f>
        <v>86510</v>
      </c>
      <c r="P241" s="39">
        <f t="shared" ca="1" si="10"/>
        <v>7.5435995814348308E-4</v>
      </c>
      <c r="Q241" s="24">
        <v>1</v>
      </c>
      <c r="R241" s="24">
        <v>0</v>
      </c>
      <c r="S241" s="24">
        <v>0</v>
      </c>
      <c r="T241" s="24">
        <v>0</v>
      </c>
      <c r="U241" s="24">
        <v>0</v>
      </c>
      <c r="V241" s="24">
        <v>1</v>
      </c>
    </row>
    <row r="242" spans="1:22" ht="21" customHeight="1" x14ac:dyDescent="0.15">
      <c r="A242" s="2" t="str">
        <f ca="1">input_498101!A$2</f>
        <v>498101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38">
        <f ca="1">IFERROR(VLOOKUP(B242,input_498101!L:R,7,FALSE),VLOOKUP(tables_498101!C242,input_498101!A:H,8,FALSE))</f>
        <v>67680</v>
      </c>
      <c r="P242" s="39">
        <f t="shared" ca="1" si="10"/>
        <v>5.901639344255107E-4</v>
      </c>
      <c r="Q242" s="24">
        <v>1</v>
      </c>
      <c r="R242" s="24">
        <v>0</v>
      </c>
      <c r="S242" s="24">
        <v>0</v>
      </c>
      <c r="T242" s="24">
        <v>0</v>
      </c>
      <c r="U242" s="24">
        <v>0</v>
      </c>
      <c r="V242" s="24">
        <v>1</v>
      </c>
    </row>
    <row r="243" spans="1:22" ht="21" customHeight="1" x14ac:dyDescent="0.15">
      <c r="A243" s="2" t="str">
        <f ca="1">input_498101!A$2</f>
        <v>498101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38">
        <f ca="1">IFERROR(VLOOKUP(B243,input_498101!L:R,7,FALSE),VLOOKUP(tables_498101!C243,input_498101!A:H,8,FALSE))</f>
        <v>7520</v>
      </c>
      <c r="P243" s="39">
        <f t="shared" ca="1" si="10"/>
        <v>6.5573770491723419E-5</v>
      </c>
      <c r="Q243" s="24">
        <v>1</v>
      </c>
      <c r="R243" s="24">
        <v>0</v>
      </c>
      <c r="S243" s="24">
        <v>0</v>
      </c>
      <c r="T243" s="24">
        <v>0</v>
      </c>
      <c r="U243" s="24">
        <v>0</v>
      </c>
      <c r="V243" s="24">
        <v>1</v>
      </c>
    </row>
    <row r="244" spans="1:22" ht="21" customHeight="1" x14ac:dyDescent="0.15">
      <c r="A244" s="2" t="str">
        <f ca="1">input_498101!A$2</f>
        <v>498101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38">
        <f ca="1">IFERROR(VLOOKUP(B244,input_498101!L:R,7,FALSE),VLOOKUP(tables_498101!C244,input_498101!A:H,8,FALSE))</f>
        <v>67680</v>
      </c>
      <c r="P244" s="39">
        <f t="shared" ca="1" si="10"/>
        <v>5.901639344255107E-4</v>
      </c>
      <c r="Q244" s="24">
        <v>1</v>
      </c>
      <c r="R244" s="24">
        <v>0</v>
      </c>
      <c r="S244" s="24">
        <v>0</v>
      </c>
      <c r="T244" s="24">
        <v>0</v>
      </c>
      <c r="U244" s="24">
        <v>0</v>
      </c>
      <c r="V244" s="24">
        <v>1</v>
      </c>
    </row>
    <row r="245" spans="1:22" ht="21" customHeight="1" x14ac:dyDescent="0.15">
      <c r="A245" s="2" t="str">
        <f ca="1">input_498101!A$2</f>
        <v>498101</v>
      </c>
      <c r="B245" s="53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38">
        <f ca="1">IFERROR(VLOOKUP(B245,input_498101!L:R,7,FALSE),VLOOKUP(tables_498101!C245,input_498101!A:H,8,FALSE))</f>
        <v>7520</v>
      </c>
      <c r="P245" s="39">
        <f t="shared" ca="1" si="10"/>
        <v>6.5573770491723419E-5</v>
      </c>
      <c r="Q245" s="24">
        <v>1</v>
      </c>
      <c r="R245" s="24">
        <v>0</v>
      </c>
      <c r="S245" s="24">
        <v>0</v>
      </c>
      <c r="T245" s="24">
        <v>0</v>
      </c>
      <c r="U245" s="24">
        <v>0</v>
      </c>
      <c r="V245" s="24">
        <v>1</v>
      </c>
    </row>
    <row r="246" spans="1:22" ht="21" customHeight="1" x14ac:dyDescent="0.15">
      <c r="A246" s="2" t="str">
        <f ca="1">input_498101!A$2</f>
        <v>498101</v>
      </c>
      <c r="B246" s="53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38">
        <f ca="1">IFERROR(VLOOKUP(B246,input_498101!L:R,7,FALSE),VLOOKUP(tables_498101!C246,input_498101!A:H,8,FALSE))</f>
        <v>0</v>
      </c>
      <c r="P246" s="39">
        <f t="shared" ca="1" si="10"/>
        <v>0</v>
      </c>
      <c r="Q246" s="24">
        <v>1</v>
      </c>
      <c r="R246" s="24">
        <v>0</v>
      </c>
      <c r="S246" s="24">
        <v>0</v>
      </c>
      <c r="T246" s="24">
        <v>0</v>
      </c>
      <c r="U246" s="24">
        <v>0</v>
      </c>
      <c r="V246" s="24">
        <v>1</v>
      </c>
    </row>
    <row r="247" spans="1:22" ht="21" customHeight="1" x14ac:dyDescent="0.15">
      <c r="A247" s="2" t="str">
        <f ca="1">input_498101!A$2</f>
        <v>498101</v>
      </c>
      <c r="B247" s="53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38">
        <f ca="1">IFERROR(VLOOKUP(B247,input_498101!L:R,7,FALSE),VLOOKUP(tables_498101!C247,input_498101!A:H,8,FALSE))</f>
        <v>976938.46154000005</v>
      </c>
      <c r="P247" s="39">
        <f t="shared" ca="1" si="10"/>
        <v>8.5188216039310278E-3</v>
      </c>
      <c r="Q247" s="24">
        <v>1</v>
      </c>
      <c r="R247" s="24">
        <v>0</v>
      </c>
      <c r="S247" s="24">
        <v>0</v>
      </c>
      <c r="T247" s="24">
        <v>0</v>
      </c>
      <c r="U247" s="24">
        <v>0</v>
      </c>
      <c r="V247" s="24">
        <v>1</v>
      </c>
    </row>
    <row r="248" spans="1:22" ht="21" customHeight="1" x14ac:dyDescent="0.15">
      <c r="A248" s="2" t="str">
        <f ca="1">input_498101!A$2</f>
        <v>498101</v>
      </c>
      <c r="B248" s="53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38">
        <f ca="1">IFERROR(VLOOKUP(B248,input_498101!L:R,7,FALSE),VLOOKUP(tables_498101!C248,input_498101!A:H,8,FALSE))</f>
        <v>86510</v>
      </c>
      <c r="P248" s="39">
        <f t="shared" ca="1" si="10"/>
        <v>7.5435995814348308E-4</v>
      </c>
      <c r="Q248" s="24">
        <v>1</v>
      </c>
      <c r="R248" s="24">
        <v>0</v>
      </c>
      <c r="S248" s="24">
        <v>0</v>
      </c>
      <c r="T248" s="24">
        <v>0</v>
      </c>
      <c r="U248" s="24">
        <v>0</v>
      </c>
      <c r="V248" s="24">
        <v>1</v>
      </c>
    </row>
    <row r="249" spans="1:22" ht="21" customHeight="1" x14ac:dyDescent="0.15">
      <c r="A249" s="2" t="str">
        <f ca="1">input_498101!A$2</f>
        <v>498101</v>
      </c>
      <c r="B249" s="53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38">
        <f ca="1">IFERROR(VLOOKUP(B249,input_498101!L:R,7,FALSE),VLOOKUP(tables_498101!C249,input_498101!A:H,8,FALSE))</f>
        <v>0</v>
      </c>
      <c r="P249" s="39">
        <f t="shared" ca="1" si="10"/>
        <v>0</v>
      </c>
      <c r="Q249" s="24">
        <v>1</v>
      </c>
      <c r="R249" s="24">
        <v>0</v>
      </c>
      <c r="S249" s="24">
        <v>0</v>
      </c>
      <c r="T249" s="24">
        <v>0</v>
      </c>
      <c r="U249" s="24">
        <v>0</v>
      </c>
      <c r="V249" s="24">
        <v>1</v>
      </c>
    </row>
    <row r="250" spans="1:22" ht="21" customHeight="1" x14ac:dyDescent="0.15">
      <c r="A250" s="2" t="str">
        <f ca="1">input_498101!A$2</f>
        <v>498101</v>
      </c>
      <c r="B250" s="53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38">
        <f ca="1">IFERROR(VLOOKUP(B250,input_498101!L:R,7,FALSE),VLOOKUP(tables_498101!C250,input_498101!A:H,8,FALSE))</f>
        <v>976938.46154000005</v>
      </c>
      <c r="P250" s="39">
        <f t="shared" ca="1" si="10"/>
        <v>8.5188216039310278E-3</v>
      </c>
      <c r="Q250" s="24">
        <v>1</v>
      </c>
      <c r="R250" s="24">
        <v>0</v>
      </c>
      <c r="S250" s="24">
        <v>0</v>
      </c>
      <c r="T250" s="24">
        <v>0</v>
      </c>
      <c r="U250" s="24">
        <v>0</v>
      </c>
      <c r="V250" s="24">
        <v>1</v>
      </c>
    </row>
    <row r="251" spans="1:22" ht="21" customHeight="1" x14ac:dyDescent="0.15">
      <c r="A251" s="2" t="str">
        <f ca="1">input_498101!A$2</f>
        <v>498101</v>
      </c>
      <c r="B251" s="53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38">
        <f ca="1">IFERROR(VLOOKUP(B251,input_498101!L:R,7,FALSE),VLOOKUP(tables_498101!C251,input_498101!A:H,8,FALSE))</f>
        <v>86510</v>
      </c>
      <c r="P251" s="39">
        <f t="shared" ca="1" si="10"/>
        <v>7.5435995814348308E-4</v>
      </c>
      <c r="Q251" s="24">
        <v>1</v>
      </c>
      <c r="R251" s="24">
        <v>0</v>
      </c>
      <c r="S251" s="24">
        <v>0</v>
      </c>
      <c r="T251" s="24">
        <v>0</v>
      </c>
      <c r="U251" s="24">
        <v>0</v>
      </c>
      <c r="V251" s="24">
        <v>1</v>
      </c>
    </row>
    <row r="252" spans="1:22" ht="21" customHeight="1" x14ac:dyDescent="0.15">
      <c r="A252" s="2" t="str">
        <f ca="1">input_498101!A$2</f>
        <v>498101</v>
      </c>
      <c r="B252" s="53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38">
        <f ca="1">IFERROR(VLOOKUP(B252,input_498101!L:R,7,FALSE),VLOOKUP(tables_498101!C252,input_498101!A:H,8,FALSE))</f>
        <v>0</v>
      </c>
      <c r="P252" s="39">
        <f t="shared" ca="1" si="10"/>
        <v>0</v>
      </c>
      <c r="Q252" s="24">
        <v>1</v>
      </c>
      <c r="R252" s="24">
        <v>0</v>
      </c>
      <c r="S252" s="24">
        <v>0</v>
      </c>
      <c r="T252" s="24">
        <v>0</v>
      </c>
      <c r="U252" s="24">
        <v>0</v>
      </c>
      <c r="V252" s="24">
        <v>1</v>
      </c>
    </row>
    <row r="253" spans="1:22" ht="21" customHeight="1" x14ac:dyDescent="0.15">
      <c r="A253" s="2" t="str">
        <f ca="1">input_498101!A$2</f>
        <v>498101</v>
      </c>
      <c r="B253" s="53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38">
        <f ca="1">IFERROR(VLOOKUP(B253,input_498101!L:R,7,FALSE),VLOOKUP(tables_498101!C253,input_498101!A:H,8,FALSE))</f>
        <v>976938.46154000005</v>
      </c>
      <c r="P253" s="39">
        <f t="shared" ca="1" si="10"/>
        <v>8.5188216039310278E-3</v>
      </c>
      <c r="Q253" s="24">
        <v>1</v>
      </c>
      <c r="R253" s="24">
        <v>0</v>
      </c>
      <c r="S253" s="24">
        <v>0</v>
      </c>
      <c r="T253" s="24">
        <v>0</v>
      </c>
      <c r="U253" s="24">
        <v>0</v>
      </c>
      <c r="V253" s="24">
        <v>1</v>
      </c>
    </row>
    <row r="254" spans="1:22" ht="21" customHeight="1" x14ac:dyDescent="0.15">
      <c r="A254" s="2" t="str">
        <f ca="1">input_498101!A$2</f>
        <v>498101</v>
      </c>
      <c r="B254" s="53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38">
        <f ca="1">IFERROR(VLOOKUP(B254,input_498101!L:R,7,FALSE),VLOOKUP(tables_498101!C254,input_498101!A:H,8,FALSE))</f>
        <v>86510</v>
      </c>
      <c r="P254" s="39">
        <f t="shared" ca="1" si="10"/>
        <v>7.5435995814348308E-4</v>
      </c>
      <c r="Q254" s="24">
        <v>1</v>
      </c>
      <c r="R254" s="24">
        <v>0</v>
      </c>
      <c r="S254" s="24">
        <v>0</v>
      </c>
      <c r="T254" s="24">
        <v>0</v>
      </c>
      <c r="U254" s="24">
        <v>0</v>
      </c>
      <c r="V254" s="24">
        <v>1</v>
      </c>
    </row>
    <row r="255" spans="1:22" ht="21" customHeight="1" x14ac:dyDescent="0.15">
      <c r="A255" s="2" t="str">
        <f ca="1">input_498101!A$2</f>
        <v>498101</v>
      </c>
      <c r="B255" s="53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38">
        <f ca="1">IFERROR(VLOOKUP(B255,input_498101!L:R,7,FALSE),VLOOKUP(tables_498101!C255,input_498101!A:H,8,FALSE))</f>
        <v>0</v>
      </c>
      <c r="P255" s="39">
        <f t="shared" ca="1" si="10"/>
        <v>0</v>
      </c>
      <c r="Q255" s="24">
        <v>1</v>
      </c>
      <c r="R255" s="24">
        <v>0</v>
      </c>
      <c r="S255" s="24">
        <v>0</v>
      </c>
      <c r="T255" s="24">
        <v>0</v>
      </c>
      <c r="U255" s="24">
        <v>0</v>
      </c>
      <c r="V255" s="24">
        <v>1</v>
      </c>
    </row>
    <row r="256" spans="1:22" ht="21" customHeight="1" x14ac:dyDescent="0.15">
      <c r="A256" s="2" t="str">
        <f ca="1">input_498101!A$2</f>
        <v>498101</v>
      </c>
      <c r="B256" s="53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38">
        <f ca="1">IFERROR(VLOOKUP(B256,input_498101!L:R,7,FALSE),VLOOKUP(tables_498101!C256,input_498101!A:H,8,FALSE))</f>
        <v>976938.46154000005</v>
      </c>
      <c r="P256" s="39">
        <f t="shared" ca="1" si="10"/>
        <v>8.5188216039310278E-3</v>
      </c>
      <c r="Q256" s="24">
        <v>1</v>
      </c>
      <c r="R256" s="24">
        <v>0</v>
      </c>
      <c r="S256" s="24">
        <v>0</v>
      </c>
      <c r="T256" s="24">
        <v>0</v>
      </c>
      <c r="U256" s="24">
        <v>0</v>
      </c>
      <c r="V256" s="24">
        <v>1</v>
      </c>
    </row>
    <row r="257" spans="1:22" ht="21" customHeight="1" x14ac:dyDescent="0.15">
      <c r="A257" s="2" t="str">
        <f ca="1">input_498101!A$2</f>
        <v>498101</v>
      </c>
      <c r="B257" s="53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38">
        <f ca="1">IFERROR(VLOOKUP(B257,input_498101!L:R,7,FALSE),VLOOKUP(tables_498101!C257,input_498101!A:H,8,FALSE))</f>
        <v>86510</v>
      </c>
      <c r="P257" s="39">
        <f t="shared" ca="1" si="10"/>
        <v>7.5435995814348308E-4</v>
      </c>
      <c r="Q257" s="24">
        <v>1</v>
      </c>
      <c r="R257" s="24">
        <v>0</v>
      </c>
      <c r="S257" s="24">
        <v>0</v>
      </c>
      <c r="T257" s="24">
        <v>0</v>
      </c>
      <c r="U257" s="24">
        <v>0</v>
      </c>
      <c r="V257" s="24">
        <v>1</v>
      </c>
    </row>
    <row r="258" spans="1:22" ht="21" customHeight="1" x14ac:dyDescent="0.15">
      <c r="A258" s="2" t="str">
        <f ca="1">input_498101!A$2</f>
        <v>498101</v>
      </c>
      <c r="B258" s="53">
        <v>674</v>
      </c>
      <c r="C258" s="7" t="str">
        <f t="shared" ref="C258:C321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38">
        <f ca="1">IFERROR(VLOOKUP(B258,input_498101!L:R,7,FALSE),VLOOKUP(tables_498101!C258,input_498101!A:H,8,FALSE))</f>
        <v>67680</v>
      </c>
      <c r="P258" s="39">
        <f t="shared" ref="P258:P321" ca="1" si="13">O258/SUM(O:O)</f>
        <v>5.901639344255107E-4</v>
      </c>
      <c r="Q258" s="24">
        <v>1</v>
      </c>
      <c r="R258" s="24">
        <v>0</v>
      </c>
      <c r="S258" s="24">
        <v>0</v>
      </c>
      <c r="T258" s="24">
        <v>0</v>
      </c>
      <c r="U258" s="24">
        <v>0</v>
      </c>
      <c r="V258" s="24">
        <v>1</v>
      </c>
    </row>
    <row r="259" spans="1:22" ht="21" customHeight="1" x14ac:dyDescent="0.15">
      <c r="A259" s="2" t="str">
        <f ca="1">input_498101!A$2</f>
        <v>498101</v>
      </c>
      <c r="B259" s="53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38">
        <f ca="1">IFERROR(VLOOKUP(B259,input_498101!L:R,7,FALSE),VLOOKUP(tables_498101!C259,input_498101!A:H,8,FALSE))</f>
        <v>7520</v>
      </c>
      <c r="P259" s="39">
        <f t="shared" ca="1" si="13"/>
        <v>6.5573770491723419E-5</v>
      </c>
      <c r="Q259" s="24">
        <v>1</v>
      </c>
      <c r="R259" s="24">
        <v>0</v>
      </c>
      <c r="S259" s="24">
        <v>0</v>
      </c>
      <c r="T259" s="24">
        <v>0</v>
      </c>
      <c r="U259" s="24">
        <v>0</v>
      </c>
      <c r="V259" s="24">
        <v>1</v>
      </c>
    </row>
    <row r="260" spans="1:22" ht="21" customHeight="1" x14ac:dyDescent="0.15">
      <c r="A260" s="2" t="str">
        <f ca="1">input_498101!A$2</f>
        <v>498101</v>
      </c>
      <c r="B260" s="53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38">
        <f ca="1">IFERROR(VLOOKUP(B260,input_498101!L:R,7,FALSE),VLOOKUP(tables_498101!C260,input_498101!A:H,8,FALSE))</f>
        <v>67680</v>
      </c>
      <c r="P260" s="39">
        <f t="shared" ca="1" si="13"/>
        <v>5.901639344255107E-4</v>
      </c>
      <c r="Q260" s="24">
        <v>1</v>
      </c>
      <c r="R260" s="24">
        <v>0</v>
      </c>
      <c r="S260" s="24">
        <v>0</v>
      </c>
      <c r="T260" s="24">
        <v>0</v>
      </c>
      <c r="U260" s="24">
        <v>0</v>
      </c>
      <c r="V260" s="24">
        <v>1</v>
      </c>
    </row>
    <row r="261" spans="1:22" ht="21" customHeight="1" x14ac:dyDescent="0.15">
      <c r="A261" s="2" t="str">
        <f ca="1">input_498101!A$2</f>
        <v>498101</v>
      </c>
      <c r="B261" s="53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38">
        <f ca="1">IFERROR(VLOOKUP(B261,input_498101!L:R,7,FALSE),VLOOKUP(tables_498101!C261,input_498101!A:H,8,FALSE))</f>
        <v>7520</v>
      </c>
      <c r="P261" s="39">
        <f t="shared" ca="1" si="13"/>
        <v>6.5573770491723419E-5</v>
      </c>
      <c r="Q261" s="24">
        <v>1</v>
      </c>
      <c r="R261" s="24">
        <v>0</v>
      </c>
      <c r="S261" s="24">
        <v>0</v>
      </c>
      <c r="T261" s="24">
        <v>0</v>
      </c>
      <c r="U261" s="24">
        <v>0</v>
      </c>
      <c r="V261" s="24">
        <v>1</v>
      </c>
    </row>
    <row r="262" spans="1:22" ht="21" customHeight="1" x14ac:dyDescent="0.15">
      <c r="A262" s="2" t="str">
        <f ca="1">input_498101!A$2</f>
        <v>498101</v>
      </c>
      <c r="B262" s="53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38">
        <f ca="1">IFERROR(VLOOKUP(B262,input_498101!L:R,7,FALSE),VLOOKUP(tables_498101!C262,input_498101!A:H,8,FALSE))</f>
        <v>1068177.7777799999</v>
      </c>
      <c r="P262" s="39">
        <f t="shared" ca="1" si="13"/>
        <v>9.3144208037905379E-3</v>
      </c>
      <c r="Q262" s="24">
        <v>1</v>
      </c>
      <c r="R262" s="24">
        <v>0</v>
      </c>
      <c r="S262" s="24">
        <v>0</v>
      </c>
      <c r="T262" s="24">
        <v>0</v>
      </c>
      <c r="U262" s="24">
        <v>0</v>
      </c>
      <c r="V262" s="24">
        <v>1</v>
      </c>
    </row>
    <row r="263" spans="1:22" ht="21" customHeight="1" x14ac:dyDescent="0.15">
      <c r="A263" s="2" t="str">
        <f ca="1">input_498101!A$2</f>
        <v>498101</v>
      </c>
      <c r="B263" s="53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38">
        <f ca="1">IFERROR(VLOOKUP(B263,input_498101!L:R,7,FALSE),VLOOKUP(tables_498101!C263,input_498101!A:H,8,FALSE))</f>
        <v>68116.666670000006</v>
      </c>
      <c r="P263" s="39">
        <f t="shared" ca="1" si="13"/>
        <v>5.9397163123401677E-4</v>
      </c>
      <c r="Q263" s="24">
        <v>1</v>
      </c>
      <c r="R263" s="24">
        <v>0</v>
      </c>
      <c r="S263" s="24">
        <v>0</v>
      </c>
      <c r="T263" s="24">
        <v>0</v>
      </c>
      <c r="U263" s="24">
        <v>0</v>
      </c>
      <c r="V263" s="24">
        <v>1</v>
      </c>
    </row>
    <row r="264" spans="1:22" ht="21" customHeight="1" x14ac:dyDescent="0.15">
      <c r="A264" s="2" t="str">
        <f ca="1">input_498101!A$2</f>
        <v>498101</v>
      </c>
      <c r="B264" s="53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38">
        <f ca="1">IFERROR(VLOOKUP(B264,input_498101!L:R,7,FALSE),VLOOKUP(tables_498101!C264,input_498101!A:H,8,FALSE))</f>
        <v>1068177.7777799999</v>
      </c>
      <c r="P264" s="39">
        <f t="shared" ca="1" si="13"/>
        <v>9.3144208037905379E-3</v>
      </c>
      <c r="Q264" s="24">
        <v>1</v>
      </c>
      <c r="R264" s="24">
        <v>0</v>
      </c>
      <c r="S264" s="24">
        <v>0</v>
      </c>
      <c r="T264" s="24">
        <v>0</v>
      </c>
      <c r="U264" s="24">
        <v>0</v>
      </c>
      <c r="V264" s="24">
        <v>1</v>
      </c>
    </row>
    <row r="265" spans="1:22" ht="21" customHeight="1" x14ac:dyDescent="0.15">
      <c r="A265" s="2" t="str">
        <f ca="1">input_498101!A$2</f>
        <v>498101</v>
      </c>
      <c r="B265" s="53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38">
        <f ca="1">IFERROR(VLOOKUP(B265,input_498101!L:R,7,FALSE),VLOOKUP(tables_498101!C265,input_498101!A:H,8,FALSE))</f>
        <v>68116.666670000006</v>
      </c>
      <c r="P265" s="39">
        <f t="shared" ca="1" si="13"/>
        <v>5.9397163123401677E-4</v>
      </c>
      <c r="Q265" s="24">
        <v>1</v>
      </c>
      <c r="R265" s="24">
        <v>0</v>
      </c>
      <c r="S265" s="24">
        <v>0</v>
      </c>
      <c r="T265" s="24">
        <v>0</v>
      </c>
      <c r="U265" s="24">
        <v>0</v>
      </c>
      <c r="V265" s="24">
        <v>1</v>
      </c>
    </row>
    <row r="266" spans="1:22" ht="21" customHeight="1" x14ac:dyDescent="0.15">
      <c r="A266" s="2" t="str">
        <f ca="1">input_498101!A$2</f>
        <v>498101</v>
      </c>
      <c r="B266" s="53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38">
        <f ca="1">IFERROR(VLOOKUP(B266,input_498101!L:R,7,FALSE),VLOOKUP(tables_498101!C266,input_498101!A:H,8,FALSE))</f>
        <v>95484.210529999997</v>
      </c>
      <c r="P266" s="39">
        <f t="shared" ca="1" si="13"/>
        <v>8.326143227230878E-4</v>
      </c>
      <c r="Q266" s="24">
        <v>1</v>
      </c>
      <c r="R266" s="24">
        <v>0</v>
      </c>
      <c r="S266" s="24">
        <v>0</v>
      </c>
      <c r="T266" s="24">
        <v>0</v>
      </c>
      <c r="U266" s="24">
        <v>0</v>
      </c>
      <c r="V266" s="24">
        <v>1</v>
      </c>
    </row>
    <row r="267" spans="1:22" ht="21" customHeight="1" x14ac:dyDescent="0.15">
      <c r="A267" s="2" t="str">
        <f ca="1">input_498101!A$2</f>
        <v>498101</v>
      </c>
      <c r="B267" s="53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38">
        <f ca="1">IFERROR(VLOOKUP(B267,input_498101!L:R,7,FALSE),VLOOKUP(tables_498101!C267,input_498101!A:H,8,FALSE))</f>
        <v>95484.210529999997</v>
      </c>
      <c r="P267" s="39">
        <f t="shared" ca="1" si="13"/>
        <v>8.326143227230878E-4</v>
      </c>
      <c r="Q267" s="24">
        <v>1</v>
      </c>
      <c r="R267" s="24">
        <v>0</v>
      </c>
      <c r="S267" s="24">
        <v>0</v>
      </c>
      <c r="T267" s="24">
        <v>0</v>
      </c>
      <c r="U267" s="24">
        <v>0</v>
      </c>
      <c r="V267" s="24">
        <v>1</v>
      </c>
    </row>
    <row r="268" spans="1:22" ht="21" customHeight="1" x14ac:dyDescent="0.15">
      <c r="A268" s="2" t="str">
        <f ca="1">input_498101!A$2</f>
        <v>498101</v>
      </c>
      <c r="B268" s="53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38">
        <f ca="1">IFERROR(VLOOKUP(B268,input_498101!L:R,7,FALSE),VLOOKUP(tables_498101!C268,input_498101!A:H,8,FALSE))</f>
        <v>95484.210529999997</v>
      </c>
      <c r="P268" s="39">
        <f t="shared" ca="1" si="13"/>
        <v>8.326143227230878E-4</v>
      </c>
      <c r="Q268" s="24">
        <v>1</v>
      </c>
      <c r="R268" s="24">
        <v>0</v>
      </c>
      <c r="S268" s="24">
        <v>0</v>
      </c>
      <c r="T268" s="24">
        <v>0</v>
      </c>
      <c r="U268" s="24">
        <v>0</v>
      </c>
      <c r="V268" s="24">
        <v>1</v>
      </c>
    </row>
    <row r="269" spans="1:22" ht="21" customHeight="1" x14ac:dyDescent="0.15">
      <c r="A269" s="2" t="str">
        <f ca="1">input_498101!A$2</f>
        <v>498101</v>
      </c>
      <c r="B269" s="53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38">
        <f ca="1">IFERROR(VLOOKUP(B269,input_498101!L:R,7,FALSE),VLOOKUP(tables_498101!C269,input_498101!A:H,8,FALSE))</f>
        <v>95484.210529999997</v>
      </c>
      <c r="P269" s="39">
        <f t="shared" ca="1" si="13"/>
        <v>8.326143227230878E-4</v>
      </c>
      <c r="Q269" s="24">
        <v>1</v>
      </c>
      <c r="R269" s="24">
        <v>0</v>
      </c>
      <c r="S269" s="24">
        <v>0</v>
      </c>
      <c r="T269" s="24">
        <v>0</v>
      </c>
      <c r="U269" s="24">
        <v>0</v>
      </c>
      <c r="V269" s="24">
        <v>1</v>
      </c>
    </row>
    <row r="270" spans="1:22" ht="21" customHeight="1" x14ac:dyDescent="0.15">
      <c r="A270" s="2" t="str">
        <f ca="1">input_498101!A$2</f>
        <v>498101</v>
      </c>
      <c r="B270" s="53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38">
        <f ca="1">IFERROR(VLOOKUP(B270,input_498101!L:R,7,FALSE),VLOOKUP(tables_498101!C270,input_498101!A:H,8,FALSE))</f>
        <v>1068177.7777799999</v>
      </c>
      <c r="P270" s="39">
        <f t="shared" ca="1" si="13"/>
        <v>9.3144208037905379E-3</v>
      </c>
      <c r="Q270" s="24">
        <v>1</v>
      </c>
      <c r="R270" s="24">
        <v>0</v>
      </c>
      <c r="S270" s="24">
        <v>0</v>
      </c>
      <c r="T270" s="24">
        <v>0</v>
      </c>
      <c r="U270" s="24">
        <v>0</v>
      </c>
      <c r="V270" s="24">
        <v>1</v>
      </c>
    </row>
    <row r="271" spans="1:22" ht="21" customHeight="1" x14ac:dyDescent="0.15">
      <c r="A271" s="2" t="str">
        <f ca="1">input_498101!A$2</f>
        <v>498101</v>
      </c>
      <c r="B271" s="74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38">
        <f ca="1">IFERROR(VLOOKUP(B271,input_498101!L:R,7,FALSE),VLOOKUP(tables_498101!C271,input_498101!A:H,8,FALSE))</f>
        <v>68116.666670000006</v>
      </c>
      <c r="P271" s="39">
        <f t="shared" ca="1" si="13"/>
        <v>5.9397163123401677E-4</v>
      </c>
      <c r="Q271" s="24">
        <v>1</v>
      </c>
      <c r="R271" s="24">
        <v>0</v>
      </c>
      <c r="S271" s="24">
        <v>0</v>
      </c>
      <c r="T271" s="24">
        <v>0</v>
      </c>
      <c r="U271" s="24">
        <v>0</v>
      </c>
      <c r="V271" s="24">
        <v>1</v>
      </c>
    </row>
    <row r="272" spans="1:22" ht="21" customHeight="1" x14ac:dyDescent="0.15">
      <c r="A272" s="2" t="str">
        <f ca="1">input_498101!A$2</f>
        <v>498101</v>
      </c>
      <c r="B272" s="74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38">
        <f ca="1">IFERROR(VLOOKUP(B272,input_498101!L:R,7,FALSE),VLOOKUP(tables_498101!C272,input_498101!A:H,8,FALSE))</f>
        <v>1068177.7777799999</v>
      </c>
      <c r="P272" s="39">
        <f t="shared" ca="1" si="13"/>
        <v>9.3144208037905379E-3</v>
      </c>
      <c r="Q272" s="24">
        <v>1</v>
      </c>
      <c r="R272" s="24">
        <v>0</v>
      </c>
      <c r="S272" s="24">
        <v>0</v>
      </c>
      <c r="T272" s="24">
        <v>0</v>
      </c>
      <c r="U272" s="24">
        <v>0</v>
      </c>
      <c r="V272" s="24">
        <v>1</v>
      </c>
    </row>
    <row r="273" spans="1:22" ht="21" customHeight="1" x14ac:dyDescent="0.15">
      <c r="A273" s="2" t="str">
        <f ca="1">input_498101!A$2</f>
        <v>498101</v>
      </c>
      <c r="B273" s="74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38">
        <f ca="1">IFERROR(VLOOKUP(B273,input_498101!L:R,7,FALSE),VLOOKUP(tables_498101!C273,input_498101!A:H,8,FALSE))</f>
        <v>68116.666670000006</v>
      </c>
      <c r="P273" s="39">
        <f t="shared" ca="1" si="13"/>
        <v>5.9397163123401677E-4</v>
      </c>
      <c r="Q273" s="24">
        <v>1</v>
      </c>
      <c r="R273" s="24">
        <v>0</v>
      </c>
      <c r="S273" s="24">
        <v>0</v>
      </c>
      <c r="T273" s="24">
        <v>0</v>
      </c>
      <c r="U273" s="24">
        <v>0</v>
      </c>
      <c r="V273" s="24">
        <v>1</v>
      </c>
    </row>
    <row r="274" spans="1:22" ht="21" customHeight="1" x14ac:dyDescent="0.15">
      <c r="A274" s="2" t="str">
        <f ca="1">input_498101!A$2</f>
        <v>498101</v>
      </c>
      <c r="B274" s="74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38">
        <f ca="1">IFERROR(VLOOKUP(B274,input_498101!L:R,7,FALSE),VLOOKUP(tables_498101!C274,input_498101!A:H,8,FALSE))</f>
        <v>67680</v>
      </c>
      <c r="P274" s="39">
        <f t="shared" ca="1" si="13"/>
        <v>5.901639344255107E-4</v>
      </c>
      <c r="Q274" s="24">
        <v>1</v>
      </c>
      <c r="R274" s="24">
        <v>0</v>
      </c>
      <c r="S274" s="24">
        <v>0</v>
      </c>
      <c r="T274" s="24">
        <v>0</v>
      </c>
      <c r="U274" s="24">
        <v>0</v>
      </c>
      <c r="V274" s="24">
        <v>1</v>
      </c>
    </row>
    <row r="275" spans="1:22" ht="21" customHeight="1" x14ac:dyDescent="0.15">
      <c r="A275" s="2" t="str">
        <f ca="1">input_498101!A$2</f>
        <v>498101</v>
      </c>
      <c r="B275" s="74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38">
        <f ca="1">IFERROR(VLOOKUP(B275,input_498101!L:R,7,FALSE),VLOOKUP(tables_498101!C275,input_498101!A:H,8,FALSE))</f>
        <v>7520</v>
      </c>
      <c r="P275" s="39">
        <f t="shared" ca="1" si="13"/>
        <v>6.5573770491723419E-5</v>
      </c>
      <c r="Q275" s="24">
        <v>1</v>
      </c>
      <c r="R275" s="24">
        <v>0</v>
      </c>
      <c r="S275" s="24">
        <v>0</v>
      </c>
      <c r="T275" s="24">
        <v>0</v>
      </c>
      <c r="U275" s="24">
        <v>0</v>
      </c>
      <c r="V275" s="24">
        <v>1</v>
      </c>
    </row>
    <row r="276" spans="1:22" ht="21" customHeight="1" x14ac:dyDescent="0.15">
      <c r="A276" s="2" t="str">
        <f ca="1">input_498101!A$2</f>
        <v>498101</v>
      </c>
      <c r="B276" s="74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38">
        <f ca="1">IFERROR(VLOOKUP(B276,input_498101!L:R,7,FALSE),VLOOKUP(tables_498101!C276,input_498101!A:H,8,FALSE))</f>
        <v>67680</v>
      </c>
      <c r="P276" s="39">
        <f t="shared" ca="1" si="13"/>
        <v>5.901639344255107E-4</v>
      </c>
      <c r="Q276" s="24">
        <v>1</v>
      </c>
      <c r="R276" s="24">
        <v>0</v>
      </c>
      <c r="S276" s="24">
        <v>0</v>
      </c>
      <c r="T276" s="24">
        <v>0</v>
      </c>
      <c r="U276" s="24">
        <v>0</v>
      </c>
      <c r="V276" s="24">
        <v>1</v>
      </c>
    </row>
    <row r="277" spans="1:22" ht="21" customHeight="1" x14ac:dyDescent="0.15">
      <c r="A277" s="2" t="str">
        <f ca="1">input_498101!A$2</f>
        <v>498101</v>
      </c>
      <c r="B277" s="74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38">
        <f ca="1">IFERROR(VLOOKUP(B277,input_498101!L:R,7,FALSE),VLOOKUP(tables_498101!C277,input_498101!A:H,8,FALSE))</f>
        <v>7520</v>
      </c>
      <c r="P277" s="39">
        <f t="shared" ca="1" si="13"/>
        <v>6.5573770491723419E-5</v>
      </c>
      <c r="Q277" s="24">
        <v>1</v>
      </c>
      <c r="R277" s="24">
        <v>0</v>
      </c>
      <c r="S277" s="24">
        <v>0</v>
      </c>
      <c r="T277" s="24">
        <v>0</v>
      </c>
      <c r="U277" s="24">
        <v>0</v>
      </c>
      <c r="V277" s="24">
        <v>1</v>
      </c>
    </row>
    <row r="278" spans="1:22" ht="21" customHeight="1" x14ac:dyDescent="0.15">
      <c r="A278" s="2" t="str">
        <f ca="1">input_498101!A$2</f>
        <v>498101</v>
      </c>
      <c r="B278" s="74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38">
        <f ca="1">IFERROR(VLOOKUP(B278,input_498101!L:R,7,FALSE),VLOOKUP(tables_498101!C278,input_498101!A:H,8,FALSE))</f>
        <v>0</v>
      </c>
      <c r="P278" s="39">
        <f t="shared" ca="1" si="13"/>
        <v>0</v>
      </c>
      <c r="Q278" s="24">
        <v>1</v>
      </c>
      <c r="R278" s="24">
        <v>0</v>
      </c>
      <c r="S278" s="24">
        <v>0</v>
      </c>
      <c r="T278" s="24">
        <v>0</v>
      </c>
      <c r="U278" s="24">
        <v>0</v>
      </c>
      <c r="V278" s="24">
        <v>1</v>
      </c>
    </row>
    <row r="279" spans="1:22" ht="21" customHeight="1" x14ac:dyDescent="0.15">
      <c r="A279" s="2" t="str">
        <f ca="1">input_498101!A$2</f>
        <v>498101</v>
      </c>
      <c r="B279" s="74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38">
        <f ca="1">IFERROR(VLOOKUP(B279,input_498101!L:R,7,FALSE),VLOOKUP(tables_498101!C279,input_498101!A:H,8,FALSE))</f>
        <v>976938.46154000005</v>
      </c>
      <c r="P279" s="39">
        <f t="shared" ca="1" si="13"/>
        <v>8.5188216039310278E-3</v>
      </c>
      <c r="Q279" s="24">
        <v>1</v>
      </c>
      <c r="R279" s="24">
        <v>0</v>
      </c>
      <c r="S279" s="24">
        <v>0</v>
      </c>
      <c r="T279" s="24">
        <v>0</v>
      </c>
      <c r="U279" s="24">
        <v>0</v>
      </c>
      <c r="V279" s="24">
        <v>1</v>
      </c>
    </row>
    <row r="280" spans="1:22" ht="21" customHeight="1" x14ac:dyDescent="0.15">
      <c r="A280" s="2" t="str">
        <f ca="1">input_498101!A$2</f>
        <v>498101</v>
      </c>
      <c r="B280" s="74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38">
        <f ca="1">IFERROR(VLOOKUP(B280,input_498101!L:R,7,FALSE),VLOOKUP(tables_498101!C280,input_498101!A:H,8,FALSE))</f>
        <v>86510</v>
      </c>
      <c r="P280" s="39">
        <f t="shared" ca="1" si="13"/>
        <v>7.5435995814348308E-4</v>
      </c>
      <c r="Q280" s="24">
        <v>1</v>
      </c>
      <c r="R280" s="24">
        <v>0</v>
      </c>
      <c r="S280" s="24">
        <v>0</v>
      </c>
      <c r="T280" s="24">
        <v>0</v>
      </c>
      <c r="U280" s="24">
        <v>0</v>
      </c>
      <c r="V280" s="24">
        <v>1</v>
      </c>
    </row>
    <row r="281" spans="1:22" ht="21" customHeight="1" x14ac:dyDescent="0.15">
      <c r="A281" s="2" t="str">
        <f ca="1">input_498101!A$2</f>
        <v>498101</v>
      </c>
      <c r="B281" s="74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38">
        <f ca="1">IFERROR(VLOOKUP(B281,input_498101!L:R,7,FALSE),VLOOKUP(tables_498101!C281,input_498101!A:H,8,FALSE))</f>
        <v>0</v>
      </c>
      <c r="P281" s="39">
        <f t="shared" ca="1" si="13"/>
        <v>0</v>
      </c>
      <c r="Q281" s="24">
        <v>1</v>
      </c>
      <c r="R281" s="24">
        <v>0</v>
      </c>
      <c r="S281" s="24">
        <v>0</v>
      </c>
      <c r="T281" s="24">
        <v>0</v>
      </c>
      <c r="U281" s="24">
        <v>0</v>
      </c>
      <c r="V281" s="24">
        <v>1</v>
      </c>
    </row>
    <row r="282" spans="1:22" ht="21" customHeight="1" x14ac:dyDescent="0.15">
      <c r="A282" s="2" t="str">
        <f ca="1">input_498101!A$2</f>
        <v>498101</v>
      </c>
      <c r="B282" s="74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38">
        <f ca="1">IFERROR(VLOOKUP(B282,input_498101!L:R,7,FALSE),VLOOKUP(tables_498101!C282,input_498101!A:H,8,FALSE))</f>
        <v>976938.46154000005</v>
      </c>
      <c r="P282" s="39">
        <f t="shared" ca="1" si="13"/>
        <v>8.5188216039310278E-3</v>
      </c>
      <c r="Q282" s="24">
        <v>1</v>
      </c>
      <c r="R282" s="24">
        <v>0</v>
      </c>
      <c r="S282" s="24">
        <v>0</v>
      </c>
      <c r="T282" s="24">
        <v>0</v>
      </c>
      <c r="U282" s="24">
        <v>0</v>
      </c>
      <c r="V282" s="24">
        <v>1</v>
      </c>
    </row>
    <row r="283" spans="1:22" ht="21" customHeight="1" x14ac:dyDescent="0.15">
      <c r="A283" s="2" t="str">
        <f ca="1">input_498101!A$2</f>
        <v>498101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38">
        <f ca="1">IFERROR(VLOOKUP(B283,input_498101!L:R,7,FALSE),VLOOKUP(tables_498101!C283,input_498101!A:H,8,FALSE))</f>
        <v>86510</v>
      </c>
      <c r="P283" s="39">
        <f t="shared" ca="1" si="13"/>
        <v>7.5435995814348308E-4</v>
      </c>
      <c r="Q283" s="24">
        <v>1</v>
      </c>
      <c r="R283" s="24">
        <v>0</v>
      </c>
      <c r="S283" s="24">
        <v>0</v>
      </c>
      <c r="T283" s="24">
        <v>0</v>
      </c>
      <c r="U283" s="24">
        <v>0</v>
      </c>
      <c r="V283" s="24">
        <v>1</v>
      </c>
    </row>
    <row r="284" spans="1:22" ht="21" customHeight="1" x14ac:dyDescent="0.15">
      <c r="A284" s="2" t="str">
        <f ca="1">input_498101!A$2</f>
        <v>498101</v>
      </c>
      <c r="B284" s="5">
        <v>848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38">
        <f ca="1">IFERROR(VLOOKUP(B284,input_498101!L:R,7,FALSE),VLOOKUP(tables_498101!C284,input_498101!A:H,8,FALSE))</f>
        <v>95484.210529999997</v>
      </c>
      <c r="P284" s="39">
        <f t="shared" ca="1" si="13"/>
        <v>8.326143227230878E-4</v>
      </c>
      <c r="Q284" s="24">
        <v>1</v>
      </c>
      <c r="R284" s="24">
        <v>0</v>
      </c>
      <c r="S284" s="24">
        <v>0</v>
      </c>
      <c r="T284" s="24">
        <v>0</v>
      </c>
      <c r="U284" s="24">
        <v>0</v>
      </c>
      <c r="V284" s="24">
        <v>1</v>
      </c>
    </row>
    <row r="285" spans="1:22" ht="21" customHeight="1" x14ac:dyDescent="0.15">
      <c r="A285" s="2" t="str">
        <f ca="1">input_498101!A$2</f>
        <v>498101</v>
      </c>
      <c r="B285" s="5">
        <v>850</v>
      </c>
      <c r="C285" s="7" t="str">
        <f t="shared" si="12"/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38">
        <f ca="1">IFERROR(VLOOKUP(B285,input_498101!L:R,7,FALSE),VLOOKUP(tables_498101!C285,input_498101!A:H,8,FALSE))</f>
        <v>95484.210529999997</v>
      </c>
      <c r="P285" s="39">
        <f t="shared" ca="1" si="13"/>
        <v>8.326143227230878E-4</v>
      </c>
      <c r="Q285" s="24">
        <v>1</v>
      </c>
      <c r="R285" s="24">
        <v>0</v>
      </c>
      <c r="S285" s="24">
        <v>0</v>
      </c>
      <c r="T285" s="24">
        <v>0</v>
      </c>
      <c r="U285" s="24">
        <v>0</v>
      </c>
      <c r="V285" s="24">
        <v>1</v>
      </c>
    </row>
    <row r="286" spans="1:22" ht="21" customHeight="1" x14ac:dyDescent="0.15">
      <c r="A286" s="2" t="str">
        <f ca="1">input_498101!A$2</f>
        <v>498101</v>
      </c>
      <c r="B286" s="5">
        <v>852</v>
      </c>
      <c r="C286" s="7" t="str">
        <f t="shared" si="12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38">
        <f ca="1">IFERROR(VLOOKUP(B286,input_498101!L:R,7,FALSE),VLOOKUP(tables_498101!C286,input_498101!A:H,8,FALSE))</f>
        <v>1068177.7777799999</v>
      </c>
      <c r="P286" s="39">
        <f t="shared" ca="1" si="13"/>
        <v>9.3144208037905379E-3</v>
      </c>
      <c r="Q286" s="24">
        <v>1</v>
      </c>
      <c r="R286" s="24">
        <v>0</v>
      </c>
      <c r="S286" s="24">
        <v>0</v>
      </c>
      <c r="T286" s="24">
        <v>0</v>
      </c>
      <c r="U286" s="24">
        <v>0</v>
      </c>
      <c r="V286" s="24">
        <v>1</v>
      </c>
    </row>
    <row r="287" spans="1:22" ht="21" customHeight="1" x14ac:dyDescent="0.15">
      <c r="A287" s="2" t="str">
        <f ca="1">input_498101!A$2</f>
        <v>498101</v>
      </c>
      <c r="B287" s="5">
        <v>853</v>
      </c>
      <c r="C287" s="7" t="str">
        <f t="shared" si="12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38">
        <f ca="1">IFERROR(VLOOKUP(B287,input_498101!L:R,7,FALSE),VLOOKUP(tables_498101!C287,input_498101!A:H,8,FALSE))</f>
        <v>68116.666670000006</v>
      </c>
      <c r="P287" s="39">
        <f t="shared" ca="1" si="13"/>
        <v>5.9397163123401677E-4</v>
      </c>
      <c r="Q287" s="24">
        <v>1</v>
      </c>
      <c r="R287" s="24">
        <v>0</v>
      </c>
      <c r="S287" s="24">
        <v>0</v>
      </c>
      <c r="T287" s="24">
        <v>0</v>
      </c>
      <c r="U287" s="24">
        <v>0</v>
      </c>
      <c r="V287" s="24">
        <v>1</v>
      </c>
    </row>
    <row r="288" spans="1:22" ht="21" customHeight="1" x14ac:dyDescent="0.15">
      <c r="A288" s="2" t="str">
        <f ca="1">input_498101!A$2</f>
        <v>498101</v>
      </c>
      <c r="B288" s="5">
        <v>854</v>
      </c>
      <c r="C288" s="7" t="str">
        <f t="shared" si="12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38">
        <f ca="1">IFERROR(VLOOKUP(B288,input_498101!L:R,7,FALSE),VLOOKUP(tables_498101!C288,input_498101!A:H,8,FALSE))</f>
        <v>1068177.7777799999</v>
      </c>
      <c r="P288" s="39">
        <f t="shared" ca="1" si="13"/>
        <v>9.3144208037905379E-3</v>
      </c>
      <c r="Q288" s="24">
        <v>1</v>
      </c>
      <c r="R288" s="24">
        <v>0</v>
      </c>
      <c r="S288" s="24">
        <v>0</v>
      </c>
      <c r="T288" s="24">
        <v>0</v>
      </c>
      <c r="U288" s="24">
        <v>0</v>
      </c>
      <c r="V288" s="24">
        <v>1</v>
      </c>
    </row>
    <row r="289" spans="1:22" ht="21" customHeight="1" x14ac:dyDescent="0.15">
      <c r="A289" s="2" t="str">
        <f ca="1">input_498101!A$2</f>
        <v>498101</v>
      </c>
      <c r="B289" s="5">
        <v>855</v>
      </c>
      <c r="C289" s="7" t="str">
        <f t="shared" si="12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38">
        <f ca="1">IFERROR(VLOOKUP(B289,input_498101!L:R,7,FALSE),VLOOKUP(tables_498101!C289,input_498101!A:H,8,FALSE))</f>
        <v>68116.666670000006</v>
      </c>
      <c r="P289" s="39">
        <f t="shared" ca="1" si="13"/>
        <v>5.9397163123401677E-4</v>
      </c>
      <c r="Q289" s="24">
        <v>1</v>
      </c>
      <c r="R289" s="24">
        <v>0</v>
      </c>
      <c r="S289" s="24">
        <v>0</v>
      </c>
      <c r="T289" s="24">
        <v>0</v>
      </c>
      <c r="U289" s="24">
        <v>0</v>
      </c>
      <c r="V289" s="24">
        <v>1</v>
      </c>
    </row>
    <row r="290" spans="1:22" ht="21" customHeight="1" x14ac:dyDescent="0.15">
      <c r="A290" s="2" t="str">
        <f ca="1">input_498101!A$2</f>
        <v>498101</v>
      </c>
      <c r="B290" s="5">
        <v>862</v>
      </c>
      <c r="C290" s="7" t="str">
        <f t="shared" si="12"/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38">
        <f ca="1">IFERROR(VLOOKUP(B290,input_498101!L:R,7,FALSE),VLOOKUP(tables_498101!C290,input_498101!A:H,8,FALSE))</f>
        <v>1068177.7777799999</v>
      </c>
      <c r="P290" s="39">
        <f t="shared" ca="1" si="13"/>
        <v>9.3144208037905379E-3</v>
      </c>
      <c r="Q290" s="24">
        <v>1</v>
      </c>
      <c r="R290" s="24">
        <v>0</v>
      </c>
      <c r="S290" s="24">
        <v>0</v>
      </c>
      <c r="T290" s="24">
        <v>0</v>
      </c>
      <c r="U290" s="24">
        <v>0</v>
      </c>
      <c r="V290" s="24">
        <v>1</v>
      </c>
    </row>
    <row r="291" spans="1:22" ht="21" customHeight="1" x14ac:dyDescent="0.15">
      <c r="A291" s="2" t="str">
        <f ca="1">input_498101!A$2</f>
        <v>498101</v>
      </c>
      <c r="B291" s="5">
        <v>863</v>
      </c>
      <c r="C291" s="7" t="str">
        <f t="shared" si="12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38">
        <f ca="1">IFERROR(VLOOKUP(B291,input_498101!L:R,7,FALSE),VLOOKUP(tables_498101!C291,input_498101!A:H,8,FALSE))</f>
        <v>68116.666670000006</v>
      </c>
      <c r="P291" s="39">
        <f t="shared" ca="1" si="13"/>
        <v>5.9397163123401677E-4</v>
      </c>
      <c r="Q291" s="24">
        <v>1</v>
      </c>
      <c r="R291" s="24">
        <v>0</v>
      </c>
      <c r="S291" s="24">
        <v>0</v>
      </c>
      <c r="T291" s="24">
        <v>0</v>
      </c>
      <c r="U291" s="24">
        <v>0</v>
      </c>
      <c r="V291" s="24">
        <v>1</v>
      </c>
    </row>
    <row r="292" spans="1:22" ht="21" customHeight="1" x14ac:dyDescent="0.15">
      <c r="A292" s="2" t="str">
        <f ca="1">input_498101!A$2</f>
        <v>498101</v>
      </c>
      <c r="B292" s="5">
        <v>864</v>
      </c>
      <c r="C292" s="7" t="str">
        <f t="shared" si="12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38">
        <f ca="1">IFERROR(VLOOKUP(B292,input_498101!L:R,7,FALSE),VLOOKUP(tables_498101!C292,input_498101!A:H,8,FALSE))</f>
        <v>1068177.7777799999</v>
      </c>
      <c r="P292" s="39">
        <f t="shared" ca="1" si="13"/>
        <v>9.3144208037905379E-3</v>
      </c>
      <c r="Q292" s="24">
        <v>1</v>
      </c>
      <c r="R292" s="24">
        <v>0</v>
      </c>
      <c r="S292" s="24">
        <v>0</v>
      </c>
      <c r="T292" s="24">
        <v>0</v>
      </c>
      <c r="U292" s="24">
        <v>0</v>
      </c>
      <c r="V292" s="24">
        <v>1</v>
      </c>
    </row>
    <row r="293" spans="1:22" ht="21" customHeight="1" x14ac:dyDescent="0.15">
      <c r="A293" s="2" t="str">
        <f ca="1">input_498101!A$2</f>
        <v>498101</v>
      </c>
      <c r="B293" s="5">
        <v>865</v>
      </c>
      <c r="C293" s="7" t="str">
        <f t="shared" si="12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38">
        <f ca="1">IFERROR(VLOOKUP(B293,input_498101!L:R,7,FALSE),VLOOKUP(tables_498101!C293,input_498101!A:H,8,FALSE))</f>
        <v>68116.666670000006</v>
      </c>
      <c r="P293" s="39">
        <f t="shared" ca="1" si="13"/>
        <v>5.9397163123401677E-4</v>
      </c>
      <c r="Q293" s="24">
        <v>1</v>
      </c>
      <c r="R293" s="24">
        <v>0</v>
      </c>
      <c r="S293" s="24">
        <v>0</v>
      </c>
      <c r="T293" s="24">
        <v>0</v>
      </c>
      <c r="U293" s="24">
        <v>0</v>
      </c>
      <c r="V293" s="24">
        <v>1</v>
      </c>
    </row>
    <row r="294" spans="1:22" ht="21" customHeight="1" x14ac:dyDescent="0.15">
      <c r="A294" s="2" t="str">
        <f ca="1">input_498101!A$2</f>
        <v>498101</v>
      </c>
      <c r="B294" s="5">
        <v>866</v>
      </c>
      <c r="C294" s="7" t="str">
        <f t="shared" si="12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38">
        <f ca="1">IFERROR(VLOOKUP(B294,input_498101!L:R,7,FALSE),VLOOKUP(tables_498101!C294,input_498101!A:H,8,FALSE))</f>
        <v>95484.210529999997</v>
      </c>
      <c r="P294" s="39">
        <f t="shared" ca="1" si="13"/>
        <v>8.326143227230878E-4</v>
      </c>
      <c r="Q294" s="24">
        <v>1</v>
      </c>
      <c r="R294" s="24">
        <v>0</v>
      </c>
      <c r="S294" s="24">
        <v>0</v>
      </c>
      <c r="T294" s="24">
        <v>0</v>
      </c>
      <c r="U294" s="24">
        <v>0</v>
      </c>
      <c r="V294" s="24">
        <v>1</v>
      </c>
    </row>
    <row r="295" spans="1:22" ht="21" customHeight="1" x14ac:dyDescent="0.15">
      <c r="A295" s="2" t="str">
        <f ca="1">input_498101!A$2</f>
        <v>498101</v>
      </c>
      <c r="B295" s="5">
        <v>868</v>
      </c>
      <c r="C295" s="7" t="str">
        <f t="shared" si="12"/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38">
        <f ca="1">IFERROR(VLOOKUP(B295,input_498101!L:R,7,FALSE),VLOOKUP(tables_498101!C295,input_498101!A:H,8,FALSE))</f>
        <v>95484.210529999997</v>
      </c>
      <c r="P295" s="39">
        <f t="shared" ca="1" si="13"/>
        <v>8.326143227230878E-4</v>
      </c>
      <c r="Q295" s="24">
        <v>1</v>
      </c>
      <c r="R295" s="24">
        <v>0</v>
      </c>
      <c r="S295" s="24">
        <v>0</v>
      </c>
      <c r="T295" s="24">
        <v>0</v>
      </c>
      <c r="U295" s="24">
        <v>0</v>
      </c>
      <c r="V295" s="24">
        <v>1</v>
      </c>
    </row>
    <row r="296" spans="1:22" ht="21" customHeight="1" x14ac:dyDescent="0.15">
      <c r="A296" s="2" t="str">
        <f ca="1">input_498101!A$2</f>
        <v>498101</v>
      </c>
      <c r="B296" s="5">
        <v>937</v>
      </c>
      <c r="C296" s="7" t="str">
        <f t="shared" si="12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38">
        <f ca="1">IFERROR(VLOOKUP(B296,input_498101!L:R,7,FALSE),VLOOKUP(tables_498101!C296,input_498101!A:H,8,FALSE))</f>
        <v>95484.210529999997</v>
      </c>
      <c r="P296" s="39">
        <f t="shared" ca="1" si="13"/>
        <v>8.326143227230878E-4</v>
      </c>
      <c r="Q296" s="24">
        <v>1</v>
      </c>
      <c r="R296" s="24">
        <v>0</v>
      </c>
      <c r="S296" s="24">
        <v>0</v>
      </c>
      <c r="T296" s="24">
        <v>0</v>
      </c>
      <c r="U296" s="24">
        <v>0</v>
      </c>
      <c r="V296" s="24">
        <v>1</v>
      </c>
    </row>
    <row r="297" spans="1:22" ht="21" customHeight="1" x14ac:dyDescent="0.15">
      <c r="A297" s="2" t="str">
        <f ca="1">input_498101!A$2</f>
        <v>498101</v>
      </c>
      <c r="B297" s="5">
        <v>939</v>
      </c>
      <c r="C297" s="7" t="str">
        <f t="shared" si="12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38">
        <f ca="1">IFERROR(VLOOKUP(B297,input_498101!L:R,7,FALSE),VLOOKUP(tables_498101!C297,input_498101!A:H,8,FALSE))</f>
        <v>1068177.7777799999</v>
      </c>
      <c r="P297" s="39">
        <f t="shared" ca="1" si="13"/>
        <v>9.3144208037905379E-3</v>
      </c>
      <c r="Q297" s="24">
        <v>1</v>
      </c>
      <c r="R297" s="24">
        <v>0</v>
      </c>
      <c r="S297" s="24">
        <v>0</v>
      </c>
      <c r="T297" s="24">
        <v>0</v>
      </c>
      <c r="U297" s="24">
        <v>0</v>
      </c>
      <c r="V297" s="24">
        <v>1</v>
      </c>
    </row>
    <row r="298" spans="1:22" ht="21" customHeight="1" x14ac:dyDescent="0.15">
      <c r="A298" s="2" t="str">
        <f ca="1">input_498101!A$2</f>
        <v>498101</v>
      </c>
      <c r="B298" s="5">
        <v>940</v>
      </c>
      <c r="C298" s="7" t="str">
        <f t="shared" si="12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38">
        <f ca="1">IFERROR(VLOOKUP(B298,input_498101!L:R,7,FALSE),VLOOKUP(tables_498101!C298,input_498101!A:H,8,FALSE))</f>
        <v>68116.666670000006</v>
      </c>
      <c r="P298" s="39">
        <f t="shared" ca="1" si="13"/>
        <v>5.9397163123401677E-4</v>
      </c>
      <c r="Q298" s="24">
        <v>1</v>
      </c>
      <c r="R298" s="24">
        <v>0</v>
      </c>
      <c r="S298" s="24">
        <v>0</v>
      </c>
      <c r="T298" s="24">
        <v>0</v>
      </c>
      <c r="U298" s="24">
        <v>0</v>
      </c>
      <c r="V298" s="24">
        <v>1</v>
      </c>
    </row>
    <row r="299" spans="1:22" ht="21" customHeight="1" x14ac:dyDescent="0.15">
      <c r="A299" s="2" t="str">
        <f ca="1">input_498101!A$2</f>
        <v>498101</v>
      </c>
      <c r="B299" s="5">
        <v>941</v>
      </c>
      <c r="C299" s="7" t="str">
        <f t="shared" si="12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38">
        <f ca="1">IFERROR(VLOOKUP(B299,input_498101!L:R,7,FALSE),VLOOKUP(tables_498101!C299,input_498101!A:H,8,FALSE))</f>
        <v>95484.210529999997</v>
      </c>
      <c r="P299" s="39">
        <f t="shared" ca="1" si="13"/>
        <v>8.326143227230878E-4</v>
      </c>
      <c r="Q299" s="24">
        <v>1</v>
      </c>
      <c r="R299" s="24">
        <v>0</v>
      </c>
      <c r="S299" s="24">
        <v>0</v>
      </c>
      <c r="T299" s="24">
        <v>0</v>
      </c>
      <c r="U299" s="24">
        <v>0</v>
      </c>
      <c r="V299" s="24">
        <v>1</v>
      </c>
    </row>
    <row r="300" spans="1:22" ht="21" customHeight="1" x14ac:dyDescent="0.15">
      <c r="A300" s="2" t="str">
        <f ca="1">input_498101!A$2</f>
        <v>498101</v>
      </c>
      <c r="B300" s="5">
        <v>943</v>
      </c>
      <c r="C300" s="7" t="str">
        <f t="shared" si="12"/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38">
        <f ca="1">IFERROR(VLOOKUP(B300,input_498101!L:R,7,FALSE),VLOOKUP(tables_498101!C300,input_498101!A:H,8,FALSE))</f>
        <v>95484.210529999997</v>
      </c>
      <c r="P300" s="39">
        <f t="shared" ca="1" si="13"/>
        <v>8.326143227230878E-4</v>
      </c>
      <c r="Q300" s="24">
        <v>1</v>
      </c>
      <c r="R300" s="24">
        <v>0</v>
      </c>
      <c r="S300" s="24">
        <v>0</v>
      </c>
      <c r="T300" s="24">
        <v>0</v>
      </c>
      <c r="U300" s="24">
        <v>0</v>
      </c>
      <c r="V300" s="24">
        <v>1</v>
      </c>
    </row>
    <row r="301" spans="1:22" ht="21" customHeight="1" x14ac:dyDescent="0.15">
      <c r="A301" s="2" t="str">
        <f ca="1">input_498101!A$2</f>
        <v>498101</v>
      </c>
      <c r="B301" s="5">
        <v>1012</v>
      </c>
      <c r="C301" s="7" t="str">
        <f t="shared" si="12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38">
        <f ca="1">IFERROR(VLOOKUP(B301,input_498101!L:R,7,FALSE),VLOOKUP(tables_498101!C301,input_498101!A:H,8,FALSE))</f>
        <v>95484.210529999997</v>
      </c>
      <c r="P301" s="39">
        <f t="shared" ca="1" si="13"/>
        <v>8.326143227230878E-4</v>
      </c>
      <c r="Q301" s="24">
        <v>1</v>
      </c>
      <c r="R301" s="24">
        <v>0</v>
      </c>
      <c r="S301" s="24">
        <v>0</v>
      </c>
      <c r="T301" s="24">
        <v>0</v>
      </c>
      <c r="U301" s="24">
        <v>0</v>
      </c>
      <c r="V301" s="24">
        <v>1</v>
      </c>
    </row>
    <row r="302" spans="1:22" ht="21" customHeight="1" x14ac:dyDescent="0.15">
      <c r="A302" s="2" t="str">
        <f ca="1">input_498101!A$2</f>
        <v>498101</v>
      </c>
      <c r="B302" s="5">
        <v>1014</v>
      </c>
      <c r="C302" s="7" t="str">
        <f t="shared" si="12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38">
        <f ca="1">IFERROR(VLOOKUP(B302,input_498101!L:R,7,FALSE),VLOOKUP(tables_498101!C302,input_498101!A:H,8,FALSE))</f>
        <v>95484.210529999997</v>
      </c>
      <c r="P302" s="39">
        <f t="shared" ca="1" si="13"/>
        <v>8.326143227230878E-4</v>
      </c>
      <c r="Q302" s="24">
        <v>1</v>
      </c>
      <c r="R302" s="24">
        <v>0</v>
      </c>
      <c r="S302" s="24">
        <v>0</v>
      </c>
      <c r="T302" s="24">
        <v>0</v>
      </c>
      <c r="U302" s="24">
        <v>0</v>
      </c>
      <c r="V302" s="24">
        <v>1</v>
      </c>
    </row>
    <row r="303" spans="1:22" ht="21" customHeight="1" x14ac:dyDescent="0.15">
      <c r="A303" s="2" t="str">
        <f ca="1">input_498101!A$2</f>
        <v>498101</v>
      </c>
      <c r="B303" s="5">
        <v>1016</v>
      </c>
      <c r="C303" s="7" t="str">
        <f t="shared" si="12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38">
        <f ca="1">IFERROR(VLOOKUP(B303,input_498101!L:R,7,FALSE),VLOOKUP(tables_498101!C303,input_498101!A:H,8,FALSE))</f>
        <v>1068177.7777799999</v>
      </c>
      <c r="P303" s="39">
        <f t="shared" ca="1" si="13"/>
        <v>9.3144208037905379E-3</v>
      </c>
      <c r="Q303" s="24">
        <v>1</v>
      </c>
      <c r="R303" s="24">
        <v>0</v>
      </c>
      <c r="S303" s="24">
        <v>0</v>
      </c>
      <c r="T303" s="24">
        <v>0</v>
      </c>
      <c r="U303" s="24">
        <v>0</v>
      </c>
      <c r="V303" s="24">
        <v>1</v>
      </c>
    </row>
    <row r="304" spans="1:22" ht="21" customHeight="1" x14ac:dyDescent="0.15">
      <c r="A304" s="2" t="str">
        <f ca="1">input_498101!A$2</f>
        <v>498101</v>
      </c>
      <c r="B304" s="5">
        <v>1017</v>
      </c>
      <c r="C304" s="7" t="str">
        <f t="shared" si="12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38">
        <f ca="1">IFERROR(VLOOKUP(B304,input_498101!L:R,7,FALSE),VLOOKUP(tables_498101!C304,input_498101!A:H,8,FALSE))</f>
        <v>68116.666670000006</v>
      </c>
      <c r="P304" s="39">
        <f t="shared" ca="1" si="13"/>
        <v>5.9397163123401677E-4</v>
      </c>
      <c r="Q304" s="24">
        <v>1</v>
      </c>
      <c r="R304" s="24">
        <v>0</v>
      </c>
      <c r="S304" s="24">
        <v>0</v>
      </c>
      <c r="T304" s="24">
        <v>0</v>
      </c>
      <c r="U304" s="24">
        <v>0</v>
      </c>
      <c r="V304" s="24">
        <v>1</v>
      </c>
    </row>
    <row r="305" spans="1:22" ht="21" customHeight="1" x14ac:dyDescent="0.15">
      <c r="A305" s="2" t="str">
        <f ca="1">input_498101!A$2</f>
        <v>498101</v>
      </c>
      <c r="B305" s="5">
        <v>1018</v>
      </c>
      <c r="C305" s="7" t="str">
        <f t="shared" si="12"/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38">
        <f ca="1">IFERROR(VLOOKUP(B305,input_498101!L:R,7,FALSE),VLOOKUP(tables_498101!C305,input_498101!A:H,8,FALSE))</f>
        <v>95484.210529999997</v>
      </c>
      <c r="P305" s="39">
        <f t="shared" ca="1" si="13"/>
        <v>8.326143227230878E-4</v>
      </c>
      <c r="Q305" s="24">
        <v>1</v>
      </c>
      <c r="R305" s="24">
        <v>0</v>
      </c>
      <c r="S305" s="24">
        <v>0</v>
      </c>
      <c r="T305" s="24">
        <v>0</v>
      </c>
      <c r="U305" s="24">
        <v>0</v>
      </c>
      <c r="V305" s="24">
        <v>1</v>
      </c>
    </row>
    <row r="306" spans="1:22" ht="21" customHeight="1" x14ac:dyDescent="0.15">
      <c r="A306" s="2" t="str">
        <f ca="1">input_498101!A$2</f>
        <v>498101</v>
      </c>
      <c r="B306" s="5">
        <v>1026</v>
      </c>
      <c r="C306" s="7" t="str">
        <f t="shared" si="12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38">
        <f ca="1">IFERROR(VLOOKUP(B306,input_498101!L:R,7,FALSE),VLOOKUP(tables_498101!C306,input_498101!A:H,8,FALSE))</f>
        <v>1068177.7777799999</v>
      </c>
      <c r="P306" s="39">
        <f t="shared" ca="1" si="13"/>
        <v>9.3144208037905379E-3</v>
      </c>
      <c r="Q306" s="24">
        <v>1</v>
      </c>
      <c r="R306" s="24">
        <v>0</v>
      </c>
      <c r="S306" s="24">
        <v>0</v>
      </c>
      <c r="T306" s="24">
        <v>0</v>
      </c>
      <c r="U306" s="24">
        <v>0</v>
      </c>
      <c r="V306" s="24">
        <v>1</v>
      </c>
    </row>
    <row r="307" spans="1:22" ht="21" customHeight="1" x14ac:dyDescent="0.15">
      <c r="A307" s="2" t="str">
        <f ca="1">input_498101!A$2</f>
        <v>498101</v>
      </c>
      <c r="B307" s="5">
        <v>1027</v>
      </c>
      <c r="C307" s="7" t="str">
        <f t="shared" si="12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38">
        <f ca="1">IFERROR(VLOOKUP(B307,input_498101!L:R,7,FALSE),VLOOKUP(tables_498101!C307,input_498101!A:H,8,FALSE))</f>
        <v>68116.666670000006</v>
      </c>
      <c r="P307" s="39">
        <f t="shared" ca="1" si="13"/>
        <v>5.9397163123401677E-4</v>
      </c>
      <c r="Q307" s="24">
        <v>1</v>
      </c>
      <c r="R307" s="24">
        <v>0</v>
      </c>
      <c r="S307" s="24">
        <v>0</v>
      </c>
      <c r="T307" s="24">
        <v>0</v>
      </c>
      <c r="U307" s="24">
        <v>0</v>
      </c>
      <c r="V307" s="24">
        <v>1</v>
      </c>
    </row>
    <row r="308" spans="1:22" ht="21" customHeight="1" x14ac:dyDescent="0.15">
      <c r="A308" s="2" t="str">
        <f ca="1">input_498101!A$2</f>
        <v>498101</v>
      </c>
      <c r="B308" s="5">
        <v>1028</v>
      </c>
      <c r="C308" s="7" t="str">
        <f t="shared" si="12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38">
        <f ca="1">IFERROR(VLOOKUP(B308,input_498101!L:R,7,FALSE),VLOOKUP(tables_498101!C308,input_498101!A:H,8,FALSE))</f>
        <v>95484.210529999997</v>
      </c>
      <c r="P308" s="39">
        <f t="shared" ca="1" si="13"/>
        <v>8.326143227230878E-4</v>
      </c>
      <c r="Q308" s="24">
        <v>1</v>
      </c>
      <c r="R308" s="24">
        <v>0</v>
      </c>
      <c r="S308" s="24">
        <v>0</v>
      </c>
      <c r="T308" s="24">
        <v>0</v>
      </c>
      <c r="U308" s="24">
        <v>0</v>
      </c>
      <c r="V308" s="24">
        <v>1</v>
      </c>
    </row>
    <row r="309" spans="1:22" ht="21" customHeight="1" x14ac:dyDescent="0.15">
      <c r="A309" s="2" t="str">
        <f ca="1">input_498101!A$2</f>
        <v>498101</v>
      </c>
      <c r="B309" s="5">
        <v>1031</v>
      </c>
      <c r="C309" s="7" t="str">
        <f t="shared" si="12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38">
        <f ca="1">IFERROR(VLOOKUP(B309,input_498101!L:R,7,FALSE),VLOOKUP(tables_498101!C309,input_498101!A:H,8,FALSE))</f>
        <v>95484.210529999997</v>
      </c>
      <c r="P309" s="39">
        <f t="shared" ca="1" si="13"/>
        <v>8.326143227230878E-4</v>
      </c>
      <c r="Q309" s="24">
        <v>1</v>
      </c>
      <c r="R309" s="24">
        <v>0</v>
      </c>
      <c r="S309" s="24">
        <v>0</v>
      </c>
      <c r="T309" s="24">
        <v>0</v>
      </c>
      <c r="U309" s="24">
        <v>0</v>
      </c>
      <c r="V309" s="24">
        <v>1</v>
      </c>
    </row>
    <row r="310" spans="1:22" ht="21" customHeight="1" x14ac:dyDescent="0.15">
      <c r="A310" s="2" t="str">
        <f ca="1">input_498101!A$2</f>
        <v>498101</v>
      </c>
      <c r="B310" s="5">
        <v>1033</v>
      </c>
      <c r="C310" s="7" t="str">
        <f t="shared" si="12"/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38">
        <f ca="1">IFERROR(VLOOKUP(B310,input_498101!L:R,7,FALSE),VLOOKUP(tables_498101!C310,input_498101!A:H,8,FALSE))</f>
        <v>95484.210529999997</v>
      </c>
      <c r="P310" s="39">
        <f t="shared" ca="1" si="13"/>
        <v>8.326143227230878E-4</v>
      </c>
      <c r="Q310" s="24">
        <v>1</v>
      </c>
      <c r="R310" s="24">
        <v>0</v>
      </c>
      <c r="S310" s="24">
        <v>0</v>
      </c>
      <c r="T310" s="24">
        <v>0</v>
      </c>
      <c r="U310" s="24">
        <v>0</v>
      </c>
      <c r="V310" s="24">
        <v>1</v>
      </c>
    </row>
    <row r="311" spans="1:22" ht="21" customHeight="1" x14ac:dyDescent="0.15">
      <c r="A311" s="2" t="str">
        <f ca="1">input_498101!A$2</f>
        <v>498101</v>
      </c>
      <c r="B311" s="5">
        <v>1067</v>
      </c>
      <c r="C311" s="7" t="str">
        <f t="shared" si="12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38">
        <f ca="1">IFERROR(VLOOKUP(B311,input_498101!L:R,7,FALSE),VLOOKUP(tables_498101!C311,input_498101!A:H,8,FALSE))</f>
        <v>1068177.7777799999</v>
      </c>
      <c r="P311" s="39">
        <f t="shared" ca="1" si="13"/>
        <v>9.3144208037905379E-3</v>
      </c>
      <c r="Q311" s="24">
        <v>1</v>
      </c>
      <c r="R311" s="24">
        <v>0</v>
      </c>
      <c r="S311" s="24">
        <v>0</v>
      </c>
      <c r="T311" s="24">
        <v>0</v>
      </c>
      <c r="U311" s="24">
        <v>0</v>
      </c>
      <c r="V311" s="24">
        <v>1</v>
      </c>
    </row>
    <row r="312" spans="1:22" ht="21" customHeight="1" x14ac:dyDescent="0.15">
      <c r="A312" s="2" t="str">
        <f ca="1">input_498101!A$2</f>
        <v>498101</v>
      </c>
      <c r="B312" s="5">
        <v>1068</v>
      </c>
      <c r="C312" s="7" t="str">
        <f t="shared" si="12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38">
        <f ca="1">IFERROR(VLOOKUP(B312,input_498101!L:R,7,FALSE),VLOOKUP(tables_498101!C312,input_498101!A:H,8,FALSE))</f>
        <v>68116.666670000006</v>
      </c>
      <c r="P312" s="39">
        <f t="shared" ca="1" si="13"/>
        <v>5.9397163123401677E-4</v>
      </c>
      <c r="Q312" s="24">
        <v>1</v>
      </c>
      <c r="R312" s="24">
        <v>0</v>
      </c>
      <c r="S312" s="24">
        <v>0</v>
      </c>
      <c r="T312" s="24">
        <v>0</v>
      </c>
      <c r="U312" s="24">
        <v>0</v>
      </c>
      <c r="V312" s="24">
        <v>1</v>
      </c>
    </row>
    <row r="313" spans="1:22" ht="21" customHeight="1" x14ac:dyDescent="0.15">
      <c r="A313" s="2" t="str">
        <f ca="1">input_498101!A$2</f>
        <v>498101</v>
      </c>
      <c r="B313" s="5">
        <v>1069</v>
      </c>
      <c r="C313" s="7" t="str">
        <f t="shared" si="12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38">
        <f ca="1">IFERROR(VLOOKUP(B313,input_498101!L:R,7,FALSE),VLOOKUP(tables_498101!C313,input_498101!A:H,8,FALSE))</f>
        <v>95484.210529999997</v>
      </c>
      <c r="P313" s="39">
        <f t="shared" ca="1" si="13"/>
        <v>8.326143227230878E-4</v>
      </c>
      <c r="Q313" s="24">
        <v>1</v>
      </c>
      <c r="R313" s="24">
        <v>0</v>
      </c>
      <c r="S313" s="24">
        <v>0</v>
      </c>
      <c r="T313" s="24">
        <v>0</v>
      </c>
      <c r="U313" s="24">
        <v>0</v>
      </c>
      <c r="V313" s="24">
        <v>1</v>
      </c>
    </row>
    <row r="314" spans="1:22" ht="21" customHeight="1" x14ac:dyDescent="0.15">
      <c r="A314" s="2" t="str">
        <f ca="1">input_498101!A$2</f>
        <v>498101</v>
      </c>
      <c r="B314" s="5">
        <v>1072</v>
      </c>
      <c r="C314" s="7" t="str">
        <f t="shared" si="12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38">
        <f ca="1">IFERROR(VLOOKUP(B314,input_498101!L:R,7,FALSE),VLOOKUP(tables_498101!C314,input_498101!A:H,8,FALSE))</f>
        <v>95484.210529999997</v>
      </c>
      <c r="P314" s="39">
        <f t="shared" ca="1" si="13"/>
        <v>8.326143227230878E-4</v>
      </c>
      <c r="Q314" s="24">
        <v>1</v>
      </c>
      <c r="R314" s="24">
        <v>0</v>
      </c>
      <c r="S314" s="24">
        <v>0</v>
      </c>
      <c r="T314" s="24">
        <v>0</v>
      </c>
      <c r="U314" s="24">
        <v>0</v>
      </c>
      <c r="V314" s="24">
        <v>1</v>
      </c>
    </row>
    <row r="315" spans="1:22" ht="21" customHeight="1" x14ac:dyDescent="0.15">
      <c r="A315" s="2" t="str">
        <f ca="1">input_498101!A$2</f>
        <v>498101</v>
      </c>
      <c r="B315" s="5">
        <v>1074</v>
      </c>
      <c r="C315" s="7" t="str">
        <f t="shared" si="12"/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38">
        <f ca="1">IFERROR(VLOOKUP(B315,input_498101!L:R,7,FALSE),VLOOKUP(tables_498101!C315,input_498101!A:H,8,FALSE))</f>
        <v>95484.210529999997</v>
      </c>
      <c r="P315" s="39">
        <f t="shared" ca="1" si="13"/>
        <v>8.326143227230878E-4</v>
      </c>
      <c r="Q315" s="24">
        <v>1</v>
      </c>
      <c r="R315" s="24">
        <v>0</v>
      </c>
      <c r="S315" s="24">
        <v>0</v>
      </c>
      <c r="T315" s="24">
        <v>0</v>
      </c>
      <c r="U315" s="24">
        <v>0</v>
      </c>
      <c r="V315" s="24">
        <v>1</v>
      </c>
    </row>
    <row r="316" spans="1:22" ht="21" customHeight="1" x14ac:dyDescent="0.15">
      <c r="A316" s="2" t="str">
        <f ca="1">input_498101!A$2</f>
        <v>498101</v>
      </c>
      <c r="B316" s="5">
        <v>1100</v>
      </c>
      <c r="C316" s="7" t="str">
        <f t="shared" si="12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38">
        <f ca="1">IFERROR(VLOOKUP(B316,input_498101!L:R,7,FALSE),VLOOKUP(tables_498101!C316,input_498101!A:H,8,FALSE))</f>
        <v>95484.210529999997</v>
      </c>
      <c r="P316" s="39">
        <f t="shared" ca="1" si="13"/>
        <v>8.326143227230878E-4</v>
      </c>
      <c r="Q316" s="24">
        <v>1</v>
      </c>
      <c r="R316" s="24">
        <v>0</v>
      </c>
      <c r="S316" s="24">
        <v>0</v>
      </c>
      <c r="T316" s="24">
        <v>0</v>
      </c>
      <c r="U316" s="24">
        <v>0</v>
      </c>
      <c r="V316" s="24">
        <v>1</v>
      </c>
    </row>
    <row r="317" spans="1:22" ht="21" customHeight="1" x14ac:dyDescent="0.15">
      <c r="A317" s="2" t="str">
        <f ca="1">input_498101!A$2</f>
        <v>498101</v>
      </c>
      <c r="B317" s="5">
        <v>1102</v>
      </c>
      <c r="C317" s="7" t="str">
        <f t="shared" si="12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38">
        <f ca="1">IFERROR(VLOOKUP(B317,input_498101!L:R,7,FALSE),VLOOKUP(tables_498101!C317,input_498101!A:H,8,FALSE))</f>
        <v>95484.210529999997</v>
      </c>
      <c r="P317" s="39">
        <f t="shared" ca="1" si="13"/>
        <v>8.326143227230878E-4</v>
      </c>
      <c r="Q317" s="24">
        <v>1</v>
      </c>
      <c r="R317" s="24">
        <v>0</v>
      </c>
      <c r="S317" s="24">
        <v>0</v>
      </c>
      <c r="T317" s="24">
        <v>0</v>
      </c>
      <c r="U317" s="24">
        <v>0</v>
      </c>
      <c r="V317" s="24">
        <v>1</v>
      </c>
    </row>
    <row r="318" spans="1:22" ht="21" customHeight="1" x14ac:dyDescent="0.15">
      <c r="A318" s="2" t="str">
        <f ca="1">input_498101!A$2</f>
        <v>498101</v>
      </c>
      <c r="B318" s="5">
        <v>1104</v>
      </c>
      <c r="C318" s="7" t="str">
        <f t="shared" si="12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38">
        <f ca="1">IFERROR(VLOOKUP(B318,input_498101!L:R,7,FALSE),VLOOKUP(tables_498101!C318,input_498101!A:H,8,FALSE))</f>
        <v>1068177.7777799999</v>
      </c>
      <c r="P318" s="39">
        <f t="shared" ca="1" si="13"/>
        <v>9.3144208037905379E-3</v>
      </c>
      <c r="Q318" s="24">
        <v>1</v>
      </c>
      <c r="R318" s="24">
        <v>0</v>
      </c>
      <c r="S318" s="24">
        <v>0</v>
      </c>
      <c r="T318" s="24">
        <v>0</v>
      </c>
      <c r="U318" s="24">
        <v>0</v>
      </c>
      <c r="V318" s="24">
        <v>1</v>
      </c>
    </row>
    <row r="319" spans="1:22" ht="21" customHeight="1" x14ac:dyDescent="0.15">
      <c r="A319" s="2" t="str">
        <f ca="1">input_498101!A$2</f>
        <v>498101</v>
      </c>
      <c r="B319" s="5">
        <v>1105</v>
      </c>
      <c r="C319" s="7" t="str">
        <f t="shared" si="12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38">
        <f ca="1">IFERROR(VLOOKUP(B319,input_498101!L:R,7,FALSE),VLOOKUP(tables_498101!C319,input_498101!A:H,8,FALSE))</f>
        <v>68116.666670000006</v>
      </c>
      <c r="P319" s="39">
        <f t="shared" ca="1" si="13"/>
        <v>5.9397163123401677E-4</v>
      </c>
      <c r="Q319" s="24">
        <v>1</v>
      </c>
      <c r="R319" s="24">
        <v>0</v>
      </c>
      <c r="S319" s="24">
        <v>0</v>
      </c>
      <c r="T319" s="24">
        <v>0</v>
      </c>
      <c r="U319" s="24">
        <v>0</v>
      </c>
      <c r="V319" s="24">
        <v>1</v>
      </c>
    </row>
    <row r="320" spans="1:22" ht="21" customHeight="1" x14ac:dyDescent="0.15">
      <c r="A320" s="2" t="str">
        <f ca="1">input_498101!A$2</f>
        <v>498101</v>
      </c>
      <c r="B320" s="5">
        <v>1106</v>
      </c>
      <c r="C320" s="7" t="str">
        <f t="shared" si="12"/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38">
        <f ca="1">IFERROR(VLOOKUP(B320,input_498101!L:R,7,FALSE),VLOOKUP(tables_498101!C320,input_498101!A:H,8,FALSE))</f>
        <v>95484.210529999997</v>
      </c>
      <c r="P320" s="39">
        <f t="shared" ca="1" si="13"/>
        <v>8.326143227230878E-4</v>
      </c>
      <c r="Q320" s="24">
        <v>1</v>
      </c>
      <c r="R320" s="24">
        <v>0</v>
      </c>
      <c r="S320" s="24">
        <v>0</v>
      </c>
      <c r="T320" s="24">
        <v>0</v>
      </c>
      <c r="U320" s="24">
        <v>0</v>
      </c>
      <c r="V320" s="24">
        <v>1</v>
      </c>
    </row>
    <row r="321" spans="1:22" ht="21" customHeight="1" x14ac:dyDescent="0.15">
      <c r="A321" s="2" t="str">
        <f ca="1">input_498101!A$2</f>
        <v>498101</v>
      </c>
      <c r="B321" s="5">
        <v>1137</v>
      </c>
      <c r="C321" s="7" t="str">
        <f t="shared" si="12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38">
        <f ca="1">IFERROR(VLOOKUP(B321,input_498101!L:R,7,FALSE),VLOOKUP(tables_498101!C321,input_498101!A:H,8,FALSE))</f>
        <v>95484.210529999997</v>
      </c>
      <c r="P321" s="39">
        <f t="shared" ca="1" si="13"/>
        <v>8.326143227230878E-4</v>
      </c>
      <c r="Q321" s="24">
        <v>1</v>
      </c>
      <c r="R321" s="24">
        <v>0</v>
      </c>
      <c r="S321" s="24">
        <v>0</v>
      </c>
      <c r="T321" s="24">
        <v>0</v>
      </c>
      <c r="U321" s="24">
        <v>0</v>
      </c>
      <c r="V321" s="24">
        <v>1</v>
      </c>
    </row>
    <row r="322" spans="1:22" ht="21" customHeight="1" x14ac:dyDescent="0.15">
      <c r="A322" s="2" t="str">
        <f ca="1">input_498101!A$2</f>
        <v>498101</v>
      </c>
      <c r="B322" s="5">
        <v>1139</v>
      </c>
      <c r="C322" s="7" t="str">
        <f t="shared" ref="C322:C351" si="15">D322&amp;J322&amp;E322&amp;F322&amp;G322</f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38">
        <f ca="1">IFERROR(VLOOKUP(B322,input_498101!L:R,7,FALSE),VLOOKUP(tables_498101!C322,input_498101!A:H,8,FALSE))</f>
        <v>95484.210529999997</v>
      </c>
      <c r="P322" s="39">
        <f t="shared" ref="P322:P351" ca="1" si="16">O322/SUM(O:O)</f>
        <v>8.326143227230878E-4</v>
      </c>
      <c r="Q322" s="24">
        <v>1</v>
      </c>
      <c r="R322" s="24">
        <v>0</v>
      </c>
      <c r="S322" s="24">
        <v>0</v>
      </c>
      <c r="T322" s="24">
        <v>0</v>
      </c>
      <c r="U322" s="24">
        <v>0</v>
      </c>
      <c r="V322" s="24">
        <v>1</v>
      </c>
    </row>
    <row r="323" spans="1:22" ht="21" customHeight="1" x14ac:dyDescent="0.15">
      <c r="A323" s="2" t="str">
        <f ca="1">input_498101!A$2</f>
        <v>498101</v>
      </c>
      <c r="B323" s="5">
        <v>1141</v>
      </c>
      <c r="C323" s="7" t="str">
        <f t="shared" si="15"/>
        <v>PremiumSS5R5only</v>
      </c>
      <c r="D323" s="7" t="str">
        <f t="shared" ref="D323:D351" si="17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38">
        <f ca="1">IFERROR(VLOOKUP(B323,input_498101!L:R,7,FALSE),VLOOKUP(tables_498101!C323,input_498101!A:H,8,FALSE))</f>
        <v>95484.210529999997</v>
      </c>
      <c r="P323" s="39">
        <f t="shared" ca="1" si="16"/>
        <v>8.326143227230878E-4</v>
      </c>
      <c r="Q323" s="24">
        <v>1</v>
      </c>
      <c r="R323" s="24">
        <v>0</v>
      </c>
      <c r="S323" s="24">
        <v>0</v>
      </c>
      <c r="T323" s="24">
        <v>0</v>
      </c>
      <c r="U323" s="24">
        <v>0</v>
      </c>
      <c r="V323" s="24">
        <v>1</v>
      </c>
    </row>
    <row r="324" spans="1:22" ht="21" customHeight="1" x14ac:dyDescent="0.15">
      <c r="A324" s="2" t="str">
        <f ca="1">input_498101!A$2</f>
        <v>498101</v>
      </c>
      <c r="B324" s="2">
        <v>1143</v>
      </c>
      <c r="C324" s="7" t="str">
        <f t="shared" si="15"/>
        <v>Premium4R3less</v>
      </c>
      <c r="D324" s="7" t="str">
        <f t="shared" si="17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38">
        <f ca="1">IFERROR(VLOOKUP(B324,input_498101!L:R,7,FALSE),VLOOKUP(tables_498101!C324,input_498101!A:H,8,FALSE))</f>
        <v>1068177.7777799999</v>
      </c>
      <c r="P324" s="39">
        <f t="shared" ca="1" si="16"/>
        <v>9.3144208037905379E-3</v>
      </c>
      <c r="Q324" s="24">
        <v>1</v>
      </c>
      <c r="R324" s="24">
        <v>0</v>
      </c>
      <c r="S324" s="24">
        <v>0</v>
      </c>
      <c r="T324" s="24">
        <v>0</v>
      </c>
      <c r="U324" s="24">
        <v>0</v>
      </c>
      <c r="V324" s="24">
        <v>1</v>
      </c>
    </row>
    <row r="325" spans="1:22" ht="21" customHeight="1" x14ac:dyDescent="0.15">
      <c r="A325" s="2" t="str">
        <f ca="1">input_498101!A$2</f>
        <v>498101</v>
      </c>
      <c r="B325" s="2">
        <v>1144</v>
      </c>
      <c r="C325" s="7" t="str">
        <f t="shared" si="15"/>
        <v>Premium5R3less</v>
      </c>
      <c r="D325" s="7" t="str">
        <f t="shared" si="17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38">
        <f ca="1">IFERROR(VLOOKUP(B325,input_498101!L:R,7,FALSE),VLOOKUP(tables_498101!C325,input_498101!A:H,8,FALSE))</f>
        <v>68116.666670000006</v>
      </c>
      <c r="P325" s="39">
        <f t="shared" ca="1" si="16"/>
        <v>5.9397163123401677E-4</v>
      </c>
      <c r="Q325" s="24">
        <v>1</v>
      </c>
      <c r="R325" s="24">
        <v>0</v>
      </c>
      <c r="S325" s="24">
        <v>0</v>
      </c>
      <c r="T325" s="24">
        <v>0</v>
      </c>
      <c r="U325" s="24">
        <v>0</v>
      </c>
      <c r="V325" s="24">
        <v>1</v>
      </c>
    </row>
    <row r="326" spans="1:22" ht="21" customHeight="1" x14ac:dyDescent="0.15">
      <c r="A326" s="2" t="str">
        <f ca="1">input_498101!A$2</f>
        <v>498101</v>
      </c>
      <c r="B326" s="2">
        <v>1151</v>
      </c>
      <c r="C326" s="7" t="str">
        <f t="shared" si="15"/>
        <v>Premium4R3less</v>
      </c>
      <c r="D326" s="7" t="str">
        <f t="shared" si="17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38">
        <f ca="1">IFERROR(VLOOKUP(B326,input_498101!L:R,7,FALSE),VLOOKUP(tables_498101!C326,input_498101!A:H,8,FALSE))</f>
        <v>1068177.7777799999</v>
      </c>
      <c r="P326" s="39">
        <f t="shared" ca="1" si="16"/>
        <v>9.3144208037905379E-3</v>
      </c>
      <c r="Q326" s="24">
        <v>1</v>
      </c>
      <c r="R326" s="24">
        <v>0</v>
      </c>
      <c r="S326" s="24">
        <v>0</v>
      </c>
      <c r="T326" s="24">
        <v>0</v>
      </c>
      <c r="U326" s="24">
        <v>0</v>
      </c>
      <c r="V326" s="24">
        <v>1</v>
      </c>
    </row>
    <row r="327" spans="1:22" ht="21" customHeight="1" x14ac:dyDescent="0.15">
      <c r="A327" s="2" t="str">
        <f ca="1">input_498101!A$2</f>
        <v>498101</v>
      </c>
      <c r="B327" s="2">
        <v>1152</v>
      </c>
      <c r="C327" s="7" t="str">
        <f t="shared" si="15"/>
        <v>Premium5R3less</v>
      </c>
      <c r="D327" s="7" t="str">
        <f t="shared" si="17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38">
        <f ca="1">IFERROR(VLOOKUP(B327,input_498101!L:R,7,FALSE),VLOOKUP(tables_498101!C327,input_498101!A:H,8,FALSE))</f>
        <v>68116.666670000006</v>
      </c>
      <c r="P327" s="39">
        <f t="shared" ca="1" si="16"/>
        <v>5.9397163123401677E-4</v>
      </c>
      <c r="Q327" s="24">
        <v>1</v>
      </c>
      <c r="R327" s="24">
        <v>0</v>
      </c>
      <c r="S327" s="24">
        <v>0</v>
      </c>
      <c r="T327" s="24">
        <v>0</v>
      </c>
      <c r="U327" s="24">
        <v>0</v>
      </c>
      <c r="V327" s="24">
        <v>1</v>
      </c>
    </row>
    <row r="328" spans="1:22" ht="21" customHeight="1" x14ac:dyDescent="0.15">
      <c r="A328" s="2" t="str">
        <f ca="1">input_498101!A$2</f>
        <v>498101</v>
      </c>
      <c r="B328" s="2">
        <v>1153</v>
      </c>
      <c r="C328" s="7" t="str">
        <f t="shared" si="15"/>
        <v>PremiumSS5R5only</v>
      </c>
      <c r="D328" s="7" t="str">
        <f t="shared" si="17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38">
        <f ca="1">IFERROR(VLOOKUP(B328,input_498101!L:R,7,FALSE),VLOOKUP(tables_498101!C328,input_498101!A:H,8,FALSE))</f>
        <v>95484.210529999997</v>
      </c>
      <c r="P328" s="39">
        <f t="shared" ca="1" si="16"/>
        <v>8.326143227230878E-4</v>
      </c>
      <c r="Q328" s="24">
        <v>1</v>
      </c>
      <c r="R328" s="24">
        <v>0</v>
      </c>
      <c r="S328" s="24">
        <v>0</v>
      </c>
      <c r="T328" s="24">
        <v>0</v>
      </c>
      <c r="U328" s="24">
        <v>0</v>
      </c>
      <c r="V328" s="24">
        <v>1</v>
      </c>
    </row>
    <row r="329" spans="1:22" ht="21" customHeight="1" x14ac:dyDescent="0.15">
      <c r="A329" s="2" t="str">
        <f ca="1">input_498101!A$2</f>
        <v>498101</v>
      </c>
      <c r="B329" s="2">
        <v>1155</v>
      </c>
      <c r="C329" s="7" t="str">
        <f t="shared" si="15"/>
        <v>PremiumSS5R5only</v>
      </c>
      <c r="D329" s="7" t="str">
        <f t="shared" si="17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38">
        <f ca="1">IFERROR(VLOOKUP(B329,input_498101!L:R,7,FALSE),VLOOKUP(tables_498101!C329,input_498101!A:H,8,FALSE))</f>
        <v>95484.210529999997</v>
      </c>
      <c r="P329" s="39">
        <f t="shared" ca="1" si="16"/>
        <v>8.326143227230878E-4</v>
      </c>
      <c r="Q329" s="24">
        <v>1</v>
      </c>
      <c r="R329" s="24">
        <v>0</v>
      </c>
      <c r="S329" s="24">
        <v>0</v>
      </c>
      <c r="T329" s="24">
        <v>0</v>
      </c>
      <c r="U329" s="24">
        <v>0</v>
      </c>
      <c r="V329" s="24">
        <v>1</v>
      </c>
    </row>
    <row r="330" spans="1:22" ht="21" customHeight="1" x14ac:dyDescent="0.15">
      <c r="A330" s="2" t="str">
        <f ca="1">input_498101!A$2</f>
        <v>498101</v>
      </c>
      <c r="B330" s="2">
        <v>1157</v>
      </c>
      <c r="C330" s="7" t="str">
        <f t="shared" si="15"/>
        <v>PremiumSS5R5only</v>
      </c>
      <c r="D330" s="89" t="str">
        <f t="shared" si="17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38">
        <f ca="1">IFERROR(VLOOKUP(B330,input_498101!L:R,7,FALSE),VLOOKUP(tables_498101!C330,input_498101!A:H,8,FALSE))</f>
        <v>95484.210529999997</v>
      </c>
      <c r="P330" s="39">
        <f t="shared" ca="1" si="16"/>
        <v>8.326143227230878E-4</v>
      </c>
      <c r="Q330" s="24">
        <v>1</v>
      </c>
      <c r="R330" s="24">
        <v>0</v>
      </c>
      <c r="S330" s="24">
        <v>0</v>
      </c>
      <c r="T330" s="24">
        <v>0</v>
      </c>
      <c r="U330" s="24">
        <v>0</v>
      </c>
      <c r="V330" s="24">
        <v>1</v>
      </c>
    </row>
    <row r="331" spans="1:22" ht="21" customHeight="1" x14ac:dyDescent="0.15">
      <c r="A331" s="2" t="str">
        <f ca="1">input_498101!A$2</f>
        <v>498101</v>
      </c>
      <c r="B331" s="53">
        <v>1214</v>
      </c>
      <c r="C331" s="7" t="str">
        <f t="shared" si="15"/>
        <v>PremiumSS5R5only</v>
      </c>
      <c r="D331" s="89" t="str">
        <f t="shared" si="17"/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38">
        <f ca="1">IFERROR(VLOOKUP(B331,input_498101!L:R,7,FALSE),VLOOKUP(tables_498101!C331,input_498101!A:H,8,FALSE))</f>
        <v>95484.210529999997</v>
      </c>
      <c r="P331" s="39">
        <f t="shared" ca="1" si="16"/>
        <v>8.326143227230878E-4</v>
      </c>
      <c r="Q331" s="24">
        <v>1</v>
      </c>
      <c r="R331" s="24">
        <v>0</v>
      </c>
      <c r="S331" s="24">
        <v>0</v>
      </c>
      <c r="T331" s="24">
        <v>0</v>
      </c>
      <c r="U331" s="24">
        <v>0</v>
      </c>
      <c r="V331" s="24">
        <v>1</v>
      </c>
    </row>
    <row r="332" spans="1:22" ht="21" customHeight="1" x14ac:dyDescent="0.15">
      <c r="A332" s="2" t="str">
        <f ca="1">input_498101!A$2</f>
        <v>498101</v>
      </c>
      <c r="B332" s="53">
        <v>1212</v>
      </c>
      <c r="C332" s="7" t="str">
        <f t="shared" si="15"/>
        <v>PremiumSS5R5only</v>
      </c>
      <c r="D332" s="89" t="str">
        <f t="shared" si="1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38">
        <f ca="1">IFERROR(VLOOKUP(B332,input_498101!L:R,7,FALSE),VLOOKUP(tables_498101!C332,input_498101!A:H,8,FALSE))</f>
        <v>95484.210529999997</v>
      </c>
      <c r="P332" s="39">
        <f t="shared" ca="1" si="16"/>
        <v>8.326143227230878E-4</v>
      </c>
      <c r="Q332" s="24">
        <v>1</v>
      </c>
      <c r="R332" s="24">
        <v>0</v>
      </c>
      <c r="S332" s="24">
        <v>0</v>
      </c>
      <c r="T332" s="24">
        <v>0</v>
      </c>
      <c r="U332" s="24">
        <v>0</v>
      </c>
      <c r="V332" s="24">
        <v>1</v>
      </c>
    </row>
    <row r="333" spans="1:22" ht="21" customHeight="1" x14ac:dyDescent="0.15">
      <c r="A333" s="2" t="str">
        <f ca="1">input_498101!A$2</f>
        <v>498101</v>
      </c>
      <c r="B333" s="53">
        <v>1208</v>
      </c>
      <c r="C333" s="7" t="str">
        <f t="shared" si="15"/>
        <v>PremiumSS5R5only</v>
      </c>
      <c r="D333" s="89" t="str">
        <f t="shared" si="1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38">
        <f ca="1">IFERROR(VLOOKUP(B333,input_498101!L:R,7,FALSE),VLOOKUP(tables_498101!C333,input_498101!A:H,8,FALSE))</f>
        <v>95484.210529999997</v>
      </c>
      <c r="P333" s="39">
        <f t="shared" ca="1" si="16"/>
        <v>8.326143227230878E-4</v>
      </c>
      <c r="Q333" s="24">
        <v>1</v>
      </c>
      <c r="R333" s="24">
        <v>0</v>
      </c>
      <c r="S333" s="24">
        <v>0</v>
      </c>
      <c r="T333" s="24">
        <v>0</v>
      </c>
      <c r="U333" s="24">
        <v>0</v>
      </c>
      <c r="V333" s="24">
        <v>1</v>
      </c>
    </row>
    <row r="334" spans="1:22" ht="21" customHeight="1" x14ac:dyDescent="0.15">
      <c r="A334" s="2" t="str">
        <f ca="1">input_498101!A$2</f>
        <v>498101</v>
      </c>
      <c r="B334" s="84">
        <v>1210</v>
      </c>
      <c r="C334" s="7" t="str">
        <f t="shared" si="15"/>
        <v>Premium4R3less</v>
      </c>
      <c r="D334" s="89" t="str">
        <f t="shared" si="1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38">
        <f ca="1">IFERROR(VLOOKUP(B334,input_498101!L:R,7,FALSE),VLOOKUP(tables_498101!C334,input_498101!A:H,8,FALSE))</f>
        <v>1068177.7777799999</v>
      </c>
      <c r="P334" s="39">
        <f t="shared" ca="1" si="16"/>
        <v>9.3144208037905379E-3</v>
      </c>
      <c r="Q334" s="24">
        <v>1</v>
      </c>
      <c r="R334" s="24">
        <v>0</v>
      </c>
      <c r="S334" s="24">
        <v>0</v>
      </c>
      <c r="T334" s="24">
        <v>0</v>
      </c>
      <c r="U334" s="24">
        <v>0</v>
      </c>
      <c r="V334" s="24">
        <v>1</v>
      </c>
    </row>
    <row r="335" spans="1:22" ht="21" customHeight="1" x14ac:dyDescent="0.15">
      <c r="A335" s="2" t="str">
        <f ca="1">input_498101!A$2</f>
        <v>498101</v>
      </c>
      <c r="B335" s="53">
        <v>1211</v>
      </c>
      <c r="C335" s="7" t="str">
        <f t="shared" si="15"/>
        <v>Premium5R3less</v>
      </c>
      <c r="D335" s="89" t="str">
        <f t="shared" si="1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38">
        <f ca="1">IFERROR(VLOOKUP(B335,input_498101!L:R,7,FALSE),VLOOKUP(tables_498101!C335,input_498101!A:H,8,FALSE))</f>
        <v>68116.666670000006</v>
      </c>
      <c r="P335" s="39">
        <f t="shared" ca="1" si="16"/>
        <v>5.9397163123401677E-4</v>
      </c>
      <c r="Q335" s="24">
        <v>1</v>
      </c>
      <c r="R335" s="24">
        <v>0</v>
      </c>
      <c r="S335" s="24">
        <v>0</v>
      </c>
      <c r="T335" s="24">
        <v>0</v>
      </c>
      <c r="U335" s="24">
        <v>0</v>
      </c>
      <c r="V335" s="24">
        <v>1</v>
      </c>
    </row>
    <row r="336" spans="1:22" ht="21" customHeight="1" x14ac:dyDescent="0.15">
      <c r="A336" s="2" t="str">
        <f ca="1">input_498101!A$2</f>
        <v>498101</v>
      </c>
      <c r="B336" s="53">
        <v>1228</v>
      </c>
      <c r="C336" s="7" t="str">
        <f t="shared" si="15"/>
        <v>PremiumSS5R5only</v>
      </c>
      <c r="D336" s="89" t="str">
        <f t="shared" si="17"/>
        <v>PremiumSS</v>
      </c>
      <c r="E336" s="7" t="str">
        <f>IF(COUNTIF('R6追加前'!A:A,B336)=0,IF(OR(I336="PremiumSS",I336="PremiumSSw"),"R5only","R3less"),"")</f>
        <v>R5only</v>
      </c>
      <c r="F336" s="7" t="str">
        <f>IF(COUNTIF('R6開放'!A:A,B336)&gt;0,"R6release","")</f>
        <v/>
      </c>
      <c r="G336" s="7"/>
      <c r="H336" s="7" t="str">
        <f>VLOOKUP(B336,[1]characters!$A:$C,3,FALSE)</f>
        <v>芥川龍之介</v>
      </c>
      <c r="I336" s="7" t="str">
        <f>VLOOKUP(B336,[1]characters!$A:$J,10,FALSE)</f>
        <v>PremiumSSw</v>
      </c>
      <c r="J336" s="7">
        <f>VLOOKUP(B336,[1]characters!$A:$I,9,FALSE)</f>
        <v>5</v>
      </c>
      <c r="K336" s="7" t="str">
        <f>VLOOKUP(B336,[1]characters!$A:$H,8,FALSE)</f>
        <v>blue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38">
        <f ca="1">IFERROR(VLOOKUP(B336,input_498101!L:R,7,FALSE),VLOOKUP(tables_498101!C336,input_498101!A:H,8,FALSE))</f>
        <v>95484.210529999997</v>
      </c>
      <c r="P336" s="39">
        <f t="shared" ca="1" si="16"/>
        <v>8.326143227230878E-4</v>
      </c>
      <c r="Q336" s="24">
        <v>1</v>
      </c>
      <c r="R336" s="24">
        <v>0</v>
      </c>
      <c r="S336" s="24">
        <v>0</v>
      </c>
      <c r="T336" s="24">
        <v>0</v>
      </c>
      <c r="U336" s="24">
        <v>0</v>
      </c>
      <c r="V336" s="24">
        <v>1</v>
      </c>
    </row>
    <row r="337" spans="1:22" ht="21" customHeight="1" x14ac:dyDescent="0.15">
      <c r="A337" s="2" t="str">
        <f ca="1">input_498101!A$2</f>
        <v>498101</v>
      </c>
      <c r="B337" s="53">
        <v>1226</v>
      </c>
      <c r="C337" s="7" t="str">
        <f t="shared" si="15"/>
        <v>PremiumSS5R5only</v>
      </c>
      <c r="D337" s="89" t="str">
        <f t="shared" si="17"/>
        <v>PremiumSS</v>
      </c>
      <c r="E337" s="7" t="str">
        <f>IF(COUNTIF('R6追加前'!A:A,B337)=0,IF(OR(I337="PremiumSS",I337="PremiumSSw"),"R5only","R3less"),"")</f>
        <v>R5only</v>
      </c>
      <c r="F337" s="7" t="str">
        <f>IF(COUNTIF('R6開放'!A:A,B337)&gt;0,"R6release","")</f>
        <v/>
      </c>
      <c r="G337" s="7"/>
      <c r="H337" s="7" t="str">
        <f>VLOOKUP(B337,[1]characters!$A:$C,3,FALSE)</f>
        <v>トルストイ</v>
      </c>
      <c r="I337" s="7" t="str">
        <f>VLOOKUP(B337,[1]characters!$A:$J,10,FALSE)</f>
        <v>PremiumSS</v>
      </c>
      <c r="J337" s="7">
        <f>VLOOKUP(B337,[1]characters!$A:$I,9,FALSE)</f>
        <v>5</v>
      </c>
      <c r="K337" s="7" t="str">
        <f>VLOOKUP(B337,[1]characters!$A:$H,8,FALSE)</f>
        <v>green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38">
        <f ca="1">IFERROR(VLOOKUP(B337,input_498101!L:R,7,FALSE),VLOOKUP(tables_498101!C337,input_498101!A:H,8,FALSE))</f>
        <v>95484.210529999997</v>
      </c>
      <c r="P337" s="39">
        <f t="shared" ca="1" si="16"/>
        <v>8.326143227230878E-4</v>
      </c>
      <c r="Q337" s="24">
        <v>1</v>
      </c>
      <c r="R337" s="24">
        <v>0</v>
      </c>
      <c r="S337" s="24">
        <v>0</v>
      </c>
      <c r="T337" s="24">
        <v>0</v>
      </c>
      <c r="U337" s="24">
        <v>0</v>
      </c>
      <c r="V337" s="24">
        <v>1</v>
      </c>
    </row>
    <row r="338" spans="1:22" ht="21" customHeight="1" x14ac:dyDescent="0.15">
      <c r="A338" s="2" t="str">
        <f ca="1">input_498101!A$2</f>
        <v>498101</v>
      </c>
      <c r="B338" s="53">
        <v>1230</v>
      </c>
      <c r="C338" s="7" t="str">
        <f t="shared" si="15"/>
        <v>PremiumSS5R5only</v>
      </c>
      <c r="D338" s="89" t="str">
        <f t="shared" si="17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夏目漱石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yellow</v>
      </c>
      <c r="L338" s="7" t="str">
        <f>VLOOKUP(B338,[1]characters!$A:$K,11,FALSE)</f>
        <v>heal</v>
      </c>
      <c r="M338" s="7" t="str">
        <f>VLOOKUP(B338,[1]characters!$A:$M,13,FALSE)</f>
        <v>animal</v>
      </c>
      <c r="N338" s="7">
        <f>VLOOKUP(B338,[1]characters!$A:$G,7,FALSE)</f>
        <v>0</v>
      </c>
      <c r="O338" s="38">
        <f ca="1">IFERROR(VLOOKUP(B338,input_498101!L:R,7,FALSE),VLOOKUP(tables_498101!C338,input_498101!A:H,8,FALSE))</f>
        <v>95484.210529999997</v>
      </c>
      <c r="P338" s="39">
        <f t="shared" ca="1" si="16"/>
        <v>8.326143227230878E-4</v>
      </c>
      <c r="Q338" s="24">
        <v>1</v>
      </c>
      <c r="R338" s="24">
        <v>0</v>
      </c>
      <c r="S338" s="24">
        <v>0</v>
      </c>
      <c r="T338" s="24">
        <v>0</v>
      </c>
      <c r="U338" s="24">
        <v>0</v>
      </c>
      <c r="V338" s="24">
        <v>1</v>
      </c>
    </row>
    <row r="339" spans="1:22" ht="21" customHeight="1" x14ac:dyDescent="0.15">
      <c r="A339" s="2" t="str">
        <f ca="1">input_498101!A$2</f>
        <v>498101</v>
      </c>
      <c r="B339" s="84">
        <v>1224</v>
      </c>
      <c r="C339" s="7" t="str">
        <f t="shared" si="15"/>
        <v>Premium4R3less</v>
      </c>
      <c r="D339" s="89" t="str">
        <f t="shared" si="17"/>
        <v>Premium</v>
      </c>
      <c r="E339" s="7" t="str">
        <f>IF(COUNTIF('R6追加前'!A:A,B339)=0,IF(OR(I339="PremiumSS",I339="PremiumSSw"),"R5only","R3less"),"")</f>
        <v>R3less</v>
      </c>
      <c r="F339" s="7" t="str">
        <f>IF(COUNTIF('R6開放'!A:A,B339)&gt;0,"R6release","")</f>
        <v/>
      </c>
      <c r="G339" s="7"/>
      <c r="H339" s="7" t="str">
        <f>VLOOKUP(B339,[1]characters!$A:$C,3,FALSE)</f>
        <v>セルバンテス</v>
      </c>
      <c r="I339" s="7" t="str">
        <f>VLOOKUP(B339,[1]characters!$A:$J,10,FALSE)</f>
        <v>PremiumS</v>
      </c>
      <c r="J339" s="7">
        <f>VLOOKUP(B339,[1]characters!$A:$I,9,FALSE)</f>
        <v>4</v>
      </c>
      <c r="K339" s="7" t="str">
        <f>VLOOKUP(B339,[1]characters!$A:$H,8,FALSE)</f>
        <v>red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38">
        <f ca="1">IFERROR(VLOOKUP(B339,input_498101!L:R,7,FALSE),VLOOKUP(tables_498101!C339,input_498101!A:H,8,FALSE))</f>
        <v>1068177.7777799999</v>
      </c>
      <c r="P339" s="39">
        <f t="shared" ca="1" si="16"/>
        <v>9.3144208037905379E-3</v>
      </c>
      <c r="Q339" s="24">
        <v>1</v>
      </c>
      <c r="R339" s="24">
        <v>0</v>
      </c>
      <c r="S339" s="24">
        <v>0</v>
      </c>
      <c r="T339" s="24">
        <v>0</v>
      </c>
      <c r="U339" s="24">
        <v>0</v>
      </c>
      <c r="V339" s="24">
        <v>1</v>
      </c>
    </row>
    <row r="340" spans="1:22" ht="21" customHeight="1" x14ac:dyDescent="0.15">
      <c r="A340" s="2" t="str">
        <f ca="1">input_498101!A$2</f>
        <v>498101</v>
      </c>
      <c r="B340" s="53">
        <v>1225</v>
      </c>
      <c r="C340" s="7" t="str">
        <f t="shared" si="15"/>
        <v>Premium5R3less</v>
      </c>
      <c r="D340" s="89" t="str">
        <f t="shared" si="17"/>
        <v>Premium</v>
      </c>
      <c r="E340" s="7" t="str">
        <f>IF(COUNTIF('R6追加前'!A:A,B340)=0,IF(OR(I340="PremiumSS",I340="PremiumSSw"),"R5only","R3less"),"")</f>
        <v>R3less</v>
      </c>
      <c r="F340" s="7" t="str">
        <f>IF(COUNTIF('R6開放'!A:A,B340)&gt;0,"R6release","")</f>
        <v/>
      </c>
      <c r="G340" s="7"/>
      <c r="H340" s="7" t="str">
        <f>VLOOKUP(B340,[1]characters!$A:$C,3,FALSE)</f>
        <v>優柔なる風断者 セルバンテス</v>
      </c>
      <c r="I340" s="7" t="str">
        <f>VLOOKUP(B340,[1]characters!$A:$J,10,FALSE)</f>
        <v>PremiumS</v>
      </c>
      <c r="J340" s="7">
        <f>VLOOKUP(B340,[1]characters!$A:$I,9,FALSE)</f>
        <v>5</v>
      </c>
      <c r="K340" s="7" t="str">
        <f>VLOOKUP(B340,[1]characters!$A:$H,8,FALSE)</f>
        <v>red</v>
      </c>
      <c r="L340" s="7" t="str">
        <f>VLOOKUP(B340,[1]characters!$A:$K,11,FALSE)</f>
        <v>attack</v>
      </c>
      <c r="M340" s="7" t="str">
        <f>VLOOKUP(B340,[1]characters!$A:$M,13,FALSE)</f>
        <v>human</v>
      </c>
      <c r="N340" s="7">
        <f>VLOOKUP(B340,[1]characters!$A:$G,7,FALSE)</f>
        <v>0</v>
      </c>
      <c r="O340" s="38">
        <f ca="1">IFERROR(VLOOKUP(B340,input_498101!L:R,7,FALSE),VLOOKUP(tables_498101!C340,input_498101!A:H,8,FALSE))</f>
        <v>68116.666670000006</v>
      </c>
      <c r="P340" s="39">
        <f t="shared" ca="1" si="16"/>
        <v>5.9397163123401677E-4</v>
      </c>
      <c r="Q340" s="24">
        <v>1</v>
      </c>
      <c r="R340" s="24">
        <v>0</v>
      </c>
      <c r="S340" s="24">
        <v>0</v>
      </c>
      <c r="T340" s="24">
        <v>0</v>
      </c>
      <c r="U340" s="24">
        <v>0</v>
      </c>
      <c r="V340" s="24">
        <v>1</v>
      </c>
    </row>
    <row r="341" spans="1:22" ht="21" customHeight="1" x14ac:dyDescent="0.15">
      <c r="A341" s="2" t="str">
        <f ca="1">input_498101!A$2</f>
        <v>498101</v>
      </c>
      <c r="B341" s="1">
        <v>1250</v>
      </c>
      <c r="C341" s="7" t="str">
        <f t="shared" si="15"/>
        <v>PremiumSS5R5only</v>
      </c>
      <c r="D341" s="89" t="str">
        <f t="shared" si="17"/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真田幸村</v>
      </c>
      <c r="I341" s="7" t="str">
        <f>VLOOKUP(B341,[1]characters!$A:$J,10,FALSE)</f>
        <v>PremiumSSw</v>
      </c>
      <c r="J341" s="7">
        <f>VLOOKUP(B341,[1]characters!$A:$I,9,FALSE)</f>
        <v>5</v>
      </c>
      <c r="K341" s="7" t="str">
        <f>VLOOKUP(B341,[1]characters!$A:$H,8,FALSE)</f>
        <v>yellow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38">
        <f ca="1">IFERROR(VLOOKUP(B341,input_498101!L:R,7,FALSE),VLOOKUP(tables_498101!C341,input_498101!A:H,8,FALSE))</f>
        <v>95484.210529999997</v>
      </c>
      <c r="P341" s="39">
        <f t="shared" ca="1" si="16"/>
        <v>8.326143227230878E-4</v>
      </c>
      <c r="Q341" s="24">
        <v>1</v>
      </c>
      <c r="R341" s="24">
        <v>0</v>
      </c>
      <c r="S341" s="24">
        <v>0</v>
      </c>
      <c r="T341" s="24">
        <v>0</v>
      </c>
      <c r="U341" s="24">
        <v>0</v>
      </c>
      <c r="V341" s="24">
        <v>1</v>
      </c>
    </row>
    <row r="342" spans="1:22" ht="21" customHeight="1" x14ac:dyDescent="0.15">
      <c r="A342" s="2" t="str">
        <f ca="1">input_498101!A$2</f>
        <v>498101</v>
      </c>
      <c r="B342" s="1">
        <v>1244</v>
      </c>
      <c r="C342" s="7" t="str">
        <f t="shared" si="15"/>
        <v>PremiumSS5R5only</v>
      </c>
      <c r="D342" s="89" t="str">
        <f t="shared" si="17"/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/>
      <c r="H342" s="7" t="str">
        <f>VLOOKUP(B342,[1]characters!$A:$C,3,FALSE)</f>
        <v>猿飛佐助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red</v>
      </c>
      <c r="L342" s="7" t="str">
        <f>VLOOKUP(B342,[1]characters!$A:$K,11,FALSE)</f>
        <v>attack</v>
      </c>
      <c r="M342" s="7" t="str">
        <f>VLOOKUP(B342,[1]characters!$A:$M,13,FALSE)</f>
        <v>human</v>
      </c>
      <c r="N342" s="7">
        <f>VLOOKUP(B342,[1]characters!$A:$G,7,FALSE)</f>
        <v>0</v>
      </c>
      <c r="O342" s="38">
        <f ca="1">IFERROR(VLOOKUP(B342,input_498101!L:R,7,FALSE),VLOOKUP(tables_498101!C342,input_498101!A:H,8,FALSE))</f>
        <v>95484.210529999997</v>
      </c>
      <c r="P342" s="39">
        <f t="shared" ca="1" si="16"/>
        <v>8.326143227230878E-4</v>
      </c>
      <c r="Q342" s="24">
        <v>1</v>
      </c>
      <c r="R342" s="24">
        <v>0</v>
      </c>
      <c r="S342" s="24">
        <v>0</v>
      </c>
      <c r="T342" s="24">
        <v>0</v>
      </c>
      <c r="U342" s="24">
        <v>0</v>
      </c>
      <c r="V342" s="24">
        <v>1</v>
      </c>
    </row>
    <row r="343" spans="1:22" ht="21" customHeight="1" x14ac:dyDescent="0.15">
      <c r="A343" s="2" t="str">
        <f ca="1">input_498101!A$2</f>
        <v>498101</v>
      </c>
      <c r="B343" s="1">
        <v>1246</v>
      </c>
      <c r="C343" s="7" t="str">
        <f t="shared" si="15"/>
        <v>PremiumSS5R5only</v>
      </c>
      <c r="D343" s="89" t="str">
        <f t="shared" si="17"/>
        <v>PremiumSS</v>
      </c>
      <c r="E343" s="7" t="str">
        <f>IF(COUNTIF('R6追加前'!A:A,B343)=0,IF(OR(I343="PremiumSS",I343="PremiumSSw"),"R5only","R3less"),"")</f>
        <v>R5only</v>
      </c>
      <c r="F343" s="7" t="str">
        <f>IF(COUNTIF('R6開放'!A:A,B343)&gt;0,"R6release","")</f>
        <v/>
      </c>
      <c r="G343" s="7"/>
      <c r="H343" s="7" t="str">
        <f>VLOOKUP(B343,[1]characters!$A:$C,3,FALSE)</f>
        <v>望月千代女</v>
      </c>
      <c r="I343" s="7" t="str">
        <f>VLOOKUP(B343,[1]characters!$A:$J,10,FALSE)</f>
        <v>PremiumSS</v>
      </c>
      <c r="J343" s="7">
        <f>VLOOKUP(B343,[1]characters!$A:$I,9,FALSE)</f>
        <v>5</v>
      </c>
      <c r="K343" s="7" t="str">
        <f>VLOOKUP(B343,[1]characters!$A:$H,8,FALSE)</f>
        <v>green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38">
        <f ca="1">IFERROR(VLOOKUP(B343,input_498101!L:R,7,FALSE),VLOOKUP(tables_498101!C343,input_498101!A:H,8,FALSE))</f>
        <v>95484.210529999997</v>
      </c>
      <c r="P343" s="39">
        <f t="shared" ca="1" si="16"/>
        <v>8.326143227230878E-4</v>
      </c>
      <c r="Q343" s="24">
        <v>1</v>
      </c>
      <c r="R343" s="24">
        <v>0</v>
      </c>
      <c r="S343" s="24">
        <v>0</v>
      </c>
      <c r="T343" s="24">
        <v>0</v>
      </c>
      <c r="U343" s="24">
        <v>0</v>
      </c>
      <c r="V343" s="24">
        <v>1</v>
      </c>
    </row>
    <row r="344" spans="1:22" ht="21" customHeight="1" x14ac:dyDescent="0.15">
      <c r="A344" s="2" t="str">
        <f ca="1">input_498101!A$2</f>
        <v>498101</v>
      </c>
      <c r="B344" s="1">
        <v>1248</v>
      </c>
      <c r="C344" s="7" t="str">
        <f t="shared" si="15"/>
        <v>Premium4R3less</v>
      </c>
      <c r="D344" s="89" t="str">
        <f t="shared" si="17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/>
      <c r="H344" s="7" t="str">
        <f>VLOOKUP(B344,[1]characters!$A:$C,3,FALSE)</f>
        <v>寧々</v>
      </c>
      <c r="I344" s="7" t="str">
        <f>VLOOKUP(B344,[1]characters!$A:$J,10,FALSE)</f>
        <v>PremiumS</v>
      </c>
      <c r="J344" s="7">
        <f>VLOOKUP(B344,[1]characters!$A:$I,9,FALSE)</f>
        <v>4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38">
        <f ca="1">IFERROR(VLOOKUP(B344,input_498101!L:R,7,FALSE),VLOOKUP(tables_498101!C344,input_498101!A:H,8,FALSE))</f>
        <v>1068177.7777799999</v>
      </c>
      <c r="P344" s="39">
        <f t="shared" ca="1" si="16"/>
        <v>9.3144208037905379E-3</v>
      </c>
      <c r="Q344" s="24">
        <v>1</v>
      </c>
      <c r="R344" s="24">
        <v>0</v>
      </c>
      <c r="S344" s="24">
        <v>0</v>
      </c>
      <c r="T344" s="24">
        <v>0</v>
      </c>
      <c r="U344" s="24">
        <v>0</v>
      </c>
      <c r="V344" s="24">
        <v>1</v>
      </c>
    </row>
    <row r="345" spans="1:22" ht="21" customHeight="1" x14ac:dyDescent="0.15">
      <c r="A345" s="2" t="str">
        <f ca="1">input_498101!A$2</f>
        <v>498101</v>
      </c>
      <c r="B345" s="1">
        <v>1249</v>
      </c>
      <c r="C345" s="7" t="str">
        <f t="shared" si="15"/>
        <v>Premium5R3less</v>
      </c>
      <c r="D345" s="89" t="str">
        <f t="shared" si="17"/>
        <v>Premium</v>
      </c>
      <c r="E345" s="7" t="str">
        <f>IF(COUNTIF('R6追加前'!A:A,B345)=0,IF(OR(I345="PremiumSS",I345="PremiumSSw"),"R5only","R3less"),"")</f>
        <v>R3less</v>
      </c>
      <c r="F345" s="7" t="str">
        <f>IF(COUNTIF('R6開放'!A:A,B345)&gt;0,"R6release","")</f>
        <v/>
      </c>
      <c r="G345" s="7"/>
      <c r="H345" s="7" t="str">
        <f>VLOOKUP(B345,[1]characters!$A:$C,3,FALSE)</f>
        <v>君臨する姐御様 寧々</v>
      </c>
      <c r="I345" s="7" t="str">
        <f>VLOOKUP(B345,[1]characters!$A:$J,10,FALSE)</f>
        <v>PremiumS</v>
      </c>
      <c r="J345" s="7">
        <f>VLOOKUP(B345,[1]characters!$A:$I,9,FALSE)</f>
        <v>5</v>
      </c>
      <c r="K345" s="7" t="str">
        <f>VLOOKUP(B345,[1]characters!$A:$H,8,FALSE)</f>
        <v>blue</v>
      </c>
      <c r="L345" s="7" t="str">
        <f>VLOOKUP(B345,[1]characters!$A:$K,11,FALSE)</f>
        <v>heal</v>
      </c>
      <c r="M345" s="7" t="str">
        <f>VLOOKUP(B345,[1]characters!$A:$M,13,FALSE)</f>
        <v>human</v>
      </c>
      <c r="N345" s="7">
        <f>VLOOKUP(B345,[1]characters!$A:$G,7,FALSE)</f>
        <v>0</v>
      </c>
      <c r="O345" s="38">
        <f ca="1">IFERROR(VLOOKUP(B345,input_498101!L:R,7,FALSE),VLOOKUP(tables_498101!C345,input_498101!A:H,8,FALSE))</f>
        <v>68116.666670000006</v>
      </c>
      <c r="P345" s="39">
        <f t="shared" ca="1" si="16"/>
        <v>5.9397163123401677E-4</v>
      </c>
      <c r="Q345" s="24">
        <v>1</v>
      </c>
      <c r="R345" s="24">
        <v>0</v>
      </c>
      <c r="S345" s="24">
        <v>0</v>
      </c>
      <c r="T345" s="24">
        <v>0</v>
      </c>
      <c r="U345" s="24">
        <v>0</v>
      </c>
      <c r="V345" s="24">
        <v>1</v>
      </c>
    </row>
    <row r="346" spans="1:22" ht="21" customHeight="1" x14ac:dyDescent="0.15">
      <c r="A346" s="2" t="str">
        <f ca="1">input_498101!A$2</f>
        <v>498101</v>
      </c>
      <c r="B346" s="1">
        <v>953</v>
      </c>
      <c r="C346" s="7" t="str">
        <f t="shared" si="15"/>
        <v>PremiumSSS5R3less</v>
      </c>
      <c r="D346" s="89" t="str">
        <f t="shared" si="17"/>
        <v>PremiumSSS</v>
      </c>
      <c r="E346" s="7" t="str">
        <f>IF(COUNTIF('R6追加前'!A:A,B346)=0,IF(OR(I346="PremiumSS",I346="PremiumSSw"),"R5only","R3less"),"")</f>
        <v>R3less</v>
      </c>
      <c r="F346" s="7" t="str">
        <f>IF(COUNTIF('R6開放'!A:A,B346)&gt;0,"R6release","")</f>
        <v/>
      </c>
      <c r="G346" s="7"/>
      <c r="H346" s="7" t="str">
        <f>VLOOKUP(B346,[1]characters!$A:$C,3,FALSE)</f>
        <v>ハイゼンベルク</v>
      </c>
      <c r="I346" s="7" t="str">
        <f>VLOOKUP(B346,[1]characters!$A:$J,10,FALSE)</f>
        <v>PremiumSSS</v>
      </c>
      <c r="J346" s="7">
        <f>VLOOKUP(B346,[1]characters!$A:$I,9,FALSE)</f>
        <v>5</v>
      </c>
      <c r="K346" s="7" t="str">
        <f>VLOOKUP(B346,[1]characters!$A:$H,8,FALSE)</f>
        <v>green</v>
      </c>
      <c r="L346" s="7" t="str">
        <f>VLOOKUP(B346,[1]characters!$A:$K,11,FALSE)</f>
        <v>attack</v>
      </c>
      <c r="M346" s="7" t="str">
        <f>VLOOKUP(B346,[1]characters!$A:$M,13,FALSE)</f>
        <v>academia</v>
      </c>
      <c r="N346" s="7" t="str">
        <f>VLOOKUP(B346,[1]characters!$A:$G,7,FALSE)</f>
        <v>男性</v>
      </c>
      <c r="O346" s="38">
        <f>IFERROR(VLOOKUP(B346,input_498101!L:R,7,FALSE),VLOOKUP(tables_498101!C346,input_498101!A:H,8,FALSE))</f>
        <v>229360</v>
      </c>
      <c r="P346" s="39">
        <f t="shared" ca="1" si="16"/>
        <v>1.9999999999975641E-3</v>
      </c>
      <c r="Q346" s="24">
        <v>1</v>
      </c>
      <c r="R346" s="24">
        <v>0</v>
      </c>
      <c r="S346" s="24">
        <v>0</v>
      </c>
      <c r="T346" s="24">
        <v>0</v>
      </c>
      <c r="U346" s="24">
        <v>0</v>
      </c>
      <c r="V346" s="24">
        <v>1</v>
      </c>
    </row>
    <row r="347" spans="1:22" ht="21" customHeight="1" x14ac:dyDescent="0.15">
      <c r="A347" s="2" t="str">
        <f ca="1">input_498101!A$2</f>
        <v>498101</v>
      </c>
      <c r="B347" s="1">
        <v>619</v>
      </c>
      <c r="C347" s="7" t="str">
        <f t="shared" si="15"/>
        <v>PremiumSSS4R3less</v>
      </c>
      <c r="D347" s="89" t="str">
        <f t="shared" si="17"/>
        <v>PremiumSSS</v>
      </c>
      <c r="E347" s="7" t="str">
        <f>IF(COUNTIF('R6追加前'!A:A,B347)=0,IF(OR(I347="PremiumSS",I347="PremiumSSw"),"R5only","R3less"),"")</f>
        <v>R3less</v>
      </c>
      <c r="F347" s="7" t="str">
        <f>IF(COUNTIF('R6開放'!A:A,B347)&gt;0,"R6release","")</f>
        <v/>
      </c>
      <c r="G347" s="7"/>
      <c r="H347" s="7" t="str">
        <f>VLOOKUP(B347,[1]characters!$A:$C,3,FALSE)</f>
        <v>メビウス</v>
      </c>
      <c r="I347" s="7" t="str">
        <f>VLOOKUP(B347,[1]characters!$A:$J,10,FALSE)</f>
        <v>PremiumSSS</v>
      </c>
      <c r="J347" s="7">
        <f>VLOOKUP(B347,[1]characters!$A:$I,9,FALSE)</f>
        <v>4</v>
      </c>
      <c r="K347" s="7" t="str">
        <f>VLOOKUP(B347,[1]characters!$A:$H,8,FALSE)</f>
        <v>blue</v>
      </c>
      <c r="L347" s="7" t="str">
        <f>VLOOKUP(B347,[1]characters!$A:$K,11,FALSE)</f>
        <v>balance</v>
      </c>
      <c r="M347" s="7" t="str">
        <f>VLOOKUP(B347,[1]characters!$A:$M,13,FALSE)</f>
        <v>human</v>
      </c>
      <c r="N347" s="7" t="str">
        <f>VLOOKUP(B347,[1]characters!$A:$G,7,FALSE)</f>
        <v>女性</v>
      </c>
      <c r="O347" s="38">
        <f>IFERROR(VLOOKUP(B347,input_498101!L:R,7,FALSE),VLOOKUP(tables_498101!C347,input_498101!A:H,8,FALSE))</f>
        <v>114680</v>
      </c>
      <c r="P347" s="39">
        <f t="shared" ca="1" si="16"/>
        <v>9.9999999999878203E-4</v>
      </c>
      <c r="Q347" s="24">
        <v>1</v>
      </c>
      <c r="R347" s="24">
        <v>0</v>
      </c>
      <c r="S347" s="24">
        <v>0</v>
      </c>
      <c r="T347" s="24">
        <v>0</v>
      </c>
      <c r="U347" s="24">
        <v>0</v>
      </c>
      <c r="V347" s="24">
        <v>1</v>
      </c>
    </row>
    <row r="348" spans="1:22" ht="21" customHeight="1" x14ac:dyDescent="0.15">
      <c r="A348" s="2" t="str">
        <f ca="1">input_498101!A$2</f>
        <v>498101</v>
      </c>
      <c r="B348" s="1">
        <v>620</v>
      </c>
      <c r="C348" s="7" t="str">
        <f t="shared" si="15"/>
        <v>PremiumSSS5R3less</v>
      </c>
      <c r="D348" s="89" t="str">
        <f t="shared" si="17"/>
        <v>PremiumSSS</v>
      </c>
      <c r="E348" s="7" t="str">
        <f>IF(COUNTIF('R6追加前'!A:A,B348)=0,IF(OR(I348="PremiumSS",I348="PremiumSSw"),"R5only","R3less"),"")</f>
        <v>R3less</v>
      </c>
      <c r="F348" s="7" t="str">
        <f>IF(COUNTIF('R6開放'!A:A,B348)&gt;0,"R6release","")</f>
        <v/>
      </c>
      <c r="G348" s="7"/>
      <c r="H348" s="7" t="str">
        <f>VLOOKUP(B348,[1]characters!$A:$C,3,FALSE)</f>
        <v>奇跡の調和 メビウス</v>
      </c>
      <c r="I348" s="7" t="str">
        <f>VLOOKUP(B348,[1]characters!$A:$J,10,FALSE)</f>
        <v>PremiumSSS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balance</v>
      </c>
      <c r="M348" s="7" t="str">
        <f>VLOOKUP(B348,[1]characters!$A:$M,13,FALSE)</f>
        <v>human</v>
      </c>
      <c r="N348" s="7" t="str">
        <f>VLOOKUP(B348,[1]characters!$A:$G,7,FALSE)</f>
        <v>女性</v>
      </c>
      <c r="O348" s="38">
        <f>IFERROR(VLOOKUP(B348,input_498101!L:R,7,FALSE),VLOOKUP(tables_498101!C348,input_498101!A:H,8,FALSE))</f>
        <v>114680</v>
      </c>
      <c r="P348" s="39">
        <f t="shared" ca="1" si="16"/>
        <v>9.9999999999878203E-4</v>
      </c>
      <c r="Q348" s="24">
        <v>1</v>
      </c>
      <c r="R348" s="24">
        <v>0</v>
      </c>
      <c r="S348" s="24">
        <v>0</v>
      </c>
      <c r="T348" s="24">
        <v>0</v>
      </c>
      <c r="U348" s="24">
        <v>0</v>
      </c>
      <c r="V348" s="24">
        <v>1</v>
      </c>
    </row>
    <row r="349" spans="1:22" ht="21" customHeight="1" x14ac:dyDescent="0.15">
      <c r="A349" s="2" t="str">
        <f ca="1">input_498101!A$2</f>
        <v>498101</v>
      </c>
      <c r="B349" s="1">
        <v>880</v>
      </c>
      <c r="C349" s="7" t="str">
        <f t="shared" si="15"/>
        <v>PremiumSSS5R3less</v>
      </c>
      <c r="D349" s="89" t="str">
        <f t="shared" si="17"/>
        <v>PremiumSSS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ハーシェル</v>
      </c>
      <c r="I349" s="7" t="str">
        <f>VLOOKUP(B349,[1]characters!$A:$J,10,FALSE)</f>
        <v>PremiumSSS</v>
      </c>
      <c r="J349" s="7">
        <f>VLOOKUP(B349,[1]characters!$A:$I,9,FALSE)</f>
        <v>5</v>
      </c>
      <c r="K349" s="7" t="str">
        <f>VLOOKUP(B349,[1]characters!$A:$H,8,FALSE)</f>
        <v>yellow</v>
      </c>
      <c r="L349" s="7" t="str">
        <f>VLOOKUP(B349,[1]characters!$A:$K,11,FALSE)</f>
        <v>heal</v>
      </c>
      <c r="M349" s="7" t="str">
        <f>VLOOKUP(B349,[1]characters!$A:$M,13,FALSE)</f>
        <v>academia</v>
      </c>
      <c r="N349" s="7" t="str">
        <f>VLOOKUP(B349,[1]characters!$A:$G,7,FALSE)</f>
        <v>男性</v>
      </c>
      <c r="O349" s="38">
        <f>IFERROR(VLOOKUP(B349,input_498101!L:R,7,FALSE),VLOOKUP(tables_498101!C349,input_498101!A:H,8,FALSE))</f>
        <v>229360</v>
      </c>
      <c r="P349" s="39">
        <f t="shared" ca="1" si="16"/>
        <v>1.9999999999975641E-3</v>
      </c>
      <c r="Q349" s="24">
        <v>1</v>
      </c>
      <c r="R349" s="24">
        <v>0</v>
      </c>
      <c r="S349" s="24">
        <v>0</v>
      </c>
      <c r="T349" s="24">
        <v>0</v>
      </c>
      <c r="U349" s="24">
        <v>0</v>
      </c>
      <c r="V349" s="24">
        <v>1</v>
      </c>
    </row>
    <row r="350" spans="1:22" ht="21" customHeight="1" x14ac:dyDescent="0.15">
      <c r="A350" s="2" t="str">
        <f ca="1">input_498101!A$2</f>
        <v>498101</v>
      </c>
      <c r="B350" s="1">
        <v>623</v>
      </c>
      <c r="C350" s="7" t="str">
        <f t="shared" si="15"/>
        <v>PremiumSSS5R3less</v>
      </c>
      <c r="D350" s="89" t="str">
        <f t="shared" si="17"/>
        <v>PremiumSSS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フェルマー</v>
      </c>
      <c r="I350" s="7" t="str">
        <f>VLOOKUP(B350,[1]characters!$A:$J,10,FALSE)</f>
        <v>PremiumSSS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attack</v>
      </c>
      <c r="M350" s="7" t="str">
        <f>VLOOKUP(B350,[1]characters!$A:$M,13,FALSE)</f>
        <v>academia</v>
      </c>
      <c r="N350" s="7" t="str">
        <f>VLOOKUP(B350,[1]characters!$A:$G,7,FALSE)</f>
        <v>女性</v>
      </c>
      <c r="O350" s="38">
        <f>IFERROR(VLOOKUP(B350,input_498101!L:R,7,FALSE),VLOOKUP(tables_498101!C350,input_498101!A:H,8,FALSE))</f>
        <v>229360</v>
      </c>
      <c r="P350" s="39">
        <f t="shared" ca="1" si="16"/>
        <v>1.9999999999975641E-3</v>
      </c>
      <c r="Q350" s="24">
        <v>1</v>
      </c>
      <c r="R350" s="24">
        <v>0</v>
      </c>
      <c r="S350" s="24">
        <v>0</v>
      </c>
      <c r="T350" s="24">
        <v>0</v>
      </c>
      <c r="U350" s="24">
        <v>0</v>
      </c>
      <c r="V350" s="24">
        <v>1</v>
      </c>
    </row>
    <row r="351" spans="1:22" ht="21" customHeight="1" x14ac:dyDescent="0.15">
      <c r="A351" s="2" t="str">
        <f ca="1">input_498101!A$2</f>
        <v>498101</v>
      </c>
      <c r="B351" s="53">
        <v>972</v>
      </c>
      <c r="C351" s="7" t="str">
        <f t="shared" si="15"/>
        <v>PremiumSSS5R3less</v>
      </c>
      <c r="D351" s="89" t="str">
        <f t="shared" si="17"/>
        <v>PremiumSSS</v>
      </c>
      <c r="E351" s="7" t="str">
        <f>IF(COUNTIF('R6追加前'!A:A,B351)=0,IF(OR(I351="PremiumSS",I351="PremiumSSw"),"R5only","R3less"),"")</f>
        <v>R3less</v>
      </c>
      <c r="F351" s="7" t="str">
        <f>IF(COUNTIF('R6開放'!A:A,B351)&gt;0,"R6release","")</f>
        <v/>
      </c>
      <c r="G351" s="7"/>
      <c r="H351" s="7" t="str">
        <f>VLOOKUP(B351,[1]characters!$A:$C,3,FALSE)</f>
        <v>コーシー</v>
      </c>
      <c r="I351" s="7" t="str">
        <f>VLOOKUP(B351,[1]characters!$A:$J,10,FALSE)</f>
        <v>PremiumSSS</v>
      </c>
      <c r="J351" s="7">
        <f>VLOOKUP(B351,[1]characters!$A:$I,9,FALSE)</f>
        <v>5</v>
      </c>
      <c r="K351" s="7" t="str">
        <f>VLOOKUP(B351,[1]characters!$A:$H,8,FALSE)</f>
        <v>red</v>
      </c>
      <c r="L351" s="7" t="str">
        <f>VLOOKUP(B351,[1]characters!$A:$K,11,FALSE)</f>
        <v>attack</v>
      </c>
      <c r="M351" s="7" t="str">
        <f>VLOOKUP(B351,[1]characters!$A:$M,13,FALSE)</f>
        <v>academia</v>
      </c>
      <c r="N351" s="7" t="str">
        <f>VLOOKUP(B351,[1]characters!$A:$G,7,FALSE)</f>
        <v>男性</v>
      </c>
      <c r="O351" s="38">
        <f>IFERROR(VLOOKUP(B351,input_498101!L:R,7,FALSE),VLOOKUP(tables_498101!C351,input_498101!A:H,8,FALSE))</f>
        <v>229360</v>
      </c>
      <c r="P351" s="39">
        <f t="shared" ca="1" si="16"/>
        <v>1.9999999999975641E-3</v>
      </c>
      <c r="Q351" s="24">
        <v>1</v>
      </c>
      <c r="R351" s="24">
        <v>0</v>
      </c>
      <c r="S351" s="24">
        <v>0</v>
      </c>
      <c r="T351" s="24">
        <v>0</v>
      </c>
      <c r="U351" s="24">
        <v>0</v>
      </c>
      <c r="V351" s="24">
        <v>1</v>
      </c>
    </row>
  </sheetData>
  <autoFilter ref="A1:V294"/>
  <phoneticPr fontId="16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>
    <tabColor theme="5"/>
  </sheetPr>
  <dimension ref="A1:V49"/>
  <sheetViews>
    <sheetView workbookViewId="0">
      <selection activeCell="I45" sqref="I45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1" t="s">
        <v>66</v>
      </c>
      <c r="B1" s="41"/>
      <c r="L1" s="31" t="s">
        <v>45</v>
      </c>
      <c r="M1" s="31"/>
      <c r="U1" t="s">
        <v>45</v>
      </c>
    </row>
    <row r="2" spans="1:22" x14ac:dyDescent="0.15">
      <c r="A2" t="str">
        <f ca="1">RIGHT(RIGHT(CELL("filename",A2),LEN(CELL("filename",A2))-FIND("]",CELL("filename",A2))),6)</f>
        <v>498104</v>
      </c>
      <c r="L2" s="26" t="s">
        <v>1</v>
      </c>
      <c r="M2" s="30" t="s">
        <v>49</v>
      </c>
      <c r="N2" s="26" t="s">
        <v>47</v>
      </c>
      <c r="O2" s="30" t="s">
        <v>50</v>
      </c>
      <c r="P2" s="30" t="s">
        <v>51</v>
      </c>
      <c r="Q2" s="30" t="s">
        <v>48</v>
      </c>
      <c r="R2" s="37" t="s">
        <v>57</v>
      </c>
      <c r="U2" s="26" t="s">
        <v>172</v>
      </c>
      <c r="V2" s="47">
        <f t="shared" ref="V2:V16" si="0">SUMIF(Q:Q,U2,N:N)</f>
        <v>0</v>
      </c>
    </row>
    <row r="3" spans="1:22" x14ac:dyDescent="0.15">
      <c r="H3" s="66" t="s">
        <v>193</v>
      </c>
      <c r="L3" s="1">
        <v>953</v>
      </c>
      <c r="M3" s="30" t="str">
        <f>VLOOKUP(L3,[1]characters!$A:$C,3,FALSE)</f>
        <v>ハイゼンベルク</v>
      </c>
      <c r="N3" s="95">
        <v>4.0000000000000001E-3</v>
      </c>
      <c r="O3" s="30">
        <f>VLOOKUP(L3,[1]characters!$A:$I,9,FALSE)</f>
        <v>5</v>
      </c>
      <c r="P3" s="30" t="str">
        <f>VLOOKUP(L3,[1]characters!$A:$J,10,FALSE)</f>
        <v>PremiumSSS</v>
      </c>
      <c r="Q3" s="30" t="str">
        <f>VLOOKUP(L3,tables_498104!B:C,2,FALSE)</f>
        <v>PremiumSSS5R3less</v>
      </c>
      <c r="R3" s="55">
        <f t="shared" ref="R3:R20" si="1">N3*A$36</f>
        <v>458720</v>
      </c>
      <c r="S3">
        <v>190</v>
      </c>
      <c r="U3" s="26" t="s">
        <v>173</v>
      </c>
      <c r="V3" s="47">
        <f t="shared" si="0"/>
        <v>0</v>
      </c>
    </row>
    <row r="4" spans="1:22" x14ac:dyDescent="0.15">
      <c r="A4" s="27" t="s">
        <v>37</v>
      </c>
      <c r="B4" s="27"/>
      <c r="D4" t="s">
        <v>182</v>
      </c>
      <c r="F4" t="s">
        <v>185</v>
      </c>
      <c r="H4" t="s">
        <v>191</v>
      </c>
      <c r="I4" t="s">
        <v>192</v>
      </c>
      <c r="L4" s="1">
        <v>619</v>
      </c>
      <c r="M4" s="30" t="str">
        <f>VLOOKUP(L4,[1]characters!$A:$C,3,FALSE)</f>
        <v>メビウス</v>
      </c>
      <c r="N4" s="95">
        <v>2E-3</v>
      </c>
      <c r="O4" s="30">
        <f>VLOOKUP(L4,[1]characters!$A:$I,9,FALSE)</f>
        <v>4</v>
      </c>
      <c r="P4" s="30" t="str">
        <f>VLOOKUP(L4,[1]characters!$A:$J,10,FALSE)</f>
        <v>PremiumSSS</v>
      </c>
      <c r="Q4" s="30" t="str">
        <f>VLOOKUP(L4,tables_498104!B:C,2,FALSE)</f>
        <v>PremiumSSS4R3less</v>
      </c>
      <c r="R4" s="55">
        <f t="shared" si="1"/>
        <v>229360</v>
      </c>
      <c r="S4">
        <v>191</v>
      </c>
      <c r="U4" s="26" t="s">
        <v>79</v>
      </c>
      <c r="V4" s="47">
        <f t="shared" si="0"/>
        <v>0</v>
      </c>
    </row>
    <row r="5" spans="1:22" x14ac:dyDescent="0.15">
      <c r="A5" s="26" t="s">
        <v>52</v>
      </c>
      <c r="B5" s="65">
        <v>0</v>
      </c>
      <c r="D5" t="s">
        <v>183</v>
      </c>
      <c r="E5" s="36">
        <f>(B11-H5)/(F5-I5)</f>
        <v>4.9180327868852459E-4</v>
      </c>
      <c r="F5">
        <f>(COUNTIF(tables_498104!C:C,input_498104!A28)+COUNTIF(tables_498104!C:C,input_498104!A29))</f>
        <v>66</v>
      </c>
      <c r="H5" s="77">
        <v>0.02</v>
      </c>
      <c r="I5" s="25">
        <v>5</v>
      </c>
      <c r="L5" s="1">
        <v>620</v>
      </c>
      <c r="M5" s="30" t="str">
        <f>VLOOKUP(L5,[1]characters!$A:$C,3,FALSE)</f>
        <v>奇跡の調和 メビウス</v>
      </c>
      <c r="N5" s="95">
        <v>2E-3</v>
      </c>
      <c r="O5" s="30">
        <f>VLOOKUP(L5,[1]characters!$A:$I,9,FALSE)</f>
        <v>5</v>
      </c>
      <c r="P5" s="30" t="str">
        <f>VLOOKUP(L5,[1]characters!$A:$J,10,FALSE)</f>
        <v>PremiumSSS</v>
      </c>
      <c r="Q5" s="30" t="str">
        <f>VLOOKUP(L5,tables_498104!B:C,2,FALSE)</f>
        <v>PremiumSSS5R3less</v>
      </c>
      <c r="R5" s="55">
        <f t="shared" si="1"/>
        <v>229360</v>
      </c>
      <c r="S5">
        <v>192</v>
      </c>
      <c r="U5" s="26" t="s">
        <v>80</v>
      </c>
      <c r="V5" s="47">
        <f t="shared" si="0"/>
        <v>0</v>
      </c>
    </row>
    <row r="6" spans="1:22" x14ac:dyDescent="0.15">
      <c r="A6" s="26" t="s">
        <v>53</v>
      </c>
      <c r="B6" s="65">
        <v>0.9</v>
      </c>
      <c r="D6" t="s">
        <v>184</v>
      </c>
      <c r="E6" s="69">
        <f>(B10-H6)/(F6-I6)</f>
        <v>1.0106382978723403E-2</v>
      </c>
      <c r="F6">
        <f>(COUNTIF(tables_498104!C:C,input_498104!A25)+COUNTIF(tables_498104!C:C,input_498104!A18)+COUNTIF(tables_498104!C:C,input_498104!A20)+COUNTIF(tables_498104!C:C,input_498104!A22))</f>
        <v>94</v>
      </c>
      <c r="H6" s="81">
        <v>0</v>
      </c>
      <c r="I6" s="25">
        <v>0</v>
      </c>
      <c r="L6" s="1">
        <v>880</v>
      </c>
      <c r="M6" s="30" t="str">
        <f>VLOOKUP(L6,[1]characters!$A:$C,3,FALSE)</f>
        <v>ハーシェル</v>
      </c>
      <c r="N6" s="95">
        <v>4.0000000000000001E-3</v>
      </c>
      <c r="O6" s="30">
        <f>VLOOKUP(L6,[1]characters!$A:$I,9,FALSE)</f>
        <v>5</v>
      </c>
      <c r="P6" s="30" t="str">
        <f>VLOOKUP(L6,[1]characters!$A:$J,10,FALSE)</f>
        <v>PremiumSSS</v>
      </c>
      <c r="Q6" s="30" t="str">
        <f>VLOOKUP(L6,tables_498104!B:C,2,FALSE)</f>
        <v>PremiumSSS5R3less</v>
      </c>
      <c r="R6" s="55">
        <f t="shared" si="1"/>
        <v>458720</v>
      </c>
      <c r="S6">
        <v>596</v>
      </c>
      <c r="U6" s="26" t="s">
        <v>81</v>
      </c>
      <c r="V6" s="47">
        <f t="shared" si="0"/>
        <v>0</v>
      </c>
    </row>
    <row r="7" spans="1:22" x14ac:dyDescent="0.15">
      <c r="A7" s="26" t="s">
        <v>54</v>
      </c>
      <c r="B7" s="65">
        <v>0.1</v>
      </c>
      <c r="L7" s="1">
        <v>623</v>
      </c>
      <c r="M7" s="30" t="str">
        <f>VLOOKUP(L7,[1]characters!$A:$C,3,FALSE)</f>
        <v>フェルマー</v>
      </c>
      <c r="N7" s="95">
        <v>4.0000000000000001E-3</v>
      </c>
      <c r="O7" s="30">
        <f>VLOOKUP(L7,[1]characters!$A:$I,9,FALSE)</f>
        <v>5</v>
      </c>
      <c r="P7" s="30" t="str">
        <f>VLOOKUP(L7,[1]characters!$A:$J,10,FALSE)</f>
        <v>PremiumSSS</v>
      </c>
      <c r="Q7" s="30" t="str">
        <f>VLOOKUP(L7,tables_498104!B:C,2,FALSE)</f>
        <v>PremiumSSS5R3less</v>
      </c>
      <c r="R7" s="55">
        <f t="shared" si="1"/>
        <v>458720</v>
      </c>
      <c r="S7">
        <v>597</v>
      </c>
      <c r="U7" s="26" t="s">
        <v>178</v>
      </c>
      <c r="V7" s="47">
        <f t="shared" si="0"/>
        <v>0</v>
      </c>
    </row>
    <row r="8" spans="1:22" x14ac:dyDescent="0.15">
      <c r="A8" s="50"/>
      <c r="B8" s="64"/>
      <c r="E8" s="69"/>
      <c r="L8" s="53">
        <v>972</v>
      </c>
      <c r="M8" s="30" t="str">
        <f>VLOOKUP(L8,[1]characters!$A:$C,3,FALSE)</f>
        <v>コーシー</v>
      </c>
      <c r="N8" s="95">
        <v>4.0000000000000001E-3</v>
      </c>
      <c r="O8" s="30">
        <f>VLOOKUP(L8,[1]characters!$A:$I,9,FALSE)</f>
        <v>5</v>
      </c>
      <c r="P8" s="30" t="str">
        <f>VLOOKUP(L8,[1]characters!$A:$J,10,FALSE)</f>
        <v>PremiumSSS</v>
      </c>
      <c r="Q8" s="30" t="str">
        <f>VLOOKUP(L8,tables_498104!B:C,2,FALSE)</f>
        <v>PremiumSSS5R3less</v>
      </c>
      <c r="R8" s="55">
        <f t="shared" si="1"/>
        <v>458720</v>
      </c>
      <c r="S8">
        <v>598</v>
      </c>
      <c r="U8" s="26" t="s">
        <v>179</v>
      </c>
      <c r="V8" s="47">
        <f t="shared" si="0"/>
        <v>0</v>
      </c>
    </row>
    <row r="9" spans="1:22" x14ac:dyDescent="0.15">
      <c r="A9" s="28" t="s">
        <v>38</v>
      </c>
      <c r="B9" s="28"/>
      <c r="L9" s="80"/>
      <c r="M9" s="30" t="e">
        <f>VLOOKUP(L9,[1]characters!$A:$C,3,FALSE)</f>
        <v>#N/A</v>
      </c>
      <c r="N9" s="56"/>
      <c r="O9" s="30" t="e">
        <f>VLOOKUP(L9,[1]characters!$A:$I,9,FALSE)</f>
        <v>#N/A</v>
      </c>
      <c r="P9" s="30" t="e">
        <f>VLOOKUP(L9,[1]characters!$A:$J,10,FALSE)</f>
        <v>#N/A</v>
      </c>
      <c r="Q9" s="30" t="e">
        <f>VLOOKUP(L9,tables_498104!B:C,2,FALSE)</f>
        <v>#N/A</v>
      </c>
      <c r="R9" s="55">
        <f t="shared" si="1"/>
        <v>0</v>
      </c>
      <c r="S9">
        <v>390</v>
      </c>
      <c r="U9" s="26" t="s">
        <v>175</v>
      </c>
      <c r="V9" s="47">
        <f t="shared" si="0"/>
        <v>0</v>
      </c>
    </row>
    <row r="10" spans="1:22" x14ac:dyDescent="0.15">
      <c r="A10" s="26" t="s">
        <v>78</v>
      </c>
      <c r="B10" s="65">
        <f>1-B11-B12</f>
        <v>0.95</v>
      </c>
      <c r="C10" t="s">
        <v>190</v>
      </c>
      <c r="L10" s="80"/>
      <c r="M10" s="30" t="e">
        <f>VLOOKUP(L10,[1]characters!$A:$C,3,FALSE)</f>
        <v>#N/A</v>
      </c>
      <c r="N10" s="56"/>
      <c r="O10" s="30" t="e">
        <f>VLOOKUP(L10,[1]characters!$A:$I,9,FALSE)</f>
        <v>#N/A</v>
      </c>
      <c r="P10" s="30" t="e">
        <f>VLOOKUP(L10,[1]characters!$A:$J,10,FALSE)</f>
        <v>#N/A</v>
      </c>
      <c r="Q10" s="30" t="e">
        <f>VLOOKUP(L10,tables_498104!B:C,2,FALSE)</f>
        <v>#N/A</v>
      </c>
      <c r="R10" s="55">
        <f t="shared" si="1"/>
        <v>0</v>
      </c>
      <c r="S10">
        <v>391</v>
      </c>
      <c r="U10" s="26" t="s">
        <v>176</v>
      </c>
      <c r="V10" s="47">
        <f t="shared" si="0"/>
        <v>0</v>
      </c>
    </row>
    <row r="11" spans="1:22" x14ac:dyDescent="0.15">
      <c r="A11" s="26" t="s">
        <v>40</v>
      </c>
      <c r="B11" s="70">
        <v>0.05</v>
      </c>
      <c r="C11" t="s">
        <v>223</v>
      </c>
      <c r="M11" s="30" t="e">
        <f>VLOOKUP(L11,[1]characters!$A:$C,3,FALSE)</f>
        <v>#N/A</v>
      </c>
      <c r="N11" s="56"/>
      <c r="O11" s="30" t="e">
        <f>VLOOKUP(L11,[1]characters!$A:$I,9,FALSE)</f>
        <v>#N/A</v>
      </c>
      <c r="P11" s="30" t="e">
        <f>VLOOKUP(L11,[1]characters!$A:$J,10,FALSE)</f>
        <v>#N/A</v>
      </c>
      <c r="Q11" s="30" t="e">
        <f>VLOOKUP(L11,tables_498104!B:C,2,FALSE)</f>
        <v>#N/A</v>
      </c>
      <c r="R11" s="55">
        <f t="shared" si="1"/>
        <v>0</v>
      </c>
      <c r="S11">
        <v>811</v>
      </c>
      <c r="U11" s="26" t="s">
        <v>177</v>
      </c>
      <c r="V11" s="47">
        <f t="shared" si="0"/>
        <v>0</v>
      </c>
    </row>
    <row r="12" spans="1:22" x14ac:dyDescent="0.15">
      <c r="A12" s="26" t="s">
        <v>39</v>
      </c>
      <c r="B12" s="65">
        <v>0</v>
      </c>
      <c r="M12" s="30" t="e">
        <f>VLOOKUP(L12,[1]characters!$A:$C,3,FALSE)</f>
        <v>#N/A</v>
      </c>
      <c r="N12" s="56"/>
      <c r="O12" s="30" t="e">
        <f>VLOOKUP(L12,[1]characters!$A:$I,9,FALSE)</f>
        <v>#N/A</v>
      </c>
      <c r="P12" s="30" t="e">
        <f>VLOOKUP(L12,[1]characters!$A:$J,10,FALSE)</f>
        <v>#N/A</v>
      </c>
      <c r="Q12" s="30" t="e">
        <f>VLOOKUP(L12,tables_498104!B:C,2,FALSE)</f>
        <v>#N/A</v>
      </c>
      <c r="R12" s="55">
        <f t="shared" si="1"/>
        <v>0</v>
      </c>
      <c r="S12">
        <v>496</v>
      </c>
      <c r="U12" s="26" t="s">
        <v>88</v>
      </c>
      <c r="V12" s="47">
        <f t="shared" si="0"/>
        <v>0</v>
      </c>
    </row>
    <row r="13" spans="1:22" x14ac:dyDescent="0.15">
      <c r="M13" s="30" t="e">
        <f>VLOOKUP(L13,[1]characters!$A:$C,3,FALSE)</f>
        <v>#N/A</v>
      </c>
      <c r="N13" s="56"/>
      <c r="O13" s="30" t="e">
        <f>VLOOKUP(L13,[1]characters!$A:$I,9,FALSE)</f>
        <v>#N/A</v>
      </c>
      <c r="P13" s="30" t="e">
        <f>VLOOKUP(L13,[1]characters!$A:$J,10,FALSE)</f>
        <v>#N/A</v>
      </c>
      <c r="Q13" s="30" t="e">
        <f>VLOOKUP(L13,tables_498104!B:C,2,FALSE)</f>
        <v>#N/A</v>
      </c>
      <c r="R13" s="55">
        <f t="shared" si="1"/>
        <v>0</v>
      </c>
      <c r="S13">
        <v>497</v>
      </c>
      <c r="U13" s="26" t="s">
        <v>89</v>
      </c>
      <c r="V13" s="47">
        <f t="shared" si="0"/>
        <v>0</v>
      </c>
    </row>
    <row r="14" spans="1:22" x14ac:dyDescent="0.15">
      <c r="M14" s="30" t="e">
        <f>VLOOKUP(L14,[1]characters!$A:$C,3,FALSE)</f>
        <v>#N/A</v>
      </c>
      <c r="N14" s="56"/>
      <c r="O14" s="30" t="e">
        <f>VLOOKUP(L14,[1]characters!$A:$I,9,FALSE)</f>
        <v>#N/A</v>
      </c>
      <c r="P14" s="30" t="e">
        <f>VLOOKUP(L14,[1]characters!$A:$J,10,FALSE)</f>
        <v>#N/A</v>
      </c>
      <c r="Q14" s="30" t="e">
        <f>VLOOKUP(L14,tables_498104!B:C,2,FALSE)</f>
        <v>#N/A</v>
      </c>
      <c r="R14" s="55">
        <f t="shared" si="1"/>
        <v>0</v>
      </c>
      <c r="S14">
        <v>498</v>
      </c>
      <c r="U14" s="26" t="s">
        <v>181</v>
      </c>
      <c r="V14" s="47">
        <f t="shared" si="0"/>
        <v>0</v>
      </c>
    </row>
    <row r="15" spans="1:22" x14ac:dyDescent="0.15">
      <c r="A15" s="29" t="s">
        <v>41</v>
      </c>
      <c r="B15" s="29"/>
      <c r="C15" t="s">
        <v>67</v>
      </c>
      <c r="M15" s="30" t="e">
        <f>VLOOKUP(L15,[1]characters!$A:$C,3,FALSE)</f>
        <v>#N/A</v>
      </c>
      <c r="N15" s="56"/>
      <c r="O15" s="30" t="e">
        <f>VLOOKUP(L15,[1]characters!$A:$I,9,FALSE)</f>
        <v>#N/A</v>
      </c>
      <c r="P15" s="30" t="e">
        <f>VLOOKUP(L15,[1]characters!$A:$J,10,FALSE)</f>
        <v>#N/A</v>
      </c>
      <c r="Q15" s="30" t="e">
        <f>VLOOKUP(L15,tables_498104!B:C,2,FALSE)</f>
        <v>#N/A</v>
      </c>
      <c r="R15" s="55">
        <f t="shared" si="1"/>
        <v>0</v>
      </c>
      <c r="S15">
        <v>395</v>
      </c>
      <c r="U15" s="26" t="s">
        <v>180</v>
      </c>
      <c r="V15" s="47">
        <f t="shared" si="0"/>
        <v>0</v>
      </c>
    </row>
    <row r="16" spans="1:22" x14ac:dyDescent="0.15">
      <c r="A16" s="26" t="s">
        <v>44</v>
      </c>
      <c r="B16" s="26" t="s">
        <v>174</v>
      </c>
      <c r="C16" s="30" t="s">
        <v>45</v>
      </c>
      <c r="D16" s="30" t="s">
        <v>46</v>
      </c>
      <c r="E16" t="s">
        <v>56</v>
      </c>
      <c r="F16" t="s">
        <v>55</v>
      </c>
      <c r="G16" t="s">
        <v>58</v>
      </c>
      <c r="H16" t="s">
        <v>194</v>
      </c>
      <c r="I16" t="s">
        <v>59</v>
      </c>
      <c r="J16" t="s">
        <v>61</v>
      </c>
      <c r="M16" s="30" t="e">
        <f>VLOOKUP(L16,[1]characters!$A:$C,3,FALSE)</f>
        <v>#N/A</v>
      </c>
      <c r="N16" s="56"/>
      <c r="O16" s="30" t="e">
        <f>VLOOKUP(L16,[1]characters!$A:$I,9,FALSE)</f>
        <v>#N/A</v>
      </c>
      <c r="P16" s="30" t="e">
        <f>VLOOKUP(L16,[1]characters!$A:$J,10,FALSE)</f>
        <v>#N/A</v>
      </c>
      <c r="Q16" s="30" t="e">
        <f>VLOOKUP(L16,tables_498104!B:C,2,FALSE)</f>
        <v>#N/A</v>
      </c>
      <c r="R16" s="55">
        <f t="shared" si="1"/>
        <v>0</v>
      </c>
      <c r="S16">
        <v>396</v>
      </c>
      <c r="U16" s="26" t="s">
        <v>90</v>
      </c>
      <c r="V16" s="47">
        <f t="shared" si="0"/>
        <v>0</v>
      </c>
    </row>
    <row r="17" spans="1:19" x14ac:dyDescent="0.15">
      <c r="A17" s="26" t="s">
        <v>172</v>
      </c>
      <c r="B17" s="75">
        <f>B$5-B19-B24</f>
        <v>0</v>
      </c>
      <c r="C17" s="78">
        <f t="shared" ref="C17:C31" si="2">SUMIF(Q:Q,A17,N:N)</f>
        <v>0</v>
      </c>
      <c r="D17" s="67">
        <f t="shared" ref="D17:D32" si="3">B17-C17</f>
        <v>0</v>
      </c>
      <c r="E17">
        <f>COUNTIF(tables_498104!C:C,input_498104!A17)-COUNTIF(Q:Q,A17)</f>
        <v>20</v>
      </c>
      <c r="F17" s="36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0" t="e">
        <f>VLOOKUP(L17,[1]characters!$A:$C,3,FALSE)</f>
        <v>#N/A</v>
      </c>
      <c r="N17" s="56"/>
      <c r="O17" s="30" t="e">
        <f>VLOOKUP(L17,[1]characters!$A:$I,9,FALSE)</f>
        <v>#N/A</v>
      </c>
      <c r="P17" s="30" t="e">
        <f>VLOOKUP(L17,[1]characters!$A:$J,10,FALSE)</f>
        <v>#N/A</v>
      </c>
      <c r="Q17" s="30" t="e">
        <f>VLOOKUP(L17,tables_498104!B:C,2,FALSE)</f>
        <v>#N/A</v>
      </c>
      <c r="R17" s="55">
        <f t="shared" si="1"/>
        <v>0</v>
      </c>
      <c r="S17">
        <v>397</v>
      </c>
    </row>
    <row r="18" spans="1:19" x14ac:dyDescent="0.15">
      <c r="A18" s="26" t="s">
        <v>173</v>
      </c>
      <c r="B18" s="49">
        <f>E$6*E18-B17+E34+0.02</f>
        <v>0.23858528078025926</v>
      </c>
      <c r="C18" s="78">
        <f t="shared" si="2"/>
        <v>0</v>
      </c>
      <c r="D18" s="67">
        <f t="shared" si="3"/>
        <v>0.23858528078025926</v>
      </c>
      <c r="E18">
        <f>COUNTIF(tables_498104!C:C,input_498104!A18)-COUNTIF(Q:Q,A18)</f>
        <v>20</v>
      </c>
      <c r="F18" s="36">
        <f>IFERROR(B18/E18,0)</f>
        <v>1.1929264039012963E-2</v>
      </c>
      <c r="G18">
        <f t="shared" si="4"/>
        <v>27360959.999880131</v>
      </c>
      <c r="H18">
        <f t="shared" si="5"/>
        <v>1368047.9999899999</v>
      </c>
      <c r="I18">
        <f t="shared" si="6"/>
        <v>0.99998999992385507</v>
      </c>
      <c r="J18">
        <f t="shared" si="7"/>
        <v>1.0000100001761474</v>
      </c>
      <c r="M18" s="30" t="e">
        <f>VLOOKUP(L18,[1]characters!$A:$C,3,FALSE)</f>
        <v>#N/A</v>
      </c>
      <c r="N18" s="56"/>
      <c r="O18" s="30" t="e">
        <f>VLOOKUP(L18,[1]characters!$A:$I,9,FALSE)</f>
        <v>#N/A</v>
      </c>
      <c r="P18" s="30" t="e">
        <f>VLOOKUP(L18,[1]characters!$A:$J,10,FALSE)</f>
        <v>#N/A</v>
      </c>
      <c r="Q18" s="30" t="e">
        <f>VLOOKUP(L18,tables_498104!B:C,2,FALSE)</f>
        <v>#N/A</v>
      </c>
      <c r="R18" s="55">
        <f t="shared" si="1"/>
        <v>0</v>
      </c>
      <c r="S18">
        <v>324</v>
      </c>
    </row>
    <row r="19" spans="1:19" x14ac:dyDescent="0.15">
      <c r="A19" s="26" t="s">
        <v>79</v>
      </c>
      <c r="B19" s="49">
        <f>E$6*E19*B$5</f>
        <v>0</v>
      </c>
      <c r="C19" s="78">
        <f t="shared" si="2"/>
        <v>0</v>
      </c>
      <c r="D19" s="67">
        <f t="shared" si="3"/>
        <v>0</v>
      </c>
      <c r="E19">
        <f>COUNTIF(tables_498104!C:C,input_498104!A19)-COUNTIF(Q:Q,A19)</f>
        <v>52</v>
      </c>
      <c r="F19" s="36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0" t="e">
        <f>VLOOKUP(L19,[1]characters!$A:$C,3,FALSE)</f>
        <v>#N/A</v>
      </c>
      <c r="N19" s="56"/>
      <c r="O19" s="30" t="e">
        <f>VLOOKUP(L19,[1]characters!$A:$I,9,FALSE)</f>
        <v>#N/A</v>
      </c>
      <c r="P19" s="30" t="e">
        <f>VLOOKUP(L19,[1]characters!$A:$J,10,FALSE)</f>
        <v>#N/A</v>
      </c>
      <c r="Q19" s="30" t="e">
        <f>VLOOKUP(L19,tables_498104!B:C,2,FALSE)</f>
        <v>#N/A</v>
      </c>
      <c r="R19" s="55">
        <f t="shared" si="1"/>
        <v>0</v>
      </c>
      <c r="S19">
        <v>325</v>
      </c>
    </row>
    <row r="20" spans="1:19" x14ac:dyDescent="0.15">
      <c r="A20" s="26" t="s">
        <v>80</v>
      </c>
      <c r="B20" s="85">
        <f>E$6*E20*B$6-0.03</f>
        <v>0.44297872340425526</v>
      </c>
      <c r="C20" s="78">
        <f t="shared" si="2"/>
        <v>0</v>
      </c>
      <c r="D20" s="67">
        <f t="shared" si="3"/>
        <v>0.44297872340425526</v>
      </c>
      <c r="E20">
        <f>COUNTIF(tables_498104!C:C,input_498104!A20)-COUNTIF(Q:Q,A20)</f>
        <v>52</v>
      </c>
      <c r="F20" s="36">
        <f t="shared" si="8"/>
        <v>8.5188216039279851E-3</v>
      </c>
      <c r="G20">
        <f t="shared" si="4"/>
        <v>50800799.999999993</v>
      </c>
      <c r="H20">
        <f t="shared" si="5"/>
        <v>976938.46154000005</v>
      </c>
      <c r="I20">
        <f t="shared" si="6"/>
        <v>0.4615400000475347</v>
      </c>
      <c r="J20">
        <f t="shared" si="7"/>
        <v>2.1666594442453708</v>
      </c>
      <c r="M20" s="30" t="e">
        <f>VLOOKUP(L20,[1]characters!$A:$C,3,FALSE)</f>
        <v>#N/A</v>
      </c>
      <c r="N20" s="56"/>
      <c r="O20" s="30" t="e">
        <f>VLOOKUP(L20,[1]characters!$A:$I,9,FALSE)</f>
        <v>#N/A</v>
      </c>
      <c r="P20" s="30" t="e">
        <f>VLOOKUP(L20,[1]characters!$A:$J,10,FALSE)</f>
        <v>#N/A</v>
      </c>
      <c r="Q20" s="30" t="e">
        <f>VLOOKUP(L20,tables_498104!B:C,2,FALSE)</f>
        <v>#N/A</v>
      </c>
      <c r="R20" s="55">
        <f t="shared" si="1"/>
        <v>0</v>
      </c>
      <c r="S20">
        <v>809</v>
      </c>
    </row>
    <row r="21" spans="1:19" x14ac:dyDescent="0.15">
      <c r="A21" s="26" t="s">
        <v>81</v>
      </c>
      <c r="B21" s="49">
        <f>B7-B23-B26-B28-B29-E35</f>
        <v>2.6095570280337481E-2</v>
      </c>
      <c r="C21" s="78">
        <f t="shared" si="2"/>
        <v>0</v>
      </c>
      <c r="D21" s="67">
        <f t="shared" si="3"/>
        <v>2.6095570280337481E-2</v>
      </c>
      <c r="E21">
        <f>COUNTIF(tables_498104!C:C,input_498104!A21)-COUNTIF(Q:Q,A21)</f>
        <v>52</v>
      </c>
      <c r="F21" s="36">
        <f t="shared" si="8"/>
        <v>5.0183789000649004E-4</v>
      </c>
      <c r="G21">
        <f t="shared" si="4"/>
        <v>2992639.9997491022</v>
      </c>
      <c r="H21">
        <f t="shared" si="5"/>
        <v>57550.769229999998</v>
      </c>
      <c r="I21">
        <f t="shared" si="6"/>
        <v>0.76922999999806052</v>
      </c>
      <c r="J21">
        <f t="shared" si="7"/>
        <v>1.3000013000045778</v>
      </c>
      <c r="L21" s="50"/>
      <c r="M21" s="50"/>
      <c r="N21" s="51"/>
      <c r="O21" s="50"/>
      <c r="P21" s="50"/>
      <c r="Q21" s="50"/>
      <c r="R21" s="52"/>
    </row>
    <row r="22" spans="1:19" x14ac:dyDescent="0.15">
      <c r="A22" s="26" t="s">
        <v>178</v>
      </c>
      <c r="B22" s="68">
        <f>E$6*E22-B23-E36</f>
        <v>0.1676595744680851</v>
      </c>
      <c r="C22" s="78">
        <f t="shared" si="2"/>
        <v>0</v>
      </c>
      <c r="D22" s="67">
        <f t="shared" si="3"/>
        <v>0.1676595744680851</v>
      </c>
      <c r="E22">
        <f>COUNTIF(tables_498104!C:C,input_498104!A22)-COUNTIF(Q:Q,A22)</f>
        <v>18</v>
      </c>
      <c r="F22" s="36">
        <f t="shared" si="8"/>
        <v>9.3144208037825062E-3</v>
      </c>
      <c r="G22">
        <f t="shared" si="4"/>
        <v>19227200</v>
      </c>
      <c r="H22">
        <f t="shared" si="5"/>
        <v>1068177.7777799999</v>
      </c>
      <c r="I22">
        <f t="shared" si="6"/>
        <v>0.77777999988757074</v>
      </c>
      <c r="J22">
        <f t="shared" si="7"/>
        <v>1.285710612441245</v>
      </c>
      <c r="L22" s="50"/>
      <c r="M22" s="50"/>
      <c r="N22" s="51"/>
      <c r="O22" s="50"/>
      <c r="P22" s="50"/>
      <c r="Q22" s="50"/>
      <c r="R22" s="52"/>
    </row>
    <row r="23" spans="1:19" x14ac:dyDescent="0.15">
      <c r="A23" s="26" t="s">
        <v>179</v>
      </c>
      <c r="B23" s="63">
        <f>E23*E6*B7-0.01</f>
        <v>1.4255319148936166E-2</v>
      </c>
      <c r="C23" s="78">
        <f t="shared" si="2"/>
        <v>0</v>
      </c>
      <c r="D23" s="67">
        <f t="shared" si="3"/>
        <v>1.4255319148936166E-2</v>
      </c>
      <c r="E23">
        <f>COUNTIF(tables_498104!C:C,input_498104!A23)-COUNTIF(Q:Q,A23)</f>
        <v>24</v>
      </c>
      <c r="F23" s="36">
        <f t="shared" si="8"/>
        <v>5.9397163120567355E-4</v>
      </c>
      <c r="G23">
        <f t="shared" si="4"/>
        <v>1634799.9999999995</v>
      </c>
      <c r="H23">
        <f t="shared" si="5"/>
        <v>68116.666670000006</v>
      </c>
      <c r="I23">
        <f t="shared" si="6"/>
        <v>0.66667000000597909</v>
      </c>
      <c r="J23">
        <f t="shared" si="7"/>
        <v>1.499992500024047</v>
      </c>
      <c r="L23" s="50"/>
      <c r="M23" s="50"/>
      <c r="N23" s="51"/>
      <c r="O23" s="50"/>
      <c r="P23" s="50"/>
      <c r="Q23" s="50"/>
      <c r="R23" s="52"/>
    </row>
    <row r="24" spans="1:19" x14ac:dyDescent="0.15">
      <c r="A24" s="26" t="s">
        <v>175</v>
      </c>
      <c r="B24" s="49">
        <f>E$6*E24*B$5</f>
        <v>0</v>
      </c>
      <c r="C24" s="78">
        <f t="shared" si="2"/>
        <v>0</v>
      </c>
      <c r="D24" s="67">
        <f t="shared" si="3"/>
        <v>0</v>
      </c>
      <c r="E24">
        <f>COUNTIF(tables_498104!C:C,input_498104!A24)-COUNTIF(Q:Q,A24)</f>
        <v>4</v>
      </c>
      <c r="F24" s="36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0"/>
      <c r="M24" s="50"/>
      <c r="N24" s="51"/>
      <c r="O24" s="50"/>
      <c r="P24" s="50"/>
      <c r="Q24" s="50"/>
      <c r="R24" s="52"/>
    </row>
    <row r="25" spans="1:19" x14ac:dyDescent="0.15">
      <c r="A25" s="26" t="s">
        <v>176</v>
      </c>
      <c r="B25" s="49">
        <f>E$6*B$6*E25</f>
        <v>3.638297872340425E-2</v>
      </c>
      <c r="C25" s="78">
        <f t="shared" si="2"/>
        <v>0</v>
      </c>
      <c r="D25" s="67">
        <f t="shared" si="3"/>
        <v>3.638297872340425E-2</v>
      </c>
      <c r="E25">
        <f>COUNTIF(tables_498104!C:C,input_498104!A25)-COUNTIF(Q:Q,A25)</f>
        <v>4</v>
      </c>
      <c r="F25" s="36">
        <f t="shared" si="8"/>
        <v>9.0957446808510624E-3</v>
      </c>
      <c r="G25">
        <f t="shared" si="4"/>
        <v>4172399.9999999995</v>
      </c>
      <c r="H25">
        <f t="shared" si="5"/>
        <v>1043100</v>
      </c>
      <c r="I25">
        <f t="shared" si="6"/>
        <v>0</v>
      </c>
      <c r="J25">
        <f t="shared" si="7"/>
        <v>1</v>
      </c>
      <c r="L25" s="50"/>
      <c r="M25" s="50"/>
      <c r="N25" s="51"/>
      <c r="O25" s="50"/>
      <c r="P25" s="50"/>
      <c r="Q25" s="50"/>
      <c r="R25" s="52"/>
    </row>
    <row r="26" spans="1:19" x14ac:dyDescent="0.15">
      <c r="A26" s="26" t="s">
        <v>177</v>
      </c>
      <c r="B26" s="49">
        <f>E$6*B$7*E26</f>
        <v>4.0425531914893616E-3</v>
      </c>
      <c r="C26" s="78">
        <f t="shared" si="2"/>
        <v>0</v>
      </c>
      <c r="D26" s="67">
        <f t="shared" si="3"/>
        <v>4.0425531914893616E-3</v>
      </c>
      <c r="E26">
        <f>COUNTIF(tables_498104!C:C,input_498104!A26)-COUNTIF(Q:Q,A26)</f>
        <v>4</v>
      </c>
      <c r="F26" s="36">
        <f t="shared" si="8"/>
        <v>1.0106382978723404E-3</v>
      </c>
      <c r="G26">
        <f t="shared" si="4"/>
        <v>463600</v>
      </c>
      <c r="H26">
        <f t="shared" si="5"/>
        <v>115900</v>
      </c>
      <c r="I26">
        <f t="shared" si="6"/>
        <v>0</v>
      </c>
      <c r="J26">
        <f t="shared" si="7"/>
        <v>1</v>
      </c>
      <c r="L26" s="50"/>
      <c r="M26" s="50"/>
      <c r="N26" s="51"/>
      <c r="O26" s="50"/>
      <c r="P26" s="50"/>
      <c r="Q26" s="50"/>
      <c r="R26" s="52"/>
    </row>
    <row r="27" spans="1:19" x14ac:dyDescent="0.15">
      <c r="A27" s="26" t="s">
        <v>88</v>
      </c>
      <c r="B27" s="49">
        <f>E$5*E27*(B$5+B$6)</f>
        <v>1.239344262295082E-2</v>
      </c>
      <c r="C27" s="78">
        <f t="shared" si="2"/>
        <v>0</v>
      </c>
      <c r="D27" s="67">
        <f t="shared" si="3"/>
        <v>1.239344262295082E-2</v>
      </c>
      <c r="E27">
        <f>COUNTIF(tables_498104!C:C,input_498104!A27)-COUNTIF(Q:Q,A27)</f>
        <v>28</v>
      </c>
      <c r="F27" s="36">
        <f>IFERROR(B27/E27,0)</f>
        <v>4.4262295081967217E-4</v>
      </c>
      <c r="G27">
        <f t="shared" si="4"/>
        <v>1421280</v>
      </c>
      <c r="H27">
        <f t="shared" si="5"/>
        <v>50760</v>
      </c>
      <c r="I27">
        <f t="shared" si="6"/>
        <v>0</v>
      </c>
      <c r="J27">
        <f t="shared" si="7"/>
        <v>1</v>
      </c>
      <c r="L27" s="50"/>
      <c r="M27" s="50"/>
      <c r="N27" s="51"/>
      <c r="O27" s="50"/>
      <c r="P27" s="50"/>
      <c r="Q27" s="50"/>
      <c r="R27" s="52"/>
    </row>
    <row r="28" spans="1:19" x14ac:dyDescent="0.15">
      <c r="A28" s="26" t="s">
        <v>89</v>
      </c>
      <c r="B28" s="49">
        <f>E$5*E28*B$7</f>
        <v>1.3770491803278689E-3</v>
      </c>
      <c r="C28" s="78">
        <f t="shared" si="2"/>
        <v>0</v>
      </c>
      <c r="D28" s="67">
        <f t="shared" si="3"/>
        <v>1.3770491803278689E-3</v>
      </c>
      <c r="E28">
        <f>COUNTIF(tables_498104!C:C,input_498104!A28)-COUNTIF(Q:Q,A28)</f>
        <v>28</v>
      </c>
      <c r="F28" s="36">
        <f t="shared" si="8"/>
        <v>4.9180327868852463E-5</v>
      </c>
      <c r="G28">
        <f t="shared" si="4"/>
        <v>157920</v>
      </c>
      <c r="H28">
        <f t="shared" si="5"/>
        <v>5640</v>
      </c>
      <c r="I28">
        <f t="shared" si="6"/>
        <v>0</v>
      </c>
      <c r="J28">
        <f t="shared" si="7"/>
        <v>1</v>
      </c>
      <c r="L28" s="50"/>
      <c r="M28" s="50"/>
      <c r="N28" s="51"/>
      <c r="O28" s="50"/>
      <c r="P28" s="50"/>
      <c r="Q28" s="50"/>
      <c r="R28" s="52"/>
    </row>
    <row r="29" spans="1:19" x14ac:dyDescent="0.15">
      <c r="A29" s="26" t="s">
        <v>181</v>
      </c>
      <c r="B29" s="49">
        <f>E$5*E29+G49</f>
        <v>3.6229508196641967E-2</v>
      </c>
      <c r="C29" s="78">
        <f t="shared" si="2"/>
        <v>0</v>
      </c>
      <c r="D29" s="67">
        <f t="shared" si="3"/>
        <v>3.6229508196641967E-2</v>
      </c>
      <c r="E29">
        <f>COUNTIF(tables_498104!C:C,input_498104!A29)-COUNTIF(Q:Q,A29)</f>
        <v>38</v>
      </c>
      <c r="F29" s="36">
        <f t="shared" si="8"/>
        <v>9.5340811043794654E-4</v>
      </c>
      <c r="G29">
        <f t="shared" si="4"/>
        <v>4154799.999990901</v>
      </c>
      <c r="H29">
        <f t="shared" si="5"/>
        <v>109336.84211</v>
      </c>
      <c r="I29">
        <f t="shared" si="6"/>
        <v>0.84210999999777414</v>
      </c>
      <c r="J29">
        <f t="shared" si="7"/>
        <v>1.1874933203532119</v>
      </c>
      <c r="L29" s="50"/>
      <c r="M29" s="50"/>
      <c r="N29" s="51"/>
      <c r="O29" s="50"/>
      <c r="P29" s="50"/>
      <c r="Q29" s="50"/>
      <c r="R29" s="52"/>
    </row>
    <row r="30" spans="1:19" x14ac:dyDescent="0.15">
      <c r="A30" s="26" t="s">
        <v>221</v>
      </c>
      <c r="B30" s="49">
        <f>0</f>
        <v>0</v>
      </c>
      <c r="C30" s="78">
        <f t="shared" si="2"/>
        <v>2E-3</v>
      </c>
      <c r="D30" s="67">
        <f t="shared" si="3"/>
        <v>-2E-3</v>
      </c>
      <c r="E30">
        <f>COUNTIF(tables_498104!C:C,input_498104!A30)-COUNTIF(Q:Q,A30)</f>
        <v>0</v>
      </c>
      <c r="F30" s="36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0"/>
      <c r="M30" s="50"/>
      <c r="N30" s="51"/>
      <c r="O30" s="50"/>
      <c r="P30" s="50"/>
      <c r="Q30" s="50"/>
      <c r="R30" s="52"/>
    </row>
    <row r="31" spans="1:19" x14ac:dyDescent="0.15">
      <c r="A31" s="26" t="s">
        <v>222</v>
      </c>
      <c r="B31" s="49">
        <v>0</v>
      </c>
      <c r="C31" s="78">
        <f t="shared" si="2"/>
        <v>1.8000000000000002E-2</v>
      </c>
      <c r="D31" s="67">
        <f t="shared" si="3"/>
        <v>-1.8000000000000002E-2</v>
      </c>
      <c r="E31">
        <f>COUNTIF(tables_498104!C:C,input_498104!A31)-COUNTIF(Q:Q,A31)</f>
        <v>0</v>
      </c>
      <c r="F31" s="36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0"/>
      <c r="M31" s="50"/>
      <c r="N31" s="51"/>
      <c r="O31" s="50"/>
      <c r="P31" s="50"/>
      <c r="Q31" s="50"/>
      <c r="R31" s="52"/>
    </row>
    <row r="32" spans="1:19" x14ac:dyDescent="0.15">
      <c r="A32" s="32" t="s">
        <v>43</v>
      </c>
      <c r="B32" s="33">
        <f>SUM(B17:B31)</f>
        <v>0.97999999999668763</v>
      </c>
      <c r="C32" s="34">
        <f>SUM(C19:C31)</f>
        <v>2.0000000000000004E-2</v>
      </c>
      <c r="D32" s="35">
        <f t="shared" si="3"/>
        <v>0.95999999999668761</v>
      </c>
      <c r="L32" s="50"/>
      <c r="M32" s="50"/>
      <c r="N32" s="50"/>
      <c r="O32" s="50"/>
      <c r="P32" s="50"/>
      <c r="Q32" s="50"/>
      <c r="R32" s="52"/>
    </row>
    <row r="34" spans="1:7" x14ac:dyDescent="0.15">
      <c r="E34" s="48">
        <v>1.6457621205791195E-2</v>
      </c>
      <c r="F34" s="48">
        <f ca="1">0.9-G41</f>
        <v>6.9866334939661101E-13</v>
      </c>
    </row>
    <row r="35" spans="1:7" x14ac:dyDescent="0.15">
      <c r="A35" t="s">
        <v>57</v>
      </c>
      <c r="E35">
        <v>1.8000000002267161E-2</v>
      </c>
      <c r="F35">
        <f ca="1">G42-0.1</f>
        <v>1.9183821198254236E-12</v>
      </c>
    </row>
    <row r="36" spans="1:7" x14ac:dyDescent="0.15">
      <c r="A36" s="25">
        <f>LCM(F5-I5,F6-I6)*1000*2*2*5</f>
        <v>114680000</v>
      </c>
    </row>
    <row r="38" spans="1:7" x14ac:dyDescent="0.15">
      <c r="A38" s="40" t="s">
        <v>60</v>
      </c>
    </row>
    <row r="39" spans="1:7" x14ac:dyDescent="0.15">
      <c r="A39" s="26" t="s">
        <v>44</v>
      </c>
      <c r="B39" t="s">
        <v>58</v>
      </c>
      <c r="C39" t="s">
        <v>82</v>
      </c>
      <c r="E39" t="s">
        <v>83</v>
      </c>
      <c r="F39" t="s">
        <v>2</v>
      </c>
      <c r="G39" t="s">
        <v>47</v>
      </c>
    </row>
    <row r="40" spans="1:7" x14ac:dyDescent="0.15">
      <c r="A40" s="26" t="s">
        <v>85</v>
      </c>
      <c r="B40">
        <f ca="1">SUMIF(tables_498104!C:C,input_498104!A40,tables_498104!O:O)</f>
        <v>0</v>
      </c>
      <c r="C40" s="47">
        <f t="shared" ref="C40:C46" ca="1" si="9">B40/B$47</f>
        <v>0</v>
      </c>
      <c r="E40">
        <v>3</v>
      </c>
      <c r="F40">
        <f ca="1">SUMIF(tables_498104!J:J,input_498104!E40,tables_498104!O:O)</f>
        <v>0</v>
      </c>
      <c r="G40">
        <f ca="1">F40/A36</f>
        <v>0</v>
      </c>
    </row>
    <row r="41" spans="1:7" x14ac:dyDescent="0.15">
      <c r="A41" s="26" t="s">
        <v>86</v>
      </c>
      <c r="B41">
        <f ca="1">SUMIF(tables_498104!C:C,input_498104!A41,tables_498104!O:O)</f>
        <v>50800800.00007996</v>
      </c>
      <c r="C41" s="47">
        <f t="shared" ca="1" si="9"/>
        <v>0.91743503650978708</v>
      </c>
      <c r="E41">
        <v>4</v>
      </c>
      <c r="F41">
        <f ca="1">SUMIF(tables_498104!J:J,input_498104!E41,tables_498104!O:O)</f>
        <v>103211999.99991988</v>
      </c>
      <c r="G41">
        <f ca="1">F41/A36</f>
        <v>0.89999999999930136</v>
      </c>
    </row>
    <row r="42" spans="1:7" x14ac:dyDescent="0.15">
      <c r="A42" s="26" t="s">
        <v>88</v>
      </c>
      <c r="B42">
        <f ca="1">SUMIF(tables_498104!C:C,input_498104!A42,tables_498104!O:O)</f>
        <v>1421280</v>
      </c>
      <c r="C42" s="47">
        <f t="shared" ca="1" si="9"/>
        <v>2.5667549894658703E-2</v>
      </c>
      <c r="E42">
        <v>5</v>
      </c>
      <c r="F42">
        <f ca="1">SUMIF(tables_498104!J:J,input_498104!E42,tables_498104!O:O)</f>
        <v>11468000.000220001</v>
      </c>
      <c r="G42">
        <f ca="1">F42/A36</f>
        <v>0.10000000000191839</v>
      </c>
    </row>
    <row r="43" spans="1:7" x14ac:dyDescent="0.15">
      <c r="A43" s="26" t="s">
        <v>91</v>
      </c>
      <c r="B43">
        <f>SUMIF(tables_498104!C:C,input_498104!A43,tables_498104!O:O)</f>
        <v>0</v>
      </c>
      <c r="C43" s="47">
        <f t="shared" ca="1" si="9"/>
        <v>0</v>
      </c>
      <c r="F43" s="48"/>
    </row>
    <row r="44" spans="1:7" x14ac:dyDescent="0.15">
      <c r="A44" s="26" t="s">
        <v>87</v>
      </c>
      <c r="B44">
        <f ca="1">SUMIF(tables_498104!C:C,input_498104!A44,tables_498104!O:O)</f>
        <v>2992639.9999600025</v>
      </c>
      <c r="C44" s="47">
        <f t="shared" ca="1" si="9"/>
        <v>5.4045463607258794E-2</v>
      </c>
      <c r="E44" t="s">
        <v>38</v>
      </c>
      <c r="F44" s="48"/>
    </row>
    <row r="45" spans="1:7" x14ac:dyDescent="0.15">
      <c r="A45" s="26" t="s">
        <v>89</v>
      </c>
      <c r="B45">
        <f ca="1">SUMIF(tables_498104!C:C,input_498104!A45,tables_498104!O:O)</f>
        <v>157920</v>
      </c>
      <c r="C45" s="47">
        <f t="shared" ca="1" si="9"/>
        <v>2.8519499882954111E-3</v>
      </c>
      <c r="E45" t="s">
        <v>186</v>
      </c>
      <c r="F45" s="48">
        <f ca="1">SUMIF(tables_498104!I:I,input_498104!E45,tables_498104!P:P)</f>
        <v>0.24214911056667451</v>
      </c>
    </row>
    <row r="46" spans="1:7" x14ac:dyDescent="0.15">
      <c r="A46" s="26" t="s">
        <v>90</v>
      </c>
      <c r="B46">
        <f>SUMIF(tables_498104!C:C,input_498104!A46,tables_498104!O:O)</f>
        <v>0</v>
      </c>
      <c r="C46" s="47">
        <f t="shared" ca="1" si="9"/>
        <v>0</v>
      </c>
      <c r="E46" t="s">
        <v>187</v>
      </c>
      <c r="F46" s="48">
        <f ca="1">SUMIF(tables_498104!I:I,input_498104!E46,tables_498104!P:P)</f>
        <v>0.18367036033366235</v>
      </c>
    </row>
    <row r="47" spans="1:7" x14ac:dyDescent="0.15">
      <c r="A47" s="32" t="s">
        <v>43</v>
      </c>
      <c r="B47">
        <f ca="1">SUM(B40:B46)</f>
        <v>55372640.000039965</v>
      </c>
      <c r="C47" s="48">
        <f ca="1">SUM(C40:C46)</f>
        <v>1</v>
      </c>
      <c r="E47" t="s">
        <v>188</v>
      </c>
      <c r="F47" s="48">
        <f ca="1">SUMIF(tables_498104!I:I,input_498104!E47,tables_498104!P:P)</f>
        <v>0.50418052909818445</v>
      </c>
    </row>
    <row r="48" spans="1:7" x14ac:dyDescent="0.15">
      <c r="E48" t="s">
        <v>189</v>
      </c>
      <c r="F48" s="48">
        <f ca="1">SUMIF(tables_498104!I:I,input_498104!E48,tables_498104!P:P)</f>
        <v>4.3326143228147575E-2</v>
      </c>
      <c r="G48" s="48">
        <f ca="1">0.05-F48-F49</f>
        <v>-1.5088364585524872E-12</v>
      </c>
    </row>
    <row r="49" spans="5:7" x14ac:dyDescent="0.15">
      <c r="E49" t="s">
        <v>230</v>
      </c>
      <c r="F49" s="48">
        <f ca="1">SUMIF(tables_498104!I:I,input_498104!E49,tables_498104!P:P)</f>
        <v>6.6738567733612645E-3</v>
      </c>
      <c r="G49">
        <v>1.7540983606478034E-2</v>
      </c>
    </row>
  </sheetData>
  <phoneticPr fontId="16"/>
  <pageMargins left="0.7" right="0.7" top="0.75" bottom="0.75" header="0.3" footer="0.3"/>
  <pageSetup paperSize="9" orientation="portrait" horizontalDpi="4294967292" verticalDpi="429496729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6" enableFormatConditionsCalculation="0">
    <tabColor rgb="FF0000FF"/>
    <outlinePr summaryBelow="0" summaryRight="0"/>
  </sheetPr>
  <dimension ref="A1:V351"/>
  <sheetViews>
    <sheetView showGridLines="0" zoomScale="75" zoomScaleNormal="75" zoomScalePageLayoutView="75" workbookViewId="0">
      <pane ySplit="1" topLeftCell="A308" activePane="bottomLeft" state="frozen"/>
      <selection activeCell="D34" sqref="D34"/>
      <selection pane="bottomLeft" sqref="A1:XFD1048576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68</v>
      </c>
      <c r="B1" s="15" t="s">
        <v>1</v>
      </c>
      <c r="C1" s="3" t="s">
        <v>19</v>
      </c>
      <c r="D1" s="3" t="s">
        <v>77</v>
      </c>
      <c r="E1" s="3" t="s">
        <v>170</v>
      </c>
      <c r="F1" s="3" t="s">
        <v>171</v>
      </c>
      <c r="G1" s="3" t="s">
        <v>84</v>
      </c>
      <c r="H1" s="3" t="s">
        <v>21</v>
      </c>
      <c r="I1" s="3" t="s">
        <v>22</v>
      </c>
      <c r="J1" s="3" t="s">
        <v>23</v>
      </c>
      <c r="K1" s="3" t="s">
        <v>36</v>
      </c>
      <c r="L1" s="3" t="s">
        <v>24</v>
      </c>
      <c r="M1" s="3" t="s">
        <v>25</v>
      </c>
      <c r="N1" s="3" t="s">
        <v>42</v>
      </c>
      <c r="O1" s="15" t="s">
        <v>2</v>
      </c>
      <c r="P1" s="3" t="s">
        <v>47</v>
      </c>
      <c r="Q1" s="15" t="s">
        <v>26</v>
      </c>
      <c r="R1" s="23" t="s">
        <v>5</v>
      </c>
      <c r="S1" s="23" t="s">
        <v>6</v>
      </c>
      <c r="T1" s="23" t="s">
        <v>7</v>
      </c>
      <c r="U1" s="23" t="s">
        <v>8</v>
      </c>
      <c r="V1" s="23" t="s">
        <v>9</v>
      </c>
    </row>
    <row r="2" spans="1:22" ht="21" customHeight="1" x14ac:dyDescent="0.15">
      <c r="A2" s="2" t="str">
        <f ca="1">input_498104!A$2</f>
        <v>498104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38">
        <f ca="1">IFERROR(VLOOKUP(B2,input_498104!L:R,7,FALSE),VLOOKUP(tables_498104!C2,input_498104!A:H,8,FALSE))</f>
        <v>0</v>
      </c>
      <c r="P2" s="39">
        <f t="shared" ref="P2:P65" ca="1" si="1">O2/SUM(O:O)</f>
        <v>0</v>
      </c>
      <c r="Q2" s="24">
        <v>1</v>
      </c>
      <c r="R2" s="24">
        <v>0</v>
      </c>
      <c r="S2" s="24">
        <v>0</v>
      </c>
      <c r="T2" s="24">
        <v>0</v>
      </c>
      <c r="U2" s="24">
        <v>0</v>
      </c>
      <c r="V2" s="24">
        <v>1</v>
      </c>
    </row>
    <row r="3" spans="1:22" ht="21" customHeight="1" x14ac:dyDescent="0.15">
      <c r="A3" s="2" t="str">
        <f ca="1">input_498104!A$2</f>
        <v>498104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38">
        <f ca="1">IFERROR(VLOOKUP(B3,input_498104!L:R,7,FALSE),VLOOKUP(tables_498104!C3,input_498104!A:H,8,FALSE))</f>
        <v>1368047.9999899999</v>
      </c>
      <c r="P3" s="39">
        <f t="shared" ca="1" si="1"/>
        <v>1.1929264038963527E-2</v>
      </c>
      <c r="Q3" s="24">
        <v>1</v>
      </c>
      <c r="R3" s="24">
        <v>0</v>
      </c>
      <c r="S3" s="24">
        <v>0</v>
      </c>
      <c r="T3" s="24">
        <v>0</v>
      </c>
      <c r="U3" s="24">
        <v>0</v>
      </c>
      <c r="V3" s="24">
        <v>1</v>
      </c>
    </row>
    <row r="4" spans="1:22" ht="21" customHeight="1" x14ac:dyDescent="0.15">
      <c r="A4" s="2" t="str">
        <f ca="1">input_498104!A$2</f>
        <v>498104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38">
        <f ca="1">IFERROR(VLOOKUP(B4,input_498104!L:R,7,FALSE),VLOOKUP(tables_498104!C4,input_498104!A:H,8,FALSE))</f>
        <v>0</v>
      </c>
      <c r="P4" s="39">
        <f t="shared" ca="1" si="1"/>
        <v>0</v>
      </c>
      <c r="Q4" s="24">
        <v>1</v>
      </c>
      <c r="R4" s="24">
        <v>0</v>
      </c>
      <c r="S4" s="24">
        <v>0</v>
      </c>
      <c r="T4" s="24">
        <v>0</v>
      </c>
      <c r="U4" s="24">
        <v>0</v>
      </c>
      <c r="V4" s="24">
        <v>1</v>
      </c>
    </row>
    <row r="5" spans="1:22" ht="21" customHeight="1" x14ac:dyDescent="0.15">
      <c r="A5" s="2" t="str">
        <f ca="1">input_498104!A$2</f>
        <v>498104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38">
        <f ca="1">IFERROR(VLOOKUP(B5,input_498104!L:R,7,FALSE),VLOOKUP(tables_498104!C5,input_498104!A:H,8,FALSE))</f>
        <v>1368047.9999899999</v>
      </c>
      <c r="P5" s="39">
        <f t="shared" ca="1" si="1"/>
        <v>1.1929264038963527E-2</v>
      </c>
      <c r="Q5" s="24">
        <v>1</v>
      </c>
      <c r="R5" s="24">
        <v>0</v>
      </c>
      <c r="S5" s="24">
        <v>0</v>
      </c>
      <c r="T5" s="24">
        <v>0</v>
      </c>
      <c r="U5" s="24">
        <v>0</v>
      </c>
      <c r="V5" s="24">
        <v>1</v>
      </c>
    </row>
    <row r="6" spans="1:22" ht="21" customHeight="1" x14ac:dyDescent="0.15">
      <c r="A6" s="2" t="str">
        <f ca="1">input_498104!A$2</f>
        <v>498104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38">
        <f ca="1">IFERROR(VLOOKUP(B6,input_498104!L:R,7,FALSE),VLOOKUP(tables_498104!C6,input_498104!A:H,8,FALSE))</f>
        <v>0</v>
      </c>
      <c r="P6" s="39">
        <f t="shared" ca="1" si="1"/>
        <v>0</v>
      </c>
      <c r="Q6" s="24">
        <v>1</v>
      </c>
      <c r="R6" s="24">
        <v>0</v>
      </c>
      <c r="S6" s="24">
        <v>0</v>
      </c>
      <c r="T6" s="24">
        <v>0</v>
      </c>
      <c r="U6" s="24">
        <v>0</v>
      </c>
      <c r="V6" s="24">
        <v>1</v>
      </c>
    </row>
    <row r="7" spans="1:22" ht="21" customHeight="1" x14ac:dyDescent="0.15">
      <c r="A7" s="2" t="str">
        <f ca="1">input_498104!A$2</f>
        <v>498104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38">
        <f ca="1">IFERROR(VLOOKUP(B7,input_498104!L:R,7,FALSE),VLOOKUP(tables_498104!C7,input_498104!A:H,8,FALSE))</f>
        <v>1368047.9999899999</v>
      </c>
      <c r="P7" s="39">
        <f t="shared" ca="1" si="1"/>
        <v>1.1929264038963527E-2</v>
      </c>
      <c r="Q7" s="24">
        <v>1</v>
      </c>
      <c r="R7" s="24">
        <v>0</v>
      </c>
      <c r="S7" s="24">
        <v>0</v>
      </c>
      <c r="T7" s="24">
        <v>0</v>
      </c>
      <c r="U7" s="24">
        <v>0</v>
      </c>
      <c r="V7" s="24">
        <v>1</v>
      </c>
    </row>
    <row r="8" spans="1:22" ht="21" customHeight="1" x14ac:dyDescent="0.15">
      <c r="A8" s="2" t="str">
        <f ca="1">input_498104!A$2</f>
        <v>498104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38">
        <f ca="1">IFERROR(VLOOKUP(B8,input_498104!L:R,7,FALSE),VLOOKUP(tables_498104!C8,input_498104!A:H,8,FALSE))</f>
        <v>0</v>
      </c>
      <c r="P8" s="39">
        <f t="shared" ca="1" si="1"/>
        <v>0</v>
      </c>
      <c r="Q8" s="24">
        <v>1</v>
      </c>
      <c r="R8" s="24">
        <v>0</v>
      </c>
      <c r="S8" s="24">
        <v>0</v>
      </c>
      <c r="T8" s="24">
        <v>0</v>
      </c>
      <c r="U8" s="24">
        <v>0</v>
      </c>
      <c r="V8" s="24">
        <v>1</v>
      </c>
    </row>
    <row r="9" spans="1:22" ht="21" customHeight="1" x14ac:dyDescent="0.15">
      <c r="A9" s="2" t="str">
        <f ca="1">input_498104!A$2</f>
        <v>498104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38">
        <f ca="1">IFERROR(VLOOKUP(B9,input_498104!L:R,7,FALSE),VLOOKUP(tables_498104!C9,input_498104!A:H,8,FALSE))</f>
        <v>1368047.9999899999</v>
      </c>
      <c r="P9" s="39">
        <f t="shared" ca="1" si="1"/>
        <v>1.1929264038963527E-2</v>
      </c>
      <c r="Q9" s="24">
        <v>1</v>
      </c>
      <c r="R9" s="24">
        <v>0</v>
      </c>
      <c r="S9" s="24">
        <v>0</v>
      </c>
      <c r="T9" s="24">
        <v>0</v>
      </c>
      <c r="U9" s="24">
        <v>0</v>
      </c>
      <c r="V9" s="24">
        <v>1</v>
      </c>
    </row>
    <row r="10" spans="1:22" ht="21" customHeight="1" x14ac:dyDescent="0.15">
      <c r="A10" s="2" t="str">
        <f ca="1">input_498104!A$2</f>
        <v>498104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38">
        <f ca="1">IFERROR(VLOOKUP(B10,input_498104!L:R,7,FALSE),VLOOKUP(tables_498104!C10,input_498104!A:H,8,FALSE))</f>
        <v>0</v>
      </c>
      <c r="P10" s="39">
        <f t="shared" ca="1" si="1"/>
        <v>0</v>
      </c>
      <c r="Q10" s="24">
        <v>1</v>
      </c>
      <c r="R10" s="24">
        <v>0</v>
      </c>
      <c r="S10" s="24">
        <v>0</v>
      </c>
      <c r="T10" s="24">
        <v>0</v>
      </c>
      <c r="U10" s="24">
        <v>0</v>
      </c>
      <c r="V10" s="24">
        <v>1</v>
      </c>
    </row>
    <row r="11" spans="1:22" ht="21" customHeight="1" x14ac:dyDescent="0.15">
      <c r="A11" s="2" t="str">
        <f ca="1">input_498104!A$2</f>
        <v>498104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38">
        <f ca="1">IFERROR(VLOOKUP(B11,input_498104!L:R,7,FALSE),VLOOKUP(tables_498104!C11,input_498104!A:H,8,FALSE))</f>
        <v>1368047.9999899999</v>
      </c>
      <c r="P11" s="39">
        <f t="shared" ca="1" si="1"/>
        <v>1.1929264038963527E-2</v>
      </c>
      <c r="Q11" s="24">
        <v>1</v>
      </c>
      <c r="R11" s="24">
        <v>0</v>
      </c>
      <c r="S11" s="24">
        <v>0</v>
      </c>
      <c r="T11" s="24">
        <v>0</v>
      </c>
      <c r="U11" s="24">
        <v>0</v>
      </c>
      <c r="V11" s="24">
        <v>1</v>
      </c>
    </row>
    <row r="12" spans="1:22" ht="21" customHeight="1" x14ac:dyDescent="0.15">
      <c r="A12" s="2" t="str">
        <f ca="1">input_498104!A$2</f>
        <v>498104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38">
        <f ca="1">IFERROR(VLOOKUP(B12,input_498104!L:R,7,FALSE),VLOOKUP(tables_498104!C12,input_498104!A:H,8,FALSE))</f>
        <v>0</v>
      </c>
      <c r="P12" s="39">
        <f t="shared" ca="1" si="1"/>
        <v>0</v>
      </c>
      <c r="Q12" s="24">
        <v>1</v>
      </c>
      <c r="R12" s="24">
        <v>0</v>
      </c>
      <c r="S12" s="24">
        <v>0</v>
      </c>
      <c r="T12" s="24">
        <v>0</v>
      </c>
      <c r="U12" s="24">
        <v>0</v>
      </c>
      <c r="V12" s="24">
        <v>1</v>
      </c>
    </row>
    <row r="13" spans="1:22" ht="21" customHeight="1" x14ac:dyDescent="0.15">
      <c r="A13" s="2" t="str">
        <f ca="1">input_498104!A$2</f>
        <v>498104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38">
        <f ca="1">IFERROR(VLOOKUP(B13,input_498104!L:R,7,FALSE),VLOOKUP(tables_498104!C13,input_498104!A:H,8,FALSE))</f>
        <v>1368047.9999899999</v>
      </c>
      <c r="P13" s="39">
        <f t="shared" ca="1" si="1"/>
        <v>1.1929264038963527E-2</v>
      </c>
      <c r="Q13" s="24">
        <v>1</v>
      </c>
      <c r="R13" s="24">
        <v>0</v>
      </c>
      <c r="S13" s="24">
        <v>0</v>
      </c>
      <c r="T13" s="24">
        <v>0</v>
      </c>
      <c r="U13" s="24">
        <v>0</v>
      </c>
      <c r="V13" s="24">
        <v>1</v>
      </c>
    </row>
    <row r="14" spans="1:22" ht="21" customHeight="1" x14ac:dyDescent="0.15">
      <c r="A14" s="2" t="str">
        <f ca="1">input_498104!A$2</f>
        <v>498104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38">
        <f ca="1">IFERROR(VLOOKUP(B14,input_498104!L:R,7,FALSE),VLOOKUP(tables_498104!C14,input_498104!A:H,8,FALSE))</f>
        <v>0</v>
      </c>
      <c r="P14" s="39">
        <f t="shared" ca="1" si="1"/>
        <v>0</v>
      </c>
      <c r="Q14" s="24">
        <v>1</v>
      </c>
      <c r="R14" s="24">
        <v>0</v>
      </c>
      <c r="S14" s="24">
        <v>0</v>
      </c>
      <c r="T14" s="24">
        <v>0</v>
      </c>
      <c r="U14" s="24">
        <v>0</v>
      </c>
      <c r="V14" s="24">
        <v>1</v>
      </c>
    </row>
    <row r="15" spans="1:22" ht="21" customHeight="1" x14ac:dyDescent="0.15">
      <c r="A15" s="2" t="str">
        <f ca="1">input_498104!A$2</f>
        <v>498104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38">
        <f ca="1">IFERROR(VLOOKUP(B15,input_498104!L:R,7,FALSE),VLOOKUP(tables_498104!C15,input_498104!A:H,8,FALSE))</f>
        <v>1368047.9999899999</v>
      </c>
      <c r="P15" s="39">
        <f t="shared" ca="1" si="1"/>
        <v>1.1929264038963527E-2</v>
      </c>
      <c r="Q15" s="24">
        <v>1</v>
      </c>
      <c r="R15" s="24">
        <v>0</v>
      </c>
      <c r="S15" s="24">
        <v>0</v>
      </c>
      <c r="T15" s="24">
        <v>0</v>
      </c>
      <c r="U15" s="24">
        <v>0</v>
      </c>
      <c r="V15" s="24">
        <v>1</v>
      </c>
    </row>
    <row r="16" spans="1:22" ht="21" customHeight="1" x14ac:dyDescent="0.15">
      <c r="A16" s="2" t="str">
        <f ca="1">input_498104!A$2</f>
        <v>498104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38">
        <f ca="1">IFERROR(VLOOKUP(B16,input_498104!L:R,7,FALSE),VLOOKUP(tables_498104!C16,input_498104!A:H,8,FALSE))</f>
        <v>0</v>
      </c>
      <c r="P16" s="39">
        <f t="shared" ca="1" si="1"/>
        <v>0</v>
      </c>
      <c r="Q16" s="24">
        <v>1</v>
      </c>
      <c r="R16" s="24">
        <v>0</v>
      </c>
      <c r="S16" s="24">
        <v>0</v>
      </c>
      <c r="T16" s="24">
        <v>0</v>
      </c>
      <c r="U16" s="24">
        <v>0</v>
      </c>
      <c r="V16" s="24">
        <v>1</v>
      </c>
    </row>
    <row r="17" spans="1:22" ht="21" customHeight="1" x14ac:dyDescent="0.15">
      <c r="A17" s="2" t="str">
        <f ca="1">input_498104!A$2</f>
        <v>498104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38">
        <f ca="1">IFERROR(VLOOKUP(B17,input_498104!L:R,7,FALSE),VLOOKUP(tables_498104!C17,input_498104!A:H,8,FALSE))</f>
        <v>1368047.9999899999</v>
      </c>
      <c r="P17" s="39">
        <f t="shared" ca="1" si="1"/>
        <v>1.1929264038963527E-2</v>
      </c>
      <c r="Q17" s="24">
        <v>1</v>
      </c>
      <c r="R17" s="24">
        <v>0</v>
      </c>
      <c r="S17" s="24">
        <v>0</v>
      </c>
      <c r="T17" s="24">
        <v>0</v>
      </c>
      <c r="U17" s="24">
        <v>0</v>
      </c>
      <c r="V17" s="24">
        <v>1</v>
      </c>
    </row>
    <row r="18" spans="1:22" ht="21" customHeight="1" x14ac:dyDescent="0.15">
      <c r="A18" s="2" t="str">
        <f ca="1">input_498104!A$2</f>
        <v>498104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38">
        <f ca="1">IFERROR(VLOOKUP(B18,input_498104!L:R,7,FALSE),VLOOKUP(tables_498104!C18,input_498104!A:H,8,FALSE))</f>
        <v>0</v>
      </c>
      <c r="P18" s="39">
        <f t="shared" ca="1" si="1"/>
        <v>0</v>
      </c>
      <c r="Q18" s="24">
        <v>1</v>
      </c>
      <c r="R18" s="24">
        <v>0</v>
      </c>
      <c r="S18" s="24">
        <v>0</v>
      </c>
      <c r="T18" s="24">
        <v>0</v>
      </c>
      <c r="U18" s="24">
        <v>0</v>
      </c>
      <c r="V18" s="24">
        <v>1</v>
      </c>
    </row>
    <row r="19" spans="1:22" s="12" customFormat="1" ht="21" customHeight="1" thickBot="1" x14ac:dyDescent="0.2">
      <c r="A19" s="2" t="str">
        <f ca="1">input_498104!A$2</f>
        <v>498104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38">
        <f ca="1">IFERROR(VLOOKUP(B19,input_498104!L:R,7,FALSE),VLOOKUP(tables_498104!C19,input_498104!A:H,8,FALSE))</f>
        <v>1368047.9999899999</v>
      </c>
      <c r="P19" s="39">
        <f t="shared" ca="1" si="1"/>
        <v>1.1929264038963527E-2</v>
      </c>
      <c r="Q19" s="24">
        <v>1</v>
      </c>
      <c r="R19" s="24">
        <v>0</v>
      </c>
      <c r="S19" s="24">
        <v>0</v>
      </c>
      <c r="T19" s="24">
        <v>0</v>
      </c>
      <c r="U19" s="24">
        <v>0</v>
      </c>
      <c r="V19" s="24">
        <v>1</v>
      </c>
    </row>
    <row r="20" spans="1:22" ht="21" customHeight="1" x14ac:dyDescent="0.15">
      <c r="A20" s="2" t="str">
        <f ca="1">input_498104!A$2</f>
        <v>498104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38">
        <f ca="1">IFERROR(VLOOKUP(B20,input_498104!L:R,7,FALSE),VLOOKUP(tables_498104!C20,input_498104!A:H,8,FALSE))</f>
        <v>0</v>
      </c>
      <c r="P20" s="39">
        <f t="shared" ca="1" si="1"/>
        <v>0</v>
      </c>
      <c r="Q20" s="24">
        <v>1</v>
      </c>
      <c r="R20" s="24">
        <v>0</v>
      </c>
      <c r="S20" s="24">
        <v>0</v>
      </c>
      <c r="T20" s="24">
        <v>0</v>
      </c>
      <c r="U20" s="24">
        <v>0</v>
      </c>
      <c r="V20" s="24">
        <v>1</v>
      </c>
    </row>
    <row r="21" spans="1:22" ht="21" customHeight="1" x14ac:dyDescent="0.15">
      <c r="A21" s="2" t="str">
        <f ca="1">input_498104!A$2</f>
        <v>498104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38">
        <f ca="1">IFERROR(VLOOKUP(B21,input_498104!L:R,7,FALSE),VLOOKUP(tables_498104!C21,input_498104!A:H,8,FALSE))</f>
        <v>1368047.9999899999</v>
      </c>
      <c r="P21" s="39">
        <f t="shared" ca="1" si="1"/>
        <v>1.1929264038963527E-2</v>
      </c>
      <c r="Q21" s="24">
        <v>1</v>
      </c>
      <c r="R21" s="24">
        <v>0</v>
      </c>
      <c r="S21" s="24">
        <v>0</v>
      </c>
      <c r="T21" s="24">
        <v>0</v>
      </c>
      <c r="U21" s="24">
        <v>0</v>
      </c>
      <c r="V21" s="24">
        <v>1</v>
      </c>
    </row>
    <row r="22" spans="1:22" ht="21" customHeight="1" x14ac:dyDescent="0.15">
      <c r="A22" s="2" t="str">
        <f ca="1">input_498104!A$2</f>
        <v>498104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38">
        <f ca="1">IFERROR(VLOOKUP(B22,input_498104!L:R,7,FALSE),VLOOKUP(tables_498104!C22,input_498104!A:H,8,FALSE))</f>
        <v>0</v>
      </c>
      <c r="P22" s="39">
        <f t="shared" ca="1" si="1"/>
        <v>0</v>
      </c>
      <c r="Q22" s="24">
        <v>1</v>
      </c>
      <c r="R22" s="24">
        <v>0</v>
      </c>
      <c r="S22" s="24">
        <v>0</v>
      </c>
      <c r="T22" s="24">
        <v>0</v>
      </c>
      <c r="U22" s="24">
        <v>0</v>
      </c>
      <c r="V22" s="24">
        <v>1</v>
      </c>
    </row>
    <row r="23" spans="1:22" ht="21" customHeight="1" x14ac:dyDescent="0.15">
      <c r="A23" s="2" t="str">
        <f ca="1">input_498104!A$2</f>
        <v>498104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38">
        <f ca="1">IFERROR(VLOOKUP(B23,input_498104!L:R,7,FALSE),VLOOKUP(tables_498104!C23,input_498104!A:H,8,FALSE))</f>
        <v>1368047.9999899999</v>
      </c>
      <c r="P23" s="39">
        <f t="shared" ca="1" si="1"/>
        <v>1.1929264038963527E-2</v>
      </c>
      <c r="Q23" s="24">
        <v>1</v>
      </c>
      <c r="R23" s="24">
        <v>0</v>
      </c>
      <c r="S23" s="24">
        <v>0</v>
      </c>
      <c r="T23" s="24">
        <v>0</v>
      </c>
      <c r="U23" s="24">
        <v>0</v>
      </c>
      <c r="V23" s="24">
        <v>1</v>
      </c>
    </row>
    <row r="24" spans="1:22" ht="21" customHeight="1" x14ac:dyDescent="0.15">
      <c r="A24" s="2" t="str">
        <f ca="1">input_498104!A$2</f>
        <v>498104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38">
        <f ca="1">IFERROR(VLOOKUP(B24,input_498104!L:R,7,FALSE),VLOOKUP(tables_498104!C24,input_498104!A:H,8,FALSE))</f>
        <v>0</v>
      </c>
      <c r="P24" s="39">
        <f t="shared" ca="1" si="1"/>
        <v>0</v>
      </c>
      <c r="Q24" s="24">
        <v>1</v>
      </c>
      <c r="R24" s="24">
        <v>0</v>
      </c>
      <c r="S24" s="24">
        <v>0</v>
      </c>
      <c r="T24" s="24">
        <v>0</v>
      </c>
      <c r="U24" s="24">
        <v>0</v>
      </c>
      <c r="V24" s="24">
        <v>1</v>
      </c>
    </row>
    <row r="25" spans="1:22" ht="21" customHeight="1" x14ac:dyDescent="0.15">
      <c r="A25" s="2" t="str">
        <f ca="1">input_498104!A$2</f>
        <v>498104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38">
        <f ca="1">IFERROR(VLOOKUP(B25,input_498104!L:R,7,FALSE),VLOOKUP(tables_498104!C25,input_498104!A:H,8,FALSE))</f>
        <v>1368047.9999899999</v>
      </c>
      <c r="P25" s="39">
        <f t="shared" ca="1" si="1"/>
        <v>1.1929264038963527E-2</v>
      </c>
      <c r="Q25" s="24">
        <v>1</v>
      </c>
      <c r="R25" s="24">
        <v>0</v>
      </c>
      <c r="S25" s="24">
        <v>0</v>
      </c>
      <c r="T25" s="24">
        <v>0</v>
      </c>
      <c r="U25" s="24">
        <v>0</v>
      </c>
      <c r="V25" s="24">
        <v>1</v>
      </c>
    </row>
    <row r="26" spans="1:22" ht="21" customHeight="1" x14ac:dyDescent="0.15">
      <c r="A26" s="2" t="str">
        <f ca="1">input_498104!A$2</f>
        <v>498104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38">
        <f ca="1">IFERROR(VLOOKUP(B26,input_498104!L:R,7,FALSE),VLOOKUP(tables_498104!C26,input_498104!A:H,8,FALSE))</f>
        <v>0</v>
      </c>
      <c r="P26" s="39">
        <f t="shared" ca="1" si="1"/>
        <v>0</v>
      </c>
      <c r="Q26" s="24">
        <v>1</v>
      </c>
      <c r="R26" s="24">
        <v>0</v>
      </c>
      <c r="S26" s="24">
        <v>0</v>
      </c>
      <c r="T26" s="24">
        <v>0</v>
      </c>
      <c r="U26" s="24">
        <v>0</v>
      </c>
      <c r="V26" s="24">
        <v>1</v>
      </c>
    </row>
    <row r="27" spans="1:22" ht="21" customHeight="1" x14ac:dyDescent="0.15">
      <c r="A27" s="2" t="str">
        <f ca="1">input_498104!A$2</f>
        <v>498104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38">
        <f ca="1">IFERROR(VLOOKUP(B27,input_498104!L:R,7,FALSE),VLOOKUP(tables_498104!C27,input_498104!A:H,8,FALSE))</f>
        <v>1368047.9999899999</v>
      </c>
      <c r="P27" s="39">
        <f t="shared" ca="1" si="1"/>
        <v>1.1929264038963527E-2</v>
      </c>
      <c r="Q27" s="24">
        <v>1</v>
      </c>
      <c r="R27" s="24">
        <v>0</v>
      </c>
      <c r="S27" s="24">
        <v>0</v>
      </c>
      <c r="T27" s="24">
        <v>0</v>
      </c>
      <c r="U27" s="24">
        <v>0</v>
      </c>
      <c r="V27" s="24">
        <v>1</v>
      </c>
    </row>
    <row r="28" spans="1:22" ht="21" customHeight="1" x14ac:dyDescent="0.15">
      <c r="A28" s="2" t="str">
        <f ca="1">input_498104!A$2</f>
        <v>498104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38">
        <f ca="1">IFERROR(VLOOKUP(B28,input_498104!L:R,7,FALSE),VLOOKUP(tables_498104!C28,input_498104!A:H,8,FALSE))</f>
        <v>0</v>
      </c>
      <c r="P28" s="39">
        <f t="shared" ca="1" si="1"/>
        <v>0</v>
      </c>
      <c r="Q28" s="24">
        <v>1</v>
      </c>
      <c r="R28" s="24">
        <v>0</v>
      </c>
      <c r="S28" s="24">
        <v>0</v>
      </c>
      <c r="T28" s="24">
        <v>0</v>
      </c>
      <c r="U28" s="24">
        <v>0</v>
      </c>
      <c r="V28" s="24">
        <v>1</v>
      </c>
    </row>
    <row r="29" spans="1:22" ht="21" customHeight="1" x14ac:dyDescent="0.15">
      <c r="A29" s="2" t="str">
        <f ca="1">input_498104!A$2</f>
        <v>498104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38">
        <f ca="1">IFERROR(VLOOKUP(B29,input_498104!L:R,7,FALSE),VLOOKUP(tables_498104!C29,input_498104!A:H,8,FALSE))</f>
        <v>1368047.9999899999</v>
      </c>
      <c r="P29" s="39">
        <f t="shared" ca="1" si="1"/>
        <v>1.1929264038963527E-2</v>
      </c>
      <c r="Q29" s="24">
        <v>1</v>
      </c>
      <c r="R29" s="24">
        <v>0</v>
      </c>
      <c r="S29" s="24">
        <v>0</v>
      </c>
      <c r="T29" s="24">
        <v>0</v>
      </c>
      <c r="U29" s="24">
        <v>0</v>
      </c>
      <c r="V29" s="24">
        <v>1</v>
      </c>
    </row>
    <row r="30" spans="1:22" ht="21" customHeight="1" x14ac:dyDescent="0.15">
      <c r="A30" s="2" t="str">
        <f ca="1">input_498104!A$2</f>
        <v>498104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38">
        <f ca="1">IFERROR(VLOOKUP(B30,input_498104!L:R,7,FALSE),VLOOKUP(tables_498104!C30,input_498104!A:H,8,FALSE))</f>
        <v>0</v>
      </c>
      <c r="P30" s="39">
        <f t="shared" ca="1" si="1"/>
        <v>0</v>
      </c>
      <c r="Q30" s="24">
        <v>1</v>
      </c>
      <c r="R30" s="24">
        <v>0</v>
      </c>
      <c r="S30" s="24">
        <v>0</v>
      </c>
      <c r="T30" s="24">
        <v>0</v>
      </c>
      <c r="U30" s="24">
        <v>0</v>
      </c>
      <c r="V30" s="24">
        <v>1</v>
      </c>
    </row>
    <row r="31" spans="1:22" ht="21" customHeight="1" x14ac:dyDescent="0.15">
      <c r="A31" s="2" t="str">
        <f ca="1">input_498104!A$2</f>
        <v>498104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38">
        <f ca="1">IFERROR(VLOOKUP(B31,input_498104!L:R,7,FALSE),VLOOKUP(tables_498104!C31,input_498104!A:H,8,FALSE))</f>
        <v>1368047.9999899999</v>
      </c>
      <c r="P31" s="39">
        <f t="shared" ca="1" si="1"/>
        <v>1.1929264038963527E-2</v>
      </c>
      <c r="Q31" s="24">
        <v>1</v>
      </c>
      <c r="R31" s="24">
        <v>0</v>
      </c>
      <c r="S31" s="24">
        <v>0</v>
      </c>
      <c r="T31" s="24">
        <v>0</v>
      </c>
      <c r="U31" s="24">
        <v>0</v>
      </c>
      <c r="V31" s="24">
        <v>1</v>
      </c>
    </row>
    <row r="32" spans="1:22" ht="21" customHeight="1" x14ac:dyDescent="0.15">
      <c r="A32" s="2" t="str">
        <f ca="1">input_498104!A$2</f>
        <v>498104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38">
        <f ca="1">IFERROR(VLOOKUP(B32,input_498104!L:R,7,FALSE),VLOOKUP(tables_498104!C32,input_498104!A:H,8,FALSE))</f>
        <v>0</v>
      </c>
      <c r="P32" s="39">
        <f t="shared" ca="1" si="1"/>
        <v>0</v>
      </c>
      <c r="Q32" s="24">
        <v>1</v>
      </c>
      <c r="R32" s="24">
        <v>0</v>
      </c>
      <c r="S32" s="24">
        <v>0</v>
      </c>
      <c r="T32" s="24">
        <v>0</v>
      </c>
      <c r="U32" s="24">
        <v>0</v>
      </c>
      <c r="V32" s="24">
        <v>1</v>
      </c>
    </row>
    <row r="33" spans="1:22" ht="21" customHeight="1" x14ac:dyDescent="0.15">
      <c r="A33" s="2" t="str">
        <f ca="1">input_498104!A$2</f>
        <v>498104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38">
        <f ca="1">IFERROR(VLOOKUP(B33,input_498104!L:R,7,FALSE),VLOOKUP(tables_498104!C33,input_498104!A:H,8,FALSE))</f>
        <v>1368047.9999899999</v>
      </c>
      <c r="P33" s="39">
        <f t="shared" ca="1" si="1"/>
        <v>1.1929264038963527E-2</v>
      </c>
      <c r="Q33" s="24">
        <v>1</v>
      </c>
      <c r="R33" s="24">
        <v>0</v>
      </c>
      <c r="S33" s="24">
        <v>0</v>
      </c>
      <c r="T33" s="24">
        <v>0</v>
      </c>
      <c r="U33" s="24">
        <v>0</v>
      </c>
      <c r="V33" s="24">
        <v>1</v>
      </c>
    </row>
    <row r="34" spans="1:22" ht="21" customHeight="1" x14ac:dyDescent="0.15">
      <c r="A34" s="2" t="str">
        <f ca="1">input_498104!A$2</f>
        <v>498104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38">
        <f ca="1">IFERROR(VLOOKUP(B34,input_498104!L:R,7,FALSE),VLOOKUP(tables_498104!C34,input_498104!A:H,8,FALSE))</f>
        <v>0</v>
      </c>
      <c r="P34" s="39">
        <f t="shared" ca="1" si="1"/>
        <v>0</v>
      </c>
      <c r="Q34" s="24">
        <v>1</v>
      </c>
      <c r="R34" s="24">
        <v>0</v>
      </c>
      <c r="S34" s="24">
        <v>0</v>
      </c>
      <c r="T34" s="24">
        <v>0</v>
      </c>
      <c r="U34" s="24">
        <v>0</v>
      </c>
      <c r="V34" s="24">
        <v>1</v>
      </c>
    </row>
    <row r="35" spans="1:22" ht="21" customHeight="1" x14ac:dyDescent="0.15">
      <c r="A35" s="2" t="str">
        <f ca="1">input_498104!A$2</f>
        <v>498104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38">
        <f ca="1">IFERROR(VLOOKUP(B35,input_498104!L:R,7,FALSE),VLOOKUP(tables_498104!C35,input_498104!A:H,8,FALSE))</f>
        <v>1368047.9999899999</v>
      </c>
      <c r="P35" s="39">
        <f t="shared" ca="1" si="1"/>
        <v>1.1929264038963527E-2</v>
      </c>
      <c r="Q35" s="24">
        <v>1</v>
      </c>
      <c r="R35" s="24">
        <v>0</v>
      </c>
      <c r="S35" s="24">
        <v>0</v>
      </c>
      <c r="T35" s="24">
        <v>0</v>
      </c>
      <c r="U35" s="24">
        <v>0</v>
      </c>
      <c r="V35" s="24">
        <v>1</v>
      </c>
    </row>
    <row r="36" spans="1:22" ht="21" customHeight="1" x14ac:dyDescent="0.15">
      <c r="A36" s="2" t="str">
        <f ca="1">input_498104!A$2</f>
        <v>498104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38">
        <f ca="1">IFERROR(VLOOKUP(B36,input_498104!L:R,7,FALSE),VLOOKUP(tables_498104!C36,input_498104!A:H,8,FALSE))</f>
        <v>0</v>
      </c>
      <c r="P36" s="39">
        <f t="shared" ca="1" si="1"/>
        <v>0</v>
      </c>
      <c r="Q36" s="24">
        <v>1</v>
      </c>
      <c r="R36" s="24">
        <v>0</v>
      </c>
      <c r="S36" s="24">
        <v>0</v>
      </c>
      <c r="T36" s="24">
        <v>0</v>
      </c>
      <c r="U36" s="24">
        <v>0</v>
      </c>
      <c r="V36" s="24">
        <v>1</v>
      </c>
    </row>
    <row r="37" spans="1:22" ht="21" customHeight="1" x14ac:dyDescent="0.15">
      <c r="A37" s="2" t="str">
        <f ca="1">input_498104!A$2</f>
        <v>498104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38">
        <f ca="1">IFERROR(VLOOKUP(B37,input_498104!L:R,7,FALSE),VLOOKUP(tables_498104!C37,input_498104!A:H,8,FALSE))</f>
        <v>1368047.9999899999</v>
      </c>
      <c r="P37" s="39">
        <f t="shared" ca="1" si="1"/>
        <v>1.1929264038963527E-2</v>
      </c>
      <c r="Q37" s="24">
        <v>1</v>
      </c>
      <c r="R37" s="24">
        <v>0</v>
      </c>
      <c r="S37" s="24">
        <v>0</v>
      </c>
      <c r="T37" s="24">
        <v>0</v>
      </c>
      <c r="U37" s="24">
        <v>0</v>
      </c>
      <c r="V37" s="24">
        <v>1</v>
      </c>
    </row>
    <row r="38" spans="1:22" ht="21" customHeight="1" x14ac:dyDescent="0.15">
      <c r="A38" s="2" t="str">
        <f ca="1">input_498104!A$2</f>
        <v>498104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38">
        <f ca="1">IFERROR(VLOOKUP(B38,input_498104!L:R,7,FALSE),VLOOKUP(tables_498104!C38,input_498104!A:H,8,FALSE))</f>
        <v>0</v>
      </c>
      <c r="P38" s="39">
        <f t="shared" ca="1" si="1"/>
        <v>0</v>
      </c>
      <c r="Q38" s="24">
        <v>1</v>
      </c>
      <c r="R38" s="24">
        <v>0</v>
      </c>
      <c r="S38" s="24">
        <v>0</v>
      </c>
      <c r="T38" s="24">
        <v>0</v>
      </c>
      <c r="U38" s="24">
        <v>0</v>
      </c>
      <c r="V38" s="24">
        <v>1</v>
      </c>
    </row>
    <row r="39" spans="1:22" ht="21" customHeight="1" x14ac:dyDescent="0.15">
      <c r="A39" s="2" t="str">
        <f ca="1">input_498104!A$2</f>
        <v>498104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38">
        <f ca="1">IFERROR(VLOOKUP(B39,input_498104!L:R,7,FALSE),VLOOKUP(tables_498104!C39,input_498104!A:H,8,FALSE))</f>
        <v>1368047.9999899999</v>
      </c>
      <c r="P39" s="39">
        <f t="shared" ca="1" si="1"/>
        <v>1.1929264038963527E-2</v>
      </c>
      <c r="Q39" s="24">
        <v>1</v>
      </c>
      <c r="R39" s="24">
        <v>0</v>
      </c>
      <c r="S39" s="24">
        <v>0</v>
      </c>
      <c r="T39" s="24">
        <v>0</v>
      </c>
      <c r="U39" s="24">
        <v>0</v>
      </c>
      <c r="V39" s="24">
        <v>1</v>
      </c>
    </row>
    <row r="40" spans="1:22" ht="21" customHeight="1" x14ac:dyDescent="0.15">
      <c r="A40" s="2" t="str">
        <f ca="1">input_498104!A$2</f>
        <v>498104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38">
        <f ca="1">IFERROR(VLOOKUP(B40,input_498104!L:R,7,FALSE),VLOOKUP(tables_498104!C40,input_498104!A:H,8,FALSE))</f>
        <v>0</v>
      </c>
      <c r="P40" s="39">
        <f t="shared" ca="1" si="1"/>
        <v>0</v>
      </c>
      <c r="Q40" s="24">
        <v>1</v>
      </c>
      <c r="R40" s="24">
        <v>0</v>
      </c>
      <c r="S40" s="24">
        <v>0</v>
      </c>
      <c r="T40" s="24">
        <v>0</v>
      </c>
      <c r="U40" s="24">
        <v>0</v>
      </c>
      <c r="V40" s="24">
        <v>1</v>
      </c>
    </row>
    <row r="41" spans="1:22" ht="21" customHeight="1" x14ac:dyDescent="0.15">
      <c r="A41" s="2" t="str">
        <f ca="1">input_498104!A$2</f>
        <v>498104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38">
        <f ca="1">IFERROR(VLOOKUP(B41,input_498104!L:R,7,FALSE),VLOOKUP(tables_498104!C41,input_498104!A:H,8,FALSE))</f>
        <v>1368047.9999899999</v>
      </c>
      <c r="P41" s="39">
        <f t="shared" ca="1" si="1"/>
        <v>1.1929264038963527E-2</v>
      </c>
      <c r="Q41" s="24">
        <v>1</v>
      </c>
      <c r="R41" s="24">
        <v>0</v>
      </c>
      <c r="S41" s="24">
        <v>0</v>
      </c>
      <c r="T41" s="24">
        <v>0</v>
      </c>
      <c r="U41" s="24">
        <v>0</v>
      </c>
      <c r="V41" s="24">
        <v>1</v>
      </c>
    </row>
    <row r="42" spans="1:22" ht="21" customHeight="1" x14ac:dyDescent="0.15">
      <c r="A42" s="2" t="str">
        <f ca="1">input_498104!A$2</f>
        <v>498104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38">
        <f ca="1">IFERROR(VLOOKUP(B42,input_498104!L:R,7,FALSE),VLOOKUP(tables_498104!C42,input_498104!A:H,8,FALSE))</f>
        <v>0</v>
      </c>
      <c r="P42" s="39">
        <f t="shared" ca="1" si="1"/>
        <v>0</v>
      </c>
      <c r="Q42" s="24">
        <v>1</v>
      </c>
      <c r="R42" s="24">
        <v>0</v>
      </c>
      <c r="S42" s="24">
        <v>0</v>
      </c>
      <c r="T42" s="24">
        <v>0</v>
      </c>
      <c r="U42" s="24">
        <v>0</v>
      </c>
      <c r="V42" s="24">
        <v>1</v>
      </c>
    </row>
    <row r="43" spans="1:22" ht="21" customHeight="1" x14ac:dyDescent="0.15">
      <c r="A43" s="2" t="str">
        <f ca="1">input_498104!A$2</f>
        <v>498104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38">
        <f ca="1">IFERROR(VLOOKUP(B43,input_498104!L:R,7,FALSE),VLOOKUP(tables_498104!C43,input_498104!A:H,8,FALSE))</f>
        <v>1043100</v>
      </c>
      <c r="P43" s="39">
        <f t="shared" ca="1" si="1"/>
        <v>9.0957446808400105E-3</v>
      </c>
      <c r="Q43" s="24">
        <v>1</v>
      </c>
      <c r="R43" s="24">
        <v>0</v>
      </c>
      <c r="S43" s="24">
        <v>0</v>
      </c>
      <c r="T43" s="24">
        <v>0</v>
      </c>
      <c r="U43" s="24">
        <v>0</v>
      </c>
      <c r="V43" s="24">
        <v>1</v>
      </c>
    </row>
    <row r="44" spans="1:22" ht="21" customHeight="1" x14ac:dyDescent="0.15">
      <c r="A44" s="2" t="str">
        <f ca="1">input_498104!A$2</f>
        <v>498104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38">
        <f ca="1">IFERROR(VLOOKUP(B44,input_498104!L:R,7,FALSE),VLOOKUP(tables_498104!C44,input_498104!A:H,8,FALSE))</f>
        <v>115900</v>
      </c>
      <c r="P44" s="39">
        <f t="shared" ca="1" si="1"/>
        <v>1.0106382978711122E-3</v>
      </c>
      <c r="Q44" s="24">
        <v>1</v>
      </c>
      <c r="R44" s="24">
        <v>0</v>
      </c>
      <c r="S44" s="24">
        <v>0</v>
      </c>
      <c r="T44" s="24">
        <v>0</v>
      </c>
      <c r="U44" s="24">
        <v>0</v>
      </c>
      <c r="V44" s="24">
        <v>1</v>
      </c>
    </row>
    <row r="45" spans="1:22" ht="21" customHeight="1" x14ac:dyDescent="0.15">
      <c r="A45" s="2" t="str">
        <f ca="1">input_498104!A$2</f>
        <v>498104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38">
        <f ca="1">IFERROR(VLOOKUP(B45,input_498104!L:R,7,FALSE),VLOOKUP(tables_498104!C45,input_498104!A:H,8,FALSE))</f>
        <v>0</v>
      </c>
      <c r="P45" s="39">
        <f t="shared" ca="1" si="1"/>
        <v>0</v>
      </c>
      <c r="Q45" s="24">
        <v>1</v>
      </c>
      <c r="R45" s="24">
        <v>0</v>
      </c>
      <c r="S45" s="24">
        <v>0</v>
      </c>
      <c r="T45" s="24">
        <v>0</v>
      </c>
      <c r="U45" s="24">
        <v>0</v>
      </c>
      <c r="V45" s="24">
        <v>1</v>
      </c>
    </row>
    <row r="46" spans="1:22" ht="21" customHeight="1" x14ac:dyDescent="0.15">
      <c r="A46" s="2" t="str">
        <f ca="1">input_498104!A$2</f>
        <v>498104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38">
        <f ca="1">IFERROR(VLOOKUP(B46,input_498104!L:R,7,FALSE),VLOOKUP(tables_498104!C46,input_498104!A:H,8,FALSE))</f>
        <v>1043100</v>
      </c>
      <c r="P46" s="39">
        <f t="shared" ca="1" si="1"/>
        <v>9.0957446808400105E-3</v>
      </c>
      <c r="Q46" s="24">
        <v>1</v>
      </c>
      <c r="R46" s="24">
        <v>0</v>
      </c>
      <c r="S46" s="24">
        <v>0</v>
      </c>
      <c r="T46" s="24">
        <v>0</v>
      </c>
      <c r="U46" s="24">
        <v>0</v>
      </c>
      <c r="V46" s="24">
        <v>1</v>
      </c>
    </row>
    <row r="47" spans="1:22" ht="21" customHeight="1" x14ac:dyDescent="0.15">
      <c r="A47" s="2" t="str">
        <f ca="1">input_498104!A$2</f>
        <v>498104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38">
        <f ca="1">IFERROR(VLOOKUP(B47,input_498104!L:R,7,FALSE),VLOOKUP(tables_498104!C47,input_498104!A:H,8,FALSE))</f>
        <v>115900</v>
      </c>
      <c r="P47" s="39">
        <f t="shared" ca="1" si="1"/>
        <v>1.0106382978711122E-3</v>
      </c>
      <c r="Q47" s="24">
        <v>1</v>
      </c>
      <c r="R47" s="24">
        <v>0</v>
      </c>
      <c r="S47" s="24">
        <v>0</v>
      </c>
      <c r="T47" s="24">
        <v>0</v>
      </c>
      <c r="U47" s="24">
        <v>0</v>
      </c>
      <c r="V47" s="24">
        <v>1</v>
      </c>
    </row>
    <row r="48" spans="1:22" ht="21" customHeight="1" x14ac:dyDescent="0.15">
      <c r="A48" s="2" t="str">
        <f ca="1">input_498104!A$2</f>
        <v>498104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38">
        <f ca="1">IFERROR(VLOOKUP(B48,input_498104!L:R,7,FALSE),VLOOKUP(tables_498104!C48,input_498104!A:H,8,FALSE))</f>
        <v>0</v>
      </c>
      <c r="P48" s="39">
        <f t="shared" ca="1" si="1"/>
        <v>0</v>
      </c>
      <c r="Q48" s="24">
        <v>1</v>
      </c>
      <c r="R48" s="24">
        <v>0</v>
      </c>
      <c r="S48" s="24">
        <v>0</v>
      </c>
      <c r="T48" s="24">
        <v>0</v>
      </c>
      <c r="U48" s="24">
        <v>0</v>
      </c>
      <c r="V48" s="24">
        <v>1</v>
      </c>
    </row>
    <row r="49" spans="1:22" ht="21" customHeight="1" x14ac:dyDescent="0.15">
      <c r="A49" s="2" t="str">
        <f ca="1">input_498104!A$2</f>
        <v>498104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38">
        <f ca="1">IFERROR(VLOOKUP(B49,input_498104!L:R,7,FALSE),VLOOKUP(tables_498104!C49,input_498104!A:H,8,FALSE))</f>
        <v>1043100</v>
      </c>
      <c r="P49" s="39">
        <f t="shared" ca="1" si="1"/>
        <v>9.0957446808400105E-3</v>
      </c>
      <c r="Q49" s="24">
        <v>1</v>
      </c>
      <c r="R49" s="24">
        <v>0</v>
      </c>
      <c r="S49" s="24">
        <v>0</v>
      </c>
      <c r="T49" s="24">
        <v>0</v>
      </c>
      <c r="U49" s="24">
        <v>0</v>
      </c>
      <c r="V49" s="24">
        <v>1</v>
      </c>
    </row>
    <row r="50" spans="1:22" ht="21" customHeight="1" x14ac:dyDescent="0.15">
      <c r="A50" s="2" t="str">
        <f ca="1">input_498104!A$2</f>
        <v>498104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38">
        <f ca="1">IFERROR(VLOOKUP(B50,input_498104!L:R,7,FALSE),VLOOKUP(tables_498104!C50,input_498104!A:H,8,FALSE))</f>
        <v>115900</v>
      </c>
      <c r="P50" s="39">
        <f t="shared" ca="1" si="1"/>
        <v>1.0106382978711122E-3</v>
      </c>
      <c r="Q50" s="24">
        <v>1</v>
      </c>
      <c r="R50" s="24">
        <v>0</v>
      </c>
      <c r="S50" s="24">
        <v>0</v>
      </c>
      <c r="T50" s="24">
        <v>0</v>
      </c>
      <c r="U50" s="24">
        <v>0</v>
      </c>
      <c r="V50" s="24">
        <v>1</v>
      </c>
    </row>
    <row r="51" spans="1:22" ht="21" customHeight="1" x14ac:dyDescent="0.15">
      <c r="A51" s="2" t="str">
        <f ca="1">input_498104!A$2</f>
        <v>498104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38">
        <f ca="1">IFERROR(VLOOKUP(B51,input_498104!L:R,7,FALSE),VLOOKUP(tables_498104!C51,input_498104!A:H,8,FALSE))</f>
        <v>0</v>
      </c>
      <c r="P51" s="39">
        <f t="shared" ca="1" si="1"/>
        <v>0</v>
      </c>
      <c r="Q51" s="24">
        <v>1</v>
      </c>
      <c r="R51" s="24">
        <v>0</v>
      </c>
      <c r="S51" s="24">
        <v>0</v>
      </c>
      <c r="T51" s="24">
        <v>0</v>
      </c>
      <c r="U51" s="24">
        <v>0</v>
      </c>
      <c r="V51" s="24">
        <v>1</v>
      </c>
    </row>
    <row r="52" spans="1:22" ht="21" customHeight="1" x14ac:dyDescent="0.15">
      <c r="A52" s="2" t="str">
        <f ca="1">input_498104!A$2</f>
        <v>498104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38">
        <f ca="1">IFERROR(VLOOKUP(B52,input_498104!L:R,7,FALSE),VLOOKUP(tables_498104!C52,input_498104!A:H,8,FALSE))</f>
        <v>976938.46154000005</v>
      </c>
      <c r="P52" s="39">
        <f t="shared" ca="1" si="1"/>
        <v>8.5188216039310503E-3</v>
      </c>
      <c r="Q52" s="24">
        <v>1</v>
      </c>
      <c r="R52" s="24">
        <v>0</v>
      </c>
      <c r="S52" s="24">
        <v>0</v>
      </c>
      <c r="T52" s="24">
        <v>0</v>
      </c>
      <c r="U52" s="24">
        <v>0</v>
      </c>
      <c r="V52" s="24">
        <v>1</v>
      </c>
    </row>
    <row r="53" spans="1:22" ht="21" customHeight="1" x14ac:dyDescent="0.15">
      <c r="A53" s="2" t="str">
        <f ca="1">input_498104!A$2</f>
        <v>498104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38">
        <f ca="1">IFERROR(VLOOKUP(B53,input_498104!L:R,7,FALSE),VLOOKUP(tables_498104!C53,input_498104!A:H,8,FALSE))</f>
        <v>57550.769229999998</v>
      </c>
      <c r="P53" s="39">
        <f t="shared" ca="1" si="1"/>
        <v>5.0183789004124566E-4</v>
      </c>
      <c r="Q53" s="24">
        <v>1</v>
      </c>
      <c r="R53" s="24">
        <v>0</v>
      </c>
      <c r="S53" s="24">
        <v>0</v>
      </c>
      <c r="T53" s="24">
        <v>0</v>
      </c>
      <c r="U53" s="24">
        <v>0</v>
      </c>
      <c r="V53" s="24">
        <v>1</v>
      </c>
    </row>
    <row r="54" spans="1:22" ht="21" customHeight="1" x14ac:dyDescent="0.15">
      <c r="A54" s="2" t="str">
        <f ca="1">input_498104!A$2</f>
        <v>498104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38">
        <f ca="1">IFERROR(VLOOKUP(B54,input_498104!L:R,7,FALSE),VLOOKUP(tables_498104!C54,input_498104!A:H,8,FALSE))</f>
        <v>0</v>
      </c>
      <c r="P54" s="39">
        <f t="shared" ca="1" si="1"/>
        <v>0</v>
      </c>
      <c r="Q54" s="24">
        <v>1</v>
      </c>
      <c r="R54" s="24">
        <v>0</v>
      </c>
      <c r="S54" s="24">
        <v>0</v>
      </c>
      <c r="T54" s="24">
        <v>0</v>
      </c>
      <c r="U54" s="24">
        <v>0</v>
      </c>
      <c r="V54" s="24">
        <v>1</v>
      </c>
    </row>
    <row r="55" spans="1:22" ht="21" customHeight="1" x14ac:dyDescent="0.15">
      <c r="A55" s="2" t="str">
        <f ca="1">input_498104!A$2</f>
        <v>498104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38">
        <f ca="1">IFERROR(VLOOKUP(B55,input_498104!L:R,7,FALSE),VLOOKUP(tables_498104!C55,input_498104!A:H,8,FALSE))</f>
        <v>976938.46154000005</v>
      </c>
      <c r="P55" s="39">
        <f t="shared" ca="1" si="1"/>
        <v>8.5188216039310503E-3</v>
      </c>
      <c r="Q55" s="24">
        <v>1</v>
      </c>
      <c r="R55" s="24">
        <v>0</v>
      </c>
      <c r="S55" s="24">
        <v>0</v>
      </c>
      <c r="T55" s="24">
        <v>0</v>
      </c>
      <c r="U55" s="24">
        <v>0</v>
      </c>
      <c r="V55" s="24">
        <v>1</v>
      </c>
    </row>
    <row r="56" spans="1:22" ht="21" customHeight="1" x14ac:dyDescent="0.15">
      <c r="A56" s="2" t="str">
        <f ca="1">input_498104!A$2</f>
        <v>498104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38">
        <f ca="1">IFERROR(VLOOKUP(B56,input_498104!L:R,7,FALSE),VLOOKUP(tables_498104!C56,input_498104!A:H,8,FALSE))</f>
        <v>57550.769229999998</v>
      </c>
      <c r="P56" s="39">
        <f t="shared" ca="1" si="1"/>
        <v>5.0183789004124566E-4</v>
      </c>
      <c r="Q56" s="24">
        <v>1</v>
      </c>
      <c r="R56" s="24">
        <v>0</v>
      </c>
      <c r="S56" s="24">
        <v>0</v>
      </c>
      <c r="T56" s="24">
        <v>0</v>
      </c>
      <c r="U56" s="24">
        <v>0</v>
      </c>
      <c r="V56" s="24">
        <v>1</v>
      </c>
    </row>
    <row r="57" spans="1:22" ht="21" customHeight="1" x14ac:dyDescent="0.15">
      <c r="A57" s="2" t="str">
        <f ca="1">input_498104!A$2</f>
        <v>498104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38">
        <f ca="1">IFERROR(VLOOKUP(B57,input_498104!L:R,7,FALSE),VLOOKUP(tables_498104!C57,input_498104!A:H,8,FALSE))</f>
        <v>0</v>
      </c>
      <c r="P57" s="39">
        <f t="shared" ca="1" si="1"/>
        <v>0</v>
      </c>
      <c r="Q57" s="24">
        <v>1</v>
      </c>
      <c r="R57" s="24">
        <v>0</v>
      </c>
      <c r="S57" s="24">
        <v>0</v>
      </c>
      <c r="T57" s="24">
        <v>0</v>
      </c>
      <c r="U57" s="24">
        <v>0</v>
      </c>
      <c r="V57" s="24">
        <v>1</v>
      </c>
    </row>
    <row r="58" spans="1:22" ht="21" customHeight="1" x14ac:dyDescent="0.15">
      <c r="A58" s="2" t="str">
        <f ca="1">input_498104!A$2</f>
        <v>498104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38">
        <f ca="1">IFERROR(VLOOKUP(B58,input_498104!L:R,7,FALSE),VLOOKUP(tables_498104!C58,input_498104!A:H,8,FALSE))</f>
        <v>976938.46154000005</v>
      </c>
      <c r="P58" s="39">
        <f t="shared" ca="1" si="1"/>
        <v>8.5188216039310503E-3</v>
      </c>
      <c r="Q58" s="24">
        <v>1</v>
      </c>
      <c r="R58" s="24">
        <v>0</v>
      </c>
      <c r="S58" s="24">
        <v>0</v>
      </c>
      <c r="T58" s="24">
        <v>0</v>
      </c>
      <c r="U58" s="24">
        <v>0</v>
      </c>
      <c r="V58" s="24">
        <v>1</v>
      </c>
    </row>
    <row r="59" spans="1:22" ht="21" customHeight="1" x14ac:dyDescent="0.15">
      <c r="A59" s="2" t="str">
        <f ca="1">input_498104!A$2</f>
        <v>498104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38">
        <f ca="1">IFERROR(VLOOKUP(B59,input_498104!L:R,7,FALSE),VLOOKUP(tables_498104!C59,input_498104!A:H,8,FALSE))</f>
        <v>57550.769229999998</v>
      </c>
      <c r="P59" s="39">
        <f t="shared" ca="1" si="1"/>
        <v>5.0183789004124566E-4</v>
      </c>
      <c r="Q59" s="24">
        <v>1</v>
      </c>
      <c r="R59" s="24">
        <v>0</v>
      </c>
      <c r="S59" s="24">
        <v>0</v>
      </c>
      <c r="T59" s="24">
        <v>0</v>
      </c>
      <c r="U59" s="24">
        <v>0</v>
      </c>
      <c r="V59" s="24">
        <v>1</v>
      </c>
    </row>
    <row r="60" spans="1:22" ht="21" customHeight="1" x14ac:dyDescent="0.15">
      <c r="A60" s="2" t="str">
        <f ca="1">input_498104!A$2</f>
        <v>498104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38">
        <f ca="1">IFERROR(VLOOKUP(B60,input_498104!L:R,7,FALSE),VLOOKUP(tables_498104!C60,input_498104!A:H,8,FALSE))</f>
        <v>0</v>
      </c>
      <c r="P60" s="39">
        <f t="shared" ca="1" si="1"/>
        <v>0</v>
      </c>
      <c r="Q60" s="24">
        <v>1</v>
      </c>
      <c r="R60" s="24">
        <v>0</v>
      </c>
      <c r="S60" s="24">
        <v>0</v>
      </c>
      <c r="T60" s="24">
        <v>0</v>
      </c>
      <c r="U60" s="24">
        <v>0</v>
      </c>
      <c r="V60" s="24">
        <v>1</v>
      </c>
    </row>
    <row r="61" spans="1:22" ht="21" customHeight="1" x14ac:dyDescent="0.15">
      <c r="A61" s="2" t="str">
        <f ca="1">input_498104!A$2</f>
        <v>498104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38">
        <f ca="1">IFERROR(VLOOKUP(B61,input_498104!L:R,7,FALSE),VLOOKUP(tables_498104!C61,input_498104!A:H,8,FALSE))</f>
        <v>976938.46154000005</v>
      </c>
      <c r="P61" s="39">
        <f t="shared" ca="1" si="1"/>
        <v>8.5188216039310503E-3</v>
      </c>
      <c r="Q61" s="24">
        <v>1</v>
      </c>
      <c r="R61" s="24">
        <v>0</v>
      </c>
      <c r="S61" s="24">
        <v>0</v>
      </c>
      <c r="T61" s="24">
        <v>0</v>
      </c>
      <c r="U61" s="24">
        <v>0</v>
      </c>
      <c r="V61" s="24">
        <v>1</v>
      </c>
    </row>
    <row r="62" spans="1:22" ht="21" customHeight="1" x14ac:dyDescent="0.15">
      <c r="A62" s="2" t="str">
        <f ca="1">input_498104!A$2</f>
        <v>498104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38">
        <f ca="1">IFERROR(VLOOKUP(B62,input_498104!L:R,7,FALSE),VLOOKUP(tables_498104!C62,input_498104!A:H,8,FALSE))</f>
        <v>57550.769229999998</v>
      </c>
      <c r="P62" s="39">
        <f t="shared" ca="1" si="1"/>
        <v>5.0183789004124566E-4</v>
      </c>
      <c r="Q62" s="24">
        <v>1</v>
      </c>
      <c r="R62" s="24">
        <v>0</v>
      </c>
      <c r="S62" s="24">
        <v>0</v>
      </c>
      <c r="T62" s="24">
        <v>0</v>
      </c>
      <c r="U62" s="24">
        <v>0</v>
      </c>
      <c r="V62" s="24">
        <v>1</v>
      </c>
    </row>
    <row r="63" spans="1:22" ht="21" customHeight="1" x14ac:dyDescent="0.15">
      <c r="A63" s="2" t="str">
        <f ca="1">input_498104!A$2</f>
        <v>498104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38">
        <f ca="1">IFERROR(VLOOKUP(B63,input_498104!L:R,7,FALSE),VLOOKUP(tables_498104!C63,input_498104!A:H,8,FALSE))</f>
        <v>0</v>
      </c>
      <c r="P63" s="39">
        <f t="shared" ca="1" si="1"/>
        <v>0</v>
      </c>
      <c r="Q63" s="24">
        <v>1</v>
      </c>
      <c r="R63" s="24">
        <v>0</v>
      </c>
      <c r="S63" s="24">
        <v>0</v>
      </c>
      <c r="T63" s="24">
        <v>0</v>
      </c>
      <c r="U63" s="24">
        <v>0</v>
      </c>
      <c r="V63" s="24">
        <v>1</v>
      </c>
    </row>
    <row r="64" spans="1:22" ht="21" customHeight="1" x14ac:dyDescent="0.15">
      <c r="A64" s="2" t="str">
        <f ca="1">input_498104!A$2</f>
        <v>498104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38">
        <f ca="1">IFERROR(VLOOKUP(B64,input_498104!L:R,7,FALSE),VLOOKUP(tables_498104!C64,input_498104!A:H,8,FALSE))</f>
        <v>976938.46154000005</v>
      </c>
      <c r="P64" s="39">
        <f t="shared" ca="1" si="1"/>
        <v>8.5188216039310503E-3</v>
      </c>
      <c r="Q64" s="24">
        <v>1</v>
      </c>
      <c r="R64" s="24">
        <v>0</v>
      </c>
      <c r="S64" s="24">
        <v>0</v>
      </c>
      <c r="T64" s="24">
        <v>0</v>
      </c>
      <c r="U64" s="24">
        <v>0</v>
      </c>
      <c r="V64" s="24">
        <v>1</v>
      </c>
    </row>
    <row r="65" spans="1:22" ht="21" customHeight="1" x14ac:dyDescent="0.15">
      <c r="A65" s="2" t="str">
        <f ca="1">input_498104!A$2</f>
        <v>498104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38">
        <f ca="1">IFERROR(VLOOKUP(B65,input_498104!L:R,7,FALSE),VLOOKUP(tables_498104!C65,input_498104!A:H,8,FALSE))</f>
        <v>57550.769229999998</v>
      </c>
      <c r="P65" s="39">
        <f t="shared" ca="1" si="1"/>
        <v>5.0183789004124566E-4</v>
      </c>
      <c r="Q65" s="24">
        <v>1</v>
      </c>
      <c r="R65" s="24">
        <v>0</v>
      </c>
      <c r="S65" s="24">
        <v>0</v>
      </c>
      <c r="T65" s="24">
        <v>0</v>
      </c>
      <c r="U65" s="24">
        <v>0</v>
      </c>
      <c r="V65" s="24">
        <v>1</v>
      </c>
    </row>
    <row r="66" spans="1:22" s="9" customFormat="1" ht="21" customHeight="1" thickBot="1" x14ac:dyDescent="0.2">
      <c r="A66" s="2" t="str">
        <f ca="1">input_498104!A$2</f>
        <v>498104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38">
        <f ca="1">IFERROR(VLOOKUP(B66,input_498104!L:R,7,FALSE),VLOOKUP(tables_498104!C66,input_498104!A:H,8,FALSE))</f>
        <v>0</v>
      </c>
      <c r="P66" s="39">
        <f t="shared" ref="P66:P129" ca="1" si="4">O66/SUM(O:O)</f>
        <v>0</v>
      </c>
      <c r="Q66" s="24">
        <v>1</v>
      </c>
      <c r="R66" s="24">
        <v>0</v>
      </c>
      <c r="S66" s="24">
        <v>0</v>
      </c>
      <c r="T66" s="24">
        <v>0</v>
      </c>
      <c r="U66" s="24">
        <v>0</v>
      </c>
      <c r="V66" s="24">
        <v>1</v>
      </c>
    </row>
    <row r="67" spans="1:22" ht="21" customHeight="1" x14ac:dyDescent="0.15">
      <c r="A67" s="2" t="str">
        <f ca="1">input_498104!A$2</f>
        <v>498104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38">
        <f ca="1">IFERROR(VLOOKUP(B67,input_498104!L:R,7,FALSE),VLOOKUP(tables_498104!C67,input_498104!A:H,8,FALSE))</f>
        <v>976938.46154000005</v>
      </c>
      <c r="P67" s="39">
        <f t="shared" ca="1" si="4"/>
        <v>8.5188216039310503E-3</v>
      </c>
      <c r="Q67" s="24">
        <v>1</v>
      </c>
      <c r="R67" s="24">
        <v>0</v>
      </c>
      <c r="S67" s="24">
        <v>0</v>
      </c>
      <c r="T67" s="24">
        <v>0</v>
      </c>
      <c r="U67" s="24">
        <v>0</v>
      </c>
      <c r="V67" s="24">
        <v>1</v>
      </c>
    </row>
    <row r="68" spans="1:22" ht="21" customHeight="1" x14ac:dyDescent="0.15">
      <c r="A68" s="2" t="str">
        <f ca="1">input_498104!A$2</f>
        <v>498104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38">
        <f ca="1">IFERROR(VLOOKUP(B68,input_498104!L:R,7,FALSE),VLOOKUP(tables_498104!C68,input_498104!A:H,8,FALSE))</f>
        <v>57550.769229999998</v>
      </c>
      <c r="P68" s="39">
        <f t="shared" ca="1" si="4"/>
        <v>5.0183789004124566E-4</v>
      </c>
      <c r="Q68" s="24">
        <v>1</v>
      </c>
      <c r="R68" s="24">
        <v>0</v>
      </c>
      <c r="S68" s="24">
        <v>0</v>
      </c>
      <c r="T68" s="24">
        <v>0</v>
      </c>
      <c r="U68" s="24">
        <v>0</v>
      </c>
      <c r="V68" s="24">
        <v>1</v>
      </c>
    </row>
    <row r="69" spans="1:22" ht="21" customHeight="1" x14ac:dyDescent="0.15">
      <c r="A69" s="2" t="str">
        <f ca="1">input_498104!A$2</f>
        <v>498104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38">
        <f ca="1">IFERROR(VLOOKUP(B69,input_498104!L:R,7,FALSE),VLOOKUP(tables_498104!C69,input_498104!A:H,8,FALSE))</f>
        <v>0</v>
      </c>
      <c r="P69" s="39">
        <f t="shared" ca="1" si="4"/>
        <v>0</v>
      </c>
      <c r="Q69" s="24">
        <v>1</v>
      </c>
      <c r="R69" s="24">
        <v>0</v>
      </c>
      <c r="S69" s="24">
        <v>0</v>
      </c>
      <c r="T69" s="24">
        <v>0</v>
      </c>
      <c r="U69" s="24">
        <v>0</v>
      </c>
      <c r="V69" s="24">
        <v>1</v>
      </c>
    </row>
    <row r="70" spans="1:22" ht="21" customHeight="1" x14ac:dyDescent="0.15">
      <c r="A70" s="2" t="str">
        <f ca="1">input_498104!A$2</f>
        <v>498104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38">
        <f ca="1">IFERROR(VLOOKUP(B70,input_498104!L:R,7,FALSE),VLOOKUP(tables_498104!C70,input_498104!A:H,8,FALSE))</f>
        <v>976938.46154000005</v>
      </c>
      <c r="P70" s="39">
        <f t="shared" ca="1" si="4"/>
        <v>8.5188216039310503E-3</v>
      </c>
      <c r="Q70" s="24">
        <v>1</v>
      </c>
      <c r="R70" s="24">
        <v>0</v>
      </c>
      <c r="S70" s="24">
        <v>0</v>
      </c>
      <c r="T70" s="24">
        <v>0</v>
      </c>
      <c r="U70" s="24">
        <v>0</v>
      </c>
      <c r="V70" s="24">
        <v>1</v>
      </c>
    </row>
    <row r="71" spans="1:22" ht="21" customHeight="1" x14ac:dyDescent="0.15">
      <c r="A71" s="2" t="str">
        <f ca="1">input_498104!A$2</f>
        <v>498104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38">
        <f ca="1">IFERROR(VLOOKUP(B71,input_498104!L:R,7,FALSE),VLOOKUP(tables_498104!C71,input_498104!A:H,8,FALSE))</f>
        <v>57550.769229999998</v>
      </c>
      <c r="P71" s="39">
        <f t="shared" ca="1" si="4"/>
        <v>5.0183789004124566E-4</v>
      </c>
      <c r="Q71" s="24">
        <v>1</v>
      </c>
      <c r="R71" s="24">
        <v>0</v>
      </c>
      <c r="S71" s="24">
        <v>0</v>
      </c>
      <c r="T71" s="24">
        <v>0</v>
      </c>
      <c r="U71" s="24">
        <v>0</v>
      </c>
      <c r="V71" s="24">
        <v>1</v>
      </c>
    </row>
    <row r="72" spans="1:22" ht="21" customHeight="1" x14ac:dyDescent="0.15">
      <c r="A72" s="2" t="str">
        <f ca="1">input_498104!A$2</f>
        <v>498104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38">
        <f ca="1">IFERROR(VLOOKUP(B72,input_498104!L:R,7,FALSE),VLOOKUP(tables_498104!C72,input_498104!A:H,8,FALSE))</f>
        <v>0</v>
      </c>
      <c r="P72" s="39">
        <f t="shared" ca="1" si="4"/>
        <v>0</v>
      </c>
      <c r="Q72" s="24">
        <v>1</v>
      </c>
      <c r="R72" s="24">
        <v>0</v>
      </c>
      <c r="S72" s="24">
        <v>0</v>
      </c>
      <c r="T72" s="24">
        <v>0</v>
      </c>
      <c r="U72" s="24">
        <v>0</v>
      </c>
      <c r="V72" s="24">
        <v>1</v>
      </c>
    </row>
    <row r="73" spans="1:22" ht="21" customHeight="1" x14ac:dyDescent="0.15">
      <c r="A73" s="2" t="str">
        <f ca="1">input_498104!A$2</f>
        <v>498104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38">
        <f ca="1">IFERROR(VLOOKUP(B73,input_498104!L:R,7,FALSE),VLOOKUP(tables_498104!C73,input_498104!A:H,8,FALSE))</f>
        <v>976938.46154000005</v>
      </c>
      <c r="P73" s="39">
        <f t="shared" ca="1" si="4"/>
        <v>8.5188216039310503E-3</v>
      </c>
      <c r="Q73" s="24">
        <v>1</v>
      </c>
      <c r="R73" s="24">
        <v>0</v>
      </c>
      <c r="S73" s="24">
        <v>0</v>
      </c>
      <c r="T73" s="24">
        <v>0</v>
      </c>
      <c r="U73" s="24">
        <v>0</v>
      </c>
      <c r="V73" s="24">
        <v>1</v>
      </c>
    </row>
    <row r="74" spans="1:22" ht="21" customHeight="1" x14ac:dyDescent="0.15">
      <c r="A74" s="2" t="str">
        <f ca="1">input_498104!A$2</f>
        <v>498104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38">
        <f ca="1">IFERROR(VLOOKUP(B74,input_498104!L:R,7,FALSE),VLOOKUP(tables_498104!C74,input_498104!A:H,8,FALSE))</f>
        <v>57550.769229999998</v>
      </c>
      <c r="P74" s="39">
        <f t="shared" ca="1" si="4"/>
        <v>5.0183789004124566E-4</v>
      </c>
      <c r="Q74" s="24">
        <v>1</v>
      </c>
      <c r="R74" s="24">
        <v>0</v>
      </c>
      <c r="S74" s="24">
        <v>0</v>
      </c>
      <c r="T74" s="24">
        <v>0</v>
      </c>
      <c r="U74" s="24">
        <v>0</v>
      </c>
      <c r="V74" s="24">
        <v>1</v>
      </c>
    </row>
    <row r="75" spans="1:22" ht="21" customHeight="1" x14ac:dyDescent="0.15">
      <c r="A75" s="2" t="str">
        <f ca="1">input_498104!A$2</f>
        <v>498104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38">
        <f ca="1">IFERROR(VLOOKUP(B75,input_498104!L:R,7,FALSE),VLOOKUP(tables_498104!C75,input_498104!A:H,8,FALSE))</f>
        <v>0</v>
      </c>
      <c r="P75" s="39">
        <f t="shared" ca="1" si="4"/>
        <v>0</v>
      </c>
      <c r="Q75" s="24">
        <v>1</v>
      </c>
      <c r="R75" s="24">
        <v>0</v>
      </c>
      <c r="S75" s="24">
        <v>0</v>
      </c>
      <c r="T75" s="24">
        <v>0</v>
      </c>
      <c r="U75" s="24">
        <v>0</v>
      </c>
      <c r="V75" s="24">
        <v>1</v>
      </c>
    </row>
    <row r="76" spans="1:22" ht="21" customHeight="1" x14ac:dyDescent="0.15">
      <c r="A76" s="2" t="str">
        <f ca="1">input_498104!A$2</f>
        <v>498104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38">
        <f ca="1">IFERROR(VLOOKUP(B76,input_498104!L:R,7,FALSE),VLOOKUP(tables_498104!C76,input_498104!A:H,8,FALSE))</f>
        <v>976938.46154000005</v>
      </c>
      <c r="P76" s="39">
        <f t="shared" ca="1" si="4"/>
        <v>8.5188216039310503E-3</v>
      </c>
      <c r="Q76" s="24">
        <v>1</v>
      </c>
      <c r="R76" s="24">
        <v>0</v>
      </c>
      <c r="S76" s="24">
        <v>0</v>
      </c>
      <c r="T76" s="24">
        <v>0</v>
      </c>
      <c r="U76" s="24">
        <v>0</v>
      </c>
      <c r="V76" s="24">
        <v>1</v>
      </c>
    </row>
    <row r="77" spans="1:22" ht="21" customHeight="1" x14ac:dyDescent="0.15">
      <c r="A77" s="2" t="str">
        <f ca="1">input_498104!A$2</f>
        <v>498104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38">
        <f ca="1">IFERROR(VLOOKUP(B77,input_498104!L:R,7,FALSE),VLOOKUP(tables_498104!C77,input_498104!A:H,8,FALSE))</f>
        <v>57550.769229999998</v>
      </c>
      <c r="P77" s="39">
        <f t="shared" ca="1" si="4"/>
        <v>5.0183789004124566E-4</v>
      </c>
      <c r="Q77" s="24">
        <v>1</v>
      </c>
      <c r="R77" s="24">
        <v>0</v>
      </c>
      <c r="S77" s="24">
        <v>0</v>
      </c>
      <c r="T77" s="24">
        <v>0</v>
      </c>
      <c r="U77" s="24">
        <v>0</v>
      </c>
      <c r="V77" s="24">
        <v>1</v>
      </c>
    </row>
    <row r="78" spans="1:22" ht="21" customHeight="1" x14ac:dyDescent="0.15">
      <c r="A78" s="2" t="str">
        <f ca="1">input_498104!A$2</f>
        <v>498104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38">
        <f ca="1">IFERROR(VLOOKUP(B78,input_498104!L:R,7,FALSE),VLOOKUP(tables_498104!C78,input_498104!A:H,8,FALSE))</f>
        <v>0</v>
      </c>
      <c r="P78" s="39">
        <f t="shared" ca="1" si="4"/>
        <v>0</v>
      </c>
      <c r="Q78" s="24">
        <v>1</v>
      </c>
      <c r="R78" s="24">
        <v>0</v>
      </c>
      <c r="S78" s="24">
        <v>0</v>
      </c>
      <c r="T78" s="24">
        <v>0</v>
      </c>
      <c r="U78" s="24">
        <v>0</v>
      </c>
      <c r="V78" s="24">
        <v>1</v>
      </c>
    </row>
    <row r="79" spans="1:22" ht="21" customHeight="1" x14ac:dyDescent="0.15">
      <c r="A79" s="2" t="str">
        <f ca="1">input_498104!A$2</f>
        <v>498104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38">
        <f ca="1">IFERROR(VLOOKUP(B79,input_498104!L:R,7,FALSE),VLOOKUP(tables_498104!C79,input_498104!A:H,8,FALSE))</f>
        <v>976938.46154000005</v>
      </c>
      <c r="P79" s="39">
        <f t="shared" ca="1" si="4"/>
        <v>8.5188216039310503E-3</v>
      </c>
      <c r="Q79" s="24">
        <v>1</v>
      </c>
      <c r="R79" s="24">
        <v>0</v>
      </c>
      <c r="S79" s="24">
        <v>0</v>
      </c>
      <c r="T79" s="24">
        <v>0</v>
      </c>
      <c r="U79" s="24">
        <v>0</v>
      </c>
      <c r="V79" s="24">
        <v>1</v>
      </c>
    </row>
    <row r="80" spans="1:22" ht="21" customHeight="1" x14ac:dyDescent="0.15">
      <c r="A80" s="2" t="str">
        <f ca="1">input_498104!A$2</f>
        <v>498104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38">
        <f ca="1">IFERROR(VLOOKUP(B80,input_498104!L:R,7,FALSE),VLOOKUP(tables_498104!C80,input_498104!A:H,8,FALSE))</f>
        <v>57550.769229999998</v>
      </c>
      <c r="P80" s="39">
        <f t="shared" ca="1" si="4"/>
        <v>5.0183789004124566E-4</v>
      </c>
      <c r="Q80" s="24">
        <v>1</v>
      </c>
      <c r="R80" s="24">
        <v>0</v>
      </c>
      <c r="S80" s="24">
        <v>0</v>
      </c>
      <c r="T80" s="24">
        <v>0</v>
      </c>
      <c r="U80" s="24">
        <v>0</v>
      </c>
      <c r="V80" s="24">
        <v>1</v>
      </c>
    </row>
    <row r="81" spans="1:22" ht="21" customHeight="1" x14ac:dyDescent="0.15">
      <c r="A81" s="2" t="str">
        <f ca="1">input_498104!A$2</f>
        <v>498104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38">
        <f ca="1">IFERROR(VLOOKUP(B81,input_498104!L:R,7,FALSE),VLOOKUP(tables_498104!C81,input_498104!A:H,8,FALSE))</f>
        <v>0</v>
      </c>
      <c r="P81" s="39">
        <f t="shared" ca="1" si="4"/>
        <v>0</v>
      </c>
      <c r="Q81" s="24">
        <v>1</v>
      </c>
      <c r="R81" s="24">
        <v>0</v>
      </c>
      <c r="S81" s="24">
        <v>0</v>
      </c>
      <c r="T81" s="24">
        <v>0</v>
      </c>
      <c r="U81" s="24">
        <v>0</v>
      </c>
      <c r="V81" s="24">
        <v>1</v>
      </c>
    </row>
    <row r="82" spans="1:22" ht="21" customHeight="1" x14ac:dyDescent="0.15">
      <c r="A82" s="2" t="str">
        <f ca="1">input_498104!A$2</f>
        <v>498104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38">
        <f ca="1">IFERROR(VLOOKUP(B82,input_498104!L:R,7,FALSE),VLOOKUP(tables_498104!C82,input_498104!A:H,8,FALSE))</f>
        <v>976938.46154000005</v>
      </c>
      <c r="P82" s="39">
        <f t="shared" ca="1" si="4"/>
        <v>8.5188216039310503E-3</v>
      </c>
      <c r="Q82" s="24">
        <v>1</v>
      </c>
      <c r="R82" s="24">
        <v>0</v>
      </c>
      <c r="S82" s="24">
        <v>0</v>
      </c>
      <c r="T82" s="24">
        <v>0</v>
      </c>
      <c r="U82" s="24">
        <v>0</v>
      </c>
      <c r="V82" s="24">
        <v>1</v>
      </c>
    </row>
    <row r="83" spans="1:22" ht="21" customHeight="1" x14ac:dyDescent="0.15">
      <c r="A83" s="2" t="str">
        <f ca="1">input_498104!A$2</f>
        <v>498104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38">
        <f ca="1">IFERROR(VLOOKUP(B83,input_498104!L:R,7,FALSE),VLOOKUP(tables_498104!C83,input_498104!A:H,8,FALSE))</f>
        <v>57550.769229999998</v>
      </c>
      <c r="P83" s="39">
        <f t="shared" ca="1" si="4"/>
        <v>5.0183789004124566E-4</v>
      </c>
      <c r="Q83" s="24">
        <v>1</v>
      </c>
      <c r="R83" s="24">
        <v>0</v>
      </c>
      <c r="S83" s="24">
        <v>0</v>
      </c>
      <c r="T83" s="24">
        <v>0</v>
      </c>
      <c r="U83" s="24">
        <v>0</v>
      </c>
      <c r="V83" s="24">
        <v>1</v>
      </c>
    </row>
    <row r="84" spans="1:22" ht="21" customHeight="1" x14ac:dyDescent="0.15">
      <c r="A84" s="2" t="str">
        <f ca="1">input_498104!A$2</f>
        <v>498104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38">
        <f ca="1">IFERROR(VLOOKUP(B84,input_498104!L:R,7,FALSE),VLOOKUP(tables_498104!C84,input_498104!A:H,8,FALSE))</f>
        <v>0</v>
      </c>
      <c r="P84" s="39">
        <f t="shared" ca="1" si="4"/>
        <v>0</v>
      </c>
      <c r="Q84" s="24">
        <v>1</v>
      </c>
      <c r="R84" s="24">
        <v>0</v>
      </c>
      <c r="S84" s="24">
        <v>0</v>
      </c>
      <c r="T84" s="24">
        <v>0</v>
      </c>
      <c r="U84" s="24">
        <v>0</v>
      </c>
      <c r="V84" s="24">
        <v>1</v>
      </c>
    </row>
    <row r="85" spans="1:22" ht="21" customHeight="1" x14ac:dyDescent="0.15">
      <c r="A85" s="2" t="str">
        <f ca="1">input_498104!A$2</f>
        <v>498104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38">
        <f ca="1">IFERROR(VLOOKUP(B85,input_498104!L:R,7,FALSE),VLOOKUP(tables_498104!C85,input_498104!A:H,8,FALSE))</f>
        <v>976938.46154000005</v>
      </c>
      <c r="P85" s="39">
        <f t="shared" ca="1" si="4"/>
        <v>8.5188216039310503E-3</v>
      </c>
      <c r="Q85" s="24">
        <v>1</v>
      </c>
      <c r="R85" s="24">
        <v>0</v>
      </c>
      <c r="S85" s="24">
        <v>0</v>
      </c>
      <c r="T85" s="24">
        <v>0</v>
      </c>
      <c r="U85" s="24">
        <v>0</v>
      </c>
      <c r="V85" s="24">
        <v>1</v>
      </c>
    </row>
    <row r="86" spans="1:22" ht="21" customHeight="1" x14ac:dyDescent="0.15">
      <c r="A86" s="2" t="str">
        <f ca="1">input_498104!A$2</f>
        <v>498104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38">
        <f ca="1">IFERROR(VLOOKUP(B86,input_498104!L:R,7,FALSE),VLOOKUP(tables_498104!C86,input_498104!A:H,8,FALSE))</f>
        <v>57550.769229999998</v>
      </c>
      <c r="P86" s="39">
        <f t="shared" ca="1" si="4"/>
        <v>5.0183789004124566E-4</v>
      </c>
      <c r="Q86" s="24">
        <v>1</v>
      </c>
      <c r="R86" s="24">
        <v>0</v>
      </c>
      <c r="S86" s="24">
        <v>0</v>
      </c>
      <c r="T86" s="24">
        <v>0</v>
      </c>
      <c r="U86" s="24">
        <v>0</v>
      </c>
      <c r="V86" s="24">
        <v>1</v>
      </c>
    </row>
    <row r="87" spans="1:22" ht="21" customHeight="1" x14ac:dyDescent="0.15">
      <c r="A87" s="2" t="str">
        <f ca="1">input_498104!A$2</f>
        <v>498104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38">
        <f ca="1">IFERROR(VLOOKUP(B87,input_498104!L:R,7,FALSE),VLOOKUP(tables_498104!C87,input_498104!A:H,8,FALSE))</f>
        <v>0</v>
      </c>
      <c r="P87" s="39">
        <f t="shared" ca="1" si="4"/>
        <v>0</v>
      </c>
      <c r="Q87" s="24">
        <v>1</v>
      </c>
      <c r="R87" s="24">
        <v>0</v>
      </c>
      <c r="S87" s="24">
        <v>0</v>
      </c>
      <c r="T87" s="24">
        <v>0</v>
      </c>
      <c r="U87" s="24">
        <v>0</v>
      </c>
      <c r="V87" s="24">
        <v>1</v>
      </c>
    </row>
    <row r="88" spans="1:22" ht="21" customHeight="1" x14ac:dyDescent="0.15">
      <c r="A88" s="2" t="str">
        <f ca="1">input_498104!A$2</f>
        <v>498104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38">
        <f ca="1">IFERROR(VLOOKUP(B88,input_498104!L:R,7,FALSE),VLOOKUP(tables_498104!C88,input_498104!A:H,8,FALSE))</f>
        <v>976938.46154000005</v>
      </c>
      <c r="P88" s="39">
        <f t="shared" ca="1" si="4"/>
        <v>8.5188216039310503E-3</v>
      </c>
      <c r="Q88" s="24">
        <v>1</v>
      </c>
      <c r="R88" s="24">
        <v>0</v>
      </c>
      <c r="S88" s="24">
        <v>0</v>
      </c>
      <c r="T88" s="24">
        <v>0</v>
      </c>
      <c r="U88" s="24">
        <v>0</v>
      </c>
      <c r="V88" s="24">
        <v>1</v>
      </c>
    </row>
    <row r="89" spans="1:22" ht="21" customHeight="1" x14ac:dyDescent="0.15">
      <c r="A89" s="2" t="str">
        <f ca="1">input_498104!A$2</f>
        <v>498104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38">
        <f ca="1">IFERROR(VLOOKUP(B89,input_498104!L:R,7,FALSE),VLOOKUP(tables_498104!C89,input_498104!A:H,8,FALSE))</f>
        <v>57550.769229999998</v>
      </c>
      <c r="P89" s="39">
        <f t="shared" ca="1" si="4"/>
        <v>5.0183789004124566E-4</v>
      </c>
      <c r="Q89" s="24">
        <v>1</v>
      </c>
      <c r="R89" s="24">
        <v>0</v>
      </c>
      <c r="S89" s="24">
        <v>0</v>
      </c>
      <c r="T89" s="24">
        <v>0</v>
      </c>
      <c r="U89" s="24">
        <v>0</v>
      </c>
      <c r="V89" s="24">
        <v>1</v>
      </c>
    </row>
    <row r="90" spans="1:22" ht="21" customHeight="1" x14ac:dyDescent="0.15">
      <c r="A90" s="2" t="str">
        <f ca="1">input_498104!A$2</f>
        <v>498104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38">
        <f ca="1">IFERROR(VLOOKUP(B90,input_498104!L:R,7,FALSE),VLOOKUP(tables_498104!C90,input_498104!A:H,8,FALSE))</f>
        <v>0</v>
      </c>
      <c r="P90" s="39">
        <f t="shared" ca="1" si="4"/>
        <v>0</v>
      </c>
      <c r="Q90" s="24">
        <v>1</v>
      </c>
      <c r="R90" s="24">
        <v>0</v>
      </c>
      <c r="S90" s="24">
        <v>0</v>
      </c>
      <c r="T90" s="24">
        <v>0</v>
      </c>
      <c r="U90" s="24">
        <v>0</v>
      </c>
      <c r="V90" s="24">
        <v>1</v>
      </c>
    </row>
    <row r="91" spans="1:22" ht="21" customHeight="1" x14ac:dyDescent="0.15">
      <c r="A91" s="2" t="str">
        <f ca="1">input_498104!A$2</f>
        <v>498104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38">
        <f ca="1">IFERROR(VLOOKUP(B91,input_498104!L:R,7,FALSE),VLOOKUP(tables_498104!C91,input_498104!A:H,8,FALSE))</f>
        <v>976938.46154000005</v>
      </c>
      <c r="P91" s="39">
        <f t="shared" ca="1" si="4"/>
        <v>8.5188216039310503E-3</v>
      </c>
      <c r="Q91" s="24">
        <v>1</v>
      </c>
      <c r="R91" s="24">
        <v>0</v>
      </c>
      <c r="S91" s="24">
        <v>0</v>
      </c>
      <c r="T91" s="24">
        <v>0</v>
      </c>
      <c r="U91" s="24">
        <v>0</v>
      </c>
      <c r="V91" s="24">
        <v>1</v>
      </c>
    </row>
    <row r="92" spans="1:22" ht="21" customHeight="1" x14ac:dyDescent="0.15">
      <c r="A92" s="2" t="str">
        <f ca="1">input_498104!A$2</f>
        <v>498104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38">
        <f ca="1">IFERROR(VLOOKUP(B92,input_498104!L:R,7,FALSE),VLOOKUP(tables_498104!C92,input_498104!A:H,8,FALSE))</f>
        <v>57550.769229999998</v>
      </c>
      <c r="P92" s="39">
        <f t="shared" ca="1" si="4"/>
        <v>5.0183789004124566E-4</v>
      </c>
      <c r="Q92" s="24">
        <v>1</v>
      </c>
      <c r="R92" s="24">
        <v>0</v>
      </c>
      <c r="S92" s="24">
        <v>0</v>
      </c>
      <c r="T92" s="24">
        <v>0</v>
      </c>
      <c r="U92" s="24">
        <v>0</v>
      </c>
      <c r="V92" s="24">
        <v>1</v>
      </c>
    </row>
    <row r="93" spans="1:22" ht="21" customHeight="1" x14ac:dyDescent="0.15">
      <c r="A93" s="2" t="str">
        <f ca="1">input_498104!A$2</f>
        <v>498104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38">
        <f ca="1">IFERROR(VLOOKUP(B93,input_498104!L:R,7,FALSE),VLOOKUP(tables_498104!C93,input_498104!A:H,8,FALSE))</f>
        <v>0</v>
      </c>
      <c r="P93" s="39">
        <f t="shared" ca="1" si="4"/>
        <v>0</v>
      </c>
      <c r="Q93" s="24">
        <v>1</v>
      </c>
      <c r="R93" s="24">
        <v>0</v>
      </c>
      <c r="S93" s="24">
        <v>0</v>
      </c>
      <c r="T93" s="24">
        <v>0</v>
      </c>
      <c r="U93" s="24">
        <v>0</v>
      </c>
      <c r="V93" s="24">
        <v>1</v>
      </c>
    </row>
    <row r="94" spans="1:22" ht="21" customHeight="1" x14ac:dyDescent="0.15">
      <c r="A94" s="2" t="str">
        <f ca="1">input_498104!A$2</f>
        <v>498104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38">
        <f ca="1">IFERROR(VLOOKUP(B94,input_498104!L:R,7,FALSE),VLOOKUP(tables_498104!C94,input_498104!A:H,8,FALSE))</f>
        <v>976938.46154000005</v>
      </c>
      <c r="P94" s="39">
        <f t="shared" ca="1" si="4"/>
        <v>8.5188216039310503E-3</v>
      </c>
      <c r="Q94" s="24">
        <v>1</v>
      </c>
      <c r="R94" s="24">
        <v>0</v>
      </c>
      <c r="S94" s="24">
        <v>0</v>
      </c>
      <c r="T94" s="24">
        <v>0</v>
      </c>
      <c r="U94" s="24">
        <v>0</v>
      </c>
      <c r="V94" s="24">
        <v>1</v>
      </c>
    </row>
    <row r="95" spans="1:22" ht="21" customHeight="1" x14ac:dyDescent="0.15">
      <c r="A95" s="2" t="str">
        <f ca="1">input_498104!A$2</f>
        <v>498104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38">
        <f ca="1">IFERROR(VLOOKUP(B95,input_498104!L:R,7,FALSE),VLOOKUP(tables_498104!C95,input_498104!A:H,8,FALSE))</f>
        <v>57550.769229999998</v>
      </c>
      <c r="P95" s="39">
        <f t="shared" ca="1" si="4"/>
        <v>5.0183789004124566E-4</v>
      </c>
      <c r="Q95" s="24">
        <v>1</v>
      </c>
      <c r="R95" s="24">
        <v>0</v>
      </c>
      <c r="S95" s="24">
        <v>0</v>
      </c>
      <c r="T95" s="24">
        <v>0</v>
      </c>
      <c r="U95" s="24">
        <v>0</v>
      </c>
      <c r="V95" s="24">
        <v>1</v>
      </c>
    </row>
    <row r="96" spans="1:22" ht="21" customHeight="1" x14ac:dyDescent="0.15">
      <c r="A96" s="2" t="str">
        <f ca="1">input_498104!A$2</f>
        <v>498104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38">
        <f ca="1">IFERROR(VLOOKUP(B96,input_498104!L:R,7,FALSE),VLOOKUP(tables_498104!C96,input_498104!A:H,8,FALSE))</f>
        <v>0</v>
      </c>
      <c r="P96" s="39">
        <f t="shared" ca="1" si="4"/>
        <v>0</v>
      </c>
      <c r="Q96" s="24">
        <v>1</v>
      </c>
      <c r="R96" s="24">
        <v>0</v>
      </c>
      <c r="S96" s="24">
        <v>0</v>
      </c>
      <c r="T96" s="24">
        <v>0</v>
      </c>
      <c r="U96" s="24">
        <v>0</v>
      </c>
      <c r="V96" s="24">
        <v>1</v>
      </c>
    </row>
    <row r="97" spans="1:22" ht="21" customHeight="1" x14ac:dyDescent="0.15">
      <c r="A97" s="2" t="str">
        <f ca="1">input_498104!A$2</f>
        <v>498104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38">
        <f ca="1">IFERROR(VLOOKUP(B97,input_498104!L:R,7,FALSE),VLOOKUP(tables_498104!C97,input_498104!A:H,8,FALSE))</f>
        <v>976938.46154000005</v>
      </c>
      <c r="P97" s="39">
        <f t="shared" ca="1" si="4"/>
        <v>8.5188216039310503E-3</v>
      </c>
      <c r="Q97" s="24">
        <v>1</v>
      </c>
      <c r="R97" s="24">
        <v>0</v>
      </c>
      <c r="S97" s="24">
        <v>0</v>
      </c>
      <c r="T97" s="24">
        <v>0</v>
      </c>
      <c r="U97" s="24">
        <v>0</v>
      </c>
      <c r="V97" s="24">
        <v>1</v>
      </c>
    </row>
    <row r="98" spans="1:22" ht="21" customHeight="1" x14ac:dyDescent="0.15">
      <c r="A98" s="2" t="str">
        <f ca="1">input_498104!A$2</f>
        <v>498104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38">
        <f ca="1">IFERROR(VLOOKUP(B98,input_498104!L:R,7,FALSE),VLOOKUP(tables_498104!C98,input_498104!A:H,8,FALSE))</f>
        <v>57550.769229999998</v>
      </c>
      <c r="P98" s="39">
        <f t="shared" ca="1" si="4"/>
        <v>5.0183789004124566E-4</v>
      </c>
      <c r="Q98" s="24">
        <v>1</v>
      </c>
      <c r="R98" s="24">
        <v>0</v>
      </c>
      <c r="S98" s="24">
        <v>0</v>
      </c>
      <c r="T98" s="24">
        <v>0</v>
      </c>
      <c r="U98" s="24">
        <v>0</v>
      </c>
      <c r="V98" s="24">
        <v>1</v>
      </c>
    </row>
    <row r="99" spans="1:22" ht="21" customHeight="1" x14ac:dyDescent="0.15">
      <c r="A99" s="2" t="str">
        <f ca="1">input_498104!A$2</f>
        <v>498104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38">
        <f ca="1">IFERROR(VLOOKUP(B99,input_498104!L:R,7,FALSE),VLOOKUP(tables_498104!C99,input_498104!A:H,8,FALSE))</f>
        <v>0</v>
      </c>
      <c r="P99" s="39">
        <f t="shared" ca="1" si="4"/>
        <v>0</v>
      </c>
      <c r="Q99" s="24">
        <v>1</v>
      </c>
      <c r="R99" s="24">
        <v>0</v>
      </c>
      <c r="S99" s="24">
        <v>0</v>
      </c>
      <c r="T99" s="24">
        <v>0</v>
      </c>
      <c r="U99" s="24">
        <v>0</v>
      </c>
      <c r="V99" s="24">
        <v>1</v>
      </c>
    </row>
    <row r="100" spans="1:22" ht="21" customHeight="1" x14ac:dyDescent="0.15">
      <c r="A100" s="2" t="str">
        <f ca="1">input_498104!A$2</f>
        <v>498104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38">
        <f ca="1">IFERROR(VLOOKUP(B100,input_498104!L:R,7,FALSE),VLOOKUP(tables_498104!C100,input_498104!A:H,8,FALSE))</f>
        <v>976938.46154000005</v>
      </c>
      <c r="P100" s="39">
        <f t="shared" ca="1" si="4"/>
        <v>8.5188216039310503E-3</v>
      </c>
      <c r="Q100" s="24">
        <v>1</v>
      </c>
      <c r="R100" s="24">
        <v>0</v>
      </c>
      <c r="S100" s="24">
        <v>0</v>
      </c>
      <c r="T100" s="24">
        <v>0</v>
      </c>
      <c r="U100" s="24">
        <v>0</v>
      </c>
      <c r="V100" s="24">
        <v>1</v>
      </c>
    </row>
    <row r="101" spans="1:22" ht="21" customHeight="1" x14ac:dyDescent="0.15">
      <c r="A101" s="2" t="str">
        <f ca="1">input_498104!A$2</f>
        <v>498104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38">
        <f ca="1">IFERROR(VLOOKUP(B101,input_498104!L:R,7,FALSE),VLOOKUP(tables_498104!C101,input_498104!A:H,8,FALSE))</f>
        <v>57550.769229999998</v>
      </c>
      <c r="P101" s="39">
        <f t="shared" ca="1" si="4"/>
        <v>5.0183789004124566E-4</v>
      </c>
      <c r="Q101" s="24">
        <v>1</v>
      </c>
      <c r="R101" s="24">
        <v>0</v>
      </c>
      <c r="S101" s="24">
        <v>0</v>
      </c>
      <c r="T101" s="24">
        <v>0</v>
      </c>
      <c r="U101" s="24">
        <v>0</v>
      </c>
      <c r="V101" s="24">
        <v>1</v>
      </c>
    </row>
    <row r="102" spans="1:22" ht="21" customHeight="1" x14ac:dyDescent="0.15">
      <c r="A102" s="2" t="str">
        <f ca="1">input_498104!A$2</f>
        <v>498104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38">
        <f ca="1">IFERROR(VLOOKUP(B102,input_498104!L:R,7,FALSE),VLOOKUP(tables_498104!C102,input_498104!A:H,8,FALSE))</f>
        <v>0</v>
      </c>
      <c r="P102" s="39">
        <f t="shared" ca="1" si="4"/>
        <v>0</v>
      </c>
      <c r="Q102" s="24">
        <v>1</v>
      </c>
      <c r="R102" s="24">
        <v>0</v>
      </c>
      <c r="S102" s="24">
        <v>0</v>
      </c>
      <c r="T102" s="24">
        <v>0</v>
      </c>
      <c r="U102" s="24">
        <v>0</v>
      </c>
      <c r="V102" s="24">
        <v>1</v>
      </c>
    </row>
    <row r="103" spans="1:22" ht="21" customHeight="1" x14ac:dyDescent="0.15">
      <c r="A103" s="2" t="str">
        <f ca="1">input_498104!A$2</f>
        <v>498104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38">
        <f ca="1">IFERROR(VLOOKUP(B103,input_498104!L:R,7,FALSE),VLOOKUP(tables_498104!C103,input_498104!A:H,8,FALSE))</f>
        <v>976938.46154000005</v>
      </c>
      <c r="P103" s="39">
        <f t="shared" ca="1" si="4"/>
        <v>8.5188216039310503E-3</v>
      </c>
      <c r="Q103" s="24">
        <v>1</v>
      </c>
      <c r="R103" s="24">
        <v>0</v>
      </c>
      <c r="S103" s="24">
        <v>0</v>
      </c>
      <c r="T103" s="24">
        <v>0</v>
      </c>
      <c r="U103" s="24">
        <v>0</v>
      </c>
      <c r="V103" s="24">
        <v>1</v>
      </c>
    </row>
    <row r="104" spans="1:22" ht="21" customHeight="1" x14ac:dyDescent="0.15">
      <c r="A104" s="2" t="str">
        <f ca="1">input_498104!A$2</f>
        <v>498104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38">
        <f ca="1">IFERROR(VLOOKUP(B104,input_498104!L:R,7,FALSE),VLOOKUP(tables_498104!C104,input_498104!A:H,8,FALSE))</f>
        <v>57550.769229999998</v>
      </c>
      <c r="P104" s="39">
        <f t="shared" ca="1" si="4"/>
        <v>5.0183789004124566E-4</v>
      </c>
      <c r="Q104" s="24">
        <v>1</v>
      </c>
      <c r="R104" s="24">
        <v>0</v>
      </c>
      <c r="S104" s="24">
        <v>0</v>
      </c>
      <c r="T104" s="24">
        <v>0</v>
      </c>
      <c r="U104" s="24">
        <v>0</v>
      </c>
      <c r="V104" s="24">
        <v>1</v>
      </c>
    </row>
    <row r="105" spans="1:22" ht="21" customHeight="1" x14ac:dyDescent="0.15">
      <c r="A105" s="2" t="str">
        <f ca="1">input_498104!A$2</f>
        <v>498104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38">
        <f ca="1">IFERROR(VLOOKUP(B105,input_498104!L:R,7,FALSE),VLOOKUP(tables_498104!C105,input_498104!A:H,8,FALSE))</f>
        <v>0</v>
      </c>
      <c r="P105" s="39">
        <f t="shared" ca="1" si="4"/>
        <v>0</v>
      </c>
      <c r="Q105" s="24">
        <v>1</v>
      </c>
      <c r="R105" s="24">
        <v>0</v>
      </c>
      <c r="S105" s="24">
        <v>0</v>
      </c>
      <c r="T105" s="24">
        <v>0</v>
      </c>
      <c r="U105" s="24">
        <v>0</v>
      </c>
      <c r="V105" s="24">
        <v>1</v>
      </c>
    </row>
    <row r="106" spans="1:22" ht="21" customHeight="1" x14ac:dyDescent="0.15">
      <c r="A106" s="2" t="str">
        <f ca="1">input_498104!A$2</f>
        <v>498104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38">
        <f ca="1">IFERROR(VLOOKUP(B106,input_498104!L:R,7,FALSE),VLOOKUP(tables_498104!C106,input_498104!A:H,8,FALSE))</f>
        <v>976938.46154000005</v>
      </c>
      <c r="P106" s="39">
        <f t="shared" ca="1" si="4"/>
        <v>8.5188216039310503E-3</v>
      </c>
      <c r="Q106" s="24">
        <v>1</v>
      </c>
      <c r="R106" s="24">
        <v>0</v>
      </c>
      <c r="S106" s="24">
        <v>0</v>
      </c>
      <c r="T106" s="24">
        <v>0</v>
      </c>
      <c r="U106" s="24">
        <v>0</v>
      </c>
      <c r="V106" s="24">
        <v>1</v>
      </c>
    </row>
    <row r="107" spans="1:22" ht="21" customHeight="1" x14ac:dyDescent="0.15">
      <c r="A107" s="2" t="str">
        <f ca="1">input_498104!A$2</f>
        <v>498104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38">
        <f ca="1">IFERROR(VLOOKUP(B107,input_498104!L:R,7,FALSE),VLOOKUP(tables_498104!C107,input_498104!A:H,8,FALSE))</f>
        <v>57550.769229999998</v>
      </c>
      <c r="P107" s="39">
        <f t="shared" ca="1" si="4"/>
        <v>5.0183789004124566E-4</v>
      </c>
      <c r="Q107" s="24">
        <v>1</v>
      </c>
      <c r="R107" s="24">
        <v>0</v>
      </c>
      <c r="S107" s="24">
        <v>0</v>
      </c>
      <c r="T107" s="24">
        <v>0</v>
      </c>
      <c r="U107" s="24">
        <v>0</v>
      </c>
      <c r="V107" s="24">
        <v>1</v>
      </c>
    </row>
    <row r="108" spans="1:22" ht="21" customHeight="1" x14ac:dyDescent="0.15">
      <c r="A108" s="2" t="str">
        <f ca="1">input_498104!A$2</f>
        <v>498104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38">
        <f ca="1">IFERROR(VLOOKUP(B108,input_498104!L:R,7,FALSE),VLOOKUP(tables_498104!C108,input_498104!A:H,8,FALSE))</f>
        <v>0</v>
      </c>
      <c r="P108" s="39">
        <f t="shared" ca="1" si="4"/>
        <v>0</v>
      </c>
      <c r="Q108" s="24">
        <v>1</v>
      </c>
      <c r="R108" s="24">
        <v>0</v>
      </c>
      <c r="S108" s="24">
        <v>0</v>
      </c>
      <c r="T108" s="24">
        <v>0</v>
      </c>
      <c r="U108" s="24">
        <v>0</v>
      </c>
      <c r="V108" s="24">
        <v>1</v>
      </c>
    </row>
    <row r="109" spans="1:22" ht="21" customHeight="1" x14ac:dyDescent="0.15">
      <c r="A109" s="2" t="str">
        <f ca="1">input_498104!A$2</f>
        <v>498104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38">
        <f ca="1">IFERROR(VLOOKUP(B109,input_498104!L:R,7,FALSE),VLOOKUP(tables_498104!C109,input_498104!A:H,8,FALSE))</f>
        <v>976938.46154000005</v>
      </c>
      <c r="P109" s="39">
        <f t="shared" ca="1" si="4"/>
        <v>8.5188216039310503E-3</v>
      </c>
      <c r="Q109" s="24">
        <v>1</v>
      </c>
      <c r="R109" s="24">
        <v>0</v>
      </c>
      <c r="S109" s="24">
        <v>0</v>
      </c>
      <c r="T109" s="24">
        <v>0</v>
      </c>
      <c r="U109" s="24">
        <v>0</v>
      </c>
      <c r="V109" s="24">
        <v>1</v>
      </c>
    </row>
    <row r="110" spans="1:22" ht="21" customHeight="1" x14ac:dyDescent="0.15">
      <c r="A110" s="2" t="str">
        <f ca="1">input_498104!A$2</f>
        <v>498104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38">
        <f ca="1">IFERROR(VLOOKUP(B110,input_498104!L:R,7,FALSE),VLOOKUP(tables_498104!C110,input_498104!A:H,8,FALSE))</f>
        <v>57550.769229999998</v>
      </c>
      <c r="P110" s="39">
        <f t="shared" ca="1" si="4"/>
        <v>5.0183789004124566E-4</v>
      </c>
      <c r="Q110" s="24">
        <v>1</v>
      </c>
      <c r="R110" s="24">
        <v>0</v>
      </c>
      <c r="S110" s="24">
        <v>0</v>
      </c>
      <c r="T110" s="24">
        <v>0</v>
      </c>
      <c r="U110" s="24">
        <v>0</v>
      </c>
      <c r="V110" s="24">
        <v>1</v>
      </c>
    </row>
    <row r="111" spans="1:22" ht="21" customHeight="1" x14ac:dyDescent="0.15">
      <c r="A111" s="2" t="str">
        <f ca="1">input_498104!A$2</f>
        <v>498104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38">
        <f ca="1">IFERROR(VLOOKUP(B111,input_498104!L:R,7,FALSE),VLOOKUP(tables_498104!C111,input_498104!A:H,8,FALSE))</f>
        <v>0</v>
      </c>
      <c r="P111" s="39">
        <f t="shared" ca="1" si="4"/>
        <v>0</v>
      </c>
      <c r="Q111" s="24">
        <v>1</v>
      </c>
      <c r="R111" s="24">
        <v>0</v>
      </c>
      <c r="S111" s="24">
        <v>0</v>
      </c>
      <c r="T111" s="24">
        <v>0</v>
      </c>
      <c r="U111" s="24">
        <v>0</v>
      </c>
      <c r="V111" s="24">
        <v>1</v>
      </c>
    </row>
    <row r="112" spans="1:22" ht="21" customHeight="1" x14ac:dyDescent="0.15">
      <c r="A112" s="2" t="str">
        <f ca="1">input_498104!A$2</f>
        <v>498104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38">
        <f ca="1">IFERROR(VLOOKUP(B112,input_498104!L:R,7,FALSE),VLOOKUP(tables_498104!C112,input_498104!A:H,8,FALSE))</f>
        <v>1043100</v>
      </c>
      <c r="P112" s="39">
        <f t="shared" ca="1" si="4"/>
        <v>9.0957446808400105E-3</v>
      </c>
      <c r="Q112" s="24">
        <v>1</v>
      </c>
      <c r="R112" s="24">
        <v>0</v>
      </c>
      <c r="S112" s="24">
        <v>0</v>
      </c>
      <c r="T112" s="24">
        <v>0</v>
      </c>
      <c r="U112" s="24">
        <v>0</v>
      </c>
      <c r="V112" s="24">
        <v>1</v>
      </c>
    </row>
    <row r="113" spans="1:22" ht="21" customHeight="1" x14ac:dyDescent="0.15">
      <c r="A113" s="2" t="str">
        <f ca="1">input_498104!A$2</f>
        <v>498104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38">
        <f ca="1">IFERROR(VLOOKUP(B113,input_498104!L:R,7,FALSE),VLOOKUP(tables_498104!C113,input_498104!A:H,8,FALSE))</f>
        <v>115900</v>
      </c>
      <c r="P113" s="39">
        <f t="shared" ca="1" si="4"/>
        <v>1.0106382978711122E-3</v>
      </c>
      <c r="Q113" s="24">
        <v>1</v>
      </c>
      <c r="R113" s="24">
        <v>0</v>
      </c>
      <c r="S113" s="24">
        <v>0</v>
      </c>
      <c r="T113" s="24">
        <v>0</v>
      </c>
      <c r="U113" s="24">
        <v>0</v>
      </c>
      <c r="V113" s="24">
        <v>1</v>
      </c>
    </row>
    <row r="114" spans="1:22" ht="21" customHeight="1" x14ac:dyDescent="0.15">
      <c r="A114" s="2" t="str">
        <f ca="1">input_498104!A$2</f>
        <v>498104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38">
        <f ca="1">IFERROR(VLOOKUP(B114,input_498104!L:R,7,FALSE),VLOOKUP(tables_498104!C114,input_498104!A:H,8,FALSE))</f>
        <v>0</v>
      </c>
      <c r="P114" s="39">
        <f t="shared" ca="1" si="4"/>
        <v>0</v>
      </c>
      <c r="Q114" s="24">
        <v>1</v>
      </c>
      <c r="R114" s="24">
        <v>0</v>
      </c>
      <c r="S114" s="24">
        <v>0</v>
      </c>
      <c r="T114" s="24">
        <v>0</v>
      </c>
      <c r="U114" s="24">
        <v>0</v>
      </c>
      <c r="V114" s="24">
        <v>1</v>
      </c>
    </row>
    <row r="115" spans="1:22" ht="21" customHeight="1" x14ac:dyDescent="0.15">
      <c r="A115" s="2" t="str">
        <f ca="1">input_498104!A$2</f>
        <v>498104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38">
        <f ca="1">IFERROR(VLOOKUP(B115,input_498104!L:R,7,FALSE),VLOOKUP(tables_498104!C115,input_498104!A:H,8,FALSE))</f>
        <v>976938.46154000005</v>
      </c>
      <c r="P115" s="39">
        <f t="shared" ca="1" si="4"/>
        <v>8.5188216039310503E-3</v>
      </c>
      <c r="Q115" s="24">
        <v>1</v>
      </c>
      <c r="R115" s="24">
        <v>0</v>
      </c>
      <c r="S115" s="24">
        <v>0</v>
      </c>
      <c r="T115" s="24">
        <v>0</v>
      </c>
      <c r="U115" s="24">
        <v>0</v>
      </c>
      <c r="V115" s="24">
        <v>1</v>
      </c>
    </row>
    <row r="116" spans="1:22" ht="21" customHeight="1" x14ac:dyDescent="0.15">
      <c r="A116" s="2" t="str">
        <f ca="1">input_498104!A$2</f>
        <v>498104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38">
        <f ca="1">IFERROR(VLOOKUP(B116,input_498104!L:R,7,FALSE),VLOOKUP(tables_498104!C116,input_498104!A:H,8,FALSE))</f>
        <v>57550.769229999998</v>
      </c>
      <c r="P116" s="39">
        <f t="shared" ca="1" si="4"/>
        <v>5.0183789004124566E-4</v>
      </c>
      <c r="Q116" s="24">
        <v>1</v>
      </c>
      <c r="R116" s="24">
        <v>0</v>
      </c>
      <c r="S116" s="24">
        <v>0</v>
      </c>
      <c r="T116" s="24">
        <v>0</v>
      </c>
      <c r="U116" s="24">
        <v>0</v>
      </c>
      <c r="V116" s="24">
        <v>1</v>
      </c>
    </row>
    <row r="117" spans="1:22" ht="21" customHeight="1" x14ac:dyDescent="0.15">
      <c r="A117" s="2" t="str">
        <f ca="1">input_498104!A$2</f>
        <v>498104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38">
        <f ca="1">IFERROR(VLOOKUP(B117,input_498104!L:R,7,FALSE),VLOOKUP(tables_498104!C117,input_498104!A:H,8,FALSE))</f>
        <v>0</v>
      </c>
      <c r="P117" s="39">
        <f t="shared" ca="1" si="4"/>
        <v>0</v>
      </c>
      <c r="Q117" s="24">
        <v>1</v>
      </c>
      <c r="R117" s="24">
        <v>0</v>
      </c>
      <c r="S117" s="24">
        <v>0</v>
      </c>
      <c r="T117" s="24">
        <v>0</v>
      </c>
      <c r="U117" s="24">
        <v>0</v>
      </c>
      <c r="V117" s="24">
        <v>1</v>
      </c>
    </row>
    <row r="118" spans="1:22" ht="21" customHeight="1" x14ac:dyDescent="0.15">
      <c r="A118" s="2" t="str">
        <f ca="1">input_498104!A$2</f>
        <v>498104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38">
        <f ca="1">IFERROR(VLOOKUP(B118,input_498104!L:R,7,FALSE),VLOOKUP(tables_498104!C118,input_498104!A:H,8,FALSE))</f>
        <v>976938.46154000005</v>
      </c>
      <c r="P118" s="39">
        <f t="shared" ca="1" si="4"/>
        <v>8.5188216039310503E-3</v>
      </c>
      <c r="Q118" s="24">
        <v>1</v>
      </c>
      <c r="R118" s="24">
        <v>0</v>
      </c>
      <c r="S118" s="24">
        <v>0</v>
      </c>
      <c r="T118" s="24">
        <v>0</v>
      </c>
      <c r="U118" s="24">
        <v>0</v>
      </c>
      <c r="V118" s="24">
        <v>1</v>
      </c>
    </row>
    <row r="119" spans="1:22" ht="21" customHeight="1" x14ac:dyDescent="0.15">
      <c r="A119" s="2" t="str">
        <f ca="1">input_498104!A$2</f>
        <v>498104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38">
        <f ca="1">IFERROR(VLOOKUP(B119,input_498104!L:R,7,FALSE),VLOOKUP(tables_498104!C119,input_498104!A:H,8,FALSE))</f>
        <v>57550.769229999998</v>
      </c>
      <c r="P119" s="39">
        <f t="shared" ca="1" si="4"/>
        <v>5.0183789004124566E-4</v>
      </c>
      <c r="Q119" s="24">
        <v>1</v>
      </c>
      <c r="R119" s="24">
        <v>0</v>
      </c>
      <c r="S119" s="24">
        <v>0</v>
      </c>
      <c r="T119" s="24">
        <v>0</v>
      </c>
      <c r="U119" s="24">
        <v>0</v>
      </c>
      <c r="V119" s="24">
        <v>1</v>
      </c>
    </row>
    <row r="120" spans="1:22" ht="21" customHeight="1" x14ac:dyDescent="0.15">
      <c r="A120" s="2" t="str">
        <f ca="1">input_498104!A$2</f>
        <v>498104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38">
        <f ca="1">IFERROR(VLOOKUP(B120,input_498104!L:R,7,FALSE),VLOOKUP(tables_498104!C120,input_498104!A:H,8,FALSE))</f>
        <v>0</v>
      </c>
      <c r="P120" s="39">
        <f t="shared" ca="1" si="4"/>
        <v>0</v>
      </c>
      <c r="Q120" s="24">
        <v>1</v>
      </c>
      <c r="R120" s="24">
        <v>0</v>
      </c>
      <c r="S120" s="24">
        <v>0</v>
      </c>
      <c r="T120" s="24">
        <v>0</v>
      </c>
      <c r="U120" s="24">
        <v>0</v>
      </c>
      <c r="V120" s="24">
        <v>1</v>
      </c>
    </row>
    <row r="121" spans="1:22" ht="21" customHeight="1" x14ac:dyDescent="0.15">
      <c r="A121" s="2" t="str">
        <f ca="1">input_498104!A$2</f>
        <v>498104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38">
        <f ca="1">IFERROR(VLOOKUP(B121,input_498104!L:R,7,FALSE),VLOOKUP(tables_498104!C121,input_498104!A:H,8,FALSE))</f>
        <v>976938.46154000005</v>
      </c>
      <c r="P121" s="39">
        <f t="shared" ca="1" si="4"/>
        <v>8.5188216039310503E-3</v>
      </c>
      <c r="Q121" s="24">
        <v>1</v>
      </c>
      <c r="R121" s="24">
        <v>0</v>
      </c>
      <c r="S121" s="24">
        <v>0</v>
      </c>
      <c r="T121" s="24">
        <v>0</v>
      </c>
      <c r="U121" s="24">
        <v>0</v>
      </c>
      <c r="V121" s="24">
        <v>1</v>
      </c>
    </row>
    <row r="122" spans="1:22" ht="21" customHeight="1" x14ac:dyDescent="0.15">
      <c r="A122" s="2" t="str">
        <f ca="1">input_498104!A$2</f>
        <v>498104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38">
        <f ca="1">IFERROR(VLOOKUP(B122,input_498104!L:R,7,FALSE),VLOOKUP(tables_498104!C122,input_498104!A:H,8,FALSE))</f>
        <v>57550.769229999998</v>
      </c>
      <c r="P122" s="39">
        <f t="shared" ca="1" si="4"/>
        <v>5.0183789004124566E-4</v>
      </c>
      <c r="Q122" s="24">
        <v>1</v>
      </c>
      <c r="R122" s="24">
        <v>0</v>
      </c>
      <c r="S122" s="24">
        <v>0</v>
      </c>
      <c r="T122" s="24">
        <v>0</v>
      </c>
      <c r="U122" s="24">
        <v>0</v>
      </c>
      <c r="V122" s="24">
        <v>1</v>
      </c>
    </row>
    <row r="123" spans="1:22" ht="21" customHeight="1" x14ac:dyDescent="0.15">
      <c r="A123" s="2" t="str">
        <f ca="1">input_498104!A$2</f>
        <v>498104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38">
        <f ca="1">IFERROR(VLOOKUP(B123,input_498104!L:R,7,FALSE),VLOOKUP(tables_498104!C123,input_498104!A:H,8,FALSE))</f>
        <v>0</v>
      </c>
      <c r="P123" s="39">
        <f t="shared" ca="1" si="4"/>
        <v>0</v>
      </c>
      <c r="Q123" s="24">
        <v>1</v>
      </c>
      <c r="R123" s="24">
        <v>0</v>
      </c>
      <c r="S123" s="24">
        <v>0</v>
      </c>
      <c r="T123" s="24">
        <v>0</v>
      </c>
      <c r="U123" s="24">
        <v>0</v>
      </c>
      <c r="V123" s="24">
        <v>1</v>
      </c>
    </row>
    <row r="124" spans="1:22" ht="21" customHeight="1" x14ac:dyDescent="0.15">
      <c r="A124" s="2" t="str">
        <f ca="1">input_498104!A$2</f>
        <v>498104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38">
        <f ca="1">IFERROR(VLOOKUP(B124,input_498104!L:R,7,FALSE),VLOOKUP(tables_498104!C124,input_498104!A:H,8,FALSE))</f>
        <v>976938.46154000005</v>
      </c>
      <c r="P124" s="39">
        <f t="shared" ca="1" si="4"/>
        <v>8.5188216039310503E-3</v>
      </c>
      <c r="Q124" s="24">
        <v>1</v>
      </c>
      <c r="R124" s="24">
        <v>0</v>
      </c>
      <c r="S124" s="24">
        <v>0</v>
      </c>
      <c r="T124" s="24">
        <v>0</v>
      </c>
      <c r="U124" s="24">
        <v>0</v>
      </c>
      <c r="V124" s="24">
        <v>1</v>
      </c>
    </row>
    <row r="125" spans="1:22" ht="21" customHeight="1" x14ac:dyDescent="0.15">
      <c r="A125" s="2" t="str">
        <f ca="1">input_498104!A$2</f>
        <v>498104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38">
        <f ca="1">IFERROR(VLOOKUP(B125,input_498104!L:R,7,FALSE),VLOOKUP(tables_498104!C125,input_498104!A:H,8,FALSE))</f>
        <v>57550.769229999998</v>
      </c>
      <c r="P125" s="39">
        <f t="shared" ca="1" si="4"/>
        <v>5.0183789004124566E-4</v>
      </c>
      <c r="Q125" s="24">
        <v>1</v>
      </c>
      <c r="R125" s="24">
        <v>0</v>
      </c>
      <c r="S125" s="24">
        <v>0</v>
      </c>
      <c r="T125" s="24">
        <v>0</v>
      </c>
      <c r="U125" s="24">
        <v>0</v>
      </c>
      <c r="V125" s="24">
        <v>1</v>
      </c>
    </row>
    <row r="126" spans="1:22" ht="21" customHeight="1" x14ac:dyDescent="0.15">
      <c r="A126" s="2" t="str">
        <f ca="1">input_498104!A$2</f>
        <v>498104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38">
        <f ca="1">IFERROR(VLOOKUP(B126,input_498104!L:R,7,FALSE),VLOOKUP(tables_498104!C126,input_498104!A:H,8,FALSE))</f>
        <v>0</v>
      </c>
      <c r="P126" s="39">
        <f t="shared" ca="1" si="4"/>
        <v>0</v>
      </c>
      <c r="Q126" s="24">
        <v>1</v>
      </c>
      <c r="R126" s="24">
        <v>0</v>
      </c>
      <c r="S126" s="24">
        <v>0</v>
      </c>
      <c r="T126" s="24">
        <v>0</v>
      </c>
      <c r="U126" s="24">
        <v>0</v>
      </c>
      <c r="V126" s="24">
        <v>1</v>
      </c>
    </row>
    <row r="127" spans="1:22" ht="21" customHeight="1" x14ac:dyDescent="0.15">
      <c r="A127" s="2" t="str">
        <f ca="1">input_498104!A$2</f>
        <v>498104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38">
        <f ca="1">IFERROR(VLOOKUP(B127,input_498104!L:R,7,FALSE),VLOOKUP(tables_498104!C127,input_498104!A:H,8,FALSE))</f>
        <v>976938.46154000005</v>
      </c>
      <c r="P127" s="39">
        <f t="shared" ca="1" si="4"/>
        <v>8.5188216039310503E-3</v>
      </c>
      <c r="Q127" s="24">
        <v>1</v>
      </c>
      <c r="R127" s="24">
        <v>0</v>
      </c>
      <c r="S127" s="24">
        <v>0</v>
      </c>
      <c r="T127" s="24">
        <v>0</v>
      </c>
      <c r="U127" s="24">
        <v>0</v>
      </c>
      <c r="V127" s="24">
        <v>1</v>
      </c>
    </row>
    <row r="128" spans="1:22" ht="21" customHeight="1" x14ac:dyDescent="0.15">
      <c r="A128" s="2" t="str">
        <f ca="1">input_498104!A$2</f>
        <v>498104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38">
        <f ca="1">IFERROR(VLOOKUP(B128,input_498104!L:R,7,FALSE),VLOOKUP(tables_498104!C128,input_498104!A:H,8,FALSE))</f>
        <v>57550.769229999998</v>
      </c>
      <c r="P128" s="39">
        <f t="shared" ca="1" si="4"/>
        <v>5.0183789004124566E-4</v>
      </c>
      <c r="Q128" s="24">
        <v>1</v>
      </c>
      <c r="R128" s="24">
        <v>0</v>
      </c>
      <c r="S128" s="24">
        <v>0</v>
      </c>
      <c r="T128" s="24">
        <v>0</v>
      </c>
      <c r="U128" s="24">
        <v>0</v>
      </c>
      <c r="V128" s="24">
        <v>1</v>
      </c>
    </row>
    <row r="129" spans="1:22" ht="21" customHeight="1" x14ac:dyDescent="0.15">
      <c r="A129" s="2" t="str">
        <f ca="1">input_498104!A$2</f>
        <v>498104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38">
        <f ca="1">IFERROR(VLOOKUP(B129,input_498104!L:R,7,FALSE),VLOOKUP(tables_498104!C129,input_498104!A:H,8,FALSE))</f>
        <v>0</v>
      </c>
      <c r="P129" s="39">
        <f t="shared" ca="1" si="4"/>
        <v>0</v>
      </c>
      <c r="Q129" s="24">
        <v>1</v>
      </c>
      <c r="R129" s="24">
        <v>0</v>
      </c>
      <c r="S129" s="24">
        <v>0</v>
      </c>
      <c r="T129" s="24">
        <v>0</v>
      </c>
      <c r="U129" s="24">
        <v>0</v>
      </c>
      <c r="V129" s="24">
        <v>1</v>
      </c>
    </row>
    <row r="130" spans="1:22" ht="21" customHeight="1" x14ac:dyDescent="0.15">
      <c r="A130" s="2" t="str">
        <f ca="1">input_498104!A$2</f>
        <v>498104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38">
        <f ca="1">IFERROR(VLOOKUP(B130,input_498104!L:R,7,FALSE),VLOOKUP(tables_498104!C130,input_498104!A:H,8,FALSE))</f>
        <v>976938.46154000005</v>
      </c>
      <c r="P130" s="39">
        <f t="shared" ref="P130:P193" ca="1" si="7">O130/SUM(O:O)</f>
        <v>8.5188216039310503E-3</v>
      </c>
      <c r="Q130" s="24">
        <v>1</v>
      </c>
      <c r="R130" s="24">
        <v>0</v>
      </c>
      <c r="S130" s="24">
        <v>0</v>
      </c>
      <c r="T130" s="24">
        <v>0</v>
      </c>
      <c r="U130" s="24">
        <v>0</v>
      </c>
      <c r="V130" s="24">
        <v>1</v>
      </c>
    </row>
    <row r="131" spans="1:22" ht="21" customHeight="1" x14ac:dyDescent="0.15">
      <c r="A131" s="2" t="str">
        <f ca="1">input_498104!A$2</f>
        <v>498104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38">
        <f ca="1">IFERROR(VLOOKUP(B131,input_498104!L:R,7,FALSE),VLOOKUP(tables_498104!C131,input_498104!A:H,8,FALSE))</f>
        <v>57550.769229999998</v>
      </c>
      <c r="P131" s="39">
        <f t="shared" ca="1" si="7"/>
        <v>5.0183789004124566E-4</v>
      </c>
      <c r="Q131" s="24">
        <v>1</v>
      </c>
      <c r="R131" s="24">
        <v>0</v>
      </c>
      <c r="S131" s="24">
        <v>0</v>
      </c>
      <c r="T131" s="24">
        <v>0</v>
      </c>
      <c r="U131" s="24">
        <v>0</v>
      </c>
      <c r="V131" s="24">
        <v>1</v>
      </c>
    </row>
    <row r="132" spans="1:22" ht="21" customHeight="1" x14ac:dyDescent="0.15">
      <c r="A132" s="2" t="str">
        <f ca="1">input_498104!A$2</f>
        <v>498104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38">
        <f ca="1">IFERROR(VLOOKUP(B132,input_498104!L:R,7,FALSE),VLOOKUP(tables_498104!C132,input_498104!A:H,8,FALSE))</f>
        <v>0</v>
      </c>
      <c r="P132" s="39">
        <f t="shared" ca="1" si="7"/>
        <v>0</v>
      </c>
      <c r="Q132" s="24">
        <v>1</v>
      </c>
      <c r="R132" s="24">
        <v>0</v>
      </c>
      <c r="S132" s="24">
        <v>0</v>
      </c>
      <c r="T132" s="24">
        <v>0</v>
      </c>
      <c r="U132" s="24">
        <v>0</v>
      </c>
      <c r="V132" s="24">
        <v>1</v>
      </c>
    </row>
    <row r="133" spans="1:22" ht="21" customHeight="1" x14ac:dyDescent="0.15">
      <c r="A133" s="2" t="str">
        <f ca="1">input_498104!A$2</f>
        <v>498104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38">
        <f ca="1">IFERROR(VLOOKUP(B133,input_498104!L:R,7,FALSE),VLOOKUP(tables_498104!C133,input_498104!A:H,8,FALSE))</f>
        <v>976938.46154000005</v>
      </c>
      <c r="P133" s="39">
        <f t="shared" ca="1" si="7"/>
        <v>8.5188216039310503E-3</v>
      </c>
      <c r="Q133" s="24">
        <v>1</v>
      </c>
      <c r="R133" s="24">
        <v>0</v>
      </c>
      <c r="S133" s="24">
        <v>0</v>
      </c>
      <c r="T133" s="24">
        <v>0</v>
      </c>
      <c r="U133" s="24">
        <v>0</v>
      </c>
      <c r="V133" s="24">
        <v>1</v>
      </c>
    </row>
    <row r="134" spans="1:22" ht="21" customHeight="1" x14ac:dyDescent="0.15">
      <c r="A134" s="2" t="str">
        <f ca="1">input_498104!A$2</f>
        <v>498104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38">
        <f ca="1">IFERROR(VLOOKUP(B134,input_498104!L:R,7,FALSE),VLOOKUP(tables_498104!C134,input_498104!A:H,8,FALSE))</f>
        <v>57550.769229999998</v>
      </c>
      <c r="P134" s="39">
        <f t="shared" ca="1" si="7"/>
        <v>5.0183789004124566E-4</v>
      </c>
      <c r="Q134" s="24">
        <v>1</v>
      </c>
      <c r="R134" s="24">
        <v>0</v>
      </c>
      <c r="S134" s="24">
        <v>0</v>
      </c>
      <c r="T134" s="24">
        <v>0</v>
      </c>
      <c r="U134" s="24">
        <v>0</v>
      </c>
      <c r="V134" s="24">
        <v>1</v>
      </c>
    </row>
    <row r="135" spans="1:22" ht="21" customHeight="1" x14ac:dyDescent="0.15">
      <c r="A135" s="2" t="str">
        <f ca="1">input_498104!A$2</f>
        <v>498104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38">
        <f ca="1">IFERROR(VLOOKUP(B135,input_498104!L:R,7,FALSE),VLOOKUP(tables_498104!C135,input_498104!A:H,8,FALSE))</f>
        <v>0</v>
      </c>
      <c r="P135" s="39">
        <f t="shared" ca="1" si="7"/>
        <v>0</v>
      </c>
      <c r="Q135" s="24">
        <v>1</v>
      </c>
      <c r="R135" s="24">
        <v>0</v>
      </c>
      <c r="S135" s="24">
        <v>0</v>
      </c>
      <c r="T135" s="24">
        <v>0</v>
      </c>
      <c r="U135" s="24">
        <v>0</v>
      </c>
      <c r="V135" s="24">
        <v>1</v>
      </c>
    </row>
    <row r="136" spans="1:22" ht="21" customHeight="1" x14ac:dyDescent="0.15">
      <c r="A136" s="2" t="str">
        <f ca="1">input_498104!A$2</f>
        <v>498104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38">
        <f ca="1">IFERROR(VLOOKUP(B136,input_498104!L:R,7,FALSE),VLOOKUP(tables_498104!C136,input_498104!A:H,8,FALSE))</f>
        <v>976938.46154000005</v>
      </c>
      <c r="P136" s="39">
        <f t="shared" ca="1" si="7"/>
        <v>8.5188216039310503E-3</v>
      </c>
      <c r="Q136" s="24">
        <v>1</v>
      </c>
      <c r="R136" s="24">
        <v>0</v>
      </c>
      <c r="S136" s="24">
        <v>0</v>
      </c>
      <c r="T136" s="24">
        <v>0</v>
      </c>
      <c r="U136" s="24">
        <v>0</v>
      </c>
      <c r="V136" s="24">
        <v>1</v>
      </c>
    </row>
    <row r="137" spans="1:22" ht="21" customHeight="1" x14ac:dyDescent="0.15">
      <c r="A137" s="2" t="str">
        <f ca="1">input_498104!A$2</f>
        <v>498104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38">
        <f ca="1">IFERROR(VLOOKUP(B137,input_498104!L:R,7,FALSE),VLOOKUP(tables_498104!C137,input_498104!A:H,8,FALSE))</f>
        <v>57550.769229999998</v>
      </c>
      <c r="P137" s="39">
        <f t="shared" ca="1" si="7"/>
        <v>5.0183789004124566E-4</v>
      </c>
      <c r="Q137" s="24">
        <v>1</v>
      </c>
      <c r="R137" s="24">
        <v>0</v>
      </c>
      <c r="S137" s="24">
        <v>0</v>
      </c>
      <c r="T137" s="24">
        <v>0</v>
      </c>
      <c r="U137" s="24">
        <v>0</v>
      </c>
      <c r="V137" s="24">
        <v>1</v>
      </c>
    </row>
    <row r="138" spans="1:22" ht="21" customHeight="1" x14ac:dyDescent="0.15">
      <c r="A138" s="2" t="str">
        <f ca="1">input_498104!A$2</f>
        <v>498104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38">
        <f ca="1">IFERROR(VLOOKUP(B138,input_498104!L:R,7,FALSE),VLOOKUP(tables_498104!C138,input_498104!A:H,8,FALSE))</f>
        <v>50760</v>
      </c>
      <c r="P138" s="39">
        <f t="shared" ca="1" si="7"/>
        <v>4.4262295081913419E-4</v>
      </c>
      <c r="Q138" s="24">
        <v>1</v>
      </c>
      <c r="R138" s="24">
        <v>0</v>
      </c>
      <c r="S138" s="24">
        <v>0</v>
      </c>
      <c r="T138" s="24">
        <v>0</v>
      </c>
      <c r="U138" s="24">
        <v>0</v>
      </c>
      <c r="V138" s="24">
        <v>1</v>
      </c>
    </row>
    <row r="139" spans="1:22" ht="21" customHeight="1" x14ac:dyDescent="0.15">
      <c r="A139" s="2" t="str">
        <f ca="1">input_498104!A$2</f>
        <v>498104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38">
        <f ca="1">IFERROR(VLOOKUP(B139,input_498104!L:R,7,FALSE),VLOOKUP(tables_498104!C139,input_498104!A:H,8,FALSE))</f>
        <v>5640</v>
      </c>
      <c r="P139" s="39">
        <f t="shared" ca="1" si="7"/>
        <v>4.918032786879269E-5</v>
      </c>
      <c r="Q139" s="24">
        <v>1</v>
      </c>
      <c r="R139" s="24">
        <v>0</v>
      </c>
      <c r="S139" s="24">
        <v>0</v>
      </c>
      <c r="T139" s="24">
        <v>0</v>
      </c>
      <c r="U139" s="24">
        <v>0</v>
      </c>
      <c r="V139" s="24">
        <v>1</v>
      </c>
    </row>
    <row r="140" spans="1:22" ht="21" customHeight="1" x14ac:dyDescent="0.15">
      <c r="A140" s="2" t="str">
        <f ca="1">input_498104!A$2</f>
        <v>498104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38">
        <f ca="1">IFERROR(VLOOKUP(B140,input_498104!L:R,7,FALSE),VLOOKUP(tables_498104!C140,input_498104!A:H,8,FALSE))</f>
        <v>50760</v>
      </c>
      <c r="P140" s="39">
        <f t="shared" ca="1" si="7"/>
        <v>4.4262295081913419E-4</v>
      </c>
      <c r="Q140" s="24">
        <v>1</v>
      </c>
      <c r="R140" s="24">
        <v>0</v>
      </c>
      <c r="S140" s="24">
        <v>0</v>
      </c>
      <c r="T140" s="24">
        <v>0</v>
      </c>
      <c r="U140" s="24">
        <v>0</v>
      </c>
      <c r="V140" s="24">
        <v>1</v>
      </c>
    </row>
    <row r="141" spans="1:22" ht="21" customHeight="1" x14ac:dyDescent="0.15">
      <c r="A141" s="2" t="str">
        <f ca="1">input_498104!A$2</f>
        <v>498104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38">
        <f ca="1">IFERROR(VLOOKUP(B141,input_498104!L:R,7,FALSE),VLOOKUP(tables_498104!C141,input_498104!A:H,8,FALSE))</f>
        <v>5640</v>
      </c>
      <c r="P141" s="39">
        <f t="shared" ca="1" si="7"/>
        <v>4.918032786879269E-5</v>
      </c>
      <c r="Q141" s="24">
        <v>1</v>
      </c>
      <c r="R141" s="24">
        <v>0</v>
      </c>
      <c r="S141" s="24">
        <v>0</v>
      </c>
      <c r="T141" s="24">
        <v>0</v>
      </c>
      <c r="U141" s="24">
        <v>0</v>
      </c>
      <c r="V141" s="24">
        <v>1</v>
      </c>
    </row>
    <row r="142" spans="1:22" ht="21" customHeight="1" x14ac:dyDescent="0.15">
      <c r="A142" s="2" t="str">
        <f ca="1">input_498104!A$2</f>
        <v>498104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38">
        <f ca="1">IFERROR(VLOOKUP(B142,input_498104!L:R,7,FALSE),VLOOKUP(tables_498104!C142,input_498104!A:H,8,FALSE))</f>
        <v>50760</v>
      </c>
      <c r="P142" s="39">
        <f t="shared" ca="1" si="7"/>
        <v>4.4262295081913419E-4</v>
      </c>
      <c r="Q142" s="24">
        <v>1</v>
      </c>
      <c r="R142" s="24">
        <v>0</v>
      </c>
      <c r="S142" s="24">
        <v>0</v>
      </c>
      <c r="T142" s="24">
        <v>0</v>
      </c>
      <c r="U142" s="24">
        <v>0</v>
      </c>
      <c r="V142" s="24">
        <v>1</v>
      </c>
    </row>
    <row r="143" spans="1:22" s="12" customFormat="1" ht="21" customHeight="1" thickBot="1" x14ac:dyDescent="0.2">
      <c r="A143" s="2" t="str">
        <f ca="1">input_498104!A$2</f>
        <v>498104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38">
        <f ca="1">IFERROR(VLOOKUP(B143,input_498104!L:R,7,FALSE),VLOOKUP(tables_498104!C143,input_498104!A:H,8,FALSE))</f>
        <v>5640</v>
      </c>
      <c r="P143" s="39">
        <f t="shared" ca="1" si="7"/>
        <v>4.918032786879269E-5</v>
      </c>
      <c r="Q143" s="24">
        <v>1</v>
      </c>
      <c r="R143" s="24">
        <v>0</v>
      </c>
      <c r="S143" s="24">
        <v>0</v>
      </c>
      <c r="T143" s="24">
        <v>0</v>
      </c>
      <c r="U143" s="24">
        <v>0</v>
      </c>
      <c r="V143" s="24">
        <v>1</v>
      </c>
    </row>
    <row r="144" spans="1:22" ht="21" customHeight="1" x14ac:dyDescent="0.15">
      <c r="A144" s="2" t="str">
        <f ca="1">input_498104!A$2</f>
        <v>498104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38">
        <f ca="1">IFERROR(VLOOKUP(B144,input_498104!L:R,7,FALSE),VLOOKUP(tables_498104!C144,input_498104!A:H,8,FALSE))</f>
        <v>50760</v>
      </c>
      <c r="P144" s="39">
        <f t="shared" ca="1" si="7"/>
        <v>4.4262295081913419E-4</v>
      </c>
      <c r="Q144" s="24">
        <v>1</v>
      </c>
      <c r="R144" s="24">
        <v>0</v>
      </c>
      <c r="S144" s="24">
        <v>0</v>
      </c>
      <c r="T144" s="24">
        <v>0</v>
      </c>
      <c r="U144" s="24">
        <v>0</v>
      </c>
      <c r="V144" s="24">
        <v>1</v>
      </c>
    </row>
    <row r="145" spans="1:22" ht="21" customHeight="1" x14ac:dyDescent="0.15">
      <c r="A145" s="2" t="str">
        <f ca="1">input_498104!A$2</f>
        <v>498104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38">
        <f ca="1">IFERROR(VLOOKUP(B145,input_498104!L:R,7,FALSE),VLOOKUP(tables_498104!C145,input_498104!A:H,8,FALSE))</f>
        <v>5640</v>
      </c>
      <c r="P145" s="39">
        <f t="shared" ca="1" si="7"/>
        <v>4.918032786879269E-5</v>
      </c>
      <c r="Q145" s="24">
        <v>1</v>
      </c>
      <c r="R145" s="24">
        <v>0</v>
      </c>
      <c r="S145" s="24">
        <v>0</v>
      </c>
      <c r="T145" s="24">
        <v>0</v>
      </c>
      <c r="U145" s="24">
        <v>0</v>
      </c>
      <c r="V145" s="24">
        <v>1</v>
      </c>
    </row>
    <row r="146" spans="1:22" ht="21" customHeight="1" x14ac:dyDescent="0.15">
      <c r="A146" s="2" t="str">
        <f ca="1">input_498104!A$2</f>
        <v>498104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38">
        <f ca="1">IFERROR(VLOOKUP(B146,input_498104!L:R,7,FALSE),VLOOKUP(tables_498104!C146,input_498104!A:H,8,FALSE))</f>
        <v>0</v>
      </c>
      <c r="P146" s="39">
        <f t="shared" ca="1" si="7"/>
        <v>0</v>
      </c>
      <c r="Q146" s="24">
        <v>1</v>
      </c>
      <c r="R146" s="24">
        <v>0</v>
      </c>
      <c r="S146" s="24">
        <v>0</v>
      </c>
      <c r="T146" s="24">
        <v>0</v>
      </c>
      <c r="U146" s="24">
        <v>0</v>
      </c>
      <c r="V146" s="24">
        <v>1</v>
      </c>
    </row>
    <row r="147" spans="1:22" ht="21" customHeight="1" x14ac:dyDescent="0.15">
      <c r="A147" s="2" t="str">
        <f ca="1">input_498104!A$2</f>
        <v>498104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38">
        <f ca="1">IFERROR(VLOOKUP(B147,input_498104!L:R,7,FALSE),VLOOKUP(tables_498104!C147,input_498104!A:H,8,FALSE))</f>
        <v>976938.46154000005</v>
      </c>
      <c r="P147" s="39">
        <f t="shared" ca="1" si="7"/>
        <v>8.5188216039310503E-3</v>
      </c>
      <c r="Q147" s="24">
        <v>1</v>
      </c>
      <c r="R147" s="24">
        <v>0</v>
      </c>
      <c r="S147" s="24">
        <v>0</v>
      </c>
      <c r="T147" s="24">
        <v>0</v>
      </c>
      <c r="U147" s="24">
        <v>0</v>
      </c>
      <c r="V147" s="24">
        <v>1</v>
      </c>
    </row>
    <row r="148" spans="1:22" ht="21" customHeight="1" x14ac:dyDescent="0.15">
      <c r="A148" s="2" t="str">
        <f ca="1">input_498104!A$2</f>
        <v>498104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38">
        <f ca="1">IFERROR(VLOOKUP(B148,input_498104!L:R,7,FALSE),VLOOKUP(tables_498104!C148,input_498104!A:H,8,FALSE))</f>
        <v>57550.769229999998</v>
      </c>
      <c r="P148" s="39">
        <f t="shared" ca="1" si="7"/>
        <v>5.0183789004124566E-4</v>
      </c>
      <c r="Q148" s="24">
        <v>1</v>
      </c>
      <c r="R148" s="24">
        <v>0</v>
      </c>
      <c r="S148" s="24">
        <v>0</v>
      </c>
      <c r="T148" s="24">
        <v>0</v>
      </c>
      <c r="U148" s="24">
        <v>0</v>
      </c>
      <c r="V148" s="24">
        <v>1</v>
      </c>
    </row>
    <row r="149" spans="1:22" ht="21" customHeight="1" x14ac:dyDescent="0.15">
      <c r="A149" s="2" t="str">
        <f ca="1">input_498104!A$2</f>
        <v>498104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38">
        <f ca="1">IFERROR(VLOOKUP(B149,input_498104!L:R,7,FALSE),VLOOKUP(tables_498104!C149,input_498104!A:H,8,FALSE))</f>
        <v>50760</v>
      </c>
      <c r="P149" s="39">
        <f t="shared" ca="1" si="7"/>
        <v>4.4262295081913419E-4</v>
      </c>
      <c r="Q149" s="24">
        <v>1</v>
      </c>
      <c r="R149" s="24">
        <v>0</v>
      </c>
      <c r="S149" s="24">
        <v>0</v>
      </c>
      <c r="T149" s="24">
        <v>0</v>
      </c>
      <c r="U149" s="24">
        <v>0</v>
      </c>
      <c r="V149" s="24">
        <v>1</v>
      </c>
    </row>
    <row r="150" spans="1:22" ht="21" customHeight="1" x14ac:dyDescent="0.15">
      <c r="A150" s="2" t="str">
        <f ca="1">input_498104!A$2</f>
        <v>498104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38">
        <f ca="1">IFERROR(VLOOKUP(B150,input_498104!L:R,7,FALSE),VLOOKUP(tables_498104!C150,input_498104!A:H,8,FALSE))</f>
        <v>5640</v>
      </c>
      <c r="P150" s="39">
        <f t="shared" ca="1" si="7"/>
        <v>4.918032786879269E-5</v>
      </c>
      <c r="Q150" s="24">
        <v>1</v>
      </c>
      <c r="R150" s="24">
        <v>0</v>
      </c>
      <c r="S150" s="24">
        <v>0</v>
      </c>
      <c r="T150" s="24">
        <v>0</v>
      </c>
      <c r="U150" s="24">
        <v>0</v>
      </c>
      <c r="V150" s="24">
        <v>1</v>
      </c>
    </row>
    <row r="151" spans="1:22" ht="21" customHeight="1" x14ac:dyDescent="0.15">
      <c r="A151" s="2" t="str">
        <f ca="1">input_498104!A$2</f>
        <v>498104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38">
        <f ca="1">IFERROR(VLOOKUP(B151,input_498104!L:R,7,FALSE),VLOOKUP(tables_498104!C151,input_498104!A:H,8,FALSE))</f>
        <v>50760</v>
      </c>
      <c r="P151" s="39">
        <f t="shared" ca="1" si="7"/>
        <v>4.4262295081913419E-4</v>
      </c>
      <c r="Q151" s="24">
        <v>1</v>
      </c>
      <c r="R151" s="24">
        <v>0</v>
      </c>
      <c r="S151" s="24">
        <v>0</v>
      </c>
      <c r="T151" s="24">
        <v>0</v>
      </c>
      <c r="U151" s="24">
        <v>0</v>
      </c>
      <c r="V151" s="24">
        <v>1</v>
      </c>
    </row>
    <row r="152" spans="1:22" ht="21" customHeight="1" x14ac:dyDescent="0.15">
      <c r="A152" s="2" t="str">
        <f ca="1">input_498104!A$2</f>
        <v>498104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38">
        <f ca="1">IFERROR(VLOOKUP(B152,input_498104!L:R,7,FALSE),VLOOKUP(tables_498104!C152,input_498104!A:H,8,FALSE))</f>
        <v>5640</v>
      </c>
      <c r="P152" s="39">
        <f t="shared" ca="1" si="7"/>
        <v>4.918032786879269E-5</v>
      </c>
      <c r="Q152" s="24">
        <v>1</v>
      </c>
      <c r="R152" s="24">
        <v>0</v>
      </c>
      <c r="S152" s="24">
        <v>0</v>
      </c>
      <c r="T152" s="24">
        <v>0</v>
      </c>
      <c r="U152" s="24">
        <v>0</v>
      </c>
      <c r="V152" s="24">
        <v>1</v>
      </c>
    </row>
    <row r="153" spans="1:22" ht="21" customHeight="1" x14ac:dyDescent="0.15">
      <c r="A153" s="2" t="str">
        <f ca="1">input_498104!A$2</f>
        <v>498104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38">
        <f ca="1">IFERROR(VLOOKUP(B153,input_498104!L:R,7,FALSE),VLOOKUP(tables_498104!C153,input_498104!A:H,8,FALSE))</f>
        <v>0</v>
      </c>
      <c r="P153" s="39">
        <f t="shared" ca="1" si="7"/>
        <v>0</v>
      </c>
      <c r="Q153" s="24">
        <v>1</v>
      </c>
      <c r="R153" s="24">
        <v>0</v>
      </c>
      <c r="S153" s="24">
        <v>0</v>
      </c>
      <c r="T153" s="24">
        <v>0</v>
      </c>
      <c r="U153" s="24">
        <v>0</v>
      </c>
      <c r="V153" s="24">
        <v>1</v>
      </c>
    </row>
    <row r="154" spans="1:22" ht="21" customHeight="1" x14ac:dyDescent="0.15">
      <c r="A154" s="2" t="str">
        <f ca="1">input_498104!A$2</f>
        <v>498104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38">
        <f ca="1">IFERROR(VLOOKUP(B154,input_498104!L:R,7,FALSE),VLOOKUP(tables_498104!C154,input_498104!A:H,8,FALSE))</f>
        <v>976938.46154000005</v>
      </c>
      <c r="P154" s="39">
        <f t="shared" ca="1" si="7"/>
        <v>8.5188216039310503E-3</v>
      </c>
      <c r="Q154" s="24">
        <v>1</v>
      </c>
      <c r="R154" s="24">
        <v>0</v>
      </c>
      <c r="S154" s="24">
        <v>0</v>
      </c>
      <c r="T154" s="24">
        <v>0</v>
      </c>
      <c r="U154" s="24">
        <v>0</v>
      </c>
      <c r="V154" s="24">
        <v>1</v>
      </c>
    </row>
    <row r="155" spans="1:22" ht="21" customHeight="1" x14ac:dyDescent="0.15">
      <c r="A155" s="2" t="str">
        <f ca="1">input_498104!A$2</f>
        <v>498104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38">
        <f ca="1">IFERROR(VLOOKUP(B155,input_498104!L:R,7,FALSE),VLOOKUP(tables_498104!C155,input_498104!A:H,8,FALSE))</f>
        <v>57550.769229999998</v>
      </c>
      <c r="P155" s="39">
        <f t="shared" ca="1" si="7"/>
        <v>5.0183789004124566E-4</v>
      </c>
      <c r="Q155" s="24">
        <v>1</v>
      </c>
      <c r="R155" s="24">
        <v>0</v>
      </c>
      <c r="S155" s="24">
        <v>0</v>
      </c>
      <c r="T155" s="24">
        <v>0</v>
      </c>
      <c r="U155" s="24">
        <v>0</v>
      </c>
      <c r="V155" s="24">
        <v>1</v>
      </c>
    </row>
    <row r="156" spans="1:22" ht="21" customHeight="1" x14ac:dyDescent="0.15">
      <c r="A156" s="2" t="str">
        <f ca="1">input_498104!A$2</f>
        <v>498104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38">
        <f ca="1">IFERROR(VLOOKUP(B156,input_498104!L:R,7,FALSE),VLOOKUP(tables_498104!C156,input_498104!A:H,8,FALSE))</f>
        <v>50760</v>
      </c>
      <c r="P156" s="39">
        <f t="shared" ca="1" si="7"/>
        <v>4.4262295081913419E-4</v>
      </c>
      <c r="Q156" s="24">
        <v>1</v>
      </c>
      <c r="R156" s="24">
        <v>0</v>
      </c>
      <c r="S156" s="24">
        <v>0</v>
      </c>
      <c r="T156" s="24">
        <v>0</v>
      </c>
      <c r="U156" s="24">
        <v>0</v>
      </c>
      <c r="V156" s="24">
        <v>1</v>
      </c>
    </row>
    <row r="157" spans="1:22" ht="21" customHeight="1" x14ac:dyDescent="0.15">
      <c r="A157" s="2" t="str">
        <f ca="1">input_498104!A$2</f>
        <v>498104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38">
        <f ca="1">IFERROR(VLOOKUP(B157,input_498104!L:R,7,FALSE),VLOOKUP(tables_498104!C157,input_498104!A:H,8,FALSE))</f>
        <v>5640</v>
      </c>
      <c r="P157" s="39">
        <f t="shared" ca="1" si="7"/>
        <v>4.918032786879269E-5</v>
      </c>
      <c r="Q157" s="24">
        <v>1</v>
      </c>
      <c r="R157" s="24">
        <v>0</v>
      </c>
      <c r="S157" s="24">
        <v>0</v>
      </c>
      <c r="T157" s="24">
        <v>0</v>
      </c>
      <c r="U157" s="24">
        <v>0</v>
      </c>
      <c r="V157" s="24">
        <v>1</v>
      </c>
    </row>
    <row r="158" spans="1:22" ht="21" customHeight="1" x14ac:dyDescent="0.15">
      <c r="A158" s="2" t="str">
        <f ca="1">input_498104!A$2</f>
        <v>498104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38">
        <f ca="1">IFERROR(VLOOKUP(B158,input_498104!L:R,7,FALSE),VLOOKUP(tables_498104!C158,input_498104!A:H,8,FALSE))</f>
        <v>0</v>
      </c>
      <c r="P158" s="39">
        <f t="shared" ca="1" si="7"/>
        <v>0</v>
      </c>
      <c r="Q158" s="24">
        <v>1</v>
      </c>
      <c r="R158" s="24">
        <v>0</v>
      </c>
      <c r="S158" s="24">
        <v>0</v>
      </c>
      <c r="T158" s="24">
        <v>0</v>
      </c>
      <c r="U158" s="24">
        <v>0</v>
      </c>
      <c r="V158" s="24">
        <v>1</v>
      </c>
    </row>
    <row r="159" spans="1:22" ht="21" customHeight="1" x14ac:dyDescent="0.15">
      <c r="A159" s="2" t="str">
        <f ca="1">input_498104!A$2</f>
        <v>498104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38">
        <f ca="1">IFERROR(VLOOKUP(B159,input_498104!L:R,7,FALSE),VLOOKUP(tables_498104!C159,input_498104!A:H,8,FALSE))</f>
        <v>976938.46154000005</v>
      </c>
      <c r="P159" s="39">
        <f t="shared" ca="1" si="7"/>
        <v>8.5188216039310503E-3</v>
      </c>
      <c r="Q159" s="24">
        <v>1</v>
      </c>
      <c r="R159" s="24">
        <v>0</v>
      </c>
      <c r="S159" s="24">
        <v>0</v>
      </c>
      <c r="T159" s="24">
        <v>0</v>
      </c>
      <c r="U159" s="24">
        <v>0</v>
      </c>
      <c r="V159" s="24">
        <v>1</v>
      </c>
    </row>
    <row r="160" spans="1:22" ht="21" customHeight="1" x14ac:dyDescent="0.15">
      <c r="A160" s="2" t="str">
        <f ca="1">input_498104!A$2</f>
        <v>498104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38">
        <f ca="1">IFERROR(VLOOKUP(B160,input_498104!L:R,7,FALSE),VLOOKUP(tables_498104!C160,input_498104!A:H,8,FALSE))</f>
        <v>57550.769229999998</v>
      </c>
      <c r="P160" s="39">
        <f t="shared" ca="1" si="7"/>
        <v>5.0183789004124566E-4</v>
      </c>
      <c r="Q160" s="24">
        <v>1</v>
      </c>
      <c r="R160" s="24">
        <v>0</v>
      </c>
      <c r="S160" s="24">
        <v>0</v>
      </c>
      <c r="T160" s="24">
        <v>0</v>
      </c>
      <c r="U160" s="24">
        <v>0</v>
      </c>
      <c r="V160" s="24">
        <v>1</v>
      </c>
    </row>
    <row r="161" spans="1:22" ht="21" customHeight="1" x14ac:dyDescent="0.15">
      <c r="A161" s="2" t="str">
        <f ca="1">input_498104!A$2</f>
        <v>498104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38">
        <f ca="1">IFERROR(VLOOKUP(B161,input_498104!L:R,7,FALSE),VLOOKUP(tables_498104!C161,input_498104!A:H,8,FALSE))</f>
        <v>0</v>
      </c>
      <c r="P161" s="39">
        <f t="shared" ca="1" si="7"/>
        <v>0</v>
      </c>
      <c r="Q161" s="24">
        <v>1</v>
      </c>
      <c r="R161" s="24">
        <v>0</v>
      </c>
      <c r="S161" s="24">
        <v>0</v>
      </c>
      <c r="T161" s="24">
        <v>0</v>
      </c>
      <c r="U161" s="24">
        <v>0</v>
      </c>
      <c r="V161" s="24">
        <v>1</v>
      </c>
    </row>
    <row r="162" spans="1:22" ht="21" customHeight="1" x14ac:dyDescent="0.15">
      <c r="A162" s="2" t="str">
        <f ca="1">input_498104!A$2</f>
        <v>498104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38">
        <f ca="1">IFERROR(VLOOKUP(B162,input_498104!L:R,7,FALSE),VLOOKUP(tables_498104!C162,input_498104!A:H,8,FALSE))</f>
        <v>976938.46154000005</v>
      </c>
      <c r="P162" s="39">
        <f t="shared" ca="1" si="7"/>
        <v>8.5188216039310503E-3</v>
      </c>
      <c r="Q162" s="24">
        <v>1</v>
      </c>
      <c r="R162" s="24">
        <v>0</v>
      </c>
      <c r="S162" s="24">
        <v>0</v>
      </c>
      <c r="T162" s="24">
        <v>0</v>
      </c>
      <c r="U162" s="24">
        <v>0</v>
      </c>
      <c r="V162" s="24">
        <v>1</v>
      </c>
    </row>
    <row r="163" spans="1:22" ht="21" customHeight="1" x14ac:dyDescent="0.15">
      <c r="A163" s="2" t="str">
        <f ca="1">input_498104!A$2</f>
        <v>498104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38">
        <f ca="1">IFERROR(VLOOKUP(B163,input_498104!L:R,7,FALSE),VLOOKUP(tables_498104!C163,input_498104!A:H,8,FALSE))</f>
        <v>57550.769229999998</v>
      </c>
      <c r="P163" s="39">
        <f t="shared" ca="1" si="7"/>
        <v>5.0183789004124566E-4</v>
      </c>
      <c r="Q163" s="24">
        <v>1</v>
      </c>
      <c r="R163" s="24">
        <v>0</v>
      </c>
      <c r="S163" s="24">
        <v>0</v>
      </c>
      <c r="T163" s="24">
        <v>0</v>
      </c>
      <c r="U163" s="24">
        <v>0</v>
      </c>
      <c r="V163" s="24">
        <v>1</v>
      </c>
    </row>
    <row r="164" spans="1:22" ht="21" customHeight="1" x14ac:dyDescent="0.15">
      <c r="A164" s="2" t="str">
        <f ca="1">input_498104!A$2</f>
        <v>498104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38">
        <f ca="1">IFERROR(VLOOKUP(B164,input_498104!L:R,7,FALSE),VLOOKUP(tables_498104!C164,input_498104!A:H,8,FALSE))</f>
        <v>50760</v>
      </c>
      <c r="P164" s="39">
        <f t="shared" ca="1" si="7"/>
        <v>4.4262295081913419E-4</v>
      </c>
      <c r="Q164" s="24">
        <v>1</v>
      </c>
      <c r="R164" s="24">
        <v>0</v>
      </c>
      <c r="S164" s="24">
        <v>0</v>
      </c>
      <c r="T164" s="24">
        <v>0</v>
      </c>
      <c r="U164" s="24">
        <v>0</v>
      </c>
      <c r="V164" s="24">
        <v>1</v>
      </c>
    </row>
    <row r="165" spans="1:22" ht="21" customHeight="1" x14ac:dyDescent="0.15">
      <c r="A165" s="2" t="str">
        <f ca="1">input_498104!A$2</f>
        <v>498104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38">
        <f ca="1">IFERROR(VLOOKUP(B165,input_498104!L:R,7,FALSE),VLOOKUP(tables_498104!C165,input_498104!A:H,8,FALSE))</f>
        <v>5640</v>
      </c>
      <c r="P165" s="39">
        <f t="shared" ca="1" si="7"/>
        <v>4.918032786879269E-5</v>
      </c>
      <c r="Q165" s="24">
        <v>1</v>
      </c>
      <c r="R165" s="24">
        <v>0</v>
      </c>
      <c r="S165" s="24">
        <v>0</v>
      </c>
      <c r="T165" s="24">
        <v>0</v>
      </c>
      <c r="U165" s="24">
        <v>0</v>
      </c>
      <c r="V165" s="24">
        <v>1</v>
      </c>
    </row>
    <row r="166" spans="1:22" ht="21" customHeight="1" x14ac:dyDescent="0.15">
      <c r="A166" s="2" t="str">
        <f ca="1">input_498104!A$2</f>
        <v>498104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38">
        <f ca="1">IFERROR(VLOOKUP(B166,input_498104!L:R,7,FALSE),VLOOKUP(tables_498104!C166,input_498104!A:H,8,FALSE))</f>
        <v>0</v>
      </c>
      <c r="P166" s="39">
        <f t="shared" ca="1" si="7"/>
        <v>0</v>
      </c>
      <c r="Q166" s="24">
        <v>1</v>
      </c>
      <c r="R166" s="24">
        <v>0</v>
      </c>
      <c r="S166" s="24">
        <v>0</v>
      </c>
      <c r="T166" s="24">
        <v>0</v>
      </c>
      <c r="U166" s="24">
        <v>0</v>
      </c>
      <c r="V166" s="24">
        <v>1</v>
      </c>
    </row>
    <row r="167" spans="1:22" ht="21" customHeight="1" x14ac:dyDescent="0.15">
      <c r="A167" s="2" t="str">
        <f ca="1">input_498104!A$2</f>
        <v>498104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38">
        <f ca="1">IFERROR(VLOOKUP(B167,input_498104!L:R,7,FALSE),VLOOKUP(tables_498104!C167,input_498104!A:H,8,FALSE))</f>
        <v>976938.46154000005</v>
      </c>
      <c r="P167" s="39">
        <f t="shared" ca="1" si="7"/>
        <v>8.5188216039310503E-3</v>
      </c>
      <c r="Q167" s="24">
        <v>1</v>
      </c>
      <c r="R167" s="24">
        <v>0</v>
      </c>
      <c r="S167" s="24">
        <v>0</v>
      </c>
      <c r="T167" s="24">
        <v>0</v>
      </c>
      <c r="U167" s="24">
        <v>0</v>
      </c>
      <c r="V167" s="24">
        <v>1</v>
      </c>
    </row>
    <row r="168" spans="1:22" ht="21" customHeight="1" x14ac:dyDescent="0.15">
      <c r="A168" s="2" t="str">
        <f ca="1">input_498104!A$2</f>
        <v>498104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38">
        <f ca="1">IFERROR(VLOOKUP(B168,input_498104!L:R,7,FALSE),VLOOKUP(tables_498104!C168,input_498104!A:H,8,FALSE))</f>
        <v>57550.769229999998</v>
      </c>
      <c r="P168" s="39">
        <f t="shared" ca="1" si="7"/>
        <v>5.0183789004124566E-4</v>
      </c>
      <c r="Q168" s="24">
        <v>1</v>
      </c>
      <c r="R168" s="24">
        <v>0</v>
      </c>
      <c r="S168" s="24">
        <v>0</v>
      </c>
      <c r="T168" s="24">
        <v>0</v>
      </c>
      <c r="U168" s="24">
        <v>0</v>
      </c>
      <c r="V168" s="24">
        <v>1</v>
      </c>
    </row>
    <row r="169" spans="1:22" ht="21" customHeight="1" x14ac:dyDescent="0.15">
      <c r="A169" s="2" t="str">
        <f ca="1">input_498104!A$2</f>
        <v>498104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38">
        <f ca="1">IFERROR(VLOOKUP(B169,input_498104!L:R,7,FALSE),VLOOKUP(tables_498104!C169,input_498104!A:H,8,FALSE))</f>
        <v>50760</v>
      </c>
      <c r="P169" s="39">
        <f t="shared" ca="1" si="7"/>
        <v>4.4262295081913419E-4</v>
      </c>
      <c r="Q169" s="24">
        <v>1</v>
      </c>
      <c r="R169" s="24">
        <v>0</v>
      </c>
      <c r="S169" s="24">
        <v>0</v>
      </c>
      <c r="T169" s="24">
        <v>0</v>
      </c>
      <c r="U169" s="24">
        <v>0</v>
      </c>
      <c r="V169" s="24">
        <v>1</v>
      </c>
    </row>
    <row r="170" spans="1:22" ht="21" customHeight="1" x14ac:dyDescent="0.15">
      <c r="A170" s="2" t="str">
        <f ca="1">input_498104!A$2</f>
        <v>498104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38">
        <f ca="1">IFERROR(VLOOKUP(B170,input_498104!L:R,7,FALSE),VLOOKUP(tables_498104!C170,input_498104!A:H,8,FALSE))</f>
        <v>5640</v>
      </c>
      <c r="P170" s="39">
        <f t="shared" ca="1" si="7"/>
        <v>4.918032786879269E-5</v>
      </c>
      <c r="Q170" s="24">
        <v>1</v>
      </c>
      <c r="R170" s="24">
        <v>0</v>
      </c>
      <c r="S170" s="24">
        <v>0</v>
      </c>
      <c r="T170" s="24">
        <v>0</v>
      </c>
      <c r="U170" s="24">
        <v>0</v>
      </c>
      <c r="V170" s="24">
        <v>1</v>
      </c>
    </row>
    <row r="171" spans="1:22" ht="21" customHeight="1" x14ac:dyDescent="0.15">
      <c r="A171" s="2" t="str">
        <f ca="1">input_498104!A$2</f>
        <v>498104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38">
        <f ca="1">IFERROR(VLOOKUP(B171,input_498104!L:R,7,FALSE),VLOOKUP(tables_498104!C171,input_498104!A:H,8,FALSE))</f>
        <v>0</v>
      </c>
      <c r="P171" s="39">
        <f t="shared" ca="1" si="7"/>
        <v>0</v>
      </c>
      <c r="Q171" s="24">
        <v>1</v>
      </c>
      <c r="R171" s="24">
        <v>0</v>
      </c>
      <c r="S171" s="24">
        <v>0</v>
      </c>
      <c r="T171" s="24">
        <v>0</v>
      </c>
      <c r="U171" s="24">
        <v>0</v>
      </c>
      <c r="V171" s="24">
        <v>1</v>
      </c>
    </row>
    <row r="172" spans="1:22" ht="21" customHeight="1" x14ac:dyDescent="0.15">
      <c r="A172" s="2" t="str">
        <f ca="1">input_498104!A$2</f>
        <v>498104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38">
        <f ca="1">IFERROR(VLOOKUP(B172,input_498104!L:R,7,FALSE),VLOOKUP(tables_498104!C172,input_498104!A:H,8,FALSE))</f>
        <v>976938.46154000005</v>
      </c>
      <c r="P172" s="39">
        <f t="shared" ca="1" si="7"/>
        <v>8.5188216039310503E-3</v>
      </c>
      <c r="Q172" s="24">
        <v>1</v>
      </c>
      <c r="R172" s="24">
        <v>0</v>
      </c>
      <c r="S172" s="24">
        <v>0</v>
      </c>
      <c r="T172" s="24">
        <v>0</v>
      </c>
      <c r="U172" s="24">
        <v>0</v>
      </c>
      <c r="V172" s="24">
        <v>1</v>
      </c>
    </row>
    <row r="173" spans="1:22" ht="21" customHeight="1" x14ac:dyDescent="0.15">
      <c r="A173" s="2" t="str">
        <f ca="1">input_498104!A$2</f>
        <v>498104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38">
        <f ca="1">IFERROR(VLOOKUP(B173,input_498104!L:R,7,FALSE),VLOOKUP(tables_498104!C173,input_498104!A:H,8,FALSE))</f>
        <v>57550.769229999998</v>
      </c>
      <c r="P173" s="39">
        <f t="shared" ca="1" si="7"/>
        <v>5.0183789004124566E-4</v>
      </c>
      <c r="Q173" s="24">
        <v>1</v>
      </c>
      <c r="R173" s="24">
        <v>0</v>
      </c>
      <c r="S173" s="24">
        <v>0</v>
      </c>
      <c r="T173" s="24">
        <v>0</v>
      </c>
      <c r="U173" s="24">
        <v>0</v>
      </c>
      <c r="V173" s="24">
        <v>1</v>
      </c>
    </row>
    <row r="174" spans="1:22" ht="21" customHeight="1" x14ac:dyDescent="0.15">
      <c r="A174" s="2" t="str">
        <f ca="1">input_498104!A$2</f>
        <v>498104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38">
        <f ca="1">IFERROR(VLOOKUP(B174,input_498104!L:R,7,FALSE),VLOOKUP(tables_498104!C174,input_498104!A:H,8,FALSE))</f>
        <v>50760</v>
      </c>
      <c r="P174" s="39">
        <f t="shared" ca="1" si="7"/>
        <v>4.4262295081913419E-4</v>
      </c>
      <c r="Q174" s="24">
        <v>1</v>
      </c>
      <c r="R174" s="24">
        <v>0</v>
      </c>
      <c r="S174" s="24">
        <v>0</v>
      </c>
      <c r="T174" s="24">
        <v>0</v>
      </c>
      <c r="U174" s="24">
        <v>0</v>
      </c>
      <c r="V174" s="24">
        <v>1</v>
      </c>
    </row>
    <row r="175" spans="1:22" ht="21" customHeight="1" x14ac:dyDescent="0.15">
      <c r="A175" s="2" t="str">
        <f ca="1">input_498104!A$2</f>
        <v>498104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38">
        <f ca="1">IFERROR(VLOOKUP(B175,input_498104!L:R,7,FALSE),VLOOKUP(tables_498104!C175,input_498104!A:H,8,FALSE))</f>
        <v>5640</v>
      </c>
      <c r="P175" s="39">
        <f t="shared" ca="1" si="7"/>
        <v>4.918032786879269E-5</v>
      </c>
      <c r="Q175" s="24">
        <v>1</v>
      </c>
      <c r="R175" s="24">
        <v>0</v>
      </c>
      <c r="S175" s="24">
        <v>0</v>
      </c>
      <c r="T175" s="24">
        <v>0</v>
      </c>
      <c r="U175" s="24">
        <v>0</v>
      </c>
      <c r="V175" s="24">
        <v>1</v>
      </c>
    </row>
    <row r="176" spans="1:22" ht="21" customHeight="1" x14ac:dyDescent="0.15">
      <c r="A176" s="2" t="str">
        <f ca="1">input_498104!A$2</f>
        <v>498104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38">
        <f ca="1">IFERROR(VLOOKUP(B176,input_498104!L:R,7,FALSE),VLOOKUP(tables_498104!C176,input_498104!A:H,8,FALSE))</f>
        <v>50760</v>
      </c>
      <c r="P176" s="39">
        <f t="shared" ca="1" si="7"/>
        <v>4.4262295081913419E-4</v>
      </c>
      <c r="Q176" s="24">
        <v>1</v>
      </c>
      <c r="R176" s="24">
        <v>0</v>
      </c>
      <c r="S176" s="24">
        <v>0</v>
      </c>
      <c r="T176" s="24">
        <v>0</v>
      </c>
      <c r="U176" s="24">
        <v>0</v>
      </c>
      <c r="V176" s="24">
        <v>1</v>
      </c>
    </row>
    <row r="177" spans="1:22" ht="21" customHeight="1" x14ac:dyDescent="0.15">
      <c r="A177" s="2" t="str">
        <f ca="1">input_498104!A$2</f>
        <v>498104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38">
        <f ca="1">IFERROR(VLOOKUP(B177,input_498104!L:R,7,FALSE),VLOOKUP(tables_498104!C177,input_498104!A:H,8,FALSE))</f>
        <v>5640</v>
      </c>
      <c r="P177" s="39">
        <f t="shared" ca="1" si="7"/>
        <v>4.918032786879269E-5</v>
      </c>
      <c r="Q177" s="24">
        <v>1</v>
      </c>
      <c r="R177" s="24">
        <v>0</v>
      </c>
      <c r="S177" s="24">
        <v>0</v>
      </c>
      <c r="T177" s="24">
        <v>0</v>
      </c>
      <c r="U177" s="24">
        <v>0</v>
      </c>
      <c r="V177" s="24">
        <v>1</v>
      </c>
    </row>
    <row r="178" spans="1:22" ht="21" customHeight="1" x14ac:dyDescent="0.15">
      <c r="A178" s="2" t="str">
        <f ca="1">input_498104!A$2</f>
        <v>498104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38">
        <f ca="1">IFERROR(VLOOKUP(B178,input_498104!L:R,7,FALSE),VLOOKUP(tables_498104!C178,input_498104!A:H,8,FALSE))</f>
        <v>0</v>
      </c>
      <c r="P178" s="39">
        <f t="shared" ca="1" si="7"/>
        <v>0</v>
      </c>
      <c r="Q178" s="24">
        <v>1</v>
      </c>
      <c r="R178" s="24">
        <v>0</v>
      </c>
      <c r="S178" s="24">
        <v>0</v>
      </c>
      <c r="T178" s="24">
        <v>0</v>
      </c>
      <c r="U178" s="24">
        <v>0</v>
      </c>
      <c r="V178" s="24">
        <v>1</v>
      </c>
    </row>
    <row r="179" spans="1:22" ht="21" customHeight="1" x14ac:dyDescent="0.15">
      <c r="A179" s="2" t="str">
        <f ca="1">input_498104!A$2</f>
        <v>498104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38">
        <f ca="1">IFERROR(VLOOKUP(B179,input_498104!L:R,7,FALSE),VLOOKUP(tables_498104!C179,input_498104!A:H,8,FALSE))</f>
        <v>976938.46154000005</v>
      </c>
      <c r="P179" s="39">
        <f t="shared" ca="1" si="7"/>
        <v>8.5188216039310503E-3</v>
      </c>
      <c r="Q179" s="24">
        <v>1</v>
      </c>
      <c r="R179" s="24">
        <v>0</v>
      </c>
      <c r="S179" s="24">
        <v>0</v>
      </c>
      <c r="T179" s="24">
        <v>0</v>
      </c>
      <c r="U179" s="24">
        <v>0</v>
      </c>
      <c r="V179" s="24">
        <v>1</v>
      </c>
    </row>
    <row r="180" spans="1:22" ht="21" customHeight="1" x14ac:dyDescent="0.15">
      <c r="A180" s="2" t="str">
        <f ca="1">input_498104!A$2</f>
        <v>498104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38">
        <f ca="1">IFERROR(VLOOKUP(B180,input_498104!L:R,7,FALSE),VLOOKUP(tables_498104!C180,input_498104!A:H,8,FALSE))</f>
        <v>57550.769229999998</v>
      </c>
      <c r="P180" s="39">
        <f t="shared" ca="1" si="7"/>
        <v>5.0183789004124566E-4</v>
      </c>
      <c r="Q180" s="24">
        <v>1</v>
      </c>
      <c r="R180" s="24">
        <v>0</v>
      </c>
      <c r="S180" s="24">
        <v>0</v>
      </c>
      <c r="T180" s="24">
        <v>0</v>
      </c>
      <c r="U180" s="24">
        <v>0</v>
      </c>
      <c r="V180" s="24">
        <v>1</v>
      </c>
    </row>
    <row r="181" spans="1:22" ht="21" customHeight="1" x14ac:dyDescent="0.15">
      <c r="A181" s="2" t="str">
        <f ca="1">input_498104!A$2</f>
        <v>498104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38">
        <f ca="1">IFERROR(VLOOKUP(B181,input_498104!L:R,7,FALSE),VLOOKUP(tables_498104!C181,input_498104!A:H,8,FALSE))</f>
        <v>0</v>
      </c>
      <c r="P181" s="39">
        <f t="shared" ca="1" si="7"/>
        <v>0</v>
      </c>
      <c r="Q181" s="24">
        <v>1</v>
      </c>
      <c r="R181" s="24">
        <v>0</v>
      </c>
      <c r="S181" s="24">
        <v>0</v>
      </c>
      <c r="T181" s="24">
        <v>0</v>
      </c>
      <c r="U181" s="24">
        <v>0</v>
      </c>
      <c r="V181" s="24">
        <v>1</v>
      </c>
    </row>
    <row r="182" spans="1:22" ht="21" customHeight="1" x14ac:dyDescent="0.15">
      <c r="A182" s="2" t="str">
        <f ca="1">input_498104!A$2</f>
        <v>498104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38">
        <f ca="1">IFERROR(VLOOKUP(B182,input_498104!L:R,7,FALSE),VLOOKUP(tables_498104!C182,input_498104!A:H,8,FALSE))</f>
        <v>976938.46154000005</v>
      </c>
      <c r="P182" s="39">
        <f t="shared" ca="1" si="7"/>
        <v>8.5188216039310503E-3</v>
      </c>
      <c r="Q182" s="24">
        <v>1</v>
      </c>
      <c r="R182" s="24">
        <v>0</v>
      </c>
      <c r="S182" s="24">
        <v>0</v>
      </c>
      <c r="T182" s="24">
        <v>0</v>
      </c>
      <c r="U182" s="24">
        <v>0</v>
      </c>
      <c r="V182" s="24">
        <v>1</v>
      </c>
    </row>
    <row r="183" spans="1:22" ht="21" customHeight="1" x14ac:dyDescent="0.15">
      <c r="A183" s="2" t="str">
        <f ca="1">input_498104!A$2</f>
        <v>498104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38">
        <f ca="1">IFERROR(VLOOKUP(B183,input_498104!L:R,7,FALSE),VLOOKUP(tables_498104!C183,input_498104!A:H,8,FALSE))</f>
        <v>57550.769229999998</v>
      </c>
      <c r="P183" s="39">
        <f t="shared" ca="1" si="7"/>
        <v>5.0183789004124566E-4</v>
      </c>
      <c r="Q183" s="24">
        <v>1</v>
      </c>
      <c r="R183" s="24">
        <v>0</v>
      </c>
      <c r="S183" s="24">
        <v>0</v>
      </c>
      <c r="T183" s="24">
        <v>0</v>
      </c>
      <c r="U183" s="24">
        <v>0</v>
      </c>
      <c r="V183" s="24">
        <v>1</v>
      </c>
    </row>
    <row r="184" spans="1:22" ht="21" customHeight="1" x14ac:dyDescent="0.15">
      <c r="A184" s="2" t="str">
        <f ca="1">input_498104!A$2</f>
        <v>498104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38">
        <f ca="1">IFERROR(VLOOKUP(B184,input_498104!L:R,7,FALSE),VLOOKUP(tables_498104!C184,input_498104!A:H,8,FALSE))</f>
        <v>50760</v>
      </c>
      <c r="P184" s="39">
        <f t="shared" ca="1" si="7"/>
        <v>4.4262295081913419E-4</v>
      </c>
      <c r="Q184" s="24">
        <v>1</v>
      </c>
      <c r="R184" s="24">
        <v>0</v>
      </c>
      <c r="S184" s="24">
        <v>0</v>
      </c>
      <c r="T184" s="24">
        <v>0</v>
      </c>
      <c r="U184" s="24">
        <v>0</v>
      </c>
      <c r="V184" s="24">
        <v>1</v>
      </c>
    </row>
    <row r="185" spans="1:22" ht="21" customHeight="1" x14ac:dyDescent="0.15">
      <c r="A185" s="2" t="str">
        <f ca="1">input_498104!A$2</f>
        <v>498104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38">
        <f ca="1">IFERROR(VLOOKUP(B185,input_498104!L:R,7,FALSE),VLOOKUP(tables_498104!C185,input_498104!A:H,8,FALSE))</f>
        <v>5640</v>
      </c>
      <c r="P185" s="39">
        <f t="shared" ca="1" si="7"/>
        <v>4.918032786879269E-5</v>
      </c>
      <c r="Q185" s="24">
        <v>1</v>
      </c>
      <c r="R185" s="24">
        <v>0</v>
      </c>
      <c r="S185" s="24">
        <v>0</v>
      </c>
      <c r="T185" s="24">
        <v>0</v>
      </c>
      <c r="U185" s="24">
        <v>0</v>
      </c>
      <c r="V185" s="24">
        <v>1</v>
      </c>
    </row>
    <row r="186" spans="1:22" ht="21" customHeight="1" x14ac:dyDescent="0.15">
      <c r="A186" s="2" t="str">
        <f ca="1">input_498104!A$2</f>
        <v>498104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38">
        <f ca="1">IFERROR(VLOOKUP(B186,input_498104!L:R,7,FALSE),VLOOKUP(tables_498104!C186,input_498104!A:H,8,FALSE))</f>
        <v>0</v>
      </c>
      <c r="P186" s="39">
        <f t="shared" ca="1" si="7"/>
        <v>0</v>
      </c>
      <c r="Q186" s="24">
        <v>1</v>
      </c>
      <c r="R186" s="24">
        <v>0</v>
      </c>
      <c r="S186" s="24">
        <v>0</v>
      </c>
      <c r="T186" s="24">
        <v>0</v>
      </c>
      <c r="U186" s="24">
        <v>0</v>
      </c>
      <c r="V186" s="24">
        <v>1</v>
      </c>
    </row>
    <row r="187" spans="1:22" ht="21" customHeight="1" x14ac:dyDescent="0.15">
      <c r="A187" s="2" t="str">
        <f ca="1">input_498104!A$2</f>
        <v>498104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38">
        <f ca="1">IFERROR(VLOOKUP(B187,input_498104!L:R,7,FALSE),VLOOKUP(tables_498104!C187,input_498104!A:H,8,FALSE))</f>
        <v>976938.46154000005</v>
      </c>
      <c r="P187" s="39">
        <f t="shared" ca="1" si="7"/>
        <v>8.5188216039310503E-3</v>
      </c>
      <c r="Q187" s="24">
        <v>1</v>
      </c>
      <c r="R187" s="24">
        <v>0</v>
      </c>
      <c r="S187" s="24">
        <v>0</v>
      </c>
      <c r="T187" s="24">
        <v>0</v>
      </c>
      <c r="U187" s="24">
        <v>0</v>
      </c>
      <c r="V187" s="24">
        <v>1</v>
      </c>
    </row>
    <row r="188" spans="1:22" ht="21" customHeight="1" x14ac:dyDescent="0.15">
      <c r="A188" s="2" t="str">
        <f ca="1">input_498104!A$2</f>
        <v>498104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38">
        <f ca="1">IFERROR(VLOOKUP(B188,input_498104!L:R,7,FALSE),VLOOKUP(tables_498104!C188,input_498104!A:H,8,FALSE))</f>
        <v>57550.769229999998</v>
      </c>
      <c r="P188" s="39">
        <f t="shared" ca="1" si="7"/>
        <v>5.0183789004124566E-4</v>
      </c>
      <c r="Q188" s="24">
        <v>1</v>
      </c>
      <c r="R188" s="24">
        <v>0</v>
      </c>
      <c r="S188" s="24">
        <v>0</v>
      </c>
      <c r="T188" s="24">
        <v>0</v>
      </c>
      <c r="U188" s="24">
        <v>0</v>
      </c>
      <c r="V188" s="24">
        <v>1</v>
      </c>
    </row>
    <row r="189" spans="1:22" ht="21" customHeight="1" x14ac:dyDescent="0.15">
      <c r="A189" s="2" t="str">
        <f ca="1">input_498104!A$2</f>
        <v>498104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38">
        <f ca="1">IFERROR(VLOOKUP(B189,input_498104!L:R,7,FALSE),VLOOKUP(tables_498104!C189,input_498104!A:H,8,FALSE))</f>
        <v>50760</v>
      </c>
      <c r="P189" s="39">
        <f t="shared" ca="1" si="7"/>
        <v>4.4262295081913419E-4</v>
      </c>
      <c r="Q189" s="24">
        <v>1</v>
      </c>
      <c r="R189" s="24">
        <v>0</v>
      </c>
      <c r="S189" s="24">
        <v>0</v>
      </c>
      <c r="T189" s="24">
        <v>0</v>
      </c>
      <c r="U189" s="24">
        <v>0</v>
      </c>
      <c r="V189" s="24">
        <v>1</v>
      </c>
    </row>
    <row r="190" spans="1:22" s="9" customFormat="1" ht="21" customHeight="1" thickBot="1" x14ac:dyDescent="0.2">
      <c r="A190" s="2" t="str">
        <f ca="1">input_498104!A$2</f>
        <v>498104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38">
        <f ca="1">IFERROR(VLOOKUP(B190,input_498104!L:R,7,FALSE),VLOOKUP(tables_498104!C190,input_498104!A:H,8,FALSE))</f>
        <v>5640</v>
      </c>
      <c r="P190" s="39">
        <f t="shared" ca="1" si="7"/>
        <v>4.918032786879269E-5</v>
      </c>
      <c r="Q190" s="24">
        <v>1</v>
      </c>
      <c r="R190" s="24">
        <v>0</v>
      </c>
      <c r="S190" s="24">
        <v>0</v>
      </c>
      <c r="T190" s="24">
        <v>0</v>
      </c>
      <c r="U190" s="24">
        <v>0</v>
      </c>
      <c r="V190" s="24">
        <v>1</v>
      </c>
    </row>
    <row r="191" spans="1:22" ht="21" customHeight="1" x14ac:dyDescent="0.15">
      <c r="A191" s="2" t="str">
        <f ca="1">input_498104!A$2</f>
        <v>498104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38">
        <f ca="1">IFERROR(VLOOKUP(B191,input_498104!L:R,7,FALSE),VLOOKUP(tables_498104!C191,input_498104!A:H,8,FALSE))</f>
        <v>50760</v>
      </c>
      <c r="P191" s="39">
        <f t="shared" ca="1" si="7"/>
        <v>4.4262295081913419E-4</v>
      </c>
      <c r="Q191" s="24">
        <v>1</v>
      </c>
      <c r="R191" s="24">
        <v>0</v>
      </c>
      <c r="S191" s="24">
        <v>0</v>
      </c>
      <c r="T191" s="24">
        <v>0</v>
      </c>
      <c r="U191" s="24">
        <v>0</v>
      </c>
      <c r="V191" s="24">
        <v>1</v>
      </c>
    </row>
    <row r="192" spans="1:22" ht="21" customHeight="1" x14ac:dyDescent="0.15">
      <c r="A192" s="2" t="str">
        <f ca="1">input_498104!A$2</f>
        <v>498104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38">
        <f ca="1">IFERROR(VLOOKUP(B192,input_498104!L:R,7,FALSE),VLOOKUP(tables_498104!C192,input_498104!A:H,8,FALSE))</f>
        <v>5640</v>
      </c>
      <c r="P192" s="39">
        <f t="shared" ca="1" si="7"/>
        <v>4.918032786879269E-5</v>
      </c>
      <c r="Q192" s="24">
        <v>1</v>
      </c>
      <c r="R192" s="24">
        <v>0</v>
      </c>
      <c r="S192" s="24">
        <v>0</v>
      </c>
      <c r="T192" s="24">
        <v>0</v>
      </c>
      <c r="U192" s="24">
        <v>0</v>
      </c>
      <c r="V192" s="24">
        <v>1</v>
      </c>
    </row>
    <row r="193" spans="1:22" ht="21" customHeight="1" x14ac:dyDescent="0.15">
      <c r="A193" s="2" t="str">
        <f ca="1">input_498104!A$2</f>
        <v>498104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38">
        <f ca="1">IFERROR(VLOOKUP(B193,input_498104!L:R,7,FALSE),VLOOKUP(tables_498104!C193,input_498104!A:H,8,FALSE))</f>
        <v>0</v>
      </c>
      <c r="P193" s="39">
        <f t="shared" ca="1" si="7"/>
        <v>0</v>
      </c>
      <c r="Q193" s="24">
        <v>1</v>
      </c>
      <c r="R193" s="24">
        <v>0</v>
      </c>
      <c r="S193" s="24">
        <v>0</v>
      </c>
      <c r="T193" s="24">
        <v>0</v>
      </c>
      <c r="U193" s="24">
        <v>0</v>
      </c>
      <c r="V193" s="24">
        <v>1</v>
      </c>
    </row>
    <row r="194" spans="1:22" ht="21" customHeight="1" x14ac:dyDescent="0.15">
      <c r="A194" s="2" t="str">
        <f ca="1">input_498104!A$2</f>
        <v>498104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38">
        <f ca="1">IFERROR(VLOOKUP(B194,input_498104!L:R,7,FALSE),VLOOKUP(tables_498104!C194,input_498104!A:H,8,FALSE))</f>
        <v>976938.46154000005</v>
      </c>
      <c r="P194" s="39">
        <f t="shared" ref="P194:P257" ca="1" si="10">O194/SUM(O:O)</f>
        <v>8.5188216039310503E-3</v>
      </c>
      <c r="Q194" s="24">
        <v>1</v>
      </c>
      <c r="R194" s="24">
        <v>0</v>
      </c>
      <c r="S194" s="24">
        <v>0</v>
      </c>
      <c r="T194" s="24">
        <v>0</v>
      </c>
      <c r="U194" s="24">
        <v>0</v>
      </c>
      <c r="V194" s="24">
        <v>1</v>
      </c>
    </row>
    <row r="195" spans="1:22" ht="21" customHeight="1" x14ac:dyDescent="0.15">
      <c r="A195" s="2" t="str">
        <f ca="1">input_498104!A$2</f>
        <v>498104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38">
        <f ca="1">IFERROR(VLOOKUP(B195,input_498104!L:R,7,FALSE),VLOOKUP(tables_498104!C195,input_498104!A:H,8,FALSE))</f>
        <v>57550.769229999998</v>
      </c>
      <c r="P195" s="39">
        <f t="shared" ca="1" si="10"/>
        <v>5.0183789004124566E-4</v>
      </c>
      <c r="Q195" s="24">
        <v>1</v>
      </c>
      <c r="R195" s="24">
        <v>0</v>
      </c>
      <c r="S195" s="24">
        <v>0</v>
      </c>
      <c r="T195" s="24">
        <v>0</v>
      </c>
      <c r="U195" s="24">
        <v>0</v>
      </c>
      <c r="V195" s="24">
        <v>1</v>
      </c>
    </row>
    <row r="196" spans="1:22" ht="21" customHeight="1" x14ac:dyDescent="0.15">
      <c r="A196" s="2" t="str">
        <f ca="1">input_498104!A$2</f>
        <v>498104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38">
        <f ca="1">IFERROR(VLOOKUP(B196,input_498104!L:R,7,FALSE),VLOOKUP(tables_498104!C196,input_498104!A:H,8,FALSE))</f>
        <v>50760</v>
      </c>
      <c r="P196" s="39">
        <f t="shared" ca="1" si="10"/>
        <v>4.4262295081913419E-4</v>
      </c>
      <c r="Q196" s="24">
        <v>1</v>
      </c>
      <c r="R196" s="24">
        <v>0</v>
      </c>
      <c r="S196" s="24">
        <v>0</v>
      </c>
      <c r="T196" s="24">
        <v>0</v>
      </c>
      <c r="U196" s="24">
        <v>0</v>
      </c>
      <c r="V196" s="24">
        <v>1</v>
      </c>
    </row>
    <row r="197" spans="1:22" ht="21" customHeight="1" x14ac:dyDescent="0.15">
      <c r="A197" s="2" t="str">
        <f ca="1">input_498104!A$2</f>
        <v>498104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38">
        <f ca="1">IFERROR(VLOOKUP(B197,input_498104!L:R,7,FALSE),VLOOKUP(tables_498104!C197,input_498104!A:H,8,FALSE))</f>
        <v>5640</v>
      </c>
      <c r="P197" s="39">
        <f t="shared" ca="1" si="10"/>
        <v>4.918032786879269E-5</v>
      </c>
      <c r="Q197" s="24">
        <v>1</v>
      </c>
      <c r="R197" s="24">
        <v>0</v>
      </c>
      <c r="S197" s="24">
        <v>0</v>
      </c>
      <c r="T197" s="24">
        <v>0</v>
      </c>
      <c r="U197" s="24">
        <v>0</v>
      </c>
      <c r="V197" s="24">
        <v>1</v>
      </c>
    </row>
    <row r="198" spans="1:22" ht="21" customHeight="1" x14ac:dyDescent="0.15">
      <c r="A198" s="2" t="str">
        <f ca="1">input_498104!A$2</f>
        <v>498104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38">
        <f ca="1">IFERROR(VLOOKUP(B198,input_498104!L:R,7,FALSE),VLOOKUP(tables_498104!C198,input_498104!A:H,8,FALSE))</f>
        <v>0</v>
      </c>
      <c r="P198" s="39">
        <f t="shared" ca="1" si="10"/>
        <v>0</v>
      </c>
      <c r="Q198" s="24">
        <v>1</v>
      </c>
      <c r="R198" s="24">
        <v>0</v>
      </c>
      <c r="S198" s="24">
        <v>0</v>
      </c>
      <c r="T198" s="24">
        <v>0</v>
      </c>
      <c r="U198" s="24">
        <v>0</v>
      </c>
      <c r="V198" s="24">
        <v>1</v>
      </c>
    </row>
    <row r="199" spans="1:22" ht="21" customHeight="1" x14ac:dyDescent="0.15">
      <c r="A199" s="2" t="str">
        <f ca="1">input_498104!A$2</f>
        <v>498104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38">
        <f ca="1">IFERROR(VLOOKUP(B199,input_498104!L:R,7,FALSE),VLOOKUP(tables_498104!C199,input_498104!A:H,8,FALSE))</f>
        <v>976938.46154000005</v>
      </c>
      <c r="P199" s="39">
        <f t="shared" ca="1" si="10"/>
        <v>8.5188216039310503E-3</v>
      </c>
      <c r="Q199" s="24">
        <v>1</v>
      </c>
      <c r="R199" s="24">
        <v>0</v>
      </c>
      <c r="S199" s="24">
        <v>0</v>
      </c>
      <c r="T199" s="24">
        <v>0</v>
      </c>
      <c r="U199" s="24">
        <v>0</v>
      </c>
      <c r="V199" s="24">
        <v>1</v>
      </c>
    </row>
    <row r="200" spans="1:22" ht="21" customHeight="1" x14ac:dyDescent="0.15">
      <c r="A200" s="2" t="str">
        <f ca="1">input_498104!A$2</f>
        <v>498104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38">
        <f ca="1">IFERROR(VLOOKUP(B200,input_498104!L:R,7,FALSE),VLOOKUP(tables_498104!C200,input_498104!A:H,8,FALSE))</f>
        <v>57550.769229999998</v>
      </c>
      <c r="P200" s="39">
        <f t="shared" ca="1" si="10"/>
        <v>5.0183789004124566E-4</v>
      </c>
      <c r="Q200" s="24">
        <v>1</v>
      </c>
      <c r="R200" s="24">
        <v>0</v>
      </c>
      <c r="S200" s="24">
        <v>0</v>
      </c>
      <c r="T200" s="24">
        <v>0</v>
      </c>
      <c r="U200" s="24">
        <v>0</v>
      </c>
      <c r="V200" s="24">
        <v>1</v>
      </c>
    </row>
    <row r="201" spans="1:22" ht="21" customHeight="1" x14ac:dyDescent="0.15">
      <c r="A201" s="2" t="str">
        <f ca="1">input_498104!A$2</f>
        <v>498104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38">
        <f ca="1">IFERROR(VLOOKUP(B201,input_498104!L:R,7,FALSE),VLOOKUP(tables_498104!C201,input_498104!A:H,8,FALSE))</f>
        <v>50760</v>
      </c>
      <c r="P201" s="39">
        <f t="shared" ca="1" si="10"/>
        <v>4.4262295081913419E-4</v>
      </c>
      <c r="Q201" s="24">
        <v>1</v>
      </c>
      <c r="R201" s="24">
        <v>0</v>
      </c>
      <c r="S201" s="24">
        <v>0</v>
      </c>
      <c r="T201" s="24">
        <v>0</v>
      </c>
      <c r="U201" s="24">
        <v>0</v>
      </c>
      <c r="V201" s="24">
        <v>1</v>
      </c>
    </row>
    <row r="202" spans="1:22" ht="21" customHeight="1" x14ac:dyDescent="0.15">
      <c r="A202" s="2" t="str">
        <f ca="1">input_498104!A$2</f>
        <v>498104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38">
        <f ca="1">IFERROR(VLOOKUP(B202,input_498104!L:R,7,FALSE),VLOOKUP(tables_498104!C202,input_498104!A:H,8,FALSE))</f>
        <v>5640</v>
      </c>
      <c r="P202" s="39">
        <f t="shared" ca="1" si="10"/>
        <v>4.918032786879269E-5</v>
      </c>
      <c r="Q202" s="24">
        <v>1</v>
      </c>
      <c r="R202" s="24">
        <v>0</v>
      </c>
      <c r="S202" s="24">
        <v>0</v>
      </c>
      <c r="T202" s="24">
        <v>0</v>
      </c>
      <c r="U202" s="24">
        <v>0</v>
      </c>
      <c r="V202" s="24">
        <v>1</v>
      </c>
    </row>
    <row r="203" spans="1:22" ht="21" customHeight="1" x14ac:dyDescent="0.15">
      <c r="A203" s="2" t="str">
        <f ca="1">input_498104!A$2</f>
        <v>498104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38">
        <f ca="1">IFERROR(VLOOKUP(B203,input_498104!L:R,7,FALSE),VLOOKUP(tables_498104!C203,input_498104!A:H,8,FALSE))</f>
        <v>0</v>
      </c>
      <c r="P203" s="39">
        <f t="shared" ca="1" si="10"/>
        <v>0</v>
      </c>
      <c r="Q203" s="24">
        <v>1</v>
      </c>
      <c r="R203" s="24">
        <v>0</v>
      </c>
      <c r="S203" s="24">
        <v>0</v>
      </c>
      <c r="T203" s="24">
        <v>0</v>
      </c>
      <c r="U203" s="24">
        <v>0</v>
      </c>
      <c r="V203" s="24">
        <v>1</v>
      </c>
    </row>
    <row r="204" spans="1:22" ht="21" customHeight="1" x14ac:dyDescent="0.15">
      <c r="A204" s="2" t="str">
        <f ca="1">input_498104!A$2</f>
        <v>498104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38">
        <f ca="1">IFERROR(VLOOKUP(B204,input_498104!L:R,7,FALSE),VLOOKUP(tables_498104!C204,input_498104!A:H,8,FALSE))</f>
        <v>976938.46154000005</v>
      </c>
      <c r="P204" s="39">
        <f t="shared" ca="1" si="10"/>
        <v>8.5188216039310503E-3</v>
      </c>
      <c r="Q204" s="24">
        <v>1</v>
      </c>
      <c r="R204" s="24">
        <v>0</v>
      </c>
      <c r="S204" s="24">
        <v>0</v>
      </c>
      <c r="T204" s="24">
        <v>0</v>
      </c>
      <c r="U204" s="24">
        <v>0</v>
      </c>
      <c r="V204" s="24">
        <v>1</v>
      </c>
    </row>
    <row r="205" spans="1:22" ht="21" customHeight="1" x14ac:dyDescent="0.15">
      <c r="A205" s="2" t="str">
        <f ca="1">input_498104!A$2</f>
        <v>498104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38">
        <f ca="1">IFERROR(VLOOKUP(B205,input_498104!L:R,7,FALSE),VLOOKUP(tables_498104!C205,input_498104!A:H,8,FALSE))</f>
        <v>57550.769229999998</v>
      </c>
      <c r="P205" s="39">
        <f t="shared" ca="1" si="10"/>
        <v>5.0183789004124566E-4</v>
      </c>
      <c r="Q205" s="24">
        <v>1</v>
      </c>
      <c r="R205" s="24">
        <v>0</v>
      </c>
      <c r="S205" s="24">
        <v>0</v>
      </c>
      <c r="T205" s="24">
        <v>0</v>
      </c>
      <c r="U205" s="24">
        <v>0</v>
      </c>
      <c r="V205" s="24">
        <v>1</v>
      </c>
    </row>
    <row r="206" spans="1:22" ht="21" customHeight="1" x14ac:dyDescent="0.15">
      <c r="A206" s="2" t="str">
        <f ca="1">input_498104!A$2</f>
        <v>498104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38">
        <f ca="1">IFERROR(VLOOKUP(B206,input_498104!L:R,7,FALSE),VLOOKUP(tables_498104!C206,input_498104!A:H,8,FALSE))</f>
        <v>50760</v>
      </c>
      <c r="P206" s="39">
        <f t="shared" ca="1" si="10"/>
        <v>4.4262295081913419E-4</v>
      </c>
      <c r="Q206" s="24">
        <v>1</v>
      </c>
      <c r="R206" s="24">
        <v>0</v>
      </c>
      <c r="S206" s="24">
        <v>0</v>
      </c>
      <c r="T206" s="24">
        <v>0</v>
      </c>
      <c r="U206" s="24">
        <v>0</v>
      </c>
      <c r="V206" s="24">
        <v>1</v>
      </c>
    </row>
    <row r="207" spans="1:22" ht="21" customHeight="1" x14ac:dyDescent="0.15">
      <c r="A207" s="2" t="str">
        <f ca="1">input_498104!A$2</f>
        <v>498104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38">
        <f ca="1">IFERROR(VLOOKUP(B207,input_498104!L:R,7,FALSE),VLOOKUP(tables_498104!C207,input_498104!A:H,8,FALSE))</f>
        <v>5640</v>
      </c>
      <c r="P207" s="39">
        <f t="shared" ca="1" si="10"/>
        <v>4.918032786879269E-5</v>
      </c>
      <c r="Q207" s="24">
        <v>1</v>
      </c>
      <c r="R207" s="24">
        <v>0</v>
      </c>
      <c r="S207" s="24">
        <v>0</v>
      </c>
      <c r="T207" s="24">
        <v>0</v>
      </c>
      <c r="U207" s="24">
        <v>0</v>
      </c>
      <c r="V207" s="24">
        <v>1</v>
      </c>
    </row>
    <row r="208" spans="1:22" ht="21" customHeight="1" x14ac:dyDescent="0.15">
      <c r="A208" s="2" t="str">
        <f ca="1">input_498104!A$2</f>
        <v>498104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38">
        <f ca="1">IFERROR(VLOOKUP(B208,input_498104!L:R,7,FALSE),VLOOKUP(tables_498104!C208,input_498104!A:H,8,FALSE))</f>
        <v>50760</v>
      </c>
      <c r="P208" s="39">
        <f t="shared" ca="1" si="10"/>
        <v>4.4262295081913419E-4</v>
      </c>
      <c r="Q208" s="24">
        <v>1</v>
      </c>
      <c r="R208" s="24">
        <v>0</v>
      </c>
      <c r="S208" s="24">
        <v>0</v>
      </c>
      <c r="T208" s="24">
        <v>0</v>
      </c>
      <c r="U208" s="24">
        <v>0</v>
      </c>
      <c r="V208" s="24">
        <v>1</v>
      </c>
    </row>
    <row r="209" spans="1:22" ht="21" customHeight="1" x14ac:dyDescent="0.15">
      <c r="A209" s="2" t="str">
        <f ca="1">input_498104!A$2</f>
        <v>498104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38">
        <f ca="1">IFERROR(VLOOKUP(B209,input_498104!L:R,7,FALSE),VLOOKUP(tables_498104!C209,input_498104!A:H,8,FALSE))</f>
        <v>5640</v>
      </c>
      <c r="P209" s="39">
        <f t="shared" ca="1" si="10"/>
        <v>4.918032786879269E-5</v>
      </c>
      <c r="Q209" s="24">
        <v>1</v>
      </c>
      <c r="R209" s="24">
        <v>0</v>
      </c>
      <c r="S209" s="24">
        <v>0</v>
      </c>
      <c r="T209" s="24">
        <v>0</v>
      </c>
      <c r="U209" s="24">
        <v>0</v>
      </c>
      <c r="V209" s="24">
        <v>1</v>
      </c>
    </row>
    <row r="210" spans="1:22" ht="21" customHeight="1" x14ac:dyDescent="0.15">
      <c r="A210" s="2" t="str">
        <f ca="1">input_498104!A$2</f>
        <v>498104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38">
        <f ca="1">IFERROR(VLOOKUP(B210,input_498104!L:R,7,FALSE),VLOOKUP(tables_498104!C210,input_498104!A:H,8,FALSE))</f>
        <v>0</v>
      </c>
      <c r="P210" s="39">
        <f t="shared" ca="1" si="10"/>
        <v>0</v>
      </c>
      <c r="Q210" s="24">
        <v>1</v>
      </c>
      <c r="R210" s="24">
        <v>0</v>
      </c>
      <c r="S210" s="24">
        <v>0</v>
      </c>
      <c r="T210" s="24">
        <v>0</v>
      </c>
      <c r="U210" s="24">
        <v>0</v>
      </c>
      <c r="V210" s="24">
        <v>1</v>
      </c>
    </row>
    <row r="211" spans="1:22" ht="21" customHeight="1" x14ac:dyDescent="0.15">
      <c r="A211" s="2" t="str">
        <f ca="1">input_498104!A$2</f>
        <v>498104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38">
        <f ca="1">IFERROR(VLOOKUP(B211,input_498104!L:R,7,FALSE),VLOOKUP(tables_498104!C211,input_498104!A:H,8,FALSE))</f>
        <v>976938.46154000005</v>
      </c>
      <c r="P211" s="39">
        <f t="shared" ca="1" si="10"/>
        <v>8.5188216039310503E-3</v>
      </c>
      <c r="Q211" s="24">
        <v>1</v>
      </c>
      <c r="R211" s="24">
        <v>0</v>
      </c>
      <c r="S211" s="24">
        <v>0</v>
      </c>
      <c r="T211" s="24">
        <v>0</v>
      </c>
      <c r="U211" s="24">
        <v>0</v>
      </c>
      <c r="V211" s="24">
        <v>1</v>
      </c>
    </row>
    <row r="212" spans="1:22" ht="21" customHeight="1" x14ac:dyDescent="0.15">
      <c r="A212" s="2" t="str">
        <f ca="1">input_498104!A$2</f>
        <v>498104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38">
        <f ca="1">IFERROR(VLOOKUP(B212,input_498104!L:R,7,FALSE),VLOOKUP(tables_498104!C212,input_498104!A:H,8,FALSE))</f>
        <v>57550.769229999998</v>
      </c>
      <c r="P212" s="39">
        <f t="shared" ca="1" si="10"/>
        <v>5.0183789004124566E-4</v>
      </c>
      <c r="Q212" s="24">
        <v>1</v>
      </c>
      <c r="R212" s="24">
        <v>0</v>
      </c>
      <c r="S212" s="24">
        <v>0</v>
      </c>
      <c r="T212" s="24">
        <v>0</v>
      </c>
      <c r="U212" s="24">
        <v>0</v>
      </c>
      <c r="V212" s="24">
        <v>1</v>
      </c>
    </row>
    <row r="213" spans="1:22" ht="21" customHeight="1" x14ac:dyDescent="0.15">
      <c r="A213" s="2" t="str">
        <f ca="1">input_498104!A$2</f>
        <v>498104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38">
        <f ca="1">IFERROR(VLOOKUP(B213,input_498104!L:R,7,FALSE),VLOOKUP(tables_498104!C213,input_498104!A:H,8,FALSE))</f>
        <v>50760</v>
      </c>
      <c r="P213" s="39">
        <f t="shared" ca="1" si="10"/>
        <v>4.4262295081913419E-4</v>
      </c>
      <c r="Q213" s="24">
        <v>1</v>
      </c>
      <c r="R213" s="24">
        <v>0</v>
      </c>
      <c r="S213" s="24">
        <v>0</v>
      </c>
      <c r="T213" s="24">
        <v>0</v>
      </c>
      <c r="U213" s="24">
        <v>0</v>
      </c>
      <c r="V213" s="24">
        <v>1</v>
      </c>
    </row>
    <row r="214" spans="1:22" ht="21" customHeight="1" x14ac:dyDescent="0.15">
      <c r="A214" s="2" t="str">
        <f ca="1">input_498104!A$2</f>
        <v>498104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38">
        <f ca="1">IFERROR(VLOOKUP(B214,input_498104!L:R,7,FALSE),VLOOKUP(tables_498104!C214,input_498104!A:H,8,FALSE))</f>
        <v>5640</v>
      </c>
      <c r="P214" s="39">
        <f t="shared" ca="1" si="10"/>
        <v>4.918032786879269E-5</v>
      </c>
      <c r="Q214" s="24">
        <v>1</v>
      </c>
      <c r="R214" s="24">
        <v>0</v>
      </c>
      <c r="S214" s="24">
        <v>0</v>
      </c>
      <c r="T214" s="24">
        <v>0</v>
      </c>
      <c r="U214" s="24">
        <v>0</v>
      </c>
      <c r="V214" s="24">
        <v>1</v>
      </c>
    </row>
    <row r="215" spans="1:22" ht="21" customHeight="1" x14ac:dyDescent="0.15">
      <c r="A215" s="2" t="str">
        <f ca="1">input_498104!A$2</f>
        <v>498104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38">
        <f ca="1">IFERROR(VLOOKUP(B215,input_498104!L:R,7,FALSE),VLOOKUP(tables_498104!C215,input_498104!A:H,8,FALSE))</f>
        <v>68116.666670000006</v>
      </c>
      <c r="P215" s="39">
        <f t="shared" ca="1" si="10"/>
        <v>5.9397163123401839E-4</v>
      </c>
      <c r="Q215" s="24">
        <v>1</v>
      </c>
      <c r="R215" s="24">
        <v>0</v>
      </c>
      <c r="S215" s="24">
        <v>0</v>
      </c>
      <c r="T215" s="24">
        <v>0</v>
      </c>
      <c r="U215" s="24">
        <v>0</v>
      </c>
      <c r="V215" s="24">
        <v>1</v>
      </c>
    </row>
    <row r="216" spans="1:22" ht="21" customHeight="1" x14ac:dyDescent="0.15">
      <c r="A216" s="2" t="str">
        <f ca="1">input_498104!A$2</f>
        <v>498104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38">
        <f ca="1">IFERROR(VLOOKUP(B216,input_498104!L:R,7,FALSE),VLOOKUP(tables_498104!C216,input_498104!A:H,8,FALSE))</f>
        <v>68116.666670000006</v>
      </c>
      <c r="P216" s="39">
        <f t="shared" ca="1" si="10"/>
        <v>5.9397163123401839E-4</v>
      </c>
      <c r="Q216" s="24">
        <v>1</v>
      </c>
      <c r="R216" s="24">
        <v>0</v>
      </c>
      <c r="S216" s="24">
        <v>0</v>
      </c>
      <c r="T216" s="24">
        <v>0</v>
      </c>
      <c r="U216" s="24">
        <v>0</v>
      </c>
      <c r="V216" s="24">
        <v>1</v>
      </c>
    </row>
    <row r="217" spans="1:22" ht="21" customHeight="1" x14ac:dyDescent="0.15">
      <c r="A217" s="2" t="str">
        <f ca="1">input_498104!A$2</f>
        <v>498104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38">
        <f ca="1">IFERROR(VLOOKUP(B217,input_498104!L:R,7,FALSE),VLOOKUP(tables_498104!C217,input_498104!A:H,8,FALSE))</f>
        <v>68116.666670000006</v>
      </c>
      <c r="P217" s="39">
        <f t="shared" ca="1" si="10"/>
        <v>5.9397163123401839E-4</v>
      </c>
      <c r="Q217" s="24">
        <v>1</v>
      </c>
      <c r="R217" s="24">
        <v>0</v>
      </c>
      <c r="S217" s="24">
        <v>0</v>
      </c>
      <c r="T217" s="24">
        <v>0</v>
      </c>
      <c r="U217" s="24">
        <v>0</v>
      </c>
      <c r="V217" s="24">
        <v>1</v>
      </c>
    </row>
    <row r="218" spans="1:22" ht="21" customHeight="1" x14ac:dyDescent="0.15">
      <c r="A218" s="2" t="str">
        <f ca="1">input_498104!A$2</f>
        <v>498104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38">
        <f ca="1">IFERROR(VLOOKUP(B218,input_498104!L:R,7,FALSE),VLOOKUP(tables_498104!C218,input_498104!A:H,8,FALSE))</f>
        <v>68116.666670000006</v>
      </c>
      <c r="P218" s="39">
        <f t="shared" ca="1" si="10"/>
        <v>5.9397163123401839E-4</v>
      </c>
      <c r="Q218" s="24">
        <v>1</v>
      </c>
      <c r="R218" s="24">
        <v>0</v>
      </c>
      <c r="S218" s="24">
        <v>0</v>
      </c>
      <c r="T218" s="24">
        <v>0</v>
      </c>
      <c r="U218" s="24">
        <v>0</v>
      </c>
      <c r="V218" s="24">
        <v>1</v>
      </c>
    </row>
    <row r="219" spans="1:22" ht="21" customHeight="1" x14ac:dyDescent="0.15">
      <c r="A219" s="2" t="str">
        <f ca="1">input_498104!A$2</f>
        <v>498104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38">
        <f ca="1">IFERROR(VLOOKUP(B219,input_498104!L:R,7,FALSE),VLOOKUP(tables_498104!C219,input_498104!A:H,8,FALSE))</f>
        <v>68116.666670000006</v>
      </c>
      <c r="P219" s="39">
        <f t="shared" ca="1" si="10"/>
        <v>5.9397163123401839E-4</v>
      </c>
      <c r="Q219" s="24">
        <v>1</v>
      </c>
      <c r="R219" s="24">
        <v>0</v>
      </c>
      <c r="S219" s="24">
        <v>0</v>
      </c>
      <c r="T219" s="24">
        <v>0</v>
      </c>
      <c r="U219" s="24">
        <v>0</v>
      </c>
      <c r="V219" s="24">
        <v>1</v>
      </c>
    </row>
    <row r="220" spans="1:22" ht="21" customHeight="1" x14ac:dyDescent="0.15">
      <c r="A220" s="2" t="str">
        <f ca="1">input_498104!A$2</f>
        <v>498104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38">
        <f ca="1">IFERROR(VLOOKUP(B220,input_498104!L:R,7,FALSE),VLOOKUP(tables_498104!C220,input_498104!A:H,8,FALSE))</f>
        <v>68116.666670000006</v>
      </c>
      <c r="P220" s="39">
        <f t="shared" ca="1" si="10"/>
        <v>5.9397163123401839E-4</v>
      </c>
      <c r="Q220" s="24">
        <v>1</v>
      </c>
      <c r="R220" s="24">
        <v>0</v>
      </c>
      <c r="S220" s="24">
        <v>0</v>
      </c>
      <c r="T220" s="24">
        <v>0</v>
      </c>
      <c r="U220" s="24">
        <v>0</v>
      </c>
      <c r="V220" s="24">
        <v>1</v>
      </c>
    </row>
    <row r="221" spans="1:22" ht="21" customHeight="1" x14ac:dyDescent="0.15">
      <c r="A221" s="2" t="str">
        <f ca="1">input_498104!A$2</f>
        <v>498104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38">
        <f ca="1">IFERROR(VLOOKUP(B221,input_498104!L:R,7,FALSE),VLOOKUP(tables_498104!C221,input_498104!A:H,8,FALSE))</f>
        <v>50760</v>
      </c>
      <c r="P221" s="39">
        <f t="shared" ca="1" si="10"/>
        <v>4.4262295081913419E-4</v>
      </c>
      <c r="Q221" s="24">
        <v>1</v>
      </c>
      <c r="R221" s="24">
        <v>0</v>
      </c>
      <c r="S221" s="24">
        <v>0</v>
      </c>
      <c r="T221" s="24">
        <v>0</v>
      </c>
      <c r="U221" s="24">
        <v>0</v>
      </c>
      <c r="V221" s="24">
        <v>1</v>
      </c>
    </row>
    <row r="222" spans="1:22" ht="21" customHeight="1" x14ac:dyDescent="0.15">
      <c r="A222" s="2" t="str">
        <f ca="1">input_498104!A$2</f>
        <v>498104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38">
        <f ca="1">IFERROR(VLOOKUP(B222,input_498104!L:R,7,FALSE),VLOOKUP(tables_498104!C222,input_498104!A:H,8,FALSE))</f>
        <v>5640</v>
      </c>
      <c r="P222" s="39">
        <f t="shared" ca="1" si="10"/>
        <v>4.918032786879269E-5</v>
      </c>
      <c r="Q222" s="24">
        <v>1</v>
      </c>
      <c r="R222" s="24">
        <v>0</v>
      </c>
      <c r="S222" s="24">
        <v>0</v>
      </c>
      <c r="T222" s="24">
        <v>0</v>
      </c>
      <c r="U222" s="24">
        <v>0</v>
      </c>
      <c r="V222" s="24">
        <v>1</v>
      </c>
    </row>
    <row r="223" spans="1:22" ht="21" customHeight="1" x14ac:dyDescent="0.15">
      <c r="A223" s="2" t="str">
        <f ca="1">input_498104!A$2</f>
        <v>498104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38">
        <f ca="1">IFERROR(VLOOKUP(B223,input_498104!L:R,7,FALSE),VLOOKUP(tables_498104!C223,input_498104!A:H,8,FALSE))</f>
        <v>0</v>
      </c>
      <c r="P223" s="39">
        <f t="shared" ca="1" si="10"/>
        <v>0</v>
      </c>
      <c r="Q223" s="24">
        <v>1</v>
      </c>
      <c r="R223" s="24">
        <v>0</v>
      </c>
      <c r="S223" s="24">
        <v>0</v>
      </c>
      <c r="T223" s="24">
        <v>0</v>
      </c>
      <c r="U223" s="24">
        <v>0</v>
      </c>
      <c r="V223" s="24">
        <v>1</v>
      </c>
    </row>
    <row r="224" spans="1:22" ht="21" customHeight="1" x14ac:dyDescent="0.15">
      <c r="A224" s="2" t="str">
        <f ca="1">input_498104!A$2</f>
        <v>498104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38">
        <f ca="1">IFERROR(VLOOKUP(B224,input_498104!L:R,7,FALSE),VLOOKUP(tables_498104!C224,input_498104!A:H,8,FALSE))</f>
        <v>976938.46154000005</v>
      </c>
      <c r="P224" s="39">
        <f t="shared" ca="1" si="10"/>
        <v>8.5188216039310503E-3</v>
      </c>
      <c r="Q224" s="24">
        <v>1</v>
      </c>
      <c r="R224" s="24">
        <v>0</v>
      </c>
      <c r="S224" s="24">
        <v>0</v>
      </c>
      <c r="T224" s="24">
        <v>0</v>
      </c>
      <c r="U224" s="24">
        <v>0</v>
      </c>
      <c r="V224" s="24">
        <v>1</v>
      </c>
    </row>
    <row r="225" spans="1:22" ht="21" customHeight="1" x14ac:dyDescent="0.15">
      <c r="A225" s="2" t="str">
        <f ca="1">input_498104!A$2</f>
        <v>498104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38">
        <f ca="1">IFERROR(VLOOKUP(B225,input_498104!L:R,7,FALSE),VLOOKUP(tables_498104!C225,input_498104!A:H,8,FALSE))</f>
        <v>57550.769229999998</v>
      </c>
      <c r="P225" s="39">
        <f t="shared" ca="1" si="10"/>
        <v>5.0183789004124566E-4</v>
      </c>
      <c r="Q225" s="24">
        <v>1</v>
      </c>
      <c r="R225" s="24">
        <v>0</v>
      </c>
      <c r="S225" s="24">
        <v>0</v>
      </c>
      <c r="T225" s="24">
        <v>0</v>
      </c>
      <c r="U225" s="24">
        <v>0</v>
      </c>
      <c r="V225" s="24">
        <v>1</v>
      </c>
    </row>
    <row r="226" spans="1:22" ht="21" customHeight="1" x14ac:dyDescent="0.15">
      <c r="A226" s="2" t="str">
        <f ca="1">input_498104!A$2</f>
        <v>498104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38">
        <f ca="1">IFERROR(VLOOKUP(B226,input_498104!L:R,7,FALSE),VLOOKUP(tables_498104!C226,input_498104!A:H,8,FALSE))</f>
        <v>0</v>
      </c>
      <c r="P226" s="39">
        <f t="shared" ca="1" si="10"/>
        <v>0</v>
      </c>
      <c r="Q226" s="24">
        <v>1</v>
      </c>
      <c r="R226" s="24">
        <v>0</v>
      </c>
      <c r="S226" s="24">
        <v>0</v>
      </c>
      <c r="T226" s="24">
        <v>0</v>
      </c>
      <c r="U226" s="24">
        <v>0</v>
      </c>
      <c r="V226" s="24">
        <v>1</v>
      </c>
    </row>
    <row r="227" spans="1:22" ht="21" customHeight="1" x14ac:dyDescent="0.15">
      <c r="A227" s="2" t="str">
        <f ca="1">input_498104!A$2</f>
        <v>498104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38">
        <f ca="1">IFERROR(VLOOKUP(B227,input_498104!L:R,7,FALSE),VLOOKUP(tables_498104!C227,input_498104!A:H,8,FALSE))</f>
        <v>976938.46154000005</v>
      </c>
      <c r="P227" s="39">
        <f t="shared" ca="1" si="10"/>
        <v>8.5188216039310503E-3</v>
      </c>
      <c r="Q227" s="24">
        <v>1</v>
      </c>
      <c r="R227" s="24">
        <v>0</v>
      </c>
      <c r="S227" s="24">
        <v>0</v>
      </c>
      <c r="T227" s="24">
        <v>0</v>
      </c>
      <c r="U227" s="24">
        <v>0</v>
      </c>
      <c r="V227" s="24">
        <v>1</v>
      </c>
    </row>
    <row r="228" spans="1:22" ht="21" customHeight="1" x14ac:dyDescent="0.15">
      <c r="A228" s="2" t="str">
        <f ca="1">input_498104!A$2</f>
        <v>498104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38">
        <f ca="1">IFERROR(VLOOKUP(B228,input_498104!L:R,7,FALSE),VLOOKUP(tables_498104!C228,input_498104!A:H,8,FALSE))</f>
        <v>57550.769229999998</v>
      </c>
      <c r="P228" s="39">
        <f t="shared" ca="1" si="10"/>
        <v>5.0183789004124566E-4</v>
      </c>
      <c r="Q228" s="24">
        <v>1</v>
      </c>
      <c r="R228" s="24">
        <v>0</v>
      </c>
      <c r="S228" s="24">
        <v>0</v>
      </c>
      <c r="T228" s="24">
        <v>0</v>
      </c>
      <c r="U228" s="24">
        <v>0</v>
      </c>
      <c r="V228" s="24">
        <v>1</v>
      </c>
    </row>
    <row r="229" spans="1:22" ht="21" customHeight="1" x14ac:dyDescent="0.15">
      <c r="A229" s="2" t="str">
        <f ca="1">input_498104!A$2</f>
        <v>498104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38">
        <f ca="1">IFERROR(VLOOKUP(B229,input_498104!L:R,7,FALSE),VLOOKUP(tables_498104!C229,input_498104!A:H,8,FALSE))</f>
        <v>50760</v>
      </c>
      <c r="P229" s="39">
        <f t="shared" ca="1" si="10"/>
        <v>4.4262295081913419E-4</v>
      </c>
      <c r="Q229" s="24">
        <v>1</v>
      </c>
      <c r="R229" s="24">
        <v>0</v>
      </c>
      <c r="S229" s="24">
        <v>0</v>
      </c>
      <c r="T229" s="24">
        <v>0</v>
      </c>
      <c r="U229" s="24">
        <v>0</v>
      </c>
      <c r="V229" s="24">
        <v>1</v>
      </c>
    </row>
    <row r="230" spans="1:22" ht="21" customHeight="1" x14ac:dyDescent="0.15">
      <c r="A230" s="2" t="str">
        <f ca="1">input_498104!A$2</f>
        <v>498104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38">
        <f ca="1">IFERROR(VLOOKUP(B230,input_498104!L:R,7,FALSE),VLOOKUP(tables_498104!C230,input_498104!A:H,8,FALSE))</f>
        <v>5640</v>
      </c>
      <c r="P230" s="39">
        <f t="shared" ca="1" si="10"/>
        <v>4.918032786879269E-5</v>
      </c>
      <c r="Q230" s="24">
        <v>1</v>
      </c>
      <c r="R230" s="24">
        <v>0</v>
      </c>
      <c r="S230" s="24">
        <v>0</v>
      </c>
      <c r="T230" s="24">
        <v>0</v>
      </c>
      <c r="U230" s="24">
        <v>0</v>
      </c>
      <c r="V230" s="24">
        <v>1</v>
      </c>
    </row>
    <row r="231" spans="1:22" ht="21" customHeight="1" x14ac:dyDescent="0.15">
      <c r="A231" s="2" t="str">
        <f ca="1">input_498104!A$2</f>
        <v>498104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38">
        <f ca="1">IFERROR(VLOOKUP(B231,input_498104!L:R,7,FALSE),VLOOKUP(tables_498104!C231,input_498104!A:H,8,FALSE))</f>
        <v>0</v>
      </c>
      <c r="P231" s="39">
        <f t="shared" ca="1" si="10"/>
        <v>0</v>
      </c>
      <c r="Q231" s="24">
        <v>1</v>
      </c>
      <c r="R231" s="24">
        <v>0</v>
      </c>
      <c r="S231" s="24">
        <v>0</v>
      </c>
      <c r="T231" s="24">
        <v>0</v>
      </c>
      <c r="U231" s="24">
        <v>0</v>
      </c>
      <c r="V231" s="24">
        <v>1</v>
      </c>
    </row>
    <row r="232" spans="1:22" ht="21" customHeight="1" x14ac:dyDescent="0.15">
      <c r="A232" s="2" t="str">
        <f ca="1">input_498104!A$2</f>
        <v>498104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38">
        <f ca="1">IFERROR(VLOOKUP(B232,input_498104!L:R,7,FALSE),VLOOKUP(tables_498104!C232,input_498104!A:H,8,FALSE))</f>
        <v>976938.46154000005</v>
      </c>
      <c r="P232" s="39">
        <f t="shared" ca="1" si="10"/>
        <v>8.5188216039310503E-3</v>
      </c>
      <c r="Q232" s="24">
        <v>1</v>
      </c>
      <c r="R232" s="24">
        <v>0</v>
      </c>
      <c r="S232" s="24">
        <v>0</v>
      </c>
      <c r="T232" s="24">
        <v>0</v>
      </c>
      <c r="U232" s="24">
        <v>0</v>
      </c>
      <c r="V232" s="24">
        <v>1</v>
      </c>
    </row>
    <row r="233" spans="1:22" ht="21" customHeight="1" x14ac:dyDescent="0.15">
      <c r="A233" s="2" t="str">
        <f ca="1">input_498104!A$2</f>
        <v>498104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38">
        <f ca="1">IFERROR(VLOOKUP(B233,input_498104!L:R,7,FALSE),VLOOKUP(tables_498104!C233,input_498104!A:H,8,FALSE))</f>
        <v>57550.769229999998</v>
      </c>
      <c r="P233" s="39">
        <f t="shared" ca="1" si="10"/>
        <v>5.0183789004124566E-4</v>
      </c>
      <c r="Q233" s="24">
        <v>1</v>
      </c>
      <c r="R233" s="24">
        <v>0</v>
      </c>
      <c r="S233" s="24">
        <v>0</v>
      </c>
      <c r="T233" s="24">
        <v>0</v>
      </c>
      <c r="U233" s="24">
        <v>0</v>
      </c>
      <c r="V233" s="24">
        <v>1</v>
      </c>
    </row>
    <row r="234" spans="1:22" ht="21" customHeight="1" x14ac:dyDescent="0.15">
      <c r="A234" s="2" t="str">
        <f ca="1">input_498104!A$2</f>
        <v>498104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38">
        <f ca="1">IFERROR(VLOOKUP(B234,input_498104!L:R,7,FALSE),VLOOKUP(tables_498104!C234,input_498104!A:H,8,FALSE))</f>
        <v>0</v>
      </c>
      <c r="P234" s="39">
        <f t="shared" ca="1" si="10"/>
        <v>0</v>
      </c>
      <c r="Q234" s="24">
        <v>1</v>
      </c>
      <c r="R234" s="24">
        <v>0</v>
      </c>
      <c r="S234" s="24">
        <v>0</v>
      </c>
      <c r="T234" s="24">
        <v>0</v>
      </c>
      <c r="U234" s="24">
        <v>0</v>
      </c>
      <c r="V234" s="24">
        <v>1</v>
      </c>
    </row>
    <row r="235" spans="1:22" ht="21" customHeight="1" x14ac:dyDescent="0.15">
      <c r="A235" s="2" t="str">
        <f ca="1">input_498104!A$2</f>
        <v>498104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38">
        <f ca="1">IFERROR(VLOOKUP(B235,input_498104!L:R,7,FALSE),VLOOKUP(tables_498104!C235,input_498104!A:H,8,FALSE))</f>
        <v>976938.46154000005</v>
      </c>
      <c r="P235" s="39">
        <f t="shared" ca="1" si="10"/>
        <v>8.5188216039310503E-3</v>
      </c>
      <c r="Q235" s="24">
        <v>1</v>
      </c>
      <c r="R235" s="24">
        <v>0</v>
      </c>
      <c r="S235" s="24">
        <v>0</v>
      </c>
      <c r="T235" s="24">
        <v>0</v>
      </c>
      <c r="U235" s="24">
        <v>0</v>
      </c>
      <c r="V235" s="24">
        <v>1</v>
      </c>
    </row>
    <row r="236" spans="1:22" ht="21" customHeight="1" x14ac:dyDescent="0.15">
      <c r="A236" s="2" t="str">
        <f ca="1">input_498104!A$2</f>
        <v>498104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38">
        <f ca="1">IFERROR(VLOOKUP(B236,input_498104!L:R,7,FALSE),VLOOKUP(tables_498104!C236,input_498104!A:H,8,FALSE))</f>
        <v>57550.769229999998</v>
      </c>
      <c r="P236" s="39">
        <f t="shared" ca="1" si="10"/>
        <v>5.0183789004124566E-4</v>
      </c>
      <c r="Q236" s="24">
        <v>1</v>
      </c>
      <c r="R236" s="24">
        <v>0</v>
      </c>
      <c r="S236" s="24">
        <v>0</v>
      </c>
      <c r="T236" s="24">
        <v>0</v>
      </c>
      <c r="U236" s="24">
        <v>0</v>
      </c>
      <c r="V236" s="24">
        <v>1</v>
      </c>
    </row>
    <row r="237" spans="1:22" ht="21" customHeight="1" x14ac:dyDescent="0.15">
      <c r="A237" s="2" t="str">
        <f ca="1">input_498104!A$2</f>
        <v>498104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38">
        <f ca="1">IFERROR(VLOOKUP(B237,input_498104!L:R,7,FALSE),VLOOKUP(tables_498104!C237,input_498104!A:H,8,FALSE))</f>
        <v>50760</v>
      </c>
      <c r="P237" s="39">
        <f t="shared" ca="1" si="10"/>
        <v>4.4262295081913419E-4</v>
      </c>
      <c r="Q237" s="24">
        <v>1</v>
      </c>
      <c r="R237" s="24">
        <v>0</v>
      </c>
      <c r="S237" s="24">
        <v>0</v>
      </c>
      <c r="T237" s="24">
        <v>0</v>
      </c>
      <c r="U237" s="24">
        <v>0</v>
      </c>
      <c r="V237" s="24">
        <v>1</v>
      </c>
    </row>
    <row r="238" spans="1:22" ht="21" customHeight="1" x14ac:dyDescent="0.15">
      <c r="A238" s="2" t="str">
        <f ca="1">input_498104!A$2</f>
        <v>498104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38">
        <f ca="1">IFERROR(VLOOKUP(B238,input_498104!L:R,7,FALSE),VLOOKUP(tables_498104!C238,input_498104!A:H,8,FALSE))</f>
        <v>5640</v>
      </c>
      <c r="P238" s="39">
        <f t="shared" ca="1" si="10"/>
        <v>4.918032786879269E-5</v>
      </c>
      <c r="Q238" s="24">
        <v>1</v>
      </c>
      <c r="R238" s="24">
        <v>0</v>
      </c>
      <c r="S238" s="24">
        <v>0</v>
      </c>
      <c r="T238" s="24">
        <v>0</v>
      </c>
      <c r="U238" s="24">
        <v>0</v>
      </c>
      <c r="V238" s="24">
        <v>1</v>
      </c>
    </row>
    <row r="239" spans="1:22" ht="21" customHeight="1" x14ac:dyDescent="0.15">
      <c r="A239" s="2" t="str">
        <f ca="1">input_498104!A$2</f>
        <v>498104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38">
        <f ca="1">IFERROR(VLOOKUP(B239,input_498104!L:R,7,FALSE),VLOOKUP(tables_498104!C239,input_498104!A:H,8,FALSE))</f>
        <v>0</v>
      </c>
      <c r="P239" s="39">
        <f t="shared" ca="1" si="10"/>
        <v>0</v>
      </c>
      <c r="Q239" s="24">
        <v>1</v>
      </c>
      <c r="R239" s="24">
        <v>0</v>
      </c>
      <c r="S239" s="24">
        <v>0</v>
      </c>
      <c r="T239" s="24">
        <v>0</v>
      </c>
      <c r="U239" s="24">
        <v>0</v>
      </c>
      <c r="V239" s="24">
        <v>1</v>
      </c>
    </row>
    <row r="240" spans="1:22" ht="21" customHeight="1" x14ac:dyDescent="0.15">
      <c r="A240" s="2" t="str">
        <f ca="1">input_498104!A$2</f>
        <v>498104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38">
        <f ca="1">IFERROR(VLOOKUP(B240,input_498104!L:R,7,FALSE),VLOOKUP(tables_498104!C240,input_498104!A:H,8,FALSE))</f>
        <v>976938.46154000005</v>
      </c>
      <c r="P240" s="39">
        <f t="shared" ca="1" si="10"/>
        <v>8.5188216039310503E-3</v>
      </c>
      <c r="Q240" s="24">
        <v>1</v>
      </c>
      <c r="R240" s="24">
        <v>0</v>
      </c>
      <c r="S240" s="24">
        <v>0</v>
      </c>
      <c r="T240" s="24">
        <v>0</v>
      </c>
      <c r="U240" s="24">
        <v>0</v>
      </c>
      <c r="V240" s="24">
        <v>1</v>
      </c>
    </row>
    <row r="241" spans="1:22" ht="21" customHeight="1" x14ac:dyDescent="0.15">
      <c r="A241" s="2" t="str">
        <f ca="1">input_498104!A$2</f>
        <v>498104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38">
        <f ca="1">IFERROR(VLOOKUP(B241,input_498104!L:R,7,FALSE),VLOOKUP(tables_498104!C241,input_498104!A:H,8,FALSE))</f>
        <v>57550.769229999998</v>
      </c>
      <c r="P241" s="39">
        <f t="shared" ca="1" si="10"/>
        <v>5.0183789004124566E-4</v>
      </c>
      <c r="Q241" s="24">
        <v>1</v>
      </c>
      <c r="R241" s="24">
        <v>0</v>
      </c>
      <c r="S241" s="24">
        <v>0</v>
      </c>
      <c r="T241" s="24">
        <v>0</v>
      </c>
      <c r="U241" s="24">
        <v>0</v>
      </c>
      <c r="V241" s="24">
        <v>1</v>
      </c>
    </row>
    <row r="242" spans="1:22" ht="21" customHeight="1" x14ac:dyDescent="0.15">
      <c r="A242" s="2" t="str">
        <f ca="1">input_498104!A$2</f>
        <v>498104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38">
        <f ca="1">IFERROR(VLOOKUP(B242,input_498104!L:R,7,FALSE),VLOOKUP(tables_498104!C242,input_498104!A:H,8,FALSE))</f>
        <v>50760</v>
      </c>
      <c r="P242" s="39">
        <f t="shared" ca="1" si="10"/>
        <v>4.4262295081913419E-4</v>
      </c>
      <c r="Q242" s="24">
        <v>1</v>
      </c>
      <c r="R242" s="24">
        <v>0</v>
      </c>
      <c r="S242" s="24">
        <v>0</v>
      </c>
      <c r="T242" s="24">
        <v>0</v>
      </c>
      <c r="U242" s="24">
        <v>0</v>
      </c>
      <c r="V242" s="24">
        <v>1</v>
      </c>
    </row>
    <row r="243" spans="1:22" ht="21" customHeight="1" x14ac:dyDescent="0.15">
      <c r="A243" s="2" t="str">
        <f ca="1">input_498104!A$2</f>
        <v>498104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38">
        <f ca="1">IFERROR(VLOOKUP(B243,input_498104!L:R,7,FALSE),VLOOKUP(tables_498104!C243,input_498104!A:H,8,FALSE))</f>
        <v>5640</v>
      </c>
      <c r="P243" s="39">
        <f t="shared" ca="1" si="10"/>
        <v>4.918032786879269E-5</v>
      </c>
      <c r="Q243" s="24">
        <v>1</v>
      </c>
      <c r="R243" s="24">
        <v>0</v>
      </c>
      <c r="S243" s="24">
        <v>0</v>
      </c>
      <c r="T243" s="24">
        <v>0</v>
      </c>
      <c r="U243" s="24">
        <v>0</v>
      </c>
      <c r="V243" s="24">
        <v>1</v>
      </c>
    </row>
    <row r="244" spans="1:22" ht="21" customHeight="1" x14ac:dyDescent="0.15">
      <c r="A244" s="2" t="str">
        <f ca="1">input_498104!A$2</f>
        <v>498104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38">
        <f ca="1">IFERROR(VLOOKUP(B244,input_498104!L:R,7,FALSE),VLOOKUP(tables_498104!C244,input_498104!A:H,8,FALSE))</f>
        <v>50760</v>
      </c>
      <c r="P244" s="39">
        <f t="shared" ca="1" si="10"/>
        <v>4.4262295081913419E-4</v>
      </c>
      <c r="Q244" s="24">
        <v>1</v>
      </c>
      <c r="R244" s="24">
        <v>0</v>
      </c>
      <c r="S244" s="24">
        <v>0</v>
      </c>
      <c r="T244" s="24">
        <v>0</v>
      </c>
      <c r="U244" s="24">
        <v>0</v>
      </c>
      <c r="V244" s="24">
        <v>1</v>
      </c>
    </row>
    <row r="245" spans="1:22" ht="21" customHeight="1" x14ac:dyDescent="0.15">
      <c r="A245" s="2" t="str">
        <f ca="1">input_498104!A$2</f>
        <v>498104</v>
      </c>
      <c r="B245" s="53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38">
        <f ca="1">IFERROR(VLOOKUP(B245,input_498104!L:R,7,FALSE),VLOOKUP(tables_498104!C245,input_498104!A:H,8,FALSE))</f>
        <v>5640</v>
      </c>
      <c r="P245" s="39">
        <f t="shared" ca="1" si="10"/>
        <v>4.918032786879269E-5</v>
      </c>
      <c r="Q245" s="24">
        <v>1</v>
      </c>
      <c r="R245" s="24">
        <v>0</v>
      </c>
      <c r="S245" s="24">
        <v>0</v>
      </c>
      <c r="T245" s="24">
        <v>0</v>
      </c>
      <c r="U245" s="24">
        <v>0</v>
      </c>
      <c r="V245" s="24">
        <v>1</v>
      </c>
    </row>
    <row r="246" spans="1:22" ht="21" customHeight="1" x14ac:dyDescent="0.15">
      <c r="A246" s="2" t="str">
        <f ca="1">input_498104!A$2</f>
        <v>498104</v>
      </c>
      <c r="B246" s="53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38">
        <f ca="1">IFERROR(VLOOKUP(B246,input_498104!L:R,7,FALSE),VLOOKUP(tables_498104!C246,input_498104!A:H,8,FALSE))</f>
        <v>0</v>
      </c>
      <c r="P246" s="39">
        <f t="shared" ca="1" si="10"/>
        <v>0</v>
      </c>
      <c r="Q246" s="24">
        <v>1</v>
      </c>
      <c r="R246" s="24">
        <v>0</v>
      </c>
      <c r="S246" s="24">
        <v>0</v>
      </c>
      <c r="T246" s="24">
        <v>0</v>
      </c>
      <c r="U246" s="24">
        <v>0</v>
      </c>
      <c r="V246" s="24">
        <v>1</v>
      </c>
    </row>
    <row r="247" spans="1:22" ht="21" customHeight="1" x14ac:dyDescent="0.15">
      <c r="A247" s="2" t="str">
        <f ca="1">input_498104!A$2</f>
        <v>498104</v>
      </c>
      <c r="B247" s="53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38">
        <f ca="1">IFERROR(VLOOKUP(B247,input_498104!L:R,7,FALSE),VLOOKUP(tables_498104!C247,input_498104!A:H,8,FALSE))</f>
        <v>976938.46154000005</v>
      </c>
      <c r="P247" s="39">
        <f t="shared" ca="1" si="10"/>
        <v>8.5188216039310503E-3</v>
      </c>
      <c r="Q247" s="24">
        <v>1</v>
      </c>
      <c r="R247" s="24">
        <v>0</v>
      </c>
      <c r="S247" s="24">
        <v>0</v>
      </c>
      <c r="T247" s="24">
        <v>0</v>
      </c>
      <c r="U247" s="24">
        <v>0</v>
      </c>
      <c r="V247" s="24">
        <v>1</v>
      </c>
    </row>
    <row r="248" spans="1:22" ht="21" customHeight="1" x14ac:dyDescent="0.15">
      <c r="A248" s="2" t="str">
        <f ca="1">input_498104!A$2</f>
        <v>498104</v>
      </c>
      <c r="B248" s="53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38">
        <f ca="1">IFERROR(VLOOKUP(B248,input_498104!L:R,7,FALSE),VLOOKUP(tables_498104!C248,input_498104!A:H,8,FALSE))</f>
        <v>57550.769229999998</v>
      </c>
      <c r="P248" s="39">
        <f t="shared" ca="1" si="10"/>
        <v>5.0183789004124566E-4</v>
      </c>
      <c r="Q248" s="24">
        <v>1</v>
      </c>
      <c r="R248" s="24">
        <v>0</v>
      </c>
      <c r="S248" s="24">
        <v>0</v>
      </c>
      <c r="T248" s="24">
        <v>0</v>
      </c>
      <c r="U248" s="24">
        <v>0</v>
      </c>
      <c r="V248" s="24">
        <v>1</v>
      </c>
    </row>
    <row r="249" spans="1:22" ht="21" customHeight="1" x14ac:dyDescent="0.15">
      <c r="A249" s="2" t="str">
        <f ca="1">input_498104!A$2</f>
        <v>498104</v>
      </c>
      <c r="B249" s="53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38">
        <f ca="1">IFERROR(VLOOKUP(B249,input_498104!L:R,7,FALSE),VLOOKUP(tables_498104!C249,input_498104!A:H,8,FALSE))</f>
        <v>0</v>
      </c>
      <c r="P249" s="39">
        <f t="shared" ca="1" si="10"/>
        <v>0</v>
      </c>
      <c r="Q249" s="24">
        <v>1</v>
      </c>
      <c r="R249" s="24">
        <v>0</v>
      </c>
      <c r="S249" s="24">
        <v>0</v>
      </c>
      <c r="T249" s="24">
        <v>0</v>
      </c>
      <c r="U249" s="24">
        <v>0</v>
      </c>
      <c r="V249" s="24">
        <v>1</v>
      </c>
    </row>
    <row r="250" spans="1:22" ht="21" customHeight="1" x14ac:dyDescent="0.15">
      <c r="A250" s="2" t="str">
        <f ca="1">input_498104!A$2</f>
        <v>498104</v>
      </c>
      <c r="B250" s="53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38">
        <f ca="1">IFERROR(VLOOKUP(B250,input_498104!L:R,7,FALSE),VLOOKUP(tables_498104!C250,input_498104!A:H,8,FALSE))</f>
        <v>976938.46154000005</v>
      </c>
      <c r="P250" s="39">
        <f t="shared" ca="1" si="10"/>
        <v>8.5188216039310503E-3</v>
      </c>
      <c r="Q250" s="24">
        <v>1</v>
      </c>
      <c r="R250" s="24">
        <v>0</v>
      </c>
      <c r="S250" s="24">
        <v>0</v>
      </c>
      <c r="T250" s="24">
        <v>0</v>
      </c>
      <c r="U250" s="24">
        <v>0</v>
      </c>
      <c r="V250" s="24">
        <v>1</v>
      </c>
    </row>
    <row r="251" spans="1:22" ht="21" customHeight="1" x14ac:dyDescent="0.15">
      <c r="A251" s="2" t="str">
        <f ca="1">input_498104!A$2</f>
        <v>498104</v>
      </c>
      <c r="B251" s="53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38">
        <f ca="1">IFERROR(VLOOKUP(B251,input_498104!L:R,7,FALSE),VLOOKUP(tables_498104!C251,input_498104!A:H,8,FALSE))</f>
        <v>57550.769229999998</v>
      </c>
      <c r="P251" s="39">
        <f t="shared" ca="1" si="10"/>
        <v>5.0183789004124566E-4</v>
      </c>
      <c r="Q251" s="24">
        <v>1</v>
      </c>
      <c r="R251" s="24">
        <v>0</v>
      </c>
      <c r="S251" s="24">
        <v>0</v>
      </c>
      <c r="T251" s="24">
        <v>0</v>
      </c>
      <c r="U251" s="24">
        <v>0</v>
      </c>
      <c r="V251" s="24">
        <v>1</v>
      </c>
    </row>
    <row r="252" spans="1:22" ht="21" customHeight="1" x14ac:dyDescent="0.15">
      <c r="A252" s="2" t="str">
        <f ca="1">input_498104!A$2</f>
        <v>498104</v>
      </c>
      <c r="B252" s="53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38">
        <f ca="1">IFERROR(VLOOKUP(B252,input_498104!L:R,7,FALSE),VLOOKUP(tables_498104!C252,input_498104!A:H,8,FALSE))</f>
        <v>0</v>
      </c>
      <c r="P252" s="39">
        <f t="shared" ca="1" si="10"/>
        <v>0</v>
      </c>
      <c r="Q252" s="24">
        <v>1</v>
      </c>
      <c r="R252" s="24">
        <v>0</v>
      </c>
      <c r="S252" s="24">
        <v>0</v>
      </c>
      <c r="T252" s="24">
        <v>0</v>
      </c>
      <c r="U252" s="24">
        <v>0</v>
      </c>
      <c r="V252" s="24">
        <v>1</v>
      </c>
    </row>
    <row r="253" spans="1:22" ht="21" customHeight="1" x14ac:dyDescent="0.15">
      <c r="A253" s="2" t="str">
        <f ca="1">input_498104!A$2</f>
        <v>498104</v>
      </c>
      <c r="B253" s="53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38">
        <f ca="1">IFERROR(VLOOKUP(B253,input_498104!L:R,7,FALSE),VLOOKUP(tables_498104!C253,input_498104!A:H,8,FALSE))</f>
        <v>976938.46154000005</v>
      </c>
      <c r="P253" s="39">
        <f t="shared" ca="1" si="10"/>
        <v>8.5188216039310503E-3</v>
      </c>
      <c r="Q253" s="24">
        <v>1</v>
      </c>
      <c r="R253" s="24">
        <v>0</v>
      </c>
      <c r="S253" s="24">
        <v>0</v>
      </c>
      <c r="T253" s="24">
        <v>0</v>
      </c>
      <c r="U253" s="24">
        <v>0</v>
      </c>
      <c r="V253" s="24">
        <v>1</v>
      </c>
    </row>
    <row r="254" spans="1:22" ht="21" customHeight="1" x14ac:dyDescent="0.15">
      <c r="A254" s="2" t="str">
        <f ca="1">input_498104!A$2</f>
        <v>498104</v>
      </c>
      <c r="B254" s="53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38">
        <f ca="1">IFERROR(VLOOKUP(B254,input_498104!L:R,7,FALSE),VLOOKUP(tables_498104!C254,input_498104!A:H,8,FALSE))</f>
        <v>57550.769229999998</v>
      </c>
      <c r="P254" s="39">
        <f t="shared" ca="1" si="10"/>
        <v>5.0183789004124566E-4</v>
      </c>
      <c r="Q254" s="24">
        <v>1</v>
      </c>
      <c r="R254" s="24">
        <v>0</v>
      </c>
      <c r="S254" s="24">
        <v>0</v>
      </c>
      <c r="T254" s="24">
        <v>0</v>
      </c>
      <c r="U254" s="24">
        <v>0</v>
      </c>
      <c r="V254" s="24">
        <v>1</v>
      </c>
    </row>
    <row r="255" spans="1:22" ht="21" customHeight="1" x14ac:dyDescent="0.15">
      <c r="A255" s="2" t="str">
        <f ca="1">input_498104!A$2</f>
        <v>498104</v>
      </c>
      <c r="B255" s="53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38">
        <f ca="1">IFERROR(VLOOKUP(B255,input_498104!L:R,7,FALSE),VLOOKUP(tables_498104!C255,input_498104!A:H,8,FALSE))</f>
        <v>0</v>
      </c>
      <c r="P255" s="39">
        <f t="shared" ca="1" si="10"/>
        <v>0</v>
      </c>
      <c r="Q255" s="24">
        <v>1</v>
      </c>
      <c r="R255" s="24">
        <v>0</v>
      </c>
      <c r="S255" s="24">
        <v>0</v>
      </c>
      <c r="T255" s="24">
        <v>0</v>
      </c>
      <c r="U255" s="24">
        <v>0</v>
      </c>
      <c r="V255" s="24">
        <v>1</v>
      </c>
    </row>
    <row r="256" spans="1:22" ht="21" customHeight="1" x14ac:dyDescent="0.15">
      <c r="A256" s="2" t="str">
        <f ca="1">input_498104!A$2</f>
        <v>498104</v>
      </c>
      <c r="B256" s="53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38">
        <f ca="1">IFERROR(VLOOKUP(B256,input_498104!L:R,7,FALSE),VLOOKUP(tables_498104!C256,input_498104!A:H,8,FALSE))</f>
        <v>976938.46154000005</v>
      </c>
      <c r="P256" s="39">
        <f t="shared" ca="1" si="10"/>
        <v>8.5188216039310503E-3</v>
      </c>
      <c r="Q256" s="24">
        <v>1</v>
      </c>
      <c r="R256" s="24">
        <v>0</v>
      </c>
      <c r="S256" s="24">
        <v>0</v>
      </c>
      <c r="T256" s="24">
        <v>0</v>
      </c>
      <c r="U256" s="24">
        <v>0</v>
      </c>
      <c r="V256" s="24">
        <v>1</v>
      </c>
    </row>
    <row r="257" spans="1:22" ht="21" customHeight="1" x14ac:dyDescent="0.15">
      <c r="A257" s="2" t="str">
        <f ca="1">input_498104!A$2</f>
        <v>498104</v>
      </c>
      <c r="B257" s="53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38">
        <f ca="1">IFERROR(VLOOKUP(B257,input_498104!L:R,7,FALSE),VLOOKUP(tables_498104!C257,input_498104!A:H,8,FALSE))</f>
        <v>57550.769229999998</v>
      </c>
      <c r="P257" s="39">
        <f t="shared" ca="1" si="10"/>
        <v>5.0183789004124566E-4</v>
      </c>
      <c r="Q257" s="24">
        <v>1</v>
      </c>
      <c r="R257" s="24">
        <v>0</v>
      </c>
      <c r="S257" s="24">
        <v>0</v>
      </c>
      <c r="T257" s="24">
        <v>0</v>
      </c>
      <c r="U257" s="24">
        <v>0</v>
      </c>
      <c r="V257" s="24">
        <v>1</v>
      </c>
    </row>
    <row r="258" spans="1:22" ht="21" customHeight="1" x14ac:dyDescent="0.15">
      <c r="A258" s="2" t="str">
        <f ca="1">input_498104!A$2</f>
        <v>498104</v>
      </c>
      <c r="B258" s="53">
        <v>674</v>
      </c>
      <c r="C258" s="7" t="str">
        <f t="shared" ref="C258:C321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38">
        <f ca="1">IFERROR(VLOOKUP(B258,input_498104!L:R,7,FALSE),VLOOKUP(tables_498104!C258,input_498104!A:H,8,FALSE))</f>
        <v>50760</v>
      </c>
      <c r="P258" s="39">
        <f t="shared" ref="P258:P321" ca="1" si="13">O258/SUM(O:O)</f>
        <v>4.4262295081913419E-4</v>
      </c>
      <c r="Q258" s="24">
        <v>1</v>
      </c>
      <c r="R258" s="24">
        <v>0</v>
      </c>
      <c r="S258" s="24">
        <v>0</v>
      </c>
      <c r="T258" s="24">
        <v>0</v>
      </c>
      <c r="U258" s="24">
        <v>0</v>
      </c>
      <c r="V258" s="24">
        <v>1</v>
      </c>
    </row>
    <row r="259" spans="1:22" ht="21" customHeight="1" x14ac:dyDescent="0.15">
      <c r="A259" s="2" t="str">
        <f ca="1">input_498104!A$2</f>
        <v>498104</v>
      </c>
      <c r="B259" s="53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38">
        <f ca="1">IFERROR(VLOOKUP(B259,input_498104!L:R,7,FALSE),VLOOKUP(tables_498104!C259,input_498104!A:H,8,FALSE))</f>
        <v>5640</v>
      </c>
      <c r="P259" s="39">
        <f t="shared" ca="1" si="13"/>
        <v>4.918032786879269E-5</v>
      </c>
      <c r="Q259" s="24">
        <v>1</v>
      </c>
      <c r="R259" s="24">
        <v>0</v>
      </c>
      <c r="S259" s="24">
        <v>0</v>
      </c>
      <c r="T259" s="24">
        <v>0</v>
      </c>
      <c r="U259" s="24">
        <v>0</v>
      </c>
      <c r="V259" s="24">
        <v>1</v>
      </c>
    </row>
    <row r="260" spans="1:22" ht="21" customHeight="1" x14ac:dyDescent="0.15">
      <c r="A260" s="2" t="str">
        <f ca="1">input_498104!A$2</f>
        <v>498104</v>
      </c>
      <c r="B260" s="53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38">
        <f ca="1">IFERROR(VLOOKUP(B260,input_498104!L:R,7,FALSE),VLOOKUP(tables_498104!C260,input_498104!A:H,8,FALSE))</f>
        <v>50760</v>
      </c>
      <c r="P260" s="39">
        <f t="shared" ca="1" si="13"/>
        <v>4.4262295081913419E-4</v>
      </c>
      <c r="Q260" s="24">
        <v>1</v>
      </c>
      <c r="R260" s="24">
        <v>0</v>
      </c>
      <c r="S260" s="24">
        <v>0</v>
      </c>
      <c r="T260" s="24">
        <v>0</v>
      </c>
      <c r="U260" s="24">
        <v>0</v>
      </c>
      <c r="V260" s="24">
        <v>1</v>
      </c>
    </row>
    <row r="261" spans="1:22" ht="21" customHeight="1" x14ac:dyDescent="0.15">
      <c r="A261" s="2" t="str">
        <f ca="1">input_498104!A$2</f>
        <v>498104</v>
      </c>
      <c r="B261" s="53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38">
        <f ca="1">IFERROR(VLOOKUP(B261,input_498104!L:R,7,FALSE),VLOOKUP(tables_498104!C261,input_498104!A:H,8,FALSE))</f>
        <v>5640</v>
      </c>
      <c r="P261" s="39">
        <f t="shared" ca="1" si="13"/>
        <v>4.918032786879269E-5</v>
      </c>
      <c r="Q261" s="24">
        <v>1</v>
      </c>
      <c r="R261" s="24">
        <v>0</v>
      </c>
      <c r="S261" s="24">
        <v>0</v>
      </c>
      <c r="T261" s="24">
        <v>0</v>
      </c>
      <c r="U261" s="24">
        <v>0</v>
      </c>
      <c r="V261" s="24">
        <v>1</v>
      </c>
    </row>
    <row r="262" spans="1:22" ht="21" customHeight="1" x14ac:dyDescent="0.15">
      <c r="A262" s="2" t="str">
        <f ca="1">input_498104!A$2</f>
        <v>498104</v>
      </c>
      <c r="B262" s="53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38">
        <f ca="1">IFERROR(VLOOKUP(B262,input_498104!L:R,7,FALSE),VLOOKUP(tables_498104!C262,input_498104!A:H,8,FALSE))</f>
        <v>1068177.7777799999</v>
      </c>
      <c r="P262" s="39">
        <f t="shared" ca="1" si="13"/>
        <v>9.3144208037905622E-3</v>
      </c>
      <c r="Q262" s="24">
        <v>1</v>
      </c>
      <c r="R262" s="24">
        <v>0</v>
      </c>
      <c r="S262" s="24">
        <v>0</v>
      </c>
      <c r="T262" s="24">
        <v>0</v>
      </c>
      <c r="U262" s="24">
        <v>0</v>
      </c>
      <c r="V262" s="24">
        <v>1</v>
      </c>
    </row>
    <row r="263" spans="1:22" ht="21" customHeight="1" x14ac:dyDescent="0.15">
      <c r="A263" s="2" t="str">
        <f ca="1">input_498104!A$2</f>
        <v>498104</v>
      </c>
      <c r="B263" s="53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38">
        <f ca="1">IFERROR(VLOOKUP(B263,input_498104!L:R,7,FALSE),VLOOKUP(tables_498104!C263,input_498104!A:H,8,FALSE))</f>
        <v>68116.666670000006</v>
      </c>
      <c r="P263" s="39">
        <f t="shared" ca="1" si="13"/>
        <v>5.9397163123401839E-4</v>
      </c>
      <c r="Q263" s="24">
        <v>1</v>
      </c>
      <c r="R263" s="24">
        <v>0</v>
      </c>
      <c r="S263" s="24">
        <v>0</v>
      </c>
      <c r="T263" s="24">
        <v>0</v>
      </c>
      <c r="U263" s="24">
        <v>0</v>
      </c>
      <c r="V263" s="24">
        <v>1</v>
      </c>
    </row>
    <row r="264" spans="1:22" ht="21" customHeight="1" x14ac:dyDescent="0.15">
      <c r="A264" s="2" t="str">
        <f ca="1">input_498104!A$2</f>
        <v>498104</v>
      </c>
      <c r="B264" s="53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38">
        <f ca="1">IFERROR(VLOOKUP(B264,input_498104!L:R,7,FALSE),VLOOKUP(tables_498104!C264,input_498104!A:H,8,FALSE))</f>
        <v>1068177.7777799999</v>
      </c>
      <c r="P264" s="39">
        <f t="shared" ca="1" si="13"/>
        <v>9.3144208037905622E-3</v>
      </c>
      <c r="Q264" s="24">
        <v>1</v>
      </c>
      <c r="R264" s="24">
        <v>0</v>
      </c>
      <c r="S264" s="24">
        <v>0</v>
      </c>
      <c r="T264" s="24">
        <v>0</v>
      </c>
      <c r="U264" s="24">
        <v>0</v>
      </c>
      <c r="V264" s="24">
        <v>1</v>
      </c>
    </row>
    <row r="265" spans="1:22" ht="21" customHeight="1" x14ac:dyDescent="0.15">
      <c r="A265" s="2" t="str">
        <f ca="1">input_498104!A$2</f>
        <v>498104</v>
      </c>
      <c r="B265" s="53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38">
        <f ca="1">IFERROR(VLOOKUP(B265,input_498104!L:R,7,FALSE),VLOOKUP(tables_498104!C265,input_498104!A:H,8,FALSE))</f>
        <v>68116.666670000006</v>
      </c>
      <c r="P265" s="39">
        <f t="shared" ca="1" si="13"/>
        <v>5.9397163123401839E-4</v>
      </c>
      <c r="Q265" s="24">
        <v>1</v>
      </c>
      <c r="R265" s="24">
        <v>0</v>
      </c>
      <c r="S265" s="24">
        <v>0</v>
      </c>
      <c r="T265" s="24">
        <v>0</v>
      </c>
      <c r="U265" s="24">
        <v>0</v>
      </c>
      <c r="V265" s="24">
        <v>1</v>
      </c>
    </row>
    <row r="266" spans="1:22" ht="21" customHeight="1" x14ac:dyDescent="0.15">
      <c r="A266" s="2" t="str">
        <f ca="1">input_498104!A$2</f>
        <v>498104</v>
      </c>
      <c r="B266" s="53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38">
        <f ca="1">IFERROR(VLOOKUP(B266,input_498104!L:R,7,FALSE),VLOOKUP(tables_498104!C266,input_498104!A:H,8,FALSE))</f>
        <v>109336.84211</v>
      </c>
      <c r="P266" s="39">
        <f t="shared" ca="1" si="13"/>
        <v>9.5340811048018066E-4</v>
      </c>
      <c r="Q266" s="24">
        <v>1</v>
      </c>
      <c r="R266" s="24">
        <v>0</v>
      </c>
      <c r="S266" s="24">
        <v>0</v>
      </c>
      <c r="T266" s="24">
        <v>0</v>
      </c>
      <c r="U266" s="24">
        <v>0</v>
      </c>
      <c r="V266" s="24">
        <v>1</v>
      </c>
    </row>
    <row r="267" spans="1:22" ht="21" customHeight="1" x14ac:dyDescent="0.15">
      <c r="A267" s="2" t="str">
        <f ca="1">input_498104!A$2</f>
        <v>498104</v>
      </c>
      <c r="B267" s="53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38">
        <f ca="1">IFERROR(VLOOKUP(B267,input_498104!L:R,7,FALSE),VLOOKUP(tables_498104!C267,input_498104!A:H,8,FALSE))</f>
        <v>109336.84211</v>
      </c>
      <c r="P267" s="39">
        <f t="shared" ca="1" si="13"/>
        <v>9.5340811048018066E-4</v>
      </c>
      <c r="Q267" s="24">
        <v>1</v>
      </c>
      <c r="R267" s="24">
        <v>0</v>
      </c>
      <c r="S267" s="24">
        <v>0</v>
      </c>
      <c r="T267" s="24">
        <v>0</v>
      </c>
      <c r="U267" s="24">
        <v>0</v>
      </c>
      <c r="V267" s="24">
        <v>1</v>
      </c>
    </row>
    <row r="268" spans="1:22" ht="21" customHeight="1" x14ac:dyDescent="0.15">
      <c r="A268" s="2" t="str">
        <f ca="1">input_498104!A$2</f>
        <v>498104</v>
      </c>
      <c r="B268" s="53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38">
        <f ca="1">IFERROR(VLOOKUP(B268,input_498104!L:R,7,FALSE),VLOOKUP(tables_498104!C268,input_498104!A:H,8,FALSE))</f>
        <v>109336.84211</v>
      </c>
      <c r="P268" s="39">
        <f t="shared" ca="1" si="13"/>
        <v>9.5340811048018066E-4</v>
      </c>
      <c r="Q268" s="24">
        <v>1</v>
      </c>
      <c r="R268" s="24">
        <v>0</v>
      </c>
      <c r="S268" s="24">
        <v>0</v>
      </c>
      <c r="T268" s="24">
        <v>0</v>
      </c>
      <c r="U268" s="24">
        <v>0</v>
      </c>
      <c r="V268" s="24">
        <v>1</v>
      </c>
    </row>
    <row r="269" spans="1:22" ht="21" customHeight="1" x14ac:dyDescent="0.15">
      <c r="A269" s="2" t="str">
        <f ca="1">input_498104!A$2</f>
        <v>498104</v>
      </c>
      <c r="B269" s="53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38">
        <f ca="1">IFERROR(VLOOKUP(B269,input_498104!L:R,7,FALSE),VLOOKUP(tables_498104!C269,input_498104!A:H,8,FALSE))</f>
        <v>109336.84211</v>
      </c>
      <c r="P269" s="39">
        <f t="shared" ca="1" si="13"/>
        <v>9.5340811048018066E-4</v>
      </c>
      <c r="Q269" s="24">
        <v>1</v>
      </c>
      <c r="R269" s="24">
        <v>0</v>
      </c>
      <c r="S269" s="24">
        <v>0</v>
      </c>
      <c r="T269" s="24">
        <v>0</v>
      </c>
      <c r="U269" s="24">
        <v>0</v>
      </c>
      <c r="V269" s="24">
        <v>1</v>
      </c>
    </row>
    <row r="270" spans="1:22" ht="21" customHeight="1" x14ac:dyDescent="0.15">
      <c r="A270" s="2" t="str">
        <f ca="1">input_498104!A$2</f>
        <v>498104</v>
      </c>
      <c r="B270" s="53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38">
        <f ca="1">IFERROR(VLOOKUP(B270,input_498104!L:R,7,FALSE),VLOOKUP(tables_498104!C270,input_498104!A:H,8,FALSE))</f>
        <v>1068177.7777799999</v>
      </c>
      <c r="P270" s="39">
        <f t="shared" ca="1" si="13"/>
        <v>9.3144208037905622E-3</v>
      </c>
      <c r="Q270" s="24">
        <v>1</v>
      </c>
      <c r="R270" s="24">
        <v>0</v>
      </c>
      <c r="S270" s="24">
        <v>0</v>
      </c>
      <c r="T270" s="24">
        <v>0</v>
      </c>
      <c r="U270" s="24">
        <v>0</v>
      </c>
      <c r="V270" s="24">
        <v>1</v>
      </c>
    </row>
    <row r="271" spans="1:22" ht="21" customHeight="1" x14ac:dyDescent="0.15">
      <c r="A271" s="2" t="str">
        <f ca="1">input_498104!A$2</f>
        <v>498104</v>
      </c>
      <c r="B271" s="74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38">
        <f ca="1">IFERROR(VLOOKUP(B271,input_498104!L:R,7,FALSE),VLOOKUP(tables_498104!C271,input_498104!A:H,8,FALSE))</f>
        <v>68116.666670000006</v>
      </c>
      <c r="P271" s="39">
        <f t="shared" ca="1" si="13"/>
        <v>5.9397163123401839E-4</v>
      </c>
      <c r="Q271" s="24">
        <v>1</v>
      </c>
      <c r="R271" s="24">
        <v>0</v>
      </c>
      <c r="S271" s="24">
        <v>0</v>
      </c>
      <c r="T271" s="24">
        <v>0</v>
      </c>
      <c r="U271" s="24">
        <v>0</v>
      </c>
      <c r="V271" s="24">
        <v>1</v>
      </c>
    </row>
    <row r="272" spans="1:22" ht="21" customHeight="1" x14ac:dyDescent="0.15">
      <c r="A272" s="2" t="str">
        <f ca="1">input_498104!A$2</f>
        <v>498104</v>
      </c>
      <c r="B272" s="74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38">
        <f ca="1">IFERROR(VLOOKUP(B272,input_498104!L:R,7,FALSE),VLOOKUP(tables_498104!C272,input_498104!A:H,8,FALSE))</f>
        <v>1068177.7777799999</v>
      </c>
      <c r="P272" s="39">
        <f t="shared" ca="1" si="13"/>
        <v>9.3144208037905622E-3</v>
      </c>
      <c r="Q272" s="24">
        <v>1</v>
      </c>
      <c r="R272" s="24">
        <v>0</v>
      </c>
      <c r="S272" s="24">
        <v>0</v>
      </c>
      <c r="T272" s="24">
        <v>0</v>
      </c>
      <c r="U272" s="24">
        <v>0</v>
      </c>
      <c r="V272" s="24">
        <v>1</v>
      </c>
    </row>
    <row r="273" spans="1:22" ht="21" customHeight="1" x14ac:dyDescent="0.15">
      <c r="A273" s="2" t="str">
        <f ca="1">input_498104!A$2</f>
        <v>498104</v>
      </c>
      <c r="B273" s="74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38">
        <f ca="1">IFERROR(VLOOKUP(B273,input_498104!L:R,7,FALSE),VLOOKUP(tables_498104!C273,input_498104!A:H,8,FALSE))</f>
        <v>68116.666670000006</v>
      </c>
      <c r="P273" s="39">
        <f t="shared" ca="1" si="13"/>
        <v>5.9397163123401839E-4</v>
      </c>
      <c r="Q273" s="24">
        <v>1</v>
      </c>
      <c r="R273" s="24">
        <v>0</v>
      </c>
      <c r="S273" s="24">
        <v>0</v>
      </c>
      <c r="T273" s="24">
        <v>0</v>
      </c>
      <c r="U273" s="24">
        <v>0</v>
      </c>
      <c r="V273" s="24">
        <v>1</v>
      </c>
    </row>
    <row r="274" spans="1:22" ht="21" customHeight="1" x14ac:dyDescent="0.15">
      <c r="A274" s="2" t="str">
        <f ca="1">input_498104!A$2</f>
        <v>498104</v>
      </c>
      <c r="B274" s="74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38">
        <f ca="1">IFERROR(VLOOKUP(B274,input_498104!L:R,7,FALSE),VLOOKUP(tables_498104!C274,input_498104!A:H,8,FALSE))</f>
        <v>50760</v>
      </c>
      <c r="P274" s="39">
        <f t="shared" ca="1" si="13"/>
        <v>4.4262295081913419E-4</v>
      </c>
      <c r="Q274" s="24">
        <v>1</v>
      </c>
      <c r="R274" s="24">
        <v>0</v>
      </c>
      <c r="S274" s="24">
        <v>0</v>
      </c>
      <c r="T274" s="24">
        <v>0</v>
      </c>
      <c r="U274" s="24">
        <v>0</v>
      </c>
      <c r="V274" s="24">
        <v>1</v>
      </c>
    </row>
    <row r="275" spans="1:22" ht="21" customHeight="1" x14ac:dyDescent="0.15">
      <c r="A275" s="2" t="str">
        <f ca="1">input_498104!A$2</f>
        <v>498104</v>
      </c>
      <c r="B275" s="74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38">
        <f ca="1">IFERROR(VLOOKUP(B275,input_498104!L:R,7,FALSE),VLOOKUP(tables_498104!C275,input_498104!A:H,8,FALSE))</f>
        <v>5640</v>
      </c>
      <c r="P275" s="39">
        <f t="shared" ca="1" si="13"/>
        <v>4.918032786879269E-5</v>
      </c>
      <c r="Q275" s="24">
        <v>1</v>
      </c>
      <c r="R275" s="24">
        <v>0</v>
      </c>
      <c r="S275" s="24">
        <v>0</v>
      </c>
      <c r="T275" s="24">
        <v>0</v>
      </c>
      <c r="U275" s="24">
        <v>0</v>
      </c>
      <c r="V275" s="24">
        <v>1</v>
      </c>
    </row>
    <row r="276" spans="1:22" ht="21" customHeight="1" x14ac:dyDescent="0.15">
      <c r="A276" s="2" t="str">
        <f ca="1">input_498104!A$2</f>
        <v>498104</v>
      </c>
      <c r="B276" s="74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38">
        <f ca="1">IFERROR(VLOOKUP(B276,input_498104!L:R,7,FALSE),VLOOKUP(tables_498104!C276,input_498104!A:H,8,FALSE))</f>
        <v>50760</v>
      </c>
      <c r="P276" s="39">
        <f t="shared" ca="1" si="13"/>
        <v>4.4262295081913419E-4</v>
      </c>
      <c r="Q276" s="24">
        <v>1</v>
      </c>
      <c r="R276" s="24">
        <v>0</v>
      </c>
      <c r="S276" s="24">
        <v>0</v>
      </c>
      <c r="T276" s="24">
        <v>0</v>
      </c>
      <c r="U276" s="24">
        <v>0</v>
      </c>
      <c r="V276" s="24">
        <v>1</v>
      </c>
    </row>
    <row r="277" spans="1:22" ht="21" customHeight="1" x14ac:dyDescent="0.15">
      <c r="A277" s="2" t="str">
        <f ca="1">input_498104!A$2</f>
        <v>498104</v>
      </c>
      <c r="B277" s="74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38">
        <f ca="1">IFERROR(VLOOKUP(B277,input_498104!L:R,7,FALSE),VLOOKUP(tables_498104!C277,input_498104!A:H,8,FALSE))</f>
        <v>5640</v>
      </c>
      <c r="P277" s="39">
        <f t="shared" ca="1" si="13"/>
        <v>4.918032786879269E-5</v>
      </c>
      <c r="Q277" s="24">
        <v>1</v>
      </c>
      <c r="R277" s="24">
        <v>0</v>
      </c>
      <c r="S277" s="24">
        <v>0</v>
      </c>
      <c r="T277" s="24">
        <v>0</v>
      </c>
      <c r="U277" s="24">
        <v>0</v>
      </c>
      <c r="V277" s="24">
        <v>1</v>
      </c>
    </row>
    <row r="278" spans="1:22" ht="21" customHeight="1" x14ac:dyDescent="0.15">
      <c r="A278" s="2" t="str">
        <f ca="1">input_498104!A$2</f>
        <v>498104</v>
      </c>
      <c r="B278" s="74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38">
        <f ca="1">IFERROR(VLOOKUP(B278,input_498104!L:R,7,FALSE),VLOOKUP(tables_498104!C278,input_498104!A:H,8,FALSE))</f>
        <v>0</v>
      </c>
      <c r="P278" s="39">
        <f t="shared" ca="1" si="13"/>
        <v>0</v>
      </c>
      <c r="Q278" s="24">
        <v>1</v>
      </c>
      <c r="R278" s="24">
        <v>0</v>
      </c>
      <c r="S278" s="24">
        <v>0</v>
      </c>
      <c r="T278" s="24">
        <v>0</v>
      </c>
      <c r="U278" s="24">
        <v>0</v>
      </c>
      <c r="V278" s="24">
        <v>1</v>
      </c>
    </row>
    <row r="279" spans="1:22" ht="21" customHeight="1" x14ac:dyDescent="0.15">
      <c r="A279" s="2" t="str">
        <f ca="1">input_498104!A$2</f>
        <v>498104</v>
      </c>
      <c r="B279" s="74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38">
        <f ca="1">IFERROR(VLOOKUP(B279,input_498104!L:R,7,FALSE),VLOOKUP(tables_498104!C279,input_498104!A:H,8,FALSE))</f>
        <v>976938.46154000005</v>
      </c>
      <c r="P279" s="39">
        <f t="shared" ca="1" si="13"/>
        <v>8.5188216039310503E-3</v>
      </c>
      <c r="Q279" s="24">
        <v>1</v>
      </c>
      <c r="R279" s="24">
        <v>0</v>
      </c>
      <c r="S279" s="24">
        <v>0</v>
      </c>
      <c r="T279" s="24">
        <v>0</v>
      </c>
      <c r="U279" s="24">
        <v>0</v>
      </c>
      <c r="V279" s="24">
        <v>1</v>
      </c>
    </row>
    <row r="280" spans="1:22" ht="21" customHeight="1" x14ac:dyDescent="0.15">
      <c r="A280" s="2" t="str">
        <f ca="1">input_498104!A$2</f>
        <v>498104</v>
      </c>
      <c r="B280" s="74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38">
        <f ca="1">IFERROR(VLOOKUP(B280,input_498104!L:R,7,FALSE),VLOOKUP(tables_498104!C280,input_498104!A:H,8,FALSE))</f>
        <v>57550.769229999998</v>
      </c>
      <c r="P280" s="39">
        <f t="shared" ca="1" si="13"/>
        <v>5.0183789004124566E-4</v>
      </c>
      <c r="Q280" s="24">
        <v>1</v>
      </c>
      <c r="R280" s="24">
        <v>0</v>
      </c>
      <c r="S280" s="24">
        <v>0</v>
      </c>
      <c r="T280" s="24">
        <v>0</v>
      </c>
      <c r="U280" s="24">
        <v>0</v>
      </c>
      <c r="V280" s="24">
        <v>1</v>
      </c>
    </row>
    <row r="281" spans="1:22" ht="21" customHeight="1" x14ac:dyDescent="0.15">
      <c r="A281" s="2" t="str">
        <f ca="1">input_498104!A$2</f>
        <v>498104</v>
      </c>
      <c r="B281" s="74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38">
        <f ca="1">IFERROR(VLOOKUP(B281,input_498104!L:R,7,FALSE),VLOOKUP(tables_498104!C281,input_498104!A:H,8,FALSE))</f>
        <v>0</v>
      </c>
      <c r="P281" s="39">
        <f t="shared" ca="1" si="13"/>
        <v>0</v>
      </c>
      <c r="Q281" s="24">
        <v>1</v>
      </c>
      <c r="R281" s="24">
        <v>0</v>
      </c>
      <c r="S281" s="24">
        <v>0</v>
      </c>
      <c r="T281" s="24">
        <v>0</v>
      </c>
      <c r="U281" s="24">
        <v>0</v>
      </c>
      <c r="V281" s="24">
        <v>1</v>
      </c>
    </row>
    <row r="282" spans="1:22" ht="21" customHeight="1" x14ac:dyDescent="0.15">
      <c r="A282" s="2" t="str">
        <f ca="1">input_498104!A$2</f>
        <v>498104</v>
      </c>
      <c r="B282" s="74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38">
        <f ca="1">IFERROR(VLOOKUP(B282,input_498104!L:R,7,FALSE),VLOOKUP(tables_498104!C282,input_498104!A:H,8,FALSE))</f>
        <v>976938.46154000005</v>
      </c>
      <c r="P282" s="39">
        <f t="shared" ca="1" si="13"/>
        <v>8.5188216039310503E-3</v>
      </c>
      <c r="Q282" s="24">
        <v>1</v>
      </c>
      <c r="R282" s="24">
        <v>0</v>
      </c>
      <c r="S282" s="24">
        <v>0</v>
      </c>
      <c r="T282" s="24">
        <v>0</v>
      </c>
      <c r="U282" s="24">
        <v>0</v>
      </c>
      <c r="V282" s="24">
        <v>1</v>
      </c>
    </row>
    <row r="283" spans="1:22" ht="21" customHeight="1" x14ac:dyDescent="0.15">
      <c r="A283" s="2" t="str">
        <f ca="1">input_498104!A$2</f>
        <v>498104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38">
        <f ca="1">IFERROR(VLOOKUP(B283,input_498104!L:R,7,FALSE),VLOOKUP(tables_498104!C283,input_498104!A:H,8,FALSE))</f>
        <v>57550.769229999998</v>
      </c>
      <c r="P283" s="39">
        <f t="shared" ca="1" si="13"/>
        <v>5.0183789004124566E-4</v>
      </c>
      <c r="Q283" s="24">
        <v>1</v>
      </c>
      <c r="R283" s="24">
        <v>0</v>
      </c>
      <c r="S283" s="24">
        <v>0</v>
      </c>
      <c r="T283" s="24">
        <v>0</v>
      </c>
      <c r="U283" s="24">
        <v>0</v>
      </c>
      <c r="V283" s="24">
        <v>1</v>
      </c>
    </row>
    <row r="284" spans="1:22" ht="21" customHeight="1" x14ac:dyDescent="0.15">
      <c r="A284" s="2" t="str">
        <f ca="1">input_498104!A$2</f>
        <v>498104</v>
      </c>
      <c r="B284" s="5">
        <v>848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38">
        <f ca="1">IFERROR(VLOOKUP(B284,input_498104!L:R,7,FALSE),VLOOKUP(tables_498104!C284,input_498104!A:H,8,FALSE))</f>
        <v>109336.84211</v>
      </c>
      <c r="P284" s="39">
        <f t="shared" ca="1" si="13"/>
        <v>9.5340811048018066E-4</v>
      </c>
      <c r="Q284" s="24">
        <v>1</v>
      </c>
      <c r="R284" s="24">
        <v>0</v>
      </c>
      <c r="S284" s="24">
        <v>0</v>
      </c>
      <c r="T284" s="24">
        <v>0</v>
      </c>
      <c r="U284" s="24">
        <v>0</v>
      </c>
      <c r="V284" s="24">
        <v>1</v>
      </c>
    </row>
    <row r="285" spans="1:22" ht="21" customHeight="1" x14ac:dyDescent="0.15">
      <c r="A285" s="2" t="str">
        <f ca="1">input_498104!A$2</f>
        <v>498104</v>
      </c>
      <c r="B285" s="5">
        <v>850</v>
      </c>
      <c r="C285" s="7" t="str">
        <f t="shared" si="12"/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38">
        <f ca="1">IFERROR(VLOOKUP(B285,input_498104!L:R,7,FALSE),VLOOKUP(tables_498104!C285,input_498104!A:H,8,FALSE))</f>
        <v>109336.84211</v>
      </c>
      <c r="P285" s="39">
        <f t="shared" ca="1" si="13"/>
        <v>9.5340811048018066E-4</v>
      </c>
      <c r="Q285" s="24">
        <v>1</v>
      </c>
      <c r="R285" s="24">
        <v>0</v>
      </c>
      <c r="S285" s="24">
        <v>0</v>
      </c>
      <c r="T285" s="24">
        <v>0</v>
      </c>
      <c r="U285" s="24">
        <v>0</v>
      </c>
      <c r="V285" s="24">
        <v>1</v>
      </c>
    </row>
    <row r="286" spans="1:22" ht="21" customHeight="1" x14ac:dyDescent="0.15">
      <c r="A286" s="2" t="str">
        <f ca="1">input_498104!A$2</f>
        <v>498104</v>
      </c>
      <c r="B286" s="5">
        <v>852</v>
      </c>
      <c r="C286" s="7" t="str">
        <f t="shared" si="12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38">
        <f ca="1">IFERROR(VLOOKUP(B286,input_498104!L:R,7,FALSE),VLOOKUP(tables_498104!C286,input_498104!A:H,8,FALSE))</f>
        <v>1068177.7777799999</v>
      </c>
      <c r="P286" s="39">
        <f t="shared" ca="1" si="13"/>
        <v>9.3144208037905622E-3</v>
      </c>
      <c r="Q286" s="24">
        <v>1</v>
      </c>
      <c r="R286" s="24">
        <v>0</v>
      </c>
      <c r="S286" s="24">
        <v>0</v>
      </c>
      <c r="T286" s="24">
        <v>0</v>
      </c>
      <c r="U286" s="24">
        <v>0</v>
      </c>
      <c r="V286" s="24">
        <v>1</v>
      </c>
    </row>
    <row r="287" spans="1:22" ht="21" customHeight="1" x14ac:dyDescent="0.15">
      <c r="A287" s="2" t="str">
        <f ca="1">input_498104!A$2</f>
        <v>498104</v>
      </c>
      <c r="B287" s="5">
        <v>853</v>
      </c>
      <c r="C287" s="7" t="str">
        <f t="shared" si="12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38">
        <f ca="1">IFERROR(VLOOKUP(B287,input_498104!L:R,7,FALSE),VLOOKUP(tables_498104!C287,input_498104!A:H,8,FALSE))</f>
        <v>68116.666670000006</v>
      </c>
      <c r="P287" s="39">
        <f t="shared" ca="1" si="13"/>
        <v>5.9397163123401839E-4</v>
      </c>
      <c r="Q287" s="24">
        <v>1</v>
      </c>
      <c r="R287" s="24">
        <v>0</v>
      </c>
      <c r="S287" s="24">
        <v>0</v>
      </c>
      <c r="T287" s="24">
        <v>0</v>
      </c>
      <c r="U287" s="24">
        <v>0</v>
      </c>
      <c r="V287" s="24">
        <v>1</v>
      </c>
    </row>
    <row r="288" spans="1:22" ht="21" customHeight="1" x14ac:dyDescent="0.15">
      <c r="A288" s="2" t="str">
        <f ca="1">input_498104!A$2</f>
        <v>498104</v>
      </c>
      <c r="B288" s="5">
        <v>854</v>
      </c>
      <c r="C288" s="7" t="str">
        <f t="shared" si="12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38">
        <f ca="1">IFERROR(VLOOKUP(B288,input_498104!L:R,7,FALSE),VLOOKUP(tables_498104!C288,input_498104!A:H,8,FALSE))</f>
        <v>1068177.7777799999</v>
      </c>
      <c r="P288" s="39">
        <f t="shared" ca="1" si="13"/>
        <v>9.3144208037905622E-3</v>
      </c>
      <c r="Q288" s="24">
        <v>1</v>
      </c>
      <c r="R288" s="24">
        <v>0</v>
      </c>
      <c r="S288" s="24">
        <v>0</v>
      </c>
      <c r="T288" s="24">
        <v>0</v>
      </c>
      <c r="U288" s="24">
        <v>0</v>
      </c>
      <c r="V288" s="24">
        <v>1</v>
      </c>
    </row>
    <row r="289" spans="1:22" ht="21" customHeight="1" x14ac:dyDescent="0.15">
      <c r="A289" s="2" t="str">
        <f ca="1">input_498104!A$2</f>
        <v>498104</v>
      </c>
      <c r="B289" s="5">
        <v>855</v>
      </c>
      <c r="C289" s="7" t="str">
        <f t="shared" si="12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38">
        <f ca="1">IFERROR(VLOOKUP(B289,input_498104!L:R,7,FALSE),VLOOKUP(tables_498104!C289,input_498104!A:H,8,FALSE))</f>
        <v>68116.666670000006</v>
      </c>
      <c r="P289" s="39">
        <f t="shared" ca="1" si="13"/>
        <v>5.9397163123401839E-4</v>
      </c>
      <c r="Q289" s="24">
        <v>1</v>
      </c>
      <c r="R289" s="24">
        <v>0</v>
      </c>
      <c r="S289" s="24">
        <v>0</v>
      </c>
      <c r="T289" s="24">
        <v>0</v>
      </c>
      <c r="U289" s="24">
        <v>0</v>
      </c>
      <c r="V289" s="24">
        <v>1</v>
      </c>
    </row>
    <row r="290" spans="1:22" ht="21" customHeight="1" x14ac:dyDescent="0.15">
      <c r="A290" s="2" t="str">
        <f ca="1">input_498104!A$2</f>
        <v>498104</v>
      </c>
      <c r="B290" s="5">
        <v>862</v>
      </c>
      <c r="C290" s="7" t="str">
        <f t="shared" si="12"/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38">
        <f ca="1">IFERROR(VLOOKUP(B290,input_498104!L:R,7,FALSE),VLOOKUP(tables_498104!C290,input_498104!A:H,8,FALSE))</f>
        <v>1068177.7777799999</v>
      </c>
      <c r="P290" s="39">
        <f t="shared" ca="1" si="13"/>
        <v>9.3144208037905622E-3</v>
      </c>
      <c r="Q290" s="24">
        <v>1</v>
      </c>
      <c r="R290" s="24">
        <v>0</v>
      </c>
      <c r="S290" s="24">
        <v>0</v>
      </c>
      <c r="T290" s="24">
        <v>0</v>
      </c>
      <c r="U290" s="24">
        <v>0</v>
      </c>
      <c r="V290" s="24">
        <v>1</v>
      </c>
    </row>
    <row r="291" spans="1:22" ht="21" customHeight="1" x14ac:dyDescent="0.15">
      <c r="A291" s="2" t="str">
        <f ca="1">input_498104!A$2</f>
        <v>498104</v>
      </c>
      <c r="B291" s="5">
        <v>863</v>
      </c>
      <c r="C291" s="7" t="str">
        <f t="shared" si="12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38">
        <f ca="1">IFERROR(VLOOKUP(B291,input_498104!L:R,7,FALSE),VLOOKUP(tables_498104!C291,input_498104!A:H,8,FALSE))</f>
        <v>68116.666670000006</v>
      </c>
      <c r="P291" s="39">
        <f t="shared" ca="1" si="13"/>
        <v>5.9397163123401839E-4</v>
      </c>
      <c r="Q291" s="24">
        <v>1</v>
      </c>
      <c r="R291" s="24">
        <v>0</v>
      </c>
      <c r="S291" s="24">
        <v>0</v>
      </c>
      <c r="T291" s="24">
        <v>0</v>
      </c>
      <c r="U291" s="24">
        <v>0</v>
      </c>
      <c r="V291" s="24">
        <v>1</v>
      </c>
    </row>
    <row r="292" spans="1:22" ht="21" customHeight="1" x14ac:dyDescent="0.15">
      <c r="A292" s="2" t="str">
        <f ca="1">input_498104!A$2</f>
        <v>498104</v>
      </c>
      <c r="B292" s="5">
        <v>864</v>
      </c>
      <c r="C292" s="7" t="str">
        <f t="shared" si="12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38">
        <f ca="1">IFERROR(VLOOKUP(B292,input_498104!L:R,7,FALSE),VLOOKUP(tables_498104!C292,input_498104!A:H,8,FALSE))</f>
        <v>1068177.7777799999</v>
      </c>
      <c r="P292" s="39">
        <f t="shared" ca="1" si="13"/>
        <v>9.3144208037905622E-3</v>
      </c>
      <c r="Q292" s="24">
        <v>1</v>
      </c>
      <c r="R292" s="24">
        <v>0</v>
      </c>
      <c r="S292" s="24">
        <v>0</v>
      </c>
      <c r="T292" s="24">
        <v>0</v>
      </c>
      <c r="U292" s="24">
        <v>0</v>
      </c>
      <c r="V292" s="24">
        <v>1</v>
      </c>
    </row>
    <row r="293" spans="1:22" ht="21" customHeight="1" x14ac:dyDescent="0.15">
      <c r="A293" s="2" t="str">
        <f ca="1">input_498104!A$2</f>
        <v>498104</v>
      </c>
      <c r="B293" s="5">
        <v>865</v>
      </c>
      <c r="C293" s="7" t="str">
        <f t="shared" si="12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38">
        <f ca="1">IFERROR(VLOOKUP(B293,input_498104!L:R,7,FALSE),VLOOKUP(tables_498104!C293,input_498104!A:H,8,FALSE))</f>
        <v>68116.666670000006</v>
      </c>
      <c r="P293" s="39">
        <f t="shared" ca="1" si="13"/>
        <v>5.9397163123401839E-4</v>
      </c>
      <c r="Q293" s="24">
        <v>1</v>
      </c>
      <c r="R293" s="24">
        <v>0</v>
      </c>
      <c r="S293" s="24">
        <v>0</v>
      </c>
      <c r="T293" s="24">
        <v>0</v>
      </c>
      <c r="U293" s="24">
        <v>0</v>
      </c>
      <c r="V293" s="24">
        <v>1</v>
      </c>
    </row>
    <row r="294" spans="1:22" ht="21" customHeight="1" x14ac:dyDescent="0.15">
      <c r="A294" s="2" t="str">
        <f ca="1">input_498104!A$2</f>
        <v>498104</v>
      </c>
      <c r="B294" s="5">
        <v>866</v>
      </c>
      <c r="C294" s="7" t="str">
        <f t="shared" si="12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38">
        <f ca="1">IFERROR(VLOOKUP(B294,input_498104!L:R,7,FALSE),VLOOKUP(tables_498104!C294,input_498104!A:H,8,FALSE))</f>
        <v>109336.84211</v>
      </c>
      <c r="P294" s="39">
        <f t="shared" ca="1" si="13"/>
        <v>9.5340811048018066E-4</v>
      </c>
      <c r="Q294" s="24">
        <v>1</v>
      </c>
      <c r="R294" s="24">
        <v>0</v>
      </c>
      <c r="S294" s="24">
        <v>0</v>
      </c>
      <c r="T294" s="24">
        <v>0</v>
      </c>
      <c r="U294" s="24">
        <v>0</v>
      </c>
      <c r="V294" s="24">
        <v>1</v>
      </c>
    </row>
    <row r="295" spans="1:22" ht="21" customHeight="1" x14ac:dyDescent="0.15">
      <c r="A295" s="2" t="str">
        <f ca="1">input_498104!A$2</f>
        <v>498104</v>
      </c>
      <c r="B295" s="5">
        <v>868</v>
      </c>
      <c r="C295" s="7" t="str">
        <f t="shared" si="12"/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38">
        <f ca="1">IFERROR(VLOOKUP(B295,input_498104!L:R,7,FALSE),VLOOKUP(tables_498104!C295,input_498104!A:H,8,FALSE))</f>
        <v>109336.84211</v>
      </c>
      <c r="P295" s="39">
        <f t="shared" ca="1" si="13"/>
        <v>9.5340811048018066E-4</v>
      </c>
      <c r="Q295" s="24">
        <v>1</v>
      </c>
      <c r="R295" s="24">
        <v>0</v>
      </c>
      <c r="S295" s="24">
        <v>0</v>
      </c>
      <c r="T295" s="24">
        <v>0</v>
      </c>
      <c r="U295" s="24">
        <v>0</v>
      </c>
      <c r="V295" s="24">
        <v>1</v>
      </c>
    </row>
    <row r="296" spans="1:22" ht="21" customHeight="1" x14ac:dyDescent="0.15">
      <c r="A296" s="2" t="str">
        <f ca="1">input_498104!A$2</f>
        <v>498104</v>
      </c>
      <c r="B296" s="5">
        <v>937</v>
      </c>
      <c r="C296" s="7" t="str">
        <f t="shared" si="12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38">
        <f ca="1">IFERROR(VLOOKUP(B296,input_498104!L:R,7,FALSE),VLOOKUP(tables_498104!C296,input_498104!A:H,8,FALSE))</f>
        <v>109336.84211</v>
      </c>
      <c r="P296" s="39">
        <f t="shared" ca="1" si="13"/>
        <v>9.5340811048018066E-4</v>
      </c>
      <c r="Q296" s="24">
        <v>1</v>
      </c>
      <c r="R296" s="24">
        <v>0</v>
      </c>
      <c r="S296" s="24">
        <v>0</v>
      </c>
      <c r="T296" s="24">
        <v>0</v>
      </c>
      <c r="U296" s="24">
        <v>0</v>
      </c>
      <c r="V296" s="24">
        <v>1</v>
      </c>
    </row>
    <row r="297" spans="1:22" ht="21" customHeight="1" x14ac:dyDescent="0.15">
      <c r="A297" s="2" t="str">
        <f ca="1">input_498104!A$2</f>
        <v>498104</v>
      </c>
      <c r="B297" s="5">
        <v>939</v>
      </c>
      <c r="C297" s="7" t="str">
        <f t="shared" si="12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38">
        <f ca="1">IFERROR(VLOOKUP(B297,input_498104!L:R,7,FALSE),VLOOKUP(tables_498104!C297,input_498104!A:H,8,FALSE))</f>
        <v>1068177.7777799999</v>
      </c>
      <c r="P297" s="39">
        <f t="shared" ca="1" si="13"/>
        <v>9.3144208037905622E-3</v>
      </c>
      <c r="Q297" s="24">
        <v>1</v>
      </c>
      <c r="R297" s="24">
        <v>0</v>
      </c>
      <c r="S297" s="24">
        <v>0</v>
      </c>
      <c r="T297" s="24">
        <v>0</v>
      </c>
      <c r="U297" s="24">
        <v>0</v>
      </c>
      <c r="V297" s="24">
        <v>1</v>
      </c>
    </row>
    <row r="298" spans="1:22" ht="21" customHeight="1" x14ac:dyDescent="0.15">
      <c r="A298" s="2" t="str">
        <f ca="1">input_498104!A$2</f>
        <v>498104</v>
      </c>
      <c r="B298" s="5">
        <v>940</v>
      </c>
      <c r="C298" s="7" t="str">
        <f t="shared" si="12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38">
        <f ca="1">IFERROR(VLOOKUP(B298,input_498104!L:R,7,FALSE),VLOOKUP(tables_498104!C298,input_498104!A:H,8,FALSE))</f>
        <v>68116.666670000006</v>
      </c>
      <c r="P298" s="39">
        <f t="shared" ca="1" si="13"/>
        <v>5.9397163123401839E-4</v>
      </c>
      <c r="Q298" s="24">
        <v>1</v>
      </c>
      <c r="R298" s="24">
        <v>0</v>
      </c>
      <c r="S298" s="24">
        <v>0</v>
      </c>
      <c r="T298" s="24">
        <v>0</v>
      </c>
      <c r="U298" s="24">
        <v>0</v>
      </c>
      <c r="V298" s="24">
        <v>1</v>
      </c>
    </row>
    <row r="299" spans="1:22" ht="21" customHeight="1" x14ac:dyDescent="0.15">
      <c r="A299" s="2" t="str">
        <f ca="1">input_498104!A$2</f>
        <v>498104</v>
      </c>
      <c r="B299" s="5">
        <v>941</v>
      </c>
      <c r="C299" s="7" t="str">
        <f t="shared" si="12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38">
        <f ca="1">IFERROR(VLOOKUP(B299,input_498104!L:R,7,FALSE),VLOOKUP(tables_498104!C299,input_498104!A:H,8,FALSE))</f>
        <v>109336.84211</v>
      </c>
      <c r="P299" s="39">
        <f t="shared" ca="1" si="13"/>
        <v>9.5340811048018066E-4</v>
      </c>
      <c r="Q299" s="24">
        <v>1</v>
      </c>
      <c r="R299" s="24">
        <v>0</v>
      </c>
      <c r="S299" s="24">
        <v>0</v>
      </c>
      <c r="T299" s="24">
        <v>0</v>
      </c>
      <c r="U299" s="24">
        <v>0</v>
      </c>
      <c r="V299" s="24">
        <v>1</v>
      </c>
    </row>
    <row r="300" spans="1:22" ht="21" customHeight="1" x14ac:dyDescent="0.15">
      <c r="A300" s="2" t="str">
        <f ca="1">input_498104!A$2</f>
        <v>498104</v>
      </c>
      <c r="B300" s="5">
        <v>943</v>
      </c>
      <c r="C300" s="7" t="str">
        <f t="shared" si="12"/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38">
        <f ca="1">IFERROR(VLOOKUP(B300,input_498104!L:R,7,FALSE),VLOOKUP(tables_498104!C300,input_498104!A:H,8,FALSE))</f>
        <v>109336.84211</v>
      </c>
      <c r="P300" s="39">
        <f t="shared" ca="1" si="13"/>
        <v>9.5340811048018066E-4</v>
      </c>
      <c r="Q300" s="24">
        <v>1</v>
      </c>
      <c r="R300" s="24">
        <v>0</v>
      </c>
      <c r="S300" s="24">
        <v>0</v>
      </c>
      <c r="T300" s="24">
        <v>0</v>
      </c>
      <c r="U300" s="24">
        <v>0</v>
      </c>
      <c r="V300" s="24">
        <v>1</v>
      </c>
    </row>
    <row r="301" spans="1:22" ht="21" customHeight="1" x14ac:dyDescent="0.15">
      <c r="A301" s="2" t="str">
        <f ca="1">input_498104!A$2</f>
        <v>498104</v>
      </c>
      <c r="B301" s="5">
        <v>1012</v>
      </c>
      <c r="C301" s="7" t="str">
        <f t="shared" si="12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38">
        <f ca="1">IFERROR(VLOOKUP(B301,input_498104!L:R,7,FALSE),VLOOKUP(tables_498104!C301,input_498104!A:H,8,FALSE))</f>
        <v>109336.84211</v>
      </c>
      <c r="P301" s="39">
        <f t="shared" ca="1" si="13"/>
        <v>9.5340811048018066E-4</v>
      </c>
      <c r="Q301" s="24">
        <v>1</v>
      </c>
      <c r="R301" s="24">
        <v>0</v>
      </c>
      <c r="S301" s="24">
        <v>0</v>
      </c>
      <c r="T301" s="24">
        <v>0</v>
      </c>
      <c r="U301" s="24">
        <v>0</v>
      </c>
      <c r="V301" s="24">
        <v>1</v>
      </c>
    </row>
    <row r="302" spans="1:22" ht="21" customHeight="1" x14ac:dyDescent="0.15">
      <c r="A302" s="2" t="str">
        <f ca="1">input_498104!A$2</f>
        <v>498104</v>
      </c>
      <c r="B302" s="5">
        <v>1014</v>
      </c>
      <c r="C302" s="7" t="str">
        <f t="shared" si="12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38">
        <f ca="1">IFERROR(VLOOKUP(B302,input_498104!L:R,7,FALSE),VLOOKUP(tables_498104!C302,input_498104!A:H,8,FALSE))</f>
        <v>109336.84211</v>
      </c>
      <c r="P302" s="39">
        <f t="shared" ca="1" si="13"/>
        <v>9.5340811048018066E-4</v>
      </c>
      <c r="Q302" s="24">
        <v>1</v>
      </c>
      <c r="R302" s="24">
        <v>0</v>
      </c>
      <c r="S302" s="24">
        <v>0</v>
      </c>
      <c r="T302" s="24">
        <v>0</v>
      </c>
      <c r="U302" s="24">
        <v>0</v>
      </c>
      <c r="V302" s="24">
        <v>1</v>
      </c>
    </row>
    <row r="303" spans="1:22" ht="21" customHeight="1" x14ac:dyDescent="0.15">
      <c r="A303" s="2" t="str">
        <f ca="1">input_498104!A$2</f>
        <v>498104</v>
      </c>
      <c r="B303" s="5">
        <v>1016</v>
      </c>
      <c r="C303" s="7" t="str">
        <f t="shared" si="12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38">
        <f ca="1">IFERROR(VLOOKUP(B303,input_498104!L:R,7,FALSE),VLOOKUP(tables_498104!C303,input_498104!A:H,8,FALSE))</f>
        <v>1068177.7777799999</v>
      </c>
      <c r="P303" s="39">
        <f t="shared" ca="1" si="13"/>
        <v>9.3144208037905622E-3</v>
      </c>
      <c r="Q303" s="24">
        <v>1</v>
      </c>
      <c r="R303" s="24">
        <v>0</v>
      </c>
      <c r="S303" s="24">
        <v>0</v>
      </c>
      <c r="T303" s="24">
        <v>0</v>
      </c>
      <c r="U303" s="24">
        <v>0</v>
      </c>
      <c r="V303" s="24">
        <v>1</v>
      </c>
    </row>
    <row r="304" spans="1:22" ht="21" customHeight="1" x14ac:dyDescent="0.15">
      <c r="A304" s="2" t="str">
        <f ca="1">input_498104!A$2</f>
        <v>498104</v>
      </c>
      <c r="B304" s="5">
        <v>1017</v>
      </c>
      <c r="C304" s="7" t="str">
        <f t="shared" si="12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38">
        <f ca="1">IFERROR(VLOOKUP(B304,input_498104!L:R,7,FALSE),VLOOKUP(tables_498104!C304,input_498104!A:H,8,FALSE))</f>
        <v>68116.666670000006</v>
      </c>
      <c r="P304" s="39">
        <f t="shared" ca="1" si="13"/>
        <v>5.9397163123401839E-4</v>
      </c>
      <c r="Q304" s="24">
        <v>1</v>
      </c>
      <c r="R304" s="24">
        <v>0</v>
      </c>
      <c r="S304" s="24">
        <v>0</v>
      </c>
      <c r="T304" s="24">
        <v>0</v>
      </c>
      <c r="U304" s="24">
        <v>0</v>
      </c>
      <c r="V304" s="24">
        <v>1</v>
      </c>
    </row>
    <row r="305" spans="1:22" ht="21" customHeight="1" x14ac:dyDescent="0.15">
      <c r="A305" s="2" t="str">
        <f ca="1">input_498104!A$2</f>
        <v>498104</v>
      </c>
      <c r="B305" s="5">
        <v>1018</v>
      </c>
      <c r="C305" s="7" t="str">
        <f t="shared" si="12"/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38">
        <f ca="1">IFERROR(VLOOKUP(B305,input_498104!L:R,7,FALSE),VLOOKUP(tables_498104!C305,input_498104!A:H,8,FALSE))</f>
        <v>109336.84211</v>
      </c>
      <c r="P305" s="39">
        <f t="shared" ca="1" si="13"/>
        <v>9.5340811048018066E-4</v>
      </c>
      <c r="Q305" s="24">
        <v>1</v>
      </c>
      <c r="R305" s="24">
        <v>0</v>
      </c>
      <c r="S305" s="24">
        <v>0</v>
      </c>
      <c r="T305" s="24">
        <v>0</v>
      </c>
      <c r="U305" s="24">
        <v>0</v>
      </c>
      <c r="V305" s="24">
        <v>1</v>
      </c>
    </row>
    <row r="306" spans="1:22" ht="21" customHeight="1" x14ac:dyDescent="0.15">
      <c r="A306" s="2" t="str">
        <f ca="1">input_498104!A$2</f>
        <v>498104</v>
      </c>
      <c r="B306" s="5">
        <v>1026</v>
      </c>
      <c r="C306" s="7" t="str">
        <f t="shared" si="12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38">
        <f ca="1">IFERROR(VLOOKUP(B306,input_498104!L:R,7,FALSE),VLOOKUP(tables_498104!C306,input_498104!A:H,8,FALSE))</f>
        <v>1068177.7777799999</v>
      </c>
      <c r="P306" s="39">
        <f t="shared" ca="1" si="13"/>
        <v>9.3144208037905622E-3</v>
      </c>
      <c r="Q306" s="24">
        <v>1</v>
      </c>
      <c r="R306" s="24">
        <v>0</v>
      </c>
      <c r="S306" s="24">
        <v>0</v>
      </c>
      <c r="T306" s="24">
        <v>0</v>
      </c>
      <c r="U306" s="24">
        <v>0</v>
      </c>
      <c r="V306" s="24">
        <v>1</v>
      </c>
    </row>
    <row r="307" spans="1:22" ht="21" customHeight="1" x14ac:dyDescent="0.15">
      <c r="A307" s="2" t="str">
        <f ca="1">input_498104!A$2</f>
        <v>498104</v>
      </c>
      <c r="B307" s="5">
        <v>1027</v>
      </c>
      <c r="C307" s="7" t="str">
        <f t="shared" si="12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38">
        <f ca="1">IFERROR(VLOOKUP(B307,input_498104!L:R,7,FALSE),VLOOKUP(tables_498104!C307,input_498104!A:H,8,FALSE))</f>
        <v>68116.666670000006</v>
      </c>
      <c r="P307" s="39">
        <f t="shared" ca="1" si="13"/>
        <v>5.9397163123401839E-4</v>
      </c>
      <c r="Q307" s="24">
        <v>1</v>
      </c>
      <c r="R307" s="24">
        <v>0</v>
      </c>
      <c r="S307" s="24">
        <v>0</v>
      </c>
      <c r="T307" s="24">
        <v>0</v>
      </c>
      <c r="U307" s="24">
        <v>0</v>
      </c>
      <c r="V307" s="24">
        <v>1</v>
      </c>
    </row>
    <row r="308" spans="1:22" ht="21" customHeight="1" x14ac:dyDescent="0.15">
      <c r="A308" s="2" t="str">
        <f ca="1">input_498104!A$2</f>
        <v>498104</v>
      </c>
      <c r="B308" s="5">
        <v>1028</v>
      </c>
      <c r="C308" s="7" t="str">
        <f t="shared" si="12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38">
        <f ca="1">IFERROR(VLOOKUP(B308,input_498104!L:R,7,FALSE),VLOOKUP(tables_498104!C308,input_498104!A:H,8,FALSE))</f>
        <v>109336.84211</v>
      </c>
      <c r="P308" s="39">
        <f t="shared" ca="1" si="13"/>
        <v>9.5340811048018066E-4</v>
      </c>
      <c r="Q308" s="24">
        <v>1</v>
      </c>
      <c r="R308" s="24">
        <v>0</v>
      </c>
      <c r="S308" s="24">
        <v>0</v>
      </c>
      <c r="T308" s="24">
        <v>0</v>
      </c>
      <c r="U308" s="24">
        <v>0</v>
      </c>
      <c r="V308" s="24">
        <v>1</v>
      </c>
    </row>
    <row r="309" spans="1:22" ht="21" customHeight="1" x14ac:dyDescent="0.15">
      <c r="A309" s="2" t="str">
        <f ca="1">input_498104!A$2</f>
        <v>498104</v>
      </c>
      <c r="B309" s="5">
        <v>1031</v>
      </c>
      <c r="C309" s="7" t="str">
        <f t="shared" si="12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38">
        <f ca="1">IFERROR(VLOOKUP(B309,input_498104!L:R,7,FALSE),VLOOKUP(tables_498104!C309,input_498104!A:H,8,FALSE))</f>
        <v>109336.84211</v>
      </c>
      <c r="P309" s="39">
        <f t="shared" ca="1" si="13"/>
        <v>9.5340811048018066E-4</v>
      </c>
      <c r="Q309" s="24">
        <v>1</v>
      </c>
      <c r="R309" s="24">
        <v>0</v>
      </c>
      <c r="S309" s="24">
        <v>0</v>
      </c>
      <c r="T309" s="24">
        <v>0</v>
      </c>
      <c r="U309" s="24">
        <v>0</v>
      </c>
      <c r="V309" s="24">
        <v>1</v>
      </c>
    </row>
    <row r="310" spans="1:22" ht="21" customHeight="1" x14ac:dyDescent="0.15">
      <c r="A310" s="2" t="str">
        <f ca="1">input_498104!A$2</f>
        <v>498104</v>
      </c>
      <c r="B310" s="5">
        <v>1033</v>
      </c>
      <c r="C310" s="7" t="str">
        <f t="shared" si="12"/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38">
        <f ca="1">IFERROR(VLOOKUP(B310,input_498104!L:R,7,FALSE),VLOOKUP(tables_498104!C310,input_498104!A:H,8,FALSE))</f>
        <v>109336.84211</v>
      </c>
      <c r="P310" s="39">
        <f t="shared" ca="1" si="13"/>
        <v>9.5340811048018066E-4</v>
      </c>
      <c r="Q310" s="24">
        <v>1</v>
      </c>
      <c r="R310" s="24">
        <v>0</v>
      </c>
      <c r="S310" s="24">
        <v>0</v>
      </c>
      <c r="T310" s="24">
        <v>0</v>
      </c>
      <c r="U310" s="24">
        <v>0</v>
      </c>
      <c r="V310" s="24">
        <v>1</v>
      </c>
    </row>
    <row r="311" spans="1:22" ht="21" customHeight="1" x14ac:dyDescent="0.15">
      <c r="A311" s="2" t="str">
        <f ca="1">input_498104!A$2</f>
        <v>498104</v>
      </c>
      <c r="B311" s="5">
        <v>1067</v>
      </c>
      <c r="C311" s="7" t="str">
        <f t="shared" si="12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38">
        <f ca="1">IFERROR(VLOOKUP(B311,input_498104!L:R,7,FALSE),VLOOKUP(tables_498104!C311,input_498104!A:H,8,FALSE))</f>
        <v>1068177.7777799999</v>
      </c>
      <c r="P311" s="39">
        <f t="shared" ca="1" si="13"/>
        <v>9.3144208037905622E-3</v>
      </c>
      <c r="Q311" s="24">
        <v>1</v>
      </c>
      <c r="R311" s="24">
        <v>0</v>
      </c>
      <c r="S311" s="24">
        <v>0</v>
      </c>
      <c r="T311" s="24">
        <v>0</v>
      </c>
      <c r="U311" s="24">
        <v>0</v>
      </c>
      <c r="V311" s="24">
        <v>1</v>
      </c>
    </row>
    <row r="312" spans="1:22" ht="21" customHeight="1" x14ac:dyDescent="0.15">
      <c r="A312" s="2" t="str">
        <f ca="1">input_498104!A$2</f>
        <v>498104</v>
      </c>
      <c r="B312" s="5">
        <v>1068</v>
      </c>
      <c r="C312" s="7" t="str">
        <f t="shared" si="12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38">
        <f ca="1">IFERROR(VLOOKUP(B312,input_498104!L:R,7,FALSE),VLOOKUP(tables_498104!C312,input_498104!A:H,8,FALSE))</f>
        <v>68116.666670000006</v>
      </c>
      <c r="P312" s="39">
        <f t="shared" ca="1" si="13"/>
        <v>5.9397163123401839E-4</v>
      </c>
      <c r="Q312" s="24">
        <v>1</v>
      </c>
      <c r="R312" s="24">
        <v>0</v>
      </c>
      <c r="S312" s="24">
        <v>0</v>
      </c>
      <c r="T312" s="24">
        <v>0</v>
      </c>
      <c r="U312" s="24">
        <v>0</v>
      </c>
      <c r="V312" s="24">
        <v>1</v>
      </c>
    </row>
    <row r="313" spans="1:22" ht="21" customHeight="1" x14ac:dyDescent="0.15">
      <c r="A313" s="2" t="str">
        <f ca="1">input_498104!A$2</f>
        <v>498104</v>
      </c>
      <c r="B313" s="5">
        <v>1069</v>
      </c>
      <c r="C313" s="7" t="str">
        <f t="shared" si="12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38">
        <f ca="1">IFERROR(VLOOKUP(B313,input_498104!L:R,7,FALSE),VLOOKUP(tables_498104!C313,input_498104!A:H,8,FALSE))</f>
        <v>109336.84211</v>
      </c>
      <c r="P313" s="39">
        <f t="shared" ca="1" si="13"/>
        <v>9.5340811048018066E-4</v>
      </c>
      <c r="Q313" s="24">
        <v>1</v>
      </c>
      <c r="R313" s="24">
        <v>0</v>
      </c>
      <c r="S313" s="24">
        <v>0</v>
      </c>
      <c r="T313" s="24">
        <v>0</v>
      </c>
      <c r="U313" s="24">
        <v>0</v>
      </c>
      <c r="V313" s="24">
        <v>1</v>
      </c>
    </row>
    <row r="314" spans="1:22" ht="21" customHeight="1" x14ac:dyDescent="0.15">
      <c r="A314" s="2" t="str">
        <f ca="1">input_498104!A$2</f>
        <v>498104</v>
      </c>
      <c r="B314" s="5">
        <v>1072</v>
      </c>
      <c r="C314" s="7" t="str">
        <f t="shared" si="12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38">
        <f ca="1">IFERROR(VLOOKUP(B314,input_498104!L:R,7,FALSE),VLOOKUP(tables_498104!C314,input_498104!A:H,8,FALSE))</f>
        <v>109336.84211</v>
      </c>
      <c r="P314" s="39">
        <f t="shared" ca="1" si="13"/>
        <v>9.5340811048018066E-4</v>
      </c>
      <c r="Q314" s="24">
        <v>1</v>
      </c>
      <c r="R314" s="24">
        <v>0</v>
      </c>
      <c r="S314" s="24">
        <v>0</v>
      </c>
      <c r="T314" s="24">
        <v>0</v>
      </c>
      <c r="U314" s="24">
        <v>0</v>
      </c>
      <c r="V314" s="24">
        <v>1</v>
      </c>
    </row>
    <row r="315" spans="1:22" ht="21" customHeight="1" x14ac:dyDescent="0.15">
      <c r="A315" s="2" t="str">
        <f ca="1">input_498104!A$2</f>
        <v>498104</v>
      </c>
      <c r="B315" s="5">
        <v>1074</v>
      </c>
      <c r="C315" s="7" t="str">
        <f t="shared" si="12"/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38">
        <f ca="1">IFERROR(VLOOKUP(B315,input_498104!L:R,7,FALSE),VLOOKUP(tables_498104!C315,input_498104!A:H,8,FALSE))</f>
        <v>109336.84211</v>
      </c>
      <c r="P315" s="39">
        <f t="shared" ca="1" si="13"/>
        <v>9.5340811048018066E-4</v>
      </c>
      <c r="Q315" s="24">
        <v>1</v>
      </c>
      <c r="R315" s="24">
        <v>0</v>
      </c>
      <c r="S315" s="24">
        <v>0</v>
      </c>
      <c r="T315" s="24">
        <v>0</v>
      </c>
      <c r="U315" s="24">
        <v>0</v>
      </c>
      <c r="V315" s="24">
        <v>1</v>
      </c>
    </row>
    <row r="316" spans="1:22" ht="21" customHeight="1" x14ac:dyDescent="0.15">
      <c r="A316" s="2" t="str">
        <f ca="1">input_498104!A$2</f>
        <v>498104</v>
      </c>
      <c r="B316" s="5">
        <v>1100</v>
      </c>
      <c r="C316" s="7" t="str">
        <f t="shared" si="12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38">
        <f ca="1">IFERROR(VLOOKUP(B316,input_498104!L:R,7,FALSE),VLOOKUP(tables_498104!C316,input_498104!A:H,8,FALSE))</f>
        <v>109336.84211</v>
      </c>
      <c r="P316" s="39">
        <f t="shared" ca="1" si="13"/>
        <v>9.5340811048018066E-4</v>
      </c>
      <c r="Q316" s="24">
        <v>1</v>
      </c>
      <c r="R316" s="24">
        <v>0</v>
      </c>
      <c r="S316" s="24">
        <v>0</v>
      </c>
      <c r="T316" s="24">
        <v>0</v>
      </c>
      <c r="U316" s="24">
        <v>0</v>
      </c>
      <c r="V316" s="24">
        <v>1</v>
      </c>
    </row>
    <row r="317" spans="1:22" ht="21" customHeight="1" x14ac:dyDescent="0.15">
      <c r="A317" s="2" t="str">
        <f ca="1">input_498104!A$2</f>
        <v>498104</v>
      </c>
      <c r="B317" s="5">
        <v>1102</v>
      </c>
      <c r="C317" s="7" t="str">
        <f t="shared" si="12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38">
        <f ca="1">IFERROR(VLOOKUP(B317,input_498104!L:R,7,FALSE),VLOOKUP(tables_498104!C317,input_498104!A:H,8,FALSE))</f>
        <v>109336.84211</v>
      </c>
      <c r="P317" s="39">
        <f t="shared" ca="1" si="13"/>
        <v>9.5340811048018066E-4</v>
      </c>
      <c r="Q317" s="24">
        <v>1</v>
      </c>
      <c r="R317" s="24">
        <v>0</v>
      </c>
      <c r="S317" s="24">
        <v>0</v>
      </c>
      <c r="T317" s="24">
        <v>0</v>
      </c>
      <c r="U317" s="24">
        <v>0</v>
      </c>
      <c r="V317" s="24">
        <v>1</v>
      </c>
    </row>
    <row r="318" spans="1:22" ht="21" customHeight="1" x14ac:dyDescent="0.15">
      <c r="A318" s="2" t="str">
        <f ca="1">input_498104!A$2</f>
        <v>498104</v>
      </c>
      <c r="B318" s="5">
        <v>1104</v>
      </c>
      <c r="C318" s="7" t="str">
        <f t="shared" si="12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38">
        <f ca="1">IFERROR(VLOOKUP(B318,input_498104!L:R,7,FALSE),VLOOKUP(tables_498104!C318,input_498104!A:H,8,FALSE))</f>
        <v>1068177.7777799999</v>
      </c>
      <c r="P318" s="39">
        <f t="shared" ca="1" si="13"/>
        <v>9.3144208037905622E-3</v>
      </c>
      <c r="Q318" s="24">
        <v>1</v>
      </c>
      <c r="R318" s="24">
        <v>0</v>
      </c>
      <c r="S318" s="24">
        <v>0</v>
      </c>
      <c r="T318" s="24">
        <v>0</v>
      </c>
      <c r="U318" s="24">
        <v>0</v>
      </c>
      <c r="V318" s="24">
        <v>1</v>
      </c>
    </row>
    <row r="319" spans="1:22" ht="21" customHeight="1" x14ac:dyDescent="0.15">
      <c r="A319" s="2" t="str">
        <f ca="1">input_498104!A$2</f>
        <v>498104</v>
      </c>
      <c r="B319" s="5">
        <v>1105</v>
      </c>
      <c r="C319" s="7" t="str">
        <f t="shared" si="12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38">
        <f ca="1">IFERROR(VLOOKUP(B319,input_498104!L:R,7,FALSE),VLOOKUP(tables_498104!C319,input_498104!A:H,8,FALSE))</f>
        <v>68116.666670000006</v>
      </c>
      <c r="P319" s="39">
        <f t="shared" ca="1" si="13"/>
        <v>5.9397163123401839E-4</v>
      </c>
      <c r="Q319" s="24">
        <v>1</v>
      </c>
      <c r="R319" s="24">
        <v>0</v>
      </c>
      <c r="S319" s="24">
        <v>0</v>
      </c>
      <c r="T319" s="24">
        <v>0</v>
      </c>
      <c r="U319" s="24">
        <v>0</v>
      </c>
      <c r="V319" s="24">
        <v>1</v>
      </c>
    </row>
    <row r="320" spans="1:22" ht="21" customHeight="1" x14ac:dyDescent="0.15">
      <c r="A320" s="2" t="str">
        <f ca="1">input_498104!A$2</f>
        <v>498104</v>
      </c>
      <c r="B320" s="5">
        <v>1106</v>
      </c>
      <c r="C320" s="7" t="str">
        <f t="shared" si="12"/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38">
        <f ca="1">IFERROR(VLOOKUP(B320,input_498104!L:R,7,FALSE),VLOOKUP(tables_498104!C320,input_498104!A:H,8,FALSE))</f>
        <v>109336.84211</v>
      </c>
      <c r="P320" s="39">
        <f t="shared" ca="1" si="13"/>
        <v>9.5340811048018066E-4</v>
      </c>
      <c r="Q320" s="24">
        <v>1</v>
      </c>
      <c r="R320" s="24">
        <v>0</v>
      </c>
      <c r="S320" s="24">
        <v>0</v>
      </c>
      <c r="T320" s="24">
        <v>0</v>
      </c>
      <c r="U320" s="24">
        <v>0</v>
      </c>
      <c r="V320" s="24">
        <v>1</v>
      </c>
    </row>
    <row r="321" spans="1:22" ht="21" customHeight="1" x14ac:dyDescent="0.15">
      <c r="A321" s="2" t="str">
        <f ca="1">input_498104!A$2</f>
        <v>498104</v>
      </c>
      <c r="B321" s="5">
        <v>1137</v>
      </c>
      <c r="C321" s="7" t="str">
        <f t="shared" si="12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38">
        <f ca="1">IFERROR(VLOOKUP(B321,input_498104!L:R,7,FALSE),VLOOKUP(tables_498104!C321,input_498104!A:H,8,FALSE))</f>
        <v>109336.84211</v>
      </c>
      <c r="P321" s="39">
        <f t="shared" ca="1" si="13"/>
        <v>9.5340811048018066E-4</v>
      </c>
      <c r="Q321" s="24">
        <v>1</v>
      </c>
      <c r="R321" s="24">
        <v>0</v>
      </c>
      <c r="S321" s="24">
        <v>0</v>
      </c>
      <c r="T321" s="24">
        <v>0</v>
      </c>
      <c r="U321" s="24">
        <v>0</v>
      </c>
      <c r="V321" s="24">
        <v>1</v>
      </c>
    </row>
    <row r="322" spans="1:22" ht="21" customHeight="1" x14ac:dyDescent="0.15">
      <c r="A322" s="2" t="str">
        <f ca="1">input_498104!A$2</f>
        <v>498104</v>
      </c>
      <c r="B322" s="5">
        <v>1139</v>
      </c>
      <c r="C322" s="7" t="str">
        <f t="shared" ref="C322:C351" si="15">D322&amp;J322&amp;E322&amp;F322&amp;G322</f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38">
        <f ca="1">IFERROR(VLOOKUP(B322,input_498104!L:R,7,FALSE),VLOOKUP(tables_498104!C322,input_498104!A:H,8,FALSE))</f>
        <v>109336.84211</v>
      </c>
      <c r="P322" s="39">
        <f t="shared" ref="P322:P351" ca="1" si="16">O322/SUM(O:O)</f>
        <v>9.5340811048018066E-4</v>
      </c>
      <c r="Q322" s="24">
        <v>1</v>
      </c>
      <c r="R322" s="24">
        <v>0</v>
      </c>
      <c r="S322" s="24">
        <v>0</v>
      </c>
      <c r="T322" s="24">
        <v>0</v>
      </c>
      <c r="U322" s="24">
        <v>0</v>
      </c>
      <c r="V322" s="24">
        <v>1</v>
      </c>
    </row>
    <row r="323" spans="1:22" ht="21" customHeight="1" x14ac:dyDescent="0.15">
      <c r="A323" s="2" t="str">
        <f ca="1">input_498104!A$2</f>
        <v>498104</v>
      </c>
      <c r="B323" s="5">
        <v>1141</v>
      </c>
      <c r="C323" s="7" t="str">
        <f t="shared" si="15"/>
        <v>PremiumSS5R5only</v>
      </c>
      <c r="D323" s="7" t="str">
        <f t="shared" ref="D323:D351" si="17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38">
        <f ca="1">IFERROR(VLOOKUP(B323,input_498104!L:R,7,FALSE),VLOOKUP(tables_498104!C323,input_498104!A:H,8,FALSE))</f>
        <v>109336.84211</v>
      </c>
      <c r="P323" s="39">
        <f t="shared" ca="1" si="16"/>
        <v>9.5340811048018066E-4</v>
      </c>
      <c r="Q323" s="24">
        <v>1</v>
      </c>
      <c r="R323" s="24">
        <v>0</v>
      </c>
      <c r="S323" s="24">
        <v>0</v>
      </c>
      <c r="T323" s="24">
        <v>0</v>
      </c>
      <c r="U323" s="24">
        <v>0</v>
      </c>
      <c r="V323" s="24">
        <v>1</v>
      </c>
    </row>
    <row r="324" spans="1:22" ht="21" customHeight="1" x14ac:dyDescent="0.15">
      <c r="A324" s="2" t="str">
        <f ca="1">input_498104!A$2</f>
        <v>498104</v>
      </c>
      <c r="B324" s="2">
        <v>1143</v>
      </c>
      <c r="C324" s="7" t="str">
        <f t="shared" si="15"/>
        <v>Premium4R3less</v>
      </c>
      <c r="D324" s="7" t="str">
        <f t="shared" si="17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38">
        <f ca="1">IFERROR(VLOOKUP(B324,input_498104!L:R,7,FALSE),VLOOKUP(tables_498104!C324,input_498104!A:H,8,FALSE))</f>
        <v>1068177.7777799999</v>
      </c>
      <c r="P324" s="39">
        <f t="shared" ca="1" si="16"/>
        <v>9.3144208037905622E-3</v>
      </c>
      <c r="Q324" s="24">
        <v>1</v>
      </c>
      <c r="R324" s="24">
        <v>0</v>
      </c>
      <c r="S324" s="24">
        <v>0</v>
      </c>
      <c r="T324" s="24">
        <v>0</v>
      </c>
      <c r="U324" s="24">
        <v>0</v>
      </c>
      <c r="V324" s="24">
        <v>1</v>
      </c>
    </row>
    <row r="325" spans="1:22" ht="21" customHeight="1" x14ac:dyDescent="0.15">
      <c r="A325" s="2" t="str">
        <f ca="1">input_498104!A$2</f>
        <v>498104</v>
      </c>
      <c r="B325" s="2">
        <v>1144</v>
      </c>
      <c r="C325" s="7" t="str">
        <f t="shared" si="15"/>
        <v>Premium5R3less</v>
      </c>
      <c r="D325" s="7" t="str">
        <f t="shared" si="17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38">
        <f ca="1">IFERROR(VLOOKUP(B325,input_498104!L:R,7,FALSE),VLOOKUP(tables_498104!C325,input_498104!A:H,8,FALSE))</f>
        <v>68116.666670000006</v>
      </c>
      <c r="P325" s="39">
        <f t="shared" ca="1" si="16"/>
        <v>5.9397163123401839E-4</v>
      </c>
      <c r="Q325" s="24">
        <v>1</v>
      </c>
      <c r="R325" s="24">
        <v>0</v>
      </c>
      <c r="S325" s="24">
        <v>0</v>
      </c>
      <c r="T325" s="24">
        <v>0</v>
      </c>
      <c r="U325" s="24">
        <v>0</v>
      </c>
      <c r="V325" s="24">
        <v>1</v>
      </c>
    </row>
    <row r="326" spans="1:22" ht="21" customHeight="1" x14ac:dyDescent="0.15">
      <c r="A326" s="2" t="str">
        <f ca="1">input_498104!A$2</f>
        <v>498104</v>
      </c>
      <c r="B326" s="2">
        <v>1151</v>
      </c>
      <c r="C326" s="7" t="str">
        <f t="shared" si="15"/>
        <v>Premium4R3less</v>
      </c>
      <c r="D326" s="7" t="str">
        <f t="shared" si="17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38">
        <f ca="1">IFERROR(VLOOKUP(B326,input_498104!L:R,7,FALSE),VLOOKUP(tables_498104!C326,input_498104!A:H,8,FALSE))</f>
        <v>1068177.7777799999</v>
      </c>
      <c r="P326" s="39">
        <f t="shared" ca="1" si="16"/>
        <v>9.3144208037905622E-3</v>
      </c>
      <c r="Q326" s="24">
        <v>1</v>
      </c>
      <c r="R326" s="24">
        <v>0</v>
      </c>
      <c r="S326" s="24">
        <v>0</v>
      </c>
      <c r="T326" s="24">
        <v>0</v>
      </c>
      <c r="U326" s="24">
        <v>0</v>
      </c>
      <c r="V326" s="24">
        <v>1</v>
      </c>
    </row>
    <row r="327" spans="1:22" ht="21" customHeight="1" x14ac:dyDescent="0.15">
      <c r="A327" s="2" t="str">
        <f ca="1">input_498104!A$2</f>
        <v>498104</v>
      </c>
      <c r="B327" s="2">
        <v>1152</v>
      </c>
      <c r="C327" s="7" t="str">
        <f t="shared" si="15"/>
        <v>Premium5R3less</v>
      </c>
      <c r="D327" s="7" t="str">
        <f t="shared" si="17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38">
        <f ca="1">IFERROR(VLOOKUP(B327,input_498104!L:R,7,FALSE),VLOOKUP(tables_498104!C327,input_498104!A:H,8,FALSE))</f>
        <v>68116.666670000006</v>
      </c>
      <c r="P327" s="39">
        <f t="shared" ca="1" si="16"/>
        <v>5.9397163123401839E-4</v>
      </c>
      <c r="Q327" s="24">
        <v>1</v>
      </c>
      <c r="R327" s="24">
        <v>0</v>
      </c>
      <c r="S327" s="24">
        <v>0</v>
      </c>
      <c r="T327" s="24">
        <v>0</v>
      </c>
      <c r="U327" s="24">
        <v>0</v>
      </c>
      <c r="V327" s="24">
        <v>1</v>
      </c>
    </row>
    <row r="328" spans="1:22" ht="21" customHeight="1" x14ac:dyDescent="0.15">
      <c r="A328" s="2" t="str">
        <f ca="1">input_498104!A$2</f>
        <v>498104</v>
      </c>
      <c r="B328" s="2">
        <v>1153</v>
      </c>
      <c r="C328" s="7" t="str">
        <f t="shared" si="15"/>
        <v>PremiumSS5R5only</v>
      </c>
      <c r="D328" s="7" t="str">
        <f t="shared" si="17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38">
        <f ca="1">IFERROR(VLOOKUP(B328,input_498104!L:R,7,FALSE),VLOOKUP(tables_498104!C328,input_498104!A:H,8,FALSE))</f>
        <v>109336.84211</v>
      </c>
      <c r="P328" s="39">
        <f t="shared" ca="1" si="16"/>
        <v>9.5340811048018066E-4</v>
      </c>
      <c r="Q328" s="24">
        <v>1</v>
      </c>
      <c r="R328" s="24">
        <v>0</v>
      </c>
      <c r="S328" s="24">
        <v>0</v>
      </c>
      <c r="T328" s="24">
        <v>0</v>
      </c>
      <c r="U328" s="24">
        <v>0</v>
      </c>
      <c r="V328" s="24">
        <v>1</v>
      </c>
    </row>
    <row r="329" spans="1:22" ht="21" customHeight="1" x14ac:dyDescent="0.15">
      <c r="A329" s="2" t="str">
        <f ca="1">input_498104!A$2</f>
        <v>498104</v>
      </c>
      <c r="B329" s="2">
        <v>1155</v>
      </c>
      <c r="C329" s="7" t="str">
        <f t="shared" si="15"/>
        <v>PremiumSS5R5only</v>
      </c>
      <c r="D329" s="7" t="str">
        <f t="shared" si="17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38">
        <f ca="1">IFERROR(VLOOKUP(B329,input_498104!L:R,7,FALSE),VLOOKUP(tables_498104!C329,input_498104!A:H,8,FALSE))</f>
        <v>109336.84211</v>
      </c>
      <c r="P329" s="39">
        <f t="shared" ca="1" si="16"/>
        <v>9.5340811048018066E-4</v>
      </c>
      <c r="Q329" s="24">
        <v>1</v>
      </c>
      <c r="R329" s="24">
        <v>0</v>
      </c>
      <c r="S329" s="24">
        <v>0</v>
      </c>
      <c r="T329" s="24">
        <v>0</v>
      </c>
      <c r="U329" s="24">
        <v>0</v>
      </c>
      <c r="V329" s="24">
        <v>1</v>
      </c>
    </row>
    <row r="330" spans="1:22" ht="21" customHeight="1" x14ac:dyDescent="0.15">
      <c r="A330" s="2" t="str">
        <f ca="1">input_498104!A$2</f>
        <v>498104</v>
      </c>
      <c r="B330" s="2">
        <v>1157</v>
      </c>
      <c r="C330" s="7" t="str">
        <f t="shared" si="15"/>
        <v>PremiumSS5R5only</v>
      </c>
      <c r="D330" s="89" t="str">
        <f t="shared" si="17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38">
        <f ca="1">IFERROR(VLOOKUP(B330,input_498104!L:R,7,FALSE),VLOOKUP(tables_498104!C330,input_498104!A:H,8,FALSE))</f>
        <v>109336.84211</v>
      </c>
      <c r="P330" s="39">
        <f t="shared" ca="1" si="16"/>
        <v>9.5340811048018066E-4</v>
      </c>
      <c r="Q330" s="24">
        <v>1</v>
      </c>
      <c r="R330" s="24">
        <v>0</v>
      </c>
      <c r="S330" s="24">
        <v>0</v>
      </c>
      <c r="T330" s="24">
        <v>0</v>
      </c>
      <c r="U330" s="24">
        <v>0</v>
      </c>
      <c r="V330" s="24">
        <v>1</v>
      </c>
    </row>
    <row r="331" spans="1:22" ht="21" customHeight="1" x14ac:dyDescent="0.15">
      <c r="A331" s="2" t="str">
        <f ca="1">input_498104!A$2</f>
        <v>498104</v>
      </c>
      <c r="B331" s="53">
        <v>1214</v>
      </c>
      <c r="C331" s="7" t="str">
        <f t="shared" si="15"/>
        <v>PremiumSS5R5only</v>
      </c>
      <c r="D331" s="89" t="str">
        <f t="shared" si="17"/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38">
        <f ca="1">IFERROR(VLOOKUP(B331,input_498104!L:R,7,FALSE),VLOOKUP(tables_498104!C331,input_498104!A:H,8,FALSE))</f>
        <v>109336.84211</v>
      </c>
      <c r="P331" s="39">
        <f t="shared" ca="1" si="16"/>
        <v>9.5340811048018066E-4</v>
      </c>
      <c r="Q331" s="24">
        <v>1</v>
      </c>
      <c r="R331" s="24">
        <v>0</v>
      </c>
      <c r="S331" s="24">
        <v>0</v>
      </c>
      <c r="T331" s="24">
        <v>0</v>
      </c>
      <c r="U331" s="24">
        <v>0</v>
      </c>
      <c r="V331" s="24">
        <v>1</v>
      </c>
    </row>
    <row r="332" spans="1:22" ht="21" customHeight="1" x14ac:dyDescent="0.15">
      <c r="A332" s="2" t="str">
        <f ca="1">input_498104!A$2</f>
        <v>498104</v>
      </c>
      <c r="B332" s="53">
        <v>1212</v>
      </c>
      <c r="C332" s="7" t="str">
        <f t="shared" si="15"/>
        <v>PremiumSS5R5only</v>
      </c>
      <c r="D332" s="89" t="str">
        <f t="shared" si="1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38">
        <f ca="1">IFERROR(VLOOKUP(B332,input_498104!L:R,7,FALSE),VLOOKUP(tables_498104!C332,input_498104!A:H,8,FALSE))</f>
        <v>109336.84211</v>
      </c>
      <c r="P332" s="39">
        <f t="shared" ca="1" si="16"/>
        <v>9.5340811048018066E-4</v>
      </c>
      <c r="Q332" s="24">
        <v>1</v>
      </c>
      <c r="R332" s="24">
        <v>0</v>
      </c>
      <c r="S332" s="24">
        <v>0</v>
      </c>
      <c r="T332" s="24">
        <v>0</v>
      </c>
      <c r="U332" s="24">
        <v>0</v>
      </c>
      <c r="V332" s="24">
        <v>1</v>
      </c>
    </row>
    <row r="333" spans="1:22" ht="21" customHeight="1" x14ac:dyDescent="0.15">
      <c r="A333" s="2" t="str">
        <f ca="1">input_498104!A$2</f>
        <v>498104</v>
      </c>
      <c r="B333" s="53">
        <v>1208</v>
      </c>
      <c r="C333" s="7" t="str">
        <f t="shared" si="15"/>
        <v>PremiumSS5R5only</v>
      </c>
      <c r="D333" s="89" t="str">
        <f t="shared" si="1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38">
        <f ca="1">IFERROR(VLOOKUP(B333,input_498104!L:R,7,FALSE),VLOOKUP(tables_498104!C333,input_498104!A:H,8,FALSE))</f>
        <v>109336.84211</v>
      </c>
      <c r="P333" s="39">
        <f t="shared" ca="1" si="16"/>
        <v>9.5340811048018066E-4</v>
      </c>
      <c r="Q333" s="24">
        <v>1</v>
      </c>
      <c r="R333" s="24">
        <v>0</v>
      </c>
      <c r="S333" s="24">
        <v>0</v>
      </c>
      <c r="T333" s="24">
        <v>0</v>
      </c>
      <c r="U333" s="24">
        <v>0</v>
      </c>
      <c r="V333" s="24">
        <v>1</v>
      </c>
    </row>
    <row r="334" spans="1:22" ht="21" customHeight="1" x14ac:dyDescent="0.15">
      <c r="A334" s="2" t="str">
        <f ca="1">input_498104!A$2</f>
        <v>498104</v>
      </c>
      <c r="B334" s="84">
        <v>1210</v>
      </c>
      <c r="C334" s="7" t="str">
        <f t="shared" si="15"/>
        <v>Premium4R3less</v>
      </c>
      <c r="D334" s="89" t="str">
        <f t="shared" si="1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38">
        <f ca="1">IFERROR(VLOOKUP(B334,input_498104!L:R,7,FALSE),VLOOKUP(tables_498104!C334,input_498104!A:H,8,FALSE))</f>
        <v>1068177.7777799999</v>
      </c>
      <c r="P334" s="39">
        <f t="shared" ca="1" si="16"/>
        <v>9.3144208037905622E-3</v>
      </c>
      <c r="Q334" s="24">
        <v>1</v>
      </c>
      <c r="R334" s="24">
        <v>0</v>
      </c>
      <c r="S334" s="24">
        <v>0</v>
      </c>
      <c r="T334" s="24">
        <v>0</v>
      </c>
      <c r="U334" s="24">
        <v>0</v>
      </c>
      <c r="V334" s="24">
        <v>1</v>
      </c>
    </row>
    <row r="335" spans="1:22" ht="21" customHeight="1" x14ac:dyDescent="0.15">
      <c r="A335" s="2" t="str">
        <f ca="1">input_498104!A$2</f>
        <v>498104</v>
      </c>
      <c r="B335" s="53">
        <v>1211</v>
      </c>
      <c r="C335" s="7" t="str">
        <f t="shared" si="15"/>
        <v>Premium5R3less</v>
      </c>
      <c r="D335" s="89" t="str">
        <f t="shared" si="1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38">
        <f ca="1">IFERROR(VLOOKUP(B335,input_498104!L:R,7,FALSE),VLOOKUP(tables_498104!C335,input_498104!A:H,8,FALSE))</f>
        <v>68116.666670000006</v>
      </c>
      <c r="P335" s="39">
        <f t="shared" ca="1" si="16"/>
        <v>5.9397163123401839E-4</v>
      </c>
      <c r="Q335" s="24">
        <v>1</v>
      </c>
      <c r="R335" s="24">
        <v>0</v>
      </c>
      <c r="S335" s="24">
        <v>0</v>
      </c>
      <c r="T335" s="24">
        <v>0</v>
      </c>
      <c r="U335" s="24">
        <v>0</v>
      </c>
      <c r="V335" s="24">
        <v>1</v>
      </c>
    </row>
    <row r="336" spans="1:22" ht="21" customHeight="1" x14ac:dyDescent="0.15">
      <c r="A336" s="2" t="str">
        <f ca="1">input_498104!A$2</f>
        <v>498104</v>
      </c>
      <c r="B336" s="53">
        <v>1228</v>
      </c>
      <c r="C336" s="7" t="str">
        <f t="shared" si="15"/>
        <v>PremiumSS5R5only</v>
      </c>
      <c r="D336" s="89" t="str">
        <f t="shared" si="17"/>
        <v>PremiumSS</v>
      </c>
      <c r="E336" s="7" t="str">
        <f>IF(COUNTIF('R6追加前'!A:A,B336)=0,IF(OR(I336="PremiumSS",I336="PremiumSSw"),"R5only","R3less"),"")</f>
        <v>R5only</v>
      </c>
      <c r="F336" s="7" t="str">
        <f>IF(COUNTIF('R6開放'!A:A,B336)&gt;0,"R6release","")</f>
        <v/>
      </c>
      <c r="G336" s="7"/>
      <c r="H336" s="7" t="str">
        <f>VLOOKUP(B336,[1]characters!$A:$C,3,FALSE)</f>
        <v>芥川龍之介</v>
      </c>
      <c r="I336" s="7" t="str">
        <f>VLOOKUP(B336,[1]characters!$A:$J,10,FALSE)</f>
        <v>PremiumSSw</v>
      </c>
      <c r="J336" s="7">
        <f>VLOOKUP(B336,[1]characters!$A:$I,9,FALSE)</f>
        <v>5</v>
      </c>
      <c r="K336" s="7" t="str">
        <f>VLOOKUP(B336,[1]characters!$A:$H,8,FALSE)</f>
        <v>blue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38">
        <f ca="1">IFERROR(VLOOKUP(B336,input_498104!L:R,7,FALSE),VLOOKUP(tables_498104!C336,input_498104!A:H,8,FALSE))</f>
        <v>109336.84211</v>
      </c>
      <c r="P336" s="39">
        <f t="shared" ca="1" si="16"/>
        <v>9.5340811048018066E-4</v>
      </c>
      <c r="Q336" s="24">
        <v>1</v>
      </c>
      <c r="R336" s="24">
        <v>0</v>
      </c>
      <c r="S336" s="24">
        <v>0</v>
      </c>
      <c r="T336" s="24">
        <v>0</v>
      </c>
      <c r="U336" s="24">
        <v>0</v>
      </c>
      <c r="V336" s="24">
        <v>1</v>
      </c>
    </row>
    <row r="337" spans="1:22" ht="21" customHeight="1" x14ac:dyDescent="0.15">
      <c r="A337" s="2" t="str">
        <f ca="1">input_498104!A$2</f>
        <v>498104</v>
      </c>
      <c r="B337" s="53">
        <v>1226</v>
      </c>
      <c r="C337" s="7" t="str">
        <f t="shared" si="15"/>
        <v>PremiumSS5R5only</v>
      </c>
      <c r="D337" s="89" t="str">
        <f t="shared" si="17"/>
        <v>PremiumSS</v>
      </c>
      <c r="E337" s="7" t="str">
        <f>IF(COUNTIF('R6追加前'!A:A,B337)=0,IF(OR(I337="PremiumSS",I337="PremiumSSw"),"R5only","R3less"),"")</f>
        <v>R5only</v>
      </c>
      <c r="F337" s="7" t="str">
        <f>IF(COUNTIF('R6開放'!A:A,B337)&gt;0,"R6release","")</f>
        <v/>
      </c>
      <c r="G337" s="7"/>
      <c r="H337" s="7" t="str">
        <f>VLOOKUP(B337,[1]characters!$A:$C,3,FALSE)</f>
        <v>トルストイ</v>
      </c>
      <c r="I337" s="7" t="str">
        <f>VLOOKUP(B337,[1]characters!$A:$J,10,FALSE)</f>
        <v>PremiumSS</v>
      </c>
      <c r="J337" s="7">
        <f>VLOOKUP(B337,[1]characters!$A:$I,9,FALSE)</f>
        <v>5</v>
      </c>
      <c r="K337" s="7" t="str">
        <f>VLOOKUP(B337,[1]characters!$A:$H,8,FALSE)</f>
        <v>green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38">
        <f ca="1">IFERROR(VLOOKUP(B337,input_498104!L:R,7,FALSE),VLOOKUP(tables_498104!C337,input_498104!A:H,8,FALSE))</f>
        <v>109336.84211</v>
      </c>
      <c r="P337" s="39">
        <f t="shared" ca="1" si="16"/>
        <v>9.5340811048018066E-4</v>
      </c>
      <c r="Q337" s="24">
        <v>1</v>
      </c>
      <c r="R337" s="24">
        <v>0</v>
      </c>
      <c r="S337" s="24">
        <v>0</v>
      </c>
      <c r="T337" s="24">
        <v>0</v>
      </c>
      <c r="U337" s="24">
        <v>0</v>
      </c>
      <c r="V337" s="24">
        <v>1</v>
      </c>
    </row>
    <row r="338" spans="1:22" ht="21" customHeight="1" x14ac:dyDescent="0.15">
      <c r="A338" s="2" t="str">
        <f ca="1">input_498104!A$2</f>
        <v>498104</v>
      </c>
      <c r="B338" s="53">
        <v>1230</v>
      </c>
      <c r="C338" s="7" t="str">
        <f t="shared" si="15"/>
        <v>PremiumSS5R5only</v>
      </c>
      <c r="D338" s="89" t="str">
        <f t="shared" si="17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夏目漱石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yellow</v>
      </c>
      <c r="L338" s="7" t="str">
        <f>VLOOKUP(B338,[1]characters!$A:$K,11,FALSE)</f>
        <v>heal</v>
      </c>
      <c r="M338" s="7" t="str">
        <f>VLOOKUP(B338,[1]characters!$A:$M,13,FALSE)</f>
        <v>animal</v>
      </c>
      <c r="N338" s="7">
        <f>VLOOKUP(B338,[1]characters!$A:$G,7,FALSE)</f>
        <v>0</v>
      </c>
      <c r="O338" s="38">
        <f ca="1">IFERROR(VLOOKUP(B338,input_498104!L:R,7,FALSE),VLOOKUP(tables_498104!C338,input_498104!A:H,8,FALSE))</f>
        <v>109336.84211</v>
      </c>
      <c r="P338" s="39">
        <f t="shared" ca="1" si="16"/>
        <v>9.5340811048018066E-4</v>
      </c>
      <c r="Q338" s="24">
        <v>1</v>
      </c>
      <c r="R338" s="24">
        <v>0</v>
      </c>
      <c r="S338" s="24">
        <v>0</v>
      </c>
      <c r="T338" s="24">
        <v>0</v>
      </c>
      <c r="U338" s="24">
        <v>0</v>
      </c>
      <c r="V338" s="24">
        <v>1</v>
      </c>
    </row>
    <row r="339" spans="1:22" ht="21" customHeight="1" x14ac:dyDescent="0.15">
      <c r="A339" s="2" t="str">
        <f ca="1">input_498104!A$2</f>
        <v>498104</v>
      </c>
      <c r="B339" s="84">
        <v>1224</v>
      </c>
      <c r="C339" s="7" t="str">
        <f t="shared" si="15"/>
        <v>Premium4R3less</v>
      </c>
      <c r="D339" s="89" t="str">
        <f t="shared" si="17"/>
        <v>Premium</v>
      </c>
      <c r="E339" s="7" t="str">
        <f>IF(COUNTIF('R6追加前'!A:A,B339)=0,IF(OR(I339="PremiumSS",I339="PremiumSSw"),"R5only","R3less"),"")</f>
        <v>R3less</v>
      </c>
      <c r="F339" s="7" t="str">
        <f>IF(COUNTIF('R6開放'!A:A,B339)&gt;0,"R6release","")</f>
        <v/>
      </c>
      <c r="G339" s="7"/>
      <c r="H339" s="7" t="str">
        <f>VLOOKUP(B339,[1]characters!$A:$C,3,FALSE)</f>
        <v>セルバンテス</v>
      </c>
      <c r="I339" s="7" t="str">
        <f>VLOOKUP(B339,[1]characters!$A:$J,10,FALSE)</f>
        <v>PremiumS</v>
      </c>
      <c r="J339" s="7">
        <f>VLOOKUP(B339,[1]characters!$A:$I,9,FALSE)</f>
        <v>4</v>
      </c>
      <c r="K339" s="7" t="str">
        <f>VLOOKUP(B339,[1]characters!$A:$H,8,FALSE)</f>
        <v>red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38">
        <f ca="1">IFERROR(VLOOKUP(B339,input_498104!L:R,7,FALSE),VLOOKUP(tables_498104!C339,input_498104!A:H,8,FALSE))</f>
        <v>1068177.7777799999</v>
      </c>
      <c r="P339" s="39">
        <f t="shared" ca="1" si="16"/>
        <v>9.3144208037905622E-3</v>
      </c>
      <c r="Q339" s="24">
        <v>1</v>
      </c>
      <c r="R339" s="24">
        <v>0</v>
      </c>
      <c r="S339" s="24">
        <v>0</v>
      </c>
      <c r="T339" s="24">
        <v>0</v>
      </c>
      <c r="U339" s="24">
        <v>0</v>
      </c>
      <c r="V339" s="24">
        <v>1</v>
      </c>
    </row>
    <row r="340" spans="1:22" ht="21" customHeight="1" x14ac:dyDescent="0.15">
      <c r="A340" s="2" t="str">
        <f ca="1">input_498104!A$2</f>
        <v>498104</v>
      </c>
      <c r="B340" s="53">
        <v>1225</v>
      </c>
      <c r="C340" s="7" t="str">
        <f t="shared" si="15"/>
        <v>Premium5R3less</v>
      </c>
      <c r="D340" s="89" t="str">
        <f t="shared" si="17"/>
        <v>Premium</v>
      </c>
      <c r="E340" s="7" t="str">
        <f>IF(COUNTIF('R6追加前'!A:A,B340)=0,IF(OR(I340="PremiumSS",I340="PremiumSSw"),"R5only","R3less"),"")</f>
        <v>R3less</v>
      </c>
      <c r="F340" s="7" t="str">
        <f>IF(COUNTIF('R6開放'!A:A,B340)&gt;0,"R6release","")</f>
        <v/>
      </c>
      <c r="G340" s="7"/>
      <c r="H340" s="7" t="str">
        <f>VLOOKUP(B340,[1]characters!$A:$C,3,FALSE)</f>
        <v>優柔なる風断者 セルバンテス</v>
      </c>
      <c r="I340" s="7" t="str">
        <f>VLOOKUP(B340,[1]characters!$A:$J,10,FALSE)</f>
        <v>PremiumS</v>
      </c>
      <c r="J340" s="7">
        <f>VLOOKUP(B340,[1]characters!$A:$I,9,FALSE)</f>
        <v>5</v>
      </c>
      <c r="K340" s="7" t="str">
        <f>VLOOKUP(B340,[1]characters!$A:$H,8,FALSE)</f>
        <v>red</v>
      </c>
      <c r="L340" s="7" t="str">
        <f>VLOOKUP(B340,[1]characters!$A:$K,11,FALSE)</f>
        <v>attack</v>
      </c>
      <c r="M340" s="7" t="str">
        <f>VLOOKUP(B340,[1]characters!$A:$M,13,FALSE)</f>
        <v>human</v>
      </c>
      <c r="N340" s="7">
        <f>VLOOKUP(B340,[1]characters!$A:$G,7,FALSE)</f>
        <v>0</v>
      </c>
      <c r="O340" s="38">
        <f ca="1">IFERROR(VLOOKUP(B340,input_498104!L:R,7,FALSE),VLOOKUP(tables_498104!C340,input_498104!A:H,8,FALSE))</f>
        <v>68116.666670000006</v>
      </c>
      <c r="P340" s="39">
        <f t="shared" ca="1" si="16"/>
        <v>5.9397163123401839E-4</v>
      </c>
      <c r="Q340" s="24">
        <v>1</v>
      </c>
      <c r="R340" s="24">
        <v>0</v>
      </c>
      <c r="S340" s="24">
        <v>0</v>
      </c>
      <c r="T340" s="24">
        <v>0</v>
      </c>
      <c r="U340" s="24">
        <v>0</v>
      </c>
      <c r="V340" s="24">
        <v>1</v>
      </c>
    </row>
    <row r="341" spans="1:22" ht="21" customHeight="1" x14ac:dyDescent="0.15">
      <c r="A341" s="2" t="str">
        <f ca="1">input_498104!A$2</f>
        <v>498104</v>
      </c>
      <c r="B341" s="1">
        <v>1250</v>
      </c>
      <c r="C341" s="7" t="str">
        <f t="shared" si="15"/>
        <v>PremiumSS5R5only</v>
      </c>
      <c r="D341" s="89" t="str">
        <f t="shared" si="17"/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真田幸村</v>
      </c>
      <c r="I341" s="7" t="str">
        <f>VLOOKUP(B341,[1]characters!$A:$J,10,FALSE)</f>
        <v>PremiumSSw</v>
      </c>
      <c r="J341" s="7">
        <f>VLOOKUP(B341,[1]characters!$A:$I,9,FALSE)</f>
        <v>5</v>
      </c>
      <c r="K341" s="7" t="str">
        <f>VLOOKUP(B341,[1]characters!$A:$H,8,FALSE)</f>
        <v>yellow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38">
        <f ca="1">IFERROR(VLOOKUP(B341,input_498104!L:R,7,FALSE),VLOOKUP(tables_498104!C341,input_498104!A:H,8,FALSE))</f>
        <v>109336.84211</v>
      </c>
      <c r="P341" s="39">
        <f t="shared" ca="1" si="16"/>
        <v>9.5340811048018066E-4</v>
      </c>
      <c r="Q341" s="24">
        <v>1</v>
      </c>
      <c r="R341" s="24">
        <v>0</v>
      </c>
      <c r="S341" s="24">
        <v>0</v>
      </c>
      <c r="T341" s="24">
        <v>0</v>
      </c>
      <c r="U341" s="24">
        <v>0</v>
      </c>
      <c r="V341" s="24">
        <v>1</v>
      </c>
    </row>
    <row r="342" spans="1:22" ht="21" customHeight="1" x14ac:dyDescent="0.15">
      <c r="A342" s="2" t="str">
        <f ca="1">input_498104!A$2</f>
        <v>498104</v>
      </c>
      <c r="B342" s="1">
        <v>1244</v>
      </c>
      <c r="C342" s="7" t="str">
        <f t="shared" si="15"/>
        <v>PremiumSS5R5only</v>
      </c>
      <c r="D342" s="89" t="str">
        <f t="shared" si="17"/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/>
      <c r="H342" s="7" t="str">
        <f>VLOOKUP(B342,[1]characters!$A:$C,3,FALSE)</f>
        <v>猿飛佐助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red</v>
      </c>
      <c r="L342" s="7" t="str">
        <f>VLOOKUP(B342,[1]characters!$A:$K,11,FALSE)</f>
        <v>attack</v>
      </c>
      <c r="M342" s="7" t="str">
        <f>VLOOKUP(B342,[1]characters!$A:$M,13,FALSE)</f>
        <v>human</v>
      </c>
      <c r="N342" s="7">
        <f>VLOOKUP(B342,[1]characters!$A:$G,7,FALSE)</f>
        <v>0</v>
      </c>
      <c r="O342" s="38">
        <f ca="1">IFERROR(VLOOKUP(B342,input_498104!L:R,7,FALSE),VLOOKUP(tables_498104!C342,input_498104!A:H,8,FALSE))</f>
        <v>109336.84211</v>
      </c>
      <c r="P342" s="39">
        <f t="shared" ca="1" si="16"/>
        <v>9.5340811048018066E-4</v>
      </c>
      <c r="Q342" s="24">
        <v>1</v>
      </c>
      <c r="R342" s="24">
        <v>0</v>
      </c>
      <c r="S342" s="24">
        <v>0</v>
      </c>
      <c r="T342" s="24">
        <v>0</v>
      </c>
      <c r="U342" s="24">
        <v>0</v>
      </c>
      <c r="V342" s="24">
        <v>1</v>
      </c>
    </row>
    <row r="343" spans="1:22" ht="21" customHeight="1" x14ac:dyDescent="0.15">
      <c r="A343" s="2" t="str">
        <f ca="1">input_498104!A$2</f>
        <v>498104</v>
      </c>
      <c r="B343" s="1">
        <v>1246</v>
      </c>
      <c r="C343" s="7" t="str">
        <f t="shared" si="15"/>
        <v>PremiumSS5R5only</v>
      </c>
      <c r="D343" s="89" t="str">
        <f t="shared" si="17"/>
        <v>PremiumSS</v>
      </c>
      <c r="E343" s="7" t="str">
        <f>IF(COUNTIF('R6追加前'!A:A,B343)=0,IF(OR(I343="PremiumSS",I343="PremiumSSw"),"R5only","R3less"),"")</f>
        <v>R5only</v>
      </c>
      <c r="F343" s="7" t="str">
        <f>IF(COUNTIF('R6開放'!A:A,B343)&gt;0,"R6release","")</f>
        <v/>
      </c>
      <c r="G343" s="7"/>
      <c r="H343" s="7" t="str">
        <f>VLOOKUP(B343,[1]characters!$A:$C,3,FALSE)</f>
        <v>望月千代女</v>
      </c>
      <c r="I343" s="7" t="str">
        <f>VLOOKUP(B343,[1]characters!$A:$J,10,FALSE)</f>
        <v>PremiumSS</v>
      </c>
      <c r="J343" s="7">
        <f>VLOOKUP(B343,[1]characters!$A:$I,9,FALSE)</f>
        <v>5</v>
      </c>
      <c r="K343" s="7" t="str">
        <f>VLOOKUP(B343,[1]characters!$A:$H,8,FALSE)</f>
        <v>green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38">
        <f ca="1">IFERROR(VLOOKUP(B343,input_498104!L:R,7,FALSE),VLOOKUP(tables_498104!C343,input_498104!A:H,8,FALSE))</f>
        <v>109336.84211</v>
      </c>
      <c r="P343" s="39">
        <f t="shared" ca="1" si="16"/>
        <v>9.5340811048018066E-4</v>
      </c>
      <c r="Q343" s="24">
        <v>1</v>
      </c>
      <c r="R343" s="24">
        <v>0</v>
      </c>
      <c r="S343" s="24">
        <v>0</v>
      </c>
      <c r="T343" s="24">
        <v>0</v>
      </c>
      <c r="U343" s="24">
        <v>0</v>
      </c>
      <c r="V343" s="24">
        <v>1</v>
      </c>
    </row>
    <row r="344" spans="1:22" ht="21" customHeight="1" x14ac:dyDescent="0.15">
      <c r="A344" s="2" t="str">
        <f ca="1">input_498104!A$2</f>
        <v>498104</v>
      </c>
      <c r="B344" s="1">
        <v>1248</v>
      </c>
      <c r="C344" s="7" t="str">
        <f t="shared" si="15"/>
        <v>Premium4R3less</v>
      </c>
      <c r="D344" s="89" t="str">
        <f t="shared" si="17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/>
      <c r="H344" s="7" t="str">
        <f>VLOOKUP(B344,[1]characters!$A:$C,3,FALSE)</f>
        <v>寧々</v>
      </c>
      <c r="I344" s="7" t="str">
        <f>VLOOKUP(B344,[1]characters!$A:$J,10,FALSE)</f>
        <v>PremiumS</v>
      </c>
      <c r="J344" s="7">
        <f>VLOOKUP(B344,[1]characters!$A:$I,9,FALSE)</f>
        <v>4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38">
        <f ca="1">IFERROR(VLOOKUP(B344,input_498104!L:R,7,FALSE),VLOOKUP(tables_498104!C344,input_498104!A:H,8,FALSE))</f>
        <v>1068177.7777799999</v>
      </c>
      <c r="P344" s="39">
        <f t="shared" ca="1" si="16"/>
        <v>9.3144208037905622E-3</v>
      </c>
      <c r="Q344" s="24">
        <v>1</v>
      </c>
      <c r="R344" s="24">
        <v>0</v>
      </c>
      <c r="S344" s="24">
        <v>0</v>
      </c>
      <c r="T344" s="24">
        <v>0</v>
      </c>
      <c r="U344" s="24">
        <v>0</v>
      </c>
      <c r="V344" s="24">
        <v>1</v>
      </c>
    </row>
    <row r="345" spans="1:22" ht="21" customHeight="1" x14ac:dyDescent="0.15">
      <c r="A345" s="2" t="str">
        <f ca="1">input_498104!A$2</f>
        <v>498104</v>
      </c>
      <c r="B345" s="1">
        <v>1249</v>
      </c>
      <c r="C345" s="7" t="str">
        <f t="shared" si="15"/>
        <v>Premium5R3less</v>
      </c>
      <c r="D345" s="89" t="str">
        <f t="shared" si="17"/>
        <v>Premium</v>
      </c>
      <c r="E345" s="7" t="str">
        <f>IF(COUNTIF('R6追加前'!A:A,B345)=0,IF(OR(I345="PremiumSS",I345="PremiumSSw"),"R5only","R3less"),"")</f>
        <v>R3less</v>
      </c>
      <c r="F345" s="7" t="str">
        <f>IF(COUNTIF('R6開放'!A:A,B345)&gt;0,"R6release","")</f>
        <v/>
      </c>
      <c r="G345" s="7"/>
      <c r="H345" s="7" t="str">
        <f>VLOOKUP(B345,[1]characters!$A:$C,3,FALSE)</f>
        <v>君臨する姐御様 寧々</v>
      </c>
      <c r="I345" s="7" t="str">
        <f>VLOOKUP(B345,[1]characters!$A:$J,10,FALSE)</f>
        <v>PremiumS</v>
      </c>
      <c r="J345" s="7">
        <f>VLOOKUP(B345,[1]characters!$A:$I,9,FALSE)</f>
        <v>5</v>
      </c>
      <c r="K345" s="7" t="str">
        <f>VLOOKUP(B345,[1]characters!$A:$H,8,FALSE)</f>
        <v>blue</v>
      </c>
      <c r="L345" s="7" t="str">
        <f>VLOOKUP(B345,[1]characters!$A:$K,11,FALSE)</f>
        <v>heal</v>
      </c>
      <c r="M345" s="7" t="str">
        <f>VLOOKUP(B345,[1]characters!$A:$M,13,FALSE)</f>
        <v>human</v>
      </c>
      <c r="N345" s="7">
        <f>VLOOKUP(B345,[1]characters!$A:$G,7,FALSE)</f>
        <v>0</v>
      </c>
      <c r="O345" s="38">
        <f ca="1">IFERROR(VLOOKUP(B345,input_498104!L:R,7,FALSE),VLOOKUP(tables_498104!C345,input_498104!A:H,8,FALSE))</f>
        <v>68116.666670000006</v>
      </c>
      <c r="P345" s="39">
        <f t="shared" ca="1" si="16"/>
        <v>5.9397163123401839E-4</v>
      </c>
      <c r="Q345" s="24">
        <v>1</v>
      </c>
      <c r="R345" s="24">
        <v>0</v>
      </c>
      <c r="S345" s="24">
        <v>0</v>
      </c>
      <c r="T345" s="24">
        <v>0</v>
      </c>
      <c r="U345" s="24">
        <v>0</v>
      </c>
      <c r="V345" s="24">
        <v>1</v>
      </c>
    </row>
    <row r="346" spans="1:22" ht="21" customHeight="1" x14ac:dyDescent="0.15">
      <c r="A346" s="2" t="str">
        <f ca="1">input_498104!A$2</f>
        <v>498104</v>
      </c>
      <c r="B346" s="1">
        <v>953</v>
      </c>
      <c r="C346" s="7" t="str">
        <f t="shared" si="15"/>
        <v>PremiumSSS5R3less</v>
      </c>
      <c r="D346" s="89" t="str">
        <f t="shared" si="17"/>
        <v>PremiumSSS</v>
      </c>
      <c r="E346" s="7" t="str">
        <f>IF(COUNTIF('R6追加前'!A:A,B346)=0,IF(OR(I346="PremiumSS",I346="PremiumSSw"),"R5only","R3less"),"")</f>
        <v>R3less</v>
      </c>
      <c r="F346" s="7" t="str">
        <f>IF(COUNTIF('R6開放'!A:A,B346)&gt;0,"R6release","")</f>
        <v/>
      </c>
      <c r="G346" s="7"/>
      <c r="H346" s="7" t="str">
        <f>VLOOKUP(B346,[1]characters!$A:$C,3,FALSE)</f>
        <v>ハイゼンベルク</v>
      </c>
      <c r="I346" s="7" t="str">
        <f>VLOOKUP(B346,[1]characters!$A:$J,10,FALSE)</f>
        <v>PremiumSSS</v>
      </c>
      <c r="J346" s="7">
        <f>VLOOKUP(B346,[1]characters!$A:$I,9,FALSE)</f>
        <v>5</v>
      </c>
      <c r="K346" s="7" t="str">
        <f>VLOOKUP(B346,[1]characters!$A:$H,8,FALSE)</f>
        <v>green</v>
      </c>
      <c r="L346" s="7" t="str">
        <f>VLOOKUP(B346,[1]characters!$A:$K,11,FALSE)</f>
        <v>attack</v>
      </c>
      <c r="M346" s="7" t="str">
        <f>VLOOKUP(B346,[1]characters!$A:$M,13,FALSE)</f>
        <v>academia</v>
      </c>
      <c r="N346" s="7" t="str">
        <f>VLOOKUP(B346,[1]characters!$A:$G,7,FALSE)</f>
        <v>男性</v>
      </c>
      <c r="O346" s="38">
        <f>IFERROR(VLOOKUP(B346,input_498104!L:R,7,FALSE),VLOOKUP(tables_498104!C346,input_498104!A:H,8,FALSE))</f>
        <v>458720</v>
      </c>
      <c r="P346" s="39">
        <f t="shared" ca="1" si="16"/>
        <v>3.9999999999951385E-3</v>
      </c>
      <c r="Q346" s="24">
        <v>1</v>
      </c>
      <c r="R346" s="24">
        <v>0</v>
      </c>
      <c r="S346" s="24">
        <v>0</v>
      </c>
      <c r="T346" s="24">
        <v>0</v>
      </c>
      <c r="U346" s="24">
        <v>0</v>
      </c>
      <c r="V346" s="24">
        <v>1</v>
      </c>
    </row>
    <row r="347" spans="1:22" ht="21" customHeight="1" x14ac:dyDescent="0.15">
      <c r="A347" s="2" t="str">
        <f ca="1">input_498104!A$2</f>
        <v>498104</v>
      </c>
      <c r="B347" s="1">
        <v>619</v>
      </c>
      <c r="C347" s="7" t="str">
        <f t="shared" si="15"/>
        <v>PremiumSSS4R3less</v>
      </c>
      <c r="D347" s="89" t="str">
        <f t="shared" si="17"/>
        <v>PremiumSSS</v>
      </c>
      <c r="E347" s="7" t="str">
        <f>IF(COUNTIF('R6追加前'!A:A,B347)=0,IF(OR(I347="PremiumSS",I347="PremiumSSw"),"R5only","R3less"),"")</f>
        <v>R3less</v>
      </c>
      <c r="F347" s="7" t="str">
        <f>IF(COUNTIF('R6開放'!A:A,B347)&gt;0,"R6release","")</f>
        <v/>
      </c>
      <c r="G347" s="7"/>
      <c r="H347" s="7" t="str">
        <f>VLOOKUP(B347,[1]characters!$A:$C,3,FALSE)</f>
        <v>メビウス</v>
      </c>
      <c r="I347" s="7" t="str">
        <f>VLOOKUP(B347,[1]characters!$A:$J,10,FALSE)</f>
        <v>PremiumSSS</v>
      </c>
      <c r="J347" s="7">
        <f>VLOOKUP(B347,[1]characters!$A:$I,9,FALSE)</f>
        <v>4</v>
      </c>
      <c r="K347" s="7" t="str">
        <f>VLOOKUP(B347,[1]characters!$A:$H,8,FALSE)</f>
        <v>blue</v>
      </c>
      <c r="L347" s="7" t="str">
        <f>VLOOKUP(B347,[1]characters!$A:$K,11,FALSE)</f>
        <v>balance</v>
      </c>
      <c r="M347" s="7" t="str">
        <f>VLOOKUP(B347,[1]characters!$A:$M,13,FALSE)</f>
        <v>human</v>
      </c>
      <c r="N347" s="7" t="str">
        <f>VLOOKUP(B347,[1]characters!$A:$G,7,FALSE)</f>
        <v>女性</v>
      </c>
      <c r="O347" s="38">
        <f>IFERROR(VLOOKUP(B347,input_498104!L:R,7,FALSE),VLOOKUP(tables_498104!C347,input_498104!A:H,8,FALSE))</f>
        <v>229360</v>
      </c>
      <c r="P347" s="39">
        <f t="shared" ca="1" si="16"/>
        <v>1.9999999999975693E-3</v>
      </c>
      <c r="Q347" s="24">
        <v>1</v>
      </c>
      <c r="R347" s="24">
        <v>0</v>
      </c>
      <c r="S347" s="24">
        <v>0</v>
      </c>
      <c r="T347" s="24">
        <v>0</v>
      </c>
      <c r="U347" s="24">
        <v>0</v>
      </c>
      <c r="V347" s="24">
        <v>1</v>
      </c>
    </row>
    <row r="348" spans="1:22" ht="21" customHeight="1" x14ac:dyDescent="0.15">
      <c r="A348" s="2" t="str">
        <f ca="1">input_498104!A$2</f>
        <v>498104</v>
      </c>
      <c r="B348" s="1">
        <v>620</v>
      </c>
      <c r="C348" s="7" t="str">
        <f t="shared" si="15"/>
        <v>PremiumSSS5R3less</v>
      </c>
      <c r="D348" s="89" t="str">
        <f t="shared" si="17"/>
        <v>PremiumSSS</v>
      </c>
      <c r="E348" s="7" t="str">
        <f>IF(COUNTIF('R6追加前'!A:A,B348)=0,IF(OR(I348="PremiumSS",I348="PremiumSSw"),"R5only","R3less"),"")</f>
        <v>R3less</v>
      </c>
      <c r="F348" s="7" t="str">
        <f>IF(COUNTIF('R6開放'!A:A,B348)&gt;0,"R6release","")</f>
        <v/>
      </c>
      <c r="G348" s="7"/>
      <c r="H348" s="7" t="str">
        <f>VLOOKUP(B348,[1]characters!$A:$C,3,FALSE)</f>
        <v>奇跡の調和 メビウス</v>
      </c>
      <c r="I348" s="7" t="str">
        <f>VLOOKUP(B348,[1]characters!$A:$J,10,FALSE)</f>
        <v>PremiumSSS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balance</v>
      </c>
      <c r="M348" s="7" t="str">
        <f>VLOOKUP(B348,[1]characters!$A:$M,13,FALSE)</f>
        <v>human</v>
      </c>
      <c r="N348" s="7" t="str">
        <f>VLOOKUP(B348,[1]characters!$A:$G,7,FALSE)</f>
        <v>女性</v>
      </c>
      <c r="O348" s="38">
        <f>IFERROR(VLOOKUP(B348,input_498104!L:R,7,FALSE),VLOOKUP(tables_498104!C348,input_498104!A:H,8,FALSE))</f>
        <v>229360</v>
      </c>
      <c r="P348" s="39">
        <f t="shared" ca="1" si="16"/>
        <v>1.9999999999975693E-3</v>
      </c>
      <c r="Q348" s="24">
        <v>1</v>
      </c>
      <c r="R348" s="24">
        <v>0</v>
      </c>
      <c r="S348" s="24">
        <v>0</v>
      </c>
      <c r="T348" s="24">
        <v>0</v>
      </c>
      <c r="U348" s="24">
        <v>0</v>
      </c>
      <c r="V348" s="24">
        <v>1</v>
      </c>
    </row>
    <row r="349" spans="1:22" ht="21" customHeight="1" x14ac:dyDescent="0.15">
      <c r="A349" s="2" t="str">
        <f ca="1">input_498104!A$2</f>
        <v>498104</v>
      </c>
      <c r="B349" s="1">
        <v>880</v>
      </c>
      <c r="C349" s="7" t="str">
        <f t="shared" si="15"/>
        <v>PremiumSSS5R3less</v>
      </c>
      <c r="D349" s="89" t="str">
        <f t="shared" si="17"/>
        <v>PremiumSSS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ハーシェル</v>
      </c>
      <c r="I349" s="7" t="str">
        <f>VLOOKUP(B349,[1]characters!$A:$J,10,FALSE)</f>
        <v>PremiumSSS</v>
      </c>
      <c r="J349" s="7">
        <f>VLOOKUP(B349,[1]characters!$A:$I,9,FALSE)</f>
        <v>5</v>
      </c>
      <c r="K349" s="7" t="str">
        <f>VLOOKUP(B349,[1]characters!$A:$H,8,FALSE)</f>
        <v>yellow</v>
      </c>
      <c r="L349" s="7" t="str">
        <f>VLOOKUP(B349,[1]characters!$A:$K,11,FALSE)</f>
        <v>heal</v>
      </c>
      <c r="M349" s="7" t="str">
        <f>VLOOKUP(B349,[1]characters!$A:$M,13,FALSE)</f>
        <v>academia</v>
      </c>
      <c r="N349" s="7" t="str">
        <f>VLOOKUP(B349,[1]characters!$A:$G,7,FALSE)</f>
        <v>男性</v>
      </c>
      <c r="O349" s="38">
        <f>IFERROR(VLOOKUP(B349,input_498104!L:R,7,FALSE),VLOOKUP(tables_498104!C349,input_498104!A:H,8,FALSE))</f>
        <v>458720</v>
      </c>
      <c r="P349" s="39">
        <f t="shared" ca="1" si="16"/>
        <v>3.9999999999951385E-3</v>
      </c>
      <c r="Q349" s="24">
        <v>1</v>
      </c>
      <c r="R349" s="24">
        <v>0</v>
      </c>
      <c r="S349" s="24">
        <v>0</v>
      </c>
      <c r="T349" s="24">
        <v>0</v>
      </c>
      <c r="U349" s="24">
        <v>0</v>
      </c>
      <c r="V349" s="24">
        <v>1</v>
      </c>
    </row>
    <row r="350" spans="1:22" ht="21" customHeight="1" x14ac:dyDescent="0.15">
      <c r="A350" s="2" t="str">
        <f ca="1">input_498104!A$2</f>
        <v>498104</v>
      </c>
      <c r="B350" s="1">
        <v>623</v>
      </c>
      <c r="C350" s="7" t="str">
        <f t="shared" si="15"/>
        <v>PremiumSSS5R3less</v>
      </c>
      <c r="D350" s="89" t="str">
        <f t="shared" si="17"/>
        <v>PremiumSSS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フェルマー</v>
      </c>
      <c r="I350" s="7" t="str">
        <f>VLOOKUP(B350,[1]characters!$A:$J,10,FALSE)</f>
        <v>PremiumSSS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attack</v>
      </c>
      <c r="M350" s="7" t="str">
        <f>VLOOKUP(B350,[1]characters!$A:$M,13,FALSE)</f>
        <v>academia</v>
      </c>
      <c r="N350" s="7" t="str">
        <f>VLOOKUP(B350,[1]characters!$A:$G,7,FALSE)</f>
        <v>女性</v>
      </c>
      <c r="O350" s="38">
        <f>IFERROR(VLOOKUP(B350,input_498104!L:R,7,FALSE),VLOOKUP(tables_498104!C350,input_498104!A:H,8,FALSE))</f>
        <v>458720</v>
      </c>
      <c r="P350" s="39">
        <f t="shared" ca="1" si="16"/>
        <v>3.9999999999951385E-3</v>
      </c>
      <c r="Q350" s="24">
        <v>1</v>
      </c>
      <c r="R350" s="24">
        <v>0</v>
      </c>
      <c r="S350" s="24">
        <v>0</v>
      </c>
      <c r="T350" s="24">
        <v>0</v>
      </c>
      <c r="U350" s="24">
        <v>0</v>
      </c>
      <c r="V350" s="24">
        <v>1</v>
      </c>
    </row>
    <row r="351" spans="1:22" ht="21" customHeight="1" x14ac:dyDescent="0.15">
      <c r="A351" s="2" t="str">
        <f ca="1">input_498104!A$2</f>
        <v>498104</v>
      </c>
      <c r="B351" s="53">
        <v>972</v>
      </c>
      <c r="C351" s="7" t="str">
        <f t="shared" si="15"/>
        <v>PremiumSSS5R3less</v>
      </c>
      <c r="D351" s="89" t="str">
        <f t="shared" si="17"/>
        <v>PremiumSSS</v>
      </c>
      <c r="E351" s="7" t="str">
        <f>IF(COUNTIF('R6追加前'!A:A,B351)=0,IF(OR(I351="PremiumSS",I351="PremiumSSw"),"R5only","R3less"),"")</f>
        <v>R3less</v>
      </c>
      <c r="F351" s="7" t="str">
        <f>IF(COUNTIF('R6開放'!A:A,B351)&gt;0,"R6release","")</f>
        <v/>
      </c>
      <c r="G351" s="7"/>
      <c r="H351" s="7" t="str">
        <f>VLOOKUP(B351,[1]characters!$A:$C,3,FALSE)</f>
        <v>コーシー</v>
      </c>
      <c r="I351" s="7" t="str">
        <f>VLOOKUP(B351,[1]characters!$A:$J,10,FALSE)</f>
        <v>PremiumSSS</v>
      </c>
      <c r="J351" s="7">
        <f>VLOOKUP(B351,[1]characters!$A:$I,9,FALSE)</f>
        <v>5</v>
      </c>
      <c r="K351" s="7" t="str">
        <f>VLOOKUP(B351,[1]characters!$A:$H,8,FALSE)</f>
        <v>red</v>
      </c>
      <c r="L351" s="7" t="str">
        <f>VLOOKUP(B351,[1]characters!$A:$K,11,FALSE)</f>
        <v>attack</v>
      </c>
      <c r="M351" s="7" t="str">
        <f>VLOOKUP(B351,[1]characters!$A:$M,13,FALSE)</f>
        <v>academia</v>
      </c>
      <c r="N351" s="7" t="str">
        <f>VLOOKUP(B351,[1]characters!$A:$G,7,FALSE)</f>
        <v>男性</v>
      </c>
      <c r="O351" s="38">
        <f>IFERROR(VLOOKUP(B351,input_498104!L:R,7,FALSE),VLOOKUP(tables_498104!C351,input_498104!A:H,8,FALSE))</f>
        <v>458720</v>
      </c>
      <c r="P351" s="39">
        <f t="shared" ca="1" si="16"/>
        <v>3.9999999999951385E-3</v>
      </c>
      <c r="Q351" s="24">
        <v>1</v>
      </c>
      <c r="R351" s="24">
        <v>0</v>
      </c>
      <c r="S351" s="24">
        <v>0</v>
      </c>
      <c r="T351" s="24">
        <v>0</v>
      </c>
      <c r="U351" s="24">
        <v>0</v>
      </c>
      <c r="V351" s="24">
        <v>1</v>
      </c>
    </row>
  </sheetData>
  <autoFilter ref="A1:V294"/>
  <phoneticPr fontId="16"/>
  <pageMargins left="0.75" right="0.75" top="1" bottom="1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V49"/>
  <sheetViews>
    <sheetView workbookViewId="0">
      <selection activeCell="H50" sqref="H50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1" t="s">
        <v>66</v>
      </c>
      <c r="B1" s="41"/>
      <c r="L1" s="31" t="s">
        <v>45</v>
      </c>
      <c r="M1" s="31"/>
      <c r="U1" t="s">
        <v>45</v>
      </c>
    </row>
    <row r="2" spans="1:22" x14ac:dyDescent="0.15">
      <c r="A2" t="str">
        <f ca="1">RIGHT(RIGHT(CELL("filename",A2),LEN(CELL("filename",A2))-FIND("]",CELL("filename",A2))),6)</f>
        <v>498100</v>
      </c>
      <c r="L2" s="26" t="s">
        <v>1</v>
      </c>
      <c r="M2" s="30" t="s">
        <v>49</v>
      </c>
      <c r="N2" s="26" t="s">
        <v>47</v>
      </c>
      <c r="O2" s="30" t="s">
        <v>50</v>
      </c>
      <c r="P2" s="30" t="s">
        <v>51</v>
      </c>
      <c r="Q2" s="30" t="s">
        <v>48</v>
      </c>
      <c r="R2" s="37" t="s">
        <v>57</v>
      </c>
      <c r="U2" s="26" t="s">
        <v>172</v>
      </c>
      <c r="V2" s="47">
        <f t="shared" ref="V2:V16" si="0">SUMIF(Q:Q,U2,N:N)</f>
        <v>0</v>
      </c>
    </row>
    <row r="3" spans="1:22" x14ac:dyDescent="0.15">
      <c r="H3" s="66" t="s">
        <v>193</v>
      </c>
      <c r="L3" s="1">
        <v>953</v>
      </c>
      <c r="M3" s="30" t="str">
        <f>VLOOKUP(L3,[1]characters!$A:$C,3,FALSE)</f>
        <v>ハイゼンベルク</v>
      </c>
      <c r="N3" s="56">
        <v>6.0000000000000001E-3</v>
      </c>
      <c r="O3" s="30">
        <f>VLOOKUP(L3,[1]characters!$A:$I,9,FALSE)</f>
        <v>5</v>
      </c>
      <c r="P3" s="30" t="str">
        <f>VLOOKUP(L3,[1]characters!$A:$J,10,FALSE)</f>
        <v>PremiumSSS</v>
      </c>
      <c r="Q3" s="30" t="str">
        <f>VLOOKUP(L3,tables_498100!B:C,2,FALSE)</f>
        <v>PremiumSSS5R3less</v>
      </c>
      <c r="R3" s="55">
        <f t="shared" ref="R3:R20" si="1">N3*A$36</f>
        <v>688080</v>
      </c>
      <c r="S3">
        <v>190</v>
      </c>
      <c r="U3" s="26" t="s">
        <v>173</v>
      </c>
      <c r="V3" s="47">
        <f t="shared" si="0"/>
        <v>0</v>
      </c>
    </row>
    <row r="4" spans="1:22" x14ac:dyDescent="0.15">
      <c r="A4" s="27" t="s">
        <v>37</v>
      </c>
      <c r="B4" s="27"/>
      <c r="D4" t="s">
        <v>182</v>
      </c>
      <c r="F4" t="s">
        <v>185</v>
      </c>
      <c r="H4" t="s">
        <v>191</v>
      </c>
      <c r="I4" t="s">
        <v>192</v>
      </c>
      <c r="L4" s="1">
        <v>619</v>
      </c>
      <c r="M4" s="30" t="str">
        <f>VLOOKUP(L4,[1]characters!$A:$C,3,FALSE)</f>
        <v>メビウス</v>
      </c>
      <c r="N4" s="56">
        <v>3.0000000000000001E-3</v>
      </c>
      <c r="O4" s="30">
        <f>VLOOKUP(L4,[1]characters!$A:$I,9,FALSE)</f>
        <v>4</v>
      </c>
      <c r="P4" s="30" t="str">
        <f>VLOOKUP(L4,[1]characters!$A:$J,10,FALSE)</f>
        <v>PremiumSSS</v>
      </c>
      <c r="Q4" s="30" t="str">
        <f>VLOOKUP(L4,tables_498100!B:C,2,FALSE)</f>
        <v>PremiumSSS4R3less</v>
      </c>
      <c r="R4" s="55">
        <f t="shared" si="1"/>
        <v>344040</v>
      </c>
      <c r="S4">
        <v>191</v>
      </c>
      <c r="U4" s="26" t="s">
        <v>79</v>
      </c>
      <c r="V4" s="47">
        <f t="shared" si="0"/>
        <v>0</v>
      </c>
    </row>
    <row r="5" spans="1:22" x14ac:dyDescent="0.15">
      <c r="A5" s="26" t="s">
        <v>52</v>
      </c>
      <c r="B5" s="65">
        <v>0</v>
      </c>
      <c r="D5" t="s">
        <v>183</v>
      </c>
      <c r="E5" s="36">
        <f>(B11-H5)/(F5-I5)</f>
        <v>3.2786885245901645E-4</v>
      </c>
      <c r="F5">
        <f>(COUNTIF(tables_498100!C:C,input_498100!A28)+COUNTIF(tables_498100!C:C,input_498100!A29))</f>
        <v>66</v>
      </c>
      <c r="H5" s="77">
        <v>0.03</v>
      </c>
      <c r="I5" s="25">
        <v>5</v>
      </c>
      <c r="L5" s="1">
        <v>620</v>
      </c>
      <c r="M5" s="30" t="str">
        <f>VLOOKUP(L5,[1]characters!$A:$C,3,FALSE)</f>
        <v>奇跡の調和 メビウス</v>
      </c>
      <c r="N5" s="56">
        <v>3.0000000000000001E-3</v>
      </c>
      <c r="O5" s="30">
        <f>VLOOKUP(L5,[1]characters!$A:$I,9,FALSE)</f>
        <v>5</v>
      </c>
      <c r="P5" s="30" t="str">
        <f>VLOOKUP(L5,[1]characters!$A:$J,10,FALSE)</f>
        <v>PremiumSSS</v>
      </c>
      <c r="Q5" s="30" t="str">
        <f>VLOOKUP(L5,tables_498100!B:C,2,FALSE)</f>
        <v>PremiumSSS5R3less</v>
      </c>
      <c r="R5" s="55">
        <f t="shared" si="1"/>
        <v>344040</v>
      </c>
      <c r="S5">
        <v>192</v>
      </c>
      <c r="U5" s="26" t="s">
        <v>80</v>
      </c>
      <c r="V5" s="47">
        <f t="shared" si="0"/>
        <v>0</v>
      </c>
    </row>
    <row r="6" spans="1:22" x14ac:dyDescent="0.15">
      <c r="A6" s="26" t="s">
        <v>53</v>
      </c>
      <c r="B6" s="65">
        <v>0.9</v>
      </c>
      <c r="D6" t="s">
        <v>184</v>
      </c>
      <c r="E6" s="69">
        <f>(B10-H6)/(F6-I6)</f>
        <v>1.0106382978723403E-2</v>
      </c>
      <c r="F6">
        <f>(COUNTIF(tables_498100!C:C,input_498100!A25)+COUNTIF(tables_498100!C:C,input_498100!A18)+COUNTIF(tables_498100!C:C,input_498100!A20)+COUNTIF(tables_498100!C:C,input_498100!A22))</f>
        <v>94</v>
      </c>
      <c r="H6" s="81">
        <v>0</v>
      </c>
      <c r="I6" s="25">
        <v>0</v>
      </c>
      <c r="L6" s="1">
        <v>880</v>
      </c>
      <c r="M6" s="30" t="str">
        <f>VLOOKUP(L6,[1]characters!$A:$C,3,FALSE)</f>
        <v>ハーシェル</v>
      </c>
      <c r="N6" s="56">
        <v>6.0000000000000001E-3</v>
      </c>
      <c r="O6" s="30">
        <f>VLOOKUP(L6,[1]characters!$A:$I,9,FALSE)</f>
        <v>5</v>
      </c>
      <c r="P6" s="30" t="str">
        <f>VLOOKUP(L6,[1]characters!$A:$J,10,FALSE)</f>
        <v>PremiumSSS</v>
      </c>
      <c r="Q6" s="30" t="str">
        <f>VLOOKUP(L6,tables_498100!B:C,2,FALSE)</f>
        <v>PremiumSSS5R3less</v>
      </c>
      <c r="R6" s="55">
        <f t="shared" si="1"/>
        <v>688080</v>
      </c>
      <c r="S6">
        <v>596</v>
      </c>
      <c r="U6" s="26" t="s">
        <v>81</v>
      </c>
      <c r="V6" s="47">
        <f t="shared" si="0"/>
        <v>0</v>
      </c>
    </row>
    <row r="7" spans="1:22" x14ac:dyDescent="0.15">
      <c r="A7" s="26" t="s">
        <v>54</v>
      </c>
      <c r="B7" s="65">
        <v>0.1</v>
      </c>
      <c r="L7" s="1">
        <v>623</v>
      </c>
      <c r="M7" s="30" t="str">
        <f>VLOOKUP(L7,[1]characters!$A:$C,3,FALSE)</f>
        <v>フェルマー</v>
      </c>
      <c r="N7" s="56">
        <v>6.0000000000000001E-3</v>
      </c>
      <c r="O7" s="30">
        <f>VLOOKUP(L7,[1]characters!$A:$I,9,FALSE)</f>
        <v>5</v>
      </c>
      <c r="P7" s="30" t="str">
        <f>VLOOKUP(L7,[1]characters!$A:$J,10,FALSE)</f>
        <v>PremiumSSS</v>
      </c>
      <c r="Q7" s="30" t="str">
        <f>VLOOKUP(L7,tables_498100!B:C,2,FALSE)</f>
        <v>PremiumSSS5R3less</v>
      </c>
      <c r="R7" s="55">
        <f t="shared" si="1"/>
        <v>688080</v>
      </c>
      <c r="S7">
        <v>597</v>
      </c>
      <c r="U7" s="26" t="s">
        <v>178</v>
      </c>
      <c r="V7" s="47">
        <f t="shared" si="0"/>
        <v>0</v>
      </c>
    </row>
    <row r="8" spans="1:22" x14ac:dyDescent="0.15">
      <c r="A8" s="50"/>
      <c r="B8" s="64"/>
      <c r="E8" s="69"/>
      <c r="L8" s="53">
        <v>972</v>
      </c>
      <c r="M8" s="30" t="str">
        <f>VLOOKUP(L8,[1]characters!$A:$C,3,FALSE)</f>
        <v>コーシー</v>
      </c>
      <c r="N8" s="56">
        <v>6.0000000000000001E-3</v>
      </c>
      <c r="O8" s="30">
        <f>VLOOKUP(L8,[1]characters!$A:$I,9,FALSE)</f>
        <v>5</v>
      </c>
      <c r="P8" s="30" t="str">
        <f>VLOOKUP(L8,[1]characters!$A:$J,10,FALSE)</f>
        <v>PremiumSSS</v>
      </c>
      <c r="Q8" s="30" t="str">
        <f>VLOOKUP(L8,tables_498100!B:C,2,FALSE)</f>
        <v>PremiumSSS5R3less</v>
      </c>
      <c r="R8" s="55">
        <f t="shared" si="1"/>
        <v>688080</v>
      </c>
      <c r="S8">
        <v>598</v>
      </c>
      <c r="U8" s="26" t="s">
        <v>179</v>
      </c>
      <c r="V8" s="47">
        <f t="shared" si="0"/>
        <v>0</v>
      </c>
    </row>
    <row r="9" spans="1:22" x14ac:dyDescent="0.15">
      <c r="A9" s="28" t="s">
        <v>38</v>
      </c>
      <c r="B9" s="28"/>
      <c r="L9" s="80"/>
      <c r="M9" s="30" t="e">
        <f>VLOOKUP(L9,[1]characters!$A:$C,3,FALSE)</f>
        <v>#N/A</v>
      </c>
      <c r="N9" s="56"/>
      <c r="O9" s="30" t="e">
        <f>VLOOKUP(L9,[1]characters!$A:$I,9,FALSE)</f>
        <v>#N/A</v>
      </c>
      <c r="P9" s="30" t="e">
        <f>VLOOKUP(L9,[1]characters!$A:$J,10,FALSE)</f>
        <v>#N/A</v>
      </c>
      <c r="Q9" s="30" t="e">
        <f>VLOOKUP(L9,tables_498100!B:C,2,FALSE)</f>
        <v>#N/A</v>
      </c>
      <c r="R9" s="55">
        <f t="shared" si="1"/>
        <v>0</v>
      </c>
      <c r="S9">
        <v>390</v>
      </c>
      <c r="U9" s="26" t="s">
        <v>175</v>
      </c>
      <c r="V9" s="47">
        <f t="shared" si="0"/>
        <v>0</v>
      </c>
    </row>
    <row r="10" spans="1:22" x14ac:dyDescent="0.15">
      <c r="A10" s="26" t="s">
        <v>78</v>
      </c>
      <c r="B10" s="65">
        <f>1-B11-B12</f>
        <v>0.95</v>
      </c>
      <c r="C10" t="s">
        <v>190</v>
      </c>
      <c r="L10" s="80"/>
      <c r="M10" s="30" t="e">
        <f>VLOOKUP(L10,[1]characters!$A:$C,3,FALSE)</f>
        <v>#N/A</v>
      </c>
      <c r="N10" s="56"/>
      <c r="O10" s="30" t="e">
        <f>VLOOKUP(L10,[1]characters!$A:$I,9,FALSE)</f>
        <v>#N/A</v>
      </c>
      <c r="P10" s="30" t="e">
        <f>VLOOKUP(L10,[1]characters!$A:$J,10,FALSE)</f>
        <v>#N/A</v>
      </c>
      <c r="Q10" s="30" t="e">
        <f>VLOOKUP(L10,tables_498100!B:C,2,FALSE)</f>
        <v>#N/A</v>
      </c>
      <c r="R10" s="55">
        <f t="shared" si="1"/>
        <v>0</v>
      </c>
      <c r="S10">
        <v>391</v>
      </c>
      <c r="U10" s="26" t="s">
        <v>176</v>
      </c>
      <c r="V10" s="47">
        <f t="shared" si="0"/>
        <v>0</v>
      </c>
    </row>
    <row r="11" spans="1:22" x14ac:dyDescent="0.15">
      <c r="A11" s="26" t="s">
        <v>40</v>
      </c>
      <c r="B11" s="70">
        <v>0.05</v>
      </c>
      <c r="C11" t="s">
        <v>223</v>
      </c>
      <c r="M11" s="30" t="e">
        <f>VLOOKUP(L11,[1]characters!$A:$C,3,FALSE)</f>
        <v>#N/A</v>
      </c>
      <c r="N11" s="56"/>
      <c r="O11" s="30" t="e">
        <f>VLOOKUP(L11,[1]characters!$A:$I,9,FALSE)</f>
        <v>#N/A</v>
      </c>
      <c r="P11" s="30" t="e">
        <f>VLOOKUP(L11,[1]characters!$A:$J,10,FALSE)</f>
        <v>#N/A</v>
      </c>
      <c r="Q11" s="30" t="e">
        <f>VLOOKUP(L11,tables_498100!B:C,2,FALSE)</f>
        <v>#N/A</v>
      </c>
      <c r="R11" s="55">
        <f t="shared" si="1"/>
        <v>0</v>
      </c>
      <c r="S11">
        <v>811</v>
      </c>
      <c r="U11" s="26" t="s">
        <v>177</v>
      </c>
      <c r="V11" s="47">
        <f t="shared" si="0"/>
        <v>0</v>
      </c>
    </row>
    <row r="12" spans="1:22" x14ac:dyDescent="0.15">
      <c r="A12" s="26" t="s">
        <v>39</v>
      </c>
      <c r="B12" s="65">
        <v>0</v>
      </c>
      <c r="M12" s="30" t="e">
        <f>VLOOKUP(L12,[1]characters!$A:$C,3,FALSE)</f>
        <v>#N/A</v>
      </c>
      <c r="N12" s="56"/>
      <c r="O12" s="30" t="e">
        <f>VLOOKUP(L12,[1]characters!$A:$I,9,FALSE)</f>
        <v>#N/A</v>
      </c>
      <c r="P12" s="30" t="e">
        <f>VLOOKUP(L12,[1]characters!$A:$J,10,FALSE)</f>
        <v>#N/A</v>
      </c>
      <c r="Q12" s="30" t="e">
        <f>VLOOKUP(L12,tables_498100!B:C,2,FALSE)</f>
        <v>#N/A</v>
      </c>
      <c r="R12" s="55">
        <f t="shared" si="1"/>
        <v>0</v>
      </c>
      <c r="S12">
        <v>496</v>
      </c>
      <c r="U12" s="26" t="s">
        <v>88</v>
      </c>
      <c r="V12" s="47">
        <f t="shared" si="0"/>
        <v>0</v>
      </c>
    </row>
    <row r="13" spans="1:22" x14ac:dyDescent="0.15">
      <c r="M13" s="30" t="e">
        <f>VLOOKUP(L13,[1]characters!$A:$C,3,FALSE)</f>
        <v>#N/A</v>
      </c>
      <c r="N13" s="56"/>
      <c r="O13" s="30" t="e">
        <f>VLOOKUP(L13,[1]characters!$A:$I,9,FALSE)</f>
        <v>#N/A</v>
      </c>
      <c r="P13" s="30" t="e">
        <f>VLOOKUP(L13,[1]characters!$A:$J,10,FALSE)</f>
        <v>#N/A</v>
      </c>
      <c r="Q13" s="30" t="e">
        <f>VLOOKUP(L13,tables_498100!B:C,2,FALSE)</f>
        <v>#N/A</v>
      </c>
      <c r="R13" s="55">
        <f t="shared" si="1"/>
        <v>0</v>
      </c>
      <c r="S13">
        <v>497</v>
      </c>
      <c r="U13" s="26" t="s">
        <v>89</v>
      </c>
      <c r="V13" s="47">
        <f t="shared" si="0"/>
        <v>0</v>
      </c>
    </row>
    <row r="14" spans="1:22" x14ac:dyDescent="0.15">
      <c r="M14" s="30" t="e">
        <f>VLOOKUP(L14,[1]characters!$A:$C,3,FALSE)</f>
        <v>#N/A</v>
      </c>
      <c r="N14" s="56"/>
      <c r="O14" s="30" t="e">
        <f>VLOOKUP(L14,[1]characters!$A:$I,9,FALSE)</f>
        <v>#N/A</v>
      </c>
      <c r="P14" s="30" t="e">
        <f>VLOOKUP(L14,[1]characters!$A:$J,10,FALSE)</f>
        <v>#N/A</v>
      </c>
      <c r="Q14" s="30" t="e">
        <f>VLOOKUP(L14,tables_498100!B:C,2,FALSE)</f>
        <v>#N/A</v>
      </c>
      <c r="R14" s="55">
        <f t="shared" si="1"/>
        <v>0</v>
      </c>
      <c r="S14">
        <v>498</v>
      </c>
      <c r="U14" s="26" t="s">
        <v>181</v>
      </c>
      <c r="V14" s="47">
        <f t="shared" si="0"/>
        <v>0</v>
      </c>
    </row>
    <row r="15" spans="1:22" x14ac:dyDescent="0.15">
      <c r="A15" s="29" t="s">
        <v>41</v>
      </c>
      <c r="B15" s="29"/>
      <c r="C15" t="s">
        <v>67</v>
      </c>
      <c r="M15" s="30" t="e">
        <f>VLOOKUP(L15,[1]characters!$A:$C,3,FALSE)</f>
        <v>#N/A</v>
      </c>
      <c r="N15" s="56"/>
      <c r="O15" s="30" t="e">
        <f>VLOOKUP(L15,[1]characters!$A:$I,9,FALSE)</f>
        <v>#N/A</v>
      </c>
      <c r="P15" s="30" t="e">
        <f>VLOOKUP(L15,[1]characters!$A:$J,10,FALSE)</f>
        <v>#N/A</v>
      </c>
      <c r="Q15" s="30" t="e">
        <f>VLOOKUP(L15,tables_498100!B:C,2,FALSE)</f>
        <v>#N/A</v>
      </c>
      <c r="R15" s="55">
        <f t="shared" si="1"/>
        <v>0</v>
      </c>
      <c r="S15">
        <v>395</v>
      </c>
      <c r="U15" s="26" t="s">
        <v>180</v>
      </c>
      <c r="V15" s="47">
        <f t="shared" si="0"/>
        <v>0</v>
      </c>
    </row>
    <row r="16" spans="1:22" x14ac:dyDescent="0.15">
      <c r="A16" s="26" t="s">
        <v>44</v>
      </c>
      <c r="B16" s="26" t="s">
        <v>174</v>
      </c>
      <c r="C16" s="30" t="s">
        <v>45</v>
      </c>
      <c r="D16" s="30" t="s">
        <v>46</v>
      </c>
      <c r="E16" t="s">
        <v>56</v>
      </c>
      <c r="F16" t="s">
        <v>55</v>
      </c>
      <c r="G16" t="s">
        <v>58</v>
      </c>
      <c r="H16" t="s">
        <v>194</v>
      </c>
      <c r="I16" t="s">
        <v>59</v>
      </c>
      <c r="J16" t="s">
        <v>61</v>
      </c>
      <c r="M16" s="30" t="e">
        <f>VLOOKUP(L16,[1]characters!$A:$C,3,FALSE)</f>
        <v>#N/A</v>
      </c>
      <c r="N16" s="56"/>
      <c r="O16" s="30" t="e">
        <f>VLOOKUP(L16,[1]characters!$A:$I,9,FALSE)</f>
        <v>#N/A</v>
      </c>
      <c r="P16" s="30" t="e">
        <f>VLOOKUP(L16,[1]characters!$A:$J,10,FALSE)</f>
        <v>#N/A</v>
      </c>
      <c r="Q16" s="30" t="e">
        <f>VLOOKUP(L16,tables_498100!B:C,2,FALSE)</f>
        <v>#N/A</v>
      </c>
      <c r="R16" s="55">
        <f t="shared" si="1"/>
        <v>0</v>
      </c>
      <c r="S16">
        <v>396</v>
      </c>
      <c r="U16" s="26" t="s">
        <v>90</v>
      </c>
      <c r="V16" s="47">
        <f t="shared" si="0"/>
        <v>0</v>
      </c>
    </row>
    <row r="17" spans="1:19" x14ac:dyDescent="0.15">
      <c r="A17" s="26" t="s">
        <v>172</v>
      </c>
      <c r="B17" s="75">
        <f>B$5-B19-B24</f>
        <v>0</v>
      </c>
      <c r="C17" s="78">
        <f t="shared" ref="C17:C31" si="2">SUMIF(Q:Q,A17,N:N)</f>
        <v>0</v>
      </c>
      <c r="D17" s="67">
        <f t="shared" ref="D17:D32" si="3">B17-C17</f>
        <v>0</v>
      </c>
      <c r="E17">
        <f>COUNTIF(tables_498100!C:C,input_498100!A17)-COUNTIF(Q:Q,A17)</f>
        <v>20</v>
      </c>
      <c r="F17" s="36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0" t="e">
        <f>VLOOKUP(L17,[1]characters!$A:$C,3,FALSE)</f>
        <v>#N/A</v>
      </c>
      <c r="N17" s="56"/>
      <c r="O17" s="30" t="e">
        <f>VLOOKUP(L17,[1]characters!$A:$I,9,FALSE)</f>
        <v>#N/A</v>
      </c>
      <c r="P17" s="30" t="e">
        <f>VLOOKUP(L17,[1]characters!$A:$J,10,FALSE)</f>
        <v>#N/A</v>
      </c>
      <c r="Q17" s="30" t="e">
        <f>VLOOKUP(L17,tables_498100!B:C,2,FALSE)</f>
        <v>#N/A</v>
      </c>
      <c r="R17" s="55">
        <f t="shared" si="1"/>
        <v>0</v>
      </c>
      <c r="S17">
        <v>397</v>
      </c>
    </row>
    <row r="18" spans="1:19" x14ac:dyDescent="0.15">
      <c r="A18" s="26" t="s">
        <v>173</v>
      </c>
      <c r="B18" s="49">
        <f>E$6*E18-B17+E34+0.02</f>
        <v>0.2417164283212429</v>
      </c>
      <c r="C18" s="78">
        <f t="shared" si="2"/>
        <v>0</v>
      </c>
      <c r="D18" s="67">
        <f t="shared" si="3"/>
        <v>0.2417164283212429</v>
      </c>
      <c r="E18">
        <f>COUNTIF(tables_498100!C:C,input_498100!A18)-COUNTIF(Q:Q,A18)</f>
        <v>20</v>
      </c>
      <c r="F18" s="36">
        <f>IFERROR(B18/E18,0)</f>
        <v>1.2085821416062145E-2</v>
      </c>
      <c r="G18">
        <f t="shared" si="4"/>
        <v>27720039.999880135</v>
      </c>
      <c r="H18">
        <f t="shared" si="5"/>
        <v>1386001.9999899999</v>
      </c>
      <c r="I18">
        <f t="shared" si="6"/>
        <v>0.99998999992385507</v>
      </c>
      <c r="J18">
        <f t="shared" si="7"/>
        <v>1.0000100001761474</v>
      </c>
      <c r="M18" s="30" t="e">
        <f>VLOOKUP(L18,[1]characters!$A:$C,3,FALSE)</f>
        <v>#N/A</v>
      </c>
      <c r="N18" s="56"/>
      <c r="O18" s="30" t="e">
        <f>VLOOKUP(L18,[1]characters!$A:$I,9,FALSE)</f>
        <v>#N/A</v>
      </c>
      <c r="P18" s="30" t="e">
        <f>VLOOKUP(L18,[1]characters!$A:$J,10,FALSE)</f>
        <v>#N/A</v>
      </c>
      <c r="Q18" s="30" t="e">
        <f>VLOOKUP(L18,tables_498100!B:C,2,FALSE)</f>
        <v>#N/A</v>
      </c>
      <c r="R18" s="55">
        <f t="shared" si="1"/>
        <v>0</v>
      </c>
      <c r="S18">
        <v>324</v>
      </c>
    </row>
    <row r="19" spans="1:19" x14ac:dyDescent="0.15">
      <c r="A19" s="26" t="s">
        <v>79</v>
      </c>
      <c r="B19" s="49">
        <f>E$6*E19*B$5</f>
        <v>0</v>
      </c>
      <c r="C19" s="78">
        <f t="shared" si="2"/>
        <v>0</v>
      </c>
      <c r="D19" s="67">
        <f t="shared" si="3"/>
        <v>0</v>
      </c>
      <c r="E19">
        <f>COUNTIF(tables_498100!C:C,input_498100!A19)-COUNTIF(Q:Q,A19)</f>
        <v>52</v>
      </c>
      <c r="F19" s="36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0" t="e">
        <f>VLOOKUP(L19,[1]characters!$A:$C,3,FALSE)</f>
        <v>#N/A</v>
      </c>
      <c r="N19" s="56"/>
      <c r="O19" s="30" t="e">
        <f>VLOOKUP(L19,[1]characters!$A:$I,9,FALSE)</f>
        <v>#N/A</v>
      </c>
      <c r="P19" s="30" t="e">
        <f>VLOOKUP(L19,[1]characters!$A:$J,10,FALSE)</f>
        <v>#N/A</v>
      </c>
      <c r="Q19" s="30" t="e">
        <f>VLOOKUP(L19,tables_498100!B:C,2,FALSE)</f>
        <v>#N/A</v>
      </c>
      <c r="R19" s="55">
        <f t="shared" si="1"/>
        <v>0</v>
      </c>
      <c r="S19">
        <v>325</v>
      </c>
    </row>
    <row r="20" spans="1:19" x14ac:dyDescent="0.15">
      <c r="A20" s="26" t="s">
        <v>80</v>
      </c>
      <c r="B20" s="85">
        <f>E$6*E20*B$6-0.03</f>
        <v>0.44297872340425526</v>
      </c>
      <c r="C20" s="78">
        <f t="shared" si="2"/>
        <v>0</v>
      </c>
      <c r="D20" s="67">
        <f t="shared" si="3"/>
        <v>0.44297872340425526</v>
      </c>
      <c r="E20">
        <f>COUNTIF(tables_498100!C:C,input_498100!A20)-COUNTIF(Q:Q,A20)</f>
        <v>52</v>
      </c>
      <c r="F20" s="36">
        <f t="shared" si="8"/>
        <v>8.5188216039279851E-3</v>
      </c>
      <c r="G20">
        <f t="shared" si="4"/>
        <v>50800799.999999993</v>
      </c>
      <c r="H20">
        <f t="shared" si="5"/>
        <v>976938.46154000005</v>
      </c>
      <c r="I20">
        <f t="shared" si="6"/>
        <v>0.4615400000475347</v>
      </c>
      <c r="J20">
        <f t="shared" si="7"/>
        <v>2.1666594442453708</v>
      </c>
      <c r="M20" s="30" t="e">
        <f>VLOOKUP(L20,[1]characters!$A:$C,3,FALSE)</f>
        <v>#N/A</v>
      </c>
      <c r="N20" s="56"/>
      <c r="O20" s="30" t="e">
        <f>VLOOKUP(L20,[1]characters!$A:$I,9,FALSE)</f>
        <v>#N/A</v>
      </c>
      <c r="P20" s="30" t="e">
        <f>VLOOKUP(L20,[1]characters!$A:$J,10,FALSE)</f>
        <v>#N/A</v>
      </c>
      <c r="Q20" s="30" t="e">
        <f>VLOOKUP(L20,tables_498100!B:C,2,FALSE)</f>
        <v>#N/A</v>
      </c>
      <c r="R20" s="55">
        <f t="shared" si="1"/>
        <v>0</v>
      </c>
      <c r="S20">
        <v>809</v>
      </c>
    </row>
    <row r="21" spans="1:19" x14ac:dyDescent="0.15">
      <c r="A21" s="26" t="s">
        <v>81</v>
      </c>
      <c r="B21" s="49">
        <f>B7-B23-B26-B28-B29-E35</f>
        <v>1.2964422738303578E-2</v>
      </c>
      <c r="C21" s="78">
        <f t="shared" si="2"/>
        <v>0</v>
      </c>
      <c r="D21" s="67">
        <f t="shared" si="3"/>
        <v>1.2964422738303578E-2</v>
      </c>
      <c r="E21">
        <f>COUNTIF(tables_498100!C:C,input_498100!A21)-COUNTIF(Q:Q,A21)</f>
        <v>52</v>
      </c>
      <c r="F21" s="36">
        <f t="shared" si="8"/>
        <v>2.4931582189045343E-4</v>
      </c>
      <c r="G21">
        <f t="shared" si="4"/>
        <v>1486759.9996286542</v>
      </c>
      <c r="H21">
        <f t="shared" si="5"/>
        <v>28591.53845</v>
      </c>
      <c r="I21">
        <f t="shared" si="6"/>
        <v>0.53845000000001164</v>
      </c>
      <c r="J21">
        <f t="shared" si="7"/>
        <v>1.8571826539139722</v>
      </c>
      <c r="L21" s="50"/>
      <c r="M21" s="50"/>
      <c r="N21" s="51"/>
      <c r="O21" s="50"/>
      <c r="P21" s="50"/>
      <c r="Q21" s="50"/>
      <c r="R21" s="52"/>
    </row>
    <row r="22" spans="1:19" x14ac:dyDescent="0.15">
      <c r="A22" s="26" t="s">
        <v>178</v>
      </c>
      <c r="B22" s="68">
        <f>E$6*E22-B23-E36</f>
        <v>0.1676595744680851</v>
      </c>
      <c r="C22" s="78">
        <f t="shared" si="2"/>
        <v>0</v>
      </c>
      <c r="D22" s="67">
        <f t="shared" si="3"/>
        <v>0.1676595744680851</v>
      </c>
      <c r="E22">
        <f>COUNTIF(tables_498100!C:C,input_498100!A22)-COUNTIF(Q:Q,A22)</f>
        <v>18</v>
      </c>
      <c r="F22" s="36">
        <f t="shared" si="8"/>
        <v>9.3144208037825062E-3</v>
      </c>
      <c r="G22">
        <f t="shared" si="4"/>
        <v>19227200</v>
      </c>
      <c r="H22">
        <f t="shared" si="5"/>
        <v>1068177.7777799999</v>
      </c>
      <c r="I22">
        <f t="shared" si="6"/>
        <v>0.77777999988757074</v>
      </c>
      <c r="J22">
        <f t="shared" si="7"/>
        <v>1.285710612441245</v>
      </c>
      <c r="L22" s="50"/>
      <c r="M22" s="50"/>
      <c r="N22" s="51"/>
      <c r="O22" s="50"/>
      <c r="P22" s="50"/>
      <c r="Q22" s="50"/>
      <c r="R22" s="52"/>
    </row>
    <row r="23" spans="1:19" x14ac:dyDescent="0.15">
      <c r="A23" s="26" t="s">
        <v>179</v>
      </c>
      <c r="B23" s="63">
        <f>E23*E6*B7-0.01</f>
        <v>1.4255319148936166E-2</v>
      </c>
      <c r="C23" s="78">
        <f t="shared" si="2"/>
        <v>0</v>
      </c>
      <c r="D23" s="67">
        <f t="shared" si="3"/>
        <v>1.4255319148936166E-2</v>
      </c>
      <c r="E23">
        <f>COUNTIF(tables_498100!C:C,input_498100!A23)-COUNTIF(Q:Q,A23)</f>
        <v>24</v>
      </c>
      <c r="F23" s="36">
        <f t="shared" si="8"/>
        <v>5.9397163120567355E-4</v>
      </c>
      <c r="G23">
        <f t="shared" si="4"/>
        <v>1634799.9999999995</v>
      </c>
      <c r="H23">
        <f t="shared" si="5"/>
        <v>68116.666670000006</v>
      </c>
      <c r="I23">
        <f t="shared" si="6"/>
        <v>0.66667000000597909</v>
      </c>
      <c r="J23">
        <f t="shared" si="7"/>
        <v>1.499992500024047</v>
      </c>
      <c r="L23" s="50"/>
      <c r="M23" s="50"/>
      <c r="N23" s="51"/>
      <c r="O23" s="50"/>
      <c r="P23" s="50"/>
      <c r="Q23" s="50"/>
      <c r="R23" s="52"/>
    </row>
    <row r="24" spans="1:19" x14ac:dyDescent="0.15">
      <c r="A24" s="26" t="s">
        <v>175</v>
      </c>
      <c r="B24" s="49">
        <f>E$6*E24*B$5</f>
        <v>0</v>
      </c>
      <c r="C24" s="78">
        <f t="shared" si="2"/>
        <v>0</v>
      </c>
      <c r="D24" s="67">
        <f t="shared" si="3"/>
        <v>0</v>
      </c>
      <c r="E24">
        <f>COUNTIF(tables_498100!C:C,input_498100!A24)-COUNTIF(Q:Q,A24)</f>
        <v>4</v>
      </c>
      <c r="F24" s="36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0"/>
      <c r="M24" s="50"/>
      <c r="N24" s="51"/>
      <c r="O24" s="50"/>
      <c r="P24" s="50"/>
      <c r="Q24" s="50"/>
      <c r="R24" s="52"/>
    </row>
    <row r="25" spans="1:19" x14ac:dyDescent="0.15">
      <c r="A25" s="26" t="s">
        <v>176</v>
      </c>
      <c r="B25" s="49">
        <f>E$6*B$6*E25</f>
        <v>3.638297872340425E-2</v>
      </c>
      <c r="C25" s="78">
        <f t="shared" si="2"/>
        <v>0</v>
      </c>
      <c r="D25" s="67">
        <f t="shared" si="3"/>
        <v>3.638297872340425E-2</v>
      </c>
      <c r="E25">
        <f>COUNTIF(tables_498100!C:C,input_498100!A25)-COUNTIF(Q:Q,A25)</f>
        <v>4</v>
      </c>
      <c r="F25" s="36">
        <f t="shared" si="8"/>
        <v>9.0957446808510624E-3</v>
      </c>
      <c r="G25">
        <f t="shared" si="4"/>
        <v>4172399.9999999995</v>
      </c>
      <c r="H25">
        <f t="shared" si="5"/>
        <v>1043100</v>
      </c>
      <c r="I25">
        <f t="shared" si="6"/>
        <v>0</v>
      </c>
      <c r="J25">
        <f t="shared" si="7"/>
        <v>1</v>
      </c>
      <c r="L25" s="50"/>
      <c r="M25" s="50"/>
      <c r="N25" s="51"/>
      <c r="O25" s="50"/>
      <c r="P25" s="50"/>
      <c r="Q25" s="50"/>
      <c r="R25" s="52"/>
    </row>
    <row r="26" spans="1:19" x14ac:dyDescent="0.15">
      <c r="A26" s="26" t="s">
        <v>177</v>
      </c>
      <c r="B26" s="49">
        <f>E$6*B$7*E26</f>
        <v>4.0425531914893616E-3</v>
      </c>
      <c r="C26" s="78">
        <f t="shared" si="2"/>
        <v>0</v>
      </c>
      <c r="D26" s="67">
        <f t="shared" si="3"/>
        <v>4.0425531914893616E-3</v>
      </c>
      <c r="E26">
        <f>COUNTIF(tables_498100!C:C,input_498100!A26)-COUNTIF(Q:Q,A26)</f>
        <v>4</v>
      </c>
      <c r="F26" s="36">
        <f t="shared" si="8"/>
        <v>1.0106382978723404E-3</v>
      </c>
      <c r="G26">
        <f t="shared" si="4"/>
        <v>463600</v>
      </c>
      <c r="H26">
        <f t="shared" si="5"/>
        <v>115900</v>
      </c>
      <c r="I26">
        <f t="shared" si="6"/>
        <v>0</v>
      </c>
      <c r="J26">
        <f t="shared" si="7"/>
        <v>1</v>
      </c>
      <c r="L26" s="50"/>
      <c r="M26" s="50"/>
      <c r="N26" s="51"/>
      <c r="O26" s="50"/>
      <c r="P26" s="50"/>
      <c r="Q26" s="50"/>
      <c r="R26" s="52"/>
    </row>
    <row r="27" spans="1:19" x14ac:dyDescent="0.15">
      <c r="A27" s="26" t="s">
        <v>88</v>
      </c>
      <c r="B27" s="49">
        <f>E$5*E27*(B$5+B$6)</f>
        <v>8.2622950819672154E-3</v>
      </c>
      <c r="C27" s="78">
        <f t="shared" si="2"/>
        <v>0</v>
      </c>
      <c r="D27" s="67">
        <f t="shared" si="3"/>
        <v>8.2622950819672154E-3</v>
      </c>
      <c r="E27">
        <f>COUNTIF(tables_498100!C:C,input_498100!A27)-COUNTIF(Q:Q,A27)</f>
        <v>28</v>
      </c>
      <c r="F27" s="36">
        <f>IFERROR(B27/E27,0)</f>
        <v>2.9508196721311482E-4</v>
      </c>
      <c r="G27">
        <f t="shared" si="4"/>
        <v>947520.00000000023</v>
      </c>
      <c r="H27">
        <f t="shared" si="5"/>
        <v>33840</v>
      </c>
      <c r="I27">
        <f t="shared" si="6"/>
        <v>0</v>
      </c>
      <c r="J27">
        <f t="shared" si="7"/>
        <v>1</v>
      </c>
      <c r="L27" s="50"/>
      <c r="M27" s="50"/>
      <c r="N27" s="51"/>
      <c r="O27" s="50"/>
      <c r="P27" s="50"/>
      <c r="Q27" s="50"/>
      <c r="R27" s="52"/>
    </row>
    <row r="28" spans="1:19" x14ac:dyDescent="0.15">
      <c r="A28" s="26" t="s">
        <v>89</v>
      </c>
      <c r="B28" s="49">
        <f>E$5*E28*B$7</f>
        <v>9.1803278688524614E-4</v>
      </c>
      <c r="C28" s="78">
        <f t="shared" si="2"/>
        <v>0</v>
      </c>
      <c r="D28" s="67">
        <f t="shared" si="3"/>
        <v>9.1803278688524614E-4</v>
      </c>
      <c r="E28">
        <f>COUNTIF(tables_498100!C:C,input_498100!A28)-COUNTIF(Q:Q,A28)</f>
        <v>28</v>
      </c>
      <c r="F28" s="36">
        <f t="shared" si="8"/>
        <v>3.2786885245901649E-5</v>
      </c>
      <c r="G28">
        <f t="shared" si="4"/>
        <v>105280.00000000003</v>
      </c>
      <c r="H28">
        <f t="shared" si="5"/>
        <v>3760</v>
      </c>
      <c r="I28">
        <f t="shared" si="6"/>
        <v>0</v>
      </c>
      <c r="J28">
        <f t="shared" si="7"/>
        <v>1</v>
      </c>
      <c r="L28" s="50"/>
      <c r="M28" s="50"/>
      <c r="N28" s="51"/>
      <c r="O28" s="50"/>
      <c r="P28" s="50"/>
      <c r="Q28" s="50"/>
      <c r="R28" s="52"/>
    </row>
    <row r="29" spans="1:19" x14ac:dyDescent="0.15">
      <c r="A29" s="26" t="s">
        <v>181</v>
      </c>
      <c r="B29" s="49">
        <f>E$5*E29+G49</f>
        <v>4.081967213107205E-2</v>
      </c>
      <c r="C29" s="78">
        <f t="shared" si="2"/>
        <v>0</v>
      </c>
      <c r="D29" s="67">
        <f t="shared" si="3"/>
        <v>4.081967213107205E-2</v>
      </c>
      <c r="E29">
        <f>COUNTIF(tables_498100!C:C,input_498100!A29)-COUNTIF(Q:Q,A29)</f>
        <v>38</v>
      </c>
      <c r="F29" s="36">
        <f t="shared" si="8"/>
        <v>1.0742018981861065E-3</v>
      </c>
      <c r="G29">
        <f t="shared" si="4"/>
        <v>4681199.9999913424</v>
      </c>
      <c r="H29">
        <f t="shared" si="5"/>
        <v>123189.47368</v>
      </c>
      <c r="I29">
        <f t="shared" si="6"/>
        <v>0.47367999999551103</v>
      </c>
      <c r="J29">
        <f t="shared" si="7"/>
        <v>2.1111298767300219</v>
      </c>
      <c r="L29" s="50"/>
      <c r="M29" s="50"/>
      <c r="N29" s="51"/>
      <c r="O29" s="50"/>
      <c r="P29" s="50"/>
      <c r="Q29" s="50"/>
      <c r="R29" s="52"/>
    </row>
    <row r="30" spans="1:19" x14ac:dyDescent="0.15">
      <c r="A30" s="26" t="s">
        <v>221</v>
      </c>
      <c r="B30" s="49">
        <f>0</f>
        <v>0</v>
      </c>
      <c r="C30" s="78">
        <f t="shared" si="2"/>
        <v>3.0000000000000001E-3</v>
      </c>
      <c r="D30" s="67">
        <f t="shared" si="3"/>
        <v>-3.0000000000000001E-3</v>
      </c>
      <c r="E30">
        <f>COUNTIF(tables_498100!C:C,input_498100!A30)-COUNTIF(Q:Q,A30)</f>
        <v>0</v>
      </c>
      <c r="F30" s="36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0"/>
      <c r="M30" s="50"/>
      <c r="N30" s="51"/>
      <c r="O30" s="50"/>
      <c r="P30" s="50"/>
      <c r="Q30" s="50"/>
      <c r="R30" s="52"/>
    </row>
    <row r="31" spans="1:19" x14ac:dyDescent="0.15">
      <c r="A31" s="26" t="s">
        <v>222</v>
      </c>
      <c r="B31" s="49">
        <v>0</v>
      </c>
      <c r="C31" s="78">
        <f t="shared" si="2"/>
        <v>2.7000000000000003E-2</v>
      </c>
      <c r="D31" s="67">
        <f t="shared" si="3"/>
        <v>-2.7000000000000003E-2</v>
      </c>
      <c r="E31">
        <f>COUNTIF(tables_498100!C:C,input_498100!A31)-COUNTIF(Q:Q,A31)</f>
        <v>0</v>
      </c>
      <c r="F31" s="36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0"/>
      <c r="M31" s="50"/>
      <c r="N31" s="51"/>
      <c r="O31" s="50"/>
      <c r="P31" s="50"/>
      <c r="Q31" s="50"/>
      <c r="R31" s="52"/>
    </row>
    <row r="32" spans="1:19" x14ac:dyDescent="0.15">
      <c r="A32" s="32" t="s">
        <v>43</v>
      </c>
      <c r="B32" s="33">
        <f>SUM(B17:B31)</f>
        <v>0.96999999999564124</v>
      </c>
      <c r="C32" s="34">
        <f>SUM(C19:C31)</f>
        <v>3.0000000000000002E-2</v>
      </c>
      <c r="D32" s="35">
        <f t="shared" si="3"/>
        <v>0.93999999999564121</v>
      </c>
      <c r="L32" s="50"/>
      <c r="M32" s="50"/>
      <c r="N32" s="50"/>
      <c r="O32" s="50"/>
      <c r="P32" s="50"/>
      <c r="Q32" s="50"/>
      <c r="R32" s="52"/>
    </row>
    <row r="34" spans="1:7" x14ac:dyDescent="0.15">
      <c r="E34" s="48">
        <v>1.9588768746774843E-2</v>
      </c>
      <c r="F34" s="48">
        <f ca="1">0.9-G41</f>
        <v>6.9866334939661101E-13</v>
      </c>
    </row>
    <row r="35" spans="1:7" x14ac:dyDescent="0.15">
      <c r="A35" t="s">
        <v>57</v>
      </c>
      <c r="E35">
        <v>2.7000000003313599E-2</v>
      </c>
      <c r="F35">
        <f ca="1">G42-0.1</f>
        <v>-5.9295762744326908E-12</v>
      </c>
    </row>
    <row r="36" spans="1:7" x14ac:dyDescent="0.15">
      <c r="A36" s="25">
        <f>LCM(F5-I5,F6-I6)*1000*2*2*5</f>
        <v>114680000</v>
      </c>
    </row>
    <row r="38" spans="1:7" x14ac:dyDescent="0.15">
      <c r="A38" s="40" t="s">
        <v>60</v>
      </c>
    </row>
    <row r="39" spans="1:7" x14ac:dyDescent="0.15">
      <c r="A39" s="26" t="s">
        <v>44</v>
      </c>
      <c r="B39" t="s">
        <v>58</v>
      </c>
      <c r="C39" t="s">
        <v>82</v>
      </c>
      <c r="E39" t="s">
        <v>83</v>
      </c>
      <c r="F39" t="s">
        <v>2</v>
      </c>
      <c r="G39" t="s">
        <v>47</v>
      </c>
    </row>
    <row r="40" spans="1:7" x14ac:dyDescent="0.15">
      <c r="A40" s="26" t="s">
        <v>85</v>
      </c>
      <c r="B40">
        <f ca="1">SUMIF(tables_498100!C:C,input_498100!A40,tables_498100!O:O)</f>
        <v>0</v>
      </c>
      <c r="C40" s="47">
        <f t="shared" ref="C40:C46" ca="1" si="9">B40/B$47</f>
        <v>0</v>
      </c>
      <c r="E40">
        <v>3</v>
      </c>
      <c r="F40">
        <f ca="1">SUMIF(tables_498100!J:J,input_498100!E40,tables_498100!O:O)</f>
        <v>0</v>
      </c>
      <c r="G40">
        <f ca="1">F40/A36</f>
        <v>0</v>
      </c>
    </row>
    <row r="41" spans="1:7" x14ac:dyDescent="0.15">
      <c r="A41" s="26" t="s">
        <v>86</v>
      </c>
      <c r="B41">
        <f ca="1">SUMIF(tables_498100!C:C,input_498100!A41,tables_498100!O:O)</f>
        <v>50800800.00007996</v>
      </c>
      <c r="C41" s="47">
        <f t="shared" ca="1" si="9"/>
        <v>0.95238952269117116</v>
      </c>
      <c r="E41">
        <v>4</v>
      </c>
      <c r="F41">
        <f ca="1">SUMIF(tables_498100!J:J,input_498100!E41,tables_498100!O:O)</f>
        <v>103211999.99991988</v>
      </c>
      <c r="G41">
        <f ca="1">F41/A36</f>
        <v>0.89999999999930136</v>
      </c>
    </row>
    <row r="42" spans="1:7" x14ac:dyDescent="0.15">
      <c r="A42" s="26" t="s">
        <v>88</v>
      </c>
      <c r="B42">
        <f ca="1">SUMIF(tables_498100!C:C,input_498100!A42,tables_498100!O:O)</f>
        <v>947520</v>
      </c>
      <c r="C42" s="47">
        <f t="shared" ca="1" si="9"/>
        <v>1.7763659638015898E-2</v>
      </c>
      <c r="E42">
        <v>5</v>
      </c>
      <c r="F42">
        <f ca="1">SUMIF(tables_498100!J:J,input_498100!E42,tables_498100!O:O)</f>
        <v>11467999.999319997</v>
      </c>
      <c r="G42">
        <f ca="1">F42/A36</f>
        <v>9.9999999994070429E-2</v>
      </c>
    </row>
    <row r="43" spans="1:7" x14ac:dyDescent="0.15">
      <c r="A43" s="26" t="s">
        <v>91</v>
      </c>
      <c r="B43">
        <f>SUMIF(tables_498100!C:C,input_498100!A43,tables_498100!O:O)</f>
        <v>0</v>
      </c>
      <c r="C43" s="47">
        <f t="shared" ca="1" si="9"/>
        <v>0</v>
      </c>
      <c r="F43" s="48"/>
    </row>
    <row r="44" spans="1:7" x14ac:dyDescent="0.15">
      <c r="A44" s="26" t="s">
        <v>87</v>
      </c>
      <c r="B44">
        <f ca="1">SUMIF(tables_498100!C:C,input_498100!A44,tables_498100!O:O)</f>
        <v>1486759.9994000015</v>
      </c>
      <c r="C44" s="47">
        <f t="shared" ca="1" si="9"/>
        <v>2.7873077711033381E-2</v>
      </c>
      <c r="E44" t="s">
        <v>38</v>
      </c>
      <c r="F44" s="48"/>
    </row>
    <row r="45" spans="1:7" x14ac:dyDescent="0.15">
      <c r="A45" s="26" t="s">
        <v>89</v>
      </c>
      <c r="B45">
        <f ca="1">SUMIF(tables_498100!C:C,input_498100!A45,tables_498100!O:O)</f>
        <v>105280</v>
      </c>
      <c r="C45" s="47">
        <f t="shared" ca="1" si="9"/>
        <v>1.9737399597795444E-3</v>
      </c>
      <c r="E45" t="s">
        <v>186</v>
      </c>
      <c r="F45" s="48">
        <f ca="1">SUMIF(tables_498100!I:I,input_498100!E45,tables_498100!P:P)</f>
        <v>0.24528025810957785</v>
      </c>
    </row>
    <row r="46" spans="1:7" x14ac:dyDescent="0.15">
      <c r="A46" s="26" t="s">
        <v>90</v>
      </c>
      <c r="B46">
        <f>SUMIF(tables_498100!C:C,input_498100!A46,tables_498100!O:O)</f>
        <v>0</v>
      </c>
      <c r="C46" s="47">
        <f t="shared" ca="1" si="9"/>
        <v>0</v>
      </c>
      <c r="E46" t="s">
        <v>187</v>
      </c>
      <c r="F46" s="48">
        <f ca="1">SUMIF(tables_498100!I:I,input_498100!E46,tables_498100!P:P)</f>
        <v>0.17937748517584856</v>
      </c>
    </row>
    <row r="47" spans="1:7" x14ac:dyDescent="0.15">
      <c r="A47" s="32" t="s">
        <v>43</v>
      </c>
      <c r="B47">
        <f ca="1">SUM(B40:B46)</f>
        <v>53340359.999479964</v>
      </c>
      <c r="C47" s="48">
        <f ca="1">SUM(C40:C46)</f>
        <v>1</v>
      </c>
      <c r="E47" t="s">
        <v>188</v>
      </c>
      <c r="F47" s="48">
        <f ca="1">SUMIF(tables_498100!I:I,input_498100!E47,tables_498100!P:P)</f>
        <v>0.49534225671543902</v>
      </c>
    </row>
    <row r="48" spans="1:7" x14ac:dyDescent="0.15">
      <c r="E48" t="s">
        <v>189</v>
      </c>
      <c r="F48" s="48">
        <f ca="1">SUMIF(tables_498100!I:I,input_498100!E48,tables_498100!P:P)</f>
        <v>4.2480586711826668E-2</v>
      </c>
      <c r="G48" s="48">
        <f ca="1">0.05-F48-F49</f>
        <v>1.0638625397296764E-12</v>
      </c>
    </row>
    <row r="49" spans="5:7" x14ac:dyDescent="0.15">
      <c r="E49" t="s">
        <v>230</v>
      </c>
      <c r="F49" s="48">
        <f ca="1">SUMIF(tables_498100!I:I,input_498100!E49,tables_498100!P:P)</f>
        <v>7.5194132871094724E-3</v>
      </c>
      <c r="G49">
        <v>2.8360655737629425E-2</v>
      </c>
    </row>
  </sheetData>
  <phoneticPr fontId="16"/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enableFormatConditionsCalculation="0">
    <tabColor rgb="FF0000FF"/>
    <outlinePr summaryBelow="0" summaryRight="0"/>
  </sheetPr>
  <dimension ref="A1:V351"/>
  <sheetViews>
    <sheetView showGridLines="0" zoomScale="75" zoomScaleNormal="75" zoomScalePageLayoutView="75" workbookViewId="0">
      <pane ySplit="1" topLeftCell="A308" activePane="bottomLeft" state="frozen"/>
      <selection activeCell="D34" sqref="D34"/>
      <selection pane="bottomLeft" activeCell="H353" sqref="H353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68</v>
      </c>
      <c r="B1" s="15" t="s">
        <v>1</v>
      </c>
      <c r="C1" s="3" t="s">
        <v>19</v>
      </c>
      <c r="D1" s="3" t="s">
        <v>77</v>
      </c>
      <c r="E1" s="3" t="s">
        <v>170</v>
      </c>
      <c r="F1" s="3" t="s">
        <v>171</v>
      </c>
      <c r="G1" s="3" t="s">
        <v>84</v>
      </c>
      <c r="H1" s="3" t="s">
        <v>21</v>
      </c>
      <c r="I1" s="3" t="s">
        <v>22</v>
      </c>
      <c r="J1" s="3" t="s">
        <v>23</v>
      </c>
      <c r="K1" s="3" t="s">
        <v>36</v>
      </c>
      <c r="L1" s="3" t="s">
        <v>24</v>
      </c>
      <c r="M1" s="3" t="s">
        <v>25</v>
      </c>
      <c r="N1" s="3" t="s">
        <v>42</v>
      </c>
      <c r="O1" s="15" t="s">
        <v>2</v>
      </c>
      <c r="P1" s="3" t="s">
        <v>47</v>
      </c>
      <c r="Q1" s="15" t="s">
        <v>26</v>
      </c>
      <c r="R1" s="23" t="s">
        <v>5</v>
      </c>
      <c r="S1" s="23" t="s">
        <v>6</v>
      </c>
      <c r="T1" s="23" t="s">
        <v>7</v>
      </c>
      <c r="U1" s="23" t="s">
        <v>8</v>
      </c>
      <c r="V1" s="23" t="s">
        <v>9</v>
      </c>
    </row>
    <row r="2" spans="1:22" ht="21" customHeight="1" x14ac:dyDescent="0.15">
      <c r="A2" s="2" t="str">
        <f ca="1">input_498100!A$2</f>
        <v>498100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38">
        <f ca="1">IFERROR(VLOOKUP(B2,input_498100!L:R,7,FALSE),VLOOKUP(tables_498100!C2,input_498100!A:H,8,FALSE))</f>
        <v>0</v>
      </c>
      <c r="P2" s="39">
        <f t="shared" ref="P2:P65" ca="1" si="1">O2/SUM(O:O)</f>
        <v>0</v>
      </c>
      <c r="Q2" s="24">
        <v>1</v>
      </c>
      <c r="R2" s="24">
        <v>0</v>
      </c>
      <c r="S2" s="24">
        <v>0</v>
      </c>
      <c r="T2" s="24">
        <v>0</v>
      </c>
      <c r="U2" s="24">
        <v>0</v>
      </c>
      <c r="V2" s="24">
        <v>1</v>
      </c>
    </row>
    <row r="3" spans="1:22" ht="21" customHeight="1" x14ac:dyDescent="0.15">
      <c r="A3" s="2" t="str">
        <f ca="1">input_498100!A$2</f>
        <v>498100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38">
        <f ca="1">IFERROR(VLOOKUP(B3,input_498100!L:R,7,FALSE),VLOOKUP(tables_498100!C3,input_498100!A:H,8,FALSE))</f>
        <v>1386001.9999899999</v>
      </c>
      <c r="P3" s="39">
        <f t="shared" ca="1" si="1"/>
        <v>1.2085821416107296E-2</v>
      </c>
      <c r="Q3" s="24">
        <v>1</v>
      </c>
      <c r="R3" s="24">
        <v>0</v>
      </c>
      <c r="S3" s="24">
        <v>0</v>
      </c>
      <c r="T3" s="24">
        <v>0</v>
      </c>
      <c r="U3" s="24">
        <v>0</v>
      </c>
      <c r="V3" s="24">
        <v>1</v>
      </c>
    </row>
    <row r="4" spans="1:22" ht="21" customHeight="1" x14ac:dyDescent="0.15">
      <c r="A4" s="2" t="str">
        <f ca="1">input_498100!A$2</f>
        <v>498100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38">
        <f ca="1">IFERROR(VLOOKUP(B4,input_498100!L:R,7,FALSE),VLOOKUP(tables_498100!C4,input_498100!A:H,8,FALSE))</f>
        <v>0</v>
      </c>
      <c r="P4" s="39">
        <f t="shared" ca="1" si="1"/>
        <v>0</v>
      </c>
      <c r="Q4" s="24">
        <v>1</v>
      </c>
      <c r="R4" s="24">
        <v>0</v>
      </c>
      <c r="S4" s="24">
        <v>0</v>
      </c>
      <c r="T4" s="24">
        <v>0</v>
      </c>
      <c r="U4" s="24">
        <v>0</v>
      </c>
      <c r="V4" s="24">
        <v>1</v>
      </c>
    </row>
    <row r="5" spans="1:22" ht="21" customHeight="1" x14ac:dyDescent="0.15">
      <c r="A5" s="2" t="str">
        <f ca="1">input_498100!A$2</f>
        <v>498100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38">
        <f ca="1">IFERROR(VLOOKUP(B5,input_498100!L:R,7,FALSE),VLOOKUP(tables_498100!C5,input_498100!A:H,8,FALSE))</f>
        <v>1386001.9999899999</v>
      </c>
      <c r="P5" s="39">
        <f t="shared" ca="1" si="1"/>
        <v>1.2085821416107296E-2</v>
      </c>
      <c r="Q5" s="24">
        <v>1</v>
      </c>
      <c r="R5" s="24">
        <v>0</v>
      </c>
      <c r="S5" s="24">
        <v>0</v>
      </c>
      <c r="T5" s="24">
        <v>0</v>
      </c>
      <c r="U5" s="24">
        <v>0</v>
      </c>
      <c r="V5" s="24">
        <v>1</v>
      </c>
    </row>
    <row r="6" spans="1:22" ht="21" customHeight="1" x14ac:dyDescent="0.15">
      <c r="A6" s="2" t="str">
        <f ca="1">input_498100!A$2</f>
        <v>498100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38">
        <f ca="1">IFERROR(VLOOKUP(B6,input_498100!L:R,7,FALSE),VLOOKUP(tables_498100!C6,input_498100!A:H,8,FALSE))</f>
        <v>0</v>
      </c>
      <c r="P6" s="39">
        <f t="shared" ca="1" si="1"/>
        <v>0</v>
      </c>
      <c r="Q6" s="24">
        <v>1</v>
      </c>
      <c r="R6" s="24">
        <v>0</v>
      </c>
      <c r="S6" s="24">
        <v>0</v>
      </c>
      <c r="T6" s="24">
        <v>0</v>
      </c>
      <c r="U6" s="24">
        <v>0</v>
      </c>
      <c r="V6" s="24">
        <v>1</v>
      </c>
    </row>
    <row r="7" spans="1:22" ht="21" customHeight="1" x14ac:dyDescent="0.15">
      <c r="A7" s="2" t="str">
        <f ca="1">input_498100!A$2</f>
        <v>498100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38">
        <f ca="1">IFERROR(VLOOKUP(B7,input_498100!L:R,7,FALSE),VLOOKUP(tables_498100!C7,input_498100!A:H,8,FALSE))</f>
        <v>1386001.9999899999</v>
      </c>
      <c r="P7" s="39">
        <f t="shared" ca="1" si="1"/>
        <v>1.2085821416107296E-2</v>
      </c>
      <c r="Q7" s="24">
        <v>1</v>
      </c>
      <c r="R7" s="24">
        <v>0</v>
      </c>
      <c r="S7" s="24">
        <v>0</v>
      </c>
      <c r="T7" s="24">
        <v>0</v>
      </c>
      <c r="U7" s="24">
        <v>0</v>
      </c>
      <c r="V7" s="24">
        <v>1</v>
      </c>
    </row>
    <row r="8" spans="1:22" ht="21" customHeight="1" x14ac:dyDescent="0.15">
      <c r="A8" s="2" t="str">
        <f ca="1">input_498100!A$2</f>
        <v>498100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38">
        <f ca="1">IFERROR(VLOOKUP(B8,input_498100!L:R,7,FALSE),VLOOKUP(tables_498100!C8,input_498100!A:H,8,FALSE))</f>
        <v>0</v>
      </c>
      <c r="P8" s="39">
        <f t="shared" ca="1" si="1"/>
        <v>0</v>
      </c>
      <c r="Q8" s="24">
        <v>1</v>
      </c>
      <c r="R8" s="24">
        <v>0</v>
      </c>
      <c r="S8" s="24">
        <v>0</v>
      </c>
      <c r="T8" s="24">
        <v>0</v>
      </c>
      <c r="U8" s="24">
        <v>0</v>
      </c>
      <c r="V8" s="24">
        <v>1</v>
      </c>
    </row>
    <row r="9" spans="1:22" ht="21" customHeight="1" x14ac:dyDescent="0.15">
      <c r="A9" s="2" t="str">
        <f ca="1">input_498100!A$2</f>
        <v>498100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38">
        <f ca="1">IFERROR(VLOOKUP(B9,input_498100!L:R,7,FALSE),VLOOKUP(tables_498100!C9,input_498100!A:H,8,FALSE))</f>
        <v>1386001.9999899999</v>
      </c>
      <c r="P9" s="39">
        <f t="shared" ca="1" si="1"/>
        <v>1.2085821416107296E-2</v>
      </c>
      <c r="Q9" s="24">
        <v>1</v>
      </c>
      <c r="R9" s="24">
        <v>0</v>
      </c>
      <c r="S9" s="24">
        <v>0</v>
      </c>
      <c r="T9" s="24">
        <v>0</v>
      </c>
      <c r="U9" s="24">
        <v>0</v>
      </c>
      <c r="V9" s="24">
        <v>1</v>
      </c>
    </row>
    <row r="10" spans="1:22" ht="21" customHeight="1" x14ac:dyDescent="0.15">
      <c r="A10" s="2" t="str">
        <f ca="1">input_498100!A$2</f>
        <v>498100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38">
        <f ca="1">IFERROR(VLOOKUP(B10,input_498100!L:R,7,FALSE),VLOOKUP(tables_498100!C10,input_498100!A:H,8,FALSE))</f>
        <v>0</v>
      </c>
      <c r="P10" s="39">
        <f t="shared" ca="1" si="1"/>
        <v>0</v>
      </c>
      <c r="Q10" s="24">
        <v>1</v>
      </c>
      <c r="R10" s="24">
        <v>0</v>
      </c>
      <c r="S10" s="24">
        <v>0</v>
      </c>
      <c r="T10" s="24">
        <v>0</v>
      </c>
      <c r="U10" s="24">
        <v>0</v>
      </c>
      <c r="V10" s="24">
        <v>1</v>
      </c>
    </row>
    <row r="11" spans="1:22" ht="21" customHeight="1" x14ac:dyDescent="0.15">
      <c r="A11" s="2" t="str">
        <f ca="1">input_498100!A$2</f>
        <v>498100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38">
        <f ca="1">IFERROR(VLOOKUP(B11,input_498100!L:R,7,FALSE),VLOOKUP(tables_498100!C11,input_498100!A:H,8,FALSE))</f>
        <v>1386001.9999899999</v>
      </c>
      <c r="P11" s="39">
        <f t="shared" ca="1" si="1"/>
        <v>1.2085821416107296E-2</v>
      </c>
      <c r="Q11" s="24">
        <v>1</v>
      </c>
      <c r="R11" s="24">
        <v>0</v>
      </c>
      <c r="S11" s="24">
        <v>0</v>
      </c>
      <c r="T11" s="24">
        <v>0</v>
      </c>
      <c r="U11" s="24">
        <v>0</v>
      </c>
      <c r="V11" s="24">
        <v>1</v>
      </c>
    </row>
    <row r="12" spans="1:22" ht="21" customHeight="1" x14ac:dyDescent="0.15">
      <c r="A12" s="2" t="str">
        <f ca="1">input_498100!A$2</f>
        <v>498100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38">
        <f ca="1">IFERROR(VLOOKUP(B12,input_498100!L:R,7,FALSE),VLOOKUP(tables_498100!C12,input_498100!A:H,8,FALSE))</f>
        <v>0</v>
      </c>
      <c r="P12" s="39">
        <f t="shared" ca="1" si="1"/>
        <v>0</v>
      </c>
      <c r="Q12" s="24">
        <v>1</v>
      </c>
      <c r="R12" s="24">
        <v>0</v>
      </c>
      <c r="S12" s="24">
        <v>0</v>
      </c>
      <c r="T12" s="24">
        <v>0</v>
      </c>
      <c r="U12" s="24">
        <v>0</v>
      </c>
      <c r="V12" s="24">
        <v>1</v>
      </c>
    </row>
    <row r="13" spans="1:22" ht="21" customHeight="1" x14ac:dyDescent="0.15">
      <c r="A13" s="2" t="str">
        <f ca="1">input_498100!A$2</f>
        <v>498100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38">
        <f ca="1">IFERROR(VLOOKUP(B13,input_498100!L:R,7,FALSE),VLOOKUP(tables_498100!C13,input_498100!A:H,8,FALSE))</f>
        <v>1386001.9999899999</v>
      </c>
      <c r="P13" s="39">
        <f t="shared" ca="1" si="1"/>
        <v>1.2085821416107296E-2</v>
      </c>
      <c r="Q13" s="24">
        <v>1</v>
      </c>
      <c r="R13" s="24">
        <v>0</v>
      </c>
      <c r="S13" s="24">
        <v>0</v>
      </c>
      <c r="T13" s="24">
        <v>0</v>
      </c>
      <c r="U13" s="24">
        <v>0</v>
      </c>
      <c r="V13" s="24">
        <v>1</v>
      </c>
    </row>
    <row r="14" spans="1:22" ht="21" customHeight="1" x14ac:dyDescent="0.15">
      <c r="A14" s="2" t="str">
        <f ca="1">input_498100!A$2</f>
        <v>498100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38">
        <f ca="1">IFERROR(VLOOKUP(B14,input_498100!L:R,7,FALSE),VLOOKUP(tables_498100!C14,input_498100!A:H,8,FALSE))</f>
        <v>0</v>
      </c>
      <c r="P14" s="39">
        <f t="shared" ca="1" si="1"/>
        <v>0</v>
      </c>
      <c r="Q14" s="24">
        <v>1</v>
      </c>
      <c r="R14" s="24">
        <v>0</v>
      </c>
      <c r="S14" s="24">
        <v>0</v>
      </c>
      <c r="T14" s="24">
        <v>0</v>
      </c>
      <c r="U14" s="24">
        <v>0</v>
      </c>
      <c r="V14" s="24">
        <v>1</v>
      </c>
    </row>
    <row r="15" spans="1:22" ht="21" customHeight="1" x14ac:dyDescent="0.15">
      <c r="A15" s="2" t="str">
        <f ca="1">input_498100!A$2</f>
        <v>498100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38">
        <f ca="1">IFERROR(VLOOKUP(B15,input_498100!L:R,7,FALSE),VLOOKUP(tables_498100!C15,input_498100!A:H,8,FALSE))</f>
        <v>1386001.9999899999</v>
      </c>
      <c r="P15" s="39">
        <f t="shared" ca="1" si="1"/>
        <v>1.2085821416107296E-2</v>
      </c>
      <c r="Q15" s="24">
        <v>1</v>
      </c>
      <c r="R15" s="24">
        <v>0</v>
      </c>
      <c r="S15" s="24">
        <v>0</v>
      </c>
      <c r="T15" s="24">
        <v>0</v>
      </c>
      <c r="U15" s="24">
        <v>0</v>
      </c>
      <c r="V15" s="24">
        <v>1</v>
      </c>
    </row>
    <row r="16" spans="1:22" ht="21" customHeight="1" x14ac:dyDescent="0.15">
      <c r="A16" s="2" t="str">
        <f ca="1">input_498100!A$2</f>
        <v>498100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38">
        <f ca="1">IFERROR(VLOOKUP(B16,input_498100!L:R,7,FALSE),VLOOKUP(tables_498100!C16,input_498100!A:H,8,FALSE))</f>
        <v>0</v>
      </c>
      <c r="P16" s="39">
        <f t="shared" ca="1" si="1"/>
        <v>0</v>
      </c>
      <c r="Q16" s="24">
        <v>1</v>
      </c>
      <c r="R16" s="24">
        <v>0</v>
      </c>
      <c r="S16" s="24">
        <v>0</v>
      </c>
      <c r="T16" s="24">
        <v>0</v>
      </c>
      <c r="U16" s="24">
        <v>0</v>
      </c>
      <c r="V16" s="24">
        <v>1</v>
      </c>
    </row>
    <row r="17" spans="1:22" ht="21" customHeight="1" x14ac:dyDescent="0.15">
      <c r="A17" s="2" t="str">
        <f ca="1">input_498100!A$2</f>
        <v>498100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38">
        <f ca="1">IFERROR(VLOOKUP(B17,input_498100!L:R,7,FALSE),VLOOKUP(tables_498100!C17,input_498100!A:H,8,FALSE))</f>
        <v>1386001.9999899999</v>
      </c>
      <c r="P17" s="39">
        <f t="shared" ca="1" si="1"/>
        <v>1.2085821416107296E-2</v>
      </c>
      <c r="Q17" s="24">
        <v>1</v>
      </c>
      <c r="R17" s="24">
        <v>0</v>
      </c>
      <c r="S17" s="24">
        <v>0</v>
      </c>
      <c r="T17" s="24">
        <v>0</v>
      </c>
      <c r="U17" s="24">
        <v>0</v>
      </c>
      <c r="V17" s="24">
        <v>1</v>
      </c>
    </row>
    <row r="18" spans="1:22" ht="21" customHeight="1" x14ac:dyDescent="0.15">
      <c r="A18" s="2" t="str">
        <f ca="1">input_498100!A$2</f>
        <v>498100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38">
        <f ca="1">IFERROR(VLOOKUP(B18,input_498100!L:R,7,FALSE),VLOOKUP(tables_498100!C18,input_498100!A:H,8,FALSE))</f>
        <v>0</v>
      </c>
      <c r="P18" s="39">
        <f t="shared" ca="1" si="1"/>
        <v>0</v>
      </c>
      <c r="Q18" s="24">
        <v>1</v>
      </c>
      <c r="R18" s="24">
        <v>0</v>
      </c>
      <c r="S18" s="24">
        <v>0</v>
      </c>
      <c r="T18" s="24">
        <v>0</v>
      </c>
      <c r="U18" s="24">
        <v>0</v>
      </c>
      <c r="V18" s="24">
        <v>1</v>
      </c>
    </row>
    <row r="19" spans="1:22" s="12" customFormat="1" ht="21" customHeight="1" thickBot="1" x14ac:dyDescent="0.2">
      <c r="A19" s="2" t="str">
        <f ca="1">input_498100!A$2</f>
        <v>498100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38">
        <f ca="1">IFERROR(VLOOKUP(B19,input_498100!L:R,7,FALSE),VLOOKUP(tables_498100!C19,input_498100!A:H,8,FALSE))</f>
        <v>1386001.9999899999</v>
      </c>
      <c r="P19" s="39">
        <f t="shared" ca="1" si="1"/>
        <v>1.2085821416107296E-2</v>
      </c>
      <c r="Q19" s="24">
        <v>1</v>
      </c>
      <c r="R19" s="24">
        <v>0</v>
      </c>
      <c r="S19" s="24">
        <v>0</v>
      </c>
      <c r="T19" s="24">
        <v>0</v>
      </c>
      <c r="U19" s="24">
        <v>0</v>
      </c>
      <c r="V19" s="24">
        <v>1</v>
      </c>
    </row>
    <row r="20" spans="1:22" ht="21" customHeight="1" x14ac:dyDescent="0.15">
      <c r="A20" s="2" t="str">
        <f ca="1">input_498100!A$2</f>
        <v>498100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38">
        <f ca="1">IFERROR(VLOOKUP(B20,input_498100!L:R,7,FALSE),VLOOKUP(tables_498100!C20,input_498100!A:H,8,FALSE))</f>
        <v>0</v>
      </c>
      <c r="P20" s="39">
        <f t="shared" ca="1" si="1"/>
        <v>0</v>
      </c>
      <c r="Q20" s="24">
        <v>1</v>
      </c>
      <c r="R20" s="24">
        <v>0</v>
      </c>
      <c r="S20" s="24">
        <v>0</v>
      </c>
      <c r="T20" s="24">
        <v>0</v>
      </c>
      <c r="U20" s="24">
        <v>0</v>
      </c>
      <c r="V20" s="24">
        <v>1</v>
      </c>
    </row>
    <row r="21" spans="1:22" ht="21" customHeight="1" x14ac:dyDescent="0.15">
      <c r="A21" s="2" t="str">
        <f ca="1">input_498100!A$2</f>
        <v>498100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38">
        <f ca="1">IFERROR(VLOOKUP(B21,input_498100!L:R,7,FALSE),VLOOKUP(tables_498100!C21,input_498100!A:H,8,FALSE))</f>
        <v>1386001.9999899999</v>
      </c>
      <c r="P21" s="39">
        <f t="shared" ca="1" si="1"/>
        <v>1.2085821416107296E-2</v>
      </c>
      <c r="Q21" s="24">
        <v>1</v>
      </c>
      <c r="R21" s="24">
        <v>0</v>
      </c>
      <c r="S21" s="24">
        <v>0</v>
      </c>
      <c r="T21" s="24">
        <v>0</v>
      </c>
      <c r="U21" s="24">
        <v>0</v>
      </c>
      <c r="V21" s="24">
        <v>1</v>
      </c>
    </row>
    <row r="22" spans="1:22" ht="21" customHeight="1" x14ac:dyDescent="0.15">
      <c r="A22" s="2" t="str">
        <f ca="1">input_498100!A$2</f>
        <v>498100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38">
        <f ca="1">IFERROR(VLOOKUP(B22,input_498100!L:R,7,FALSE),VLOOKUP(tables_498100!C22,input_498100!A:H,8,FALSE))</f>
        <v>0</v>
      </c>
      <c r="P22" s="39">
        <f t="shared" ca="1" si="1"/>
        <v>0</v>
      </c>
      <c r="Q22" s="24">
        <v>1</v>
      </c>
      <c r="R22" s="24">
        <v>0</v>
      </c>
      <c r="S22" s="24">
        <v>0</v>
      </c>
      <c r="T22" s="24">
        <v>0</v>
      </c>
      <c r="U22" s="24">
        <v>0</v>
      </c>
      <c r="V22" s="24">
        <v>1</v>
      </c>
    </row>
    <row r="23" spans="1:22" ht="21" customHeight="1" x14ac:dyDescent="0.15">
      <c r="A23" s="2" t="str">
        <f ca="1">input_498100!A$2</f>
        <v>498100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38">
        <f ca="1">IFERROR(VLOOKUP(B23,input_498100!L:R,7,FALSE),VLOOKUP(tables_498100!C23,input_498100!A:H,8,FALSE))</f>
        <v>1386001.9999899999</v>
      </c>
      <c r="P23" s="39">
        <f t="shared" ca="1" si="1"/>
        <v>1.2085821416107296E-2</v>
      </c>
      <c r="Q23" s="24">
        <v>1</v>
      </c>
      <c r="R23" s="24">
        <v>0</v>
      </c>
      <c r="S23" s="24">
        <v>0</v>
      </c>
      <c r="T23" s="24">
        <v>0</v>
      </c>
      <c r="U23" s="24">
        <v>0</v>
      </c>
      <c r="V23" s="24">
        <v>1</v>
      </c>
    </row>
    <row r="24" spans="1:22" ht="21" customHeight="1" x14ac:dyDescent="0.15">
      <c r="A24" s="2" t="str">
        <f ca="1">input_498100!A$2</f>
        <v>498100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38">
        <f ca="1">IFERROR(VLOOKUP(B24,input_498100!L:R,7,FALSE),VLOOKUP(tables_498100!C24,input_498100!A:H,8,FALSE))</f>
        <v>0</v>
      </c>
      <c r="P24" s="39">
        <f t="shared" ca="1" si="1"/>
        <v>0</v>
      </c>
      <c r="Q24" s="24">
        <v>1</v>
      </c>
      <c r="R24" s="24">
        <v>0</v>
      </c>
      <c r="S24" s="24">
        <v>0</v>
      </c>
      <c r="T24" s="24">
        <v>0</v>
      </c>
      <c r="U24" s="24">
        <v>0</v>
      </c>
      <c r="V24" s="24">
        <v>1</v>
      </c>
    </row>
    <row r="25" spans="1:22" ht="21" customHeight="1" x14ac:dyDescent="0.15">
      <c r="A25" s="2" t="str">
        <f ca="1">input_498100!A$2</f>
        <v>498100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38">
        <f ca="1">IFERROR(VLOOKUP(B25,input_498100!L:R,7,FALSE),VLOOKUP(tables_498100!C25,input_498100!A:H,8,FALSE))</f>
        <v>1386001.9999899999</v>
      </c>
      <c r="P25" s="39">
        <f t="shared" ca="1" si="1"/>
        <v>1.2085821416107296E-2</v>
      </c>
      <c r="Q25" s="24">
        <v>1</v>
      </c>
      <c r="R25" s="24">
        <v>0</v>
      </c>
      <c r="S25" s="24">
        <v>0</v>
      </c>
      <c r="T25" s="24">
        <v>0</v>
      </c>
      <c r="U25" s="24">
        <v>0</v>
      </c>
      <c r="V25" s="24">
        <v>1</v>
      </c>
    </row>
    <row r="26" spans="1:22" ht="21" customHeight="1" x14ac:dyDescent="0.15">
      <c r="A26" s="2" t="str">
        <f ca="1">input_498100!A$2</f>
        <v>498100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38">
        <f ca="1">IFERROR(VLOOKUP(B26,input_498100!L:R,7,FALSE),VLOOKUP(tables_498100!C26,input_498100!A:H,8,FALSE))</f>
        <v>0</v>
      </c>
      <c r="P26" s="39">
        <f t="shared" ca="1" si="1"/>
        <v>0</v>
      </c>
      <c r="Q26" s="24">
        <v>1</v>
      </c>
      <c r="R26" s="24">
        <v>0</v>
      </c>
      <c r="S26" s="24">
        <v>0</v>
      </c>
      <c r="T26" s="24">
        <v>0</v>
      </c>
      <c r="U26" s="24">
        <v>0</v>
      </c>
      <c r="V26" s="24">
        <v>1</v>
      </c>
    </row>
    <row r="27" spans="1:22" ht="21" customHeight="1" x14ac:dyDescent="0.15">
      <c r="A27" s="2" t="str">
        <f ca="1">input_498100!A$2</f>
        <v>498100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38">
        <f ca="1">IFERROR(VLOOKUP(B27,input_498100!L:R,7,FALSE),VLOOKUP(tables_498100!C27,input_498100!A:H,8,FALSE))</f>
        <v>1386001.9999899999</v>
      </c>
      <c r="P27" s="39">
        <f t="shared" ca="1" si="1"/>
        <v>1.2085821416107296E-2</v>
      </c>
      <c r="Q27" s="24">
        <v>1</v>
      </c>
      <c r="R27" s="24">
        <v>0</v>
      </c>
      <c r="S27" s="24">
        <v>0</v>
      </c>
      <c r="T27" s="24">
        <v>0</v>
      </c>
      <c r="U27" s="24">
        <v>0</v>
      </c>
      <c r="V27" s="24">
        <v>1</v>
      </c>
    </row>
    <row r="28" spans="1:22" ht="21" customHeight="1" x14ac:dyDescent="0.15">
      <c r="A28" s="2" t="str">
        <f ca="1">input_498100!A$2</f>
        <v>498100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38">
        <f ca="1">IFERROR(VLOOKUP(B28,input_498100!L:R,7,FALSE),VLOOKUP(tables_498100!C28,input_498100!A:H,8,FALSE))</f>
        <v>0</v>
      </c>
      <c r="P28" s="39">
        <f t="shared" ca="1" si="1"/>
        <v>0</v>
      </c>
      <c r="Q28" s="24">
        <v>1</v>
      </c>
      <c r="R28" s="24">
        <v>0</v>
      </c>
      <c r="S28" s="24">
        <v>0</v>
      </c>
      <c r="T28" s="24">
        <v>0</v>
      </c>
      <c r="U28" s="24">
        <v>0</v>
      </c>
      <c r="V28" s="24">
        <v>1</v>
      </c>
    </row>
    <row r="29" spans="1:22" ht="21" customHeight="1" x14ac:dyDescent="0.15">
      <c r="A29" s="2" t="str">
        <f ca="1">input_498100!A$2</f>
        <v>498100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38">
        <f ca="1">IFERROR(VLOOKUP(B29,input_498100!L:R,7,FALSE),VLOOKUP(tables_498100!C29,input_498100!A:H,8,FALSE))</f>
        <v>1386001.9999899999</v>
      </c>
      <c r="P29" s="39">
        <f t="shared" ca="1" si="1"/>
        <v>1.2085821416107296E-2</v>
      </c>
      <c r="Q29" s="24">
        <v>1</v>
      </c>
      <c r="R29" s="24">
        <v>0</v>
      </c>
      <c r="S29" s="24">
        <v>0</v>
      </c>
      <c r="T29" s="24">
        <v>0</v>
      </c>
      <c r="U29" s="24">
        <v>0</v>
      </c>
      <c r="V29" s="24">
        <v>1</v>
      </c>
    </row>
    <row r="30" spans="1:22" ht="21" customHeight="1" x14ac:dyDescent="0.15">
      <c r="A30" s="2" t="str">
        <f ca="1">input_498100!A$2</f>
        <v>498100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38">
        <f ca="1">IFERROR(VLOOKUP(B30,input_498100!L:R,7,FALSE),VLOOKUP(tables_498100!C30,input_498100!A:H,8,FALSE))</f>
        <v>0</v>
      </c>
      <c r="P30" s="39">
        <f t="shared" ca="1" si="1"/>
        <v>0</v>
      </c>
      <c r="Q30" s="24">
        <v>1</v>
      </c>
      <c r="R30" s="24">
        <v>0</v>
      </c>
      <c r="S30" s="24">
        <v>0</v>
      </c>
      <c r="T30" s="24">
        <v>0</v>
      </c>
      <c r="U30" s="24">
        <v>0</v>
      </c>
      <c r="V30" s="24">
        <v>1</v>
      </c>
    </row>
    <row r="31" spans="1:22" ht="21" customHeight="1" x14ac:dyDescent="0.15">
      <c r="A31" s="2" t="str">
        <f ca="1">input_498100!A$2</f>
        <v>498100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38">
        <f ca="1">IFERROR(VLOOKUP(B31,input_498100!L:R,7,FALSE),VLOOKUP(tables_498100!C31,input_498100!A:H,8,FALSE))</f>
        <v>1386001.9999899999</v>
      </c>
      <c r="P31" s="39">
        <f t="shared" ca="1" si="1"/>
        <v>1.2085821416107296E-2</v>
      </c>
      <c r="Q31" s="24">
        <v>1</v>
      </c>
      <c r="R31" s="24">
        <v>0</v>
      </c>
      <c r="S31" s="24">
        <v>0</v>
      </c>
      <c r="T31" s="24">
        <v>0</v>
      </c>
      <c r="U31" s="24">
        <v>0</v>
      </c>
      <c r="V31" s="24">
        <v>1</v>
      </c>
    </row>
    <row r="32" spans="1:22" ht="21" customHeight="1" x14ac:dyDescent="0.15">
      <c r="A32" s="2" t="str">
        <f ca="1">input_498100!A$2</f>
        <v>498100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38">
        <f ca="1">IFERROR(VLOOKUP(B32,input_498100!L:R,7,FALSE),VLOOKUP(tables_498100!C32,input_498100!A:H,8,FALSE))</f>
        <v>0</v>
      </c>
      <c r="P32" s="39">
        <f t="shared" ca="1" si="1"/>
        <v>0</v>
      </c>
      <c r="Q32" s="24">
        <v>1</v>
      </c>
      <c r="R32" s="24">
        <v>0</v>
      </c>
      <c r="S32" s="24">
        <v>0</v>
      </c>
      <c r="T32" s="24">
        <v>0</v>
      </c>
      <c r="U32" s="24">
        <v>0</v>
      </c>
      <c r="V32" s="24">
        <v>1</v>
      </c>
    </row>
    <row r="33" spans="1:22" ht="21" customHeight="1" x14ac:dyDescent="0.15">
      <c r="A33" s="2" t="str">
        <f ca="1">input_498100!A$2</f>
        <v>498100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38">
        <f ca="1">IFERROR(VLOOKUP(B33,input_498100!L:R,7,FALSE),VLOOKUP(tables_498100!C33,input_498100!A:H,8,FALSE))</f>
        <v>1386001.9999899999</v>
      </c>
      <c r="P33" s="39">
        <f t="shared" ca="1" si="1"/>
        <v>1.2085821416107296E-2</v>
      </c>
      <c r="Q33" s="24">
        <v>1</v>
      </c>
      <c r="R33" s="24">
        <v>0</v>
      </c>
      <c r="S33" s="24">
        <v>0</v>
      </c>
      <c r="T33" s="24">
        <v>0</v>
      </c>
      <c r="U33" s="24">
        <v>0</v>
      </c>
      <c r="V33" s="24">
        <v>1</v>
      </c>
    </row>
    <row r="34" spans="1:22" ht="21" customHeight="1" x14ac:dyDescent="0.15">
      <c r="A34" s="2" t="str">
        <f ca="1">input_498100!A$2</f>
        <v>498100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38">
        <f ca="1">IFERROR(VLOOKUP(B34,input_498100!L:R,7,FALSE),VLOOKUP(tables_498100!C34,input_498100!A:H,8,FALSE))</f>
        <v>0</v>
      </c>
      <c r="P34" s="39">
        <f t="shared" ca="1" si="1"/>
        <v>0</v>
      </c>
      <c r="Q34" s="24">
        <v>1</v>
      </c>
      <c r="R34" s="24">
        <v>0</v>
      </c>
      <c r="S34" s="24">
        <v>0</v>
      </c>
      <c r="T34" s="24">
        <v>0</v>
      </c>
      <c r="U34" s="24">
        <v>0</v>
      </c>
      <c r="V34" s="24">
        <v>1</v>
      </c>
    </row>
    <row r="35" spans="1:22" ht="21" customHeight="1" x14ac:dyDescent="0.15">
      <c r="A35" s="2" t="str">
        <f ca="1">input_498100!A$2</f>
        <v>498100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38">
        <f ca="1">IFERROR(VLOOKUP(B35,input_498100!L:R,7,FALSE),VLOOKUP(tables_498100!C35,input_498100!A:H,8,FALSE))</f>
        <v>1386001.9999899999</v>
      </c>
      <c r="P35" s="39">
        <f t="shared" ca="1" si="1"/>
        <v>1.2085821416107296E-2</v>
      </c>
      <c r="Q35" s="24">
        <v>1</v>
      </c>
      <c r="R35" s="24">
        <v>0</v>
      </c>
      <c r="S35" s="24">
        <v>0</v>
      </c>
      <c r="T35" s="24">
        <v>0</v>
      </c>
      <c r="U35" s="24">
        <v>0</v>
      </c>
      <c r="V35" s="24">
        <v>1</v>
      </c>
    </row>
    <row r="36" spans="1:22" ht="21" customHeight="1" x14ac:dyDescent="0.15">
      <c r="A36" s="2" t="str">
        <f ca="1">input_498100!A$2</f>
        <v>498100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38">
        <f ca="1">IFERROR(VLOOKUP(B36,input_498100!L:R,7,FALSE),VLOOKUP(tables_498100!C36,input_498100!A:H,8,FALSE))</f>
        <v>0</v>
      </c>
      <c r="P36" s="39">
        <f t="shared" ca="1" si="1"/>
        <v>0</v>
      </c>
      <c r="Q36" s="24">
        <v>1</v>
      </c>
      <c r="R36" s="24">
        <v>0</v>
      </c>
      <c r="S36" s="24">
        <v>0</v>
      </c>
      <c r="T36" s="24">
        <v>0</v>
      </c>
      <c r="U36" s="24">
        <v>0</v>
      </c>
      <c r="V36" s="24">
        <v>1</v>
      </c>
    </row>
    <row r="37" spans="1:22" ht="21" customHeight="1" x14ac:dyDescent="0.15">
      <c r="A37" s="2" t="str">
        <f ca="1">input_498100!A$2</f>
        <v>498100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38">
        <f ca="1">IFERROR(VLOOKUP(B37,input_498100!L:R,7,FALSE),VLOOKUP(tables_498100!C37,input_498100!A:H,8,FALSE))</f>
        <v>1386001.9999899999</v>
      </c>
      <c r="P37" s="39">
        <f t="shared" ca="1" si="1"/>
        <v>1.2085821416107296E-2</v>
      </c>
      <c r="Q37" s="24">
        <v>1</v>
      </c>
      <c r="R37" s="24">
        <v>0</v>
      </c>
      <c r="S37" s="24">
        <v>0</v>
      </c>
      <c r="T37" s="24">
        <v>0</v>
      </c>
      <c r="U37" s="24">
        <v>0</v>
      </c>
      <c r="V37" s="24">
        <v>1</v>
      </c>
    </row>
    <row r="38" spans="1:22" ht="21" customHeight="1" x14ac:dyDescent="0.15">
      <c r="A38" s="2" t="str">
        <f ca="1">input_498100!A$2</f>
        <v>498100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38">
        <f ca="1">IFERROR(VLOOKUP(B38,input_498100!L:R,7,FALSE),VLOOKUP(tables_498100!C38,input_498100!A:H,8,FALSE))</f>
        <v>0</v>
      </c>
      <c r="P38" s="39">
        <f t="shared" ca="1" si="1"/>
        <v>0</v>
      </c>
      <c r="Q38" s="24">
        <v>1</v>
      </c>
      <c r="R38" s="24">
        <v>0</v>
      </c>
      <c r="S38" s="24">
        <v>0</v>
      </c>
      <c r="T38" s="24">
        <v>0</v>
      </c>
      <c r="U38" s="24">
        <v>0</v>
      </c>
      <c r="V38" s="24">
        <v>1</v>
      </c>
    </row>
    <row r="39" spans="1:22" ht="21" customHeight="1" x14ac:dyDescent="0.15">
      <c r="A39" s="2" t="str">
        <f ca="1">input_498100!A$2</f>
        <v>498100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38">
        <f ca="1">IFERROR(VLOOKUP(B39,input_498100!L:R,7,FALSE),VLOOKUP(tables_498100!C39,input_498100!A:H,8,FALSE))</f>
        <v>1386001.9999899999</v>
      </c>
      <c r="P39" s="39">
        <f t="shared" ca="1" si="1"/>
        <v>1.2085821416107296E-2</v>
      </c>
      <c r="Q39" s="24">
        <v>1</v>
      </c>
      <c r="R39" s="24">
        <v>0</v>
      </c>
      <c r="S39" s="24">
        <v>0</v>
      </c>
      <c r="T39" s="24">
        <v>0</v>
      </c>
      <c r="U39" s="24">
        <v>0</v>
      </c>
      <c r="V39" s="24">
        <v>1</v>
      </c>
    </row>
    <row r="40" spans="1:22" ht="21" customHeight="1" x14ac:dyDescent="0.15">
      <c r="A40" s="2" t="str">
        <f ca="1">input_498100!A$2</f>
        <v>498100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38">
        <f ca="1">IFERROR(VLOOKUP(B40,input_498100!L:R,7,FALSE),VLOOKUP(tables_498100!C40,input_498100!A:H,8,FALSE))</f>
        <v>0</v>
      </c>
      <c r="P40" s="39">
        <f t="shared" ca="1" si="1"/>
        <v>0</v>
      </c>
      <c r="Q40" s="24">
        <v>1</v>
      </c>
      <c r="R40" s="24">
        <v>0</v>
      </c>
      <c r="S40" s="24">
        <v>0</v>
      </c>
      <c r="T40" s="24">
        <v>0</v>
      </c>
      <c r="U40" s="24">
        <v>0</v>
      </c>
      <c r="V40" s="24">
        <v>1</v>
      </c>
    </row>
    <row r="41" spans="1:22" ht="21" customHeight="1" x14ac:dyDescent="0.15">
      <c r="A41" s="2" t="str">
        <f ca="1">input_498100!A$2</f>
        <v>498100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38">
        <f ca="1">IFERROR(VLOOKUP(B41,input_498100!L:R,7,FALSE),VLOOKUP(tables_498100!C41,input_498100!A:H,8,FALSE))</f>
        <v>1386001.9999899999</v>
      </c>
      <c r="P41" s="39">
        <f t="shared" ca="1" si="1"/>
        <v>1.2085821416107296E-2</v>
      </c>
      <c r="Q41" s="24">
        <v>1</v>
      </c>
      <c r="R41" s="24">
        <v>0</v>
      </c>
      <c r="S41" s="24">
        <v>0</v>
      </c>
      <c r="T41" s="24">
        <v>0</v>
      </c>
      <c r="U41" s="24">
        <v>0</v>
      </c>
      <c r="V41" s="24">
        <v>1</v>
      </c>
    </row>
    <row r="42" spans="1:22" ht="21" customHeight="1" x14ac:dyDescent="0.15">
      <c r="A42" s="2" t="str">
        <f ca="1">input_498100!A$2</f>
        <v>498100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38">
        <f ca="1">IFERROR(VLOOKUP(B42,input_498100!L:R,7,FALSE),VLOOKUP(tables_498100!C42,input_498100!A:H,8,FALSE))</f>
        <v>0</v>
      </c>
      <c r="P42" s="39">
        <f t="shared" ca="1" si="1"/>
        <v>0</v>
      </c>
      <c r="Q42" s="24">
        <v>1</v>
      </c>
      <c r="R42" s="24">
        <v>0</v>
      </c>
      <c r="S42" s="24">
        <v>0</v>
      </c>
      <c r="T42" s="24">
        <v>0</v>
      </c>
      <c r="U42" s="24">
        <v>0</v>
      </c>
      <c r="V42" s="24">
        <v>1</v>
      </c>
    </row>
    <row r="43" spans="1:22" ht="21" customHeight="1" x14ac:dyDescent="0.15">
      <c r="A43" s="2" t="str">
        <f ca="1">input_498100!A$2</f>
        <v>498100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38">
        <f ca="1">IFERROR(VLOOKUP(B43,input_498100!L:R,7,FALSE),VLOOKUP(tables_498100!C43,input_498100!A:H,8,FALSE))</f>
        <v>1043100</v>
      </c>
      <c r="P43" s="39">
        <f t="shared" ca="1" si="1"/>
        <v>9.0957446809113388E-3</v>
      </c>
      <c r="Q43" s="24">
        <v>1</v>
      </c>
      <c r="R43" s="24">
        <v>0</v>
      </c>
      <c r="S43" s="24">
        <v>0</v>
      </c>
      <c r="T43" s="24">
        <v>0</v>
      </c>
      <c r="U43" s="24">
        <v>0</v>
      </c>
      <c r="V43" s="24">
        <v>1</v>
      </c>
    </row>
    <row r="44" spans="1:22" ht="21" customHeight="1" x14ac:dyDescent="0.15">
      <c r="A44" s="2" t="str">
        <f ca="1">input_498100!A$2</f>
        <v>498100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38">
        <f ca="1">IFERROR(VLOOKUP(B44,input_498100!L:R,7,FALSE),VLOOKUP(tables_498100!C44,input_498100!A:H,8,FALSE))</f>
        <v>115900</v>
      </c>
      <c r="P44" s="39">
        <f t="shared" ca="1" si="1"/>
        <v>1.0106382978790377E-3</v>
      </c>
      <c r="Q44" s="24">
        <v>1</v>
      </c>
      <c r="R44" s="24">
        <v>0</v>
      </c>
      <c r="S44" s="24">
        <v>0</v>
      </c>
      <c r="T44" s="24">
        <v>0</v>
      </c>
      <c r="U44" s="24">
        <v>0</v>
      </c>
      <c r="V44" s="24">
        <v>1</v>
      </c>
    </row>
    <row r="45" spans="1:22" ht="21" customHeight="1" x14ac:dyDescent="0.15">
      <c r="A45" s="2" t="str">
        <f ca="1">input_498100!A$2</f>
        <v>498100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38">
        <f ca="1">IFERROR(VLOOKUP(B45,input_498100!L:R,7,FALSE),VLOOKUP(tables_498100!C45,input_498100!A:H,8,FALSE))</f>
        <v>0</v>
      </c>
      <c r="P45" s="39">
        <f t="shared" ca="1" si="1"/>
        <v>0</v>
      </c>
      <c r="Q45" s="24">
        <v>1</v>
      </c>
      <c r="R45" s="24">
        <v>0</v>
      </c>
      <c r="S45" s="24">
        <v>0</v>
      </c>
      <c r="T45" s="24">
        <v>0</v>
      </c>
      <c r="U45" s="24">
        <v>0</v>
      </c>
      <c r="V45" s="24">
        <v>1</v>
      </c>
    </row>
    <row r="46" spans="1:22" ht="21" customHeight="1" x14ac:dyDescent="0.15">
      <c r="A46" s="2" t="str">
        <f ca="1">input_498100!A$2</f>
        <v>498100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38">
        <f ca="1">IFERROR(VLOOKUP(B46,input_498100!L:R,7,FALSE),VLOOKUP(tables_498100!C46,input_498100!A:H,8,FALSE))</f>
        <v>1043100</v>
      </c>
      <c r="P46" s="39">
        <f t="shared" ca="1" si="1"/>
        <v>9.0957446809113388E-3</v>
      </c>
      <c r="Q46" s="24">
        <v>1</v>
      </c>
      <c r="R46" s="24">
        <v>0</v>
      </c>
      <c r="S46" s="24">
        <v>0</v>
      </c>
      <c r="T46" s="24">
        <v>0</v>
      </c>
      <c r="U46" s="24">
        <v>0</v>
      </c>
      <c r="V46" s="24">
        <v>1</v>
      </c>
    </row>
    <row r="47" spans="1:22" ht="21" customHeight="1" x14ac:dyDescent="0.15">
      <c r="A47" s="2" t="str">
        <f ca="1">input_498100!A$2</f>
        <v>498100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38">
        <f ca="1">IFERROR(VLOOKUP(B47,input_498100!L:R,7,FALSE),VLOOKUP(tables_498100!C47,input_498100!A:H,8,FALSE))</f>
        <v>115900</v>
      </c>
      <c r="P47" s="39">
        <f t="shared" ca="1" si="1"/>
        <v>1.0106382978790377E-3</v>
      </c>
      <c r="Q47" s="24">
        <v>1</v>
      </c>
      <c r="R47" s="24">
        <v>0</v>
      </c>
      <c r="S47" s="24">
        <v>0</v>
      </c>
      <c r="T47" s="24">
        <v>0</v>
      </c>
      <c r="U47" s="24">
        <v>0</v>
      </c>
      <c r="V47" s="24">
        <v>1</v>
      </c>
    </row>
    <row r="48" spans="1:22" ht="21" customHeight="1" x14ac:dyDescent="0.15">
      <c r="A48" s="2" t="str">
        <f ca="1">input_498100!A$2</f>
        <v>498100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38">
        <f ca="1">IFERROR(VLOOKUP(B48,input_498100!L:R,7,FALSE),VLOOKUP(tables_498100!C48,input_498100!A:H,8,FALSE))</f>
        <v>0</v>
      </c>
      <c r="P48" s="39">
        <f t="shared" ca="1" si="1"/>
        <v>0</v>
      </c>
      <c r="Q48" s="24">
        <v>1</v>
      </c>
      <c r="R48" s="24">
        <v>0</v>
      </c>
      <c r="S48" s="24">
        <v>0</v>
      </c>
      <c r="T48" s="24">
        <v>0</v>
      </c>
      <c r="U48" s="24">
        <v>0</v>
      </c>
      <c r="V48" s="24">
        <v>1</v>
      </c>
    </row>
    <row r="49" spans="1:22" ht="21" customHeight="1" x14ac:dyDescent="0.15">
      <c r="A49" s="2" t="str">
        <f ca="1">input_498100!A$2</f>
        <v>498100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38">
        <f ca="1">IFERROR(VLOOKUP(B49,input_498100!L:R,7,FALSE),VLOOKUP(tables_498100!C49,input_498100!A:H,8,FALSE))</f>
        <v>1043100</v>
      </c>
      <c r="P49" s="39">
        <f t="shared" ca="1" si="1"/>
        <v>9.0957446809113388E-3</v>
      </c>
      <c r="Q49" s="24">
        <v>1</v>
      </c>
      <c r="R49" s="24">
        <v>0</v>
      </c>
      <c r="S49" s="24">
        <v>0</v>
      </c>
      <c r="T49" s="24">
        <v>0</v>
      </c>
      <c r="U49" s="24">
        <v>0</v>
      </c>
      <c r="V49" s="24">
        <v>1</v>
      </c>
    </row>
    <row r="50" spans="1:22" ht="21" customHeight="1" x14ac:dyDescent="0.15">
      <c r="A50" s="2" t="str">
        <f ca="1">input_498100!A$2</f>
        <v>498100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38">
        <f ca="1">IFERROR(VLOOKUP(B50,input_498100!L:R,7,FALSE),VLOOKUP(tables_498100!C50,input_498100!A:H,8,FALSE))</f>
        <v>115900</v>
      </c>
      <c r="P50" s="39">
        <f t="shared" ca="1" si="1"/>
        <v>1.0106382978790377E-3</v>
      </c>
      <c r="Q50" s="24">
        <v>1</v>
      </c>
      <c r="R50" s="24">
        <v>0</v>
      </c>
      <c r="S50" s="24">
        <v>0</v>
      </c>
      <c r="T50" s="24">
        <v>0</v>
      </c>
      <c r="U50" s="24">
        <v>0</v>
      </c>
      <c r="V50" s="24">
        <v>1</v>
      </c>
    </row>
    <row r="51" spans="1:22" ht="21" customHeight="1" x14ac:dyDescent="0.15">
      <c r="A51" s="2" t="str">
        <f ca="1">input_498100!A$2</f>
        <v>498100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38">
        <f ca="1">IFERROR(VLOOKUP(B51,input_498100!L:R,7,FALSE),VLOOKUP(tables_498100!C51,input_498100!A:H,8,FALSE))</f>
        <v>0</v>
      </c>
      <c r="P51" s="39">
        <f t="shared" ca="1" si="1"/>
        <v>0</v>
      </c>
      <c r="Q51" s="24">
        <v>1</v>
      </c>
      <c r="R51" s="24">
        <v>0</v>
      </c>
      <c r="S51" s="24">
        <v>0</v>
      </c>
      <c r="T51" s="24">
        <v>0</v>
      </c>
      <c r="U51" s="24">
        <v>0</v>
      </c>
      <c r="V51" s="24">
        <v>1</v>
      </c>
    </row>
    <row r="52" spans="1:22" ht="21" customHeight="1" x14ac:dyDescent="0.15">
      <c r="A52" s="2" t="str">
        <f ca="1">input_498100!A$2</f>
        <v>498100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38">
        <f ca="1">IFERROR(VLOOKUP(B52,input_498100!L:R,7,FALSE),VLOOKUP(tables_498100!C52,input_498100!A:H,8,FALSE))</f>
        <v>976938.46154000005</v>
      </c>
      <c r="P52" s="39">
        <f t="shared" ca="1" si="1"/>
        <v>8.5188216039978545E-3</v>
      </c>
      <c r="Q52" s="24">
        <v>1</v>
      </c>
      <c r="R52" s="24">
        <v>0</v>
      </c>
      <c r="S52" s="24">
        <v>0</v>
      </c>
      <c r="T52" s="24">
        <v>0</v>
      </c>
      <c r="U52" s="24">
        <v>0</v>
      </c>
      <c r="V52" s="24">
        <v>1</v>
      </c>
    </row>
    <row r="53" spans="1:22" ht="21" customHeight="1" x14ac:dyDescent="0.15">
      <c r="A53" s="2" t="str">
        <f ca="1">input_498100!A$2</f>
        <v>498100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38">
        <f ca="1">IFERROR(VLOOKUP(B53,input_498100!L:R,7,FALSE),VLOOKUP(tables_498100!C53,input_498100!A:H,8,FALSE))</f>
        <v>28591.53845</v>
      </c>
      <c r="P53" s="39">
        <f t="shared" ca="1" si="1"/>
        <v>2.4931582185376241E-4</v>
      </c>
      <c r="Q53" s="24">
        <v>1</v>
      </c>
      <c r="R53" s="24">
        <v>0</v>
      </c>
      <c r="S53" s="24">
        <v>0</v>
      </c>
      <c r="T53" s="24">
        <v>0</v>
      </c>
      <c r="U53" s="24">
        <v>0</v>
      </c>
      <c r="V53" s="24">
        <v>1</v>
      </c>
    </row>
    <row r="54" spans="1:22" ht="21" customHeight="1" x14ac:dyDescent="0.15">
      <c r="A54" s="2" t="str">
        <f ca="1">input_498100!A$2</f>
        <v>498100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38">
        <f ca="1">IFERROR(VLOOKUP(B54,input_498100!L:R,7,FALSE),VLOOKUP(tables_498100!C54,input_498100!A:H,8,FALSE))</f>
        <v>0</v>
      </c>
      <c r="P54" s="39">
        <f t="shared" ca="1" si="1"/>
        <v>0</v>
      </c>
      <c r="Q54" s="24">
        <v>1</v>
      </c>
      <c r="R54" s="24">
        <v>0</v>
      </c>
      <c r="S54" s="24">
        <v>0</v>
      </c>
      <c r="T54" s="24">
        <v>0</v>
      </c>
      <c r="U54" s="24">
        <v>0</v>
      </c>
      <c r="V54" s="24">
        <v>1</v>
      </c>
    </row>
    <row r="55" spans="1:22" ht="21" customHeight="1" x14ac:dyDescent="0.15">
      <c r="A55" s="2" t="str">
        <f ca="1">input_498100!A$2</f>
        <v>498100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38">
        <f ca="1">IFERROR(VLOOKUP(B55,input_498100!L:R,7,FALSE),VLOOKUP(tables_498100!C55,input_498100!A:H,8,FALSE))</f>
        <v>976938.46154000005</v>
      </c>
      <c r="P55" s="39">
        <f t="shared" ca="1" si="1"/>
        <v>8.5188216039978545E-3</v>
      </c>
      <c r="Q55" s="24">
        <v>1</v>
      </c>
      <c r="R55" s="24">
        <v>0</v>
      </c>
      <c r="S55" s="24">
        <v>0</v>
      </c>
      <c r="T55" s="24">
        <v>0</v>
      </c>
      <c r="U55" s="24">
        <v>0</v>
      </c>
      <c r="V55" s="24">
        <v>1</v>
      </c>
    </row>
    <row r="56" spans="1:22" ht="21" customHeight="1" x14ac:dyDescent="0.15">
      <c r="A56" s="2" t="str">
        <f ca="1">input_498100!A$2</f>
        <v>498100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38">
        <f ca="1">IFERROR(VLOOKUP(B56,input_498100!L:R,7,FALSE),VLOOKUP(tables_498100!C56,input_498100!A:H,8,FALSE))</f>
        <v>28591.53845</v>
      </c>
      <c r="P56" s="39">
        <f t="shared" ca="1" si="1"/>
        <v>2.4931582185376241E-4</v>
      </c>
      <c r="Q56" s="24">
        <v>1</v>
      </c>
      <c r="R56" s="24">
        <v>0</v>
      </c>
      <c r="S56" s="24">
        <v>0</v>
      </c>
      <c r="T56" s="24">
        <v>0</v>
      </c>
      <c r="U56" s="24">
        <v>0</v>
      </c>
      <c r="V56" s="24">
        <v>1</v>
      </c>
    </row>
    <row r="57" spans="1:22" ht="21" customHeight="1" x14ac:dyDescent="0.15">
      <c r="A57" s="2" t="str">
        <f ca="1">input_498100!A$2</f>
        <v>498100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38">
        <f ca="1">IFERROR(VLOOKUP(B57,input_498100!L:R,7,FALSE),VLOOKUP(tables_498100!C57,input_498100!A:H,8,FALSE))</f>
        <v>0</v>
      </c>
      <c r="P57" s="39">
        <f t="shared" ca="1" si="1"/>
        <v>0</v>
      </c>
      <c r="Q57" s="24">
        <v>1</v>
      </c>
      <c r="R57" s="24">
        <v>0</v>
      </c>
      <c r="S57" s="24">
        <v>0</v>
      </c>
      <c r="T57" s="24">
        <v>0</v>
      </c>
      <c r="U57" s="24">
        <v>0</v>
      </c>
      <c r="V57" s="24">
        <v>1</v>
      </c>
    </row>
    <row r="58" spans="1:22" ht="21" customHeight="1" x14ac:dyDescent="0.15">
      <c r="A58" s="2" t="str">
        <f ca="1">input_498100!A$2</f>
        <v>498100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38">
        <f ca="1">IFERROR(VLOOKUP(B58,input_498100!L:R,7,FALSE),VLOOKUP(tables_498100!C58,input_498100!A:H,8,FALSE))</f>
        <v>976938.46154000005</v>
      </c>
      <c r="P58" s="39">
        <f t="shared" ca="1" si="1"/>
        <v>8.5188216039978545E-3</v>
      </c>
      <c r="Q58" s="24">
        <v>1</v>
      </c>
      <c r="R58" s="24">
        <v>0</v>
      </c>
      <c r="S58" s="24">
        <v>0</v>
      </c>
      <c r="T58" s="24">
        <v>0</v>
      </c>
      <c r="U58" s="24">
        <v>0</v>
      </c>
      <c r="V58" s="24">
        <v>1</v>
      </c>
    </row>
    <row r="59" spans="1:22" ht="21" customHeight="1" x14ac:dyDescent="0.15">
      <c r="A59" s="2" t="str">
        <f ca="1">input_498100!A$2</f>
        <v>498100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38">
        <f ca="1">IFERROR(VLOOKUP(B59,input_498100!L:R,7,FALSE),VLOOKUP(tables_498100!C59,input_498100!A:H,8,FALSE))</f>
        <v>28591.53845</v>
      </c>
      <c r="P59" s="39">
        <f t="shared" ca="1" si="1"/>
        <v>2.4931582185376241E-4</v>
      </c>
      <c r="Q59" s="24">
        <v>1</v>
      </c>
      <c r="R59" s="24">
        <v>0</v>
      </c>
      <c r="S59" s="24">
        <v>0</v>
      </c>
      <c r="T59" s="24">
        <v>0</v>
      </c>
      <c r="U59" s="24">
        <v>0</v>
      </c>
      <c r="V59" s="24">
        <v>1</v>
      </c>
    </row>
    <row r="60" spans="1:22" ht="21" customHeight="1" x14ac:dyDescent="0.15">
      <c r="A60" s="2" t="str">
        <f ca="1">input_498100!A$2</f>
        <v>498100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38">
        <f ca="1">IFERROR(VLOOKUP(B60,input_498100!L:R,7,FALSE),VLOOKUP(tables_498100!C60,input_498100!A:H,8,FALSE))</f>
        <v>0</v>
      </c>
      <c r="P60" s="39">
        <f t="shared" ca="1" si="1"/>
        <v>0</v>
      </c>
      <c r="Q60" s="24">
        <v>1</v>
      </c>
      <c r="R60" s="24">
        <v>0</v>
      </c>
      <c r="S60" s="24">
        <v>0</v>
      </c>
      <c r="T60" s="24">
        <v>0</v>
      </c>
      <c r="U60" s="24">
        <v>0</v>
      </c>
      <c r="V60" s="24">
        <v>1</v>
      </c>
    </row>
    <row r="61" spans="1:22" ht="21" customHeight="1" x14ac:dyDescent="0.15">
      <c r="A61" s="2" t="str">
        <f ca="1">input_498100!A$2</f>
        <v>498100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38">
        <f ca="1">IFERROR(VLOOKUP(B61,input_498100!L:R,7,FALSE),VLOOKUP(tables_498100!C61,input_498100!A:H,8,FALSE))</f>
        <v>976938.46154000005</v>
      </c>
      <c r="P61" s="39">
        <f t="shared" ca="1" si="1"/>
        <v>8.5188216039978545E-3</v>
      </c>
      <c r="Q61" s="24">
        <v>1</v>
      </c>
      <c r="R61" s="24">
        <v>0</v>
      </c>
      <c r="S61" s="24">
        <v>0</v>
      </c>
      <c r="T61" s="24">
        <v>0</v>
      </c>
      <c r="U61" s="24">
        <v>0</v>
      </c>
      <c r="V61" s="24">
        <v>1</v>
      </c>
    </row>
    <row r="62" spans="1:22" ht="21" customHeight="1" x14ac:dyDescent="0.15">
      <c r="A62" s="2" t="str">
        <f ca="1">input_498100!A$2</f>
        <v>498100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38">
        <f ca="1">IFERROR(VLOOKUP(B62,input_498100!L:R,7,FALSE),VLOOKUP(tables_498100!C62,input_498100!A:H,8,FALSE))</f>
        <v>28591.53845</v>
      </c>
      <c r="P62" s="39">
        <f t="shared" ca="1" si="1"/>
        <v>2.4931582185376241E-4</v>
      </c>
      <c r="Q62" s="24">
        <v>1</v>
      </c>
      <c r="R62" s="24">
        <v>0</v>
      </c>
      <c r="S62" s="24">
        <v>0</v>
      </c>
      <c r="T62" s="24">
        <v>0</v>
      </c>
      <c r="U62" s="24">
        <v>0</v>
      </c>
      <c r="V62" s="24">
        <v>1</v>
      </c>
    </row>
    <row r="63" spans="1:22" ht="21" customHeight="1" x14ac:dyDescent="0.15">
      <c r="A63" s="2" t="str">
        <f ca="1">input_498100!A$2</f>
        <v>498100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38">
        <f ca="1">IFERROR(VLOOKUP(B63,input_498100!L:R,7,FALSE),VLOOKUP(tables_498100!C63,input_498100!A:H,8,FALSE))</f>
        <v>0</v>
      </c>
      <c r="P63" s="39">
        <f t="shared" ca="1" si="1"/>
        <v>0</v>
      </c>
      <c r="Q63" s="24">
        <v>1</v>
      </c>
      <c r="R63" s="24">
        <v>0</v>
      </c>
      <c r="S63" s="24">
        <v>0</v>
      </c>
      <c r="T63" s="24">
        <v>0</v>
      </c>
      <c r="U63" s="24">
        <v>0</v>
      </c>
      <c r="V63" s="24">
        <v>1</v>
      </c>
    </row>
    <row r="64" spans="1:22" ht="21" customHeight="1" x14ac:dyDescent="0.15">
      <c r="A64" s="2" t="str">
        <f ca="1">input_498100!A$2</f>
        <v>498100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38">
        <f ca="1">IFERROR(VLOOKUP(B64,input_498100!L:R,7,FALSE),VLOOKUP(tables_498100!C64,input_498100!A:H,8,FALSE))</f>
        <v>976938.46154000005</v>
      </c>
      <c r="P64" s="39">
        <f t="shared" ca="1" si="1"/>
        <v>8.5188216039978545E-3</v>
      </c>
      <c r="Q64" s="24">
        <v>1</v>
      </c>
      <c r="R64" s="24">
        <v>0</v>
      </c>
      <c r="S64" s="24">
        <v>0</v>
      </c>
      <c r="T64" s="24">
        <v>0</v>
      </c>
      <c r="U64" s="24">
        <v>0</v>
      </c>
      <c r="V64" s="24">
        <v>1</v>
      </c>
    </row>
    <row r="65" spans="1:22" ht="21" customHeight="1" x14ac:dyDescent="0.15">
      <c r="A65" s="2" t="str">
        <f ca="1">input_498100!A$2</f>
        <v>498100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38">
        <f ca="1">IFERROR(VLOOKUP(B65,input_498100!L:R,7,FALSE),VLOOKUP(tables_498100!C65,input_498100!A:H,8,FALSE))</f>
        <v>28591.53845</v>
      </c>
      <c r="P65" s="39">
        <f t="shared" ca="1" si="1"/>
        <v>2.4931582185376241E-4</v>
      </c>
      <c r="Q65" s="24">
        <v>1</v>
      </c>
      <c r="R65" s="24">
        <v>0</v>
      </c>
      <c r="S65" s="24">
        <v>0</v>
      </c>
      <c r="T65" s="24">
        <v>0</v>
      </c>
      <c r="U65" s="24">
        <v>0</v>
      </c>
      <c r="V65" s="24">
        <v>1</v>
      </c>
    </row>
    <row r="66" spans="1:22" s="9" customFormat="1" ht="21" customHeight="1" thickBot="1" x14ac:dyDescent="0.2">
      <c r="A66" s="2" t="str">
        <f ca="1">input_498100!A$2</f>
        <v>498100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38">
        <f ca="1">IFERROR(VLOOKUP(B66,input_498100!L:R,7,FALSE),VLOOKUP(tables_498100!C66,input_498100!A:H,8,FALSE))</f>
        <v>0</v>
      </c>
      <c r="P66" s="39">
        <f t="shared" ref="P66:P129" ca="1" si="4">O66/SUM(O:O)</f>
        <v>0</v>
      </c>
      <c r="Q66" s="24">
        <v>1</v>
      </c>
      <c r="R66" s="24">
        <v>0</v>
      </c>
      <c r="S66" s="24">
        <v>0</v>
      </c>
      <c r="T66" s="24">
        <v>0</v>
      </c>
      <c r="U66" s="24">
        <v>0</v>
      </c>
      <c r="V66" s="24">
        <v>1</v>
      </c>
    </row>
    <row r="67" spans="1:22" ht="21" customHeight="1" x14ac:dyDescent="0.15">
      <c r="A67" s="2" t="str">
        <f ca="1">input_498100!A$2</f>
        <v>498100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38">
        <f ca="1">IFERROR(VLOOKUP(B67,input_498100!L:R,7,FALSE),VLOOKUP(tables_498100!C67,input_498100!A:H,8,FALSE))</f>
        <v>976938.46154000005</v>
      </c>
      <c r="P67" s="39">
        <f t="shared" ca="1" si="4"/>
        <v>8.5188216039978545E-3</v>
      </c>
      <c r="Q67" s="24">
        <v>1</v>
      </c>
      <c r="R67" s="24">
        <v>0</v>
      </c>
      <c r="S67" s="24">
        <v>0</v>
      </c>
      <c r="T67" s="24">
        <v>0</v>
      </c>
      <c r="U67" s="24">
        <v>0</v>
      </c>
      <c r="V67" s="24">
        <v>1</v>
      </c>
    </row>
    <row r="68" spans="1:22" ht="21" customHeight="1" x14ac:dyDescent="0.15">
      <c r="A68" s="2" t="str">
        <f ca="1">input_498100!A$2</f>
        <v>498100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38">
        <f ca="1">IFERROR(VLOOKUP(B68,input_498100!L:R,7,FALSE),VLOOKUP(tables_498100!C68,input_498100!A:H,8,FALSE))</f>
        <v>28591.53845</v>
      </c>
      <c r="P68" s="39">
        <f t="shared" ca="1" si="4"/>
        <v>2.4931582185376241E-4</v>
      </c>
      <c r="Q68" s="24">
        <v>1</v>
      </c>
      <c r="R68" s="24">
        <v>0</v>
      </c>
      <c r="S68" s="24">
        <v>0</v>
      </c>
      <c r="T68" s="24">
        <v>0</v>
      </c>
      <c r="U68" s="24">
        <v>0</v>
      </c>
      <c r="V68" s="24">
        <v>1</v>
      </c>
    </row>
    <row r="69" spans="1:22" ht="21" customHeight="1" x14ac:dyDescent="0.15">
      <c r="A69" s="2" t="str">
        <f ca="1">input_498100!A$2</f>
        <v>498100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38">
        <f ca="1">IFERROR(VLOOKUP(B69,input_498100!L:R,7,FALSE),VLOOKUP(tables_498100!C69,input_498100!A:H,8,FALSE))</f>
        <v>0</v>
      </c>
      <c r="P69" s="39">
        <f t="shared" ca="1" si="4"/>
        <v>0</v>
      </c>
      <c r="Q69" s="24">
        <v>1</v>
      </c>
      <c r="R69" s="24">
        <v>0</v>
      </c>
      <c r="S69" s="24">
        <v>0</v>
      </c>
      <c r="T69" s="24">
        <v>0</v>
      </c>
      <c r="U69" s="24">
        <v>0</v>
      </c>
      <c r="V69" s="24">
        <v>1</v>
      </c>
    </row>
    <row r="70" spans="1:22" ht="21" customHeight="1" x14ac:dyDescent="0.15">
      <c r="A70" s="2" t="str">
        <f ca="1">input_498100!A$2</f>
        <v>498100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38">
        <f ca="1">IFERROR(VLOOKUP(B70,input_498100!L:R,7,FALSE),VLOOKUP(tables_498100!C70,input_498100!A:H,8,FALSE))</f>
        <v>976938.46154000005</v>
      </c>
      <c r="P70" s="39">
        <f t="shared" ca="1" si="4"/>
        <v>8.5188216039978545E-3</v>
      </c>
      <c r="Q70" s="24">
        <v>1</v>
      </c>
      <c r="R70" s="24">
        <v>0</v>
      </c>
      <c r="S70" s="24">
        <v>0</v>
      </c>
      <c r="T70" s="24">
        <v>0</v>
      </c>
      <c r="U70" s="24">
        <v>0</v>
      </c>
      <c r="V70" s="24">
        <v>1</v>
      </c>
    </row>
    <row r="71" spans="1:22" ht="21" customHeight="1" x14ac:dyDescent="0.15">
      <c r="A71" s="2" t="str">
        <f ca="1">input_498100!A$2</f>
        <v>498100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38">
        <f ca="1">IFERROR(VLOOKUP(B71,input_498100!L:R,7,FALSE),VLOOKUP(tables_498100!C71,input_498100!A:H,8,FALSE))</f>
        <v>28591.53845</v>
      </c>
      <c r="P71" s="39">
        <f t="shared" ca="1" si="4"/>
        <v>2.4931582185376241E-4</v>
      </c>
      <c r="Q71" s="24">
        <v>1</v>
      </c>
      <c r="R71" s="24">
        <v>0</v>
      </c>
      <c r="S71" s="24">
        <v>0</v>
      </c>
      <c r="T71" s="24">
        <v>0</v>
      </c>
      <c r="U71" s="24">
        <v>0</v>
      </c>
      <c r="V71" s="24">
        <v>1</v>
      </c>
    </row>
    <row r="72" spans="1:22" ht="21" customHeight="1" x14ac:dyDescent="0.15">
      <c r="A72" s="2" t="str">
        <f ca="1">input_498100!A$2</f>
        <v>498100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38">
        <f ca="1">IFERROR(VLOOKUP(B72,input_498100!L:R,7,FALSE),VLOOKUP(tables_498100!C72,input_498100!A:H,8,FALSE))</f>
        <v>0</v>
      </c>
      <c r="P72" s="39">
        <f t="shared" ca="1" si="4"/>
        <v>0</v>
      </c>
      <c r="Q72" s="24">
        <v>1</v>
      </c>
      <c r="R72" s="24">
        <v>0</v>
      </c>
      <c r="S72" s="24">
        <v>0</v>
      </c>
      <c r="T72" s="24">
        <v>0</v>
      </c>
      <c r="U72" s="24">
        <v>0</v>
      </c>
      <c r="V72" s="24">
        <v>1</v>
      </c>
    </row>
    <row r="73" spans="1:22" ht="21" customHeight="1" x14ac:dyDescent="0.15">
      <c r="A73" s="2" t="str">
        <f ca="1">input_498100!A$2</f>
        <v>498100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38">
        <f ca="1">IFERROR(VLOOKUP(B73,input_498100!L:R,7,FALSE),VLOOKUP(tables_498100!C73,input_498100!A:H,8,FALSE))</f>
        <v>976938.46154000005</v>
      </c>
      <c r="P73" s="39">
        <f t="shared" ca="1" si="4"/>
        <v>8.5188216039978545E-3</v>
      </c>
      <c r="Q73" s="24">
        <v>1</v>
      </c>
      <c r="R73" s="24">
        <v>0</v>
      </c>
      <c r="S73" s="24">
        <v>0</v>
      </c>
      <c r="T73" s="24">
        <v>0</v>
      </c>
      <c r="U73" s="24">
        <v>0</v>
      </c>
      <c r="V73" s="24">
        <v>1</v>
      </c>
    </row>
    <row r="74" spans="1:22" ht="21" customHeight="1" x14ac:dyDescent="0.15">
      <c r="A74" s="2" t="str">
        <f ca="1">input_498100!A$2</f>
        <v>498100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38">
        <f ca="1">IFERROR(VLOOKUP(B74,input_498100!L:R,7,FALSE),VLOOKUP(tables_498100!C74,input_498100!A:H,8,FALSE))</f>
        <v>28591.53845</v>
      </c>
      <c r="P74" s="39">
        <f t="shared" ca="1" si="4"/>
        <v>2.4931582185376241E-4</v>
      </c>
      <c r="Q74" s="24">
        <v>1</v>
      </c>
      <c r="R74" s="24">
        <v>0</v>
      </c>
      <c r="S74" s="24">
        <v>0</v>
      </c>
      <c r="T74" s="24">
        <v>0</v>
      </c>
      <c r="U74" s="24">
        <v>0</v>
      </c>
      <c r="V74" s="24">
        <v>1</v>
      </c>
    </row>
    <row r="75" spans="1:22" ht="21" customHeight="1" x14ac:dyDescent="0.15">
      <c r="A75" s="2" t="str">
        <f ca="1">input_498100!A$2</f>
        <v>498100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38">
        <f ca="1">IFERROR(VLOOKUP(B75,input_498100!L:R,7,FALSE),VLOOKUP(tables_498100!C75,input_498100!A:H,8,FALSE))</f>
        <v>0</v>
      </c>
      <c r="P75" s="39">
        <f t="shared" ca="1" si="4"/>
        <v>0</v>
      </c>
      <c r="Q75" s="24">
        <v>1</v>
      </c>
      <c r="R75" s="24">
        <v>0</v>
      </c>
      <c r="S75" s="24">
        <v>0</v>
      </c>
      <c r="T75" s="24">
        <v>0</v>
      </c>
      <c r="U75" s="24">
        <v>0</v>
      </c>
      <c r="V75" s="24">
        <v>1</v>
      </c>
    </row>
    <row r="76" spans="1:22" ht="21" customHeight="1" x14ac:dyDescent="0.15">
      <c r="A76" s="2" t="str">
        <f ca="1">input_498100!A$2</f>
        <v>498100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38">
        <f ca="1">IFERROR(VLOOKUP(B76,input_498100!L:R,7,FALSE),VLOOKUP(tables_498100!C76,input_498100!A:H,8,FALSE))</f>
        <v>976938.46154000005</v>
      </c>
      <c r="P76" s="39">
        <f t="shared" ca="1" si="4"/>
        <v>8.5188216039978545E-3</v>
      </c>
      <c r="Q76" s="24">
        <v>1</v>
      </c>
      <c r="R76" s="24">
        <v>0</v>
      </c>
      <c r="S76" s="24">
        <v>0</v>
      </c>
      <c r="T76" s="24">
        <v>0</v>
      </c>
      <c r="U76" s="24">
        <v>0</v>
      </c>
      <c r="V76" s="24">
        <v>1</v>
      </c>
    </row>
    <row r="77" spans="1:22" ht="21" customHeight="1" x14ac:dyDescent="0.15">
      <c r="A77" s="2" t="str">
        <f ca="1">input_498100!A$2</f>
        <v>498100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38">
        <f ca="1">IFERROR(VLOOKUP(B77,input_498100!L:R,7,FALSE),VLOOKUP(tables_498100!C77,input_498100!A:H,8,FALSE))</f>
        <v>28591.53845</v>
      </c>
      <c r="P77" s="39">
        <f t="shared" ca="1" si="4"/>
        <v>2.4931582185376241E-4</v>
      </c>
      <c r="Q77" s="24">
        <v>1</v>
      </c>
      <c r="R77" s="24">
        <v>0</v>
      </c>
      <c r="S77" s="24">
        <v>0</v>
      </c>
      <c r="T77" s="24">
        <v>0</v>
      </c>
      <c r="U77" s="24">
        <v>0</v>
      </c>
      <c r="V77" s="24">
        <v>1</v>
      </c>
    </row>
    <row r="78" spans="1:22" ht="21" customHeight="1" x14ac:dyDescent="0.15">
      <c r="A78" s="2" t="str">
        <f ca="1">input_498100!A$2</f>
        <v>498100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38">
        <f ca="1">IFERROR(VLOOKUP(B78,input_498100!L:R,7,FALSE),VLOOKUP(tables_498100!C78,input_498100!A:H,8,FALSE))</f>
        <v>0</v>
      </c>
      <c r="P78" s="39">
        <f t="shared" ca="1" si="4"/>
        <v>0</v>
      </c>
      <c r="Q78" s="24">
        <v>1</v>
      </c>
      <c r="R78" s="24">
        <v>0</v>
      </c>
      <c r="S78" s="24">
        <v>0</v>
      </c>
      <c r="T78" s="24">
        <v>0</v>
      </c>
      <c r="U78" s="24">
        <v>0</v>
      </c>
      <c r="V78" s="24">
        <v>1</v>
      </c>
    </row>
    <row r="79" spans="1:22" ht="21" customHeight="1" x14ac:dyDescent="0.15">
      <c r="A79" s="2" t="str">
        <f ca="1">input_498100!A$2</f>
        <v>498100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38">
        <f ca="1">IFERROR(VLOOKUP(B79,input_498100!L:R,7,FALSE),VLOOKUP(tables_498100!C79,input_498100!A:H,8,FALSE))</f>
        <v>976938.46154000005</v>
      </c>
      <c r="P79" s="39">
        <f t="shared" ca="1" si="4"/>
        <v>8.5188216039978545E-3</v>
      </c>
      <c r="Q79" s="24">
        <v>1</v>
      </c>
      <c r="R79" s="24">
        <v>0</v>
      </c>
      <c r="S79" s="24">
        <v>0</v>
      </c>
      <c r="T79" s="24">
        <v>0</v>
      </c>
      <c r="U79" s="24">
        <v>0</v>
      </c>
      <c r="V79" s="24">
        <v>1</v>
      </c>
    </row>
    <row r="80" spans="1:22" ht="21" customHeight="1" x14ac:dyDescent="0.15">
      <c r="A80" s="2" t="str">
        <f ca="1">input_498100!A$2</f>
        <v>498100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38">
        <f ca="1">IFERROR(VLOOKUP(B80,input_498100!L:R,7,FALSE),VLOOKUP(tables_498100!C80,input_498100!A:H,8,FALSE))</f>
        <v>28591.53845</v>
      </c>
      <c r="P80" s="39">
        <f t="shared" ca="1" si="4"/>
        <v>2.4931582185376241E-4</v>
      </c>
      <c r="Q80" s="24">
        <v>1</v>
      </c>
      <c r="R80" s="24">
        <v>0</v>
      </c>
      <c r="S80" s="24">
        <v>0</v>
      </c>
      <c r="T80" s="24">
        <v>0</v>
      </c>
      <c r="U80" s="24">
        <v>0</v>
      </c>
      <c r="V80" s="24">
        <v>1</v>
      </c>
    </row>
    <row r="81" spans="1:22" ht="21" customHeight="1" x14ac:dyDescent="0.15">
      <c r="A81" s="2" t="str">
        <f ca="1">input_498100!A$2</f>
        <v>498100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38">
        <f ca="1">IFERROR(VLOOKUP(B81,input_498100!L:R,7,FALSE),VLOOKUP(tables_498100!C81,input_498100!A:H,8,FALSE))</f>
        <v>0</v>
      </c>
      <c r="P81" s="39">
        <f t="shared" ca="1" si="4"/>
        <v>0</v>
      </c>
      <c r="Q81" s="24">
        <v>1</v>
      </c>
      <c r="R81" s="24">
        <v>0</v>
      </c>
      <c r="S81" s="24">
        <v>0</v>
      </c>
      <c r="T81" s="24">
        <v>0</v>
      </c>
      <c r="U81" s="24">
        <v>0</v>
      </c>
      <c r="V81" s="24">
        <v>1</v>
      </c>
    </row>
    <row r="82" spans="1:22" ht="21" customHeight="1" x14ac:dyDescent="0.15">
      <c r="A82" s="2" t="str">
        <f ca="1">input_498100!A$2</f>
        <v>498100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38">
        <f ca="1">IFERROR(VLOOKUP(B82,input_498100!L:R,7,FALSE),VLOOKUP(tables_498100!C82,input_498100!A:H,8,FALSE))</f>
        <v>976938.46154000005</v>
      </c>
      <c r="P82" s="39">
        <f t="shared" ca="1" si="4"/>
        <v>8.5188216039978545E-3</v>
      </c>
      <c r="Q82" s="24">
        <v>1</v>
      </c>
      <c r="R82" s="24">
        <v>0</v>
      </c>
      <c r="S82" s="24">
        <v>0</v>
      </c>
      <c r="T82" s="24">
        <v>0</v>
      </c>
      <c r="U82" s="24">
        <v>0</v>
      </c>
      <c r="V82" s="24">
        <v>1</v>
      </c>
    </row>
    <row r="83" spans="1:22" ht="21" customHeight="1" x14ac:dyDescent="0.15">
      <c r="A83" s="2" t="str">
        <f ca="1">input_498100!A$2</f>
        <v>498100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38">
        <f ca="1">IFERROR(VLOOKUP(B83,input_498100!L:R,7,FALSE),VLOOKUP(tables_498100!C83,input_498100!A:H,8,FALSE))</f>
        <v>28591.53845</v>
      </c>
      <c r="P83" s="39">
        <f t="shared" ca="1" si="4"/>
        <v>2.4931582185376241E-4</v>
      </c>
      <c r="Q83" s="24">
        <v>1</v>
      </c>
      <c r="R83" s="24">
        <v>0</v>
      </c>
      <c r="S83" s="24">
        <v>0</v>
      </c>
      <c r="T83" s="24">
        <v>0</v>
      </c>
      <c r="U83" s="24">
        <v>0</v>
      </c>
      <c r="V83" s="24">
        <v>1</v>
      </c>
    </row>
    <row r="84" spans="1:22" ht="21" customHeight="1" x14ac:dyDescent="0.15">
      <c r="A84" s="2" t="str">
        <f ca="1">input_498100!A$2</f>
        <v>498100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38">
        <f ca="1">IFERROR(VLOOKUP(B84,input_498100!L:R,7,FALSE),VLOOKUP(tables_498100!C84,input_498100!A:H,8,FALSE))</f>
        <v>0</v>
      </c>
      <c r="P84" s="39">
        <f t="shared" ca="1" si="4"/>
        <v>0</v>
      </c>
      <c r="Q84" s="24">
        <v>1</v>
      </c>
      <c r="R84" s="24">
        <v>0</v>
      </c>
      <c r="S84" s="24">
        <v>0</v>
      </c>
      <c r="T84" s="24">
        <v>0</v>
      </c>
      <c r="U84" s="24">
        <v>0</v>
      </c>
      <c r="V84" s="24">
        <v>1</v>
      </c>
    </row>
    <row r="85" spans="1:22" ht="21" customHeight="1" x14ac:dyDescent="0.15">
      <c r="A85" s="2" t="str">
        <f ca="1">input_498100!A$2</f>
        <v>498100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38">
        <f ca="1">IFERROR(VLOOKUP(B85,input_498100!L:R,7,FALSE),VLOOKUP(tables_498100!C85,input_498100!A:H,8,FALSE))</f>
        <v>976938.46154000005</v>
      </c>
      <c r="P85" s="39">
        <f t="shared" ca="1" si="4"/>
        <v>8.5188216039978545E-3</v>
      </c>
      <c r="Q85" s="24">
        <v>1</v>
      </c>
      <c r="R85" s="24">
        <v>0</v>
      </c>
      <c r="S85" s="24">
        <v>0</v>
      </c>
      <c r="T85" s="24">
        <v>0</v>
      </c>
      <c r="U85" s="24">
        <v>0</v>
      </c>
      <c r="V85" s="24">
        <v>1</v>
      </c>
    </row>
    <row r="86" spans="1:22" ht="21" customHeight="1" x14ac:dyDescent="0.15">
      <c r="A86" s="2" t="str">
        <f ca="1">input_498100!A$2</f>
        <v>498100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38">
        <f ca="1">IFERROR(VLOOKUP(B86,input_498100!L:R,7,FALSE),VLOOKUP(tables_498100!C86,input_498100!A:H,8,FALSE))</f>
        <v>28591.53845</v>
      </c>
      <c r="P86" s="39">
        <f t="shared" ca="1" si="4"/>
        <v>2.4931582185376241E-4</v>
      </c>
      <c r="Q86" s="24">
        <v>1</v>
      </c>
      <c r="R86" s="24">
        <v>0</v>
      </c>
      <c r="S86" s="24">
        <v>0</v>
      </c>
      <c r="T86" s="24">
        <v>0</v>
      </c>
      <c r="U86" s="24">
        <v>0</v>
      </c>
      <c r="V86" s="24">
        <v>1</v>
      </c>
    </row>
    <row r="87" spans="1:22" ht="21" customHeight="1" x14ac:dyDescent="0.15">
      <c r="A87" s="2" t="str">
        <f ca="1">input_498100!A$2</f>
        <v>498100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38">
        <f ca="1">IFERROR(VLOOKUP(B87,input_498100!L:R,7,FALSE),VLOOKUP(tables_498100!C87,input_498100!A:H,8,FALSE))</f>
        <v>0</v>
      </c>
      <c r="P87" s="39">
        <f t="shared" ca="1" si="4"/>
        <v>0</v>
      </c>
      <c r="Q87" s="24">
        <v>1</v>
      </c>
      <c r="R87" s="24">
        <v>0</v>
      </c>
      <c r="S87" s="24">
        <v>0</v>
      </c>
      <c r="T87" s="24">
        <v>0</v>
      </c>
      <c r="U87" s="24">
        <v>0</v>
      </c>
      <c r="V87" s="24">
        <v>1</v>
      </c>
    </row>
    <row r="88" spans="1:22" ht="21" customHeight="1" x14ac:dyDescent="0.15">
      <c r="A88" s="2" t="str">
        <f ca="1">input_498100!A$2</f>
        <v>498100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38">
        <f ca="1">IFERROR(VLOOKUP(B88,input_498100!L:R,7,FALSE),VLOOKUP(tables_498100!C88,input_498100!A:H,8,FALSE))</f>
        <v>976938.46154000005</v>
      </c>
      <c r="P88" s="39">
        <f t="shared" ca="1" si="4"/>
        <v>8.5188216039978545E-3</v>
      </c>
      <c r="Q88" s="24">
        <v>1</v>
      </c>
      <c r="R88" s="24">
        <v>0</v>
      </c>
      <c r="S88" s="24">
        <v>0</v>
      </c>
      <c r="T88" s="24">
        <v>0</v>
      </c>
      <c r="U88" s="24">
        <v>0</v>
      </c>
      <c r="V88" s="24">
        <v>1</v>
      </c>
    </row>
    <row r="89" spans="1:22" ht="21" customHeight="1" x14ac:dyDescent="0.15">
      <c r="A89" s="2" t="str">
        <f ca="1">input_498100!A$2</f>
        <v>498100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38">
        <f ca="1">IFERROR(VLOOKUP(B89,input_498100!L:R,7,FALSE),VLOOKUP(tables_498100!C89,input_498100!A:H,8,FALSE))</f>
        <v>28591.53845</v>
      </c>
      <c r="P89" s="39">
        <f t="shared" ca="1" si="4"/>
        <v>2.4931582185376241E-4</v>
      </c>
      <c r="Q89" s="24">
        <v>1</v>
      </c>
      <c r="R89" s="24">
        <v>0</v>
      </c>
      <c r="S89" s="24">
        <v>0</v>
      </c>
      <c r="T89" s="24">
        <v>0</v>
      </c>
      <c r="U89" s="24">
        <v>0</v>
      </c>
      <c r="V89" s="24">
        <v>1</v>
      </c>
    </row>
    <row r="90" spans="1:22" ht="21" customHeight="1" x14ac:dyDescent="0.15">
      <c r="A90" s="2" t="str">
        <f ca="1">input_498100!A$2</f>
        <v>498100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38">
        <f ca="1">IFERROR(VLOOKUP(B90,input_498100!L:R,7,FALSE),VLOOKUP(tables_498100!C90,input_498100!A:H,8,FALSE))</f>
        <v>0</v>
      </c>
      <c r="P90" s="39">
        <f t="shared" ca="1" si="4"/>
        <v>0</v>
      </c>
      <c r="Q90" s="24">
        <v>1</v>
      </c>
      <c r="R90" s="24">
        <v>0</v>
      </c>
      <c r="S90" s="24">
        <v>0</v>
      </c>
      <c r="T90" s="24">
        <v>0</v>
      </c>
      <c r="U90" s="24">
        <v>0</v>
      </c>
      <c r="V90" s="24">
        <v>1</v>
      </c>
    </row>
    <row r="91" spans="1:22" ht="21" customHeight="1" x14ac:dyDescent="0.15">
      <c r="A91" s="2" t="str">
        <f ca="1">input_498100!A$2</f>
        <v>498100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38">
        <f ca="1">IFERROR(VLOOKUP(B91,input_498100!L:R,7,FALSE),VLOOKUP(tables_498100!C91,input_498100!A:H,8,FALSE))</f>
        <v>976938.46154000005</v>
      </c>
      <c r="P91" s="39">
        <f t="shared" ca="1" si="4"/>
        <v>8.5188216039978545E-3</v>
      </c>
      <c r="Q91" s="24">
        <v>1</v>
      </c>
      <c r="R91" s="24">
        <v>0</v>
      </c>
      <c r="S91" s="24">
        <v>0</v>
      </c>
      <c r="T91" s="24">
        <v>0</v>
      </c>
      <c r="U91" s="24">
        <v>0</v>
      </c>
      <c r="V91" s="24">
        <v>1</v>
      </c>
    </row>
    <row r="92" spans="1:22" ht="21" customHeight="1" x14ac:dyDescent="0.15">
      <c r="A92" s="2" t="str">
        <f ca="1">input_498100!A$2</f>
        <v>498100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38">
        <f ca="1">IFERROR(VLOOKUP(B92,input_498100!L:R,7,FALSE),VLOOKUP(tables_498100!C92,input_498100!A:H,8,FALSE))</f>
        <v>28591.53845</v>
      </c>
      <c r="P92" s="39">
        <f t="shared" ca="1" si="4"/>
        <v>2.4931582185376241E-4</v>
      </c>
      <c r="Q92" s="24">
        <v>1</v>
      </c>
      <c r="R92" s="24">
        <v>0</v>
      </c>
      <c r="S92" s="24">
        <v>0</v>
      </c>
      <c r="T92" s="24">
        <v>0</v>
      </c>
      <c r="U92" s="24">
        <v>0</v>
      </c>
      <c r="V92" s="24">
        <v>1</v>
      </c>
    </row>
    <row r="93" spans="1:22" ht="21" customHeight="1" x14ac:dyDescent="0.15">
      <c r="A93" s="2" t="str">
        <f ca="1">input_498100!A$2</f>
        <v>498100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38">
        <f ca="1">IFERROR(VLOOKUP(B93,input_498100!L:R,7,FALSE),VLOOKUP(tables_498100!C93,input_498100!A:H,8,FALSE))</f>
        <v>0</v>
      </c>
      <c r="P93" s="39">
        <f t="shared" ca="1" si="4"/>
        <v>0</v>
      </c>
      <c r="Q93" s="24">
        <v>1</v>
      </c>
      <c r="R93" s="24">
        <v>0</v>
      </c>
      <c r="S93" s="24">
        <v>0</v>
      </c>
      <c r="T93" s="24">
        <v>0</v>
      </c>
      <c r="U93" s="24">
        <v>0</v>
      </c>
      <c r="V93" s="24">
        <v>1</v>
      </c>
    </row>
    <row r="94" spans="1:22" ht="21" customHeight="1" x14ac:dyDescent="0.15">
      <c r="A94" s="2" t="str">
        <f ca="1">input_498100!A$2</f>
        <v>498100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38">
        <f ca="1">IFERROR(VLOOKUP(B94,input_498100!L:R,7,FALSE),VLOOKUP(tables_498100!C94,input_498100!A:H,8,FALSE))</f>
        <v>976938.46154000005</v>
      </c>
      <c r="P94" s="39">
        <f t="shared" ca="1" si="4"/>
        <v>8.5188216039978545E-3</v>
      </c>
      <c r="Q94" s="24">
        <v>1</v>
      </c>
      <c r="R94" s="24">
        <v>0</v>
      </c>
      <c r="S94" s="24">
        <v>0</v>
      </c>
      <c r="T94" s="24">
        <v>0</v>
      </c>
      <c r="U94" s="24">
        <v>0</v>
      </c>
      <c r="V94" s="24">
        <v>1</v>
      </c>
    </row>
    <row r="95" spans="1:22" ht="21" customHeight="1" x14ac:dyDescent="0.15">
      <c r="A95" s="2" t="str">
        <f ca="1">input_498100!A$2</f>
        <v>498100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38">
        <f ca="1">IFERROR(VLOOKUP(B95,input_498100!L:R,7,FALSE),VLOOKUP(tables_498100!C95,input_498100!A:H,8,FALSE))</f>
        <v>28591.53845</v>
      </c>
      <c r="P95" s="39">
        <f t="shared" ca="1" si="4"/>
        <v>2.4931582185376241E-4</v>
      </c>
      <c r="Q95" s="24">
        <v>1</v>
      </c>
      <c r="R95" s="24">
        <v>0</v>
      </c>
      <c r="S95" s="24">
        <v>0</v>
      </c>
      <c r="T95" s="24">
        <v>0</v>
      </c>
      <c r="U95" s="24">
        <v>0</v>
      </c>
      <c r="V95" s="24">
        <v>1</v>
      </c>
    </row>
    <row r="96" spans="1:22" ht="21" customHeight="1" x14ac:dyDescent="0.15">
      <c r="A96" s="2" t="str">
        <f ca="1">input_498100!A$2</f>
        <v>498100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38">
        <f ca="1">IFERROR(VLOOKUP(B96,input_498100!L:R,7,FALSE),VLOOKUP(tables_498100!C96,input_498100!A:H,8,FALSE))</f>
        <v>0</v>
      </c>
      <c r="P96" s="39">
        <f t="shared" ca="1" si="4"/>
        <v>0</v>
      </c>
      <c r="Q96" s="24">
        <v>1</v>
      </c>
      <c r="R96" s="24">
        <v>0</v>
      </c>
      <c r="S96" s="24">
        <v>0</v>
      </c>
      <c r="T96" s="24">
        <v>0</v>
      </c>
      <c r="U96" s="24">
        <v>0</v>
      </c>
      <c r="V96" s="24">
        <v>1</v>
      </c>
    </row>
    <row r="97" spans="1:22" ht="21" customHeight="1" x14ac:dyDescent="0.15">
      <c r="A97" s="2" t="str">
        <f ca="1">input_498100!A$2</f>
        <v>498100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38">
        <f ca="1">IFERROR(VLOOKUP(B97,input_498100!L:R,7,FALSE),VLOOKUP(tables_498100!C97,input_498100!A:H,8,FALSE))</f>
        <v>976938.46154000005</v>
      </c>
      <c r="P97" s="39">
        <f t="shared" ca="1" si="4"/>
        <v>8.5188216039978545E-3</v>
      </c>
      <c r="Q97" s="24">
        <v>1</v>
      </c>
      <c r="R97" s="24">
        <v>0</v>
      </c>
      <c r="S97" s="24">
        <v>0</v>
      </c>
      <c r="T97" s="24">
        <v>0</v>
      </c>
      <c r="U97" s="24">
        <v>0</v>
      </c>
      <c r="V97" s="24">
        <v>1</v>
      </c>
    </row>
    <row r="98" spans="1:22" ht="21" customHeight="1" x14ac:dyDescent="0.15">
      <c r="A98" s="2" t="str">
        <f ca="1">input_498100!A$2</f>
        <v>498100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38">
        <f ca="1">IFERROR(VLOOKUP(B98,input_498100!L:R,7,FALSE),VLOOKUP(tables_498100!C98,input_498100!A:H,8,FALSE))</f>
        <v>28591.53845</v>
      </c>
      <c r="P98" s="39">
        <f t="shared" ca="1" si="4"/>
        <v>2.4931582185376241E-4</v>
      </c>
      <c r="Q98" s="24">
        <v>1</v>
      </c>
      <c r="R98" s="24">
        <v>0</v>
      </c>
      <c r="S98" s="24">
        <v>0</v>
      </c>
      <c r="T98" s="24">
        <v>0</v>
      </c>
      <c r="U98" s="24">
        <v>0</v>
      </c>
      <c r="V98" s="24">
        <v>1</v>
      </c>
    </row>
    <row r="99" spans="1:22" ht="21" customHeight="1" x14ac:dyDescent="0.15">
      <c r="A99" s="2" t="str">
        <f ca="1">input_498100!A$2</f>
        <v>498100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38">
        <f ca="1">IFERROR(VLOOKUP(B99,input_498100!L:R,7,FALSE),VLOOKUP(tables_498100!C99,input_498100!A:H,8,FALSE))</f>
        <v>0</v>
      </c>
      <c r="P99" s="39">
        <f t="shared" ca="1" si="4"/>
        <v>0</v>
      </c>
      <c r="Q99" s="24">
        <v>1</v>
      </c>
      <c r="R99" s="24">
        <v>0</v>
      </c>
      <c r="S99" s="24">
        <v>0</v>
      </c>
      <c r="T99" s="24">
        <v>0</v>
      </c>
      <c r="U99" s="24">
        <v>0</v>
      </c>
      <c r="V99" s="24">
        <v>1</v>
      </c>
    </row>
    <row r="100" spans="1:22" ht="21" customHeight="1" x14ac:dyDescent="0.15">
      <c r="A100" s="2" t="str">
        <f ca="1">input_498100!A$2</f>
        <v>498100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38">
        <f ca="1">IFERROR(VLOOKUP(B100,input_498100!L:R,7,FALSE),VLOOKUP(tables_498100!C100,input_498100!A:H,8,FALSE))</f>
        <v>976938.46154000005</v>
      </c>
      <c r="P100" s="39">
        <f t="shared" ca="1" si="4"/>
        <v>8.5188216039978545E-3</v>
      </c>
      <c r="Q100" s="24">
        <v>1</v>
      </c>
      <c r="R100" s="24">
        <v>0</v>
      </c>
      <c r="S100" s="24">
        <v>0</v>
      </c>
      <c r="T100" s="24">
        <v>0</v>
      </c>
      <c r="U100" s="24">
        <v>0</v>
      </c>
      <c r="V100" s="24">
        <v>1</v>
      </c>
    </row>
    <row r="101" spans="1:22" ht="21" customHeight="1" x14ac:dyDescent="0.15">
      <c r="A101" s="2" t="str">
        <f ca="1">input_498100!A$2</f>
        <v>498100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38">
        <f ca="1">IFERROR(VLOOKUP(B101,input_498100!L:R,7,FALSE),VLOOKUP(tables_498100!C101,input_498100!A:H,8,FALSE))</f>
        <v>28591.53845</v>
      </c>
      <c r="P101" s="39">
        <f t="shared" ca="1" si="4"/>
        <v>2.4931582185376241E-4</v>
      </c>
      <c r="Q101" s="24">
        <v>1</v>
      </c>
      <c r="R101" s="24">
        <v>0</v>
      </c>
      <c r="S101" s="24">
        <v>0</v>
      </c>
      <c r="T101" s="24">
        <v>0</v>
      </c>
      <c r="U101" s="24">
        <v>0</v>
      </c>
      <c r="V101" s="24">
        <v>1</v>
      </c>
    </row>
    <row r="102" spans="1:22" ht="21" customHeight="1" x14ac:dyDescent="0.15">
      <c r="A102" s="2" t="str">
        <f ca="1">input_498100!A$2</f>
        <v>498100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38">
        <f ca="1">IFERROR(VLOOKUP(B102,input_498100!L:R,7,FALSE),VLOOKUP(tables_498100!C102,input_498100!A:H,8,FALSE))</f>
        <v>0</v>
      </c>
      <c r="P102" s="39">
        <f t="shared" ca="1" si="4"/>
        <v>0</v>
      </c>
      <c r="Q102" s="24">
        <v>1</v>
      </c>
      <c r="R102" s="24">
        <v>0</v>
      </c>
      <c r="S102" s="24">
        <v>0</v>
      </c>
      <c r="T102" s="24">
        <v>0</v>
      </c>
      <c r="U102" s="24">
        <v>0</v>
      </c>
      <c r="V102" s="24">
        <v>1</v>
      </c>
    </row>
    <row r="103" spans="1:22" ht="21" customHeight="1" x14ac:dyDescent="0.15">
      <c r="A103" s="2" t="str">
        <f ca="1">input_498100!A$2</f>
        <v>498100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38">
        <f ca="1">IFERROR(VLOOKUP(B103,input_498100!L:R,7,FALSE),VLOOKUP(tables_498100!C103,input_498100!A:H,8,FALSE))</f>
        <v>976938.46154000005</v>
      </c>
      <c r="P103" s="39">
        <f t="shared" ca="1" si="4"/>
        <v>8.5188216039978545E-3</v>
      </c>
      <c r="Q103" s="24">
        <v>1</v>
      </c>
      <c r="R103" s="24">
        <v>0</v>
      </c>
      <c r="S103" s="24">
        <v>0</v>
      </c>
      <c r="T103" s="24">
        <v>0</v>
      </c>
      <c r="U103" s="24">
        <v>0</v>
      </c>
      <c r="V103" s="24">
        <v>1</v>
      </c>
    </row>
    <row r="104" spans="1:22" ht="21" customHeight="1" x14ac:dyDescent="0.15">
      <c r="A104" s="2" t="str">
        <f ca="1">input_498100!A$2</f>
        <v>498100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38">
        <f ca="1">IFERROR(VLOOKUP(B104,input_498100!L:R,7,FALSE),VLOOKUP(tables_498100!C104,input_498100!A:H,8,FALSE))</f>
        <v>28591.53845</v>
      </c>
      <c r="P104" s="39">
        <f t="shared" ca="1" si="4"/>
        <v>2.4931582185376241E-4</v>
      </c>
      <c r="Q104" s="24">
        <v>1</v>
      </c>
      <c r="R104" s="24">
        <v>0</v>
      </c>
      <c r="S104" s="24">
        <v>0</v>
      </c>
      <c r="T104" s="24">
        <v>0</v>
      </c>
      <c r="U104" s="24">
        <v>0</v>
      </c>
      <c r="V104" s="24">
        <v>1</v>
      </c>
    </row>
    <row r="105" spans="1:22" ht="21" customHeight="1" x14ac:dyDescent="0.15">
      <c r="A105" s="2" t="str">
        <f ca="1">input_498100!A$2</f>
        <v>498100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38">
        <f ca="1">IFERROR(VLOOKUP(B105,input_498100!L:R,7,FALSE),VLOOKUP(tables_498100!C105,input_498100!A:H,8,FALSE))</f>
        <v>0</v>
      </c>
      <c r="P105" s="39">
        <f t="shared" ca="1" si="4"/>
        <v>0</v>
      </c>
      <c r="Q105" s="24">
        <v>1</v>
      </c>
      <c r="R105" s="24">
        <v>0</v>
      </c>
      <c r="S105" s="24">
        <v>0</v>
      </c>
      <c r="T105" s="24">
        <v>0</v>
      </c>
      <c r="U105" s="24">
        <v>0</v>
      </c>
      <c r="V105" s="24">
        <v>1</v>
      </c>
    </row>
    <row r="106" spans="1:22" ht="21" customHeight="1" x14ac:dyDescent="0.15">
      <c r="A106" s="2" t="str">
        <f ca="1">input_498100!A$2</f>
        <v>498100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38">
        <f ca="1">IFERROR(VLOOKUP(B106,input_498100!L:R,7,FALSE),VLOOKUP(tables_498100!C106,input_498100!A:H,8,FALSE))</f>
        <v>976938.46154000005</v>
      </c>
      <c r="P106" s="39">
        <f t="shared" ca="1" si="4"/>
        <v>8.5188216039978545E-3</v>
      </c>
      <c r="Q106" s="24">
        <v>1</v>
      </c>
      <c r="R106" s="24">
        <v>0</v>
      </c>
      <c r="S106" s="24">
        <v>0</v>
      </c>
      <c r="T106" s="24">
        <v>0</v>
      </c>
      <c r="U106" s="24">
        <v>0</v>
      </c>
      <c r="V106" s="24">
        <v>1</v>
      </c>
    </row>
    <row r="107" spans="1:22" ht="21" customHeight="1" x14ac:dyDescent="0.15">
      <c r="A107" s="2" t="str">
        <f ca="1">input_498100!A$2</f>
        <v>498100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38">
        <f ca="1">IFERROR(VLOOKUP(B107,input_498100!L:R,7,FALSE),VLOOKUP(tables_498100!C107,input_498100!A:H,8,FALSE))</f>
        <v>28591.53845</v>
      </c>
      <c r="P107" s="39">
        <f t="shared" ca="1" si="4"/>
        <v>2.4931582185376241E-4</v>
      </c>
      <c r="Q107" s="24">
        <v>1</v>
      </c>
      <c r="R107" s="24">
        <v>0</v>
      </c>
      <c r="S107" s="24">
        <v>0</v>
      </c>
      <c r="T107" s="24">
        <v>0</v>
      </c>
      <c r="U107" s="24">
        <v>0</v>
      </c>
      <c r="V107" s="24">
        <v>1</v>
      </c>
    </row>
    <row r="108" spans="1:22" ht="21" customHeight="1" x14ac:dyDescent="0.15">
      <c r="A108" s="2" t="str">
        <f ca="1">input_498100!A$2</f>
        <v>498100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38">
        <f ca="1">IFERROR(VLOOKUP(B108,input_498100!L:R,7,FALSE),VLOOKUP(tables_498100!C108,input_498100!A:H,8,FALSE))</f>
        <v>0</v>
      </c>
      <c r="P108" s="39">
        <f t="shared" ca="1" si="4"/>
        <v>0</v>
      </c>
      <c r="Q108" s="24">
        <v>1</v>
      </c>
      <c r="R108" s="24">
        <v>0</v>
      </c>
      <c r="S108" s="24">
        <v>0</v>
      </c>
      <c r="T108" s="24">
        <v>0</v>
      </c>
      <c r="U108" s="24">
        <v>0</v>
      </c>
      <c r="V108" s="24">
        <v>1</v>
      </c>
    </row>
    <row r="109" spans="1:22" ht="21" customHeight="1" x14ac:dyDescent="0.15">
      <c r="A109" s="2" t="str">
        <f ca="1">input_498100!A$2</f>
        <v>498100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38">
        <f ca="1">IFERROR(VLOOKUP(B109,input_498100!L:R,7,FALSE),VLOOKUP(tables_498100!C109,input_498100!A:H,8,FALSE))</f>
        <v>976938.46154000005</v>
      </c>
      <c r="P109" s="39">
        <f t="shared" ca="1" si="4"/>
        <v>8.5188216039978545E-3</v>
      </c>
      <c r="Q109" s="24">
        <v>1</v>
      </c>
      <c r="R109" s="24">
        <v>0</v>
      </c>
      <c r="S109" s="24">
        <v>0</v>
      </c>
      <c r="T109" s="24">
        <v>0</v>
      </c>
      <c r="U109" s="24">
        <v>0</v>
      </c>
      <c r="V109" s="24">
        <v>1</v>
      </c>
    </row>
    <row r="110" spans="1:22" ht="21" customHeight="1" x14ac:dyDescent="0.15">
      <c r="A110" s="2" t="str">
        <f ca="1">input_498100!A$2</f>
        <v>498100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38">
        <f ca="1">IFERROR(VLOOKUP(B110,input_498100!L:R,7,FALSE),VLOOKUP(tables_498100!C110,input_498100!A:H,8,FALSE))</f>
        <v>28591.53845</v>
      </c>
      <c r="P110" s="39">
        <f t="shared" ca="1" si="4"/>
        <v>2.4931582185376241E-4</v>
      </c>
      <c r="Q110" s="24">
        <v>1</v>
      </c>
      <c r="R110" s="24">
        <v>0</v>
      </c>
      <c r="S110" s="24">
        <v>0</v>
      </c>
      <c r="T110" s="24">
        <v>0</v>
      </c>
      <c r="U110" s="24">
        <v>0</v>
      </c>
      <c r="V110" s="24">
        <v>1</v>
      </c>
    </row>
    <row r="111" spans="1:22" ht="21" customHeight="1" x14ac:dyDescent="0.15">
      <c r="A111" s="2" t="str">
        <f ca="1">input_498100!A$2</f>
        <v>498100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38">
        <f ca="1">IFERROR(VLOOKUP(B111,input_498100!L:R,7,FALSE),VLOOKUP(tables_498100!C111,input_498100!A:H,8,FALSE))</f>
        <v>0</v>
      </c>
      <c r="P111" s="39">
        <f t="shared" ca="1" si="4"/>
        <v>0</v>
      </c>
      <c r="Q111" s="24">
        <v>1</v>
      </c>
      <c r="R111" s="24">
        <v>0</v>
      </c>
      <c r="S111" s="24">
        <v>0</v>
      </c>
      <c r="T111" s="24">
        <v>0</v>
      </c>
      <c r="U111" s="24">
        <v>0</v>
      </c>
      <c r="V111" s="24">
        <v>1</v>
      </c>
    </row>
    <row r="112" spans="1:22" ht="21" customHeight="1" x14ac:dyDescent="0.15">
      <c r="A112" s="2" t="str">
        <f ca="1">input_498100!A$2</f>
        <v>498100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38">
        <f ca="1">IFERROR(VLOOKUP(B112,input_498100!L:R,7,FALSE),VLOOKUP(tables_498100!C112,input_498100!A:H,8,FALSE))</f>
        <v>1043100</v>
      </c>
      <c r="P112" s="39">
        <f t="shared" ca="1" si="4"/>
        <v>9.0957446809113388E-3</v>
      </c>
      <c r="Q112" s="24">
        <v>1</v>
      </c>
      <c r="R112" s="24">
        <v>0</v>
      </c>
      <c r="S112" s="24">
        <v>0</v>
      </c>
      <c r="T112" s="24">
        <v>0</v>
      </c>
      <c r="U112" s="24">
        <v>0</v>
      </c>
      <c r="V112" s="24">
        <v>1</v>
      </c>
    </row>
    <row r="113" spans="1:22" ht="21" customHeight="1" x14ac:dyDescent="0.15">
      <c r="A113" s="2" t="str">
        <f ca="1">input_498100!A$2</f>
        <v>498100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38">
        <f ca="1">IFERROR(VLOOKUP(B113,input_498100!L:R,7,FALSE),VLOOKUP(tables_498100!C113,input_498100!A:H,8,FALSE))</f>
        <v>115900</v>
      </c>
      <c r="P113" s="39">
        <f t="shared" ca="1" si="4"/>
        <v>1.0106382978790377E-3</v>
      </c>
      <c r="Q113" s="24">
        <v>1</v>
      </c>
      <c r="R113" s="24">
        <v>0</v>
      </c>
      <c r="S113" s="24">
        <v>0</v>
      </c>
      <c r="T113" s="24">
        <v>0</v>
      </c>
      <c r="U113" s="24">
        <v>0</v>
      </c>
      <c r="V113" s="24">
        <v>1</v>
      </c>
    </row>
    <row r="114" spans="1:22" ht="21" customHeight="1" x14ac:dyDescent="0.15">
      <c r="A114" s="2" t="str">
        <f ca="1">input_498100!A$2</f>
        <v>498100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38">
        <f ca="1">IFERROR(VLOOKUP(B114,input_498100!L:R,7,FALSE),VLOOKUP(tables_498100!C114,input_498100!A:H,8,FALSE))</f>
        <v>0</v>
      </c>
      <c r="P114" s="39">
        <f t="shared" ca="1" si="4"/>
        <v>0</v>
      </c>
      <c r="Q114" s="24">
        <v>1</v>
      </c>
      <c r="R114" s="24">
        <v>0</v>
      </c>
      <c r="S114" s="24">
        <v>0</v>
      </c>
      <c r="T114" s="24">
        <v>0</v>
      </c>
      <c r="U114" s="24">
        <v>0</v>
      </c>
      <c r="V114" s="24">
        <v>1</v>
      </c>
    </row>
    <row r="115" spans="1:22" ht="21" customHeight="1" x14ac:dyDescent="0.15">
      <c r="A115" s="2" t="str">
        <f ca="1">input_498100!A$2</f>
        <v>498100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38">
        <f ca="1">IFERROR(VLOOKUP(B115,input_498100!L:R,7,FALSE),VLOOKUP(tables_498100!C115,input_498100!A:H,8,FALSE))</f>
        <v>976938.46154000005</v>
      </c>
      <c r="P115" s="39">
        <f t="shared" ca="1" si="4"/>
        <v>8.5188216039978545E-3</v>
      </c>
      <c r="Q115" s="24">
        <v>1</v>
      </c>
      <c r="R115" s="24">
        <v>0</v>
      </c>
      <c r="S115" s="24">
        <v>0</v>
      </c>
      <c r="T115" s="24">
        <v>0</v>
      </c>
      <c r="U115" s="24">
        <v>0</v>
      </c>
      <c r="V115" s="24">
        <v>1</v>
      </c>
    </row>
    <row r="116" spans="1:22" ht="21" customHeight="1" x14ac:dyDescent="0.15">
      <c r="A116" s="2" t="str">
        <f ca="1">input_498100!A$2</f>
        <v>498100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38">
        <f ca="1">IFERROR(VLOOKUP(B116,input_498100!L:R,7,FALSE),VLOOKUP(tables_498100!C116,input_498100!A:H,8,FALSE))</f>
        <v>28591.53845</v>
      </c>
      <c r="P116" s="39">
        <f t="shared" ca="1" si="4"/>
        <v>2.4931582185376241E-4</v>
      </c>
      <c r="Q116" s="24">
        <v>1</v>
      </c>
      <c r="R116" s="24">
        <v>0</v>
      </c>
      <c r="S116" s="24">
        <v>0</v>
      </c>
      <c r="T116" s="24">
        <v>0</v>
      </c>
      <c r="U116" s="24">
        <v>0</v>
      </c>
      <c r="V116" s="24">
        <v>1</v>
      </c>
    </row>
    <row r="117" spans="1:22" ht="21" customHeight="1" x14ac:dyDescent="0.15">
      <c r="A117" s="2" t="str">
        <f ca="1">input_498100!A$2</f>
        <v>498100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38">
        <f ca="1">IFERROR(VLOOKUP(B117,input_498100!L:R,7,FALSE),VLOOKUP(tables_498100!C117,input_498100!A:H,8,FALSE))</f>
        <v>0</v>
      </c>
      <c r="P117" s="39">
        <f t="shared" ca="1" si="4"/>
        <v>0</v>
      </c>
      <c r="Q117" s="24">
        <v>1</v>
      </c>
      <c r="R117" s="24">
        <v>0</v>
      </c>
      <c r="S117" s="24">
        <v>0</v>
      </c>
      <c r="T117" s="24">
        <v>0</v>
      </c>
      <c r="U117" s="24">
        <v>0</v>
      </c>
      <c r="V117" s="24">
        <v>1</v>
      </c>
    </row>
    <row r="118" spans="1:22" ht="21" customHeight="1" x14ac:dyDescent="0.15">
      <c r="A118" s="2" t="str">
        <f ca="1">input_498100!A$2</f>
        <v>498100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38">
        <f ca="1">IFERROR(VLOOKUP(B118,input_498100!L:R,7,FALSE),VLOOKUP(tables_498100!C118,input_498100!A:H,8,FALSE))</f>
        <v>976938.46154000005</v>
      </c>
      <c r="P118" s="39">
        <f t="shared" ca="1" si="4"/>
        <v>8.5188216039978545E-3</v>
      </c>
      <c r="Q118" s="24">
        <v>1</v>
      </c>
      <c r="R118" s="24">
        <v>0</v>
      </c>
      <c r="S118" s="24">
        <v>0</v>
      </c>
      <c r="T118" s="24">
        <v>0</v>
      </c>
      <c r="U118" s="24">
        <v>0</v>
      </c>
      <c r="V118" s="24">
        <v>1</v>
      </c>
    </row>
    <row r="119" spans="1:22" ht="21" customHeight="1" x14ac:dyDescent="0.15">
      <c r="A119" s="2" t="str">
        <f ca="1">input_498100!A$2</f>
        <v>498100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38">
        <f ca="1">IFERROR(VLOOKUP(B119,input_498100!L:R,7,FALSE),VLOOKUP(tables_498100!C119,input_498100!A:H,8,FALSE))</f>
        <v>28591.53845</v>
      </c>
      <c r="P119" s="39">
        <f t="shared" ca="1" si="4"/>
        <v>2.4931582185376241E-4</v>
      </c>
      <c r="Q119" s="24">
        <v>1</v>
      </c>
      <c r="R119" s="24">
        <v>0</v>
      </c>
      <c r="S119" s="24">
        <v>0</v>
      </c>
      <c r="T119" s="24">
        <v>0</v>
      </c>
      <c r="U119" s="24">
        <v>0</v>
      </c>
      <c r="V119" s="24">
        <v>1</v>
      </c>
    </row>
    <row r="120" spans="1:22" ht="21" customHeight="1" x14ac:dyDescent="0.15">
      <c r="A120" s="2" t="str">
        <f ca="1">input_498100!A$2</f>
        <v>498100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38">
        <f ca="1">IFERROR(VLOOKUP(B120,input_498100!L:R,7,FALSE),VLOOKUP(tables_498100!C120,input_498100!A:H,8,FALSE))</f>
        <v>0</v>
      </c>
      <c r="P120" s="39">
        <f t="shared" ca="1" si="4"/>
        <v>0</v>
      </c>
      <c r="Q120" s="24">
        <v>1</v>
      </c>
      <c r="R120" s="24">
        <v>0</v>
      </c>
      <c r="S120" s="24">
        <v>0</v>
      </c>
      <c r="T120" s="24">
        <v>0</v>
      </c>
      <c r="U120" s="24">
        <v>0</v>
      </c>
      <c r="V120" s="24">
        <v>1</v>
      </c>
    </row>
    <row r="121" spans="1:22" ht="21" customHeight="1" x14ac:dyDescent="0.15">
      <c r="A121" s="2" t="str">
        <f ca="1">input_498100!A$2</f>
        <v>498100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38">
        <f ca="1">IFERROR(VLOOKUP(B121,input_498100!L:R,7,FALSE),VLOOKUP(tables_498100!C121,input_498100!A:H,8,FALSE))</f>
        <v>976938.46154000005</v>
      </c>
      <c r="P121" s="39">
        <f t="shared" ca="1" si="4"/>
        <v>8.5188216039978545E-3</v>
      </c>
      <c r="Q121" s="24">
        <v>1</v>
      </c>
      <c r="R121" s="24">
        <v>0</v>
      </c>
      <c r="S121" s="24">
        <v>0</v>
      </c>
      <c r="T121" s="24">
        <v>0</v>
      </c>
      <c r="U121" s="24">
        <v>0</v>
      </c>
      <c r="V121" s="24">
        <v>1</v>
      </c>
    </row>
    <row r="122" spans="1:22" ht="21" customHeight="1" x14ac:dyDescent="0.15">
      <c r="A122" s="2" t="str">
        <f ca="1">input_498100!A$2</f>
        <v>498100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38">
        <f ca="1">IFERROR(VLOOKUP(B122,input_498100!L:R,7,FALSE),VLOOKUP(tables_498100!C122,input_498100!A:H,8,FALSE))</f>
        <v>28591.53845</v>
      </c>
      <c r="P122" s="39">
        <f t="shared" ca="1" si="4"/>
        <v>2.4931582185376241E-4</v>
      </c>
      <c r="Q122" s="24">
        <v>1</v>
      </c>
      <c r="R122" s="24">
        <v>0</v>
      </c>
      <c r="S122" s="24">
        <v>0</v>
      </c>
      <c r="T122" s="24">
        <v>0</v>
      </c>
      <c r="U122" s="24">
        <v>0</v>
      </c>
      <c r="V122" s="24">
        <v>1</v>
      </c>
    </row>
    <row r="123" spans="1:22" ht="21" customHeight="1" x14ac:dyDescent="0.15">
      <c r="A123" s="2" t="str">
        <f ca="1">input_498100!A$2</f>
        <v>498100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38">
        <f ca="1">IFERROR(VLOOKUP(B123,input_498100!L:R,7,FALSE),VLOOKUP(tables_498100!C123,input_498100!A:H,8,FALSE))</f>
        <v>0</v>
      </c>
      <c r="P123" s="39">
        <f t="shared" ca="1" si="4"/>
        <v>0</v>
      </c>
      <c r="Q123" s="24">
        <v>1</v>
      </c>
      <c r="R123" s="24">
        <v>0</v>
      </c>
      <c r="S123" s="24">
        <v>0</v>
      </c>
      <c r="T123" s="24">
        <v>0</v>
      </c>
      <c r="U123" s="24">
        <v>0</v>
      </c>
      <c r="V123" s="24">
        <v>1</v>
      </c>
    </row>
    <row r="124" spans="1:22" ht="21" customHeight="1" x14ac:dyDescent="0.15">
      <c r="A124" s="2" t="str">
        <f ca="1">input_498100!A$2</f>
        <v>498100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38">
        <f ca="1">IFERROR(VLOOKUP(B124,input_498100!L:R,7,FALSE),VLOOKUP(tables_498100!C124,input_498100!A:H,8,FALSE))</f>
        <v>976938.46154000005</v>
      </c>
      <c r="P124" s="39">
        <f t="shared" ca="1" si="4"/>
        <v>8.5188216039978545E-3</v>
      </c>
      <c r="Q124" s="24">
        <v>1</v>
      </c>
      <c r="R124" s="24">
        <v>0</v>
      </c>
      <c r="S124" s="24">
        <v>0</v>
      </c>
      <c r="T124" s="24">
        <v>0</v>
      </c>
      <c r="U124" s="24">
        <v>0</v>
      </c>
      <c r="V124" s="24">
        <v>1</v>
      </c>
    </row>
    <row r="125" spans="1:22" ht="21" customHeight="1" x14ac:dyDescent="0.15">
      <c r="A125" s="2" t="str">
        <f ca="1">input_498100!A$2</f>
        <v>498100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38">
        <f ca="1">IFERROR(VLOOKUP(B125,input_498100!L:R,7,FALSE),VLOOKUP(tables_498100!C125,input_498100!A:H,8,FALSE))</f>
        <v>28591.53845</v>
      </c>
      <c r="P125" s="39">
        <f t="shared" ca="1" si="4"/>
        <v>2.4931582185376241E-4</v>
      </c>
      <c r="Q125" s="24">
        <v>1</v>
      </c>
      <c r="R125" s="24">
        <v>0</v>
      </c>
      <c r="S125" s="24">
        <v>0</v>
      </c>
      <c r="T125" s="24">
        <v>0</v>
      </c>
      <c r="U125" s="24">
        <v>0</v>
      </c>
      <c r="V125" s="24">
        <v>1</v>
      </c>
    </row>
    <row r="126" spans="1:22" ht="21" customHeight="1" x14ac:dyDescent="0.15">
      <c r="A126" s="2" t="str">
        <f ca="1">input_498100!A$2</f>
        <v>498100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38">
        <f ca="1">IFERROR(VLOOKUP(B126,input_498100!L:R,7,FALSE),VLOOKUP(tables_498100!C126,input_498100!A:H,8,FALSE))</f>
        <v>0</v>
      </c>
      <c r="P126" s="39">
        <f t="shared" ca="1" si="4"/>
        <v>0</v>
      </c>
      <c r="Q126" s="24">
        <v>1</v>
      </c>
      <c r="R126" s="24">
        <v>0</v>
      </c>
      <c r="S126" s="24">
        <v>0</v>
      </c>
      <c r="T126" s="24">
        <v>0</v>
      </c>
      <c r="U126" s="24">
        <v>0</v>
      </c>
      <c r="V126" s="24">
        <v>1</v>
      </c>
    </row>
    <row r="127" spans="1:22" ht="21" customHeight="1" x14ac:dyDescent="0.15">
      <c r="A127" s="2" t="str">
        <f ca="1">input_498100!A$2</f>
        <v>498100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38">
        <f ca="1">IFERROR(VLOOKUP(B127,input_498100!L:R,7,FALSE),VLOOKUP(tables_498100!C127,input_498100!A:H,8,FALSE))</f>
        <v>976938.46154000005</v>
      </c>
      <c r="P127" s="39">
        <f t="shared" ca="1" si="4"/>
        <v>8.5188216039978545E-3</v>
      </c>
      <c r="Q127" s="24">
        <v>1</v>
      </c>
      <c r="R127" s="24">
        <v>0</v>
      </c>
      <c r="S127" s="24">
        <v>0</v>
      </c>
      <c r="T127" s="24">
        <v>0</v>
      </c>
      <c r="U127" s="24">
        <v>0</v>
      </c>
      <c r="V127" s="24">
        <v>1</v>
      </c>
    </row>
    <row r="128" spans="1:22" ht="21" customHeight="1" x14ac:dyDescent="0.15">
      <c r="A128" s="2" t="str">
        <f ca="1">input_498100!A$2</f>
        <v>498100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38">
        <f ca="1">IFERROR(VLOOKUP(B128,input_498100!L:R,7,FALSE),VLOOKUP(tables_498100!C128,input_498100!A:H,8,FALSE))</f>
        <v>28591.53845</v>
      </c>
      <c r="P128" s="39">
        <f t="shared" ca="1" si="4"/>
        <v>2.4931582185376241E-4</v>
      </c>
      <c r="Q128" s="24">
        <v>1</v>
      </c>
      <c r="R128" s="24">
        <v>0</v>
      </c>
      <c r="S128" s="24">
        <v>0</v>
      </c>
      <c r="T128" s="24">
        <v>0</v>
      </c>
      <c r="U128" s="24">
        <v>0</v>
      </c>
      <c r="V128" s="24">
        <v>1</v>
      </c>
    </row>
    <row r="129" spans="1:22" ht="21" customHeight="1" x14ac:dyDescent="0.15">
      <c r="A129" s="2" t="str">
        <f ca="1">input_498100!A$2</f>
        <v>498100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38">
        <f ca="1">IFERROR(VLOOKUP(B129,input_498100!L:R,7,FALSE),VLOOKUP(tables_498100!C129,input_498100!A:H,8,FALSE))</f>
        <v>0</v>
      </c>
      <c r="P129" s="39">
        <f t="shared" ca="1" si="4"/>
        <v>0</v>
      </c>
      <c r="Q129" s="24">
        <v>1</v>
      </c>
      <c r="R129" s="24">
        <v>0</v>
      </c>
      <c r="S129" s="24">
        <v>0</v>
      </c>
      <c r="T129" s="24">
        <v>0</v>
      </c>
      <c r="U129" s="24">
        <v>0</v>
      </c>
      <c r="V129" s="24">
        <v>1</v>
      </c>
    </row>
    <row r="130" spans="1:22" ht="21" customHeight="1" x14ac:dyDescent="0.15">
      <c r="A130" s="2" t="str">
        <f ca="1">input_498100!A$2</f>
        <v>498100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38">
        <f ca="1">IFERROR(VLOOKUP(B130,input_498100!L:R,7,FALSE),VLOOKUP(tables_498100!C130,input_498100!A:H,8,FALSE))</f>
        <v>976938.46154000005</v>
      </c>
      <c r="P130" s="39">
        <f t="shared" ref="P130:P193" ca="1" si="7">O130/SUM(O:O)</f>
        <v>8.5188216039978545E-3</v>
      </c>
      <c r="Q130" s="24">
        <v>1</v>
      </c>
      <c r="R130" s="24">
        <v>0</v>
      </c>
      <c r="S130" s="24">
        <v>0</v>
      </c>
      <c r="T130" s="24">
        <v>0</v>
      </c>
      <c r="U130" s="24">
        <v>0</v>
      </c>
      <c r="V130" s="24">
        <v>1</v>
      </c>
    </row>
    <row r="131" spans="1:22" ht="21" customHeight="1" x14ac:dyDescent="0.15">
      <c r="A131" s="2" t="str">
        <f ca="1">input_498100!A$2</f>
        <v>498100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38">
        <f ca="1">IFERROR(VLOOKUP(B131,input_498100!L:R,7,FALSE),VLOOKUP(tables_498100!C131,input_498100!A:H,8,FALSE))</f>
        <v>28591.53845</v>
      </c>
      <c r="P131" s="39">
        <f t="shared" ca="1" si="7"/>
        <v>2.4931582185376241E-4</v>
      </c>
      <c r="Q131" s="24">
        <v>1</v>
      </c>
      <c r="R131" s="24">
        <v>0</v>
      </c>
      <c r="S131" s="24">
        <v>0</v>
      </c>
      <c r="T131" s="24">
        <v>0</v>
      </c>
      <c r="U131" s="24">
        <v>0</v>
      </c>
      <c r="V131" s="24">
        <v>1</v>
      </c>
    </row>
    <row r="132" spans="1:22" ht="21" customHeight="1" x14ac:dyDescent="0.15">
      <c r="A132" s="2" t="str">
        <f ca="1">input_498100!A$2</f>
        <v>498100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38">
        <f ca="1">IFERROR(VLOOKUP(B132,input_498100!L:R,7,FALSE),VLOOKUP(tables_498100!C132,input_498100!A:H,8,FALSE))</f>
        <v>0</v>
      </c>
      <c r="P132" s="39">
        <f t="shared" ca="1" si="7"/>
        <v>0</v>
      </c>
      <c r="Q132" s="24">
        <v>1</v>
      </c>
      <c r="R132" s="24">
        <v>0</v>
      </c>
      <c r="S132" s="24">
        <v>0</v>
      </c>
      <c r="T132" s="24">
        <v>0</v>
      </c>
      <c r="U132" s="24">
        <v>0</v>
      </c>
      <c r="V132" s="24">
        <v>1</v>
      </c>
    </row>
    <row r="133" spans="1:22" ht="21" customHeight="1" x14ac:dyDescent="0.15">
      <c r="A133" s="2" t="str">
        <f ca="1">input_498100!A$2</f>
        <v>498100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38">
        <f ca="1">IFERROR(VLOOKUP(B133,input_498100!L:R,7,FALSE),VLOOKUP(tables_498100!C133,input_498100!A:H,8,FALSE))</f>
        <v>976938.46154000005</v>
      </c>
      <c r="P133" s="39">
        <f t="shared" ca="1" si="7"/>
        <v>8.5188216039978545E-3</v>
      </c>
      <c r="Q133" s="24">
        <v>1</v>
      </c>
      <c r="R133" s="24">
        <v>0</v>
      </c>
      <c r="S133" s="24">
        <v>0</v>
      </c>
      <c r="T133" s="24">
        <v>0</v>
      </c>
      <c r="U133" s="24">
        <v>0</v>
      </c>
      <c r="V133" s="24">
        <v>1</v>
      </c>
    </row>
    <row r="134" spans="1:22" ht="21" customHeight="1" x14ac:dyDescent="0.15">
      <c r="A134" s="2" t="str">
        <f ca="1">input_498100!A$2</f>
        <v>498100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38">
        <f ca="1">IFERROR(VLOOKUP(B134,input_498100!L:R,7,FALSE),VLOOKUP(tables_498100!C134,input_498100!A:H,8,FALSE))</f>
        <v>28591.53845</v>
      </c>
      <c r="P134" s="39">
        <f t="shared" ca="1" si="7"/>
        <v>2.4931582185376241E-4</v>
      </c>
      <c r="Q134" s="24">
        <v>1</v>
      </c>
      <c r="R134" s="24">
        <v>0</v>
      </c>
      <c r="S134" s="24">
        <v>0</v>
      </c>
      <c r="T134" s="24">
        <v>0</v>
      </c>
      <c r="U134" s="24">
        <v>0</v>
      </c>
      <c r="V134" s="24">
        <v>1</v>
      </c>
    </row>
    <row r="135" spans="1:22" ht="21" customHeight="1" x14ac:dyDescent="0.15">
      <c r="A135" s="2" t="str">
        <f ca="1">input_498100!A$2</f>
        <v>498100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38">
        <f ca="1">IFERROR(VLOOKUP(B135,input_498100!L:R,7,FALSE),VLOOKUP(tables_498100!C135,input_498100!A:H,8,FALSE))</f>
        <v>0</v>
      </c>
      <c r="P135" s="39">
        <f t="shared" ca="1" si="7"/>
        <v>0</v>
      </c>
      <c r="Q135" s="24">
        <v>1</v>
      </c>
      <c r="R135" s="24">
        <v>0</v>
      </c>
      <c r="S135" s="24">
        <v>0</v>
      </c>
      <c r="T135" s="24">
        <v>0</v>
      </c>
      <c r="U135" s="24">
        <v>0</v>
      </c>
      <c r="V135" s="24">
        <v>1</v>
      </c>
    </row>
    <row r="136" spans="1:22" ht="21" customHeight="1" x14ac:dyDescent="0.15">
      <c r="A136" s="2" t="str">
        <f ca="1">input_498100!A$2</f>
        <v>498100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38">
        <f ca="1">IFERROR(VLOOKUP(B136,input_498100!L:R,7,FALSE),VLOOKUP(tables_498100!C136,input_498100!A:H,8,FALSE))</f>
        <v>976938.46154000005</v>
      </c>
      <c r="P136" s="39">
        <f t="shared" ca="1" si="7"/>
        <v>8.5188216039978545E-3</v>
      </c>
      <c r="Q136" s="24">
        <v>1</v>
      </c>
      <c r="R136" s="24">
        <v>0</v>
      </c>
      <c r="S136" s="24">
        <v>0</v>
      </c>
      <c r="T136" s="24">
        <v>0</v>
      </c>
      <c r="U136" s="24">
        <v>0</v>
      </c>
      <c r="V136" s="24">
        <v>1</v>
      </c>
    </row>
    <row r="137" spans="1:22" ht="21" customHeight="1" x14ac:dyDescent="0.15">
      <c r="A137" s="2" t="str">
        <f ca="1">input_498100!A$2</f>
        <v>498100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38">
        <f ca="1">IFERROR(VLOOKUP(B137,input_498100!L:R,7,FALSE),VLOOKUP(tables_498100!C137,input_498100!A:H,8,FALSE))</f>
        <v>28591.53845</v>
      </c>
      <c r="P137" s="39">
        <f t="shared" ca="1" si="7"/>
        <v>2.4931582185376241E-4</v>
      </c>
      <c r="Q137" s="24">
        <v>1</v>
      </c>
      <c r="R137" s="24">
        <v>0</v>
      </c>
      <c r="S137" s="24">
        <v>0</v>
      </c>
      <c r="T137" s="24">
        <v>0</v>
      </c>
      <c r="U137" s="24">
        <v>0</v>
      </c>
      <c r="V137" s="24">
        <v>1</v>
      </c>
    </row>
    <row r="138" spans="1:22" ht="21" customHeight="1" x14ac:dyDescent="0.15">
      <c r="A138" s="2" t="str">
        <f ca="1">input_498100!A$2</f>
        <v>498100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38">
        <f ca="1">IFERROR(VLOOKUP(B138,input_498100!L:R,7,FALSE),VLOOKUP(tables_498100!C138,input_498100!A:H,8,FALSE))</f>
        <v>33840</v>
      </c>
      <c r="P138" s="39">
        <f t="shared" ca="1" si="7"/>
        <v>2.9508196721507018E-4</v>
      </c>
      <c r="Q138" s="24">
        <v>1</v>
      </c>
      <c r="R138" s="24">
        <v>0</v>
      </c>
      <c r="S138" s="24">
        <v>0</v>
      </c>
      <c r="T138" s="24">
        <v>0</v>
      </c>
      <c r="U138" s="24">
        <v>0</v>
      </c>
      <c r="V138" s="24">
        <v>1</v>
      </c>
    </row>
    <row r="139" spans="1:22" ht="21" customHeight="1" x14ac:dyDescent="0.15">
      <c r="A139" s="2" t="str">
        <f ca="1">input_498100!A$2</f>
        <v>498100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38">
        <f ca="1">IFERROR(VLOOKUP(B139,input_498100!L:R,7,FALSE),VLOOKUP(tables_498100!C139,input_498100!A:H,8,FALSE))</f>
        <v>3760</v>
      </c>
      <c r="P139" s="39">
        <f t="shared" ca="1" si="7"/>
        <v>3.2786885246118909E-5</v>
      </c>
      <c r="Q139" s="24">
        <v>1</v>
      </c>
      <c r="R139" s="24">
        <v>0</v>
      </c>
      <c r="S139" s="24">
        <v>0</v>
      </c>
      <c r="T139" s="24">
        <v>0</v>
      </c>
      <c r="U139" s="24">
        <v>0</v>
      </c>
      <c r="V139" s="24">
        <v>1</v>
      </c>
    </row>
    <row r="140" spans="1:22" ht="21" customHeight="1" x14ac:dyDescent="0.15">
      <c r="A140" s="2" t="str">
        <f ca="1">input_498100!A$2</f>
        <v>498100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38">
        <f ca="1">IFERROR(VLOOKUP(B140,input_498100!L:R,7,FALSE),VLOOKUP(tables_498100!C140,input_498100!A:H,8,FALSE))</f>
        <v>33840</v>
      </c>
      <c r="P140" s="39">
        <f t="shared" ca="1" si="7"/>
        <v>2.9508196721507018E-4</v>
      </c>
      <c r="Q140" s="24">
        <v>1</v>
      </c>
      <c r="R140" s="24">
        <v>0</v>
      </c>
      <c r="S140" s="24">
        <v>0</v>
      </c>
      <c r="T140" s="24">
        <v>0</v>
      </c>
      <c r="U140" s="24">
        <v>0</v>
      </c>
      <c r="V140" s="24">
        <v>1</v>
      </c>
    </row>
    <row r="141" spans="1:22" ht="21" customHeight="1" x14ac:dyDescent="0.15">
      <c r="A141" s="2" t="str">
        <f ca="1">input_498100!A$2</f>
        <v>498100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38">
        <f ca="1">IFERROR(VLOOKUP(B141,input_498100!L:R,7,FALSE),VLOOKUP(tables_498100!C141,input_498100!A:H,8,FALSE))</f>
        <v>3760</v>
      </c>
      <c r="P141" s="39">
        <f t="shared" ca="1" si="7"/>
        <v>3.2786885246118909E-5</v>
      </c>
      <c r="Q141" s="24">
        <v>1</v>
      </c>
      <c r="R141" s="24">
        <v>0</v>
      </c>
      <c r="S141" s="24">
        <v>0</v>
      </c>
      <c r="T141" s="24">
        <v>0</v>
      </c>
      <c r="U141" s="24">
        <v>0</v>
      </c>
      <c r="V141" s="24">
        <v>1</v>
      </c>
    </row>
    <row r="142" spans="1:22" ht="21" customHeight="1" x14ac:dyDescent="0.15">
      <c r="A142" s="2" t="str">
        <f ca="1">input_498100!A$2</f>
        <v>498100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38">
        <f ca="1">IFERROR(VLOOKUP(B142,input_498100!L:R,7,FALSE),VLOOKUP(tables_498100!C142,input_498100!A:H,8,FALSE))</f>
        <v>33840</v>
      </c>
      <c r="P142" s="39">
        <f t="shared" ca="1" si="7"/>
        <v>2.9508196721507018E-4</v>
      </c>
      <c r="Q142" s="24">
        <v>1</v>
      </c>
      <c r="R142" s="24">
        <v>0</v>
      </c>
      <c r="S142" s="24">
        <v>0</v>
      </c>
      <c r="T142" s="24">
        <v>0</v>
      </c>
      <c r="U142" s="24">
        <v>0</v>
      </c>
      <c r="V142" s="24">
        <v>1</v>
      </c>
    </row>
    <row r="143" spans="1:22" s="12" customFormat="1" ht="21" customHeight="1" thickBot="1" x14ac:dyDescent="0.2">
      <c r="A143" s="2" t="str">
        <f ca="1">input_498100!A$2</f>
        <v>498100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38">
        <f ca="1">IFERROR(VLOOKUP(B143,input_498100!L:R,7,FALSE),VLOOKUP(tables_498100!C143,input_498100!A:H,8,FALSE))</f>
        <v>3760</v>
      </c>
      <c r="P143" s="39">
        <f t="shared" ca="1" si="7"/>
        <v>3.2786885246118909E-5</v>
      </c>
      <c r="Q143" s="24">
        <v>1</v>
      </c>
      <c r="R143" s="24">
        <v>0</v>
      </c>
      <c r="S143" s="24">
        <v>0</v>
      </c>
      <c r="T143" s="24">
        <v>0</v>
      </c>
      <c r="U143" s="24">
        <v>0</v>
      </c>
      <c r="V143" s="24">
        <v>1</v>
      </c>
    </row>
    <row r="144" spans="1:22" ht="21" customHeight="1" x14ac:dyDescent="0.15">
      <c r="A144" s="2" t="str">
        <f ca="1">input_498100!A$2</f>
        <v>498100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38">
        <f ca="1">IFERROR(VLOOKUP(B144,input_498100!L:R,7,FALSE),VLOOKUP(tables_498100!C144,input_498100!A:H,8,FALSE))</f>
        <v>33840</v>
      </c>
      <c r="P144" s="39">
        <f t="shared" ca="1" si="7"/>
        <v>2.9508196721507018E-4</v>
      </c>
      <c r="Q144" s="24">
        <v>1</v>
      </c>
      <c r="R144" s="24">
        <v>0</v>
      </c>
      <c r="S144" s="24">
        <v>0</v>
      </c>
      <c r="T144" s="24">
        <v>0</v>
      </c>
      <c r="U144" s="24">
        <v>0</v>
      </c>
      <c r="V144" s="24">
        <v>1</v>
      </c>
    </row>
    <row r="145" spans="1:22" ht="21" customHeight="1" x14ac:dyDescent="0.15">
      <c r="A145" s="2" t="str">
        <f ca="1">input_498100!A$2</f>
        <v>498100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38">
        <f ca="1">IFERROR(VLOOKUP(B145,input_498100!L:R,7,FALSE),VLOOKUP(tables_498100!C145,input_498100!A:H,8,FALSE))</f>
        <v>3760</v>
      </c>
      <c r="P145" s="39">
        <f t="shared" ca="1" si="7"/>
        <v>3.2786885246118909E-5</v>
      </c>
      <c r="Q145" s="24">
        <v>1</v>
      </c>
      <c r="R145" s="24">
        <v>0</v>
      </c>
      <c r="S145" s="24">
        <v>0</v>
      </c>
      <c r="T145" s="24">
        <v>0</v>
      </c>
      <c r="U145" s="24">
        <v>0</v>
      </c>
      <c r="V145" s="24">
        <v>1</v>
      </c>
    </row>
    <row r="146" spans="1:22" ht="21" customHeight="1" x14ac:dyDescent="0.15">
      <c r="A146" s="2" t="str">
        <f ca="1">input_498100!A$2</f>
        <v>498100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38">
        <f ca="1">IFERROR(VLOOKUP(B146,input_498100!L:R,7,FALSE),VLOOKUP(tables_498100!C146,input_498100!A:H,8,FALSE))</f>
        <v>0</v>
      </c>
      <c r="P146" s="39">
        <f t="shared" ca="1" si="7"/>
        <v>0</v>
      </c>
      <c r="Q146" s="24">
        <v>1</v>
      </c>
      <c r="R146" s="24">
        <v>0</v>
      </c>
      <c r="S146" s="24">
        <v>0</v>
      </c>
      <c r="T146" s="24">
        <v>0</v>
      </c>
      <c r="U146" s="24">
        <v>0</v>
      </c>
      <c r="V146" s="24">
        <v>1</v>
      </c>
    </row>
    <row r="147" spans="1:22" ht="21" customHeight="1" x14ac:dyDescent="0.15">
      <c r="A147" s="2" t="str">
        <f ca="1">input_498100!A$2</f>
        <v>498100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38">
        <f ca="1">IFERROR(VLOOKUP(B147,input_498100!L:R,7,FALSE),VLOOKUP(tables_498100!C147,input_498100!A:H,8,FALSE))</f>
        <v>976938.46154000005</v>
      </c>
      <c r="P147" s="39">
        <f t="shared" ca="1" si="7"/>
        <v>8.5188216039978545E-3</v>
      </c>
      <c r="Q147" s="24">
        <v>1</v>
      </c>
      <c r="R147" s="24">
        <v>0</v>
      </c>
      <c r="S147" s="24">
        <v>0</v>
      </c>
      <c r="T147" s="24">
        <v>0</v>
      </c>
      <c r="U147" s="24">
        <v>0</v>
      </c>
      <c r="V147" s="24">
        <v>1</v>
      </c>
    </row>
    <row r="148" spans="1:22" ht="21" customHeight="1" x14ac:dyDescent="0.15">
      <c r="A148" s="2" t="str">
        <f ca="1">input_498100!A$2</f>
        <v>498100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38">
        <f ca="1">IFERROR(VLOOKUP(B148,input_498100!L:R,7,FALSE),VLOOKUP(tables_498100!C148,input_498100!A:H,8,FALSE))</f>
        <v>28591.53845</v>
      </c>
      <c r="P148" s="39">
        <f t="shared" ca="1" si="7"/>
        <v>2.4931582185376241E-4</v>
      </c>
      <c r="Q148" s="24">
        <v>1</v>
      </c>
      <c r="R148" s="24">
        <v>0</v>
      </c>
      <c r="S148" s="24">
        <v>0</v>
      </c>
      <c r="T148" s="24">
        <v>0</v>
      </c>
      <c r="U148" s="24">
        <v>0</v>
      </c>
      <c r="V148" s="24">
        <v>1</v>
      </c>
    </row>
    <row r="149" spans="1:22" ht="21" customHeight="1" x14ac:dyDescent="0.15">
      <c r="A149" s="2" t="str">
        <f ca="1">input_498100!A$2</f>
        <v>498100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38">
        <f ca="1">IFERROR(VLOOKUP(B149,input_498100!L:R,7,FALSE),VLOOKUP(tables_498100!C149,input_498100!A:H,8,FALSE))</f>
        <v>33840</v>
      </c>
      <c r="P149" s="39">
        <f t="shared" ca="1" si="7"/>
        <v>2.9508196721507018E-4</v>
      </c>
      <c r="Q149" s="24">
        <v>1</v>
      </c>
      <c r="R149" s="24">
        <v>0</v>
      </c>
      <c r="S149" s="24">
        <v>0</v>
      </c>
      <c r="T149" s="24">
        <v>0</v>
      </c>
      <c r="U149" s="24">
        <v>0</v>
      </c>
      <c r="V149" s="24">
        <v>1</v>
      </c>
    </row>
    <row r="150" spans="1:22" ht="21" customHeight="1" x14ac:dyDescent="0.15">
      <c r="A150" s="2" t="str">
        <f ca="1">input_498100!A$2</f>
        <v>498100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38">
        <f ca="1">IFERROR(VLOOKUP(B150,input_498100!L:R,7,FALSE),VLOOKUP(tables_498100!C150,input_498100!A:H,8,FALSE))</f>
        <v>3760</v>
      </c>
      <c r="P150" s="39">
        <f t="shared" ca="1" si="7"/>
        <v>3.2786885246118909E-5</v>
      </c>
      <c r="Q150" s="24">
        <v>1</v>
      </c>
      <c r="R150" s="24">
        <v>0</v>
      </c>
      <c r="S150" s="24">
        <v>0</v>
      </c>
      <c r="T150" s="24">
        <v>0</v>
      </c>
      <c r="U150" s="24">
        <v>0</v>
      </c>
      <c r="V150" s="24">
        <v>1</v>
      </c>
    </row>
    <row r="151" spans="1:22" ht="21" customHeight="1" x14ac:dyDescent="0.15">
      <c r="A151" s="2" t="str">
        <f ca="1">input_498100!A$2</f>
        <v>498100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38">
        <f ca="1">IFERROR(VLOOKUP(B151,input_498100!L:R,7,FALSE),VLOOKUP(tables_498100!C151,input_498100!A:H,8,FALSE))</f>
        <v>33840</v>
      </c>
      <c r="P151" s="39">
        <f t="shared" ca="1" si="7"/>
        <v>2.9508196721507018E-4</v>
      </c>
      <c r="Q151" s="24">
        <v>1</v>
      </c>
      <c r="R151" s="24">
        <v>0</v>
      </c>
      <c r="S151" s="24">
        <v>0</v>
      </c>
      <c r="T151" s="24">
        <v>0</v>
      </c>
      <c r="U151" s="24">
        <v>0</v>
      </c>
      <c r="V151" s="24">
        <v>1</v>
      </c>
    </row>
    <row r="152" spans="1:22" ht="21" customHeight="1" x14ac:dyDescent="0.15">
      <c r="A152" s="2" t="str">
        <f ca="1">input_498100!A$2</f>
        <v>498100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38">
        <f ca="1">IFERROR(VLOOKUP(B152,input_498100!L:R,7,FALSE),VLOOKUP(tables_498100!C152,input_498100!A:H,8,FALSE))</f>
        <v>3760</v>
      </c>
      <c r="P152" s="39">
        <f t="shared" ca="1" si="7"/>
        <v>3.2786885246118909E-5</v>
      </c>
      <c r="Q152" s="24">
        <v>1</v>
      </c>
      <c r="R152" s="24">
        <v>0</v>
      </c>
      <c r="S152" s="24">
        <v>0</v>
      </c>
      <c r="T152" s="24">
        <v>0</v>
      </c>
      <c r="U152" s="24">
        <v>0</v>
      </c>
      <c r="V152" s="24">
        <v>1</v>
      </c>
    </row>
    <row r="153" spans="1:22" ht="21" customHeight="1" x14ac:dyDescent="0.15">
      <c r="A153" s="2" t="str">
        <f ca="1">input_498100!A$2</f>
        <v>498100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38">
        <f ca="1">IFERROR(VLOOKUP(B153,input_498100!L:R,7,FALSE),VLOOKUP(tables_498100!C153,input_498100!A:H,8,FALSE))</f>
        <v>0</v>
      </c>
      <c r="P153" s="39">
        <f t="shared" ca="1" si="7"/>
        <v>0</v>
      </c>
      <c r="Q153" s="24">
        <v>1</v>
      </c>
      <c r="R153" s="24">
        <v>0</v>
      </c>
      <c r="S153" s="24">
        <v>0</v>
      </c>
      <c r="T153" s="24">
        <v>0</v>
      </c>
      <c r="U153" s="24">
        <v>0</v>
      </c>
      <c r="V153" s="24">
        <v>1</v>
      </c>
    </row>
    <row r="154" spans="1:22" ht="21" customHeight="1" x14ac:dyDescent="0.15">
      <c r="A154" s="2" t="str">
        <f ca="1">input_498100!A$2</f>
        <v>498100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38">
        <f ca="1">IFERROR(VLOOKUP(B154,input_498100!L:R,7,FALSE),VLOOKUP(tables_498100!C154,input_498100!A:H,8,FALSE))</f>
        <v>976938.46154000005</v>
      </c>
      <c r="P154" s="39">
        <f t="shared" ca="1" si="7"/>
        <v>8.5188216039978545E-3</v>
      </c>
      <c r="Q154" s="24">
        <v>1</v>
      </c>
      <c r="R154" s="24">
        <v>0</v>
      </c>
      <c r="S154" s="24">
        <v>0</v>
      </c>
      <c r="T154" s="24">
        <v>0</v>
      </c>
      <c r="U154" s="24">
        <v>0</v>
      </c>
      <c r="V154" s="24">
        <v>1</v>
      </c>
    </row>
    <row r="155" spans="1:22" ht="21" customHeight="1" x14ac:dyDescent="0.15">
      <c r="A155" s="2" t="str">
        <f ca="1">input_498100!A$2</f>
        <v>498100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38">
        <f ca="1">IFERROR(VLOOKUP(B155,input_498100!L:R,7,FALSE),VLOOKUP(tables_498100!C155,input_498100!A:H,8,FALSE))</f>
        <v>28591.53845</v>
      </c>
      <c r="P155" s="39">
        <f t="shared" ca="1" si="7"/>
        <v>2.4931582185376241E-4</v>
      </c>
      <c r="Q155" s="24">
        <v>1</v>
      </c>
      <c r="R155" s="24">
        <v>0</v>
      </c>
      <c r="S155" s="24">
        <v>0</v>
      </c>
      <c r="T155" s="24">
        <v>0</v>
      </c>
      <c r="U155" s="24">
        <v>0</v>
      </c>
      <c r="V155" s="24">
        <v>1</v>
      </c>
    </row>
    <row r="156" spans="1:22" ht="21" customHeight="1" x14ac:dyDescent="0.15">
      <c r="A156" s="2" t="str">
        <f ca="1">input_498100!A$2</f>
        <v>498100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38">
        <f ca="1">IFERROR(VLOOKUP(B156,input_498100!L:R,7,FALSE),VLOOKUP(tables_498100!C156,input_498100!A:H,8,FALSE))</f>
        <v>33840</v>
      </c>
      <c r="P156" s="39">
        <f t="shared" ca="1" si="7"/>
        <v>2.9508196721507018E-4</v>
      </c>
      <c r="Q156" s="24">
        <v>1</v>
      </c>
      <c r="R156" s="24">
        <v>0</v>
      </c>
      <c r="S156" s="24">
        <v>0</v>
      </c>
      <c r="T156" s="24">
        <v>0</v>
      </c>
      <c r="U156" s="24">
        <v>0</v>
      </c>
      <c r="V156" s="24">
        <v>1</v>
      </c>
    </row>
    <row r="157" spans="1:22" ht="21" customHeight="1" x14ac:dyDescent="0.15">
      <c r="A157" s="2" t="str">
        <f ca="1">input_498100!A$2</f>
        <v>498100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38">
        <f ca="1">IFERROR(VLOOKUP(B157,input_498100!L:R,7,FALSE),VLOOKUP(tables_498100!C157,input_498100!A:H,8,FALSE))</f>
        <v>3760</v>
      </c>
      <c r="P157" s="39">
        <f t="shared" ca="1" si="7"/>
        <v>3.2786885246118909E-5</v>
      </c>
      <c r="Q157" s="24">
        <v>1</v>
      </c>
      <c r="R157" s="24">
        <v>0</v>
      </c>
      <c r="S157" s="24">
        <v>0</v>
      </c>
      <c r="T157" s="24">
        <v>0</v>
      </c>
      <c r="U157" s="24">
        <v>0</v>
      </c>
      <c r="V157" s="24">
        <v>1</v>
      </c>
    </row>
    <row r="158" spans="1:22" ht="21" customHeight="1" x14ac:dyDescent="0.15">
      <c r="A158" s="2" t="str">
        <f ca="1">input_498100!A$2</f>
        <v>498100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38">
        <f ca="1">IFERROR(VLOOKUP(B158,input_498100!L:R,7,FALSE),VLOOKUP(tables_498100!C158,input_498100!A:H,8,FALSE))</f>
        <v>0</v>
      </c>
      <c r="P158" s="39">
        <f t="shared" ca="1" si="7"/>
        <v>0</v>
      </c>
      <c r="Q158" s="24">
        <v>1</v>
      </c>
      <c r="R158" s="24">
        <v>0</v>
      </c>
      <c r="S158" s="24">
        <v>0</v>
      </c>
      <c r="T158" s="24">
        <v>0</v>
      </c>
      <c r="U158" s="24">
        <v>0</v>
      </c>
      <c r="V158" s="24">
        <v>1</v>
      </c>
    </row>
    <row r="159" spans="1:22" ht="21" customHeight="1" x14ac:dyDescent="0.15">
      <c r="A159" s="2" t="str">
        <f ca="1">input_498100!A$2</f>
        <v>498100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38">
        <f ca="1">IFERROR(VLOOKUP(B159,input_498100!L:R,7,FALSE),VLOOKUP(tables_498100!C159,input_498100!A:H,8,FALSE))</f>
        <v>976938.46154000005</v>
      </c>
      <c r="P159" s="39">
        <f t="shared" ca="1" si="7"/>
        <v>8.5188216039978545E-3</v>
      </c>
      <c r="Q159" s="24">
        <v>1</v>
      </c>
      <c r="R159" s="24">
        <v>0</v>
      </c>
      <c r="S159" s="24">
        <v>0</v>
      </c>
      <c r="T159" s="24">
        <v>0</v>
      </c>
      <c r="U159" s="24">
        <v>0</v>
      </c>
      <c r="V159" s="24">
        <v>1</v>
      </c>
    </row>
    <row r="160" spans="1:22" ht="21" customHeight="1" x14ac:dyDescent="0.15">
      <c r="A160" s="2" t="str">
        <f ca="1">input_498100!A$2</f>
        <v>498100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38">
        <f ca="1">IFERROR(VLOOKUP(B160,input_498100!L:R,7,FALSE),VLOOKUP(tables_498100!C160,input_498100!A:H,8,FALSE))</f>
        <v>28591.53845</v>
      </c>
      <c r="P160" s="39">
        <f t="shared" ca="1" si="7"/>
        <v>2.4931582185376241E-4</v>
      </c>
      <c r="Q160" s="24">
        <v>1</v>
      </c>
      <c r="R160" s="24">
        <v>0</v>
      </c>
      <c r="S160" s="24">
        <v>0</v>
      </c>
      <c r="T160" s="24">
        <v>0</v>
      </c>
      <c r="U160" s="24">
        <v>0</v>
      </c>
      <c r="V160" s="24">
        <v>1</v>
      </c>
    </row>
    <row r="161" spans="1:22" ht="21" customHeight="1" x14ac:dyDescent="0.15">
      <c r="A161" s="2" t="str">
        <f ca="1">input_498100!A$2</f>
        <v>498100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38">
        <f ca="1">IFERROR(VLOOKUP(B161,input_498100!L:R,7,FALSE),VLOOKUP(tables_498100!C161,input_498100!A:H,8,FALSE))</f>
        <v>0</v>
      </c>
      <c r="P161" s="39">
        <f t="shared" ca="1" si="7"/>
        <v>0</v>
      </c>
      <c r="Q161" s="24">
        <v>1</v>
      </c>
      <c r="R161" s="24">
        <v>0</v>
      </c>
      <c r="S161" s="24">
        <v>0</v>
      </c>
      <c r="T161" s="24">
        <v>0</v>
      </c>
      <c r="U161" s="24">
        <v>0</v>
      </c>
      <c r="V161" s="24">
        <v>1</v>
      </c>
    </row>
    <row r="162" spans="1:22" ht="21" customHeight="1" x14ac:dyDescent="0.15">
      <c r="A162" s="2" t="str">
        <f ca="1">input_498100!A$2</f>
        <v>498100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38">
        <f ca="1">IFERROR(VLOOKUP(B162,input_498100!L:R,7,FALSE),VLOOKUP(tables_498100!C162,input_498100!A:H,8,FALSE))</f>
        <v>976938.46154000005</v>
      </c>
      <c r="P162" s="39">
        <f t="shared" ca="1" si="7"/>
        <v>8.5188216039978545E-3</v>
      </c>
      <c r="Q162" s="24">
        <v>1</v>
      </c>
      <c r="R162" s="24">
        <v>0</v>
      </c>
      <c r="S162" s="24">
        <v>0</v>
      </c>
      <c r="T162" s="24">
        <v>0</v>
      </c>
      <c r="U162" s="24">
        <v>0</v>
      </c>
      <c r="V162" s="24">
        <v>1</v>
      </c>
    </row>
    <row r="163" spans="1:22" ht="21" customHeight="1" x14ac:dyDescent="0.15">
      <c r="A163" s="2" t="str">
        <f ca="1">input_498100!A$2</f>
        <v>498100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38">
        <f ca="1">IFERROR(VLOOKUP(B163,input_498100!L:R,7,FALSE),VLOOKUP(tables_498100!C163,input_498100!A:H,8,FALSE))</f>
        <v>28591.53845</v>
      </c>
      <c r="P163" s="39">
        <f t="shared" ca="1" si="7"/>
        <v>2.4931582185376241E-4</v>
      </c>
      <c r="Q163" s="24">
        <v>1</v>
      </c>
      <c r="R163" s="24">
        <v>0</v>
      </c>
      <c r="S163" s="24">
        <v>0</v>
      </c>
      <c r="T163" s="24">
        <v>0</v>
      </c>
      <c r="U163" s="24">
        <v>0</v>
      </c>
      <c r="V163" s="24">
        <v>1</v>
      </c>
    </row>
    <row r="164" spans="1:22" ht="21" customHeight="1" x14ac:dyDescent="0.15">
      <c r="A164" s="2" t="str">
        <f ca="1">input_498100!A$2</f>
        <v>498100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38">
        <f ca="1">IFERROR(VLOOKUP(B164,input_498100!L:R,7,FALSE),VLOOKUP(tables_498100!C164,input_498100!A:H,8,FALSE))</f>
        <v>33840</v>
      </c>
      <c r="P164" s="39">
        <f t="shared" ca="1" si="7"/>
        <v>2.9508196721507018E-4</v>
      </c>
      <c r="Q164" s="24">
        <v>1</v>
      </c>
      <c r="R164" s="24">
        <v>0</v>
      </c>
      <c r="S164" s="24">
        <v>0</v>
      </c>
      <c r="T164" s="24">
        <v>0</v>
      </c>
      <c r="U164" s="24">
        <v>0</v>
      </c>
      <c r="V164" s="24">
        <v>1</v>
      </c>
    </row>
    <row r="165" spans="1:22" ht="21" customHeight="1" x14ac:dyDescent="0.15">
      <c r="A165" s="2" t="str">
        <f ca="1">input_498100!A$2</f>
        <v>498100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38">
        <f ca="1">IFERROR(VLOOKUP(B165,input_498100!L:R,7,FALSE),VLOOKUP(tables_498100!C165,input_498100!A:H,8,FALSE))</f>
        <v>3760</v>
      </c>
      <c r="P165" s="39">
        <f t="shared" ca="1" si="7"/>
        <v>3.2786885246118909E-5</v>
      </c>
      <c r="Q165" s="24">
        <v>1</v>
      </c>
      <c r="R165" s="24">
        <v>0</v>
      </c>
      <c r="S165" s="24">
        <v>0</v>
      </c>
      <c r="T165" s="24">
        <v>0</v>
      </c>
      <c r="U165" s="24">
        <v>0</v>
      </c>
      <c r="V165" s="24">
        <v>1</v>
      </c>
    </row>
    <row r="166" spans="1:22" ht="21" customHeight="1" x14ac:dyDescent="0.15">
      <c r="A166" s="2" t="str">
        <f ca="1">input_498100!A$2</f>
        <v>498100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38">
        <f ca="1">IFERROR(VLOOKUP(B166,input_498100!L:R,7,FALSE),VLOOKUP(tables_498100!C166,input_498100!A:H,8,FALSE))</f>
        <v>0</v>
      </c>
      <c r="P166" s="39">
        <f t="shared" ca="1" si="7"/>
        <v>0</v>
      </c>
      <c r="Q166" s="24">
        <v>1</v>
      </c>
      <c r="R166" s="24">
        <v>0</v>
      </c>
      <c r="S166" s="24">
        <v>0</v>
      </c>
      <c r="T166" s="24">
        <v>0</v>
      </c>
      <c r="U166" s="24">
        <v>0</v>
      </c>
      <c r="V166" s="24">
        <v>1</v>
      </c>
    </row>
    <row r="167" spans="1:22" ht="21" customHeight="1" x14ac:dyDescent="0.15">
      <c r="A167" s="2" t="str">
        <f ca="1">input_498100!A$2</f>
        <v>498100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38">
        <f ca="1">IFERROR(VLOOKUP(B167,input_498100!L:R,7,FALSE),VLOOKUP(tables_498100!C167,input_498100!A:H,8,FALSE))</f>
        <v>976938.46154000005</v>
      </c>
      <c r="P167" s="39">
        <f t="shared" ca="1" si="7"/>
        <v>8.5188216039978545E-3</v>
      </c>
      <c r="Q167" s="24">
        <v>1</v>
      </c>
      <c r="R167" s="24">
        <v>0</v>
      </c>
      <c r="S167" s="24">
        <v>0</v>
      </c>
      <c r="T167" s="24">
        <v>0</v>
      </c>
      <c r="U167" s="24">
        <v>0</v>
      </c>
      <c r="V167" s="24">
        <v>1</v>
      </c>
    </row>
    <row r="168" spans="1:22" ht="21" customHeight="1" x14ac:dyDescent="0.15">
      <c r="A168" s="2" t="str">
        <f ca="1">input_498100!A$2</f>
        <v>498100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38">
        <f ca="1">IFERROR(VLOOKUP(B168,input_498100!L:R,7,FALSE),VLOOKUP(tables_498100!C168,input_498100!A:H,8,FALSE))</f>
        <v>28591.53845</v>
      </c>
      <c r="P168" s="39">
        <f t="shared" ca="1" si="7"/>
        <v>2.4931582185376241E-4</v>
      </c>
      <c r="Q168" s="24">
        <v>1</v>
      </c>
      <c r="R168" s="24">
        <v>0</v>
      </c>
      <c r="S168" s="24">
        <v>0</v>
      </c>
      <c r="T168" s="24">
        <v>0</v>
      </c>
      <c r="U168" s="24">
        <v>0</v>
      </c>
      <c r="V168" s="24">
        <v>1</v>
      </c>
    </row>
    <row r="169" spans="1:22" ht="21" customHeight="1" x14ac:dyDescent="0.15">
      <c r="A169" s="2" t="str">
        <f ca="1">input_498100!A$2</f>
        <v>498100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38">
        <f ca="1">IFERROR(VLOOKUP(B169,input_498100!L:R,7,FALSE),VLOOKUP(tables_498100!C169,input_498100!A:H,8,FALSE))</f>
        <v>33840</v>
      </c>
      <c r="P169" s="39">
        <f t="shared" ca="1" si="7"/>
        <v>2.9508196721507018E-4</v>
      </c>
      <c r="Q169" s="24">
        <v>1</v>
      </c>
      <c r="R169" s="24">
        <v>0</v>
      </c>
      <c r="S169" s="24">
        <v>0</v>
      </c>
      <c r="T169" s="24">
        <v>0</v>
      </c>
      <c r="U169" s="24">
        <v>0</v>
      </c>
      <c r="V169" s="24">
        <v>1</v>
      </c>
    </row>
    <row r="170" spans="1:22" ht="21" customHeight="1" x14ac:dyDescent="0.15">
      <c r="A170" s="2" t="str">
        <f ca="1">input_498100!A$2</f>
        <v>498100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38">
        <f ca="1">IFERROR(VLOOKUP(B170,input_498100!L:R,7,FALSE),VLOOKUP(tables_498100!C170,input_498100!A:H,8,FALSE))</f>
        <v>3760</v>
      </c>
      <c r="P170" s="39">
        <f t="shared" ca="1" si="7"/>
        <v>3.2786885246118909E-5</v>
      </c>
      <c r="Q170" s="24">
        <v>1</v>
      </c>
      <c r="R170" s="24">
        <v>0</v>
      </c>
      <c r="S170" s="24">
        <v>0</v>
      </c>
      <c r="T170" s="24">
        <v>0</v>
      </c>
      <c r="U170" s="24">
        <v>0</v>
      </c>
      <c r="V170" s="24">
        <v>1</v>
      </c>
    </row>
    <row r="171" spans="1:22" ht="21" customHeight="1" x14ac:dyDescent="0.15">
      <c r="A171" s="2" t="str">
        <f ca="1">input_498100!A$2</f>
        <v>498100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38">
        <f ca="1">IFERROR(VLOOKUP(B171,input_498100!L:R,7,FALSE),VLOOKUP(tables_498100!C171,input_498100!A:H,8,FALSE))</f>
        <v>0</v>
      </c>
      <c r="P171" s="39">
        <f t="shared" ca="1" si="7"/>
        <v>0</v>
      </c>
      <c r="Q171" s="24">
        <v>1</v>
      </c>
      <c r="R171" s="24">
        <v>0</v>
      </c>
      <c r="S171" s="24">
        <v>0</v>
      </c>
      <c r="T171" s="24">
        <v>0</v>
      </c>
      <c r="U171" s="24">
        <v>0</v>
      </c>
      <c r="V171" s="24">
        <v>1</v>
      </c>
    </row>
    <row r="172" spans="1:22" ht="21" customHeight="1" x14ac:dyDescent="0.15">
      <c r="A172" s="2" t="str">
        <f ca="1">input_498100!A$2</f>
        <v>498100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38">
        <f ca="1">IFERROR(VLOOKUP(B172,input_498100!L:R,7,FALSE),VLOOKUP(tables_498100!C172,input_498100!A:H,8,FALSE))</f>
        <v>976938.46154000005</v>
      </c>
      <c r="P172" s="39">
        <f t="shared" ca="1" si="7"/>
        <v>8.5188216039978545E-3</v>
      </c>
      <c r="Q172" s="24">
        <v>1</v>
      </c>
      <c r="R172" s="24">
        <v>0</v>
      </c>
      <c r="S172" s="24">
        <v>0</v>
      </c>
      <c r="T172" s="24">
        <v>0</v>
      </c>
      <c r="U172" s="24">
        <v>0</v>
      </c>
      <c r="V172" s="24">
        <v>1</v>
      </c>
    </row>
    <row r="173" spans="1:22" ht="21" customHeight="1" x14ac:dyDescent="0.15">
      <c r="A173" s="2" t="str">
        <f ca="1">input_498100!A$2</f>
        <v>498100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38">
        <f ca="1">IFERROR(VLOOKUP(B173,input_498100!L:R,7,FALSE),VLOOKUP(tables_498100!C173,input_498100!A:H,8,FALSE))</f>
        <v>28591.53845</v>
      </c>
      <c r="P173" s="39">
        <f t="shared" ca="1" si="7"/>
        <v>2.4931582185376241E-4</v>
      </c>
      <c r="Q173" s="24">
        <v>1</v>
      </c>
      <c r="R173" s="24">
        <v>0</v>
      </c>
      <c r="S173" s="24">
        <v>0</v>
      </c>
      <c r="T173" s="24">
        <v>0</v>
      </c>
      <c r="U173" s="24">
        <v>0</v>
      </c>
      <c r="V173" s="24">
        <v>1</v>
      </c>
    </row>
    <row r="174" spans="1:22" ht="21" customHeight="1" x14ac:dyDescent="0.15">
      <c r="A174" s="2" t="str">
        <f ca="1">input_498100!A$2</f>
        <v>498100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38">
        <f ca="1">IFERROR(VLOOKUP(B174,input_498100!L:R,7,FALSE),VLOOKUP(tables_498100!C174,input_498100!A:H,8,FALSE))</f>
        <v>33840</v>
      </c>
      <c r="P174" s="39">
        <f t="shared" ca="1" si="7"/>
        <v>2.9508196721507018E-4</v>
      </c>
      <c r="Q174" s="24">
        <v>1</v>
      </c>
      <c r="R174" s="24">
        <v>0</v>
      </c>
      <c r="S174" s="24">
        <v>0</v>
      </c>
      <c r="T174" s="24">
        <v>0</v>
      </c>
      <c r="U174" s="24">
        <v>0</v>
      </c>
      <c r="V174" s="24">
        <v>1</v>
      </c>
    </row>
    <row r="175" spans="1:22" ht="21" customHeight="1" x14ac:dyDescent="0.15">
      <c r="A175" s="2" t="str">
        <f ca="1">input_498100!A$2</f>
        <v>498100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38">
        <f ca="1">IFERROR(VLOOKUP(B175,input_498100!L:R,7,FALSE),VLOOKUP(tables_498100!C175,input_498100!A:H,8,FALSE))</f>
        <v>3760</v>
      </c>
      <c r="P175" s="39">
        <f t="shared" ca="1" si="7"/>
        <v>3.2786885246118909E-5</v>
      </c>
      <c r="Q175" s="24">
        <v>1</v>
      </c>
      <c r="R175" s="24">
        <v>0</v>
      </c>
      <c r="S175" s="24">
        <v>0</v>
      </c>
      <c r="T175" s="24">
        <v>0</v>
      </c>
      <c r="U175" s="24">
        <v>0</v>
      </c>
      <c r="V175" s="24">
        <v>1</v>
      </c>
    </row>
    <row r="176" spans="1:22" ht="21" customHeight="1" x14ac:dyDescent="0.15">
      <c r="A176" s="2" t="str">
        <f ca="1">input_498100!A$2</f>
        <v>498100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38">
        <f ca="1">IFERROR(VLOOKUP(B176,input_498100!L:R,7,FALSE),VLOOKUP(tables_498100!C176,input_498100!A:H,8,FALSE))</f>
        <v>33840</v>
      </c>
      <c r="P176" s="39">
        <f t="shared" ca="1" si="7"/>
        <v>2.9508196721507018E-4</v>
      </c>
      <c r="Q176" s="24">
        <v>1</v>
      </c>
      <c r="R176" s="24">
        <v>0</v>
      </c>
      <c r="S176" s="24">
        <v>0</v>
      </c>
      <c r="T176" s="24">
        <v>0</v>
      </c>
      <c r="U176" s="24">
        <v>0</v>
      </c>
      <c r="V176" s="24">
        <v>1</v>
      </c>
    </row>
    <row r="177" spans="1:22" ht="21" customHeight="1" x14ac:dyDescent="0.15">
      <c r="A177" s="2" t="str">
        <f ca="1">input_498100!A$2</f>
        <v>498100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38">
        <f ca="1">IFERROR(VLOOKUP(B177,input_498100!L:R,7,FALSE),VLOOKUP(tables_498100!C177,input_498100!A:H,8,FALSE))</f>
        <v>3760</v>
      </c>
      <c r="P177" s="39">
        <f t="shared" ca="1" si="7"/>
        <v>3.2786885246118909E-5</v>
      </c>
      <c r="Q177" s="24">
        <v>1</v>
      </c>
      <c r="R177" s="24">
        <v>0</v>
      </c>
      <c r="S177" s="24">
        <v>0</v>
      </c>
      <c r="T177" s="24">
        <v>0</v>
      </c>
      <c r="U177" s="24">
        <v>0</v>
      </c>
      <c r="V177" s="24">
        <v>1</v>
      </c>
    </row>
    <row r="178" spans="1:22" ht="21" customHeight="1" x14ac:dyDescent="0.15">
      <c r="A178" s="2" t="str">
        <f ca="1">input_498100!A$2</f>
        <v>498100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38">
        <f ca="1">IFERROR(VLOOKUP(B178,input_498100!L:R,7,FALSE),VLOOKUP(tables_498100!C178,input_498100!A:H,8,FALSE))</f>
        <v>0</v>
      </c>
      <c r="P178" s="39">
        <f t="shared" ca="1" si="7"/>
        <v>0</v>
      </c>
      <c r="Q178" s="24">
        <v>1</v>
      </c>
      <c r="R178" s="24">
        <v>0</v>
      </c>
      <c r="S178" s="24">
        <v>0</v>
      </c>
      <c r="T178" s="24">
        <v>0</v>
      </c>
      <c r="U178" s="24">
        <v>0</v>
      </c>
      <c r="V178" s="24">
        <v>1</v>
      </c>
    </row>
    <row r="179" spans="1:22" ht="21" customHeight="1" x14ac:dyDescent="0.15">
      <c r="A179" s="2" t="str">
        <f ca="1">input_498100!A$2</f>
        <v>498100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38">
        <f ca="1">IFERROR(VLOOKUP(B179,input_498100!L:R,7,FALSE),VLOOKUP(tables_498100!C179,input_498100!A:H,8,FALSE))</f>
        <v>976938.46154000005</v>
      </c>
      <c r="P179" s="39">
        <f t="shared" ca="1" si="7"/>
        <v>8.5188216039978545E-3</v>
      </c>
      <c r="Q179" s="24">
        <v>1</v>
      </c>
      <c r="R179" s="24">
        <v>0</v>
      </c>
      <c r="S179" s="24">
        <v>0</v>
      </c>
      <c r="T179" s="24">
        <v>0</v>
      </c>
      <c r="U179" s="24">
        <v>0</v>
      </c>
      <c r="V179" s="24">
        <v>1</v>
      </c>
    </row>
    <row r="180" spans="1:22" ht="21" customHeight="1" x14ac:dyDescent="0.15">
      <c r="A180" s="2" t="str">
        <f ca="1">input_498100!A$2</f>
        <v>498100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38">
        <f ca="1">IFERROR(VLOOKUP(B180,input_498100!L:R,7,FALSE),VLOOKUP(tables_498100!C180,input_498100!A:H,8,FALSE))</f>
        <v>28591.53845</v>
      </c>
      <c r="P180" s="39">
        <f t="shared" ca="1" si="7"/>
        <v>2.4931582185376241E-4</v>
      </c>
      <c r="Q180" s="24">
        <v>1</v>
      </c>
      <c r="R180" s="24">
        <v>0</v>
      </c>
      <c r="S180" s="24">
        <v>0</v>
      </c>
      <c r="T180" s="24">
        <v>0</v>
      </c>
      <c r="U180" s="24">
        <v>0</v>
      </c>
      <c r="V180" s="24">
        <v>1</v>
      </c>
    </row>
    <row r="181" spans="1:22" ht="21" customHeight="1" x14ac:dyDescent="0.15">
      <c r="A181" s="2" t="str">
        <f ca="1">input_498100!A$2</f>
        <v>498100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38">
        <f ca="1">IFERROR(VLOOKUP(B181,input_498100!L:R,7,FALSE),VLOOKUP(tables_498100!C181,input_498100!A:H,8,FALSE))</f>
        <v>0</v>
      </c>
      <c r="P181" s="39">
        <f t="shared" ca="1" si="7"/>
        <v>0</v>
      </c>
      <c r="Q181" s="24">
        <v>1</v>
      </c>
      <c r="R181" s="24">
        <v>0</v>
      </c>
      <c r="S181" s="24">
        <v>0</v>
      </c>
      <c r="T181" s="24">
        <v>0</v>
      </c>
      <c r="U181" s="24">
        <v>0</v>
      </c>
      <c r="V181" s="24">
        <v>1</v>
      </c>
    </row>
    <row r="182" spans="1:22" ht="21" customHeight="1" x14ac:dyDescent="0.15">
      <c r="A182" s="2" t="str">
        <f ca="1">input_498100!A$2</f>
        <v>498100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38">
        <f ca="1">IFERROR(VLOOKUP(B182,input_498100!L:R,7,FALSE),VLOOKUP(tables_498100!C182,input_498100!A:H,8,FALSE))</f>
        <v>976938.46154000005</v>
      </c>
      <c r="P182" s="39">
        <f t="shared" ca="1" si="7"/>
        <v>8.5188216039978545E-3</v>
      </c>
      <c r="Q182" s="24">
        <v>1</v>
      </c>
      <c r="R182" s="24">
        <v>0</v>
      </c>
      <c r="S182" s="24">
        <v>0</v>
      </c>
      <c r="T182" s="24">
        <v>0</v>
      </c>
      <c r="U182" s="24">
        <v>0</v>
      </c>
      <c r="V182" s="24">
        <v>1</v>
      </c>
    </row>
    <row r="183" spans="1:22" ht="21" customHeight="1" x14ac:dyDescent="0.15">
      <c r="A183" s="2" t="str">
        <f ca="1">input_498100!A$2</f>
        <v>498100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38">
        <f ca="1">IFERROR(VLOOKUP(B183,input_498100!L:R,7,FALSE),VLOOKUP(tables_498100!C183,input_498100!A:H,8,FALSE))</f>
        <v>28591.53845</v>
      </c>
      <c r="P183" s="39">
        <f t="shared" ca="1" si="7"/>
        <v>2.4931582185376241E-4</v>
      </c>
      <c r="Q183" s="24">
        <v>1</v>
      </c>
      <c r="R183" s="24">
        <v>0</v>
      </c>
      <c r="S183" s="24">
        <v>0</v>
      </c>
      <c r="T183" s="24">
        <v>0</v>
      </c>
      <c r="U183" s="24">
        <v>0</v>
      </c>
      <c r="V183" s="24">
        <v>1</v>
      </c>
    </row>
    <row r="184" spans="1:22" ht="21" customHeight="1" x14ac:dyDescent="0.15">
      <c r="A184" s="2" t="str">
        <f ca="1">input_498100!A$2</f>
        <v>498100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38">
        <f ca="1">IFERROR(VLOOKUP(B184,input_498100!L:R,7,FALSE),VLOOKUP(tables_498100!C184,input_498100!A:H,8,FALSE))</f>
        <v>33840</v>
      </c>
      <c r="P184" s="39">
        <f t="shared" ca="1" si="7"/>
        <v>2.9508196721507018E-4</v>
      </c>
      <c r="Q184" s="24">
        <v>1</v>
      </c>
      <c r="R184" s="24">
        <v>0</v>
      </c>
      <c r="S184" s="24">
        <v>0</v>
      </c>
      <c r="T184" s="24">
        <v>0</v>
      </c>
      <c r="U184" s="24">
        <v>0</v>
      </c>
      <c r="V184" s="24">
        <v>1</v>
      </c>
    </row>
    <row r="185" spans="1:22" ht="21" customHeight="1" x14ac:dyDescent="0.15">
      <c r="A185" s="2" t="str">
        <f ca="1">input_498100!A$2</f>
        <v>498100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38">
        <f ca="1">IFERROR(VLOOKUP(B185,input_498100!L:R,7,FALSE),VLOOKUP(tables_498100!C185,input_498100!A:H,8,FALSE))</f>
        <v>3760</v>
      </c>
      <c r="P185" s="39">
        <f t="shared" ca="1" si="7"/>
        <v>3.2786885246118909E-5</v>
      </c>
      <c r="Q185" s="24">
        <v>1</v>
      </c>
      <c r="R185" s="24">
        <v>0</v>
      </c>
      <c r="S185" s="24">
        <v>0</v>
      </c>
      <c r="T185" s="24">
        <v>0</v>
      </c>
      <c r="U185" s="24">
        <v>0</v>
      </c>
      <c r="V185" s="24">
        <v>1</v>
      </c>
    </row>
    <row r="186" spans="1:22" ht="21" customHeight="1" x14ac:dyDescent="0.15">
      <c r="A186" s="2" t="str">
        <f ca="1">input_498100!A$2</f>
        <v>498100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38">
        <f ca="1">IFERROR(VLOOKUP(B186,input_498100!L:R,7,FALSE),VLOOKUP(tables_498100!C186,input_498100!A:H,8,FALSE))</f>
        <v>0</v>
      </c>
      <c r="P186" s="39">
        <f t="shared" ca="1" si="7"/>
        <v>0</v>
      </c>
      <c r="Q186" s="24">
        <v>1</v>
      </c>
      <c r="R186" s="24">
        <v>0</v>
      </c>
      <c r="S186" s="24">
        <v>0</v>
      </c>
      <c r="T186" s="24">
        <v>0</v>
      </c>
      <c r="U186" s="24">
        <v>0</v>
      </c>
      <c r="V186" s="24">
        <v>1</v>
      </c>
    </row>
    <row r="187" spans="1:22" ht="21" customHeight="1" x14ac:dyDescent="0.15">
      <c r="A187" s="2" t="str">
        <f ca="1">input_498100!A$2</f>
        <v>498100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38">
        <f ca="1">IFERROR(VLOOKUP(B187,input_498100!L:R,7,FALSE),VLOOKUP(tables_498100!C187,input_498100!A:H,8,FALSE))</f>
        <v>976938.46154000005</v>
      </c>
      <c r="P187" s="39">
        <f t="shared" ca="1" si="7"/>
        <v>8.5188216039978545E-3</v>
      </c>
      <c r="Q187" s="24">
        <v>1</v>
      </c>
      <c r="R187" s="24">
        <v>0</v>
      </c>
      <c r="S187" s="24">
        <v>0</v>
      </c>
      <c r="T187" s="24">
        <v>0</v>
      </c>
      <c r="U187" s="24">
        <v>0</v>
      </c>
      <c r="V187" s="24">
        <v>1</v>
      </c>
    </row>
    <row r="188" spans="1:22" ht="21" customHeight="1" x14ac:dyDescent="0.15">
      <c r="A188" s="2" t="str">
        <f ca="1">input_498100!A$2</f>
        <v>498100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38">
        <f ca="1">IFERROR(VLOOKUP(B188,input_498100!L:R,7,FALSE),VLOOKUP(tables_498100!C188,input_498100!A:H,8,FALSE))</f>
        <v>28591.53845</v>
      </c>
      <c r="P188" s="39">
        <f t="shared" ca="1" si="7"/>
        <v>2.4931582185376241E-4</v>
      </c>
      <c r="Q188" s="24">
        <v>1</v>
      </c>
      <c r="R188" s="24">
        <v>0</v>
      </c>
      <c r="S188" s="24">
        <v>0</v>
      </c>
      <c r="T188" s="24">
        <v>0</v>
      </c>
      <c r="U188" s="24">
        <v>0</v>
      </c>
      <c r="V188" s="24">
        <v>1</v>
      </c>
    </row>
    <row r="189" spans="1:22" ht="21" customHeight="1" x14ac:dyDescent="0.15">
      <c r="A189" s="2" t="str">
        <f ca="1">input_498100!A$2</f>
        <v>498100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38">
        <f ca="1">IFERROR(VLOOKUP(B189,input_498100!L:R,7,FALSE),VLOOKUP(tables_498100!C189,input_498100!A:H,8,FALSE))</f>
        <v>33840</v>
      </c>
      <c r="P189" s="39">
        <f t="shared" ca="1" si="7"/>
        <v>2.9508196721507018E-4</v>
      </c>
      <c r="Q189" s="24">
        <v>1</v>
      </c>
      <c r="R189" s="24">
        <v>0</v>
      </c>
      <c r="S189" s="24">
        <v>0</v>
      </c>
      <c r="T189" s="24">
        <v>0</v>
      </c>
      <c r="U189" s="24">
        <v>0</v>
      </c>
      <c r="V189" s="24">
        <v>1</v>
      </c>
    </row>
    <row r="190" spans="1:22" s="9" customFormat="1" ht="21" customHeight="1" thickBot="1" x14ac:dyDescent="0.2">
      <c r="A190" s="2" t="str">
        <f ca="1">input_498100!A$2</f>
        <v>498100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38">
        <f ca="1">IFERROR(VLOOKUP(B190,input_498100!L:R,7,FALSE),VLOOKUP(tables_498100!C190,input_498100!A:H,8,FALSE))</f>
        <v>3760</v>
      </c>
      <c r="P190" s="39">
        <f t="shared" ca="1" si="7"/>
        <v>3.2786885246118909E-5</v>
      </c>
      <c r="Q190" s="24">
        <v>1</v>
      </c>
      <c r="R190" s="24">
        <v>0</v>
      </c>
      <c r="S190" s="24">
        <v>0</v>
      </c>
      <c r="T190" s="24">
        <v>0</v>
      </c>
      <c r="U190" s="24">
        <v>0</v>
      </c>
      <c r="V190" s="24">
        <v>1</v>
      </c>
    </row>
    <row r="191" spans="1:22" ht="21" customHeight="1" x14ac:dyDescent="0.15">
      <c r="A191" s="2" t="str">
        <f ca="1">input_498100!A$2</f>
        <v>498100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38">
        <f ca="1">IFERROR(VLOOKUP(B191,input_498100!L:R,7,FALSE),VLOOKUP(tables_498100!C191,input_498100!A:H,8,FALSE))</f>
        <v>33840</v>
      </c>
      <c r="P191" s="39">
        <f t="shared" ca="1" si="7"/>
        <v>2.9508196721507018E-4</v>
      </c>
      <c r="Q191" s="24">
        <v>1</v>
      </c>
      <c r="R191" s="24">
        <v>0</v>
      </c>
      <c r="S191" s="24">
        <v>0</v>
      </c>
      <c r="T191" s="24">
        <v>0</v>
      </c>
      <c r="U191" s="24">
        <v>0</v>
      </c>
      <c r="V191" s="24">
        <v>1</v>
      </c>
    </row>
    <row r="192" spans="1:22" ht="21" customHeight="1" x14ac:dyDescent="0.15">
      <c r="A192" s="2" t="str">
        <f ca="1">input_498100!A$2</f>
        <v>498100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38">
        <f ca="1">IFERROR(VLOOKUP(B192,input_498100!L:R,7,FALSE),VLOOKUP(tables_498100!C192,input_498100!A:H,8,FALSE))</f>
        <v>3760</v>
      </c>
      <c r="P192" s="39">
        <f t="shared" ca="1" si="7"/>
        <v>3.2786885246118909E-5</v>
      </c>
      <c r="Q192" s="24">
        <v>1</v>
      </c>
      <c r="R192" s="24">
        <v>0</v>
      </c>
      <c r="S192" s="24">
        <v>0</v>
      </c>
      <c r="T192" s="24">
        <v>0</v>
      </c>
      <c r="U192" s="24">
        <v>0</v>
      </c>
      <c r="V192" s="24">
        <v>1</v>
      </c>
    </row>
    <row r="193" spans="1:22" ht="21" customHeight="1" x14ac:dyDescent="0.15">
      <c r="A193" s="2" t="str">
        <f ca="1">input_498100!A$2</f>
        <v>498100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38">
        <f ca="1">IFERROR(VLOOKUP(B193,input_498100!L:R,7,FALSE),VLOOKUP(tables_498100!C193,input_498100!A:H,8,FALSE))</f>
        <v>0</v>
      </c>
      <c r="P193" s="39">
        <f t="shared" ca="1" si="7"/>
        <v>0</v>
      </c>
      <c r="Q193" s="24">
        <v>1</v>
      </c>
      <c r="R193" s="24">
        <v>0</v>
      </c>
      <c r="S193" s="24">
        <v>0</v>
      </c>
      <c r="T193" s="24">
        <v>0</v>
      </c>
      <c r="U193" s="24">
        <v>0</v>
      </c>
      <c r="V193" s="24">
        <v>1</v>
      </c>
    </row>
    <row r="194" spans="1:22" ht="21" customHeight="1" x14ac:dyDescent="0.15">
      <c r="A194" s="2" t="str">
        <f ca="1">input_498100!A$2</f>
        <v>498100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38">
        <f ca="1">IFERROR(VLOOKUP(B194,input_498100!L:R,7,FALSE),VLOOKUP(tables_498100!C194,input_498100!A:H,8,FALSE))</f>
        <v>976938.46154000005</v>
      </c>
      <c r="P194" s="39">
        <f t="shared" ref="P194:P257" ca="1" si="10">O194/SUM(O:O)</f>
        <v>8.5188216039978545E-3</v>
      </c>
      <c r="Q194" s="24">
        <v>1</v>
      </c>
      <c r="R194" s="24">
        <v>0</v>
      </c>
      <c r="S194" s="24">
        <v>0</v>
      </c>
      <c r="T194" s="24">
        <v>0</v>
      </c>
      <c r="U194" s="24">
        <v>0</v>
      </c>
      <c r="V194" s="24">
        <v>1</v>
      </c>
    </row>
    <row r="195" spans="1:22" ht="21" customHeight="1" x14ac:dyDescent="0.15">
      <c r="A195" s="2" t="str">
        <f ca="1">input_498100!A$2</f>
        <v>498100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38">
        <f ca="1">IFERROR(VLOOKUP(B195,input_498100!L:R,7,FALSE),VLOOKUP(tables_498100!C195,input_498100!A:H,8,FALSE))</f>
        <v>28591.53845</v>
      </c>
      <c r="P195" s="39">
        <f t="shared" ca="1" si="10"/>
        <v>2.4931582185376241E-4</v>
      </c>
      <c r="Q195" s="24">
        <v>1</v>
      </c>
      <c r="R195" s="24">
        <v>0</v>
      </c>
      <c r="S195" s="24">
        <v>0</v>
      </c>
      <c r="T195" s="24">
        <v>0</v>
      </c>
      <c r="U195" s="24">
        <v>0</v>
      </c>
      <c r="V195" s="24">
        <v>1</v>
      </c>
    </row>
    <row r="196" spans="1:22" ht="21" customHeight="1" x14ac:dyDescent="0.15">
      <c r="A196" s="2" t="str">
        <f ca="1">input_498100!A$2</f>
        <v>498100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38">
        <f ca="1">IFERROR(VLOOKUP(B196,input_498100!L:R,7,FALSE),VLOOKUP(tables_498100!C196,input_498100!A:H,8,FALSE))</f>
        <v>33840</v>
      </c>
      <c r="P196" s="39">
        <f t="shared" ca="1" si="10"/>
        <v>2.9508196721507018E-4</v>
      </c>
      <c r="Q196" s="24">
        <v>1</v>
      </c>
      <c r="R196" s="24">
        <v>0</v>
      </c>
      <c r="S196" s="24">
        <v>0</v>
      </c>
      <c r="T196" s="24">
        <v>0</v>
      </c>
      <c r="U196" s="24">
        <v>0</v>
      </c>
      <c r="V196" s="24">
        <v>1</v>
      </c>
    </row>
    <row r="197" spans="1:22" ht="21" customHeight="1" x14ac:dyDescent="0.15">
      <c r="A197" s="2" t="str">
        <f ca="1">input_498100!A$2</f>
        <v>498100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38">
        <f ca="1">IFERROR(VLOOKUP(B197,input_498100!L:R,7,FALSE),VLOOKUP(tables_498100!C197,input_498100!A:H,8,FALSE))</f>
        <v>3760</v>
      </c>
      <c r="P197" s="39">
        <f t="shared" ca="1" si="10"/>
        <v>3.2786885246118909E-5</v>
      </c>
      <c r="Q197" s="24">
        <v>1</v>
      </c>
      <c r="R197" s="24">
        <v>0</v>
      </c>
      <c r="S197" s="24">
        <v>0</v>
      </c>
      <c r="T197" s="24">
        <v>0</v>
      </c>
      <c r="U197" s="24">
        <v>0</v>
      </c>
      <c r="V197" s="24">
        <v>1</v>
      </c>
    </row>
    <row r="198" spans="1:22" ht="21" customHeight="1" x14ac:dyDescent="0.15">
      <c r="A198" s="2" t="str">
        <f ca="1">input_498100!A$2</f>
        <v>498100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38">
        <f ca="1">IFERROR(VLOOKUP(B198,input_498100!L:R,7,FALSE),VLOOKUP(tables_498100!C198,input_498100!A:H,8,FALSE))</f>
        <v>0</v>
      </c>
      <c r="P198" s="39">
        <f t="shared" ca="1" si="10"/>
        <v>0</v>
      </c>
      <c r="Q198" s="24">
        <v>1</v>
      </c>
      <c r="R198" s="24">
        <v>0</v>
      </c>
      <c r="S198" s="24">
        <v>0</v>
      </c>
      <c r="T198" s="24">
        <v>0</v>
      </c>
      <c r="U198" s="24">
        <v>0</v>
      </c>
      <c r="V198" s="24">
        <v>1</v>
      </c>
    </row>
    <row r="199" spans="1:22" ht="21" customHeight="1" x14ac:dyDescent="0.15">
      <c r="A199" s="2" t="str">
        <f ca="1">input_498100!A$2</f>
        <v>498100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38">
        <f ca="1">IFERROR(VLOOKUP(B199,input_498100!L:R,7,FALSE),VLOOKUP(tables_498100!C199,input_498100!A:H,8,FALSE))</f>
        <v>976938.46154000005</v>
      </c>
      <c r="P199" s="39">
        <f t="shared" ca="1" si="10"/>
        <v>8.5188216039978545E-3</v>
      </c>
      <c r="Q199" s="24">
        <v>1</v>
      </c>
      <c r="R199" s="24">
        <v>0</v>
      </c>
      <c r="S199" s="24">
        <v>0</v>
      </c>
      <c r="T199" s="24">
        <v>0</v>
      </c>
      <c r="U199" s="24">
        <v>0</v>
      </c>
      <c r="V199" s="24">
        <v>1</v>
      </c>
    </row>
    <row r="200" spans="1:22" ht="21" customHeight="1" x14ac:dyDescent="0.15">
      <c r="A200" s="2" t="str">
        <f ca="1">input_498100!A$2</f>
        <v>498100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38">
        <f ca="1">IFERROR(VLOOKUP(B200,input_498100!L:R,7,FALSE),VLOOKUP(tables_498100!C200,input_498100!A:H,8,FALSE))</f>
        <v>28591.53845</v>
      </c>
      <c r="P200" s="39">
        <f t="shared" ca="1" si="10"/>
        <v>2.4931582185376241E-4</v>
      </c>
      <c r="Q200" s="24">
        <v>1</v>
      </c>
      <c r="R200" s="24">
        <v>0</v>
      </c>
      <c r="S200" s="24">
        <v>0</v>
      </c>
      <c r="T200" s="24">
        <v>0</v>
      </c>
      <c r="U200" s="24">
        <v>0</v>
      </c>
      <c r="V200" s="24">
        <v>1</v>
      </c>
    </row>
    <row r="201" spans="1:22" ht="21" customHeight="1" x14ac:dyDescent="0.15">
      <c r="A201" s="2" t="str">
        <f ca="1">input_498100!A$2</f>
        <v>498100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38">
        <f ca="1">IFERROR(VLOOKUP(B201,input_498100!L:R,7,FALSE),VLOOKUP(tables_498100!C201,input_498100!A:H,8,FALSE))</f>
        <v>33840</v>
      </c>
      <c r="P201" s="39">
        <f t="shared" ca="1" si="10"/>
        <v>2.9508196721507018E-4</v>
      </c>
      <c r="Q201" s="24">
        <v>1</v>
      </c>
      <c r="R201" s="24">
        <v>0</v>
      </c>
      <c r="S201" s="24">
        <v>0</v>
      </c>
      <c r="T201" s="24">
        <v>0</v>
      </c>
      <c r="U201" s="24">
        <v>0</v>
      </c>
      <c r="V201" s="24">
        <v>1</v>
      </c>
    </row>
    <row r="202" spans="1:22" ht="21" customHeight="1" x14ac:dyDescent="0.15">
      <c r="A202" s="2" t="str">
        <f ca="1">input_498100!A$2</f>
        <v>498100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38">
        <f ca="1">IFERROR(VLOOKUP(B202,input_498100!L:R,7,FALSE),VLOOKUP(tables_498100!C202,input_498100!A:H,8,FALSE))</f>
        <v>3760</v>
      </c>
      <c r="P202" s="39">
        <f t="shared" ca="1" si="10"/>
        <v>3.2786885246118909E-5</v>
      </c>
      <c r="Q202" s="24">
        <v>1</v>
      </c>
      <c r="R202" s="24">
        <v>0</v>
      </c>
      <c r="S202" s="24">
        <v>0</v>
      </c>
      <c r="T202" s="24">
        <v>0</v>
      </c>
      <c r="U202" s="24">
        <v>0</v>
      </c>
      <c r="V202" s="24">
        <v>1</v>
      </c>
    </row>
    <row r="203" spans="1:22" ht="21" customHeight="1" x14ac:dyDescent="0.15">
      <c r="A203" s="2" t="str">
        <f ca="1">input_498100!A$2</f>
        <v>498100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38">
        <f ca="1">IFERROR(VLOOKUP(B203,input_498100!L:R,7,FALSE),VLOOKUP(tables_498100!C203,input_498100!A:H,8,FALSE))</f>
        <v>0</v>
      </c>
      <c r="P203" s="39">
        <f t="shared" ca="1" si="10"/>
        <v>0</v>
      </c>
      <c r="Q203" s="24">
        <v>1</v>
      </c>
      <c r="R203" s="24">
        <v>0</v>
      </c>
      <c r="S203" s="24">
        <v>0</v>
      </c>
      <c r="T203" s="24">
        <v>0</v>
      </c>
      <c r="U203" s="24">
        <v>0</v>
      </c>
      <c r="V203" s="24">
        <v>1</v>
      </c>
    </row>
    <row r="204" spans="1:22" ht="21" customHeight="1" x14ac:dyDescent="0.15">
      <c r="A204" s="2" t="str">
        <f ca="1">input_498100!A$2</f>
        <v>498100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38">
        <f ca="1">IFERROR(VLOOKUP(B204,input_498100!L:R,7,FALSE),VLOOKUP(tables_498100!C204,input_498100!A:H,8,FALSE))</f>
        <v>976938.46154000005</v>
      </c>
      <c r="P204" s="39">
        <f t="shared" ca="1" si="10"/>
        <v>8.5188216039978545E-3</v>
      </c>
      <c r="Q204" s="24">
        <v>1</v>
      </c>
      <c r="R204" s="24">
        <v>0</v>
      </c>
      <c r="S204" s="24">
        <v>0</v>
      </c>
      <c r="T204" s="24">
        <v>0</v>
      </c>
      <c r="U204" s="24">
        <v>0</v>
      </c>
      <c r="V204" s="24">
        <v>1</v>
      </c>
    </row>
    <row r="205" spans="1:22" ht="21" customHeight="1" x14ac:dyDescent="0.15">
      <c r="A205" s="2" t="str">
        <f ca="1">input_498100!A$2</f>
        <v>498100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38">
        <f ca="1">IFERROR(VLOOKUP(B205,input_498100!L:R,7,FALSE),VLOOKUP(tables_498100!C205,input_498100!A:H,8,FALSE))</f>
        <v>28591.53845</v>
      </c>
      <c r="P205" s="39">
        <f t="shared" ca="1" si="10"/>
        <v>2.4931582185376241E-4</v>
      </c>
      <c r="Q205" s="24">
        <v>1</v>
      </c>
      <c r="R205" s="24">
        <v>0</v>
      </c>
      <c r="S205" s="24">
        <v>0</v>
      </c>
      <c r="T205" s="24">
        <v>0</v>
      </c>
      <c r="U205" s="24">
        <v>0</v>
      </c>
      <c r="V205" s="24">
        <v>1</v>
      </c>
    </row>
    <row r="206" spans="1:22" ht="21" customHeight="1" x14ac:dyDescent="0.15">
      <c r="A206" s="2" t="str">
        <f ca="1">input_498100!A$2</f>
        <v>498100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38">
        <f ca="1">IFERROR(VLOOKUP(B206,input_498100!L:R,7,FALSE),VLOOKUP(tables_498100!C206,input_498100!A:H,8,FALSE))</f>
        <v>33840</v>
      </c>
      <c r="P206" s="39">
        <f t="shared" ca="1" si="10"/>
        <v>2.9508196721507018E-4</v>
      </c>
      <c r="Q206" s="24">
        <v>1</v>
      </c>
      <c r="R206" s="24">
        <v>0</v>
      </c>
      <c r="S206" s="24">
        <v>0</v>
      </c>
      <c r="T206" s="24">
        <v>0</v>
      </c>
      <c r="U206" s="24">
        <v>0</v>
      </c>
      <c r="V206" s="24">
        <v>1</v>
      </c>
    </row>
    <row r="207" spans="1:22" ht="21" customHeight="1" x14ac:dyDescent="0.15">
      <c r="A207" s="2" t="str">
        <f ca="1">input_498100!A$2</f>
        <v>498100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38">
        <f ca="1">IFERROR(VLOOKUP(B207,input_498100!L:R,7,FALSE),VLOOKUP(tables_498100!C207,input_498100!A:H,8,FALSE))</f>
        <v>3760</v>
      </c>
      <c r="P207" s="39">
        <f t="shared" ca="1" si="10"/>
        <v>3.2786885246118909E-5</v>
      </c>
      <c r="Q207" s="24">
        <v>1</v>
      </c>
      <c r="R207" s="24">
        <v>0</v>
      </c>
      <c r="S207" s="24">
        <v>0</v>
      </c>
      <c r="T207" s="24">
        <v>0</v>
      </c>
      <c r="U207" s="24">
        <v>0</v>
      </c>
      <c r="V207" s="24">
        <v>1</v>
      </c>
    </row>
    <row r="208" spans="1:22" ht="21" customHeight="1" x14ac:dyDescent="0.15">
      <c r="A208" s="2" t="str">
        <f ca="1">input_498100!A$2</f>
        <v>498100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38">
        <f ca="1">IFERROR(VLOOKUP(B208,input_498100!L:R,7,FALSE),VLOOKUP(tables_498100!C208,input_498100!A:H,8,FALSE))</f>
        <v>33840</v>
      </c>
      <c r="P208" s="39">
        <f t="shared" ca="1" si="10"/>
        <v>2.9508196721507018E-4</v>
      </c>
      <c r="Q208" s="24">
        <v>1</v>
      </c>
      <c r="R208" s="24">
        <v>0</v>
      </c>
      <c r="S208" s="24">
        <v>0</v>
      </c>
      <c r="T208" s="24">
        <v>0</v>
      </c>
      <c r="U208" s="24">
        <v>0</v>
      </c>
      <c r="V208" s="24">
        <v>1</v>
      </c>
    </row>
    <row r="209" spans="1:22" ht="21" customHeight="1" x14ac:dyDescent="0.15">
      <c r="A209" s="2" t="str">
        <f ca="1">input_498100!A$2</f>
        <v>498100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38">
        <f ca="1">IFERROR(VLOOKUP(B209,input_498100!L:R,7,FALSE),VLOOKUP(tables_498100!C209,input_498100!A:H,8,FALSE))</f>
        <v>3760</v>
      </c>
      <c r="P209" s="39">
        <f t="shared" ca="1" si="10"/>
        <v>3.2786885246118909E-5</v>
      </c>
      <c r="Q209" s="24">
        <v>1</v>
      </c>
      <c r="R209" s="24">
        <v>0</v>
      </c>
      <c r="S209" s="24">
        <v>0</v>
      </c>
      <c r="T209" s="24">
        <v>0</v>
      </c>
      <c r="U209" s="24">
        <v>0</v>
      </c>
      <c r="V209" s="24">
        <v>1</v>
      </c>
    </row>
    <row r="210" spans="1:22" ht="21" customHeight="1" x14ac:dyDescent="0.15">
      <c r="A210" s="2" t="str">
        <f ca="1">input_498100!A$2</f>
        <v>498100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38">
        <f ca="1">IFERROR(VLOOKUP(B210,input_498100!L:R,7,FALSE),VLOOKUP(tables_498100!C210,input_498100!A:H,8,FALSE))</f>
        <v>0</v>
      </c>
      <c r="P210" s="39">
        <f t="shared" ca="1" si="10"/>
        <v>0</v>
      </c>
      <c r="Q210" s="24">
        <v>1</v>
      </c>
      <c r="R210" s="24">
        <v>0</v>
      </c>
      <c r="S210" s="24">
        <v>0</v>
      </c>
      <c r="T210" s="24">
        <v>0</v>
      </c>
      <c r="U210" s="24">
        <v>0</v>
      </c>
      <c r="V210" s="24">
        <v>1</v>
      </c>
    </row>
    <row r="211" spans="1:22" ht="21" customHeight="1" x14ac:dyDescent="0.15">
      <c r="A211" s="2" t="str">
        <f ca="1">input_498100!A$2</f>
        <v>498100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38">
        <f ca="1">IFERROR(VLOOKUP(B211,input_498100!L:R,7,FALSE),VLOOKUP(tables_498100!C211,input_498100!A:H,8,FALSE))</f>
        <v>976938.46154000005</v>
      </c>
      <c r="P211" s="39">
        <f t="shared" ca="1" si="10"/>
        <v>8.5188216039978545E-3</v>
      </c>
      <c r="Q211" s="24">
        <v>1</v>
      </c>
      <c r="R211" s="24">
        <v>0</v>
      </c>
      <c r="S211" s="24">
        <v>0</v>
      </c>
      <c r="T211" s="24">
        <v>0</v>
      </c>
      <c r="U211" s="24">
        <v>0</v>
      </c>
      <c r="V211" s="24">
        <v>1</v>
      </c>
    </row>
    <row r="212" spans="1:22" ht="21" customHeight="1" x14ac:dyDescent="0.15">
      <c r="A212" s="2" t="str">
        <f ca="1">input_498100!A$2</f>
        <v>498100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38">
        <f ca="1">IFERROR(VLOOKUP(B212,input_498100!L:R,7,FALSE),VLOOKUP(tables_498100!C212,input_498100!A:H,8,FALSE))</f>
        <v>28591.53845</v>
      </c>
      <c r="P212" s="39">
        <f t="shared" ca="1" si="10"/>
        <v>2.4931582185376241E-4</v>
      </c>
      <c r="Q212" s="24">
        <v>1</v>
      </c>
      <c r="R212" s="24">
        <v>0</v>
      </c>
      <c r="S212" s="24">
        <v>0</v>
      </c>
      <c r="T212" s="24">
        <v>0</v>
      </c>
      <c r="U212" s="24">
        <v>0</v>
      </c>
      <c r="V212" s="24">
        <v>1</v>
      </c>
    </row>
    <row r="213" spans="1:22" ht="21" customHeight="1" x14ac:dyDescent="0.15">
      <c r="A213" s="2" t="str">
        <f ca="1">input_498100!A$2</f>
        <v>498100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38">
        <f ca="1">IFERROR(VLOOKUP(B213,input_498100!L:R,7,FALSE),VLOOKUP(tables_498100!C213,input_498100!A:H,8,FALSE))</f>
        <v>33840</v>
      </c>
      <c r="P213" s="39">
        <f t="shared" ca="1" si="10"/>
        <v>2.9508196721507018E-4</v>
      </c>
      <c r="Q213" s="24">
        <v>1</v>
      </c>
      <c r="R213" s="24">
        <v>0</v>
      </c>
      <c r="S213" s="24">
        <v>0</v>
      </c>
      <c r="T213" s="24">
        <v>0</v>
      </c>
      <c r="U213" s="24">
        <v>0</v>
      </c>
      <c r="V213" s="24">
        <v>1</v>
      </c>
    </row>
    <row r="214" spans="1:22" ht="21" customHeight="1" x14ac:dyDescent="0.15">
      <c r="A214" s="2" t="str">
        <f ca="1">input_498100!A$2</f>
        <v>498100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38">
        <f ca="1">IFERROR(VLOOKUP(B214,input_498100!L:R,7,FALSE),VLOOKUP(tables_498100!C214,input_498100!A:H,8,FALSE))</f>
        <v>3760</v>
      </c>
      <c r="P214" s="39">
        <f t="shared" ca="1" si="10"/>
        <v>3.2786885246118909E-5</v>
      </c>
      <c r="Q214" s="24">
        <v>1</v>
      </c>
      <c r="R214" s="24">
        <v>0</v>
      </c>
      <c r="S214" s="24">
        <v>0</v>
      </c>
      <c r="T214" s="24">
        <v>0</v>
      </c>
      <c r="U214" s="24">
        <v>0</v>
      </c>
      <c r="V214" s="24">
        <v>1</v>
      </c>
    </row>
    <row r="215" spans="1:22" ht="21" customHeight="1" x14ac:dyDescent="0.15">
      <c r="A215" s="2" t="str">
        <f ca="1">input_498100!A$2</f>
        <v>498100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38">
        <f ca="1">IFERROR(VLOOKUP(B215,input_498100!L:R,7,FALSE),VLOOKUP(tables_498100!C215,input_498100!A:H,8,FALSE))</f>
        <v>68116.666670000006</v>
      </c>
      <c r="P215" s="39">
        <f t="shared" ca="1" si="10"/>
        <v>5.9397163123867634E-4</v>
      </c>
      <c r="Q215" s="24">
        <v>1</v>
      </c>
      <c r="R215" s="24">
        <v>0</v>
      </c>
      <c r="S215" s="24">
        <v>0</v>
      </c>
      <c r="T215" s="24">
        <v>0</v>
      </c>
      <c r="U215" s="24">
        <v>0</v>
      </c>
      <c r="V215" s="24">
        <v>1</v>
      </c>
    </row>
    <row r="216" spans="1:22" ht="21" customHeight="1" x14ac:dyDescent="0.15">
      <c r="A216" s="2" t="str">
        <f ca="1">input_498100!A$2</f>
        <v>498100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38">
        <f ca="1">IFERROR(VLOOKUP(B216,input_498100!L:R,7,FALSE),VLOOKUP(tables_498100!C216,input_498100!A:H,8,FALSE))</f>
        <v>68116.666670000006</v>
      </c>
      <c r="P216" s="39">
        <f t="shared" ca="1" si="10"/>
        <v>5.9397163123867634E-4</v>
      </c>
      <c r="Q216" s="24">
        <v>1</v>
      </c>
      <c r="R216" s="24">
        <v>0</v>
      </c>
      <c r="S216" s="24">
        <v>0</v>
      </c>
      <c r="T216" s="24">
        <v>0</v>
      </c>
      <c r="U216" s="24">
        <v>0</v>
      </c>
      <c r="V216" s="24">
        <v>1</v>
      </c>
    </row>
    <row r="217" spans="1:22" ht="21" customHeight="1" x14ac:dyDescent="0.15">
      <c r="A217" s="2" t="str">
        <f ca="1">input_498100!A$2</f>
        <v>498100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38">
        <f ca="1">IFERROR(VLOOKUP(B217,input_498100!L:R,7,FALSE),VLOOKUP(tables_498100!C217,input_498100!A:H,8,FALSE))</f>
        <v>68116.666670000006</v>
      </c>
      <c r="P217" s="39">
        <f t="shared" ca="1" si="10"/>
        <v>5.9397163123867634E-4</v>
      </c>
      <c r="Q217" s="24">
        <v>1</v>
      </c>
      <c r="R217" s="24">
        <v>0</v>
      </c>
      <c r="S217" s="24">
        <v>0</v>
      </c>
      <c r="T217" s="24">
        <v>0</v>
      </c>
      <c r="U217" s="24">
        <v>0</v>
      </c>
      <c r="V217" s="24">
        <v>1</v>
      </c>
    </row>
    <row r="218" spans="1:22" ht="21" customHeight="1" x14ac:dyDescent="0.15">
      <c r="A218" s="2" t="str">
        <f ca="1">input_498100!A$2</f>
        <v>498100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38">
        <f ca="1">IFERROR(VLOOKUP(B218,input_498100!L:R,7,FALSE),VLOOKUP(tables_498100!C218,input_498100!A:H,8,FALSE))</f>
        <v>68116.666670000006</v>
      </c>
      <c r="P218" s="39">
        <f t="shared" ca="1" si="10"/>
        <v>5.9397163123867634E-4</v>
      </c>
      <c r="Q218" s="24">
        <v>1</v>
      </c>
      <c r="R218" s="24">
        <v>0</v>
      </c>
      <c r="S218" s="24">
        <v>0</v>
      </c>
      <c r="T218" s="24">
        <v>0</v>
      </c>
      <c r="U218" s="24">
        <v>0</v>
      </c>
      <c r="V218" s="24">
        <v>1</v>
      </c>
    </row>
    <row r="219" spans="1:22" ht="21" customHeight="1" x14ac:dyDescent="0.15">
      <c r="A219" s="2" t="str">
        <f ca="1">input_498100!A$2</f>
        <v>498100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38">
        <f ca="1">IFERROR(VLOOKUP(B219,input_498100!L:R,7,FALSE),VLOOKUP(tables_498100!C219,input_498100!A:H,8,FALSE))</f>
        <v>68116.666670000006</v>
      </c>
      <c r="P219" s="39">
        <f t="shared" ca="1" si="10"/>
        <v>5.9397163123867634E-4</v>
      </c>
      <c r="Q219" s="24">
        <v>1</v>
      </c>
      <c r="R219" s="24">
        <v>0</v>
      </c>
      <c r="S219" s="24">
        <v>0</v>
      </c>
      <c r="T219" s="24">
        <v>0</v>
      </c>
      <c r="U219" s="24">
        <v>0</v>
      </c>
      <c r="V219" s="24">
        <v>1</v>
      </c>
    </row>
    <row r="220" spans="1:22" ht="21" customHeight="1" x14ac:dyDescent="0.15">
      <c r="A220" s="2" t="str">
        <f ca="1">input_498100!A$2</f>
        <v>498100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38">
        <f ca="1">IFERROR(VLOOKUP(B220,input_498100!L:R,7,FALSE),VLOOKUP(tables_498100!C220,input_498100!A:H,8,FALSE))</f>
        <v>68116.666670000006</v>
      </c>
      <c r="P220" s="39">
        <f t="shared" ca="1" si="10"/>
        <v>5.9397163123867634E-4</v>
      </c>
      <c r="Q220" s="24">
        <v>1</v>
      </c>
      <c r="R220" s="24">
        <v>0</v>
      </c>
      <c r="S220" s="24">
        <v>0</v>
      </c>
      <c r="T220" s="24">
        <v>0</v>
      </c>
      <c r="U220" s="24">
        <v>0</v>
      </c>
      <c r="V220" s="24">
        <v>1</v>
      </c>
    </row>
    <row r="221" spans="1:22" ht="21" customHeight="1" x14ac:dyDescent="0.15">
      <c r="A221" s="2" t="str">
        <f ca="1">input_498100!A$2</f>
        <v>498100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38">
        <f ca="1">IFERROR(VLOOKUP(B221,input_498100!L:R,7,FALSE),VLOOKUP(tables_498100!C221,input_498100!A:H,8,FALSE))</f>
        <v>33840</v>
      </c>
      <c r="P221" s="39">
        <f t="shared" ca="1" si="10"/>
        <v>2.9508196721507018E-4</v>
      </c>
      <c r="Q221" s="24">
        <v>1</v>
      </c>
      <c r="R221" s="24">
        <v>0</v>
      </c>
      <c r="S221" s="24">
        <v>0</v>
      </c>
      <c r="T221" s="24">
        <v>0</v>
      </c>
      <c r="U221" s="24">
        <v>0</v>
      </c>
      <c r="V221" s="24">
        <v>1</v>
      </c>
    </row>
    <row r="222" spans="1:22" ht="21" customHeight="1" x14ac:dyDescent="0.15">
      <c r="A222" s="2" t="str">
        <f ca="1">input_498100!A$2</f>
        <v>498100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38">
        <f ca="1">IFERROR(VLOOKUP(B222,input_498100!L:R,7,FALSE),VLOOKUP(tables_498100!C222,input_498100!A:H,8,FALSE))</f>
        <v>3760</v>
      </c>
      <c r="P222" s="39">
        <f t="shared" ca="1" si="10"/>
        <v>3.2786885246118909E-5</v>
      </c>
      <c r="Q222" s="24">
        <v>1</v>
      </c>
      <c r="R222" s="24">
        <v>0</v>
      </c>
      <c r="S222" s="24">
        <v>0</v>
      </c>
      <c r="T222" s="24">
        <v>0</v>
      </c>
      <c r="U222" s="24">
        <v>0</v>
      </c>
      <c r="V222" s="24">
        <v>1</v>
      </c>
    </row>
    <row r="223" spans="1:22" ht="21" customHeight="1" x14ac:dyDescent="0.15">
      <c r="A223" s="2" t="str">
        <f ca="1">input_498100!A$2</f>
        <v>498100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38">
        <f ca="1">IFERROR(VLOOKUP(B223,input_498100!L:R,7,FALSE),VLOOKUP(tables_498100!C223,input_498100!A:H,8,FALSE))</f>
        <v>0</v>
      </c>
      <c r="P223" s="39">
        <f t="shared" ca="1" si="10"/>
        <v>0</v>
      </c>
      <c r="Q223" s="24">
        <v>1</v>
      </c>
      <c r="R223" s="24">
        <v>0</v>
      </c>
      <c r="S223" s="24">
        <v>0</v>
      </c>
      <c r="T223" s="24">
        <v>0</v>
      </c>
      <c r="U223" s="24">
        <v>0</v>
      </c>
      <c r="V223" s="24">
        <v>1</v>
      </c>
    </row>
    <row r="224" spans="1:22" ht="21" customHeight="1" x14ac:dyDescent="0.15">
      <c r="A224" s="2" t="str">
        <f ca="1">input_498100!A$2</f>
        <v>498100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38">
        <f ca="1">IFERROR(VLOOKUP(B224,input_498100!L:R,7,FALSE),VLOOKUP(tables_498100!C224,input_498100!A:H,8,FALSE))</f>
        <v>976938.46154000005</v>
      </c>
      <c r="P224" s="39">
        <f t="shared" ca="1" si="10"/>
        <v>8.5188216039978545E-3</v>
      </c>
      <c r="Q224" s="24">
        <v>1</v>
      </c>
      <c r="R224" s="24">
        <v>0</v>
      </c>
      <c r="S224" s="24">
        <v>0</v>
      </c>
      <c r="T224" s="24">
        <v>0</v>
      </c>
      <c r="U224" s="24">
        <v>0</v>
      </c>
      <c r="V224" s="24">
        <v>1</v>
      </c>
    </row>
    <row r="225" spans="1:22" ht="21" customHeight="1" x14ac:dyDescent="0.15">
      <c r="A225" s="2" t="str">
        <f ca="1">input_498100!A$2</f>
        <v>498100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38">
        <f ca="1">IFERROR(VLOOKUP(B225,input_498100!L:R,7,FALSE),VLOOKUP(tables_498100!C225,input_498100!A:H,8,FALSE))</f>
        <v>28591.53845</v>
      </c>
      <c r="P225" s="39">
        <f t="shared" ca="1" si="10"/>
        <v>2.4931582185376241E-4</v>
      </c>
      <c r="Q225" s="24">
        <v>1</v>
      </c>
      <c r="R225" s="24">
        <v>0</v>
      </c>
      <c r="S225" s="24">
        <v>0</v>
      </c>
      <c r="T225" s="24">
        <v>0</v>
      </c>
      <c r="U225" s="24">
        <v>0</v>
      </c>
      <c r="V225" s="24">
        <v>1</v>
      </c>
    </row>
    <row r="226" spans="1:22" ht="21" customHeight="1" x14ac:dyDescent="0.15">
      <c r="A226" s="2" t="str">
        <f ca="1">input_498100!A$2</f>
        <v>498100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38">
        <f ca="1">IFERROR(VLOOKUP(B226,input_498100!L:R,7,FALSE),VLOOKUP(tables_498100!C226,input_498100!A:H,8,FALSE))</f>
        <v>0</v>
      </c>
      <c r="P226" s="39">
        <f t="shared" ca="1" si="10"/>
        <v>0</v>
      </c>
      <c r="Q226" s="24">
        <v>1</v>
      </c>
      <c r="R226" s="24">
        <v>0</v>
      </c>
      <c r="S226" s="24">
        <v>0</v>
      </c>
      <c r="T226" s="24">
        <v>0</v>
      </c>
      <c r="U226" s="24">
        <v>0</v>
      </c>
      <c r="V226" s="24">
        <v>1</v>
      </c>
    </row>
    <row r="227" spans="1:22" ht="21" customHeight="1" x14ac:dyDescent="0.15">
      <c r="A227" s="2" t="str">
        <f ca="1">input_498100!A$2</f>
        <v>498100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38">
        <f ca="1">IFERROR(VLOOKUP(B227,input_498100!L:R,7,FALSE),VLOOKUP(tables_498100!C227,input_498100!A:H,8,FALSE))</f>
        <v>976938.46154000005</v>
      </c>
      <c r="P227" s="39">
        <f t="shared" ca="1" si="10"/>
        <v>8.5188216039978545E-3</v>
      </c>
      <c r="Q227" s="24">
        <v>1</v>
      </c>
      <c r="R227" s="24">
        <v>0</v>
      </c>
      <c r="S227" s="24">
        <v>0</v>
      </c>
      <c r="T227" s="24">
        <v>0</v>
      </c>
      <c r="U227" s="24">
        <v>0</v>
      </c>
      <c r="V227" s="24">
        <v>1</v>
      </c>
    </row>
    <row r="228" spans="1:22" ht="21" customHeight="1" x14ac:dyDescent="0.15">
      <c r="A228" s="2" t="str">
        <f ca="1">input_498100!A$2</f>
        <v>498100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38">
        <f ca="1">IFERROR(VLOOKUP(B228,input_498100!L:R,7,FALSE),VLOOKUP(tables_498100!C228,input_498100!A:H,8,FALSE))</f>
        <v>28591.53845</v>
      </c>
      <c r="P228" s="39">
        <f t="shared" ca="1" si="10"/>
        <v>2.4931582185376241E-4</v>
      </c>
      <c r="Q228" s="24">
        <v>1</v>
      </c>
      <c r="R228" s="24">
        <v>0</v>
      </c>
      <c r="S228" s="24">
        <v>0</v>
      </c>
      <c r="T228" s="24">
        <v>0</v>
      </c>
      <c r="U228" s="24">
        <v>0</v>
      </c>
      <c r="V228" s="24">
        <v>1</v>
      </c>
    </row>
    <row r="229" spans="1:22" ht="21" customHeight="1" x14ac:dyDescent="0.15">
      <c r="A229" s="2" t="str">
        <f ca="1">input_498100!A$2</f>
        <v>498100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38">
        <f ca="1">IFERROR(VLOOKUP(B229,input_498100!L:R,7,FALSE),VLOOKUP(tables_498100!C229,input_498100!A:H,8,FALSE))</f>
        <v>33840</v>
      </c>
      <c r="P229" s="39">
        <f t="shared" ca="1" si="10"/>
        <v>2.9508196721507018E-4</v>
      </c>
      <c r="Q229" s="24">
        <v>1</v>
      </c>
      <c r="R229" s="24">
        <v>0</v>
      </c>
      <c r="S229" s="24">
        <v>0</v>
      </c>
      <c r="T229" s="24">
        <v>0</v>
      </c>
      <c r="U229" s="24">
        <v>0</v>
      </c>
      <c r="V229" s="24">
        <v>1</v>
      </c>
    </row>
    <row r="230" spans="1:22" ht="21" customHeight="1" x14ac:dyDescent="0.15">
      <c r="A230" s="2" t="str">
        <f ca="1">input_498100!A$2</f>
        <v>498100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38">
        <f ca="1">IFERROR(VLOOKUP(B230,input_498100!L:R,7,FALSE),VLOOKUP(tables_498100!C230,input_498100!A:H,8,FALSE))</f>
        <v>3760</v>
      </c>
      <c r="P230" s="39">
        <f t="shared" ca="1" si="10"/>
        <v>3.2786885246118909E-5</v>
      </c>
      <c r="Q230" s="24">
        <v>1</v>
      </c>
      <c r="R230" s="24">
        <v>0</v>
      </c>
      <c r="S230" s="24">
        <v>0</v>
      </c>
      <c r="T230" s="24">
        <v>0</v>
      </c>
      <c r="U230" s="24">
        <v>0</v>
      </c>
      <c r="V230" s="24">
        <v>1</v>
      </c>
    </row>
    <row r="231" spans="1:22" ht="21" customHeight="1" x14ac:dyDescent="0.15">
      <c r="A231" s="2" t="str">
        <f ca="1">input_498100!A$2</f>
        <v>498100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38">
        <f ca="1">IFERROR(VLOOKUP(B231,input_498100!L:R,7,FALSE),VLOOKUP(tables_498100!C231,input_498100!A:H,8,FALSE))</f>
        <v>0</v>
      </c>
      <c r="P231" s="39">
        <f t="shared" ca="1" si="10"/>
        <v>0</v>
      </c>
      <c r="Q231" s="24">
        <v>1</v>
      </c>
      <c r="R231" s="24">
        <v>0</v>
      </c>
      <c r="S231" s="24">
        <v>0</v>
      </c>
      <c r="T231" s="24">
        <v>0</v>
      </c>
      <c r="U231" s="24">
        <v>0</v>
      </c>
      <c r="V231" s="24">
        <v>1</v>
      </c>
    </row>
    <row r="232" spans="1:22" ht="21" customHeight="1" x14ac:dyDescent="0.15">
      <c r="A232" s="2" t="str">
        <f ca="1">input_498100!A$2</f>
        <v>498100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38">
        <f ca="1">IFERROR(VLOOKUP(B232,input_498100!L:R,7,FALSE),VLOOKUP(tables_498100!C232,input_498100!A:H,8,FALSE))</f>
        <v>976938.46154000005</v>
      </c>
      <c r="P232" s="39">
        <f t="shared" ca="1" si="10"/>
        <v>8.5188216039978545E-3</v>
      </c>
      <c r="Q232" s="24">
        <v>1</v>
      </c>
      <c r="R232" s="24">
        <v>0</v>
      </c>
      <c r="S232" s="24">
        <v>0</v>
      </c>
      <c r="T232" s="24">
        <v>0</v>
      </c>
      <c r="U232" s="24">
        <v>0</v>
      </c>
      <c r="V232" s="24">
        <v>1</v>
      </c>
    </row>
    <row r="233" spans="1:22" ht="21" customHeight="1" x14ac:dyDescent="0.15">
      <c r="A233" s="2" t="str">
        <f ca="1">input_498100!A$2</f>
        <v>498100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38">
        <f ca="1">IFERROR(VLOOKUP(B233,input_498100!L:R,7,FALSE),VLOOKUP(tables_498100!C233,input_498100!A:H,8,FALSE))</f>
        <v>28591.53845</v>
      </c>
      <c r="P233" s="39">
        <f t="shared" ca="1" si="10"/>
        <v>2.4931582185376241E-4</v>
      </c>
      <c r="Q233" s="24">
        <v>1</v>
      </c>
      <c r="R233" s="24">
        <v>0</v>
      </c>
      <c r="S233" s="24">
        <v>0</v>
      </c>
      <c r="T233" s="24">
        <v>0</v>
      </c>
      <c r="U233" s="24">
        <v>0</v>
      </c>
      <c r="V233" s="24">
        <v>1</v>
      </c>
    </row>
    <row r="234" spans="1:22" ht="21" customHeight="1" x14ac:dyDescent="0.15">
      <c r="A234" s="2" t="str">
        <f ca="1">input_498100!A$2</f>
        <v>498100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38">
        <f ca="1">IFERROR(VLOOKUP(B234,input_498100!L:R,7,FALSE),VLOOKUP(tables_498100!C234,input_498100!A:H,8,FALSE))</f>
        <v>0</v>
      </c>
      <c r="P234" s="39">
        <f t="shared" ca="1" si="10"/>
        <v>0</v>
      </c>
      <c r="Q234" s="24">
        <v>1</v>
      </c>
      <c r="R234" s="24">
        <v>0</v>
      </c>
      <c r="S234" s="24">
        <v>0</v>
      </c>
      <c r="T234" s="24">
        <v>0</v>
      </c>
      <c r="U234" s="24">
        <v>0</v>
      </c>
      <c r="V234" s="24">
        <v>1</v>
      </c>
    </row>
    <row r="235" spans="1:22" ht="21" customHeight="1" x14ac:dyDescent="0.15">
      <c r="A235" s="2" t="str">
        <f ca="1">input_498100!A$2</f>
        <v>498100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38">
        <f ca="1">IFERROR(VLOOKUP(B235,input_498100!L:R,7,FALSE),VLOOKUP(tables_498100!C235,input_498100!A:H,8,FALSE))</f>
        <v>976938.46154000005</v>
      </c>
      <c r="P235" s="39">
        <f t="shared" ca="1" si="10"/>
        <v>8.5188216039978545E-3</v>
      </c>
      <c r="Q235" s="24">
        <v>1</v>
      </c>
      <c r="R235" s="24">
        <v>0</v>
      </c>
      <c r="S235" s="24">
        <v>0</v>
      </c>
      <c r="T235" s="24">
        <v>0</v>
      </c>
      <c r="U235" s="24">
        <v>0</v>
      </c>
      <c r="V235" s="24">
        <v>1</v>
      </c>
    </row>
    <row r="236" spans="1:22" ht="21" customHeight="1" x14ac:dyDescent="0.15">
      <c r="A236" s="2" t="str">
        <f ca="1">input_498100!A$2</f>
        <v>498100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38">
        <f ca="1">IFERROR(VLOOKUP(B236,input_498100!L:R,7,FALSE),VLOOKUP(tables_498100!C236,input_498100!A:H,8,FALSE))</f>
        <v>28591.53845</v>
      </c>
      <c r="P236" s="39">
        <f t="shared" ca="1" si="10"/>
        <v>2.4931582185376241E-4</v>
      </c>
      <c r="Q236" s="24">
        <v>1</v>
      </c>
      <c r="R236" s="24">
        <v>0</v>
      </c>
      <c r="S236" s="24">
        <v>0</v>
      </c>
      <c r="T236" s="24">
        <v>0</v>
      </c>
      <c r="U236" s="24">
        <v>0</v>
      </c>
      <c r="V236" s="24">
        <v>1</v>
      </c>
    </row>
    <row r="237" spans="1:22" ht="21" customHeight="1" x14ac:dyDescent="0.15">
      <c r="A237" s="2" t="str">
        <f ca="1">input_498100!A$2</f>
        <v>498100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38">
        <f ca="1">IFERROR(VLOOKUP(B237,input_498100!L:R,7,FALSE),VLOOKUP(tables_498100!C237,input_498100!A:H,8,FALSE))</f>
        <v>33840</v>
      </c>
      <c r="P237" s="39">
        <f t="shared" ca="1" si="10"/>
        <v>2.9508196721507018E-4</v>
      </c>
      <c r="Q237" s="24">
        <v>1</v>
      </c>
      <c r="R237" s="24">
        <v>0</v>
      </c>
      <c r="S237" s="24">
        <v>0</v>
      </c>
      <c r="T237" s="24">
        <v>0</v>
      </c>
      <c r="U237" s="24">
        <v>0</v>
      </c>
      <c r="V237" s="24">
        <v>1</v>
      </c>
    </row>
    <row r="238" spans="1:22" ht="21" customHeight="1" x14ac:dyDescent="0.15">
      <c r="A238" s="2" t="str">
        <f ca="1">input_498100!A$2</f>
        <v>498100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38">
        <f ca="1">IFERROR(VLOOKUP(B238,input_498100!L:R,7,FALSE),VLOOKUP(tables_498100!C238,input_498100!A:H,8,FALSE))</f>
        <v>3760</v>
      </c>
      <c r="P238" s="39">
        <f t="shared" ca="1" si="10"/>
        <v>3.2786885246118909E-5</v>
      </c>
      <c r="Q238" s="24">
        <v>1</v>
      </c>
      <c r="R238" s="24">
        <v>0</v>
      </c>
      <c r="S238" s="24">
        <v>0</v>
      </c>
      <c r="T238" s="24">
        <v>0</v>
      </c>
      <c r="U238" s="24">
        <v>0</v>
      </c>
      <c r="V238" s="24">
        <v>1</v>
      </c>
    </row>
    <row r="239" spans="1:22" ht="21" customHeight="1" x14ac:dyDescent="0.15">
      <c r="A239" s="2" t="str">
        <f ca="1">input_498100!A$2</f>
        <v>498100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38">
        <f ca="1">IFERROR(VLOOKUP(B239,input_498100!L:R,7,FALSE),VLOOKUP(tables_498100!C239,input_498100!A:H,8,FALSE))</f>
        <v>0</v>
      </c>
      <c r="P239" s="39">
        <f t="shared" ca="1" si="10"/>
        <v>0</v>
      </c>
      <c r="Q239" s="24">
        <v>1</v>
      </c>
      <c r="R239" s="24">
        <v>0</v>
      </c>
      <c r="S239" s="24">
        <v>0</v>
      </c>
      <c r="T239" s="24">
        <v>0</v>
      </c>
      <c r="U239" s="24">
        <v>0</v>
      </c>
      <c r="V239" s="24">
        <v>1</v>
      </c>
    </row>
    <row r="240" spans="1:22" ht="21" customHeight="1" x14ac:dyDescent="0.15">
      <c r="A240" s="2" t="str">
        <f ca="1">input_498100!A$2</f>
        <v>498100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38">
        <f ca="1">IFERROR(VLOOKUP(B240,input_498100!L:R,7,FALSE),VLOOKUP(tables_498100!C240,input_498100!A:H,8,FALSE))</f>
        <v>976938.46154000005</v>
      </c>
      <c r="P240" s="39">
        <f t="shared" ca="1" si="10"/>
        <v>8.5188216039978545E-3</v>
      </c>
      <c r="Q240" s="24">
        <v>1</v>
      </c>
      <c r="R240" s="24">
        <v>0</v>
      </c>
      <c r="S240" s="24">
        <v>0</v>
      </c>
      <c r="T240" s="24">
        <v>0</v>
      </c>
      <c r="U240" s="24">
        <v>0</v>
      </c>
      <c r="V240" s="24">
        <v>1</v>
      </c>
    </row>
    <row r="241" spans="1:22" ht="21" customHeight="1" x14ac:dyDescent="0.15">
      <c r="A241" s="2" t="str">
        <f ca="1">input_498100!A$2</f>
        <v>498100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38">
        <f ca="1">IFERROR(VLOOKUP(B241,input_498100!L:R,7,FALSE),VLOOKUP(tables_498100!C241,input_498100!A:H,8,FALSE))</f>
        <v>28591.53845</v>
      </c>
      <c r="P241" s="39">
        <f t="shared" ca="1" si="10"/>
        <v>2.4931582185376241E-4</v>
      </c>
      <c r="Q241" s="24">
        <v>1</v>
      </c>
      <c r="R241" s="24">
        <v>0</v>
      </c>
      <c r="S241" s="24">
        <v>0</v>
      </c>
      <c r="T241" s="24">
        <v>0</v>
      </c>
      <c r="U241" s="24">
        <v>0</v>
      </c>
      <c r="V241" s="24">
        <v>1</v>
      </c>
    </row>
    <row r="242" spans="1:22" ht="21" customHeight="1" x14ac:dyDescent="0.15">
      <c r="A242" s="2" t="str">
        <f ca="1">input_498100!A$2</f>
        <v>498100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38">
        <f ca="1">IFERROR(VLOOKUP(B242,input_498100!L:R,7,FALSE),VLOOKUP(tables_498100!C242,input_498100!A:H,8,FALSE))</f>
        <v>33840</v>
      </c>
      <c r="P242" s="39">
        <f t="shared" ca="1" si="10"/>
        <v>2.9508196721507018E-4</v>
      </c>
      <c r="Q242" s="24">
        <v>1</v>
      </c>
      <c r="R242" s="24">
        <v>0</v>
      </c>
      <c r="S242" s="24">
        <v>0</v>
      </c>
      <c r="T242" s="24">
        <v>0</v>
      </c>
      <c r="U242" s="24">
        <v>0</v>
      </c>
      <c r="V242" s="24">
        <v>1</v>
      </c>
    </row>
    <row r="243" spans="1:22" ht="21" customHeight="1" x14ac:dyDescent="0.15">
      <c r="A243" s="2" t="str">
        <f ca="1">input_498100!A$2</f>
        <v>498100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38">
        <f ca="1">IFERROR(VLOOKUP(B243,input_498100!L:R,7,FALSE),VLOOKUP(tables_498100!C243,input_498100!A:H,8,FALSE))</f>
        <v>3760</v>
      </c>
      <c r="P243" s="39">
        <f t="shared" ca="1" si="10"/>
        <v>3.2786885246118909E-5</v>
      </c>
      <c r="Q243" s="24">
        <v>1</v>
      </c>
      <c r="R243" s="24">
        <v>0</v>
      </c>
      <c r="S243" s="24">
        <v>0</v>
      </c>
      <c r="T243" s="24">
        <v>0</v>
      </c>
      <c r="U243" s="24">
        <v>0</v>
      </c>
      <c r="V243" s="24">
        <v>1</v>
      </c>
    </row>
    <row r="244" spans="1:22" ht="21" customHeight="1" x14ac:dyDescent="0.15">
      <c r="A244" s="2" t="str">
        <f ca="1">input_498100!A$2</f>
        <v>498100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38">
        <f ca="1">IFERROR(VLOOKUP(B244,input_498100!L:R,7,FALSE),VLOOKUP(tables_498100!C244,input_498100!A:H,8,FALSE))</f>
        <v>33840</v>
      </c>
      <c r="P244" s="39">
        <f t="shared" ca="1" si="10"/>
        <v>2.9508196721507018E-4</v>
      </c>
      <c r="Q244" s="24">
        <v>1</v>
      </c>
      <c r="R244" s="24">
        <v>0</v>
      </c>
      <c r="S244" s="24">
        <v>0</v>
      </c>
      <c r="T244" s="24">
        <v>0</v>
      </c>
      <c r="U244" s="24">
        <v>0</v>
      </c>
      <c r="V244" s="24">
        <v>1</v>
      </c>
    </row>
    <row r="245" spans="1:22" ht="21" customHeight="1" x14ac:dyDescent="0.15">
      <c r="A245" s="2" t="str">
        <f ca="1">input_498100!A$2</f>
        <v>498100</v>
      </c>
      <c r="B245" s="53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38">
        <f ca="1">IFERROR(VLOOKUP(B245,input_498100!L:R,7,FALSE),VLOOKUP(tables_498100!C245,input_498100!A:H,8,FALSE))</f>
        <v>3760</v>
      </c>
      <c r="P245" s="39">
        <f t="shared" ca="1" si="10"/>
        <v>3.2786885246118909E-5</v>
      </c>
      <c r="Q245" s="24">
        <v>1</v>
      </c>
      <c r="R245" s="24">
        <v>0</v>
      </c>
      <c r="S245" s="24">
        <v>0</v>
      </c>
      <c r="T245" s="24">
        <v>0</v>
      </c>
      <c r="U245" s="24">
        <v>0</v>
      </c>
      <c r="V245" s="24">
        <v>1</v>
      </c>
    </row>
    <row r="246" spans="1:22" ht="21" customHeight="1" x14ac:dyDescent="0.15">
      <c r="A246" s="2" t="str">
        <f ca="1">input_498100!A$2</f>
        <v>498100</v>
      </c>
      <c r="B246" s="53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38">
        <f ca="1">IFERROR(VLOOKUP(B246,input_498100!L:R,7,FALSE),VLOOKUP(tables_498100!C246,input_498100!A:H,8,FALSE))</f>
        <v>0</v>
      </c>
      <c r="P246" s="39">
        <f t="shared" ca="1" si="10"/>
        <v>0</v>
      </c>
      <c r="Q246" s="24">
        <v>1</v>
      </c>
      <c r="R246" s="24">
        <v>0</v>
      </c>
      <c r="S246" s="24">
        <v>0</v>
      </c>
      <c r="T246" s="24">
        <v>0</v>
      </c>
      <c r="U246" s="24">
        <v>0</v>
      </c>
      <c r="V246" s="24">
        <v>1</v>
      </c>
    </row>
    <row r="247" spans="1:22" ht="21" customHeight="1" x14ac:dyDescent="0.15">
      <c r="A247" s="2" t="str">
        <f ca="1">input_498100!A$2</f>
        <v>498100</v>
      </c>
      <c r="B247" s="53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38">
        <f ca="1">IFERROR(VLOOKUP(B247,input_498100!L:R,7,FALSE),VLOOKUP(tables_498100!C247,input_498100!A:H,8,FALSE))</f>
        <v>976938.46154000005</v>
      </c>
      <c r="P247" s="39">
        <f t="shared" ca="1" si="10"/>
        <v>8.5188216039978545E-3</v>
      </c>
      <c r="Q247" s="24">
        <v>1</v>
      </c>
      <c r="R247" s="24">
        <v>0</v>
      </c>
      <c r="S247" s="24">
        <v>0</v>
      </c>
      <c r="T247" s="24">
        <v>0</v>
      </c>
      <c r="U247" s="24">
        <v>0</v>
      </c>
      <c r="V247" s="24">
        <v>1</v>
      </c>
    </row>
    <row r="248" spans="1:22" ht="21" customHeight="1" x14ac:dyDescent="0.15">
      <c r="A248" s="2" t="str">
        <f ca="1">input_498100!A$2</f>
        <v>498100</v>
      </c>
      <c r="B248" s="53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38">
        <f ca="1">IFERROR(VLOOKUP(B248,input_498100!L:R,7,FALSE),VLOOKUP(tables_498100!C248,input_498100!A:H,8,FALSE))</f>
        <v>28591.53845</v>
      </c>
      <c r="P248" s="39">
        <f t="shared" ca="1" si="10"/>
        <v>2.4931582185376241E-4</v>
      </c>
      <c r="Q248" s="24">
        <v>1</v>
      </c>
      <c r="R248" s="24">
        <v>0</v>
      </c>
      <c r="S248" s="24">
        <v>0</v>
      </c>
      <c r="T248" s="24">
        <v>0</v>
      </c>
      <c r="U248" s="24">
        <v>0</v>
      </c>
      <c r="V248" s="24">
        <v>1</v>
      </c>
    </row>
    <row r="249" spans="1:22" ht="21" customHeight="1" x14ac:dyDescent="0.15">
      <c r="A249" s="2" t="str">
        <f ca="1">input_498100!A$2</f>
        <v>498100</v>
      </c>
      <c r="B249" s="53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38">
        <f ca="1">IFERROR(VLOOKUP(B249,input_498100!L:R,7,FALSE),VLOOKUP(tables_498100!C249,input_498100!A:H,8,FALSE))</f>
        <v>0</v>
      </c>
      <c r="P249" s="39">
        <f t="shared" ca="1" si="10"/>
        <v>0</v>
      </c>
      <c r="Q249" s="24">
        <v>1</v>
      </c>
      <c r="R249" s="24">
        <v>0</v>
      </c>
      <c r="S249" s="24">
        <v>0</v>
      </c>
      <c r="T249" s="24">
        <v>0</v>
      </c>
      <c r="U249" s="24">
        <v>0</v>
      </c>
      <c r="V249" s="24">
        <v>1</v>
      </c>
    </row>
    <row r="250" spans="1:22" ht="21" customHeight="1" x14ac:dyDescent="0.15">
      <c r="A250" s="2" t="str">
        <f ca="1">input_498100!A$2</f>
        <v>498100</v>
      </c>
      <c r="B250" s="53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38">
        <f ca="1">IFERROR(VLOOKUP(B250,input_498100!L:R,7,FALSE),VLOOKUP(tables_498100!C250,input_498100!A:H,8,FALSE))</f>
        <v>976938.46154000005</v>
      </c>
      <c r="P250" s="39">
        <f t="shared" ca="1" si="10"/>
        <v>8.5188216039978545E-3</v>
      </c>
      <c r="Q250" s="24">
        <v>1</v>
      </c>
      <c r="R250" s="24">
        <v>0</v>
      </c>
      <c r="S250" s="24">
        <v>0</v>
      </c>
      <c r="T250" s="24">
        <v>0</v>
      </c>
      <c r="U250" s="24">
        <v>0</v>
      </c>
      <c r="V250" s="24">
        <v>1</v>
      </c>
    </row>
    <row r="251" spans="1:22" ht="21" customHeight="1" x14ac:dyDescent="0.15">
      <c r="A251" s="2" t="str">
        <f ca="1">input_498100!A$2</f>
        <v>498100</v>
      </c>
      <c r="B251" s="53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38">
        <f ca="1">IFERROR(VLOOKUP(B251,input_498100!L:R,7,FALSE),VLOOKUP(tables_498100!C251,input_498100!A:H,8,FALSE))</f>
        <v>28591.53845</v>
      </c>
      <c r="P251" s="39">
        <f t="shared" ca="1" si="10"/>
        <v>2.4931582185376241E-4</v>
      </c>
      <c r="Q251" s="24">
        <v>1</v>
      </c>
      <c r="R251" s="24">
        <v>0</v>
      </c>
      <c r="S251" s="24">
        <v>0</v>
      </c>
      <c r="T251" s="24">
        <v>0</v>
      </c>
      <c r="U251" s="24">
        <v>0</v>
      </c>
      <c r="V251" s="24">
        <v>1</v>
      </c>
    </row>
    <row r="252" spans="1:22" ht="21" customHeight="1" x14ac:dyDescent="0.15">
      <c r="A252" s="2" t="str">
        <f ca="1">input_498100!A$2</f>
        <v>498100</v>
      </c>
      <c r="B252" s="53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38">
        <f ca="1">IFERROR(VLOOKUP(B252,input_498100!L:R,7,FALSE),VLOOKUP(tables_498100!C252,input_498100!A:H,8,FALSE))</f>
        <v>0</v>
      </c>
      <c r="P252" s="39">
        <f t="shared" ca="1" si="10"/>
        <v>0</v>
      </c>
      <c r="Q252" s="24">
        <v>1</v>
      </c>
      <c r="R252" s="24">
        <v>0</v>
      </c>
      <c r="S252" s="24">
        <v>0</v>
      </c>
      <c r="T252" s="24">
        <v>0</v>
      </c>
      <c r="U252" s="24">
        <v>0</v>
      </c>
      <c r="V252" s="24">
        <v>1</v>
      </c>
    </row>
    <row r="253" spans="1:22" ht="21" customHeight="1" x14ac:dyDescent="0.15">
      <c r="A253" s="2" t="str">
        <f ca="1">input_498100!A$2</f>
        <v>498100</v>
      </c>
      <c r="B253" s="53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38">
        <f ca="1">IFERROR(VLOOKUP(B253,input_498100!L:R,7,FALSE),VLOOKUP(tables_498100!C253,input_498100!A:H,8,FALSE))</f>
        <v>976938.46154000005</v>
      </c>
      <c r="P253" s="39">
        <f t="shared" ca="1" si="10"/>
        <v>8.5188216039978545E-3</v>
      </c>
      <c r="Q253" s="24">
        <v>1</v>
      </c>
      <c r="R253" s="24">
        <v>0</v>
      </c>
      <c r="S253" s="24">
        <v>0</v>
      </c>
      <c r="T253" s="24">
        <v>0</v>
      </c>
      <c r="U253" s="24">
        <v>0</v>
      </c>
      <c r="V253" s="24">
        <v>1</v>
      </c>
    </row>
    <row r="254" spans="1:22" ht="21" customHeight="1" x14ac:dyDescent="0.15">
      <c r="A254" s="2" t="str">
        <f ca="1">input_498100!A$2</f>
        <v>498100</v>
      </c>
      <c r="B254" s="53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38">
        <f ca="1">IFERROR(VLOOKUP(B254,input_498100!L:R,7,FALSE),VLOOKUP(tables_498100!C254,input_498100!A:H,8,FALSE))</f>
        <v>28591.53845</v>
      </c>
      <c r="P254" s="39">
        <f t="shared" ca="1" si="10"/>
        <v>2.4931582185376241E-4</v>
      </c>
      <c r="Q254" s="24">
        <v>1</v>
      </c>
      <c r="R254" s="24">
        <v>0</v>
      </c>
      <c r="S254" s="24">
        <v>0</v>
      </c>
      <c r="T254" s="24">
        <v>0</v>
      </c>
      <c r="U254" s="24">
        <v>0</v>
      </c>
      <c r="V254" s="24">
        <v>1</v>
      </c>
    </row>
    <row r="255" spans="1:22" ht="21" customHeight="1" x14ac:dyDescent="0.15">
      <c r="A255" s="2" t="str">
        <f ca="1">input_498100!A$2</f>
        <v>498100</v>
      </c>
      <c r="B255" s="53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38">
        <f ca="1">IFERROR(VLOOKUP(B255,input_498100!L:R,7,FALSE),VLOOKUP(tables_498100!C255,input_498100!A:H,8,FALSE))</f>
        <v>0</v>
      </c>
      <c r="P255" s="39">
        <f t="shared" ca="1" si="10"/>
        <v>0</v>
      </c>
      <c r="Q255" s="24">
        <v>1</v>
      </c>
      <c r="R255" s="24">
        <v>0</v>
      </c>
      <c r="S255" s="24">
        <v>0</v>
      </c>
      <c r="T255" s="24">
        <v>0</v>
      </c>
      <c r="U255" s="24">
        <v>0</v>
      </c>
      <c r="V255" s="24">
        <v>1</v>
      </c>
    </row>
    <row r="256" spans="1:22" ht="21" customHeight="1" x14ac:dyDescent="0.15">
      <c r="A256" s="2" t="str">
        <f ca="1">input_498100!A$2</f>
        <v>498100</v>
      </c>
      <c r="B256" s="53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38">
        <f ca="1">IFERROR(VLOOKUP(B256,input_498100!L:R,7,FALSE),VLOOKUP(tables_498100!C256,input_498100!A:H,8,FALSE))</f>
        <v>976938.46154000005</v>
      </c>
      <c r="P256" s="39">
        <f t="shared" ca="1" si="10"/>
        <v>8.5188216039978545E-3</v>
      </c>
      <c r="Q256" s="24">
        <v>1</v>
      </c>
      <c r="R256" s="24">
        <v>0</v>
      </c>
      <c r="S256" s="24">
        <v>0</v>
      </c>
      <c r="T256" s="24">
        <v>0</v>
      </c>
      <c r="U256" s="24">
        <v>0</v>
      </c>
      <c r="V256" s="24">
        <v>1</v>
      </c>
    </row>
    <row r="257" spans="1:22" ht="21" customHeight="1" x14ac:dyDescent="0.15">
      <c r="A257" s="2" t="str">
        <f ca="1">input_498100!A$2</f>
        <v>498100</v>
      </c>
      <c r="B257" s="53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38">
        <f ca="1">IFERROR(VLOOKUP(B257,input_498100!L:R,7,FALSE),VLOOKUP(tables_498100!C257,input_498100!A:H,8,FALSE))</f>
        <v>28591.53845</v>
      </c>
      <c r="P257" s="39">
        <f t="shared" ca="1" si="10"/>
        <v>2.4931582185376241E-4</v>
      </c>
      <c r="Q257" s="24">
        <v>1</v>
      </c>
      <c r="R257" s="24">
        <v>0</v>
      </c>
      <c r="S257" s="24">
        <v>0</v>
      </c>
      <c r="T257" s="24">
        <v>0</v>
      </c>
      <c r="U257" s="24">
        <v>0</v>
      </c>
      <c r="V257" s="24">
        <v>1</v>
      </c>
    </row>
    <row r="258" spans="1:22" ht="21" customHeight="1" x14ac:dyDescent="0.15">
      <c r="A258" s="2" t="str">
        <f ca="1">input_498100!A$2</f>
        <v>498100</v>
      </c>
      <c r="B258" s="53">
        <v>674</v>
      </c>
      <c r="C258" s="7" t="str">
        <f t="shared" ref="C258:C283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38">
        <f ca="1">IFERROR(VLOOKUP(B258,input_498100!L:R,7,FALSE),VLOOKUP(tables_498100!C258,input_498100!A:H,8,FALSE))</f>
        <v>33840</v>
      </c>
      <c r="P258" s="39">
        <f t="shared" ref="P258:P294" ca="1" si="13">O258/SUM(O:O)</f>
        <v>2.9508196721507018E-4</v>
      </c>
      <c r="Q258" s="24">
        <v>1</v>
      </c>
      <c r="R258" s="24">
        <v>0</v>
      </c>
      <c r="S258" s="24">
        <v>0</v>
      </c>
      <c r="T258" s="24">
        <v>0</v>
      </c>
      <c r="U258" s="24">
        <v>0</v>
      </c>
      <c r="V258" s="24">
        <v>1</v>
      </c>
    </row>
    <row r="259" spans="1:22" ht="21" customHeight="1" x14ac:dyDescent="0.15">
      <c r="A259" s="2" t="str">
        <f ca="1">input_498100!A$2</f>
        <v>498100</v>
      </c>
      <c r="B259" s="53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38">
        <f ca="1">IFERROR(VLOOKUP(B259,input_498100!L:R,7,FALSE),VLOOKUP(tables_498100!C259,input_498100!A:H,8,FALSE))</f>
        <v>3760</v>
      </c>
      <c r="P259" s="39">
        <f t="shared" ca="1" si="13"/>
        <v>3.2786885246118909E-5</v>
      </c>
      <c r="Q259" s="24">
        <v>1</v>
      </c>
      <c r="R259" s="24">
        <v>0</v>
      </c>
      <c r="S259" s="24">
        <v>0</v>
      </c>
      <c r="T259" s="24">
        <v>0</v>
      </c>
      <c r="U259" s="24">
        <v>0</v>
      </c>
      <c r="V259" s="24">
        <v>1</v>
      </c>
    </row>
    <row r="260" spans="1:22" ht="21" customHeight="1" x14ac:dyDescent="0.15">
      <c r="A260" s="2" t="str">
        <f ca="1">input_498100!A$2</f>
        <v>498100</v>
      </c>
      <c r="B260" s="53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38">
        <f ca="1">IFERROR(VLOOKUP(B260,input_498100!L:R,7,FALSE),VLOOKUP(tables_498100!C260,input_498100!A:H,8,FALSE))</f>
        <v>33840</v>
      </c>
      <c r="P260" s="39">
        <f t="shared" ca="1" si="13"/>
        <v>2.9508196721507018E-4</v>
      </c>
      <c r="Q260" s="24">
        <v>1</v>
      </c>
      <c r="R260" s="24">
        <v>0</v>
      </c>
      <c r="S260" s="24">
        <v>0</v>
      </c>
      <c r="T260" s="24">
        <v>0</v>
      </c>
      <c r="U260" s="24">
        <v>0</v>
      </c>
      <c r="V260" s="24">
        <v>1</v>
      </c>
    </row>
    <row r="261" spans="1:22" ht="21" customHeight="1" x14ac:dyDescent="0.15">
      <c r="A261" s="2" t="str">
        <f ca="1">input_498100!A$2</f>
        <v>498100</v>
      </c>
      <c r="B261" s="53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38">
        <f ca="1">IFERROR(VLOOKUP(B261,input_498100!L:R,7,FALSE),VLOOKUP(tables_498100!C261,input_498100!A:H,8,FALSE))</f>
        <v>3760</v>
      </c>
      <c r="P261" s="39">
        <f t="shared" ca="1" si="13"/>
        <v>3.2786885246118909E-5</v>
      </c>
      <c r="Q261" s="24">
        <v>1</v>
      </c>
      <c r="R261" s="24">
        <v>0</v>
      </c>
      <c r="S261" s="24">
        <v>0</v>
      </c>
      <c r="T261" s="24">
        <v>0</v>
      </c>
      <c r="U261" s="24">
        <v>0</v>
      </c>
      <c r="V261" s="24">
        <v>1</v>
      </c>
    </row>
    <row r="262" spans="1:22" ht="21" customHeight="1" x14ac:dyDescent="0.15">
      <c r="A262" s="2" t="str">
        <f ca="1">input_498100!A$2</f>
        <v>498100</v>
      </c>
      <c r="B262" s="53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38">
        <f ca="1">IFERROR(VLOOKUP(B262,input_498100!L:R,7,FALSE),VLOOKUP(tables_498100!C262,input_498100!A:H,8,FALSE))</f>
        <v>1068177.7777799999</v>
      </c>
      <c r="P262" s="39">
        <f t="shared" ca="1" si="13"/>
        <v>9.314420803863608E-3</v>
      </c>
      <c r="Q262" s="24">
        <v>1</v>
      </c>
      <c r="R262" s="24">
        <v>0</v>
      </c>
      <c r="S262" s="24">
        <v>0</v>
      </c>
      <c r="T262" s="24">
        <v>0</v>
      </c>
      <c r="U262" s="24">
        <v>0</v>
      </c>
      <c r="V262" s="24">
        <v>1</v>
      </c>
    </row>
    <row r="263" spans="1:22" ht="21" customHeight="1" x14ac:dyDescent="0.15">
      <c r="A263" s="2" t="str">
        <f ca="1">input_498100!A$2</f>
        <v>498100</v>
      </c>
      <c r="B263" s="53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38">
        <f ca="1">IFERROR(VLOOKUP(B263,input_498100!L:R,7,FALSE),VLOOKUP(tables_498100!C263,input_498100!A:H,8,FALSE))</f>
        <v>68116.666670000006</v>
      </c>
      <c r="P263" s="39">
        <f t="shared" ca="1" si="13"/>
        <v>5.9397163123867634E-4</v>
      </c>
      <c r="Q263" s="24">
        <v>1</v>
      </c>
      <c r="R263" s="24">
        <v>0</v>
      </c>
      <c r="S263" s="24">
        <v>0</v>
      </c>
      <c r="T263" s="24">
        <v>0</v>
      </c>
      <c r="U263" s="24">
        <v>0</v>
      </c>
      <c r="V263" s="24">
        <v>1</v>
      </c>
    </row>
    <row r="264" spans="1:22" ht="21" customHeight="1" x14ac:dyDescent="0.15">
      <c r="A264" s="2" t="str">
        <f ca="1">input_498100!A$2</f>
        <v>498100</v>
      </c>
      <c r="B264" s="53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38">
        <f ca="1">IFERROR(VLOOKUP(B264,input_498100!L:R,7,FALSE),VLOOKUP(tables_498100!C264,input_498100!A:H,8,FALSE))</f>
        <v>1068177.7777799999</v>
      </c>
      <c r="P264" s="39">
        <f t="shared" ca="1" si="13"/>
        <v>9.314420803863608E-3</v>
      </c>
      <c r="Q264" s="24">
        <v>1</v>
      </c>
      <c r="R264" s="24">
        <v>0</v>
      </c>
      <c r="S264" s="24">
        <v>0</v>
      </c>
      <c r="T264" s="24">
        <v>0</v>
      </c>
      <c r="U264" s="24">
        <v>0</v>
      </c>
      <c r="V264" s="24">
        <v>1</v>
      </c>
    </row>
    <row r="265" spans="1:22" ht="21" customHeight="1" x14ac:dyDescent="0.15">
      <c r="A265" s="2" t="str">
        <f ca="1">input_498100!A$2</f>
        <v>498100</v>
      </c>
      <c r="B265" s="53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38">
        <f ca="1">IFERROR(VLOOKUP(B265,input_498100!L:R,7,FALSE),VLOOKUP(tables_498100!C265,input_498100!A:H,8,FALSE))</f>
        <v>68116.666670000006</v>
      </c>
      <c r="P265" s="39">
        <f t="shared" ca="1" si="13"/>
        <v>5.9397163123867634E-4</v>
      </c>
      <c r="Q265" s="24">
        <v>1</v>
      </c>
      <c r="R265" s="24">
        <v>0</v>
      </c>
      <c r="S265" s="24">
        <v>0</v>
      </c>
      <c r="T265" s="24">
        <v>0</v>
      </c>
      <c r="U265" s="24">
        <v>0</v>
      </c>
      <c r="V265" s="24">
        <v>1</v>
      </c>
    </row>
    <row r="266" spans="1:22" ht="21" customHeight="1" x14ac:dyDescent="0.15">
      <c r="A266" s="2" t="str">
        <f ca="1">input_498100!A$2</f>
        <v>498100</v>
      </c>
      <c r="B266" s="53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38">
        <f ca="1">IFERROR(VLOOKUP(B266,input_498100!L:R,7,FALSE),VLOOKUP(tables_498100!C266,input_498100!A:H,8,FALSE))</f>
        <v>123189.47368</v>
      </c>
      <c r="P266" s="39">
        <f t="shared" ca="1" si="13"/>
        <v>1.0742018981584962E-3</v>
      </c>
      <c r="Q266" s="24">
        <v>1</v>
      </c>
      <c r="R266" s="24">
        <v>0</v>
      </c>
      <c r="S266" s="24">
        <v>0</v>
      </c>
      <c r="T266" s="24">
        <v>0</v>
      </c>
      <c r="U266" s="24">
        <v>0</v>
      </c>
      <c r="V266" s="24">
        <v>1</v>
      </c>
    </row>
    <row r="267" spans="1:22" ht="21" customHeight="1" x14ac:dyDescent="0.15">
      <c r="A267" s="2" t="str">
        <f ca="1">input_498100!A$2</f>
        <v>498100</v>
      </c>
      <c r="B267" s="53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38">
        <f ca="1">IFERROR(VLOOKUP(B267,input_498100!L:R,7,FALSE),VLOOKUP(tables_498100!C267,input_498100!A:H,8,FALSE))</f>
        <v>123189.47368</v>
      </c>
      <c r="P267" s="39">
        <f t="shared" ca="1" si="13"/>
        <v>1.0742018981584962E-3</v>
      </c>
      <c r="Q267" s="24">
        <v>1</v>
      </c>
      <c r="R267" s="24">
        <v>0</v>
      </c>
      <c r="S267" s="24">
        <v>0</v>
      </c>
      <c r="T267" s="24">
        <v>0</v>
      </c>
      <c r="U267" s="24">
        <v>0</v>
      </c>
      <c r="V267" s="24">
        <v>1</v>
      </c>
    </row>
    <row r="268" spans="1:22" ht="21" customHeight="1" x14ac:dyDescent="0.15">
      <c r="A268" s="2" t="str">
        <f ca="1">input_498100!A$2</f>
        <v>498100</v>
      </c>
      <c r="B268" s="53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38">
        <f ca="1">IFERROR(VLOOKUP(B268,input_498100!L:R,7,FALSE),VLOOKUP(tables_498100!C268,input_498100!A:H,8,FALSE))</f>
        <v>123189.47368</v>
      </c>
      <c r="P268" s="39">
        <f t="shared" ca="1" si="13"/>
        <v>1.0742018981584962E-3</v>
      </c>
      <c r="Q268" s="24">
        <v>1</v>
      </c>
      <c r="R268" s="24">
        <v>0</v>
      </c>
      <c r="S268" s="24">
        <v>0</v>
      </c>
      <c r="T268" s="24">
        <v>0</v>
      </c>
      <c r="U268" s="24">
        <v>0</v>
      </c>
      <c r="V268" s="24">
        <v>1</v>
      </c>
    </row>
    <row r="269" spans="1:22" ht="21" customHeight="1" x14ac:dyDescent="0.15">
      <c r="A269" s="2" t="str">
        <f ca="1">input_498100!A$2</f>
        <v>498100</v>
      </c>
      <c r="B269" s="53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38">
        <f ca="1">IFERROR(VLOOKUP(B269,input_498100!L:R,7,FALSE),VLOOKUP(tables_498100!C269,input_498100!A:H,8,FALSE))</f>
        <v>123189.47368</v>
      </c>
      <c r="P269" s="39">
        <f t="shared" ca="1" si="13"/>
        <v>1.0742018981584962E-3</v>
      </c>
      <c r="Q269" s="24">
        <v>1</v>
      </c>
      <c r="R269" s="24">
        <v>0</v>
      </c>
      <c r="S269" s="24">
        <v>0</v>
      </c>
      <c r="T269" s="24">
        <v>0</v>
      </c>
      <c r="U269" s="24">
        <v>0</v>
      </c>
      <c r="V269" s="24">
        <v>1</v>
      </c>
    </row>
    <row r="270" spans="1:22" ht="21" customHeight="1" x14ac:dyDescent="0.15">
      <c r="A270" s="2" t="str">
        <f ca="1">input_498100!A$2</f>
        <v>498100</v>
      </c>
      <c r="B270" s="53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38">
        <f ca="1">IFERROR(VLOOKUP(B270,input_498100!L:R,7,FALSE),VLOOKUP(tables_498100!C270,input_498100!A:H,8,FALSE))</f>
        <v>1068177.7777799999</v>
      </c>
      <c r="P270" s="39">
        <f t="shared" ca="1" si="13"/>
        <v>9.314420803863608E-3</v>
      </c>
      <c r="Q270" s="24">
        <v>1</v>
      </c>
      <c r="R270" s="24">
        <v>0</v>
      </c>
      <c r="S270" s="24">
        <v>0</v>
      </c>
      <c r="T270" s="24">
        <v>0</v>
      </c>
      <c r="U270" s="24">
        <v>0</v>
      </c>
      <c r="V270" s="24">
        <v>1</v>
      </c>
    </row>
    <row r="271" spans="1:22" ht="21" customHeight="1" x14ac:dyDescent="0.15">
      <c r="A271" s="2" t="str">
        <f ca="1">input_498100!A$2</f>
        <v>498100</v>
      </c>
      <c r="B271" s="74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38">
        <f ca="1">IFERROR(VLOOKUP(B271,input_498100!L:R,7,FALSE),VLOOKUP(tables_498100!C271,input_498100!A:H,8,FALSE))</f>
        <v>68116.666670000006</v>
      </c>
      <c r="P271" s="39">
        <f t="shared" ca="1" si="13"/>
        <v>5.9397163123867634E-4</v>
      </c>
      <c r="Q271" s="24">
        <v>1</v>
      </c>
      <c r="R271" s="24">
        <v>0</v>
      </c>
      <c r="S271" s="24">
        <v>0</v>
      </c>
      <c r="T271" s="24">
        <v>0</v>
      </c>
      <c r="U271" s="24">
        <v>0</v>
      </c>
      <c r="V271" s="24">
        <v>1</v>
      </c>
    </row>
    <row r="272" spans="1:22" ht="21" customHeight="1" x14ac:dyDescent="0.15">
      <c r="A272" s="2" t="str">
        <f ca="1">input_498100!A$2</f>
        <v>498100</v>
      </c>
      <c r="B272" s="74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38">
        <f ca="1">IFERROR(VLOOKUP(B272,input_498100!L:R,7,FALSE),VLOOKUP(tables_498100!C272,input_498100!A:H,8,FALSE))</f>
        <v>1068177.7777799999</v>
      </c>
      <c r="P272" s="39">
        <f t="shared" ca="1" si="13"/>
        <v>9.314420803863608E-3</v>
      </c>
      <c r="Q272" s="24">
        <v>1</v>
      </c>
      <c r="R272" s="24">
        <v>0</v>
      </c>
      <c r="S272" s="24">
        <v>0</v>
      </c>
      <c r="T272" s="24">
        <v>0</v>
      </c>
      <c r="U272" s="24">
        <v>0</v>
      </c>
      <c r="V272" s="24">
        <v>1</v>
      </c>
    </row>
    <row r="273" spans="1:22" ht="21" customHeight="1" x14ac:dyDescent="0.15">
      <c r="A273" s="2" t="str">
        <f ca="1">input_498100!A$2</f>
        <v>498100</v>
      </c>
      <c r="B273" s="74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38">
        <f ca="1">IFERROR(VLOOKUP(B273,input_498100!L:R,7,FALSE),VLOOKUP(tables_498100!C273,input_498100!A:H,8,FALSE))</f>
        <v>68116.666670000006</v>
      </c>
      <c r="P273" s="39">
        <f t="shared" ca="1" si="13"/>
        <v>5.9397163123867634E-4</v>
      </c>
      <c r="Q273" s="24">
        <v>1</v>
      </c>
      <c r="R273" s="24">
        <v>0</v>
      </c>
      <c r="S273" s="24">
        <v>0</v>
      </c>
      <c r="T273" s="24">
        <v>0</v>
      </c>
      <c r="U273" s="24">
        <v>0</v>
      </c>
      <c r="V273" s="24">
        <v>1</v>
      </c>
    </row>
    <row r="274" spans="1:22" ht="21" customHeight="1" x14ac:dyDescent="0.15">
      <c r="A274" s="2" t="str">
        <f ca="1">input_498100!A$2</f>
        <v>498100</v>
      </c>
      <c r="B274" s="74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38">
        <f ca="1">IFERROR(VLOOKUP(B274,input_498100!L:R,7,FALSE),VLOOKUP(tables_498100!C274,input_498100!A:H,8,FALSE))</f>
        <v>33840</v>
      </c>
      <c r="P274" s="39">
        <f t="shared" ca="1" si="13"/>
        <v>2.9508196721507018E-4</v>
      </c>
      <c r="Q274" s="24">
        <v>1</v>
      </c>
      <c r="R274" s="24">
        <v>0</v>
      </c>
      <c r="S274" s="24">
        <v>0</v>
      </c>
      <c r="T274" s="24">
        <v>0</v>
      </c>
      <c r="U274" s="24">
        <v>0</v>
      </c>
      <c r="V274" s="24">
        <v>1</v>
      </c>
    </row>
    <row r="275" spans="1:22" ht="21" customHeight="1" x14ac:dyDescent="0.15">
      <c r="A275" s="2" t="str">
        <f ca="1">input_498100!A$2</f>
        <v>498100</v>
      </c>
      <c r="B275" s="74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38">
        <f ca="1">IFERROR(VLOOKUP(B275,input_498100!L:R,7,FALSE),VLOOKUP(tables_498100!C275,input_498100!A:H,8,FALSE))</f>
        <v>3760</v>
      </c>
      <c r="P275" s="39">
        <f t="shared" ca="1" si="13"/>
        <v>3.2786885246118909E-5</v>
      </c>
      <c r="Q275" s="24">
        <v>1</v>
      </c>
      <c r="R275" s="24">
        <v>0</v>
      </c>
      <c r="S275" s="24">
        <v>0</v>
      </c>
      <c r="T275" s="24">
        <v>0</v>
      </c>
      <c r="U275" s="24">
        <v>0</v>
      </c>
      <c r="V275" s="24">
        <v>1</v>
      </c>
    </row>
    <row r="276" spans="1:22" ht="21" customHeight="1" x14ac:dyDescent="0.15">
      <c r="A276" s="2" t="str">
        <f ca="1">input_498100!A$2</f>
        <v>498100</v>
      </c>
      <c r="B276" s="74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38">
        <f ca="1">IFERROR(VLOOKUP(B276,input_498100!L:R,7,FALSE),VLOOKUP(tables_498100!C276,input_498100!A:H,8,FALSE))</f>
        <v>33840</v>
      </c>
      <c r="P276" s="39">
        <f t="shared" ca="1" si="13"/>
        <v>2.9508196721507018E-4</v>
      </c>
      <c r="Q276" s="24">
        <v>1</v>
      </c>
      <c r="R276" s="24">
        <v>0</v>
      </c>
      <c r="S276" s="24">
        <v>0</v>
      </c>
      <c r="T276" s="24">
        <v>0</v>
      </c>
      <c r="U276" s="24">
        <v>0</v>
      </c>
      <c r="V276" s="24">
        <v>1</v>
      </c>
    </row>
    <row r="277" spans="1:22" ht="21" customHeight="1" x14ac:dyDescent="0.15">
      <c r="A277" s="2" t="str">
        <f ca="1">input_498100!A$2</f>
        <v>498100</v>
      </c>
      <c r="B277" s="74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38">
        <f ca="1">IFERROR(VLOOKUP(B277,input_498100!L:R,7,FALSE),VLOOKUP(tables_498100!C277,input_498100!A:H,8,FALSE))</f>
        <v>3760</v>
      </c>
      <c r="P277" s="39">
        <f t="shared" ca="1" si="13"/>
        <v>3.2786885246118909E-5</v>
      </c>
      <c r="Q277" s="24">
        <v>1</v>
      </c>
      <c r="R277" s="24">
        <v>0</v>
      </c>
      <c r="S277" s="24">
        <v>0</v>
      </c>
      <c r="T277" s="24">
        <v>0</v>
      </c>
      <c r="U277" s="24">
        <v>0</v>
      </c>
      <c r="V277" s="24">
        <v>1</v>
      </c>
    </row>
    <row r="278" spans="1:22" ht="21" customHeight="1" x14ac:dyDescent="0.15">
      <c r="A278" s="2" t="str">
        <f ca="1">input_498100!A$2</f>
        <v>498100</v>
      </c>
      <c r="B278" s="74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38">
        <f ca="1">IFERROR(VLOOKUP(B278,input_498100!L:R,7,FALSE),VLOOKUP(tables_498100!C278,input_498100!A:H,8,FALSE))</f>
        <v>0</v>
      </c>
      <c r="P278" s="39">
        <f t="shared" ca="1" si="13"/>
        <v>0</v>
      </c>
      <c r="Q278" s="24">
        <v>1</v>
      </c>
      <c r="R278" s="24">
        <v>0</v>
      </c>
      <c r="S278" s="24">
        <v>0</v>
      </c>
      <c r="T278" s="24">
        <v>0</v>
      </c>
      <c r="U278" s="24">
        <v>0</v>
      </c>
      <c r="V278" s="24">
        <v>1</v>
      </c>
    </row>
    <row r="279" spans="1:22" ht="21" customHeight="1" x14ac:dyDescent="0.15">
      <c r="A279" s="2" t="str">
        <f ca="1">input_498100!A$2</f>
        <v>498100</v>
      </c>
      <c r="B279" s="74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38">
        <f ca="1">IFERROR(VLOOKUP(B279,input_498100!L:R,7,FALSE),VLOOKUP(tables_498100!C279,input_498100!A:H,8,FALSE))</f>
        <v>976938.46154000005</v>
      </c>
      <c r="P279" s="39">
        <f t="shared" ca="1" si="13"/>
        <v>8.5188216039978545E-3</v>
      </c>
      <c r="Q279" s="24">
        <v>1</v>
      </c>
      <c r="R279" s="24">
        <v>0</v>
      </c>
      <c r="S279" s="24">
        <v>0</v>
      </c>
      <c r="T279" s="24">
        <v>0</v>
      </c>
      <c r="U279" s="24">
        <v>0</v>
      </c>
      <c r="V279" s="24">
        <v>1</v>
      </c>
    </row>
    <row r="280" spans="1:22" ht="21" customHeight="1" x14ac:dyDescent="0.15">
      <c r="A280" s="2" t="str">
        <f ca="1">input_498100!A$2</f>
        <v>498100</v>
      </c>
      <c r="B280" s="74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38">
        <f ca="1">IFERROR(VLOOKUP(B280,input_498100!L:R,7,FALSE),VLOOKUP(tables_498100!C280,input_498100!A:H,8,FALSE))</f>
        <v>28591.53845</v>
      </c>
      <c r="P280" s="39">
        <f t="shared" ca="1" si="13"/>
        <v>2.4931582185376241E-4</v>
      </c>
      <c r="Q280" s="24">
        <v>1</v>
      </c>
      <c r="R280" s="24">
        <v>0</v>
      </c>
      <c r="S280" s="24">
        <v>0</v>
      </c>
      <c r="T280" s="24">
        <v>0</v>
      </c>
      <c r="U280" s="24">
        <v>0</v>
      </c>
      <c r="V280" s="24">
        <v>1</v>
      </c>
    </row>
    <row r="281" spans="1:22" ht="21" customHeight="1" x14ac:dyDescent="0.15">
      <c r="A281" s="2" t="str">
        <f ca="1">input_498100!A$2</f>
        <v>498100</v>
      </c>
      <c r="B281" s="74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38">
        <f ca="1">IFERROR(VLOOKUP(B281,input_498100!L:R,7,FALSE),VLOOKUP(tables_498100!C281,input_498100!A:H,8,FALSE))</f>
        <v>0</v>
      </c>
      <c r="P281" s="39">
        <f t="shared" ca="1" si="13"/>
        <v>0</v>
      </c>
      <c r="Q281" s="24">
        <v>1</v>
      </c>
      <c r="R281" s="24">
        <v>0</v>
      </c>
      <c r="S281" s="24">
        <v>0</v>
      </c>
      <c r="T281" s="24">
        <v>0</v>
      </c>
      <c r="U281" s="24">
        <v>0</v>
      </c>
      <c r="V281" s="24">
        <v>1</v>
      </c>
    </row>
    <row r="282" spans="1:22" ht="21" customHeight="1" x14ac:dyDescent="0.15">
      <c r="A282" s="2" t="str">
        <f ca="1">input_498100!A$2</f>
        <v>498100</v>
      </c>
      <c r="B282" s="74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38">
        <f ca="1">IFERROR(VLOOKUP(B282,input_498100!L:R,7,FALSE),VLOOKUP(tables_498100!C282,input_498100!A:H,8,FALSE))</f>
        <v>976938.46154000005</v>
      </c>
      <c r="P282" s="39">
        <f t="shared" ca="1" si="13"/>
        <v>8.5188216039978545E-3</v>
      </c>
      <c r="Q282" s="24">
        <v>1</v>
      </c>
      <c r="R282" s="24">
        <v>0</v>
      </c>
      <c r="S282" s="24">
        <v>0</v>
      </c>
      <c r="T282" s="24">
        <v>0</v>
      </c>
      <c r="U282" s="24">
        <v>0</v>
      </c>
      <c r="V282" s="24">
        <v>1</v>
      </c>
    </row>
    <row r="283" spans="1:22" ht="21" customHeight="1" x14ac:dyDescent="0.15">
      <c r="A283" s="2" t="str">
        <f ca="1">input_498100!A$2</f>
        <v>498100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38">
        <f ca="1">IFERROR(VLOOKUP(B283,input_498100!L:R,7,FALSE),VLOOKUP(tables_498100!C283,input_498100!A:H,8,FALSE))</f>
        <v>28591.53845</v>
      </c>
      <c r="P283" s="39">
        <f t="shared" ca="1" si="13"/>
        <v>2.4931582185376241E-4</v>
      </c>
      <c r="Q283" s="24">
        <v>1</v>
      </c>
      <c r="R283" s="24">
        <v>0</v>
      </c>
      <c r="S283" s="24">
        <v>0</v>
      </c>
      <c r="T283" s="24">
        <v>0</v>
      </c>
      <c r="U283" s="24">
        <v>0</v>
      </c>
      <c r="V283" s="24">
        <v>1</v>
      </c>
    </row>
    <row r="284" spans="1:22" ht="21" customHeight="1" x14ac:dyDescent="0.15">
      <c r="A284" s="2" t="str">
        <f ca="1">input_498100!A$2</f>
        <v>498100</v>
      </c>
      <c r="B284" s="5">
        <v>848</v>
      </c>
      <c r="C284" s="7" t="str">
        <f t="shared" ref="C284" si="15">D284&amp;J284&amp;E284&amp;F284&amp;G284</f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38">
        <f ca="1">IFERROR(VLOOKUP(B284,input_498100!L:R,7,FALSE),VLOOKUP(tables_498100!C284,input_498100!A:H,8,FALSE))</f>
        <v>123189.47368</v>
      </c>
      <c r="P284" s="39">
        <f t="shared" ca="1" si="13"/>
        <v>1.0742018981584962E-3</v>
      </c>
      <c r="Q284" s="24">
        <v>1</v>
      </c>
      <c r="R284" s="24">
        <v>0</v>
      </c>
      <c r="S284" s="24">
        <v>0</v>
      </c>
      <c r="T284" s="24">
        <v>0</v>
      </c>
      <c r="U284" s="24">
        <v>0</v>
      </c>
      <c r="V284" s="24">
        <v>1</v>
      </c>
    </row>
    <row r="285" spans="1:22" ht="21" customHeight="1" x14ac:dyDescent="0.15">
      <c r="A285" s="2" t="str">
        <f ca="1">input_498100!A$2</f>
        <v>498100</v>
      </c>
      <c r="B285" s="5">
        <v>850</v>
      </c>
      <c r="C285" s="7" t="str">
        <f t="shared" ref="C285:C286" si="16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38">
        <f ca="1">IFERROR(VLOOKUP(B285,input_498100!L:R,7,FALSE),VLOOKUP(tables_498100!C285,input_498100!A:H,8,FALSE))</f>
        <v>123189.47368</v>
      </c>
      <c r="P285" s="39">
        <f t="shared" ca="1" si="13"/>
        <v>1.0742018981584962E-3</v>
      </c>
      <c r="Q285" s="24">
        <v>1</v>
      </c>
      <c r="R285" s="24">
        <v>0</v>
      </c>
      <c r="S285" s="24">
        <v>0</v>
      </c>
      <c r="T285" s="24">
        <v>0</v>
      </c>
      <c r="U285" s="24">
        <v>0</v>
      </c>
      <c r="V285" s="24">
        <v>1</v>
      </c>
    </row>
    <row r="286" spans="1:22" ht="21" customHeight="1" x14ac:dyDescent="0.15">
      <c r="A286" s="2" t="str">
        <f ca="1">input_498100!A$2</f>
        <v>498100</v>
      </c>
      <c r="B286" s="5">
        <v>852</v>
      </c>
      <c r="C286" s="7" t="str">
        <f t="shared" si="16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38">
        <f ca="1">IFERROR(VLOOKUP(B286,input_498100!L:R,7,FALSE),VLOOKUP(tables_498100!C286,input_498100!A:H,8,FALSE))</f>
        <v>1068177.7777799999</v>
      </c>
      <c r="P286" s="39">
        <f t="shared" ca="1" si="13"/>
        <v>9.314420803863608E-3</v>
      </c>
      <c r="Q286" s="24">
        <v>1</v>
      </c>
      <c r="R286" s="24">
        <v>0</v>
      </c>
      <c r="S286" s="24">
        <v>0</v>
      </c>
      <c r="T286" s="24">
        <v>0</v>
      </c>
      <c r="U286" s="24">
        <v>0</v>
      </c>
      <c r="V286" s="24">
        <v>1</v>
      </c>
    </row>
    <row r="287" spans="1:22" ht="21" customHeight="1" x14ac:dyDescent="0.15">
      <c r="A287" s="2" t="str">
        <f ca="1">input_498100!A$2</f>
        <v>498100</v>
      </c>
      <c r="B287" s="5">
        <v>853</v>
      </c>
      <c r="C287" s="7" t="str">
        <f t="shared" ref="C287:C289" si="17">D287&amp;J287&amp;E287&amp;F287&amp;G287</f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38">
        <f ca="1">IFERROR(VLOOKUP(B287,input_498100!L:R,7,FALSE),VLOOKUP(tables_498100!C287,input_498100!A:H,8,FALSE))</f>
        <v>68116.666670000006</v>
      </c>
      <c r="P287" s="39">
        <f t="shared" ca="1" si="13"/>
        <v>5.9397163123867634E-4</v>
      </c>
      <c r="Q287" s="24">
        <v>1</v>
      </c>
      <c r="R287" s="24">
        <v>0</v>
      </c>
      <c r="S287" s="24">
        <v>0</v>
      </c>
      <c r="T287" s="24">
        <v>0</v>
      </c>
      <c r="U287" s="24">
        <v>0</v>
      </c>
      <c r="V287" s="24">
        <v>1</v>
      </c>
    </row>
    <row r="288" spans="1:22" ht="21" customHeight="1" x14ac:dyDescent="0.15">
      <c r="A288" s="2" t="str">
        <f ca="1">input_498100!A$2</f>
        <v>498100</v>
      </c>
      <c r="B288" s="5">
        <v>854</v>
      </c>
      <c r="C288" s="7" t="str">
        <f t="shared" si="17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38">
        <f ca="1">IFERROR(VLOOKUP(B288,input_498100!L:R,7,FALSE),VLOOKUP(tables_498100!C288,input_498100!A:H,8,FALSE))</f>
        <v>1068177.7777799999</v>
      </c>
      <c r="P288" s="39">
        <f t="shared" ca="1" si="13"/>
        <v>9.314420803863608E-3</v>
      </c>
      <c r="Q288" s="24">
        <v>1</v>
      </c>
      <c r="R288" s="24">
        <v>0</v>
      </c>
      <c r="S288" s="24">
        <v>0</v>
      </c>
      <c r="T288" s="24">
        <v>0</v>
      </c>
      <c r="U288" s="24">
        <v>0</v>
      </c>
      <c r="V288" s="24">
        <v>1</v>
      </c>
    </row>
    <row r="289" spans="1:22" ht="21" customHeight="1" x14ac:dyDescent="0.15">
      <c r="A289" s="2" t="str">
        <f ca="1">input_498100!A$2</f>
        <v>498100</v>
      </c>
      <c r="B289" s="5">
        <v>855</v>
      </c>
      <c r="C289" s="7" t="str">
        <f t="shared" si="17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38">
        <f ca="1">IFERROR(VLOOKUP(B289,input_498100!L:R,7,FALSE),VLOOKUP(tables_498100!C289,input_498100!A:H,8,FALSE))</f>
        <v>68116.666670000006</v>
      </c>
      <c r="P289" s="39">
        <f t="shared" ca="1" si="13"/>
        <v>5.9397163123867634E-4</v>
      </c>
      <c r="Q289" s="24">
        <v>1</v>
      </c>
      <c r="R289" s="24">
        <v>0</v>
      </c>
      <c r="S289" s="24">
        <v>0</v>
      </c>
      <c r="T289" s="24">
        <v>0</v>
      </c>
      <c r="U289" s="24">
        <v>0</v>
      </c>
      <c r="V289" s="24">
        <v>1</v>
      </c>
    </row>
    <row r="290" spans="1:22" ht="21" customHeight="1" x14ac:dyDescent="0.15">
      <c r="A290" s="2" t="str">
        <f ca="1">input_498100!A$2</f>
        <v>498100</v>
      </c>
      <c r="B290" s="5">
        <v>862</v>
      </c>
      <c r="C290" s="7" t="str">
        <f t="shared" ref="C290:C294" si="18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38">
        <f ca="1">IFERROR(VLOOKUP(B290,input_498100!L:R,7,FALSE),VLOOKUP(tables_498100!C290,input_498100!A:H,8,FALSE))</f>
        <v>1068177.7777799999</v>
      </c>
      <c r="P290" s="39">
        <f t="shared" ca="1" si="13"/>
        <v>9.314420803863608E-3</v>
      </c>
      <c r="Q290" s="24">
        <v>1</v>
      </c>
      <c r="R290" s="24">
        <v>0</v>
      </c>
      <c r="S290" s="24">
        <v>0</v>
      </c>
      <c r="T290" s="24">
        <v>0</v>
      </c>
      <c r="U290" s="24">
        <v>0</v>
      </c>
      <c r="V290" s="24">
        <v>1</v>
      </c>
    </row>
    <row r="291" spans="1:22" ht="21" customHeight="1" x14ac:dyDescent="0.15">
      <c r="A291" s="2" t="str">
        <f ca="1">input_498100!A$2</f>
        <v>498100</v>
      </c>
      <c r="B291" s="5">
        <v>863</v>
      </c>
      <c r="C291" s="7" t="str">
        <f t="shared" si="18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38">
        <f ca="1">IFERROR(VLOOKUP(B291,input_498100!L:R,7,FALSE),VLOOKUP(tables_498100!C291,input_498100!A:H,8,FALSE))</f>
        <v>68116.666670000006</v>
      </c>
      <c r="P291" s="39">
        <f t="shared" ca="1" si="13"/>
        <v>5.9397163123867634E-4</v>
      </c>
      <c r="Q291" s="24">
        <v>1</v>
      </c>
      <c r="R291" s="24">
        <v>0</v>
      </c>
      <c r="S291" s="24">
        <v>0</v>
      </c>
      <c r="T291" s="24">
        <v>0</v>
      </c>
      <c r="U291" s="24">
        <v>0</v>
      </c>
      <c r="V291" s="24">
        <v>1</v>
      </c>
    </row>
    <row r="292" spans="1:22" ht="21" customHeight="1" x14ac:dyDescent="0.15">
      <c r="A292" s="2" t="str">
        <f ca="1">input_498100!A$2</f>
        <v>498100</v>
      </c>
      <c r="B292" s="5">
        <v>864</v>
      </c>
      <c r="C292" s="7" t="str">
        <f t="shared" si="18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38">
        <f ca="1">IFERROR(VLOOKUP(B292,input_498100!L:R,7,FALSE),VLOOKUP(tables_498100!C292,input_498100!A:H,8,FALSE))</f>
        <v>1068177.7777799999</v>
      </c>
      <c r="P292" s="39">
        <f t="shared" ca="1" si="13"/>
        <v>9.314420803863608E-3</v>
      </c>
      <c r="Q292" s="24">
        <v>1</v>
      </c>
      <c r="R292" s="24">
        <v>0</v>
      </c>
      <c r="S292" s="24">
        <v>0</v>
      </c>
      <c r="T292" s="24">
        <v>0</v>
      </c>
      <c r="U292" s="24">
        <v>0</v>
      </c>
      <c r="V292" s="24">
        <v>1</v>
      </c>
    </row>
    <row r="293" spans="1:22" ht="21" customHeight="1" x14ac:dyDescent="0.15">
      <c r="A293" s="2" t="str">
        <f ca="1">input_498100!A$2</f>
        <v>498100</v>
      </c>
      <c r="B293" s="5">
        <v>865</v>
      </c>
      <c r="C293" s="7" t="str">
        <f t="shared" si="18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38">
        <f ca="1">IFERROR(VLOOKUP(B293,input_498100!L:R,7,FALSE),VLOOKUP(tables_498100!C293,input_498100!A:H,8,FALSE))</f>
        <v>68116.666670000006</v>
      </c>
      <c r="P293" s="39">
        <f t="shared" ca="1" si="13"/>
        <v>5.9397163123867634E-4</v>
      </c>
      <c r="Q293" s="24">
        <v>1</v>
      </c>
      <c r="R293" s="24">
        <v>0</v>
      </c>
      <c r="S293" s="24">
        <v>0</v>
      </c>
      <c r="T293" s="24">
        <v>0</v>
      </c>
      <c r="U293" s="24">
        <v>0</v>
      </c>
      <c r="V293" s="24">
        <v>1</v>
      </c>
    </row>
    <row r="294" spans="1:22" ht="21" customHeight="1" x14ac:dyDescent="0.15">
      <c r="A294" s="2" t="str">
        <f ca="1">input_498100!A$2</f>
        <v>498100</v>
      </c>
      <c r="B294" s="5">
        <v>866</v>
      </c>
      <c r="C294" s="7" t="str">
        <f t="shared" si="18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38">
        <f ca="1">IFERROR(VLOOKUP(B294,input_498100!L:R,7,FALSE),VLOOKUP(tables_498100!C294,input_498100!A:H,8,FALSE))</f>
        <v>123189.47368</v>
      </c>
      <c r="P294" s="39">
        <f t="shared" ca="1" si="13"/>
        <v>1.0742018981584962E-3</v>
      </c>
      <c r="Q294" s="24">
        <v>1</v>
      </c>
      <c r="R294" s="24">
        <v>0</v>
      </c>
      <c r="S294" s="24">
        <v>0</v>
      </c>
      <c r="T294" s="24">
        <v>0</v>
      </c>
      <c r="U294" s="24">
        <v>0</v>
      </c>
      <c r="V294" s="24">
        <v>1</v>
      </c>
    </row>
    <row r="295" spans="1:22" ht="21" customHeight="1" x14ac:dyDescent="0.15">
      <c r="A295" s="2" t="str">
        <f ca="1">input_498100!A$2</f>
        <v>498100</v>
      </c>
      <c r="B295" s="5">
        <v>868</v>
      </c>
      <c r="C295" s="7" t="str">
        <f t="shared" ref="C295:C299" si="19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38">
        <f ca="1">IFERROR(VLOOKUP(B295,input_498100!L:R,7,FALSE),VLOOKUP(tables_498100!C295,input_498100!A:H,8,FALSE))</f>
        <v>123189.47368</v>
      </c>
      <c r="P295" s="39">
        <f t="shared" ref="P295:P299" ca="1" si="20">O295/SUM(O:O)</f>
        <v>1.0742018981584962E-3</v>
      </c>
      <c r="Q295" s="24">
        <v>1</v>
      </c>
      <c r="R295" s="24">
        <v>0</v>
      </c>
      <c r="S295" s="24">
        <v>0</v>
      </c>
      <c r="T295" s="24">
        <v>0</v>
      </c>
      <c r="U295" s="24">
        <v>0</v>
      </c>
      <c r="V295" s="24">
        <v>1</v>
      </c>
    </row>
    <row r="296" spans="1:22" ht="21" customHeight="1" x14ac:dyDescent="0.15">
      <c r="A296" s="2" t="str">
        <f ca="1">input_498100!A$2</f>
        <v>498100</v>
      </c>
      <c r="B296" s="5">
        <v>937</v>
      </c>
      <c r="C296" s="7" t="str">
        <f t="shared" si="19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38">
        <f ca="1">IFERROR(VLOOKUP(B296,input_498100!L:R,7,FALSE),VLOOKUP(tables_498100!C296,input_498100!A:H,8,FALSE))</f>
        <v>123189.47368</v>
      </c>
      <c r="P296" s="39">
        <f t="shared" ca="1" si="20"/>
        <v>1.0742018981584962E-3</v>
      </c>
      <c r="Q296" s="24">
        <v>1</v>
      </c>
      <c r="R296" s="24">
        <v>0</v>
      </c>
      <c r="S296" s="24">
        <v>0</v>
      </c>
      <c r="T296" s="24">
        <v>0</v>
      </c>
      <c r="U296" s="24">
        <v>0</v>
      </c>
      <c r="V296" s="24">
        <v>1</v>
      </c>
    </row>
    <row r="297" spans="1:22" ht="21" customHeight="1" x14ac:dyDescent="0.15">
      <c r="A297" s="2" t="str">
        <f ca="1">input_498100!A$2</f>
        <v>498100</v>
      </c>
      <c r="B297" s="5">
        <v>939</v>
      </c>
      <c r="C297" s="7" t="str">
        <f t="shared" si="19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38">
        <f ca="1">IFERROR(VLOOKUP(B297,input_498100!L:R,7,FALSE),VLOOKUP(tables_498100!C297,input_498100!A:H,8,FALSE))</f>
        <v>1068177.7777799999</v>
      </c>
      <c r="P297" s="39">
        <f t="shared" ca="1" si="20"/>
        <v>9.314420803863608E-3</v>
      </c>
      <c r="Q297" s="24">
        <v>1</v>
      </c>
      <c r="R297" s="24">
        <v>0</v>
      </c>
      <c r="S297" s="24">
        <v>0</v>
      </c>
      <c r="T297" s="24">
        <v>0</v>
      </c>
      <c r="U297" s="24">
        <v>0</v>
      </c>
      <c r="V297" s="24">
        <v>1</v>
      </c>
    </row>
    <row r="298" spans="1:22" ht="21" customHeight="1" x14ac:dyDescent="0.15">
      <c r="A298" s="2" t="str">
        <f ca="1">input_498100!A$2</f>
        <v>498100</v>
      </c>
      <c r="B298" s="5">
        <v>940</v>
      </c>
      <c r="C298" s="7" t="str">
        <f t="shared" si="19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38">
        <f ca="1">IFERROR(VLOOKUP(B298,input_498100!L:R,7,FALSE),VLOOKUP(tables_498100!C298,input_498100!A:H,8,FALSE))</f>
        <v>68116.666670000006</v>
      </c>
      <c r="P298" s="39">
        <f t="shared" ca="1" si="20"/>
        <v>5.9397163123867634E-4</v>
      </c>
      <c r="Q298" s="24">
        <v>1</v>
      </c>
      <c r="R298" s="24">
        <v>0</v>
      </c>
      <c r="S298" s="24">
        <v>0</v>
      </c>
      <c r="T298" s="24">
        <v>0</v>
      </c>
      <c r="U298" s="24">
        <v>0</v>
      </c>
      <c r="V298" s="24">
        <v>1</v>
      </c>
    </row>
    <row r="299" spans="1:22" ht="21" customHeight="1" x14ac:dyDescent="0.15">
      <c r="A299" s="2" t="str">
        <f ca="1">input_498100!A$2</f>
        <v>498100</v>
      </c>
      <c r="B299" s="5">
        <v>941</v>
      </c>
      <c r="C299" s="7" t="str">
        <f t="shared" si="19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38">
        <f ca="1">IFERROR(VLOOKUP(B299,input_498100!L:R,7,FALSE),VLOOKUP(tables_498100!C299,input_498100!A:H,8,FALSE))</f>
        <v>123189.47368</v>
      </c>
      <c r="P299" s="39">
        <f t="shared" ca="1" si="20"/>
        <v>1.0742018981584962E-3</v>
      </c>
      <c r="Q299" s="24">
        <v>1</v>
      </c>
      <c r="R299" s="24">
        <v>0</v>
      </c>
      <c r="S299" s="24">
        <v>0</v>
      </c>
      <c r="T299" s="24">
        <v>0</v>
      </c>
      <c r="U299" s="24">
        <v>0</v>
      </c>
      <c r="V299" s="24">
        <v>1</v>
      </c>
    </row>
    <row r="300" spans="1:22" ht="21" customHeight="1" x14ac:dyDescent="0.15">
      <c r="A300" s="2" t="str">
        <f ca="1">input_498100!A$2</f>
        <v>498100</v>
      </c>
      <c r="B300" s="5">
        <v>943</v>
      </c>
      <c r="C300" s="7" t="str">
        <f t="shared" ref="C300:C304" si="21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38">
        <f ca="1">IFERROR(VLOOKUP(B300,input_498100!L:R,7,FALSE),VLOOKUP(tables_498100!C300,input_498100!A:H,8,FALSE))</f>
        <v>123189.47368</v>
      </c>
      <c r="P300" s="39">
        <f t="shared" ref="P300:P304" ca="1" si="22">O300/SUM(O:O)</f>
        <v>1.0742018981584962E-3</v>
      </c>
      <c r="Q300" s="24">
        <v>1</v>
      </c>
      <c r="R300" s="24">
        <v>0</v>
      </c>
      <c r="S300" s="24">
        <v>0</v>
      </c>
      <c r="T300" s="24">
        <v>0</v>
      </c>
      <c r="U300" s="24">
        <v>0</v>
      </c>
      <c r="V300" s="24">
        <v>1</v>
      </c>
    </row>
    <row r="301" spans="1:22" ht="21" customHeight="1" x14ac:dyDescent="0.15">
      <c r="A301" s="2" t="str">
        <f ca="1">input_498100!A$2</f>
        <v>498100</v>
      </c>
      <c r="B301" s="5">
        <v>1012</v>
      </c>
      <c r="C301" s="7" t="str">
        <f t="shared" si="21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38">
        <f ca="1">IFERROR(VLOOKUP(B301,input_498100!L:R,7,FALSE),VLOOKUP(tables_498100!C301,input_498100!A:H,8,FALSE))</f>
        <v>123189.47368</v>
      </c>
      <c r="P301" s="39">
        <f t="shared" ca="1" si="22"/>
        <v>1.0742018981584962E-3</v>
      </c>
      <c r="Q301" s="24">
        <v>1</v>
      </c>
      <c r="R301" s="24">
        <v>0</v>
      </c>
      <c r="S301" s="24">
        <v>0</v>
      </c>
      <c r="T301" s="24">
        <v>0</v>
      </c>
      <c r="U301" s="24">
        <v>0</v>
      </c>
      <c r="V301" s="24">
        <v>1</v>
      </c>
    </row>
    <row r="302" spans="1:22" ht="21" customHeight="1" x14ac:dyDescent="0.15">
      <c r="A302" s="2" t="str">
        <f ca="1">input_498100!A$2</f>
        <v>498100</v>
      </c>
      <c r="B302" s="5">
        <v>1014</v>
      </c>
      <c r="C302" s="7" t="str">
        <f t="shared" si="21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38">
        <f ca="1">IFERROR(VLOOKUP(B302,input_498100!L:R,7,FALSE),VLOOKUP(tables_498100!C302,input_498100!A:H,8,FALSE))</f>
        <v>123189.47368</v>
      </c>
      <c r="P302" s="39">
        <f t="shared" ca="1" si="22"/>
        <v>1.0742018981584962E-3</v>
      </c>
      <c r="Q302" s="24">
        <v>1</v>
      </c>
      <c r="R302" s="24">
        <v>0</v>
      </c>
      <c r="S302" s="24">
        <v>0</v>
      </c>
      <c r="T302" s="24">
        <v>0</v>
      </c>
      <c r="U302" s="24">
        <v>0</v>
      </c>
      <c r="V302" s="24">
        <v>1</v>
      </c>
    </row>
    <row r="303" spans="1:22" ht="21" customHeight="1" x14ac:dyDescent="0.15">
      <c r="A303" s="2" t="str">
        <f ca="1">input_498100!A$2</f>
        <v>498100</v>
      </c>
      <c r="B303" s="5">
        <v>1016</v>
      </c>
      <c r="C303" s="7" t="str">
        <f t="shared" si="21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38">
        <f ca="1">IFERROR(VLOOKUP(B303,input_498100!L:R,7,FALSE),VLOOKUP(tables_498100!C303,input_498100!A:H,8,FALSE))</f>
        <v>1068177.7777799999</v>
      </c>
      <c r="P303" s="39">
        <f t="shared" ca="1" si="22"/>
        <v>9.314420803863608E-3</v>
      </c>
      <c r="Q303" s="24">
        <v>1</v>
      </c>
      <c r="R303" s="24">
        <v>0</v>
      </c>
      <c r="S303" s="24">
        <v>0</v>
      </c>
      <c r="T303" s="24">
        <v>0</v>
      </c>
      <c r="U303" s="24">
        <v>0</v>
      </c>
      <c r="V303" s="24">
        <v>1</v>
      </c>
    </row>
    <row r="304" spans="1:22" ht="21" customHeight="1" x14ac:dyDescent="0.15">
      <c r="A304" s="2" t="str">
        <f ca="1">input_498100!A$2</f>
        <v>498100</v>
      </c>
      <c r="B304" s="5">
        <v>1017</v>
      </c>
      <c r="C304" s="7" t="str">
        <f t="shared" si="21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38">
        <f ca="1">IFERROR(VLOOKUP(B304,input_498100!L:R,7,FALSE),VLOOKUP(tables_498100!C304,input_498100!A:H,8,FALSE))</f>
        <v>68116.666670000006</v>
      </c>
      <c r="P304" s="39">
        <f t="shared" ca="1" si="22"/>
        <v>5.9397163123867634E-4</v>
      </c>
      <c r="Q304" s="24">
        <v>1</v>
      </c>
      <c r="R304" s="24">
        <v>0</v>
      </c>
      <c r="S304" s="24">
        <v>0</v>
      </c>
      <c r="T304" s="24">
        <v>0</v>
      </c>
      <c r="U304" s="24">
        <v>0</v>
      </c>
      <c r="V304" s="24">
        <v>1</v>
      </c>
    </row>
    <row r="305" spans="1:22" ht="21" customHeight="1" x14ac:dyDescent="0.15">
      <c r="A305" s="2" t="str">
        <f ca="1">input_498100!A$2</f>
        <v>498100</v>
      </c>
      <c r="B305" s="5">
        <v>1018</v>
      </c>
      <c r="C305" s="7" t="str">
        <f t="shared" ref="C305:C308" si="23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38">
        <f ca="1">IFERROR(VLOOKUP(B305,input_498100!L:R,7,FALSE),VLOOKUP(tables_498100!C305,input_498100!A:H,8,FALSE))</f>
        <v>123189.47368</v>
      </c>
      <c r="P305" s="39">
        <f t="shared" ref="P305:P308" ca="1" si="24">O305/SUM(O:O)</f>
        <v>1.0742018981584962E-3</v>
      </c>
      <c r="Q305" s="24">
        <v>1</v>
      </c>
      <c r="R305" s="24">
        <v>0</v>
      </c>
      <c r="S305" s="24">
        <v>0</v>
      </c>
      <c r="T305" s="24">
        <v>0</v>
      </c>
      <c r="U305" s="24">
        <v>0</v>
      </c>
      <c r="V305" s="24">
        <v>1</v>
      </c>
    </row>
    <row r="306" spans="1:22" ht="21" customHeight="1" x14ac:dyDescent="0.15">
      <c r="A306" s="2" t="str">
        <f ca="1">input_498100!A$2</f>
        <v>498100</v>
      </c>
      <c r="B306" s="5">
        <v>1026</v>
      </c>
      <c r="C306" s="7" t="str">
        <f t="shared" si="23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38">
        <f ca="1">IFERROR(VLOOKUP(B306,input_498100!L:R,7,FALSE),VLOOKUP(tables_498100!C306,input_498100!A:H,8,FALSE))</f>
        <v>1068177.7777799999</v>
      </c>
      <c r="P306" s="39">
        <f t="shared" ca="1" si="24"/>
        <v>9.314420803863608E-3</v>
      </c>
      <c r="Q306" s="24">
        <v>1</v>
      </c>
      <c r="R306" s="24">
        <v>0</v>
      </c>
      <c r="S306" s="24">
        <v>0</v>
      </c>
      <c r="T306" s="24">
        <v>0</v>
      </c>
      <c r="U306" s="24">
        <v>0</v>
      </c>
      <c r="V306" s="24">
        <v>1</v>
      </c>
    </row>
    <row r="307" spans="1:22" ht="21" customHeight="1" x14ac:dyDescent="0.15">
      <c r="A307" s="2" t="str">
        <f ca="1">input_498100!A$2</f>
        <v>498100</v>
      </c>
      <c r="B307" s="5">
        <v>1027</v>
      </c>
      <c r="C307" s="7" t="str">
        <f t="shared" si="23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38">
        <f ca="1">IFERROR(VLOOKUP(B307,input_498100!L:R,7,FALSE),VLOOKUP(tables_498100!C307,input_498100!A:H,8,FALSE))</f>
        <v>68116.666670000006</v>
      </c>
      <c r="P307" s="39">
        <f t="shared" ca="1" si="24"/>
        <v>5.9397163123867634E-4</v>
      </c>
      <c r="Q307" s="24">
        <v>1</v>
      </c>
      <c r="R307" s="24">
        <v>0</v>
      </c>
      <c r="S307" s="24">
        <v>0</v>
      </c>
      <c r="T307" s="24">
        <v>0</v>
      </c>
      <c r="U307" s="24">
        <v>0</v>
      </c>
      <c r="V307" s="24">
        <v>1</v>
      </c>
    </row>
    <row r="308" spans="1:22" ht="21" customHeight="1" x14ac:dyDescent="0.15">
      <c r="A308" s="2" t="str">
        <f ca="1">input_498100!A$2</f>
        <v>498100</v>
      </c>
      <c r="B308" s="5">
        <v>1028</v>
      </c>
      <c r="C308" s="7" t="str">
        <f t="shared" si="23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38">
        <f ca="1">IFERROR(VLOOKUP(B308,input_498100!L:R,7,FALSE),VLOOKUP(tables_498100!C308,input_498100!A:H,8,FALSE))</f>
        <v>123189.47368</v>
      </c>
      <c r="P308" s="39">
        <f t="shared" ca="1" si="24"/>
        <v>1.0742018981584962E-3</v>
      </c>
      <c r="Q308" s="24">
        <v>1</v>
      </c>
      <c r="R308" s="24">
        <v>0</v>
      </c>
      <c r="S308" s="24">
        <v>0</v>
      </c>
      <c r="T308" s="24">
        <v>0</v>
      </c>
      <c r="U308" s="24">
        <v>0</v>
      </c>
      <c r="V308" s="24">
        <v>1</v>
      </c>
    </row>
    <row r="309" spans="1:22" ht="21" customHeight="1" x14ac:dyDescent="0.15">
      <c r="A309" s="2" t="str">
        <f ca="1">input_498100!A$2</f>
        <v>498100</v>
      </c>
      <c r="B309" s="5">
        <v>1031</v>
      </c>
      <c r="C309" s="7" t="str">
        <f t="shared" ref="C309" si="25">D309&amp;J309&amp;E309&amp;F309&amp;G309</f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38">
        <f ca="1">IFERROR(VLOOKUP(B309,input_498100!L:R,7,FALSE),VLOOKUP(tables_498100!C309,input_498100!A:H,8,FALSE))</f>
        <v>123189.47368</v>
      </c>
      <c r="P309" s="39">
        <f t="shared" ref="P309" ca="1" si="26">O309/SUM(O:O)</f>
        <v>1.0742018981584962E-3</v>
      </c>
      <c r="Q309" s="24">
        <v>1</v>
      </c>
      <c r="R309" s="24">
        <v>0</v>
      </c>
      <c r="S309" s="24">
        <v>0</v>
      </c>
      <c r="T309" s="24">
        <v>0</v>
      </c>
      <c r="U309" s="24">
        <v>0</v>
      </c>
      <c r="V309" s="24">
        <v>1</v>
      </c>
    </row>
    <row r="310" spans="1:22" ht="21" customHeight="1" x14ac:dyDescent="0.15">
      <c r="A310" s="2" t="str">
        <f ca="1">input_498100!A$2</f>
        <v>498100</v>
      </c>
      <c r="B310" s="5">
        <v>1033</v>
      </c>
      <c r="C310" s="7" t="str">
        <f t="shared" ref="C310:C314" si="27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38">
        <f ca="1">IFERROR(VLOOKUP(B310,input_498100!L:R,7,FALSE),VLOOKUP(tables_498100!C310,input_498100!A:H,8,FALSE))</f>
        <v>123189.47368</v>
      </c>
      <c r="P310" s="39">
        <f t="shared" ref="P310:P314" ca="1" si="28">O310/SUM(O:O)</f>
        <v>1.0742018981584962E-3</v>
      </c>
      <c r="Q310" s="24">
        <v>1</v>
      </c>
      <c r="R310" s="24">
        <v>0</v>
      </c>
      <c r="S310" s="24">
        <v>0</v>
      </c>
      <c r="T310" s="24">
        <v>0</v>
      </c>
      <c r="U310" s="24">
        <v>0</v>
      </c>
      <c r="V310" s="24">
        <v>1</v>
      </c>
    </row>
    <row r="311" spans="1:22" ht="21" customHeight="1" x14ac:dyDescent="0.15">
      <c r="A311" s="2" t="str">
        <f ca="1">input_498100!A$2</f>
        <v>498100</v>
      </c>
      <c r="B311" s="5">
        <v>1067</v>
      </c>
      <c r="C311" s="7" t="str">
        <f t="shared" si="27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38">
        <f ca="1">IFERROR(VLOOKUP(B311,input_498100!L:R,7,FALSE),VLOOKUP(tables_498100!C311,input_498100!A:H,8,FALSE))</f>
        <v>1068177.7777799999</v>
      </c>
      <c r="P311" s="39">
        <f t="shared" ca="1" si="28"/>
        <v>9.314420803863608E-3</v>
      </c>
      <c r="Q311" s="24">
        <v>1</v>
      </c>
      <c r="R311" s="24">
        <v>0</v>
      </c>
      <c r="S311" s="24">
        <v>0</v>
      </c>
      <c r="T311" s="24">
        <v>0</v>
      </c>
      <c r="U311" s="24">
        <v>0</v>
      </c>
      <c r="V311" s="24">
        <v>1</v>
      </c>
    </row>
    <row r="312" spans="1:22" ht="21" customHeight="1" x14ac:dyDescent="0.15">
      <c r="A312" s="2" t="str">
        <f ca="1">input_498100!A$2</f>
        <v>498100</v>
      </c>
      <c r="B312" s="5">
        <v>1068</v>
      </c>
      <c r="C312" s="7" t="str">
        <f t="shared" si="27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38">
        <f ca="1">IFERROR(VLOOKUP(B312,input_498100!L:R,7,FALSE),VLOOKUP(tables_498100!C312,input_498100!A:H,8,FALSE))</f>
        <v>68116.666670000006</v>
      </c>
      <c r="P312" s="39">
        <f t="shared" ca="1" si="28"/>
        <v>5.9397163123867634E-4</v>
      </c>
      <c r="Q312" s="24">
        <v>1</v>
      </c>
      <c r="R312" s="24">
        <v>0</v>
      </c>
      <c r="S312" s="24">
        <v>0</v>
      </c>
      <c r="T312" s="24">
        <v>0</v>
      </c>
      <c r="U312" s="24">
        <v>0</v>
      </c>
      <c r="V312" s="24">
        <v>1</v>
      </c>
    </row>
    <row r="313" spans="1:22" ht="21" customHeight="1" x14ac:dyDescent="0.15">
      <c r="A313" s="2" t="str">
        <f ca="1">input_498100!A$2</f>
        <v>498100</v>
      </c>
      <c r="B313" s="5">
        <v>1069</v>
      </c>
      <c r="C313" s="7" t="str">
        <f t="shared" si="27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38">
        <f ca="1">IFERROR(VLOOKUP(B313,input_498100!L:R,7,FALSE),VLOOKUP(tables_498100!C313,input_498100!A:H,8,FALSE))</f>
        <v>123189.47368</v>
      </c>
      <c r="P313" s="39">
        <f t="shared" ca="1" si="28"/>
        <v>1.0742018981584962E-3</v>
      </c>
      <c r="Q313" s="24">
        <v>1</v>
      </c>
      <c r="R313" s="24">
        <v>0</v>
      </c>
      <c r="S313" s="24">
        <v>0</v>
      </c>
      <c r="T313" s="24">
        <v>0</v>
      </c>
      <c r="U313" s="24">
        <v>0</v>
      </c>
      <c r="V313" s="24">
        <v>1</v>
      </c>
    </row>
    <row r="314" spans="1:22" ht="21" customHeight="1" x14ac:dyDescent="0.15">
      <c r="A314" s="2" t="str">
        <f ca="1">input_498100!A$2</f>
        <v>498100</v>
      </c>
      <c r="B314" s="5">
        <v>1072</v>
      </c>
      <c r="C314" s="7" t="str">
        <f t="shared" si="27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38">
        <f ca="1">IFERROR(VLOOKUP(B314,input_498100!L:R,7,FALSE),VLOOKUP(tables_498100!C314,input_498100!A:H,8,FALSE))</f>
        <v>123189.47368</v>
      </c>
      <c r="P314" s="39">
        <f t="shared" ca="1" si="28"/>
        <v>1.0742018981584962E-3</v>
      </c>
      <c r="Q314" s="24">
        <v>1</v>
      </c>
      <c r="R314" s="24">
        <v>0</v>
      </c>
      <c r="S314" s="24">
        <v>0</v>
      </c>
      <c r="T314" s="24">
        <v>0</v>
      </c>
      <c r="U314" s="24">
        <v>0</v>
      </c>
      <c r="V314" s="24">
        <v>1</v>
      </c>
    </row>
    <row r="315" spans="1:22" ht="21" customHeight="1" x14ac:dyDescent="0.15">
      <c r="A315" s="2" t="str">
        <f ca="1">input_498100!A$2</f>
        <v>498100</v>
      </c>
      <c r="B315" s="5">
        <v>1074</v>
      </c>
      <c r="C315" s="7" t="str">
        <f t="shared" ref="C315:C319" si="29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38">
        <f ca="1">IFERROR(VLOOKUP(B315,input_498100!L:R,7,FALSE),VLOOKUP(tables_498100!C315,input_498100!A:H,8,FALSE))</f>
        <v>123189.47368</v>
      </c>
      <c r="P315" s="39">
        <f t="shared" ref="P315:P319" ca="1" si="30">O315/SUM(O:O)</f>
        <v>1.0742018981584962E-3</v>
      </c>
      <c r="Q315" s="24">
        <v>1</v>
      </c>
      <c r="R315" s="24">
        <v>0</v>
      </c>
      <c r="S315" s="24">
        <v>0</v>
      </c>
      <c r="T315" s="24">
        <v>0</v>
      </c>
      <c r="U315" s="24">
        <v>0</v>
      </c>
      <c r="V315" s="24">
        <v>1</v>
      </c>
    </row>
    <row r="316" spans="1:22" ht="21" customHeight="1" x14ac:dyDescent="0.15">
      <c r="A316" s="2" t="str">
        <f ca="1">input_498100!A$2</f>
        <v>498100</v>
      </c>
      <c r="B316" s="5">
        <v>1100</v>
      </c>
      <c r="C316" s="7" t="str">
        <f t="shared" si="29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38">
        <f ca="1">IFERROR(VLOOKUP(B316,input_498100!L:R,7,FALSE),VLOOKUP(tables_498100!C316,input_498100!A:H,8,FALSE))</f>
        <v>123189.47368</v>
      </c>
      <c r="P316" s="39">
        <f t="shared" ca="1" si="30"/>
        <v>1.0742018981584962E-3</v>
      </c>
      <c r="Q316" s="24">
        <v>1</v>
      </c>
      <c r="R316" s="24">
        <v>0</v>
      </c>
      <c r="S316" s="24">
        <v>0</v>
      </c>
      <c r="T316" s="24">
        <v>0</v>
      </c>
      <c r="U316" s="24">
        <v>0</v>
      </c>
      <c r="V316" s="24">
        <v>1</v>
      </c>
    </row>
    <row r="317" spans="1:22" ht="21" customHeight="1" x14ac:dyDescent="0.15">
      <c r="A317" s="2" t="str">
        <f ca="1">input_498100!A$2</f>
        <v>498100</v>
      </c>
      <c r="B317" s="5">
        <v>1102</v>
      </c>
      <c r="C317" s="7" t="str">
        <f t="shared" si="29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38">
        <f ca="1">IFERROR(VLOOKUP(B317,input_498100!L:R,7,FALSE),VLOOKUP(tables_498100!C317,input_498100!A:H,8,FALSE))</f>
        <v>123189.47368</v>
      </c>
      <c r="P317" s="39">
        <f t="shared" ca="1" si="30"/>
        <v>1.0742018981584962E-3</v>
      </c>
      <c r="Q317" s="24">
        <v>1</v>
      </c>
      <c r="R317" s="24">
        <v>0</v>
      </c>
      <c r="S317" s="24">
        <v>0</v>
      </c>
      <c r="T317" s="24">
        <v>0</v>
      </c>
      <c r="U317" s="24">
        <v>0</v>
      </c>
      <c r="V317" s="24">
        <v>1</v>
      </c>
    </row>
    <row r="318" spans="1:22" ht="21" customHeight="1" x14ac:dyDescent="0.15">
      <c r="A318" s="2" t="str">
        <f ca="1">input_498100!A$2</f>
        <v>498100</v>
      </c>
      <c r="B318" s="5">
        <v>1104</v>
      </c>
      <c r="C318" s="7" t="str">
        <f t="shared" si="29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38">
        <f ca="1">IFERROR(VLOOKUP(B318,input_498100!L:R,7,FALSE),VLOOKUP(tables_498100!C318,input_498100!A:H,8,FALSE))</f>
        <v>1068177.7777799999</v>
      </c>
      <c r="P318" s="39">
        <f t="shared" ca="1" si="30"/>
        <v>9.314420803863608E-3</v>
      </c>
      <c r="Q318" s="24">
        <v>1</v>
      </c>
      <c r="R318" s="24">
        <v>0</v>
      </c>
      <c r="S318" s="24">
        <v>0</v>
      </c>
      <c r="T318" s="24">
        <v>0</v>
      </c>
      <c r="U318" s="24">
        <v>0</v>
      </c>
      <c r="V318" s="24">
        <v>1</v>
      </c>
    </row>
    <row r="319" spans="1:22" ht="21" customHeight="1" x14ac:dyDescent="0.15">
      <c r="A319" s="2" t="str">
        <f ca="1">input_498100!A$2</f>
        <v>498100</v>
      </c>
      <c r="B319" s="5">
        <v>1105</v>
      </c>
      <c r="C319" s="7" t="str">
        <f t="shared" si="29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38">
        <f ca="1">IFERROR(VLOOKUP(B319,input_498100!L:R,7,FALSE),VLOOKUP(tables_498100!C319,input_498100!A:H,8,FALSE))</f>
        <v>68116.666670000006</v>
      </c>
      <c r="P319" s="39">
        <f t="shared" ca="1" si="30"/>
        <v>5.9397163123867634E-4</v>
      </c>
      <c r="Q319" s="24">
        <v>1</v>
      </c>
      <c r="R319" s="24">
        <v>0</v>
      </c>
      <c r="S319" s="24">
        <v>0</v>
      </c>
      <c r="T319" s="24">
        <v>0</v>
      </c>
      <c r="U319" s="24">
        <v>0</v>
      </c>
      <c r="V319" s="24">
        <v>1</v>
      </c>
    </row>
    <row r="320" spans="1:22" ht="21" customHeight="1" x14ac:dyDescent="0.15">
      <c r="A320" s="2" t="str">
        <f ca="1">input_498100!A$2</f>
        <v>498100</v>
      </c>
      <c r="B320" s="5">
        <v>1106</v>
      </c>
      <c r="C320" s="7" t="str">
        <f t="shared" ref="C320:C324" si="31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38">
        <f ca="1">IFERROR(VLOOKUP(B320,input_498100!L:R,7,FALSE),VLOOKUP(tables_498100!C320,input_498100!A:H,8,FALSE))</f>
        <v>123189.47368</v>
      </c>
      <c r="P320" s="39">
        <f t="shared" ref="P320:P324" ca="1" si="32">O320/SUM(O:O)</f>
        <v>1.0742018981584962E-3</v>
      </c>
      <c r="Q320" s="24">
        <v>1</v>
      </c>
      <c r="R320" s="24">
        <v>0</v>
      </c>
      <c r="S320" s="24">
        <v>0</v>
      </c>
      <c r="T320" s="24">
        <v>0</v>
      </c>
      <c r="U320" s="24">
        <v>0</v>
      </c>
      <c r="V320" s="24">
        <v>1</v>
      </c>
    </row>
    <row r="321" spans="1:22" ht="21" customHeight="1" x14ac:dyDescent="0.15">
      <c r="A321" s="2" t="str">
        <f ca="1">input_498100!A$2</f>
        <v>498100</v>
      </c>
      <c r="B321" s="5">
        <v>1137</v>
      </c>
      <c r="C321" s="7" t="str">
        <f t="shared" si="31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38">
        <f ca="1">IFERROR(VLOOKUP(B321,input_498100!L:R,7,FALSE),VLOOKUP(tables_498100!C321,input_498100!A:H,8,FALSE))</f>
        <v>123189.47368</v>
      </c>
      <c r="P321" s="39">
        <f t="shared" ca="1" si="32"/>
        <v>1.0742018981584962E-3</v>
      </c>
      <c r="Q321" s="24">
        <v>1</v>
      </c>
      <c r="R321" s="24">
        <v>0</v>
      </c>
      <c r="S321" s="24">
        <v>0</v>
      </c>
      <c r="T321" s="24">
        <v>0</v>
      </c>
      <c r="U321" s="24">
        <v>0</v>
      </c>
      <c r="V321" s="24">
        <v>1</v>
      </c>
    </row>
    <row r="322" spans="1:22" ht="21" customHeight="1" x14ac:dyDescent="0.15">
      <c r="A322" s="2" t="str">
        <f ca="1">input_498100!A$2</f>
        <v>498100</v>
      </c>
      <c r="B322" s="5">
        <v>1139</v>
      </c>
      <c r="C322" s="7" t="str">
        <f t="shared" si="31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38">
        <f ca="1">IFERROR(VLOOKUP(B322,input_498100!L:R,7,FALSE),VLOOKUP(tables_498100!C322,input_498100!A:H,8,FALSE))</f>
        <v>123189.47368</v>
      </c>
      <c r="P322" s="39">
        <f t="shared" ca="1" si="32"/>
        <v>1.0742018981584962E-3</v>
      </c>
      <c r="Q322" s="24">
        <v>1</v>
      </c>
      <c r="R322" s="24">
        <v>0</v>
      </c>
      <c r="S322" s="24">
        <v>0</v>
      </c>
      <c r="T322" s="24">
        <v>0</v>
      </c>
      <c r="U322" s="24">
        <v>0</v>
      </c>
      <c r="V322" s="24">
        <v>1</v>
      </c>
    </row>
    <row r="323" spans="1:22" ht="21" customHeight="1" x14ac:dyDescent="0.15">
      <c r="A323" s="2" t="str">
        <f ca="1">input_498100!A$2</f>
        <v>498100</v>
      </c>
      <c r="B323" s="5">
        <v>1141</v>
      </c>
      <c r="C323" s="7" t="str">
        <f t="shared" si="31"/>
        <v>PremiumSS5R5only</v>
      </c>
      <c r="D323" s="7" t="str">
        <f t="shared" ref="D323:D330" si="33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38">
        <f ca="1">IFERROR(VLOOKUP(B323,input_498100!L:R,7,FALSE),VLOOKUP(tables_498100!C323,input_498100!A:H,8,FALSE))</f>
        <v>123189.47368</v>
      </c>
      <c r="P323" s="39">
        <f t="shared" ca="1" si="32"/>
        <v>1.0742018981584962E-3</v>
      </c>
      <c r="Q323" s="24">
        <v>1</v>
      </c>
      <c r="R323" s="24">
        <v>0</v>
      </c>
      <c r="S323" s="24">
        <v>0</v>
      </c>
      <c r="T323" s="24">
        <v>0</v>
      </c>
      <c r="U323" s="24">
        <v>0</v>
      </c>
      <c r="V323" s="24">
        <v>1</v>
      </c>
    </row>
    <row r="324" spans="1:22" ht="21" customHeight="1" x14ac:dyDescent="0.15">
      <c r="A324" s="2" t="str">
        <f ca="1">input_498100!A$2</f>
        <v>498100</v>
      </c>
      <c r="B324" s="2">
        <v>1143</v>
      </c>
      <c r="C324" s="7" t="str">
        <f t="shared" si="31"/>
        <v>Premium4R3less</v>
      </c>
      <c r="D324" s="7" t="str">
        <f t="shared" si="33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38">
        <f ca="1">IFERROR(VLOOKUP(B324,input_498100!L:R,7,FALSE),VLOOKUP(tables_498100!C324,input_498100!A:H,8,FALSE))</f>
        <v>1068177.7777799999</v>
      </c>
      <c r="P324" s="39">
        <f t="shared" ca="1" si="32"/>
        <v>9.314420803863608E-3</v>
      </c>
      <c r="Q324" s="24">
        <v>1</v>
      </c>
      <c r="R324" s="24">
        <v>0</v>
      </c>
      <c r="S324" s="24">
        <v>0</v>
      </c>
      <c r="T324" s="24">
        <v>0</v>
      </c>
      <c r="U324" s="24">
        <v>0</v>
      </c>
      <c r="V324" s="24">
        <v>1</v>
      </c>
    </row>
    <row r="325" spans="1:22" ht="21" customHeight="1" x14ac:dyDescent="0.15">
      <c r="A325" s="2" t="str">
        <f ca="1">input_498100!A$2</f>
        <v>498100</v>
      </c>
      <c r="B325" s="2">
        <v>1144</v>
      </c>
      <c r="C325" s="7" t="str">
        <f t="shared" ref="C325:C330" si="34">D325&amp;J325&amp;E325&amp;F325&amp;G325</f>
        <v>Premium5R3less</v>
      </c>
      <c r="D325" s="7" t="str">
        <f t="shared" si="33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38">
        <f ca="1">IFERROR(VLOOKUP(B325,input_498100!L:R,7,FALSE),VLOOKUP(tables_498100!C325,input_498100!A:H,8,FALSE))</f>
        <v>68116.666670000006</v>
      </c>
      <c r="P325" s="39">
        <f t="shared" ref="P325:P330" ca="1" si="35">O325/SUM(O:O)</f>
        <v>5.9397163123867634E-4</v>
      </c>
      <c r="Q325" s="24">
        <v>1</v>
      </c>
      <c r="R325" s="24">
        <v>0</v>
      </c>
      <c r="S325" s="24">
        <v>0</v>
      </c>
      <c r="T325" s="24">
        <v>0</v>
      </c>
      <c r="U325" s="24">
        <v>0</v>
      </c>
      <c r="V325" s="24">
        <v>1</v>
      </c>
    </row>
    <row r="326" spans="1:22" ht="21" customHeight="1" x14ac:dyDescent="0.15">
      <c r="A326" s="2" t="str">
        <f ca="1">input_498100!A$2</f>
        <v>498100</v>
      </c>
      <c r="B326" s="2">
        <v>1151</v>
      </c>
      <c r="C326" s="7" t="str">
        <f t="shared" si="34"/>
        <v>Premium4R3less</v>
      </c>
      <c r="D326" s="7" t="str">
        <f t="shared" si="33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38">
        <f ca="1">IFERROR(VLOOKUP(B326,input_498100!L:R,7,FALSE),VLOOKUP(tables_498100!C326,input_498100!A:H,8,FALSE))</f>
        <v>1068177.7777799999</v>
      </c>
      <c r="P326" s="39">
        <f t="shared" ca="1" si="35"/>
        <v>9.314420803863608E-3</v>
      </c>
      <c r="Q326" s="24">
        <v>1</v>
      </c>
      <c r="R326" s="24">
        <v>0</v>
      </c>
      <c r="S326" s="24">
        <v>0</v>
      </c>
      <c r="T326" s="24">
        <v>0</v>
      </c>
      <c r="U326" s="24">
        <v>0</v>
      </c>
      <c r="V326" s="24">
        <v>1</v>
      </c>
    </row>
    <row r="327" spans="1:22" ht="21" customHeight="1" x14ac:dyDescent="0.15">
      <c r="A327" s="2" t="str">
        <f ca="1">input_498100!A$2</f>
        <v>498100</v>
      </c>
      <c r="B327" s="2">
        <v>1152</v>
      </c>
      <c r="C327" s="7" t="str">
        <f t="shared" si="34"/>
        <v>Premium5R3less</v>
      </c>
      <c r="D327" s="7" t="str">
        <f t="shared" si="33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38">
        <f ca="1">IFERROR(VLOOKUP(B327,input_498100!L:R,7,FALSE),VLOOKUP(tables_498100!C327,input_498100!A:H,8,FALSE))</f>
        <v>68116.666670000006</v>
      </c>
      <c r="P327" s="39">
        <f t="shared" ca="1" si="35"/>
        <v>5.9397163123867634E-4</v>
      </c>
      <c r="Q327" s="24">
        <v>1</v>
      </c>
      <c r="R327" s="24">
        <v>0</v>
      </c>
      <c r="S327" s="24">
        <v>0</v>
      </c>
      <c r="T327" s="24">
        <v>0</v>
      </c>
      <c r="U327" s="24">
        <v>0</v>
      </c>
      <c r="V327" s="24">
        <v>1</v>
      </c>
    </row>
    <row r="328" spans="1:22" ht="21" customHeight="1" x14ac:dyDescent="0.15">
      <c r="A328" s="2" t="str">
        <f ca="1">input_498100!A$2</f>
        <v>498100</v>
      </c>
      <c r="B328" s="2">
        <v>1153</v>
      </c>
      <c r="C328" s="7" t="str">
        <f t="shared" si="34"/>
        <v>PremiumSS5R5only</v>
      </c>
      <c r="D328" s="7" t="str">
        <f t="shared" si="33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38">
        <f ca="1">IFERROR(VLOOKUP(B328,input_498100!L:R,7,FALSE),VLOOKUP(tables_498100!C328,input_498100!A:H,8,FALSE))</f>
        <v>123189.47368</v>
      </c>
      <c r="P328" s="39">
        <f t="shared" ca="1" si="35"/>
        <v>1.0742018981584962E-3</v>
      </c>
      <c r="Q328" s="24">
        <v>1</v>
      </c>
      <c r="R328" s="24">
        <v>0</v>
      </c>
      <c r="S328" s="24">
        <v>0</v>
      </c>
      <c r="T328" s="24">
        <v>0</v>
      </c>
      <c r="U328" s="24">
        <v>0</v>
      </c>
      <c r="V328" s="24">
        <v>1</v>
      </c>
    </row>
    <row r="329" spans="1:22" ht="21" customHeight="1" x14ac:dyDescent="0.15">
      <c r="A329" s="2" t="str">
        <f ca="1">input_498100!A$2</f>
        <v>498100</v>
      </c>
      <c r="B329" s="2">
        <v>1155</v>
      </c>
      <c r="C329" s="7" t="str">
        <f t="shared" si="34"/>
        <v>PremiumSS5R5only</v>
      </c>
      <c r="D329" s="7" t="str">
        <f t="shared" si="33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38">
        <f ca="1">IFERROR(VLOOKUP(B329,input_498100!L:R,7,FALSE),VLOOKUP(tables_498100!C329,input_498100!A:H,8,FALSE))</f>
        <v>123189.47368</v>
      </c>
      <c r="P329" s="39">
        <f t="shared" ca="1" si="35"/>
        <v>1.0742018981584962E-3</v>
      </c>
      <c r="Q329" s="24">
        <v>1</v>
      </c>
      <c r="R329" s="24">
        <v>0</v>
      </c>
      <c r="S329" s="24">
        <v>0</v>
      </c>
      <c r="T329" s="24">
        <v>0</v>
      </c>
      <c r="U329" s="24">
        <v>0</v>
      </c>
      <c r="V329" s="24">
        <v>1</v>
      </c>
    </row>
    <row r="330" spans="1:22" ht="21" customHeight="1" x14ac:dyDescent="0.15">
      <c r="A330" s="2" t="str">
        <f ca="1">input_498100!A$2</f>
        <v>498100</v>
      </c>
      <c r="B330" s="2">
        <v>1157</v>
      </c>
      <c r="C330" s="7" t="str">
        <f t="shared" si="34"/>
        <v>PremiumSS5R5only</v>
      </c>
      <c r="D330" s="89" t="str">
        <f t="shared" si="33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38">
        <f ca="1">IFERROR(VLOOKUP(B330,input_498100!L:R,7,FALSE),VLOOKUP(tables_498100!C330,input_498100!A:H,8,FALSE))</f>
        <v>123189.47368</v>
      </c>
      <c r="P330" s="39">
        <f t="shared" ca="1" si="35"/>
        <v>1.0742018981584962E-3</v>
      </c>
      <c r="Q330" s="24">
        <v>1</v>
      </c>
      <c r="R330" s="24">
        <v>0</v>
      </c>
      <c r="S330" s="24">
        <v>0</v>
      </c>
      <c r="T330" s="24">
        <v>0</v>
      </c>
      <c r="U330" s="24">
        <v>0</v>
      </c>
      <c r="V330" s="24">
        <v>1</v>
      </c>
    </row>
    <row r="331" spans="1:22" ht="21" customHeight="1" x14ac:dyDescent="0.15">
      <c r="A331" s="2" t="str">
        <f ca="1">input_498100!A$2</f>
        <v>498100</v>
      </c>
      <c r="B331" s="53">
        <v>1214</v>
      </c>
      <c r="C331" s="7" t="str">
        <f t="shared" ref="C331:C335" si="36">D331&amp;J331&amp;E331&amp;F331&amp;G331</f>
        <v>PremiumSS5R5only</v>
      </c>
      <c r="D331" s="89" t="str">
        <f t="shared" ref="D331:D335" si="37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38">
        <f ca="1">IFERROR(VLOOKUP(B331,input_498100!L:R,7,FALSE),VLOOKUP(tables_498100!C331,input_498100!A:H,8,FALSE))</f>
        <v>123189.47368</v>
      </c>
      <c r="P331" s="39">
        <f t="shared" ref="P331:P335" ca="1" si="38">O331/SUM(O:O)</f>
        <v>1.0742018981584962E-3</v>
      </c>
      <c r="Q331" s="24">
        <v>1</v>
      </c>
      <c r="R331" s="24">
        <v>0</v>
      </c>
      <c r="S331" s="24">
        <v>0</v>
      </c>
      <c r="T331" s="24">
        <v>0</v>
      </c>
      <c r="U331" s="24">
        <v>0</v>
      </c>
      <c r="V331" s="24">
        <v>1</v>
      </c>
    </row>
    <row r="332" spans="1:22" ht="21" customHeight="1" x14ac:dyDescent="0.15">
      <c r="A332" s="2" t="str">
        <f ca="1">input_498100!A$2</f>
        <v>498100</v>
      </c>
      <c r="B332" s="53">
        <v>1212</v>
      </c>
      <c r="C332" s="7" t="str">
        <f t="shared" si="36"/>
        <v>PremiumSS5R5only</v>
      </c>
      <c r="D332" s="89" t="str">
        <f t="shared" si="3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38">
        <f ca="1">IFERROR(VLOOKUP(B332,input_498100!L:R,7,FALSE),VLOOKUP(tables_498100!C332,input_498100!A:H,8,FALSE))</f>
        <v>123189.47368</v>
      </c>
      <c r="P332" s="39">
        <f t="shared" ca="1" si="38"/>
        <v>1.0742018981584962E-3</v>
      </c>
      <c r="Q332" s="24">
        <v>1</v>
      </c>
      <c r="R332" s="24">
        <v>0</v>
      </c>
      <c r="S332" s="24">
        <v>0</v>
      </c>
      <c r="T332" s="24">
        <v>0</v>
      </c>
      <c r="U332" s="24">
        <v>0</v>
      </c>
      <c r="V332" s="24">
        <v>1</v>
      </c>
    </row>
    <row r="333" spans="1:22" ht="21" customHeight="1" x14ac:dyDescent="0.15">
      <c r="A333" s="2" t="str">
        <f ca="1">input_498100!A$2</f>
        <v>498100</v>
      </c>
      <c r="B333" s="53">
        <v>1208</v>
      </c>
      <c r="C333" s="7" t="str">
        <f t="shared" si="36"/>
        <v>PremiumSS5R5only</v>
      </c>
      <c r="D333" s="89" t="str">
        <f t="shared" si="3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38">
        <f ca="1">IFERROR(VLOOKUP(B333,input_498100!L:R,7,FALSE),VLOOKUP(tables_498100!C333,input_498100!A:H,8,FALSE))</f>
        <v>123189.47368</v>
      </c>
      <c r="P333" s="39">
        <f t="shared" ca="1" si="38"/>
        <v>1.0742018981584962E-3</v>
      </c>
      <c r="Q333" s="24">
        <v>1</v>
      </c>
      <c r="R333" s="24">
        <v>0</v>
      </c>
      <c r="S333" s="24">
        <v>0</v>
      </c>
      <c r="T333" s="24">
        <v>0</v>
      </c>
      <c r="U333" s="24">
        <v>0</v>
      </c>
      <c r="V333" s="24">
        <v>1</v>
      </c>
    </row>
    <row r="334" spans="1:22" ht="21" customHeight="1" x14ac:dyDescent="0.15">
      <c r="A334" s="2" t="str">
        <f ca="1">input_498100!A$2</f>
        <v>498100</v>
      </c>
      <c r="B334" s="84">
        <v>1210</v>
      </c>
      <c r="C334" s="7" t="str">
        <f t="shared" si="36"/>
        <v>Premium4R3less</v>
      </c>
      <c r="D334" s="89" t="str">
        <f t="shared" si="3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38">
        <f ca="1">IFERROR(VLOOKUP(B334,input_498100!L:R,7,FALSE),VLOOKUP(tables_498100!C334,input_498100!A:H,8,FALSE))</f>
        <v>1068177.7777799999</v>
      </c>
      <c r="P334" s="39">
        <f t="shared" ca="1" si="38"/>
        <v>9.314420803863608E-3</v>
      </c>
      <c r="Q334" s="24">
        <v>1</v>
      </c>
      <c r="R334" s="24">
        <v>0</v>
      </c>
      <c r="S334" s="24">
        <v>0</v>
      </c>
      <c r="T334" s="24">
        <v>0</v>
      </c>
      <c r="U334" s="24">
        <v>0</v>
      </c>
      <c r="V334" s="24">
        <v>1</v>
      </c>
    </row>
    <row r="335" spans="1:22" ht="21" customHeight="1" x14ac:dyDescent="0.15">
      <c r="A335" s="2" t="str">
        <f ca="1">input_498100!A$2</f>
        <v>498100</v>
      </c>
      <c r="B335" s="53">
        <v>1211</v>
      </c>
      <c r="C335" s="7" t="str">
        <f t="shared" si="36"/>
        <v>Premium5R3less</v>
      </c>
      <c r="D335" s="89" t="str">
        <f t="shared" si="3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38">
        <f ca="1">IFERROR(VLOOKUP(B335,input_498100!L:R,7,FALSE),VLOOKUP(tables_498100!C335,input_498100!A:H,8,FALSE))</f>
        <v>68116.666670000006</v>
      </c>
      <c r="P335" s="39">
        <f t="shared" ca="1" si="38"/>
        <v>5.9397163123867634E-4</v>
      </c>
      <c r="Q335" s="24">
        <v>1</v>
      </c>
      <c r="R335" s="24">
        <v>0</v>
      </c>
      <c r="S335" s="24">
        <v>0</v>
      </c>
      <c r="T335" s="24">
        <v>0</v>
      </c>
      <c r="U335" s="24">
        <v>0</v>
      </c>
      <c r="V335" s="24">
        <v>1</v>
      </c>
    </row>
    <row r="336" spans="1:22" ht="21" customHeight="1" x14ac:dyDescent="0.15">
      <c r="A336" s="2" t="str">
        <f ca="1">input_498100!A$2</f>
        <v>498100</v>
      </c>
      <c r="B336" s="53">
        <v>1228</v>
      </c>
      <c r="C336" s="7" t="str">
        <f t="shared" ref="C336:C340" si="39">D336&amp;J336&amp;E336&amp;F336&amp;G336</f>
        <v>PremiumSS5R5only</v>
      </c>
      <c r="D336" s="89" t="str">
        <f t="shared" ref="D336:D340" si="40">IF(OR(I336="PremiumSS",I336="PremiumSSw"),"PremiumSS",IF(I336="PremiumSSS",I336,IF(I336="PremiumW",IF(J336=5,"premium",I336),"Premium")))</f>
        <v>PremiumSS</v>
      </c>
      <c r="E336" s="7" t="str">
        <f>IF(COUNTIF('R6追加前'!A:A,B336)=0,IF(OR(I336="PremiumSS",I336="PremiumSSw"),"R5only","R3less"),"")</f>
        <v>R5only</v>
      </c>
      <c r="F336" s="7" t="str">
        <f>IF(COUNTIF('R6開放'!A:A,B336)&gt;0,"R6release","")</f>
        <v/>
      </c>
      <c r="G336" s="7"/>
      <c r="H336" s="7" t="str">
        <f>VLOOKUP(B336,[1]characters!$A:$C,3,FALSE)</f>
        <v>芥川龍之介</v>
      </c>
      <c r="I336" s="7" t="str">
        <f>VLOOKUP(B336,[1]characters!$A:$J,10,FALSE)</f>
        <v>PremiumSSw</v>
      </c>
      <c r="J336" s="7">
        <f>VLOOKUP(B336,[1]characters!$A:$I,9,FALSE)</f>
        <v>5</v>
      </c>
      <c r="K336" s="7" t="str">
        <f>VLOOKUP(B336,[1]characters!$A:$H,8,FALSE)</f>
        <v>blue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38">
        <f ca="1">IFERROR(VLOOKUP(B336,input_498100!L:R,7,FALSE),VLOOKUP(tables_498100!C336,input_498100!A:H,8,FALSE))</f>
        <v>123189.47368</v>
      </c>
      <c r="P336" s="39">
        <f t="shared" ref="P336:P340" ca="1" si="41">O336/SUM(O:O)</f>
        <v>1.0742018981584962E-3</v>
      </c>
      <c r="Q336" s="24">
        <v>1</v>
      </c>
      <c r="R336" s="24">
        <v>0</v>
      </c>
      <c r="S336" s="24">
        <v>0</v>
      </c>
      <c r="T336" s="24">
        <v>0</v>
      </c>
      <c r="U336" s="24">
        <v>0</v>
      </c>
      <c r="V336" s="24">
        <v>1</v>
      </c>
    </row>
    <row r="337" spans="1:22" ht="21" customHeight="1" x14ac:dyDescent="0.15">
      <c r="A337" s="2" t="str">
        <f ca="1">input_498100!A$2</f>
        <v>498100</v>
      </c>
      <c r="B337" s="53">
        <v>1226</v>
      </c>
      <c r="C337" s="7" t="str">
        <f t="shared" si="39"/>
        <v>PremiumSS5R5only</v>
      </c>
      <c r="D337" s="89" t="str">
        <f t="shared" si="40"/>
        <v>PremiumSS</v>
      </c>
      <c r="E337" s="7" t="str">
        <f>IF(COUNTIF('R6追加前'!A:A,B337)=0,IF(OR(I337="PremiumSS",I337="PremiumSSw"),"R5only","R3less"),"")</f>
        <v>R5only</v>
      </c>
      <c r="F337" s="7" t="str">
        <f>IF(COUNTIF('R6開放'!A:A,B337)&gt;0,"R6release","")</f>
        <v/>
      </c>
      <c r="G337" s="7"/>
      <c r="H337" s="7" t="str">
        <f>VLOOKUP(B337,[1]characters!$A:$C,3,FALSE)</f>
        <v>トルストイ</v>
      </c>
      <c r="I337" s="7" t="str">
        <f>VLOOKUP(B337,[1]characters!$A:$J,10,FALSE)</f>
        <v>PremiumSS</v>
      </c>
      <c r="J337" s="7">
        <f>VLOOKUP(B337,[1]characters!$A:$I,9,FALSE)</f>
        <v>5</v>
      </c>
      <c r="K337" s="7" t="str">
        <f>VLOOKUP(B337,[1]characters!$A:$H,8,FALSE)</f>
        <v>green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38">
        <f ca="1">IFERROR(VLOOKUP(B337,input_498100!L:R,7,FALSE),VLOOKUP(tables_498100!C337,input_498100!A:H,8,FALSE))</f>
        <v>123189.47368</v>
      </c>
      <c r="P337" s="39">
        <f t="shared" ca="1" si="41"/>
        <v>1.0742018981584962E-3</v>
      </c>
      <c r="Q337" s="24">
        <v>1</v>
      </c>
      <c r="R337" s="24">
        <v>0</v>
      </c>
      <c r="S337" s="24">
        <v>0</v>
      </c>
      <c r="T337" s="24">
        <v>0</v>
      </c>
      <c r="U337" s="24">
        <v>0</v>
      </c>
      <c r="V337" s="24">
        <v>1</v>
      </c>
    </row>
    <row r="338" spans="1:22" ht="21" customHeight="1" x14ac:dyDescent="0.15">
      <c r="A338" s="2" t="str">
        <f ca="1">input_498100!A$2</f>
        <v>498100</v>
      </c>
      <c r="B338" s="53">
        <v>1230</v>
      </c>
      <c r="C338" s="7" t="str">
        <f t="shared" si="39"/>
        <v>PremiumSS5R5only</v>
      </c>
      <c r="D338" s="89" t="str">
        <f t="shared" si="40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夏目漱石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yellow</v>
      </c>
      <c r="L338" s="7" t="str">
        <f>VLOOKUP(B338,[1]characters!$A:$K,11,FALSE)</f>
        <v>heal</v>
      </c>
      <c r="M338" s="7" t="str">
        <f>VLOOKUP(B338,[1]characters!$A:$M,13,FALSE)</f>
        <v>animal</v>
      </c>
      <c r="N338" s="7">
        <f>VLOOKUP(B338,[1]characters!$A:$G,7,FALSE)</f>
        <v>0</v>
      </c>
      <c r="O338" s="38">
        <f ca="1">IFERROR(VLOOKUP(B338,input_498100!L:R,7,FALSE),VLOOKUP(tables_498100!C338,input_498100!A:H,8,FALSE))</f>
        <v>123189.47368</v>
      </c>
      <c r="P338" s="39">
        <f t="shared" ca="1" si="41"/>
        <v>1.0742018981584962E-3</v>
      </c>
      <c r="Q338" s="24">
        <v>1</v>
      </c>
      <c r="R338" s="24">
        <v>0</v>
      </c>
      <c r="S338" s="24">
        <v>0</v>
      </c>
      <c r="T338" s="24">
        <v>0</v>
      </c>
      <c r="U338" s="24">
        <v>0</v>
      </c>
      <c r="V338" s="24">
        <v>1</v>
      </c>
    </row>
    <row r="339" spans="1:22" ht="21" customHeight="1" x14ac:dyDescent="0.15">
      <c r="A339" s="2" t="str">
        <f ca="1">input_498100!A$2</f>
        <v>498100</v>
      </c>
      <c r="B339" s="84">
        <v>1224</v>
      </c>
      <c r="C339" s="7" t="str">
        <f t="shared" si="39"/>
        <v>Premium4R3less</v>
      </c>
      <c r="D339" s="89" t="str">
        <f t="shared" si="40"/>
        <v>Premium</v>
      </c>
      <c r="E339" s="7" t="str">
        <f>IF(COUNTIF('R6追加前'!A:A,B339)=0,IF(OR(I339="PremiumSS",I339="PremiumSSw"),"R5only","R3less"),"")</f>
        <v>R3less</v>
      </c>
      <c r="F339" s="7" t="str">
        <f>IF(COUNTIF('R6開放'!A:A,B339)&gt;0,"R6release","")</f>
        <v/>
      </c>
      <c r="G339" s="7"/>
      <c r="H339" s="7" t="str">
        <f>VLOOKUP(B339,[1]characters!$A:$C,3,FALSE)</f>
        <v>セルバンテス</v>
      </c>
      <c r="I339" s="7" t="str">
        <f>VLOOKUP(B339,[1]characters!$A:$J,10,FALSE)</f>
        <v>PremiumS</v>
      </c>
      <c r="J339" s="7">
        <f>VLOOKUP(B339,[1]characters!$A:$I,9,FALSE)</f>
        <v>4</v>
      </c>
      <c r="K339" s="7" t="str">
        <f>VLOOKUP(B339,[1]characters!$A:$H,8,FALSE)</f>
        <v>red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38">
        <f ca="1">IFERROR(VLOOKUP(B339,input_498100!L:R,7,FALSE),VLOOKUP(tables_498100!C339,input_498100!A:H,8,FALSE))</f>
        <v>1068177.7777799999</v>
      </c>
      <c r="P339" s="39">
        <f t="shared" ca="1" si="41"/>
        <v>9.314420803863608E-3</v>
      </c>
      <c r="Q339" s="24">
        <v>1</v>
      </c>
      <c r="R339" s="24">
        <v>0</v>
      </c>
      <c r="S339" s="24">
        <v>0</v>
      </c>
      <c r="T339" s="24">
        <v>0</v>
      </c>
      <c r="U339" s="24">
        <v>0</v>
      </c>
      <c r="V339" s="24">
        <v>1</v>
      </c>
    </row>
    <row r="340" spans="1:22" ht="21" customHeight="1" x14ac:dyDescent="0.15">
      <c r="A340" s="2" t="str">
        <f ca="1">input_498100!A$2</f>
        <v>498100</v>
      </c>
      <c r="B340" s="53">
        <v>1225</v>
      </c>
      <c r="C340" s="7" t="str">
        <f t="shared" si="39"/>
        <v>Premium5R3less</v>
      </c>
      <c r="D340" s="89" t="str">
        <f t="shared" si="40"/>
        <v>Premium</v>
      </c>
      <c r="E340" s="7" t="str">
        <f>IF(COUNTIF('R6追加前'!A:A,B340)=0,IF(OR(I340="PremiumSS",I340="PremiumSSw"),"R5only","R3less"),"")</f>
        <v>R3less</v>
      </c>
      <c r="F340" s="7" t="str">
        <f>IF(COUNTIF('R6開放'!A:A,B340)&gt;0,"R6release","")</f>
        <v/>
      </c>
      <c r="G340" s="7"/>
      <c r="H340" s="7" t="str">
        <f>VLOOKUP(B340,[1]characters!$A:$C,3,FALSE)</f>
        <v>優柔なる風断者 セルバンテス</v>
      </c>
      <c r="I340" s="7" t="str">
        <f>VLOOKUP(B340,[1]characters!$A:$J,10,FALSE)</f>
        <v>PremiumS</v>
      </c>
      <c r="J340" s="7">
        <f>VLOOKUP(B340,[1]characters!$A:$I,9,FALSE)</f>
        <v>5</v>
      </c>
      <c r="K340" s="7" t="str">
        <f>VLOOKUP(B340,[1]characters!$A:$H,8,FALSE)</f>
        <v>red</v>
      </c>
      <c r="L340" s="7" t="str">
        <f>VLOOKUP(B340,[1]characters!$A:$K,11,FALSE)</f>
        <v>attack</v>
      </c>
      <c r="M340" s="7" t="str">
        <f>VLOOKUP(B340,[1]characters!$A:$M,13,FALSE)</f>
        <v>human</v>
      </c>
      <c r="N340" s="7">
        <f>VLOOKUP(B340,[1]characters!$A:$G,7,FALSE)</f>
        <v>0</v>
      </c>
      <c r="O340" s="38">
        <f ca="1">IFERROR(VLOOKUP(B340,input_498100!L:R,7,FALSE),VLOOKUP(tables_498100!C340,input_498100!A:H,8,FALSE))</f>
        <v>68116.666670000006</v>
      </c>
      <c r="P340" s="39">
        <f t="shared" ca="1" si="41"/>
        <v>5.9397163123867634E-4</v>
      </c>
      <c r="Q340" s="24">
        <v>1</v>
      </c>
      <c r="R340" s="24">
        <v>0</v>
      </c>
      <c r="S340" s="24">
        <v>0</v>
      </c>
      <c r="T340" s="24">
        <v>0</v>
      </c>
      <c r="U340" s="24">
        <v>0</v>
      </c>
      <c r="V340" s="24">
        <v>1</v>
      </c>
    </row>
    <row r="341" spans="1:22" ht="21" customHeight="1" x14ac:dyDescent="0.15">
      <c r="A341" s="2" t="str">
        <f ca="1">input_498100!A$2</f>
        <v>498100</v>
      </c>
      <c r="B341" s="1">
        <v>1250</v>
      </c>
      <c r="C341" s="7" t="str">
        <f t="shared" ref="C341:C345" si="42">D341&amp;J341&amp;E341&amp;F341&amp;G341</f>
        <v>PremiumSS5R5only</v>
      </c>
      <c r="D341" s="89" t="str">
        <f t="shared" ref="D341:D345" si="43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真田幸村</v>
      </c>
      <c r="I341" s="7" t="str">
        <f>VLOOKUP(B341,[1]characters!$A:$J,10,FALSE)</f>
        <v>PremiumSSw</v>
      </c>
      <c r="J341" s="7">
        <f>VLOOKUP(B341,[1]characters!$A:$I,9,FALSE)</f>
        <v>5</v>
      </c>
      <c r="K341" s="7" t="str">
        <f>VLOOKUP(B341,[1]characters!$A:$H,8,FALSE)</f>
        <v>yellow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38">
        <f ca="1">IFERROR(VLOOKUP(B341,input_498100!L:R,7,FALSE),VLOOKUP(tables_498100!C341,input_498100!A:H,8,FALSE))</f>
        <v>123189.47368</v>
      </c>
      <c r="P341" s="39">
        <f t="shared" ref="P341:P345" ca="1" si="44">O341/SUM(O:O)</f>
        <v>1.0742018981584962E-3</v>
      </c>
      <c r="Q341" s="24">
        <v>1</v>
      </c>
      <c r="R341" s="24">
        <v>0</v>
      </c>
      <c r="S341" s="24">
        <v>0</v>
      </c>
      <c r="T341" s="24">
        <v>0</v>
      </c>
      <c r="U341" s="24">
        <v>0</v>
      </c>
      <c r="V341" s="24">
        <v>1</v>
      </c>
    </row>
    <row r="342" spans="1:22" ht="21" customHeight="1" x14ac:dyDescent="0.15">
      <c r="A342" s="2" t="str">
        <f ca="1">input_498100!A$2</f>
        <v>498100</v>
      </c>
      <c r="B342" s="1">
        <v>1244</v>
      </c>
      <c r="C342" s="7" t="str">
        <f t="shared" si="42"/>
        <v>PremiumSS5R5only</v>
      </c>
      <c r="D342" s="89" t="str">
        <f t="shared" si="43"/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/>
      <c r="H342" s="7" t="str">
        <f>VLOOKUP(B342,[1]characters!$A:$C,3,FALSE)</f>
        <v>猿飛佐助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red</v>
      </c>
      <c r="L342" s="7" t="str">
        <f>VLOOKUP(B342,[1]characters!$A:$K,11,FALSE)</f>
        <v>attack</v>
      </c>
      <c r="M342" s="7" t="str">
        <f>VLOOKUP(B342,[1]characters!$A:$M,13,FALSE)</f>
        <v>human</v>
      </c>
      <c r="N342" s="7">
        <f>VLOOKUP(B342,[1]characters!$A:$G,7,FALSE)</f>
        <v>0</v>
      </c>
      <c r="O342" s="38">
        <f ca="1">IFERROR(VLOOKUP(B342,input_498100!L:R,7,FALSE),VLOOKUP(tables_498100!C342,input_498100!A:H,8,FALSE))</f>
        <v>123189.47368</v>
      </c>
      <c r="P342" s="39">
        <f t="shared" ca="1" si="44"/>
        <v>1.0742018981584962E-3</v>
      </c>
      <c r="Q342" s="24">
        <v>1</v>
      </c>
      <c r="R342" s="24">
        <v>0</v>
      </c>
      <c r="S342" s="24">
        <v>0</v>
      </c>
      <c r="T342" s="24">
        <v>0</v>
      </c>
      <c r="U342" s="24">
        <v>0</v>
      </c>
      <c r="V342" s="24">
        <v>1</v>
      </c>
    </row>
    <row r="343" spans="1:22" ht="21" customHeight="1" x14ac:dyDescent="0.15">
      <c r="A343" s="2" t="str">
        <f ca="1">input_498100!A$2</f>
        <v>498100</v>
      </c>
      <c r="B343" s="1">
        <v>1246</v>
      </c>
      <c r="C343" s="7" t="str">
        <f t="shared" si="42"/>
        <v>PremiumSS5R5only</v>
      </c>
      <c r="D343" s="89" t="str">
        <f t="shared" si="43"/>
        <v>PremiumSS</v>
      </c>
      <c r="E343" s="7" t="str">
        <f>IF(COUNTIF('R6追加前'!A:A,B343)=0,IF(OR(I343="PremiumSS",I343="PremiumSSw"),"R5only","R3less"),"")</f>
        <v>R5only</v>
      </c>
      <c r="F343" s="7" t="str">
        <f>IF(COUNTIF('R6開放'!A:A,B343)&gt;0,"R6release","")</f>
        <v/>
      </c>
      <c r="G343" s="7"/>
      <c r="H343" s="7" t="str">
        <f>VLOOKUP(B343,[1]characters!$A:$C,3,FALSE)</f>
        <v>望月千代女</v>
      </c>
      <c r="I343" s="7" t="str">
        <f>VLOOKUP(B343,[1]characters!$A:$J,10,FALSE)</f>
        <v>PremiumSS</v>
      </c>
      <c r="J343" s="7">
        <f>VLOOKUP(B343,[1]characters!$A:$I,9,FALSE)</f>
        <v>5</v>
      </c>
      <c r="K343" s="7" t="str">
        <f>VLOOKUP(B343,[1]characters!$A:$H,8,FALSE)</f>
        <v>green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38">
        <f ca="1">IFERROR(VLOOKUP(B343,input_498100!L:R,7,FALSE),VLOOKUP(tables_498100!C343,input_498100!A:H,8,FALSE))</f>
        <v>123189.47368</v>
      </c>
      <c r="P343" s="39">
        <f t="shared" ca="1" si="44"/>
        <v>1.0742018981584962E-3</v>
      </c>
      <c r="Q343" s="24">
        <v>1</v>
      </c>
      <c r="R343" s="24">
        <v>0</v>
      </c>
      <c r="S343" s="24">
        <v>0</v>
      </c>
      <c r="T343" s="24">
        <v>0</v>
      </c>
      <c r="U343" s="24">
        <v>0</v>
      </c>
      <c r="V343" s="24">
        <v>1</v>
      </c>
    </row>
    <row r="344" spans="1:22" ht="21" customHeight="1" x14ac:dyDescent="0.15">
      <c r="A344" s="2" t="str">
        <f ca="1">input_498100!A$2</f>
        <v>498100</v>
      </c>
      <c r="B344" s="1">
        <v>1248</v>
      </c>
      <c r="C344" s="7" t="str">
        <f t="shared" si="42"/>
        <v>Premium4R3less</v>
      </c>
      <c r="D344" s="89" t="str">
        <f t="shared" si="43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/>
      <c r="H344" s="7" t="str">
        <f>VLOOKUP(B344,[1]characters!$A:$C,3,FALSE)</f>
        <v>寧々</v>
      </c>
      <c r="I344" s="7" t="str">
        <f>VLOOKUP(B344,[1]characters!$A:$J,10,FALSE)</f>
        <v>PremiumS</v>
      </c>
      <c r="J344" s="7">
        <f>VLOOKUP(B344,[1]characters!$A:$I,9,FALSE)</f>
        <v>4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38">
        <f ca="1">IFERROR(VLOOKUP(B344,input_498100!L:R,7,FALSE),VLOOKUP(tables_498100!C344,input_498100!A:H,8,FALSE))</f>
        <v>1068177.7777799999</v>
      </c>
      <c r="P344" s="39">
        <f t="shared" ca="1" si="44"/>
        <v>9.314420803863608E-3</v>
      </c>
      <c r="Q344" s="24">
        <v>1</v>
      </c>
      <c r="R344" s="24">
        <v>0</v>
      </c>
      <c r="S344" s="24">
        <v>0</v>
      </c>
      <c r="T344" s="24">
        <v>0</v>
      </c>
      <c r="U344" s="24">
        <v>0</v>
      </c>
      <c r="V344" s="24">
        <v>1</v>
      </c>
    </row>
    <row r="345" spans="1:22" ht="21" customHeight="1" x14ac:dyDescent="0.15">
      <c r="A345" s="2" t="str">
        <f ca="1">input_498100!A$2</f>
        <v>498100</v>
      </c>
      <c r="B345" s="1">
        <v>1249</v>
      </c>
      <c r="C345" s="7" t="str">
        <f t="shared" si="42"/>
        <v>Premium5R3less</v>
      </c>
      <c r="D345" s="89" t="str">
        <f t="shared" si="43"/>
        <v>Premium</v>
      </c>
      <c r="E345" s="7" t="str">
        <f>IF(COUNTIF('R6追加前'!A:A,B345)=0,IF(OR(I345="PremiumSS",I345="PremiumSSw"),"R5only","R3less"),"")</f>
        <v>R3less</v>
      </c>
      <c r="F345" s="7" t="str">
        <f>IF(COUNTIF('R6開放'!A:A,B345)&gt;0,"R6release","")</f>
        <v/>
      </c>
      <c r="G345" s="7"/>
      <c r="H345" s="7" t="str">
        <f>VLOOKUP(B345,[1]characters!$A:$C,3,FALSE)</f>
        <v>君臨する姐御様 寧々</v>
      </c>
      <c r="I345" s="7" t="str">
        <f>VLOOKUP(B345,[1]characters!$A:$J,10,FALSE)</f>
        <v>PremiumS</v>
      </c>
      <c r="J345" s="7">
        <f>VLOOKUP(B345,[1]characters!$A:$I,9,FALSE)</f>
        <v>5</v>
      </c>
      <c r="K345" s="7" t="str">
        <f>VLOOKUP(B345,[1]characters!$A:$H,8,FALSE)</f>
        <v>blue</v>
      </c>
      <c r="L345" s="7" t="str">
        <f>VLOOKUP(B345,[1]characters!$A:$K,11,FALSE)</f>
        <v>heal</v>
      </c>
      <c r="M345" s="7" t="str">
        <f>VLOOKUP(B345,[1]characters!$A:$M,13,FALSE)</f>
        <v>human</v>
      </c>
      <c r="N345" s="7">
        <f>VLOOKUP(B345,[1]characters!$A:$G,7,FALSE)</f>
        <v>0</v>
      </c>
      <c r="O345" s="38">
        <f ca="1">IFERROR(VLOOKUP(B345,input_498100!L:R,7,FALSE),VLOOKUP(tables_498100!C345,input_498100!A:H,8,FALSE))</f>
        <v>68116.666670000006</v>
      </c>
      <c r="P345" s="39">
        <f t="shared" ca="1" si="44"/>
        <v>5.9397163123867634E-4</v>
      </c>
      <c r="Q345" s="24">
        <v>1</v>
      </c>
      <c r="R345" s="24">
        <v>0</v>
      </c>
      <c r="S345" s="24">
        <v>0</v>
      </c>
      <c r="T345" s="24">
        <v>0</v>
      </c>
      <c r="U345" s="24">
        <v>0</v>
      </c>
      <c r="V345" s="24">
        <v>1</v>
      </c>
    </row>
    <row r="346" spans="1:22" ht="21" customHeight="1" x14ac:dyDescent="0.15">
      <c r="A346" s="2" t="str">
        <f ca="1">input_498100!A$2</f>
        <v>498100</v>
      </c>
      <c r="B346" s="1">
        <v>953</v>
      </c>
      <c r="C346" s="7" t="str">
        <f t="shared" ref="C346:C351" si="45">D346&amp;J346&amp;E346&amp;F346&amp;G346</f>
        <v>PremiumSSS5R3less</v>
      </c>
      <c r="D346" s="89" t="str">
        <f t="shared" ref="D346:D351" si="46">IF(OR(I346="PremiumSS",I346="PremiumSSw"),"PremiumSS",IF(I346="PremiumSSS",I346,IF(I346="PremiumW",IF(J346=5,"premium",I346),"Premium")))</f>
        <v>PremiumSSS</v>
      </c>
      <c r="E346" s="7" t="str">
        <f>IF(COUNTIF('R6追加前'!A:A,B346)=0,IF(OR(I346="PremiumSS",I346="PremiumSSw"),"R5only","R3less"),"")</f>
        <v>R3less</v>
      </c>
      <c r="F346" s="7" t="str">
        <f>IF(COUNTIF('R6開放'!A:A,B346)&gt;0,"R6release","")</f>
        <v/>
      </c>
      <c r="G346" s="7"/>
      <c r="H346" s="7" t="str">
        <f>VLOOKUP(B346,[1]characters!$A:$C,3,FALSE)</f>
        <v>ハイゼンベルク</v>
      </c>
      <c r="I346" s="7" t="str">
        <f>VLOOKUP(B346,[1]characters!$A:$J,10,FALSE)</f>
        <v>PremiumSSS</v>
      </c>
      <c r="J346" s="7">
        <f>VLOOKUP(B346,[1]characters!$A:$I,9,FALSE)</f>
        <v>5</v>
      </c>
      <c r="K346" s="7" t="str">
        <f>VLOOKUP(B346,[1]characters!$A:$H,8,FALSE)</f>
        <v>green</v>
      </c>
      <c r="L346" s="7" t="str">
        <f>VLOOKUP(B346,[1]characters!$A:$K,11,FALSE)</f>
        <v>attack</v>
      </c>
      <c r="M346" s="7" t="str">
        <f>VLOOKUP(B346,[1]characters!$A:$M,13,FALSE)</f>
        <v>academia</v>
      </c>
      <c r="N346" s="7" t="str">
        <f>VLOOKUP(B346,[1]characters!$A:$G,7,FALSE)</f>
        <v>男性</v>
      </c>
      <c r="O346" s="38">
        <f>IFERROR(VLOOKUP(B346,input_498100!L:R,7,FALSE),VLOOKUP(tables_498100!C346,input_498100!A:H,8,FALSE))</f>
        <v>688080</v>
      </c>
      <c r="P346" s="39">
        <f t="shared" ref="P346:P351" ca="1" si="47">O346/SUM(O:O)</f>
        <v>6.0000000000397609E-3</v>
      </c>
      <c r="Q346" s="24">
        <v>1</v>
      </c>
      <c r="R346" s="24">
        <v>0</v>
      </c>
      <c r="S346" s="24">
        <v>0</v>
      </c>
      <c r="T346" s="24">
        <v>0</v>
      </c>
      <c r="U346" s="24">
        <v>0</v>
      </c>
      <c r="V346" s="24">
        <v>1</v>
      </c>
    </row>
    <row r="347" spans="1:22" ht="21" customHeight="1" x14ac:dyDescent="0.15">
      <c r="A347" s="2" t="str">
        <f ca="1">input_498100!A$2</f>
        <v>498100</v>
      </c>
      <c r="B347" s="1">
        <v>619</v>
      </c>
      <c r="C347" s="7" t="str">
        <f t="shared" si="45"/>
        <v>PremiumSSS4R3less</v>
      </c>
      <c r="D347" s="89" t="str">
        <f t="shared" si="46"/>
        <v>PremiumSSS</v>
      </c>
      <c r="E347" s="7" t="str">
        <f>IF(COUNTIF('R6追加前'!A:A,B347)=0,IF(OR(I347="PremiumSS",I347="PremiumSSw"),"R5only","R3less"),"")</f>
        <v>R3less</v>
      </c>
      <c r="F347" s="7" t="str">
        <f>IF(COUNTIF('R6開放'!A:A,B347)&gt;0,"R6release","")</f>
        <v/>
      </c>
      <c r="G347" s="7"/>
      <c r="H347" s="7" t="str">
        <f>VLOOKUP(B347,[1]characters!$A:$C,3,FALSE)</f>
        <v>メビウス</v>
      </c>
      <c r="I347" s="7" t="str">
        <f>VLOOKUP(B347,[1]characters!$A:$J,10,FALSE)</f>
        <v>PremiumSSS</v>
      </c>
      <c r="J347" s="7">
        <f>VLOOKUP(B347,[1]characters!$A:$I,9,FALSE)</f>
        <v>4</v>
      </c>
      <c r="K347" s="7" t="str">
        <f>VLOOKUP(B347,[1]characters!$A:$H,8,FALSE)</f>
        <v>blue</v>
      </c>
      <c r="L347" s="7" t="str">
        <f>VLOOKUP(B347,[1]characters!$A:$K,11,FALSE)</f>
        <v>balance</v>
      </c>
      <c r="M347" s="7" t="str">
        <f>VLOOKUP(B347,[1]characters!$A:$M,13,FALSE)</f>
        <v>human</v>
      </c>
      <c r="N347" s="7" t="str">
        <f>VLOOKUP(B347,[1]characters!$A:$G,7,FALSE)</f>
        <v>女性</v>
      </c>
      <c r="O347" s="38">
        <f>IFERROR(VLOOKUP(B347,input_498100!L:R,7,FALSE),VLOOKUP(tables_498100!C347,input_498100!A:H,8,FALSE))</f>
        <v>344040</v>
      </c>
      <c r="P347" s="39">
        <f t="shared" ca="1" si="47"/>
        <v>3.0000000000198804E-3</v>
      </c>
      <c r="Q347" s="24">
        <v>1</v>
      </c>
      <c r="R347" s="24">
        <v>0</v>
      </c>
      <c r="S347" s="24">
        <v>0</v>
      </c>
      <c r="T347" s="24">
        <v>0</v>
      </c>
      <c r="U347" s="24">
        <v>0</v>
      </c>
      <c r="V347" s="24">
        <v>1</v>
      </c>
    </row>
    <row r="348" spans="1:22" ht="21" customHeight="1" x14ac:dyDescent="0.15">
      <c r="A348" s="2" t="str">
        <f ca="1">input_498100!A$2</f>
        <v>498100</v>
      </c>
      <c r="B348" s="1">
        <v>620</v>
      </c>
      <c r="C348" s="7" t="str">
        <f t="shared" si="45"/>
        <v>PremiumSSS5R3less</v>
      </c>
      <c r="D348" s="89" t="str">
        <f t="shared" si="46"/>
        <v>PremiumSSS</v>
      </c>
      <c r="E348" s="7" t="str">
        <f>IF(COUNTIF('R6追加前'!A:A,B348)=0,IF(OR(I348="PremiumSS",I348="PremiumSSw"),"R5only","R3less"),"")</f>
        <v>R3less</v>
      </c>
      <c r="F348" s="7" t="str">
        <f>IF(COUNTIF('R6開放'!A:A,B348)&gt;0,"R6release","")</f>
        <v/>
      </c>
      <c r="G348" s="7"/>
      <c r="H348" s="7" t="str">
        <f>VLOOKUP(B348,[1]characters!$A:$C,3,FALSE)</f>
        <v>奇跡の調和 メビウス</v>
      </c>
      <c r="I348" s="7" t="str">
        <f>VLOOKUP(B348,[1]characters!$A:$J,10,FALSE)</f>
        <v>PremiumSSS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balance</v>
      </c>
      <c r="M348" s="7" t="str">
        <f>VLOOKUP(B348,[1]characters!$A:$M,13,FALSE)</f>
        <v>human</v>
      </c>
      <c r="N348" s="7" t="str">
        <f>VLOOKUP(B348,[1]characters!$A:$G,7,FALSE)</f>
        <v>女性</v>
      </c>
      <c r="O348" s="38">
        <f>IFERROR(VLOOKUP(B348,input_498100!L:R,7,FALSE),VLOOKUP(tables_498100!C348,input_498100!A:H,8,FALSE))</f>
        <v>344040</v>
      </c>
      <c r="P348" s="39">
        <f t="shared" ca="1" si="47"/>
        <v>3.0000000000198804E-3</v>
      </c>
      <c r="Q348" s="24">
        <v>1</v>
      </c>
      <c r="R348" s="24">
        <v>0</v>
      </c>
      <c r="S348" s="24">
        <v>0</v>
      </c>
      <c r="T348" s="24">
        <v>0</v>
      </c>
      <c r="U348" s="24">
        <v>0</v>
      </c>
      <c r="V348" s="24">
        <v>1</v>
      </c>
    </row>
    <row r="349" spans="1:22" ht="21" customHeight="1" x14ac:dyDescent="0.15">
      <c r="A349" s="2" t="str">
        <f ca="1">input_498100!A$2</f>
        <v>498100</v>
      </c>
      <c r="B349" s="1">
        <v>880</v>
      </c>
      <c r="C349" s="7" t="str">
        <f t="shared" si="45"/>
        <v>PremiumSSS5R3less</v>
      </c>
      <c r="D349" s="89" t="str">
        <f t="shared" si="46"/>
        <v>PremiumSSS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ハーシェル</v>
      </c>
      <c r="I349" s="7" t="str">
        <f>VLOOKUP(B349,[1]characters!$A:$J,10,FALSE)</f>
        <v>PremiumSSS</v>
      </c>
      <c r="J349" s="7">
        <f>VLOOKUP(B349,[1]characters!$A:$I,9,FALSE)</f>
        <v>5</v>
      </c>
      <c r="K349" s="7" t="str">
        <f>VLOOKUP(B349,[1]characters!$A:$H,8,FALSE)</f>
        <v>yellow</v>
      </c>
      <c r="L349" s="7" t="str">
        <f>VLOOKUP(B349,[1]characters!$A:$K,11,FALSE)</f>
        <v>heal</v>
      </c>
      <c r="M349" s="7" t="str">
        <f>VLOOKUP(B349,[1]characters!$A:$M,13,FALSE)</f>
        <v>academia</v>
      </c>
      <c r="N349" s="7" t="str">
        <f>VLOOKUP(B349,[1]characters!$A:$G,7,FALSE)</f>
        <v>男性</v>
      </c>
      <c r="O349" s="38">
        <f>IFERROR(VLOOKUP(B349,input_498100!L:R,7,FALSE),VLOOKUP(tables_498100!C349,input_498100!A:H,8,FALSE))</f>
        <v>688080</v>
      </c>
      <c r="P349" s="39">
        <f t="shared" ca="1" si="47"/>
        <v>6.0000000000397609E-3</v>
      </c>
      <c r="Q349" s="24">
        <v>1</v>
      </c>
      <c r="R349" s="24">
        <v>0</v>
      </c>
      <c r="S349" s="24">
        <v>0</v>
      </c>
      <c r="T349" s="24">
        <v>0</v>
      </c>
      <c r="U349" s="24">
        <v>0</v>
      </c>
      <c r="V349" s="24">
        <v>1</v>
      </c>
    </row>
    <row r="350" spans="1:22" ht="21" customHeight="1" x14ac:dyDescent="0.15">
      <c r="A350" s="2" t="str">
        <f ca="1">input_498100!A$2</f>
        <v>498100</v>
      </c>
      <c r="B350" s="1">
        <v>623</v>
      </c>
      <c r="C350" s="7" t="str">
        <f t="shared" si="45"/>
        <v>PremiumSSS5R3less</v>
      </c>
      <c r="D350" s="89" t="str">
        <f t="shared" si="46"/>
        <v>PremiumSSS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フェルマー</v>
      </c>
      <c r="I350" s="7" t="str">
        <f>VLOOKUP(B350,[1]characters!$A:$J,10,FALSE)</f>
        <v>PremiumSSS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attack</v>
      </c>
      <c r="M350" s="7" t="str">
        <f>VLOOKUP(B350,[1]characters!$A:$M,13,FALSE)</f>
        <v>academia</v>
      </c>
      <c r="N350" s="7" t="str">
        <f>VLOOKUP(B350,[1]characters!$A:$G,7,FALSE)</f>
        <v>女性</v>
      </c>
      <c r="O350" s="38">
        <f>IFERROR(VLOOKUP(B350,input_498100!L:R,7,FALSE),VLOOKUP(tables_498100!C350,input_498100!A:H,8,FALSE))</f>
        <v>688080</v>
      </c>
      <c r="P350" s="39">
        <f t="shared" ca="1" si="47"/>
        <v>6.0000000000397609E-3</v>
      </c>
      <c r="Q350" s="24">
        <v>1</v>
      </c>
      <c r="R350" s="24">
        <v>0</v>
      </c>
      <c r="S350" s="24">
        <v>0</v>
      </c>
      <c r="T350" s="24">
        <v>0</v>
      </c>
      <c r="U350" s="24">
        <v>0</v>
      </c>
      <c r="V350" s="24">
        <v>1</v>
      </c>
    </row>
    <row r="351" spans="1:22" ht="21" customHeight="1" x14ac:dyDescent="0.15">
      <c r="A351" s="2" t="str">
        <f ca="1">input_498100!A$2</f>
        <v>498100</v>
      </c>
      <c r="B351" s="53">
        <v>972</v>
      </c>
      <c r="C351" s="7" t="str">
        <f t="shared" si="45"/>
        <v>PremiumSSS5R3less</v>
      </c>
      <c r="D351" s="89" t="str">
        <f t="shared" si="46"/>
        <v>PremiumSSS</v>
      </c>
      <c r="E351" s="7" t="str">
        <f>IF(COUNTIF('R6追加前'!A:A,B351)=0,IF(OR(I351="PremiumSS",I351="PremiumSSw"),"R5only","R3less"),"")</f>
        <v>R3less</v>
      </c>
      <c r="F351" s="7" t="str">
        <f>IF(COUNTIF('R6開放'!A:A,B351)&gt;0,"R6release","")</f>
        <v/>
      </c>
      <c r="G351" s="7"/>
      <c r="H351" s="7" t="str">
        <f>VLOOKUP(B351,[1]characters!$A:$C,3,FALSE)</f>
        <v>コーシー</v>
      </c>
      <c r="I351" s="7" t="str">
        <f>VLOOKUP(B351,[1]characters!$A:$J,10,FALSE)</f>
        <v>PremiumSSS</v>
      </c>
      <c r="J351" s="7">
        <f>VLOOKUP(B351,[1]characters!$A:$I,9,FALSE)</f>
        <v>5</v>
      </c>
      <c r="K351" s="7" t="str">
        <f>VLOOKUP(B351,[1]characters!$A:$H,8,FALSE)</f>
        <v>red</v>
      </c>
      <c r="L351" s="7" t="str">
        <f>VLOOKUP(B351,[1]characters!$A:$K,11,FALSE)</f>
        <v>attack</v>
      </c>
      <c r="M351" s="7" t="str">
        <f>VLOOKUP(B351,[1]characters!$A:$M,13,FALSE)</f>
        <v>academia</v>
      </c>
      <c r="N351" s="7" t="str">
        <f>VLOOKUP(B351,[1]characters!$A:$G,7,FALSE)</f>
        <v>男性</v>
      </c>
      <c r="O351" s="38">
        <f>IFERROR(VLOOKUP(B351,input_498100!L:R,7,FALSE),VLOOKUP(tables_498100!C351,input_498100!A:H,8,FALSE))</f>
        <v>688080</v>
      </c>
      <c r="P351" s="39">
        <f t="shared" ca="1" si="47"/>
        <v>6.0000000000397609E-3</v>
      </c>
      <c r="Q351" s="24">
        <v>1</v>
      </c>
      <c r="R351" s="24">
        <v>0</v>
      </c>
      <c r="S351" s="24">
        <v>0</v>
      </c>
      <c r="T351" s="24">
        <v>0</v>
      </c>
      <c r="U351" s="24">
        <v>0</v>
      </c>
      <c r="V351" s="24">
        <v>1</v>
      </c>
    </row>
  </sheetData>
  <autoFilter ref="A1:V294"/>
  <phoneticPr fontId="16"/>
  <pageMargins left="0.75" right="0.75" top="1" bottom="1" header="0.3" footer="0.3"/>
  <pageSetup paperSize="9" orientation="portrait" horizontalDpi="4294967292" verticalDpi="4294967292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 enableFormatConditionsCalculation="0">
    <tabColor rgb="FF0000FF"/>
    <outlinePr summaryBelow="0" summaryRight="0"/>
  </sheetPr>
  <dimension ref="A1:V135"/>
  <sheetViews>
    <sheetView showGridLines="0" zoomScale="75" zoomScaleNormal="75" zoomScalePageLayoutView="75" workbookViewId="0">
      <pane ySplit="1" topLeftCell="A2" activePane="bottomLeft" state="frozen"/>
      <selection activeCell="D34" sqref="D34"/>
      <selection pane="bottomLeft" activeCell="B6" sqref="B6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68</v>
      </c>
      <c r="B1" s="15" t="s">
        <v>1</v>
      </c>
      <c r="C1" s="3" t="s">
        <v>19</v>
      </c>
      <c r="D1" s="3" t="s">
        <v>77</v>
      </c>
      <c r="E1" s="3" t="s">
        <v>170</v>
      </c>
      <c r="F1" s="3" t="s">
        <v>171</v>
      </c>
      <c r="G1" s="3" t="s">
        <v>84</v>
      </c>
      <c r="H1" s="3" t="s">
        <v>21</v>
      </c>
      <c r="I1" s="3" t="s">
        <v>22</v>
      </c>
      <c r="J1" s="3" t="s">
        <v>23</v>
      </c>
      <c r="K1" s="3" t="s">
        <v>36</v>
      </c>
      <c r="L1" s="3" t="s">
        <v>24</v>
      </c>
      <c r="M1" s="3" t="s">
        <v>25</v>
      </c>
      <c r="N1" s="3" t="s">
        <v>42</v>
      </c>
      <c r="O1" s="15" t="s">
        <v>2</v>
      </c>
      <c r="P1" s="3" t="s">
        <v>47</v>
      </c>
      <c r="Q1" s="15" t="s">
        <v>26</v>
      </c>
      <c r="R1" s="23" t="s">
        <v>5</v>
      </c>
      <c r="S1" s="23" t="s">
        <v>6</v>
      </c>
      <c r="T1" s="23" t="s">
        <v>7</v>
      </c>
      <c r="U1" s="23" t="s">
        <v>8</v>
      </c>
      <c r="V1" s="23" t="s">
        <v>9</v>
      </c>
    </row>
    <row r="2" spans="1:22" ht="21" customHeight="1" x14ac:dyDescent="0.15">
      <c r="A2" s="2">
        <v>498101</v>
      </c>
      <c r="B2" s="1">
        <v>1012</v>
      </c>
      <c r="C2" s="7" t="str">
        <f t="shared" ref="C2:C6" si="0">D2&amp;J2&amp;E2&amp;F2&amp;G2</f>
        <v>PremiumSS5R5only</v>
      </c>
      <c r="D2" s="7" t="str">
        <f>IF(OR(I2="PremiumSS",I2="PremiumSSw"),"PremiumSS",IF(I2="PremiumSSS",I2,IF(I2="PremiumW",I2,"Premium")))</f>
        <v>PremiumSS</v>
      </c>
      <c r="E2" s="7" t="str">
        <f>IF(COUNTIF('R6追加前'!A:A,B2)=0,IF(OR(I2="PremiumSS",I2="PremiumSSw"),"R5only","R3less"),"")</f>
        <v>R5only</v>
      </c>
      <c r="F2" s="7" t="str">
        <f>IF(COUNTIF('R6開放'!A:A,B2)&gt;0,"R6release","")</f>
        <v/>
      </c>
      <c r="G2" s="7"/>
      <c r="H2" s="7" t="str">
        <f>VLOOKUP(B2,[1]characters!$A:$C,3,FALSE)</f>
        <v>ラー</v>
      </c>
      <c r="I2" s="7" t="str">
        <f>VLOOKUP(B2,[1]characters!$A:$J,10,FALSE)</f>
        <v>PremiumSS</v>
      </c>
      <c r="J2" s="7">
        <f>VLOOKUP(B2,[1]characters!$A:$I,9,FALSE)</f>
        <v>5</v>
      </c>
      <c r="K2" s="7" t="str">
        <f>VLOOKUP(B2,[1]characters!$A:$H,8,FALSE)</f>
        <v>red</v>
      </c>
      <c r="L2" s="7" t="str">
        <f>VLOOKUP(B2,[1]characters!$A:$K,11,FALSE)</f>
        <v>balance</v>
      </c>
      <c r="M2" s="7" t="str">
        <f>VLOOKUP(B2,[1]characters!$A:$M,13,FALSE)</f>
        <v>god</v>
      </c>
      <c r="N2" s="7" t="str">
        <f>VLOOKUP(B2,[1]characters!$A:$G,7,FALSE)</f>
        <v>男性</v>
      </c>
      <c r="O2" s="38">
        <v>10</v>
      </c>
      <c r="P2" s="39">
        <f t="shared" ref="P2:P6" si="1">O2/SUM(O:O)</f>
        <v>0.16666666666666666</v>
      </c>
      <c r="Q2" s="24">
        <v>1</v>
      </c>
      <c r="R2" s="24">
        <v>0</v>
      </c>
      <c r="S2" s="24">
        <v>0</v>
      </c>
      <c r="T2" s="24">
        <v>0</v>
      </c>
      <c r="U2" s="24">
        <v>0</v>
      </c>
      <c r="V2" s="24">
        <v>1</v>
      </c>
    </row>
    <row r="3" spans="1:22" ht="21" customHeight="1" x14ac:dyDescent="0.15">
      <c r="A3" s="2">
        <v>498101</v>
      </c>
      <c r="B3" s="1">
        <v>1014</v>
      </c>
      <c r="C3" s="7" t="str">
        <f t="shared" si="0"/>
        <v>PremiumSS5R5only</v>
      </c>
      <c r="D3" s="7" t="str">
        <f t="shared" ref="D3:D6" si="2">IF(OR(I3="PremiumSS",I3="PremiumSSw"),"PremiumSS",IF(I3="PremiumSSS",I3,IF(I3="PremiumW",I3,"Premium")))</f>
        <v>PremiumSS</v>
      </c>
      <c r="E3" s="7" t="str">
        <f>IF(COUNTIF('R6追加前'!A:A,B3)=0,IF(OR(I3="PremiumSS",I3="PremiumSSw"),"R5only","R3less"),"")</f>
        <v>R5only</v>
      </c>
      <c r="F3" s="7" t="str">
        <f>IF(COUNTIF('R6開放'!A:A,B3)&gt;0,"R6release","")</f>
        <v/>
      </c>
      <c r="G3" s="7"/>
      <c r="H3" s="7" t="str">
        <f>VLOOKUP(B3,[1]characters!$A:$C,3,FALSE)</f>
        <v>イシス</v>
      </c>
      <c r="I3" s="7" t="str">
        <f>VLOOKUP(B3,[1]characters!$A:$J,10,FALSE)</f>
        <v>PremiumSS</v>
      </c>
      <c r="J3" s="7">
        <f>VLOOKUP(B3,[1]characters!$A:$I,9,FALSE)</f>
        <v>5</v>
      </c>
      <c r="K3" s="7" t="str">
        <f>VLOOKUP(B3,[1]characters!$A:$H,8,FALSE)</f>
        <v>green</v>
      </c>
      <c r="L3" s="7" t="str">
        <f>VLOOKUP(B3,[1]characters!$A:$K,11,FALSE)</f>
        <v>hp</v>
      </c>
      <c r="M3" s="7" t="str">
        <f>VLOOKUP(B3,[1]characters!$A:$M,13,FALSE)</f>
        <v>god</v>
      </c>
      <c r="N3" s="7" t="str">
        <f>VLOOKUP(B3,[1]characters!$A:$G,7,FALSE)</f>
        <v>男性</v>
      </c>
      <c r="O3" s="38">
        <v>10</v>
      </c>
      <c r="P3" s="39">
        <f t="shared" si="1"/>
        <v>0.16666666666666666</v>
      </c>
      <c r="Q3" s="24">
        <v>1</v>
      </c>
      <c r="R3" s="24">
        <v>0</v>
      </c>
      <c r="S3" s="24">
        <v>0</v>
      </c>
      <c r="T3" s="24">
        <v>0</v>
      </c>
      <c r="U3" s="24">
        <v>0</v>
      </c>
      <c r="V3" s="24">
        <v>1</v>
      </c>
    </row>
    <row r="4" spans="1:22" ht="21" customHeight="1" x14ac:dyDescent="0.15">
      <c r="A4" s="2">
        <v>498101</v>
      </c>
      <c r="B4" s="1">
        <v>1018</v>
      </c>
      <c r="C4" s="7" t="str">
        <f t="shared" si="0"/>
        <v>PremiumSS5R5only</v>
      </c>
      <c r="D4" s="7" t="str">
        <f t="shared" si="2"/>
        <v>PremiumSS</v>
      </c>
      <c r="E4" s="7" t="str">
        <f>IF(COUNTIF('R6追加前'!A:A,B4)=0,IF(OR(I4="PremiumSS",I4="PremiumSSw"),"R5only","R3less"),"")</f>
        <v>R5only</v>
      </c>
      <c r="F4" s="7" t="str">
        <f>IF(COUNTIF('R6開放'!A:A,B4)&gt;0,"R6release","")</f>
        <v/>
      </c>
      <c r="G4" s="7"/>
      <c r="H4" s="7" t="str">
        <f>VLOOKUP(B4,[1]characters!$A:$C,3,FALSE)</f>
        <v>バステト</v>
      </c>
      <c r="I4" s="7" t="str">
        <f>VLOOKUP(B4,[1]characters!$A:$J,10,FALSE)</f>
        <v>PremiumSS</v>
      </c>
      <c r="J4" s="7">
        <f>VLOOKUP(B4,[1]characters!$A:$I,9,FALSE)</f>
        <v>5</v>
      </c>
      <c r="K4" s="7" t="str">
        <f>VLOOKUP(B4,[1]characters!$A:$H,8,FALSE)</f>
        <v>yellow</v>
      </c>
      <c r="L4" s="7" t="str">
        <f>VLOOKUP(B4,[1]characters!$A:$K,11,FALSE)</f>
        <v>attack</v>
      </c>
      <c r="M4" s="7" t="str">
        <f>VLOOKUP(B4,[1]characters!$A:$M,13,FALSE)</f>
        <v>god</v>
      </c>
      <c r="N4" s="7" t="str">
        <f>VLOOKUP(B4,[1]characters!$A:$G,7,FALSE)</f>
        <v>男性</v>
      </c>
      <c r="O4" s="38">
        <v>10</v>
      </c>
      <c r="P4" s="39">
        <f t="shared" si="1"/>
        <v>0.16666666666666666</v>
      </c>
      <c r="Q4" s="24">
        <v>1</v>
      </c>
      <c r="R4" s="24">
        <v>0</v>
      </c>
      <c r="S4" s="24">
        <v>0</v>
      </c>
      <c r="T4" s="24">
        <v>0</v>
      </c>
      <c r="U4" s="24">
        <v>0</v>
      </c>
      <c r="V4" s="24">
        <v>1</v>
      </c>
    </row>
    <row r="5" spans="1:22" ht="21" customHeight="1" x14ac:dyDescent="0.15">
      <c r="A5" s="2">
        <v>498101</v>
      </c>
      <c r="B5" s="1">
        <v>1028</v>
      </c>
      <c r="C5" s="7" t="str">
        <f t="shared" si="0"/>
        <v>PremiumSS5R5only</v>
      </c>
      <c r="D5" s="7" t="str">
        <f t="shared" si="2"/>
        <v>PremiumSS</v>
      </c>
      <c r="E5" s="7" t="str">
        <f>IF(COUNTIF('R6追加前'!A:A,B5)=0,IF(OR(I5="PremiumSS",I5="PremiumSSw"),"R5only","R3less"),"")</f>
        <v>R5only</v>
      </c>
      <c r="F5" s="7" t="str">
        <f>IF(COUNTIF('R6開放'!A:A,B5)&gt;0,"R6release","")</f>
        <v/>
      </c>
      <c r="G5" s="7"/>
      <c r="H5" s="7" t="str">
        <f>VLOOKUP(B5,[1]characters!$A:$C,3,FALSE)</f>
        <v>牛若丸</v>
      </c>
      <c r="I5" s="7" t="str">
        <f>VLOOKUP(B5,[1]characters!$A:$J,10,FALSE)</f>
        <v>PremiumSS</v>
      </c>
      <c r="J5" s="7">
        <f>VLOOKUP(B5,[1]characters!$A:$I,9,FALSE)</f>
        <v>5</v>
      </c>
      <c r="K5" s="7" t="str">
        <f>VLOOKUP(B5,[1]characters!$A:$H,8,FALSE)</f>
        <v>green</v>
      </c>
      <c r="L5" s="7" t="str">
        <f>VLOOKUP(B5,[1]characters!$A:$K,11,FALSE)</f>
        <v>balance</v>
      </c>
      <c r="M5" s="7" t="str">
        <f>VLOOKUP(B5,[1]characters!$A:$M,13,FALSE)</f>
        <v>human</v>
      </c>
      <c r="N5" s="7" t="str">
        <f>VLOOKUP(B5,[1]characters!$A:$G,7,FALSE)</f>
        <v>男性</v>
      </c>
      <c r="O5" s="38">
        <v>10</v>
      </c>
      <c r="P5" s="39">
        <f t="shared" si="1"/>
        <v>0.16666666666666666</v>
      </c>
      <c r="Q5" s="24">
        <v>1</v>
      </c>
      <c r="R5" s="24">
        <v>0</v>
      </c>
      <c r="S5" s="24">
        <v>0</v>
      </c>
      <c r="T5" s="24">
        <v>0</v>
      </c>
      <c r="U5" s="24">
        <v>0</v>
      </c>
      <c r="V5" s="24">
        <v>1</v>
      </c>
    </row>
    <row r="6" spans="1:22" ht="21" customHeight="1" x14ac:dyDescent="0.15">
      <c r="A6" s="2">
        <v>498101</v>
      </c>
      <c r="B6" s="1">
        <v>1031</v>
      </c>
      <c r="C6" s="7" t="str">
        <f t="shared" si="0"/>
        <v>PremiumSS5R5only</v>
      </c>
      <c r="D6" s="7" t="str">
        <f t="shared" si="2"/>
        <v>PremiumSS</v>
      </c>
      <c r="E6" s="7" t="str">
        <f>IF(COUNTIF('R6追加前'!A:A,B6)=0,IF(OR(I6="PremiumSS",I6="PremiumSSw"),"R5only","R3less"),"")</f>
        <v>R5only</v>
      </c>
      <c r="F6" s="7" t="str">
        <f>IF(COUNTIF('R6開放'!A:A,B6)&gt;0,"R6release","")</f>
        <v/>
      </c>
      <c r="G6" s="7"/>
      <c r="H6" s="7" t="str">
        <f>VLOOKUP(B6,[1]characters!$A:$C,3,FALSE)</f>
        <v>紫式部</v>
      </c>
      <c r="I6" s="7" t="str">
        <f>VLOOKUP(B6,[1]characters!$A:$J,10,FALSE)</f>
        <v>PremiumSS</v>
      </c>
      <c r="J6" s="7">
        <f>VLOOKUP(B6,[1]characters!$A:$I,9,FALSE)</f>
        <v>5</v>
      </c>
      <c r="K6" s="7" t="str">
        <f>VLOOKUP(B6,[1]characters!$A:$H,8,FALSE)</f>
        <v>blue</v>
      </c>
      <c r="L6" s="7" t="str">
        <f>VLOOKUP(B6,[1]characters!$A:$K,11,FALSE)</f>
        <v>technical</v>
      </c>
      <c r="M6" s="7" t="str">
        <f>VLOOKUP(B6,[1]characters!$A:$M,13,FALSE)</f>
        <v>human</v>
      </c>
      <c r="N6" s="7" t="str">
        <f>VLOOKUP(B6,[1]characters!$A:$G,7,FALSE)</f>
        <v>男性</v>
      </c>
      <c r="O6" s="38">
        <v>10</v>
      </c>
      <c r="P6" s="39">
        <f t="shared" si="1"/>
        <v>0.16666666666666666</v>
      </c>
      <c r="Q6" s="24">
        <v>1</v>
      </c>
      <c r="R6" s="24">
        <v>0</v>
      </c>
      <c r="S6" s="24">
        <v>0</v>
      </c>
      <c r="T6" s="24">
        <v>0</v>
      </c>
      <c r="U6" s="24">
        <v>0</v>
      </c>
      <c r="V6" s="24">
        <v>1</v>
      </c>
    </row>
    <row r="7" spans="1:22" ht="21" customHeight="1" x14ac:dyDescent="0.15">
      <c r="A7" s="2">
        <v>498101</v>
      </c>
      <c r="B7" s="79">
        <v>1033</v>
      </c>
      <c r="C7" s="7" t="str">
        <f t="shared" ref="C7" si="3">D7&amp;J7&amp;E7&amp;F7&amp;G7</f>
        <v>PremiumSS5R5only</v>
      </c>
      <c r="D7" s="7" t="str">
        <f t="shared" ref="D7" si="4">IF(OR(I7="PremiumSS",I7="PremiumSSw"),"PremiumSS",IF(I7="PremiumSSS",I7,IF(I7="PremiumW",I7,"Premium")))</f>
        <v>PremiumSS</v>
      </c>
      <c r="E7" s="7" t="str">
        <f>IF(COUNTIF('R6追加前'!A:A,B7)=0,IF(OR(I7="PremiumSS",I7="PremiumSSw"),"R5only","R3less"),"")</f>
        <v>R5only</v>
      </c>
      <c r="F7" s="7" t="str">
        <f>IF(COUNTIF('R6開放'!A:A,B7)&gt;0,"R6release","")</f>
        <v/>
      </c>
      <c r="G7" s="7"/>
      <c r="H7" s="7" t="str">
        <f>VLOOKUP(B7,[1]characters!$A:$C,3,FALSE)</f>
        <v>清少納言</v>
      </c>
      <c r="I7" s="7" t="str">
        <f>VLOOKUP(B7,[1]characters!$A:$J,10,FALSE)</f>
        <v>PremiumSS</v>
      </c>
      <c r="J7" s="7">
        <f>VLOOKUP(B7,[1]characters!$A:$I,9,FALSE)</f>
        <v>5</v>
      </c>
      <c r="K7" s="7" t="str">
        <f>VLOOKUP(B7,[1]characters!$A:$H,8,FALSE)</f>
        <v>yellow</v>
      </c>
      <c r="L7" s="7" t="str">
        <f>VLOOKUP(B7,[1]characters!$A:$K,11,FALSE)</f>
        <v>heal</v>
      </c>
      <c r="M7" s="7" t="str">
        <f>VLOOKUP(B7,[1]characters!$A:$M,13,FALSE)</f>
        <v>human</v>
      </c>
      <c r="N7" s="7" t="str">
        <f>VLOOKUP(B7,[1]characters!$A:$G,7,FALSE)</f>
        <v>男性</v>
      </c>
      <c r="O7" s="38">
        <v>10</v>
      </c>
      <c r="P7" s="39">
        <f t="shared" ref="P7" si="5">O7/SUM(O:O)</f>
        <v>0.16666666666666666</v>
      </c>
      <c r="Q7" s="24">
        <v>1</v>
      </c>
      <c r="R7" s="24">
        <v>0</v>
      </c>
      <c r="S7" s="24">
        <v>0</v>
      </c>
      <c r="T7" s="24">
        <v>0</v>
      </c>
      <c r="U7" s="24">
        <v>0</v>
      </c>
      <c r="V7" s="24">
        <v>1</v>
      </c>
    </row>
    <row r="8" spans="1:22" ht="21" customHeight="1" x14ac:dyDescent="0.15">
      <c r="A8" s="79"/>
      <c r="B8" s="79"/>
      <c r="C8" s="79"/>
      <c r="D8" s="79"/>
      <c r="E8" s="79"/>
      <c r="F8" s="79"/>
      <c r="G8" s="79"/>
      <c r="H8" s="79"/>
      <c r="I8" s="79"/>
      <c r="J8" s="79"/>
      <c r="K8" s="79"/>
      <c r="L8" s="79"/>
      <c r="M8" s="79"/>
      <c r="N8" s="79"/>
      <c r="O8" s="91"/>
      <c r="P8" s="92"/>
      <c r="Q8" s="93"/>
      <c r="R8" s="93"/>
      <c r="S8" s="93"/>
      <c r="T8" s="93"/>
      <c r="U8" s="93"/>
      <c r="V8" s="93"/>
    </row>
    <row r="9" spans="1:22" ht="21" customHeight="1" x14ac:dyDescent="0.15">
      <c r="A9" s="79"/>
      <c r="B9" s="79"/>
      <c r="C9" s="79"/>
      <c r="D9" s="79"/>
      <c r="E9" s="79"/>
      <c r="F9" s="79"/>
      <c r="G9" s="79"/>
      <c r="H9" s="79"/>
      <c r="I9" s="79"/>
      <c r="J9" s="79"/>
      <c r="K9" s="79"/>
      <c r="L9" s="79"/>
      <c r="M9" s="79"/>
      <c r="N9" s="79"/>
      <c r="O9" s="91"/>
      <c r="P9" s="92"/>
      <c r="Q9" s="93"/>
      <c r="R9" s="93"/>
      <c r="S9" s="93"/>
      <c r="T9" s="93"/>
      <c r="U9" s="93"/>
      <c r="V9" s="93"/>
    </row>
    <row r="10" spans="1:22" ht="21" customHeight="1" x14ac:dyDescent="0.15">
      <c r="A10" s="79"/>
      <c r="B10" s="79"/>
      <c r="C10" s="79"/>
      <c r="D10" s="79"/>
      <c r="E10" s="79"/>
      <c r="F10" s="79"/>
      <c r="G10" s="79"/>
      <c r="H10" s="79"/>
      <c r="I10" s="79"/>
      <c r="J10" s="79"/>
      <c r="K10" s="79"/>
      <c r="L10" s="79"/>
      <c r="M10" s="79"/>
      <c r="N10" s="79"/>
      <c r="O10" s="91"/>
      <c r="P10" s="92"/>
      <c r="Q10" s="93"/>
      <c r="R10" s="93"/>
      <c r="S10" s="93"/>
      <c r="T10" s="93"/>
      <c r="U10" s="93"/>
      <c r="V10" s="93"/>
    </row>
    <row r="11" spans="1:22" ht="21" customHeight="1" x14ac:dyDescent="0.15">
      <c r="A11" s="79"/>
      <c r="B11" s="79"/>
      <c r="C11" s="79"/>
      <c r="D11" s="79"/>
      <c r="E11" s="79"/>
      <c r="F11" s="79"/>
      <c r="G11" s="79"/>
      <c r="H11" s="79"/>
      <c r="I11" s="79"/>
      <c r="J11" s="79"/>
      <c r="K11" s="79"/>
      <c r="L11" s="79"/>
      <c r="M11" s="79"/>
      <c r="N11" s="79"/>
      <c r="O11" s="91"/>
      <c r="P11" s="92"/>
      <c r="Q11" s="93"/>
      <c r="R11" s="93"/>
      <c r="S11" s="93"/>
      <c r="T11" s="93"/>
      <c r="U11" s="93"/>
      <c r="V11" s="93"/>
    </row>
    <row r="12" spans="1:22" ht="21" customHeight="1" x14ac:dyDescent="0.15">
      <c r="A12" s="79"/>
      <c r="B12" s="79"/>
      <c r="C12" s="79"/>
      <c r="D12" s="79"/>
      <c r="E12" s="79"/>
      <c r="F12" s="79"/>
      <c r="G12" s="79"/>
      <c r="H12" s="79"/>
      <c r="I12" s="79"/>
      <c r="J12" s="79"/>
      <c r="K12" s="79"/>
      <c r="L12" s="79"/>
      <c r="M12" s="79"/>
      <c r="N12" s="79"/>
      <c r="O12" s="91"/>
      <c r="P12" s="92"/>
      <c r="Q12" s="93"/>
      <c r="R12" s="93"/>
      <c r="S12" s="93"/>
      <c r="T12" s="93"/>
      <c r="U12" s="93"/>
      <c r="V12" s="93"/>
    </row>
    <row r="13" spans="1:22" ht="21" customHeight="1" x14ac:dyDescent="0.15">
      <c r="A13" s="79"/>
      <c r="B13" s="79"/>
      <c r="C13" s="79"/>
      <c r="D13" s="79"/>
      <c r="E13" s="79"/>
      <c r="F13" s="79"/>
      <c r="G13" s="79"/>
      <c r="H13" s="79"/>
      <c r="I13" s="79"/>
      <c r="J13" s="79"/>
      <c r="K13" s="79"/>
      <c r="L13" s="79"/>
      <c r="M13" s="79"/>
      <c r="N13" s="79"/>
      <c r="O13" s="91"/>
      <c r="P13" s="92"/>
      <c r="Q13" s="93"/>
      <c r="R13" s="93"/>
      <c r="S13" s="93"/>
      <c r="T13" s="93"/>
      <c r="U13" s="93"/>
      <c r="V13" s="93"/>
    </row>
    <row r="14" spans="1:22" ht="21" customHeight="1" x14ac:dyDescent="0.15">
      <c r="A14" s="79"/>
      <c r="B14" s="79"/>
      <c r="C14" s="79"/>
      <c r="D14" s="79"/>
      <c r="E14" s="79"/>
      <c r="F14" s="79"/>
      <c r="G14" s="79"/>
      <c r="H14" s="79"/>
      <c r="I14" s="79"/>
      <c r="J14" s="79"/>
      <c r="K14" s="79"/>
      <c r="L14" s="79"/>
      <c r="M14" s="79"/>
      <c r="N14" s="79"/>
      <c r="O14" s="91"/>
      <c r="P14" s="92"/>
      <c r="Q14" s="93"/>
      <c r="R14" s="93"/>
      <c r="S14" s="93"/>
      <c r="T14" s="93"/>
      <c r="U14" s="93"/>
      <c r="V14" s="93"/>
    </row>
    <row r="15" spans="1:22" ht="21" customHeight="1" x14ac:dyDescent="0.15">
      <c r="A15" s="79"/>
      <c r="B15" s="79"/>
      <c r="C15" s="79"/>
      <c r="D15" s="79"/>
      <c r="E15" s="79"/>
      <c r="F15" s="79"/>
      <c r="G15" s="79"/>
      <c r="H15" s="79"/>
      <c r="I15" s="79"/>
      <c r="J15" s="79"/>
      <c r="K15" s="79"/>
      <c r="L15" s="79"/>
      <c r="M15" s="79"/>
      <c r="N15" s="79"/>
      <c r="O15" s="91"/>
      <c r="P15" s="92"/>
      <c r="Q15" s="93"/>
      <c r="R15" s="93"/>
      <c r="S15" s="93"/>
      <c r="T15" s="93"/>
      <c r="U15" s="93"/>
      <c r="V15" s="93"/>
    </row>
    <row r="16" spans="1:22" ht="21" customHeight="1" x14ac:dyDescent="0.15">
      <c r="A16" s="79"/>
      <c r="B16" s="79"/>
      <c r="C16" s="79"/>
      <c r="D16" s="79"/>
      <c r="E16" s="79"/>
      <c r="F16" s="79"/>
      <c r="G16" s="79"/>
      <c r="H16" s="79"/>
      <c r="I16" s="79"/>
      <c r="J16" s="79"/>
      <c r="K16" s="79"/>
      <c r="L16" s="79"/>
      <c r="M16" s="79"/>
      <c r="N16" s="79"/>
      <c r="O16" s="91"/>
      <c r="P16" s="92"/>
      <c r="Q16" s="93"/>
      <c r="R16" s="93"/>
      <c r="S16" s="93"/>
      <c r="T16" s="93"/>
      <c r="U16" s="93"/>
      <c r="V16" s="93"/>
    </row>
    <row r="17" spans="1:22" ht="21" customHeight="1" x14ac:dyDescent="0.15">
      <c r="A17" s="79"/>
      <c r="B17" s="79"/>
      <c r="C17" s="79"/>
      <c r="D17" s="79"/>
      <c r="E17" s="79"/>
      <c r="F17" s="79"/>
      <c r="G17" s="79"/>
      <c r="H17" s="79"/>
      <c r="I17" s="79"/>
      <c r="J17" s="79"/>
      <c r="K17" s="79"/>
      <c r="L17" s="79"/>
      <c r="M17" s="79"/>
      <c r="N17" s="79"/>
      <c r="O17" s="91"/>
      <c r="P17" s="92"/>
      <c r="Q17" s="93"/>
      <c r="R17" s="93"/>
      <c r="S17" s="93"/>
      <c r="T17" s="93"/>
      <c r="U17" s="93"/>
      <c r="V17" s="93"/>
    </row>
    <row r="18" spans="1:22" ht="21" customHeight="1" x14ac:dyDescent="0.15">
      <c r="A18" s="79"/>
      <c r="B18" s="79"/>
      <c r="C18" s="79"/>
      <c r="D18" s="79"/>
      <c r="E18" s="79"/>
      <c r="F18" s="79"/>
      <c r="G18" s="79"/>
      <c r="H18" s="79"/>
      <c r="I18" s="79"/>
      <c r="J18" s="79"/>
      <c r="K18" s="79"/>
      <c r="L18" s="79"/>
      <c r="M18" s="79"/>
      <c r="N18" s="79"/>
      <c r="O18" s="91"/>
      <c r="P18" s="92"/>
      <c r="Q18" s="93"/>
      <c r="R18" s="93"/>
      <c r="S18" s="93"/>
      <c r="T18" s="93"/>
      <c r="U18" s="93"/>
      <c r="V18" s="93"/>
    </row>
    <row r="19" spans="1:22" ht="21" customHeight="1" x14ac:dyDescent="0.15">
      <c r="A19" s="79"/>
      <c r="B19" s="79"/>
      <c r="C19" s="79"/>
      <c r="D19" s="79"/>
      <c r="E19" s="79"/>
      <c r="F19" s="79"/>
      <c r="G19" s="79"/>
      <c r="H19" s="79"/>
      <c r="I19" s="79"/>
      <c r="J19" s="79"/>
      <c r="K19" s="79"/>
      <c r="L19" s="79"/>
      <c r="M19" s="79"/>
      <c r="N19" s="79"/>
      <c r="O19" s="91"/>
      <c r="P19" s="92"/>
      <c r="Q19" s="93"/>
      <c r="R19" s="93"/>
      <c r="S19" s="93"/>
      <c r="T19" s="93"/>
      <c r="U19" s="93"/>
      <c r="V19" s="93"/>
    </row>
    <row r="20" spans="1:22" ht="21" customHeight="1" x14ac:dyDescent="0.15">
      <c r="A20" s="79"/>
      <c r="B20" s="79"/>
      <c r="C20" s="79"/>
      <c r="D20" s="79"/>
      <c r="E20" s="79"/>
      <c r="F20" s="79"/>
      <c r="G20" s="79"/>
      <c r="H20" s="79"/>
      <c r="I20" s="79"/>
      <c r="J20" s="79"/>
      <c r="K20" s="79"/>
      <c r="L20" s="79"/>
      <c r="M20" s="79"/>
      <c r="N20" s="79"/>
      <c r="O20" s="91"/>
      <c r="P20" s="92"/>
      <c r="Q20" s="93"/>
      <c r="R20" s="93"/>
      <c r="S20" s="93"/>
      <c r="T20" s="93"/>
      <c r="U20" s="93"/>
      <c r="V20" s="93"/>
    </row>
    <row r="21" spans="1:22" ht="21" customHeight="1" x14ac:dyDescent="0.15">
      <c r="A21" s="79"/>
      <c r="B21" s="79"/>
      <c r="C21" s="79"/>
      <c r="D21" s="79"/>
      <c r="E21" s="79"/>
      <c r="F21" s="79"/>
      <c r="G21" s="79"/>
      <c r="H21" s="79"/>
      <c r="I21" s="79"/>
      <c r="J21" s="79"/>
      <c r="K21" s="79"/>
      <c r="L21" s="79"/>
      <c r="M21" s="79"/>
      <c r="N21" s="79"/>
      <c r="O21" s="91"/>
      <c r="P21" s="92"/>
      <c r="Q21" s="93"/>
      <c r="R21" s="93"/>
      <c r="S21" s="93"/>
      <c r="T21" s="93"/>
      <c r="U21" s="93"/>
      <c r="V21" s="93"/>
    </row>
    <row r="22" spans="1:22" ht="21" customHeight="1" x14ac:dyDescent="0.15">
      <c r="A22" s="79"/>
      <c r="B22" s="79"/>
      <c r="C22" s="79"/>
      <c r="D22" s="79"/>
      <c r="E22" s="79"/>
      <c r="F22" s="79"/>
      <c r="G22" s="79"/>
      <c r="H22" s="79"/>
      <c r="I22" s="79"/>
      <c r="J22" s="79"/>
      <c r="K22" s="79"/>
      <c r="L22" s="79"/>
      <c r="M22" s="79"/>
      <c r="N22" s="79"/>
      <c r="O22" s="91"/>
      <c r="P22" s="92"/>
      <c r="Q22" s="93"/>
      <c r="R22" s="93"/>
      <c r="S22" s="93"/>
      <c r="T22" s="93"/>
      <c r="U22" s="93"/>
      <c r="V22" s="93"/>
    </row>
    <row r="23" spans="1:22" ht="21" customHeight="1" x14ac:dyDescent="0.15">
      <c r="A23" s="79"/>
      <c r="B23" s="79"/>
      <c r="C23" s="79"/>
      <c r="D23" s="79"/>
      <c r="E23" s="79"/>
      <c r="F23" s="79"/>
      <c r="G23" s="79"/>
      <c r="H23" s="79"/>
      <c r="I23" s="79"/>
      <c r="J23" s="79"/>
      <c r="K23" s="79"/>
      <c r="L23" s="79"/>
      <c r="M23" s="79"/>
      <c r="N23" s="79"/>
      <c r="O23" s="91"/>
      <c r="P23" s="92"/>
      <c r="Q23" s="93"/>
      <c r="R23" s="93"/>
      <c r="S23" s="93"/>
      <c r="T23" s="93"/>
      <c r="U23" s="93"/>
      <c r="V23" s="93"/>
    </row>
    <row r="24" spans="1:22" ht="21" customHeight="1" x14ac:dyDescent="0.15">
      <c r="A24" s="79"/>
      <c r="B24" s="79"/>
      <c r="C24" s="79"/>
      <c r="D24" s="79"/>
      <c r="E24" s="79"/>
      <c r="F24" s="79"/>
      <c r="G24" s="79"/>
      <c r="H24" s="79"/>
      <c r="I24" s="79"/>
      <c r="J24" s="79"/>
      <c r="K24" s="79"/>
      <c r="L24" s="79"/>
      <c r="M24" s="79"/>
      <c r="N24" s="79"/>
      <c r="O24" s="91"/>
      <c r="P24" s="92"/>
      <c r="Q24" s="93"/>
      <c r="R24" s="93"/>
      <c r="S24" s="93"/>
      <c r="T24" s="93"/>
      <c r="U24" s="93"/>
      <c r="V24" s="93"/>
    </row>
    <row r="25" spans="1:22" ht="21" customHeight="1" x14ac:dyDescent="0.15">
      <c r="A25" s="79"/>
      <c r="B25" s="79"/>
      <c r="C25" s="79"/>
      <c r="D25" s="79"/>
      <c r="E25" s="79"/>
      <c r="F25" s="79"/>
      <c r="G25" s="79"/>
      <c r="H25" s="79"/>
      <c r="I25" s="79"/>
      <c r="J25" s="79"/>
      <c r="K25" s="79"/>
      <c r="L25" s="79"/>
      <c r="M25" s="79"/>
      <c r="N25" s="79"/>
      <c r="O25" s="91"/>
      <c r="P25" s="92"/>
      <c r="Q25" s="93"/>
      <c r="R25" s="93"/>
      <c r="S25" s="93"/>
      <c r="T25" s="93"/>
      <c r="U25" s="93"/>
      <c r="V25" s="93"/>
    </row>
    <row r="26" spans="1:22" ht="21" customHeight="1" x14ac:dyDescent="0.15">
      <c r="A26" s="79"/>
      <c r="B26" s="79"/>
      <c r="C26" s="79"/>
      <c r="D26" s="79"/>
      <c r="E26" s="79"/>
      <c r="F26" s="79"/>
      <c r="G26" s="79"/>
      <c r="H26" s="79"/>
      <c r="I26" s="79"/>
      <c r="J26" s="79"/>
      <c r="K26" s="79"/>
      <c r="L26" s="79"/>
      <c r="M26" s="79"/>
      <c r="N26" s="79"/>
      <c r="O26" s="91"/>
      <c r="P26" s="92"/>
      <c r="Q26" s="93"/>
      <c r="R26" s="93"/>
      <c r="S26" s="93"/>
      <c r="T26" s="93"/>
      <c r="U26" s="93"/>
      <c r="V26" s="93"/>
    </row>
    <row r="27" spans="1:22" ht="21" customHeight="1" x14ac:dyDescent="0.15">
      <c r="A27" s="79"/>
      <c r="B27" s="79"/>
      <c r="C27" s="79"/>
      <c r="D27" s="79"/>
      <c r="E27" s="79"/>
      <c r="F27" s="79"/>
      <c r="G27" s="79"/>
      <c r="H27" s="79"/>
      <c r="I27" s="79"/>
      <c r="J27" s="79"/>
      <c r="K27" s="79"/>
      <c r="L27" s="79"/>
      <c r="M27" s="79"/>
      <c r="N27" s="79"/>
      <c r="O27" s="91"/>
      <c r="P27" s="92"/>
      <c r="Q27" s="93"/>
      <c r="R27" s="93"/>
      <c r="S27" s="93"/>
      <c r="T27" s="93"/>
      <c r="U27" s="93"/>
      <c r="V27" s="93"/>
    </row>
    <row r="28" spans="1:22" ht="21" customHeight="1" x14ac:dyDescent="0.15">
      <c r="A28" s="79"/>
      <c r="B28" s="79"/>
      <c r="C28" s="79"/>
      <c r="D28" s="79"/>
      <c r="E28" s="79"/>
      <c r="F28" s="79"/>
      <c r="G28" s="79"/>
      <c r="H28" s="79"/>
      <c r="I28" s="79"/>
      <c r="J28" s="79"/>
      <c r="K28" s="79"/>
      <c r="L28" s="79"/>
      <c r="M28" s="79"/>
      <c r="N28" s="79"/>
      <c r="O28" s="91"/>
      <c r="P28" s="92"/>
      <c r="Q28" s="93"/>
      <c r="R28" s="93"/>
      <c r="S28" s="93"/>
      <c r="T28" s="93"/>
      <c r="U28" s="93"/>
      <c r="V28" s="93"/>
    </row>
    <row r="29" spans="1:22" ht="21" customHeight="1" x14ac:dyDescent="0.15">
      <c r="A29" s="79"/>
      <c r="B29" s="79"/>
      <c r="C29" s="79"/>
      <c r="D29" s="79"/>
      <c r="E29" s="79"/>
      <c r="F29" s="79"/>
      <c r="G29" s="79"/>
      <c r="H29" s="79"/>
      <c r="I29" s="79"/>
      <c r="J29" s="79"/>
      <c r="K29" s="79"/>
      <c r="L29" s="79"/>
      <c r="M29" s="79"/>
      <c r="N29" s="79"/>
      <c r="O29" s="91"/>
      <c r="P29" s="92"/>
      <c r="Q29" s="93"/>
      <c r="R29" s="93"/>
      <c r="S29" s="93"/>
      <c r="T29" s="93"/>
      <c r="U29" s="93"/>
      <c r="V29" s="93"/>
    </row>
    <row r="30" spans="1:22" ht="21" customHeight="1" x14ac:dyDescent="0.15">
      <c r="A30" s="79"/>
      <c r="B30" s="79"/>
      <c r="C30" s="79"/>
      <c r="D30" s="79"/>
      <c r="E30" s="79"/>
      <c r="F30" s="79"/>
      <c r="G30" s="79"/>
      <c r="H30" s="79"/>
      <c r="I30" s="79"/>
      <c r="J30" s="79"/>
      <c r="K30" s="79"/>
      <c r="L30" s="79"/>
      <c r="M30" s="79"/>
      <c r="N30" s="79"/>
      <c r="O30" s="91"/>
      <c r="P30" s="92"/>
      <c r="Q30" s="93"/>
      <c r="R30" s="93"/>
      <c r="S30" s="93"/>
      <c r="T30" s="93"/>
      <c r="U30" s="93"/>
      <c r="V30" s="93"/>
    </row>
    <row r="31" spans="1:22" ht="21" customHeight="1" x14ac:dyDescent="0.15">
      <c r="A31" s="79"/>
      <c r="B31" s="79"/>
      <c r="C31" s="79"/>
      <c r="D31" s="79"/>
      <c r="E31" s="79"/>
      <c r="F31" s="79"/>
      <c r="G31" s="79"/>
      <c r="H31" s="79"/>
      <c r="I31" s="79"/>
      <c r="J31" s="79"/>
      <c r="K31" s="79"/>
      <c r="L31" s="79"/>
      <c r="M31" s="79"/>
      <c r="N31" s="79"/>
      <c r="O31" s="91"/>
      <c r="P31" s="92"/>
      <c r="Q31" s="93"/>
      <c r="R31" s="93"/>
      <c r="S31" s="93"/>
      <c r="T31" s="93"/>
      <c r="U31" s="93"/>
      <c r="V31" s="93"/>
    </row>
    <row r="32" spans="1:22" ht="21" customHeight="1" x14ac:dyDescent="0.15">
      <c r="A32" s="79"/>
      <c r="B32" s="79"/>
      <c r="C32" s="79"/>
      <c r="D32" s="79"/>
      <c r="E32" s="79"/>
      <c r="F32" s="79"/>
      <c r="G32" s="79"/>
      <c r="H32" s="79"/>
      <c r="I32" s="79"/>
      <c r="J32" s="79"/>
      <c r="K32" s="79"/>
      <c r="L32" s="79"/>
      <c r="M32" s="79"/>
      <c r="N32" s="79"/>
      <c r="O32" s="91"/>
      <c r="P32" s="92"/>
      <c r="Q32" s="93"/>
      <c r="R32" s="93"/>
      <c r="S32" s="93"/>
      <c r="T32" s="93"/>
      <c r="U32" s="93"/>
      <c r="V32" s="93"/>
    </row>
    <row r="33" spans="1:22" ht="21" customHeight="1" x14ac:dyDescent="0.15">
      <c r="A33" s="79"/>
      <c r="B33" s="79"/>
      <c r="C33" s="79"/>
      <c r="D33" s="79"/>
      <c r="E33" s="79"/>
      <c r="F33" s="79"/>
      <c r="G33" s="79"/>
      <c r="H33" s="79"/>
      <c r="I33" s="79"/>
      <c r="J33" s="79"/>
      <c r="K33" s="79"/>
      <c r="L33" s="79"/>
      <c r="M33" s="79"/>
      <c r="N33" s="79"/>
      <c r="O33" s="91"/>
      <c r="P33" s="92"/>
      <c r="Q33" s="93"/>
      <c r="R33" s="93"/>
      <c r="S33" s="93"/>
      <c r="T33" s="93"/>
      <c r="U33" s="93"/>
      <c r="V33" s="93"/>
    </row>
    <row r="34" spans="1:22" ht="21" customHeight="1" x14ac:dyDescent="0.15">
      <c r="A34" s="79"/>
      <c r="B34" s="79"/>
      <c r="C34" s="79"/>
      <c r="D34" s="79"/>
      <c r="E34" s="79"/>
      <c r="F34" s="79"/>
      <c r="G34" s="79"/>
      <c r="H34" s="79"/>
      <c r="I34" s="79"/>
      <c r="J34" s="79"/>
      <c r="K34" s="79"/>
      <c r="L34" s="79"/>
      <c r="M34" s="79"/>
      <c r="N34" s="79"/>
      <c r="O34" s="91"/>
      <c r="P34" s="92"/>
      <c r="Q34" s="93"/>
      <c r="R34" s="93"/>
      <c r="S34" s="93"/>
      <c r="T34" s="93"/>
      <c r="U34" s="93"/>
      <c r="V34" s="93"/>
    </row>
    <row r="35" spans="1:22" ht="21" customHeight="1" x14ac:dyDescent="0.15">
      <c r="A35" s="79"/>
      <c r="B35" s="79"/>
      <c r="C35" s="79"/>
      <c r="D35" s="79"/>
      <c r="E35" s="79"/>
      <c r="F35" s="79"/>
      <c r="G35" s="79"/>
      <c r="H35" s="79"/>
      <c r="I35" s="79"/>
      <c r="J35" s="79"/>
      <c r="K35" s="79"/>
      <c r="L35" s="79"/>
      <c r="M35" s="79"/>
      <c r="N35" s="79"/>
      <c r="O35" s="91"/>
      <c r="P35" s="92"/>
      <c r="Q35" s="93"/>
      <c r="R35" s="93"/>
      <c r="S35" s="93"/>
      <c r="T35" s="93"/>
      <c r="U35" s="93"/>
      <c r="V35" s="93"/>
    </row>
    <row r="36" spans="1:22" ht="21" customHeight="1" x14ac:dyDescent="0.15">
      <c r="A36" s="79"/>
      <c r="B36" s="79"/>
      <c r="C36" s="79"/>
      <c r="D36" s="79"/>
      <c r="E36" s="79"/>
      <c r="F36" s="79"/>
      <c r="G36" s="79"/>
      <c r="H36" s="79"/>
      <c r="I36" s="79"/>
      <c r="J36" s="79"/>
      <c r="K36" s="79"/>
      <c r="L36" s="79"/>
      <c r="M36" s="79"/>
      <c r="N36" s="79"/>
      <c r="O36" s="91"/>
      <c r="P36" s="92"/>
      <c r="Q36" s="93"/>
      <c r="R36" s="93"/>
      <c r="S36" s="93"/>
      <c r="T36" s="93"/>
      <c r="U36" s="93"/>
      <c r="V36" s="93"/>
    </row>
    <row r="37" spans="1:22" ht="21" customHeight="1" x14ac:dyDescent="0.15">
      <c r="A37" s="79"/>
      <c r="B37" s="79"/>
      <c r="C37" s="79"/>
      <c r="D37" s="79"/>
      <c r="E37" s="79"/>
      <c r="F37" s="79"/>
      <c r="G37" s="79"/>
      <c r="H37" s="79"/>
      <c r="I37" s="79"/>
      <c r="J37" s="79"/>
      <c r="K37" s="79"/>
      <c r="L37" s="79"/>
      <c r="M37" s="79"/>
      <c r="N37" s="79"/>
      <c r="O37" s="91"/>
      <c r="P37" s="92"/>
      <c r="Q37" s="93"/>
      <c r="R37" s="93"/>
      <c r="S37" s="93"/>
      <c r="T37" s="93"/>
      <c r="U37" s="93"/>
      <c r="V37" s="93"/>
    </row>
    <row r="38" spans="1:22" ht="21" customHeight="1" x14ac:dyDescent="0.15">
      <c r="A38" s="79"/>
      <c r="B38" s="79"/>
      <c r="C38" s="79"/>
      <c r="D38" s="79"/>
      <c r="E38" s="79"/>
      <c r="F38" s="79"/>
      <c r="G38" s="79"/>
      <c r="H38" s="79"/>
      <c r="I38" s="79"/>
      <c r="J38" s="79"/>
      <c r="K38" s="79"/>
      <c r="L38" s="79"/>
      <c r="M38" s="79"/>
      <c r="N38" s="79"/>
      <c r="O38" s="91"/>
      <c r="P38" s="92"/>
      <c r="Q38" s="93"/>
      <c r="R38" s="93"/>
      <c r="S38" s="93"/>
      <c r="T38" s="93"/>
      <c r="U38" s="93"/>
      <c r="V38" s="93"/>
    </row>
    <row r="39" spans="1:22" ht="21" customHeight="1" x14ac:dyDescent="0.15">
      <c r="A39" s="79"/>
      <c r="B39" s="79"/>
      <c r="C39" s="79"/>
      <c r="D39" s="79"/>
      <c r="E39" s="79"/>
      <c r="F39" s="79"/>
      <c r="G39" s="79"/>
      <c r="H39" s="79"/>
      <c r="I39" s="79"/>
      <c r="J39" s="79"/>
      <c r="K39" s="79"/>
      <c r="L39" s="79"/>
      <c r="M39" s="79"/>
      <c r="N39" s="79"/>
      <c r="O39" s="91"/>
      <c r="P39" s="92"/>
      <c r="Q39" s="93"/>
      <c r="R39" s="93"/>
      <c r="S39" s="93"/>
      <c r="T39" s="93"/>
      <c r="U39" s="93"/>
      <c r="V39" s="93"/>
    </row>
    <row r="40" spans="1:22" ht="21" customHeight="1" x14ac:dyDescent="0.15">
      <c r="A40" s="79"/>
      <c r="B40" s="79"/>
      <c r="C40" s="79"/>
      <c r="D40" s="79"/>
      <c r="E40" s="79"/>
      <c r="F40" s="79"/>
      <c r="G40" s="79"/>
      <c r="H40" s="79"/>
      <c r="I40" s="79"/>
      <c r="J40" s="79"/>
      <c r="K40" s="79"/>
      <c r="L40" s="79"/>
      <c r="M40" s="79"/>
      <c r="N40" s="79"/>
      <c r="O40" s="91"/>
      <c r="P40" s="92"/>
      <c r="Q40" s="93"/>
      <c r="R40" s="93"/>
      <c r="S40" s="93"/>
      <c r="T40" s="93"/>
      <c r="U40" s="93"/>
      <c r="V40" s="93"/>
    </row>
    <row r="41" spans="1:22" ht="21" customHeight="1" x14ac:dyDescent="0.15">
      <c r="A41" s="79"/>
      <c r="B41" s="79"/>
      <c r="C41" s="79"/>
      <c r="D41" s="79"/>
      <c r="E41" s="79"/>
      <c r="F41" s="79"/>
      <c r="G41" s="79"/>
      <c r="H41" s="79"/>
      <c r="I41" s="79"/>
      <c r="J41" s="79"/>
      <c r="K41" s="79"/>
      <c r="L41" s="79"/>
      <c r="M41" s="79"/>
      <c r="N41" s="79"/>
      <c r="O41" s="91"/>
      <c r="P41" s="92"/>
      <c r="Q41" s="93"/>
      <c r="R41" s="93"/>
      <c r="S41" s="93"/>
      <c r="T41" s="93"/>
      <c r="U41" s="93"/>
      <c r="V41" s="93"/>
    </row>
    <row r="42" spans="1:22" ht="21" customHeight="1" x14ac:dyDescent="0.15">
      <c r="A42" s="79"/>
      <c r="B42" s="79"/>
      <c r="C42" s="79"/>
      <c r="D42" s="79"/>
      <c r="E42" s="79"/>
      <c r="F42" s="79"/>
      <c r="G42" s="79"/>
      <c r="H42" s="79"/>
      <c r="I42" s="79"/>
      <c r="J42" s="79"/>
      <c r="K42" s="79"/>
      <c r="L42" s="79"/>
      <c r="M42" s="79"/>
      <c r="N42" s="79"/>
      <c r="O42" s="91"/>
      <c r="P42" s="92"/>
      <c r="Q42" s="93"/>
      <c r="R42" s="93"/>
      <c r="S42" s="93"/>
      <c r="T42" s="93"/>
      <c r="U42" s="93"/>
      <c r="V42" s="93"/>
    </row>
    <row r="43" spans="1:22" ht="21" customHeight="1" x14ac:dyDescent="0.15">
      <c r="A43" s="79"/>
      <c r="B43" s="79"/>
      <c r="C43" s="79"/>
      <c r="D43" s="79"/>
      <c r="E43" s="79"/>
      <c r="F43" s="79"/>
      <c r="G43" s="79"/>
      <c r="H43" s="79"/>
      <c r="I43" s="79"/>
      <c r="J43" s="79"/>
      <c r="K43" s="79"/>
      <c r="L43" s="79"/>
      <c r="M43" s="79"/>
      <c r="N43" s="79"/>
      <c r="O43" s="91"/>
      <c r="P43" s="92"/>
      <c r="Q43" s="93"/>
      <c r="R43" s="93"/>
      <c r="S43" s="93"/>
      <c r="T43" s="93"/>
      <c r="U43" s="93"/>
      <c r="V43" s="93"/>
    </row>
    <row r="44" spans="1:22" ht="21" customHeight="1" x14ac:dyDescent="0.15">
      <c r="A44" s="79"/>
      <c r="B44" s="79"/>
      <c r="C44" s="79"/>
      <c r="D44" s="79"/>
      <c r="E44" s="79"/>
      <c r="F44" s="79"/>
      <c r="G44" s="79"/>
      <c r="H44" s="79"/>
      <c r="I44" s="79"/>
      <c r="J44" s="79"/>
      <c r="K44" s="79"/>
      <c r="L44" s="79"/>
      <c r="M44" s="79"/>
      <c r="N44" s="79"/>
      <c r="O44" s="91"/>
      <c r="P44" s="92"/>
      <c r="Q44" s="93"/>
      <c r="R44" s="93"/>
      <c r="S44" s="93"/>
      <c r="T44" s="93"/>
      <c r="U44" s="93"/>
      <c r="V44" s="93"/>
    </row>
    <row r="45" spans="1:22" ht="21" customHeight="1" x14ac:dyDescent="0.15">
      <c r="A45" s="79"/>
      <c r="B45" s="79"/>
      <c r="C45" s="79"/>
      <c r="D45" s="79"/>
      <c r="E45" s="79"/>
      <c r="F45" s="79"/>
      <c r="G45" s="79"/>
      <c r="H45" s="79"/>
      <c r="I45" s="79"/>
      <c r="J45" s="79"/>
      <c r="K45" s="79"/>
      <c r="L45" s="79"/>
      <c r="M45" s="79"/>
      <c r="N45" s="79"/>
      <c r="O45" s="91"/>
      <c r="P45" s="92"/>
      <c r="Q45" s="93"/>
      <c r="R45" s="93"/>
      <c r="S45" s="93"/>
      <c r="T45" s="93"/>
      <c r="U45" s="93"/>
      <c r="V45" s="93"/>
    </row>
    <row r="46" spans="1:22" ht="21" customHeight="1" x14ac:dyDescent="0.15">
      <c r="A46" s="79"/>
      <c r="B46" s="79"/>
      <c r="C46" s="79"/>
      <c r="D46" s="79"/>
      <c r="E46" s="79"/>
      <c r="F46" s="79"/>
      <c r="G46" s="79"/>
      <c r="H46" s="79"/>
      <c r="I46" s="79"/>
      <c r="J46" s="79"/>
      <c r="K46" s="79"/>
      <c r="L46" s="79"/>
      <c r="M46" s="79"/>
      <c r="N46" s="79"/>
      <c r="O46" s="91"/>
      <c r="P46" s="92"/>
      <c r="Q46" s="93"/>
      <c r="R46" s="93"/>
      <c r="S46" s="93"/>
      <c r="T46" s="93"/>
      <c r="U46" s="93"/>
      <c r="V46" s="93"/>
    </row>
    <row r="47" spans="1:22" ht="21" customHeight="1" x14ac:dyDescent="0.15">
      <c r="A47" s="79"/>
      <c r="B47" s="79"/>
      <c r="C47" s="79"/>
      <c r="D47" s="79"/>
      <c r="E47" s="79"/>
      <c r="F47" s="79"/>
      <c r="G47" s="79"/>
      <c r="H47" s="79"/>
      <c r="I47" s="79"/>
      <c r="J47" s="79"/>
      <c r="K47" s="79"/>
      <c r="L47" s="79"/>
      <c r="M47" s="79"/>
      <c r="N47" s="79"/>
      <c r="O47" s="91"/>
      <c r="P47" s="92"/>
      <c r="Q47" s="93"/>
      <c r="R47" s="93"/>
      <c r="S47" s="93"/>
      <c r="T47" s="93"/>
      <c r="U47" s="93"/>
      <c r="V47" s="93"/>
    </row>
    <row r="48" spans="1:22" ht="21" customHeight="1" x14ac:dyDescent="0.15">
      <c r="A48" s="79"/>
      <c r="B48" s="79"/>
      <c r="C48" s="79"/>
      <c r="D48" s="79"/>
      <c r="E48" s="79"/>
      <c r="F48" s="79"/>
      <c r="G48" s="79"/>
      <c r="H48" s="79"/>
      <c r="I48" s="79"/>
      <c r="J48" s="79"/>
      <c r="K48" s="79"/>
      <c r="L48" s="79"/>
      <c r="M48" s="79"/>
      <c r="N48" s="79"/>
      <c r="O48" s="91"/>
      <c r="P48" s="92"/>
      <c r="Q48" s="93"/>
      <c r="R48" s="93"/>
      <c r="S48" s="93"/>
      <c r="T48" s="93"/>
      <c r="U48" s="93"/>
      <c r="V48" s="93"/>
    </row>
    <row r="49" spans="1:22" ht="21" customHeight="1" x14ac:dyDescent="0.15">
      <c r="A49" s="79"/>
      <c r="B49" s="79"/>
      <c r="C49" s="79"/>
      <c r="D49" s="79"/>
      <c r="E49" s="79"/>
      <c r="F49" s="79"/>
      <c r="G49" s="79"/>
      <c r="H49" s="79"/>
      <c r="I49" s="79"/>
      <c r="J49" s="79"/>
      <c r="K49" s="79"/>
      <c r="L49" s="79"/>
      <c r="M49" s="79"/>
      <c r="N49" s="79"/>
      <c r="O49" s="91"/>
      <c r="P49" s="92"/>
      <c r="Q49" s="93"/>
      <c r="R49" s="93"/>
      <c r="S49" s="93"/>
      <c r="T49" s="93"/>
      <c r="U49" s="93"/>
      <c r="V49" s="93"/>
    </row>
    <row r="50" spans="1:22" ht="21" customHeight="1" x14ac:dyDescent="0.15">
      <c r="A50" s="79"/>
      <c r="B50" s="79"/>
      <c r="C50" s="79"/>
      <c r="D50" s="79"/>
      <c r="E50" s="79"/>
      <c r="F50" s="79"/>
      <c r="G50" s="79"/>
      <c r="H50" s="79"/>
      <c r="I50" s="79"/>
      <c r="J50" s="79"/>
      <c r="K50" s="79"/>
      <c r="L50" s="79"/>
      <c r="M50" s="79"/>
      <c r="N50" s="79"/>
      <c r="O50" s="91"/>
      <c r="P50" s="92"/>
      <c r="Q50" s="93"/>
      <c r="R50" s="93"/>
      <c r="S50" s="93"/>
      <c r="T50" s="93"/>
      <c r="U50" s="93"/>
      <c r="V50" s="93"/>
    </row>
    <row r="51" spans="1:22" ht="21" customHeight="1" x14ac:dyDescent="0.15">
      <c r="A51" s="79"/>
      <c r="B51" s="79"/>
      <c r="C51" s="79"/>
      <c r="D51" s="79"/>
      <c r="E51" s="79"/>
      <c r="F51" s="79"/>
      <c r="G51" s="79"/>
      <c r="H51" s="79"/>
      <c r="I51" s="79"/>
      <c r="J51" s="79"/>
      <c r="K51" s="79"/>
      <c r="L51" s="79"/>
      <c r="M51" s="79"/>
      <c r="N51" s="79"/>
      <c r="O51" s="91"/>
      <c r="P51" s="92"/>
      <c r="Q51" s="93"/>
      <c r="R51" s="93"/>
      <c r="S51" s="93"/>
      <c r="T51" s="93"/>
      <c r="U51" s="93"/>
      <c r="V51" s="93"/>
    </row>
    <row r="52" spans="1:22" ht="21" customHeight="1" x14ac:dyDescent="0.15">
      <c r="A52" s="79"/>
      <c r="B52" s="79"/>
      <c r="C52" s="79"/>
      <c r="D52" s="79"/>
      <c r="E52" s="79"/>
      <c r="F52" s="79"/>
      <c r="G52" s="79"/>
      <c r="H52" s="79"/>
      <c r="I52" s="79"/>
      <c r="J52" s="79"/>
      <c r="K52" s="79"/>
      <c r="L52" s="79"/>
      <c r="M52" s="79"/>
      <c r="N52" s="79"/>
      <c r="O52" s="91"/>
      <c r="P52" s="92"/>
      <c r="Q52" s="93"/>
      <c r="R52" s="93"/>
      <c r="S52" s="93"/>
      <c r="T52" s="93"/>
      <c r="U52" s="93"/>
      <c r="V52" s="93"/>
    </row>
    <row r="53" spans="1:22" ht="21" customHeight="1" x14ac:dyDescent="0.15">
      <c r="A53" s="79"/>
      <c r="B53" s="79"/>
      <c r="C53" s="79"/>
      <c r="D53" s="79"/>
      <c r="E53" s="79"/>
      <c r="F53" s="79"/>
      <c r="G53" s="79"/>
      <c r="H53" s="79"/>
      <c r="I53" s="79"/>
      <c r="J53" s="79"/>
      <c r="K53" s="79"/>
      <c r="L53" s="79"/>
      <c r="M53" s="79"/>
      <c r="N53" s="79"/>
      <c r="O53" s="91"/>
      <c r="P53" s="92"/>
      <c r="Q53" s="93"/>
      <c r="R53" s="93"/>
      <c r="S53" s="93"/>
      <c r="T53" s="93"/>
      <c r="U53" s="93"/>
      <c r="V53" s="93"/>
    </row>
    <row r="54" spans="1:22" ht="21" customHeight="1" x14ac:dyDescent="0.15">
      <c r="A54" s="79"/>
      <c r="B54" s="79"/>
      <c r="C54" s="79"/>
      <c r="D54" s="79"/>
      <c r="E54" s="79"/>
      <c r="F54" s="79"/>
      <c r="G54" s="79"/>
      <c r="H54" s="79"/>
      <c r="I54" s="79"/>
      <c r="J54" s="79"/>
      <c r="K54" s="79"/>
      <c r="L54" s="79"/>
      <c r="M54" s="79"/>
      <c r="N54" s="79"/>
      <c r="O54" s="91"/>
      <c r="P54" s="92"/>
      <c r="Q54" s="93"/>
      <c r="R54" s="93"/>
      <c r="S54" s="93"/>
      <c r="T54" s="93"/>
      <c r="U54" s="93"/>
      <c r="V54" s="93"/>
    </row>
    <row r="55" spans="1:22" ht="21" customHeight="1" x14ac:dyDescent="0.15">
      <c r="A55" s="79"/>
      <c r="B55" s="79"/>
      <c r="C55" s="79"/>
      <c r="D55" s="79"/>
      <c r="E55" s="79"/>
      <c r="F55" s="79"/>
      <c r="G55" s="79"/>
      <c r="H55" s="79"/>
      <c r="I55" s="79"/>
      <c r="J55" s="79"/>
      <c r="K55" s="79"/>
      <c r="L55" s="79"/>
      <c r="M55" s="79"/>
      <c r="N55" s="79"/>
      <c r="O55" s="91"/>
      <c r="P55" s="92"/>
      <c r="Q55" s="93"/>
      <c r="R55" s="93"/>
      <c r="S55" s="93"/>
      <c r="T55" s="93"/>
      <c r="U55" s="93"/>
      <c r="V55" s="93"/>
    </row>
    <row r="56" spans="1:22" ht="21" customHeight="1" x14ac:dyDescent="0.15">
      <c r="A56" s="79"/>
      <c r="B56" s="79"/>
      <c r="C56" s="79"/>
      <c r="D56" s="79"/>
      <c r="E56" s="79"/>
      <c r="F56" s="79"/>
      <c r="G56" s="79"/>
      <c r="H56" s="79"/>
      <c r="I56" s="79"/>
      <c r="J56" s="79"/>
      <c r="K56" s="79"/>
      <c r="L56" s="79"/>
      <c r="M56" s="79"/>
      <c r="N56" s="79"/>
      <c r="O56" s="91"/>
      <c r="P56" s="92"/>
      <c r="Q56" s="93"/>
      <c r="R56" s="93"/>
      <c r="S56" s="93"/>
      <c r="T56" s="93"/>
      <c r="U56" s="93"/>
      <c r="V56" s="93"/>
    </row>
    <row r="57" spans="1:22" ht="21" customHeight="1" x14ac:dyDescent="0.15">
      <c r="A57" s="79"/>
      <c r="B57" s="79"/>
      <c r="C57" s="79"/>
      <c r="D57" s="79"/>
      <c r="E57" s="79"/>
      <c r="F57" s="79"/>
      <c r="G57" s="79"/>
      <c r="H57" s="79"/>
      <c r="I57" s="79"/>
      <c r="J57" s="79"/>
      <c r="K57" s="79"/>
      <c r="L57" s="79"/>
      <c r="M57" s="79"/>
      <c r="N57" s="79"/>
      <c r="O57" s="91"/>
      <c r="P57" s="92"/>
      <c r="Q57" s="93"/>
      <c r="R57" s="93"/>
      <c r="S57" s="93"/>
      <c r="T57" s="93"/>
      <c r="U57" s="93"/>
      <c r="V57" s="93"/>
    </row>
    <row r="58" spans="1:22" ht="21" customHeight="1" x14ac:dyDescent="0.15">
      <c r="A58" s="79"/>
      <c r="B58" s="79"/>
      <c r="C58" s="79"/>
      <c r="D58" s="79"/>
      <c r="E58" s="79"/>
      <c r="F58" s="79"/>
      <c r="G58" s="79"/>
      <c r="H58" s="79"/>
      <c r="I58" s="79"/>
      <c r="J58" s="79"/>
      <c r="K58" s="79"/>
      <c r="L58" s="79"/>
      <c r="M58" s="79"/>
      <c r="N58" s="79"/>
      <c r="O58" s="91"/>
      <c r="P58" s="92"/>
      <c r="Q58" s="93"/>
      <c r="R58" s="93"/>
      <c r="S58" s="93"/>
      <c r="T58" s="93"/>
      <c r="U58" s="93"/>
      <c r="V58" s="93"/>
    </row>
    <row r="59" spans="1:22" ht="21" customHeight="1" x14ac:dyDescent="0.15">
      <c r="A59" s="79"/>
      <c r="B59" s="79"/>
      <c r="C59" s="79"/>
      <c r="D59" s="79"/>
      <c r="E59" s="79"/>
      <c r="F59" s="79"/>
      <c r="G59" s="79"/>
      <c r="H59" s="79"/>
      <c r="I59" s="79"/>
      <c r="J59" s="79"/>
      <c r="K59" s="79"/>
      <c r="L59" s="79"/>
      <c r="M59" s="79"/>
      <c r="N59" s="79"/>
      <c r="O59" s="91"/>
      <c r="P59" s="92"/>
      <c r="Q59" s="93"/>
      <c r="R59" s="93"/>
      <c r="S59" s="93"/>
      <c r="T59" s="93"/>
      <c r="U59" s="93"/>
      <c r="V59" s="93"/>
    </row>
    <row r="60" spans="1:22" ht="21" customHeight="1" x14ac:dyDescent="0.15">
      <c r="A60" s="79"/>
      <c r="B60" s="79"/>
      <c r="C60" s="79"/>
      <c r="D60" s="79"/>
      <c r="E60" s="79"/>
      <c r="F60" s="79"/>
      <c r="G60" s="79"/>
      <c r="H60" s="79"/>
      <c r="I60" s="79"/>
      <c r="J60" s="79"/>
      <c r="K60" s="79"/>
      <c r="L60" s="79"/>
      <c r="M60" s="79"/>
      <c r="N60" s="79"/>
      <c r="O60" s="91"/>
      <c r="P60" s="92"/>
      <c r="Q60" s="93"/>
      <c r="R60" s="93"/>
      <c r="S60" s="93"/>
      <c r="T60" s="93"/>
      <c r="U60" s="93"/>
      <c r="V60" s="93"/>
    </row>
    <row r="61" spans="1:22" ht="21" customHeight="1" x14ac:dyDescent="0.15">
      <c r="A61" s="79"/>
      <c r="B61" s="79"/>
      <c r="C61" s="79"/>
      <c r="D61" s="79"/>
      <c r="E61" s="79"/>
      <c r="F61" s="79"/>
      <c r="G61" s="79"/>
      <c r="H61" s="79"/>
      <c r="I61" s="79"/>
      <c r="J61" s="79"/>
      <c r="K61" s="79"/>
      <c r="L61" s="79"/>
      <c r="M61" s="79"/>
      <c r="N61" s="79"/>
      <c r="O61" s="91"/>
      <c r="P61" s="92"/>
      <c r="Q61" s="93"/>
      <c r="R61" s="93"/>
      <c r="S61" s="93"/>
      <c r="T61" s="93"/>
      <c r="U61" s="93"/>
      <c r="V61" s="93"/>
    </row>
    <row r="62" spans="1:22" ht="21" customHeight="1" x14ac:dyDescent="0.15">
      <c r="A62" s="79"/>
      <c r="B62" s="79"/>
      <c r="C62" s="79"/>
      <c r="D62" s="79"/>
      <c r="E62" s="79"/>
      <c r="F62" s="79"/>
      <c r="G62" s="79"/>
      <c r="H62" s="79"/>
      <c r="I62" s="79"/>
      <c r="J62" s="79"/>
      <c r="K62" s="79"/>
      <c r="L62" s="79"/>
      <c r="M62" s="79"/>
      <c r="N62" s="79"/>
      <c r="O62" s="91"/>
      <c r="P62" s="92"/>
      <c r="Q62" s="93"/>
      <c r="R62" s="93"/>
      <c r="S62" s="93"/>
      <c r="T62" s="93"/>
      <c r="U62" s="93"/>
      <c r="V62" s="93"/>
    </row>
    <row r="63" spans="1:22" ht="21" customHeight="1" x14ac:dyDescent="0.15">
      <c r="A63" s="79"/>
      <c r="B63" s="79"/>
      <c r="C63" s="79"/>
      <c r="D63" s="79"/>
      <c r="E63" s="79"/>
      <c r="F63" s="79"/>
      <c r="G63" s="79"/>
      <c r="H63" s="79"/>
      <c r="I63" s="79"/>
      <c r="J63" s="79"/>
      <c r="K63" s="79"/>
      <c r="L63" s="79"/>
      <c r="M63" s="79"/>
      <c r="N63" s="79"/>
      <c r="O63" s="91"/>
      <c r="P63" s="92"/>
      <c r="Q63" s="93"/>
      <c r="R63" s="93"/>
      <c r="S63" s="93"/>
      <c r="T63" s="93"/>
      <c r="U63" s="93"/>
      <c r="V63" s="93"/>
    </row>
    <row r="64" spans="1:22" ht="21" customHeight="1" x14ac:dyDescent="0.15">
      <c r="A64" s="79"/>
      <c r="B64" s="79"/>
      <c r="C64" s="79"/>
      <c r="D64" s="79"/>
      <c r="E64" s="79"/>
      <c r="F64" s="79"/>
      <c r="G64" s="79"/>
      <c r="H64" s="79"/>
      <c r="I64" s="79"/>
      <c r="J64" s="79"/>
      <c r="K64" s="79"/>
      <c r="L64" s="79"/>
      <c r="M64" s="79"/>
      <c r="N64" s="79"/>
      <c r="O64" s="91"/>
      <c r="P64" s="92"/>
      <c r="Q64" s="93"/>
      <c r="R64" s="93"/>
      <c r="S64" s="93"/>
      <c r="T64" s="93"/>
      <c r="U64" s="93"/>
      <c r="V64" s="93"/>
    </row>
    <row r="65" spans="1:22" ht="21" customHeight="1" x14ac:dyDescent="0.15">
      <c r="A65" s="79"/>
      <c r="B65" s="79"/>
      <c r="C65" s="79"/>
      <c r="D65" s="79"/>
      <c r="E65" s="79"/>
      <c r="F65" s="79"/>
      <c r="G65" s="79"/>
      <c r="H65" s="79"/>
      <c r="I65" s="79"/>
      <c r="J65" s="79"/>
      <c r="K65" s="79"/>
      <c r="L65" s="79"/>
      <c r="M65" s="79"/>
      <c r="N65" s="79"/>
      <c r="O65" s="91"/>
      <c r="P65" s="92"/>
      <c r="Q65" s="93"/>
      <c r="R65" s="93"/>
      <c r="S65" s="93"/>
      <c r="T65" s="93"/>
      <c r="U65" s="93"/>
      <c r="V65" s="93"/>
    </row>
    <row r="66" spans="1:22" ht="21" customHeight="1" x14ac:dyDescent="0.15">
      <c r="A66" s="79"/>
      <c r="B66" s="79"/>
      <c r="C66" s="79"/>
      <c r="D66" s="79"/>
      <c r="E66" s="79"/>
      <c r="F66" s="79"/>
      <c r="G66" s="79"/>
      <c r="H66" s="79"/>
      <c r="I66" s="79"/>
      <c r="J66" s="79"/>
      <c r="K66" s="79"/>
      <c r="L66" s="79"/>
      <c r="M66" s="79"/>
      <c r="N66" s="79"/>
      <c r="O66" s="91"/>
      <c r="P66" s="92"/>
      <c r="Q66" s="93"/>
      <c r="R66" s="93"/>
      <c r="S66" s="93"/>
      <c r="T66" s="93"/>
      <c r="U66" s="93"/>
      <c r="V66" s="93"/>
    </row>
    <row r="67" spans="1:22" ht="21" customHeight="1" x14ac:dyDescent="0.15">
      <c r="A67" s="79"/>
      <c r="B67" s="79"/>
      <c r="C67" s="79"/>
      <c r="D67" s="79"/>
      <c r="E67" s="79"/>
      <c r="F67" s="79"/>
      <c r="G67" s="79"/>
      <c r="H67" s="79"/>
      <c r="I67" s="79"/>
      <c r="J67" s="79"/>
      <c r="K67" s="79"/>
      <c r="L67" s="79"/>
      <c r="M67" s="79"/>
      <c r="N67" s="79"/>
      <c r="O67" s="91"/>
      <c r="P67" s="92"/>
      <c r="Q67" s="93"/>
      <c r="R67" s="93"/>
      <c r="S67" s="93"/>
      <c r="T67" s="93"/>
      <c r="U67" s="93"/>
      <c r="V67" s="93"/>
    </row>
    <row r="68" spans="1:22" ht="21" customHeight="1" x14ac:dyDescent="0.15">
      <c r="A68" s="79"/>
      <c r="B68" s="79"/>
      <c r="C68" s="79"/>
      <c r="D68" s="79"/>
      <c r="E68" s="79"/>
      <c r="F68" s="79"/>
      <c r="G68" s="79"/>
      <c r="H68" s="79"/>
      <c r="I68" s="79"/>
      <c r="J68" s="79"/>
      <c r="K68" s="79"/>
      <c r="L68" s="79"/>
      <c r="M68" s="79"/>
      <c r="N68" s="79"/>
      <c r="O68" s="91"/>
      <c r="P68" s="92"/>
      <c r="Q68" s="93"/>
      <c r="R68" s="93"/>
      <c r="S68" s="93"/>
      <c r="T68" s="93"/>
      <c r="U68" s="93"/>
      <c r="V68" s="93"/>
    </row>
    <row r="69" spans="1:22" ht="21" customHeight="1" x14ac:dyDescent="0.15">
      <c r="A69" s="79"/>
      <c r="B69" s="79"/>
      <c r="C69" s="79"/>
      <c r="D69" s="79"/>
      <c r="E69" s="79"/>
      <c r="F69" s="79"/>
      <c r="G69" s="79"/>
      <c r="H69" s="79"/>
      <c r="I69" s="79"/>
      <c r="J69" s="79"/>
      <c r="K69" s="79"/>
      <c r="L69" s="79"/>
      <c r="M69" s="79"/>
      <c r="N69" s="79"/>
      <c r="O69" s="91"/>
      <c r="P69" s="92"/>
      <c r="Q69" s="93"/>
      <c r="R69" s="93"/>
      <c r="S69" s="93"/>
      <c r="T69" s="93"/>
      <c r="U69" s="93"/>
      <c r="V69" s="93"/>
    </row>
    <row r="70" spans="1:22" ht="21" customHeight="1" x14ac:dyDescent="0.15">
      <c r="A70" s="79"/>
      <c r="B70" s="79"/>
      <c r="C70" s="79"/>
      <c r="D70" s="79"/>
      <c r="E70" s="79"/>
      <c r="F70" s="79"/>
      <c r="G70" s="79"/>
      <c r="H70" s="79"/>
      <c r="I70" s="79"/>
      <c r="J70" s="79"/>
      <c r="K70" s="79"/>
      <c r="L70" s="79"/>
      <c r="M70" s="79"/>
      <c r="N70" s="79"/>
      <c r="O70" s="91"/>
      <c r="P70" s="92"/>
      <c r="Q70" s="93"/>
      <c r="R70" s="93"/>
      <c r="S70" s="93"/>
      <c r="T70" s="93"/>
      <c r="U70" s="93"/>
      <c r="V70" s="93"/>
    </row>
    <row r="71" spans="1:22" ht="21" customHeight="1" x14ac:dyDescent="0.15">
      <c r="A71" s="79"/>
      <c r="B71" s="79"/>
      <c r="C71" s="79"/>
      <c r="D71" s="79"/>
      <c r="E71" s="79"/>
      <c r="F71" s="79"/>
      <c r="G71" s="79"/>
      <c r="H71" s="79"/>
      <c r="I71" s="79"/>
      <c r="J71" s="79"/>
      <c r="K71" s="79"/>
      <c r="L71" s="79"/>
      <c r="M71" s="79"/>
      <c r="N71" s="79"/>
      <c r="O71" s="91"/>
      <c r="P71" s="92"/>
      <c r="Q71" s="93"/>
      <c r="R71" s="93"/>
      <c r="S71" s="93"/>
      <c r="T71" s="93"/>
      <c r="U71" s="93"/>
      <c r="V71" s="93"/>
    </row>
    <row r="72" spans="1:22" ht="21" customHeight="1" x14ac:dyDescent="0.15">
      <c r="A72" s="79"/>
      <c r="B72" s="79"/>
      <c r="C72" s="79"/>
      <c r="D72" s="79"/>
      <c r="E72" s="79"/>
      <c r="F72" s="79"/>
      <c r="G72" s="79"/>
      <c r="H72" s="79"/>
      <c r="I72" s="79"/>
      <c r="J72" s="79"/>
      <c r="K72" s="79"/>
      <c r="L72" s="79"/>
      <c r="M72" s="79"/>
      <c r="N72" s="79"/>
      <c r="O72" s="91"/>
      <c r="P72" s="92"/>
      <c r="Q72" s="93"/>
      <c r="R72" s="93"/>
      <c r="S72" s="93"/>
      <c r="T72" s="93"/>
      <c r="U72" s="93"/>
      <c r="V72" s="93"/>
    </row>
    <row r="73" spans="1:22" ht="21" customHeight="1" x14ac:dyDescent="0.15">
      <c r="A73" s="79"/>
      <c r="B73" s="79"/>
      <c r="C73" s="79"/>
      <c r="D73" s="79"/>
      <c r="E73" s="79"/>
      <c r="F73" s="79"/>
      <c r="G73" s="79"/>
      <c r="H73" s="79"/>
      <c r="I73" s="79"/>
      <c r="J73" s="79"/>
      <c r="K73" s="79"/>
      <c r="L73" s="79"/>
      <c r="M73" s="79"/>
      <c r="N73" s="79"/>
      <c r="O73" s="91"/>
      <c r="P73" s="92"/>
      <c r="Q73" s="93"/>
      <c r="R73" s="93"/>
      <c r="S73" s="93"/>
      <c r="T73" s="93"/>
      <c r="U73" s="93"/>
      <c r="V73" s="93"/>
    </row>
    <row r="74" spans="1:22" ht="21" customHeight="1" x14ac:dyDescent="0.15">
      <c r="A74" s="79"/>
      <c r="B74" s="79"/>
      <c r="C74" s="79"/>
      <c r="D74" s="79"/>
      <c r="E74" s="79"/>
      <c r="F74" s="79"/>
      <c r="G74" s="79"/>
      <c r="H74" s="79"/>
      <c r="I74" s="79"/>
      <c r="J74" s="79"/>
      <c r="K74" s="79"/>
      <c r="L74" s="79"/>
      <c r="M74" s="79"/>
      <c r="N74" s="79"/>
      <c r="O74" s="91"/>
      <c r="P74" s="92"/>
      <c r="Q74" s="93"/>
      <c r="R74" s="93"/>
      <c r="S74" s="93"/>
      <c r="T74" s="93"/>
      <c r="U74" s="93"/>
      <c r="V74" s="93"/>
    </row>
    <row r="75" spans="1:22" ht="21" customHeight="1" x14ac:dyDescent="0.15">
      <c r="A75" s="79"/>
      <c r="B75" s="79"/>
      <c r="C75" s="79"/>
      <c r="D75" s="79"/>
      <c r="E75" s="79"/>
      <c r="F75" s="79"/>
      <c r="G75" s="79"/>
      <c r="H75" s="79"/>
      <c r="I75" s="79"/>
      <c r="J75" s="79"/>
      <c r="K75" s="79"/>
      <c r="L75" s="79"/>
      <c r="M75" s="79"/>
      <c r="N75" s="79"/>
      <c r="O75" s="91"/>
      <c r="P75" s="92"/>
      <c r="Q75" s="93"/>
      <c r="R75" s="93"/>
      <c r="S75" s="93"/>
      <c r="T75" s="93"/>
      <c r="U75" s="93"/>
      <c r="V75" s="93"/>
    </row>
    <row r="76" spans="1:22" ht="21" customHeight="1" x14ac:dyDescent="0.15">
      <c r="A76" s="79"/>
      <c r="B76" s="79"/>
      <c r="C76" s="79"/>
      <c r="D76" s="79"/>
      <c r="E76" s="79"/>
      <c r="F76" s="79"/>
      <c r="G76" s="79"/>
      <c r="H76" s="79"/>
      <c r="I76" s="79"/>
      <c r="J76" s="79"/>
      <c r="K76" s="79"/>
      <c r="L76" s="79"/>
      <c r="M76" s="79"/>
      <c r="N76" s="79"/>
      <c r="O76" s="91"/>
      <c r="P76" s="92"/>
      <c r="Q76" s="93"/>
      <c r="R76" s="93"/>
      <c r="S76" s="93"/>
      <c r="T76" s="93"/>
      <c r="U76" s="93"/>
      <c r="V76" s="93"/>
    </row>
    <row r="77" spans="1:22" ht="21" customHeight="1" x14ac:dyDescent="0.15">
      <c r="A77" s="79"/>
      <c r="B77" s="79"/>
      <c r="C77" s="79"/>
      <c r="D77" s="79"/>
      <c r="E77" s="79"/>
      <c r="F77" s="79"/>
      <c r="G77" s="79"/>
      <c r="H77" s="79"/>
      <c r="I77" s="79"/>
      <c r="J77" s="79"/>
      <c r="K77" s="79"/>
      <c r="L77" s="79"/>
      <c r="M77" s="79"/>
      <c r="N77" s="79"/>
      <c r="O77" s="91"/>
      <c r="P77" s="92"/>
      <c r="Q77" s="93"/>
      <c r="R77" s="93"/>
      <c r="S77" s="93"/>
      <c r="T77" s="93"/>
      <c r="U77" s="93"/>
      <c r="V77" s="93"/>
    </row>
    <row r="78" spans="1:22" ht="21" customHeight="1" x14ac:dyDescent="0.15">
      <c r="A78" s="79"/>
      <c r="B78" s="79"/>
      <c r="C78" s="79"/>
      <c r="D78" s="79"/>
      <c r="E78" s="79"/>
      <c r="F78" s="79"/>
      <c r="G78" s="79"/>
      <c r="H78" s="79"/>
      <c r="I78" s="79"/>
      <c r="J78" s="79"/>
      <c r="K78" s="79"/>
      <c r="L78" s="79"/>
      <c r="M78" s="79"/>
      <c r="N78" s="79"/>
      <c r="O78" s="91"/>
      <c r="P78" s="92"/>
      <c r="Q78" s="93"/>
      <c r="R78" s="93"/>
      <c r="S78" s="93"/>
      <c r="T78" s="93"/>
      <c r="U78" s="93"/>
      <c r="V78" s="93"/>
    </row>
    <row r="79" spans="1:22" ht="21" customHeight="1" x14ac:dyDescent="0.15">
      <c r="A79" s="79"/>
      <c r="B79" s="79"/>
      <c r="C79" s="79"/>
      <c r="D79" s="79"/>
      <c r="E79" s="79"/>
      <c r="F79" s="79"/>
      <c r="G79" s="79"/>
      <c r="H79" s="79"/>
      <c r="I79" s="79"/>
      <c r="J79" s="79"/>
      <c r="K79" s="79"/>
      <c r="L79" s="79"/>
      <c r="M79" s="79"/>
      <c r="N79" s="79"/>
      <c r="O79" s="91"/>
      <c r="P79" s="92"/>
      <c r="Q79" s="93"/>
      <c r="R79" s="93"/>
      <c r="S79" s="93"/>
      <c r="T79" s="93"/>
      <c r="U79" s="93"/>
      <c r="V79" s="93"/>
    </row>
    <row r="80" spans="1:22" ht="21" customHeight="1" x14ac:dyDescent="0.15">
      <c r="A80" s="79"/>
      <c r="B80" s="79"/>
      <c r="C80" s="79"/>
      <c r="D80" s="79"/>
      <c r="E80" s="79"/>
      <c r="F80" s="79"/>
      <c r="G80" s="79"/>
      <c r="H80" s="79"/>
      <c r="I80" s="79"/>
      <c r="J80" s="79"/>
      <c r="K80" s="79"/>
      <c r="L80" s="79"/>
      <c r="M80" s="79"/>
      <c r="N80" s="79"/>
      <c r="O80" s="91"/>
      <c r="P80" s="92"/>
      <c r="Q80" s="93"/>
      <c r="R80" s="93"/>
      <c r="S80" s="93"/>
      <c r="T80" s="93"/>
      <c r="U80" s="93"/>
      <c r="V80" s="93"/>
    </row>
    <row r="81" spans="1:22" ht="21" customHeight="1" x14ac:dyDescent="0.15">
      <c r="A81" s="79"/>
      <c r="B81" s="79"/>
      <c r="C81" s="79"/>
      <c r="D81" s="79"/>
      <c r="E81" s="79"/>
      <c r="F81" s="79"/>
      <c r="G81" s="79"/>
      <c r="H81" s="79"/>
      <c r="I81" s="79"/>
      <c r="J81" s="79"/>
      <c r="K81" s="79"/>
      <c r="L81" s="79"/>
      <c r="M81" s="79"/>
      <c r="N81" s="79"/>
      <c r="O81" s="91"/>
      <c r="P81" s="92"/>
      <c r="Q81" s="93"/>
      <c r="R81" s="93"/>
      <c r="S81" s="93"/>
      <c r="T81" s="93"/>
      <c r="U81" s="93"/>
      <c r="V81" s="93"/>
    </row>
    <row r="82" spans="1:22" ht="21" customHeight="1" x14ac:dyDescent="0.15">
      <c r="A82" s="79"/>
      <c r="B82" s="79"/>
      <c r="C82" s="79"/>
      <c r="D82" s="79"/>
      <c r="E82" s="79"/>
      <c r="F82" s="79"/>
      <c r="G82" s="79"/>
      <c r="H82" s="79"/>
      <c r="I82" s="79"/>
      <c r="J82" s="79"/>
      <c r="K82" s="79"/>
      <c r="L82" s="79"/>
      <c r="M82" s="79"/>
      <c r="N82" s="79"/>
      <c r="O82" s="91"/>
      <c r="P82" s="92"/>
      <c r="Q82" s="93"/>
      <c r="R82" s="93"/>
      <c r="S82" s="93"/>
      <c r="T82" s="93"/>
      <c r="U82" s="93"/>
      <c r="V82" s="93"/>
    </row>
    <row r="83" spans="1:22" ht="21" customHeight="1" x14ac:dyDescent="0.15">
      <c r="A83" s="79"/>
      <c r="B83" s="79"/>
      <c r="C83" s="79"/>
      <c r="D83" s="79"/>
      <c r="E83" s="79"/>
      <c r="F83" s="79"/>
      <c r="G83" s="79"/>
      <c r="H83" s="79"/>
      <c r="I83" s="79"/>
      <c r="J83" s="79"/>
      <c r="K83" s="79"/>
      <c r="L83" s="79"/>
      <c r="M83" s="79"/>
      <c r="N83" s="79"/>
      <c r="O83" s="91"/>
      <c r="P83" s="92"/>
      <c r="Q83" s="93"/>
      <c r="R83" s="93"/>
      <c r="S83" s="93"/>
      <c r="T83" s="93"/>
      <c r="U83" s="93"/>
      <c r="V83" s="93"/>
    </row>
    <row r="84" spans="1:22" ht="21" customHeight="1" x14ac:dyDescent="0.15">
      <c r="A84" s="79"/>
      <c r="B84" s="79"/>
      <c r="C84" s="79"/>
      <c r="D84" s="79"/>
      <c r="E84" s="79"/>
      <c r="F84" s="79"/>
      <c r="G84" s="79"/>
      <c r="H84" s="79"/>
      <c r="I84" s="79"/>
      <c r="J84" s="79"/>
      <c r="K84" s="79"/>
      <c r="L84" s="79"/>
      <c r="M84" s="79"/>
      <c r="N84" s="79"/>
      <c r="O84" s="91"/>
      <c r="P84" s="92"/>
      <c r="Q84" s="93"/>
      <c r="R84" s="93"/>
      <c r="S84" s="93"/>
      <c r="T84" s="93"/>
      <c r="U84" s="93"/>
      <c r="V84" s="93"/>
    </row>
    <row r="85" spans="1:22" ht="21" customHeight="1" x14ac:dyDescent="0.15">
      <c r="A85" s="79"/>
      <c r="B85" s="79"/>
      <c r="C85" s="79"/>
      <c r="D85" s="79"/>
      <c r="E85" s="79"/>
      <c r="F85" s="79"/>
      <c r="G85" s="79"/>
      <c r="H85" s="79"/>
      <c r="I85" s="79"/>
      <c r="J85" s="79"/>
      <c r="K85" s="79"/>
      <c r="L85" s="79"/>
      <c r="M85" s="79"/>
      <c r="N85" s="79"/>
      <c r="O85" s="91"/>
      <c r="P85" s="92"/>
      <c r="Q85" s="93"/>
      <c r="R85" s="93"/>
      <c r="S85" s="93"/>
      <c r="T85" s="93"/>
      <c r="U85" s="93"/>
      <c r="V85" s="93"/>
    </row>
    <row r="86" spans="1:22" ht="21" customHeight="1" x14ac:dyDescent="0.15">
      <c r="A86" s="79"/>
      <c r="B86" s="79"/>
      <c r="C86" s="79"/>
      <c r="D86" s="79"/>
      <c r="E86" s="79"/>
      <c r="F86" s="79"/>
      <c r="G86" s="79"/>
      <c r="H86" s="79"/>
      <c r="I86" s="79"/>
      <c r="J86" s="79"/>
      <c r="K86" s="79"/>
      <c r="L86" s="79"/>
      <c r="M86" s="79"/>
      <c r="N86" s="79"/>
      <c r="O86" s="91"/>
      <c r="P86" s="92"/>
      <c r="Q86" s="93"/>
      <c r="R86" s="93"/>
      <c r="S86" s="93"/>
      <c r="T86" s="93"/>
      <c r="U86" s="93"/>
      <c r="V86" s="93"/>
    </row>
    <row r="87" spans="1:22" ht="21" customHeight="1" x14ac:dyDescent="0.15">
      <c r="A87" s="79"/>
      <c r="B87" s="79"/>
      <c r="C87" s="79"/>
      <c r="D87" s="79"/>
      <c r="E87" s="79"/>
      <c r="F87" s="79"/>
      <c r="G87" s="79"/>
      <c r="H87" s="79"/>
      <c r="I87" s="79"/>
      <c r="J87" s="79"/>
      <c r="K87" s="79"/>
      <c r="L87" s="79"/>
      <c r="M87" s="79"/>
      <c r="N87" s="79"/>
      <c r="O87" s="91"/>
      <c r="P87" s="92"/>
      <c r="Q87" s="93"/>
      <c r="R87" s="93"/>
      <c r="S87" s="93"/>
      <c r="T87" s="93"/>
      <c r="U87" s="93"/>
      <c r="V87" s="93"/>
    </row>
    <row r="88" spans="1:22" ht="21" customHeight="1" x14ac:dyDescent="0.15">
      <c r="A88" s="79"/>
      <c r="B88" s="79"/>
      <c r="C88" s="79"/>
      <c r="D88" s="79"/>
      <c r="E88" s="79"/>
      <c r="F88" s="79"/>
      <c r="G88" s="79"/>
      <c r="H88" s="79"/>
      <c r="I88" s="79"/>
      <c r="J88" s="79"/>
      <c r="K88" s="79"/>
      <c r="L88" s="79"/>
      <c r="M88" s="79"/>
      <c r="N88" s="79"/>
      <c r="O88" s="91"/>
      <c r="P88" s="92"/>
      <c r="Q88" s="93"/>
      <c r="R88" s="93"/>
      <c r="S88" s="93"/>
      <c r="T88" s="93"/>
      <c r="U88" s="93"/>
      <c r="V88" s="93"/>
    </row>
    <row r="89" spans="1:22" ht="21" customHeight="1" x14ac:dyDescent="0.15">
      <c r="A89" s="79"/>
      <c r="B89" s="79"/>
      <c r="C89" s="79"/>
      <c r="D89" s="79"/>
      <c r="E89" s="79"/>
      <c r="F89" s="79"/>
      <c r="G89" s="79"/>
      <c r="H89" s="79"/>
      <c r="I89" s="79"/>
      <c r="J89" s="79"/>
      <c r="K89" s="79"/>
      <c r="L89" s="79"/>
      <c r="M89" s="79"/>
      <c r="N89" s="79"/>
      <c r="O89" s="91"/>
      <c r="P89" s="92"/>
      <c r="Q89" s="93"/>
      <c r="R89" s="93"/>
      <c r="S89" s="93"/>
      <c r="T89" s="93"/>
      <c r="U89" s="93"/>
      <c r="V89" s="93"/>
    </row>
    <row r="90" spans="1:22" ht="21" customHeight="1" x14ac:dyDescent="0.15">
      <c r="A90" s="79"/>
      <c r="B90" s="79"/>
      <c r="C90" s="79"/>
      <c r="D90" s="79"/>
      <c r="E90" s="79"/>
      <c r="F90" s="79"/>
      <c r="G90" s="79"/>
      <c r="H90" s="79"/>
      <c r="I90" s="79"/>
      <c r="J90" s="79"/>
      <c r="K90" s="79"/>
      <c r="L90" s="79"/>
      <c r="M90" s="79"/>
      <c r="N90" s="79"/>
      <c r="O90" s="91"/>
      <c r="P90" s="92"/>
      <c r="Q90" s="93"/>
      <c r="R90" s="93"/>
      <c r="S90" s="93"/>
      <c r="T90" s="93"/>
      <c r="U90" s="93"/>
      <c r="V90" s="93"/>
    </row>
    <row r="91" spans="1:22" ht="21" customHeight="1" x14ac:dyDescent="0.15">
      <c r="A91" s="79"/>
      <c r="B91" s="79"/>
      <c r="C91" s="79"/>
      <c r="D91" s="79"/>
      <c r="E91" s="79"/>
      <c r="F91" s="79"/>
      <c r="G91" s="79"/>
      <c r="H91" s="79"/>
      <c r="I91" s="79"/>
      <c r="J91" s="79"/>
      <c r="K91" s="79"/>
      <c r="L91" s="79"/>
      <c r="M91" s="79"/>
      <c r="N91" s="79"/>
      <c r="O91" s="91"/>
      <c r="P91" s="92"/>
      <c r="Q91" s="93"/>
      <c r="R91" s="93"/>
      <c r="S91" s="93"/>
      <c r="T91" s="93"/>
      <c r="U91" s="93"/>
      <c r="V91" s="93"/>
    </row>
    <row r="92" spans="1:22" ht="21" customHeight="1" x14ac:dyDescent="0.15">
      <c r="A92" s="79"/>
      <c r="B92" s="79"/>
      <c r="C92" s="79"/>
      <c r="D92" s="79"/>
      <c r="E92" s="79"/>
      <c r="F92" s="79"/>
      <c r="G92" s="79"/>
      <c r="H92" s="79"/>
      <c r="I92" s="79"/>
      <c r="J92" s="79"/>
      <c r="K92" s="79"/>
      <c r="L92" s="79"/>
      <c r="M92" s="79"/>
      <c r="N92" s="79"/>
      <c r="O92" s="91"/>
      <c r="P92" s="92"/>
      <c r="Q92" s="93"/>
      <c r="R92" s="93"/>
      <c r="S92" s="93"/>
      <c r="T92" s="93"/>
      <c r="U92" s="93"/>
      <c r="V92" s="93"/>
    </row>
    <row r="93" spans="1:22" ht="21" customHeight="1" x14ac:dyDescent="0.15">
      <c r="A93" s="79"/>
      <c r="B93" s="79"/>
      <c r="C93" s="79"/>
      <c r="D93" s="79"/>
      <c r="E93" s="79"/>
      <c r="F93" s="79"/>
      <c r="G93" s="79"/>
      <c r="H93" s="79"/>
      <c r="I93" s="79"/>
      <c r="J93" s="79"/>
      <c r="K93" s="79"/>
      <c r="L93" s="79"/>
      <c r="M93" s="79"/>
      <c r="N93" s="79"/>
      <c r="O93" s="91"/>
      <c r="P93" s="92"/>
      <c r="Q93" s="93"/>
      <c r="R93" s="93"/>
      <c r="S93" s="93"/>
      <c r="T93" s="93"/>
      <c r="U93" s="93"/>
      <c r="V93" s="93"/>
    </row>
    <row r="94" spans="1:22" ht="21" customHeight="1" x14ac:dyDescent="0.15">
      <c r="A94" s="79"/>
      <c r="B94" s="79"/>
      <c r="C94" s="79"/>
      <c r="D94" s="79"/>
      <c r="E94" s="79"/>
      <c r="F94" s="79"/>
      <c r="G94" s="79"/>
      <c r="H94" s="79"/>
      <c r="I94" s="79"/>
      <c r="J94" s="79"/>
      <c r="K94" s="79"/>
      <c r="L94" s="79"/>
      <c r="M94" s="79"/>
      <c r="N94" s="79"/>
      <c r="O94" s="91"/>
      <c r="P94" s="92"/>
      <c r="Q94" s="93"/>
      <c r="R94" s="93"/>
      <c r="S94" s="93"/>
      <c r="T94" s="93"/>
      <c r="U94" s="93"/>
      <c r="V94" s="93"/>
    </row>
    <row r="95" spans="1:22" ht="21" customHeight="1" x14ac:dyDescent="0.15">
      <c r="A95" s="79"/>
      <c r="B95" s="79"/>
      <c r="C95" s="79"/>
      <c r="D95" s="79"/>
      <c r="E95" s="79"/>
      <c r="F95" s="79"/>
      <c r="G95" s="79"/>
      <c r="H95" s="79"/>
      <c r="I95" s="79"/>
      <c r="J95" s="79"/>
      <c r="K95" s="79"/>
      <c r="L95" s="79"/>
      <c r="M95" s="79"/>
      <c r="N95" s="79"/>
      <c r="O95" s="91"/>
      <c r="P95" s="92"/>
      <c r="Q95" s="93"/>
      <c r="R95" s="93"/>
      <c r="S95" s="93"/>
      <c r="T95" s="93"/>
      <c r="U95" s="93"/>
      <c r="V95" s="93"/>
    </row>
    <row r="96" spans="1:22" ht="21" customHeight="1" x14ac:dyDescent="0.15">
      <c r="A96" s="79"/>
      <c r="B96" s="79"/>
      <c r="C96" s="79"/>
      <c r="D96" s="79"/>
      <c r="E96" s="79"/>
      <c r="F96" s="79"/>
      <c r="G96" s="79"/>
      <c r="H96" s="79"/>
      <c r="I96" s="79"/>
      <c r="J96" s="79"/>
      <c r="K96" s="79"/>
      <c r="L96" s="79"/>
      <c r="M96" s="79"/>
      <c r="N96" s="79"/>
      <c r="O96" s="91"/>
      <c r="P96" s="92"/>
      <c r="Q96" s="93"/>
      <c r="R96" s="93"/>
      <c r="S96" s="93"/>
      <c r="T96" s="93"/>
      <c r="U96" s="93"/>
      <c r="V96" s="93"/>
    </row>
    <row r="97" spans="1:22" ht="21" customHeight="1" x14ac:dyDescent="0.15">
      <c r="A97" s="79"/>
      <c r="B97" s="79"/>
      <c r="C97" s="79"/>
      <c r="D97" s="79"/>
      <c r="E97" s="79"/>
      <c r="F97" s="79"/>
      <c r="G97" s="79"/>
      <c r="H97" s="79"/>
      <c r="I97" s="79"/>
      <c r="J97" s="79"/>
      <c r="K97" s="79"/>
      <c r="L97" s="79"/>
      <c r="M97" s="79"/>
      <c r="N97" s="79"/>
      <c r="O97" s="91"/>
      <c r="P97" s="92"/>
      <c r="Q97" s="93"/>
      <c r="R97" s="93"/>
      <c r="S97" s="93"/>
      <c r="T97" s="93"/>
      <c r="U97" s="93"/>
      <c r="V97" s="93"/>
    </row>
    <row r="98" spans="1:22" ht="21" customHeight="1" x14ac:dyDescent="0.15">
      <c r="A98" s="79"/>
      <c r="B98" s="79"/>
      <c r="C98" s="79"/>
      <c r="D98" s="79"/>
      <c r="E98" s="79"/>
      <c r="F98" s="79"/>
      <c r="G98" s="79"/>
      <c r="H98" s="79"/>
      <c r="I98" s="79"/>
      <c r="J98" s="79"/>
      <c r="K98" s="79"/>
      <c r="L98" s="79"/>
      <c r="M98" s="79"/>
      <c r="N98" s="79"/>
      <c r="O98" s="91"/>
      <c r="P98" s="92"/>
      <c r="Q98" s="93"/>
      <c r="R98" s="93"/>
      <c r="S98" s="93"/>
      <c r="T98" s="93"/>
      <c r="U98" s="93"/>
      <c r="V98" s="93"/>
    </row>
    <row r="99" spans="1:22" ht="21" customHeight="1" x14ac:dyDescent="0.15">
      <c r="A99" s="79"/>
      <c r="B99" s="79"/>
      <c r="C99" s="79"/>
      <c r="D99" s="79"/>
      <c r="E99" s="79"/>
      <c r="F99" s="79"/>
      <c r="G99" s="79"/>
      <c r="H99" s="79"/>
      <c r="I99" s="79"/>
      <c r="J99" s="79"/>
      <c r="K99" s="79"/>
      <c r="L99" s="79"/>
      <c r="M99" s="79"/>
      <c r="N99" s="79"/>
      <c r="O99" s="91"/>
      <c r="P99" s="92"/>
      <c r="Q99" s="93"/>
      <c r="R99" s="93"/>
      <c r="S99" s="93"/>
      <c r="T99" s="93"/>
      <c r="U99" s="93"/>
      <c r="V99" s="93"/>
    </row>
    <row r="100" spans="1:22" ht="21" customHeight="1" x14ac:dyDescent="0.15">
      <c r="A100" s="79"/>
      <c r="B100" s="79"/>
      <c r="C100" s="79"/>
      <c r="D100" s="79"/>
      <c r="E100" s="79"/>
      <c r="F100" s="79"/>
      <c r="G100" s="79"/>
      <c r="H100" s="79"/>
      <c r="I100" s="79"/>
      <c r="J100" s="79"/>
      <c r="K100" s="79"/>
      <c r="L100" s="79"/>
      <c r="M100" s="79"/>
      <c r="N100" s="79"/>
      <c r="O100" s="91"/>
      <c r="P100" s="92"/>
      <c r="Q100" s="93"/>
      <c r="R100" s="93"/>
      <c r="S100" s="93"/>
      <c r="T100" s="93"/>
      <c r="U100" s="93"/>
      <c r="V100" s="93"/>
    </row>
    <row r="101" spans="1:22" ht="21" customHeight="1" x14ac:dyDescent="0.15">
      <c r="A101" s="79"/>
      <c r="B101" s="79"/>
      <c r="C101" s="79"/>
      <c r="D101" s="79"/>
      <c r="E101" s="79"/>
      <c r="F101" s="79"/>
      <c r="G101" s="79"/>
      <c r="H101" s="79"/>
      <c r="I101" s="79"/>
      <c r="J101" s="79"/>
      <c r="K101" s="79"/>
      <c r="L101" s="79"/>
      <c r="M101" s="79"/>
      <c r="N101" s="79"/>
      <c r="O101" s="91"/>
      <c r="P101" s="92"/>
      <c r="Q101" s="93"/>
      <c r="R101" s="93"/>
      <c r="S101" s="93"/>
      <c r="T101" s="93"/>
      <c r="U101" s="93"/>
      <c r="V101" s="93"/>
    </row>
    <row r="102" spans="1:22" ht="21" customHeight="1" x14ac:dyDescent="0.15">
      <c r="A102" s="79"/>
      <c r="B102" s="79"/>
      <c r="C102" s="79"/>
      <c r="D102" s="79"/>
      <c r="E102" s="79"/>
      <c r="F102" s="79"/>
      <c r="G102" s="79"/>
      <c r="H102" s="79"/>
      <c r="I102" s="79"/>
      <c r="J102" s="79"/>
      <c r="K102" s="79"/>
      <c r="L102" s="79"/>
      <c r="M102" s="79"/>
      <c r="N102" s="79"/>
      <c r="O102" s="91"/>
      <c r="P102" s="92"/>
      <c r="Q102" s="93"/>
      <c r="R102" s="93"/>
      <c r="S102" s="93"/>
      <c r="T102" s="93"/>
      <c r="U102" s="93"/>
      <c r="V102" s="93"/>
    </row>
    <row r="103" spans="1:22" ht="21" customHeight="1" x14ac:dyDescent="0.15">
      <c r="A103" s="79"/>
      <c r="B103" s="79"/>
      <c r="C103" s="79"/>
      <c r="D103" s="79"/>
      <c r="E103" s="79"/>
      <c r="F103" s="79"/>
      <c r="G103" s="79"/>
      <c r="H103" s="79"/>
      <c r="I103" s="79"/>
      <c r="J103" s="79"/>
      <c r="K103" s="79"/>
      <c r="L103" s="79"/>
      <c r="M103" s="79"/>
      <c r="N103" s="79"/>
      <c r="O103" s="91"/>
      <c r="P103" s="92"/>
      <c r="Q103" s="93"/>
      <c r="R103" s="93"/>
      <c r="S103" s="93"/>
      <c r="T103" s="93"/>
      <c r="U103" s="93"/>
      <c r="V103" s="93"/>
    </row>
    <row r="104" spans="1:22" ht="21" customHeight="1" x14ac:dyDescent="0.15">
      <c r="A104" s="79"/>
      <c r="B104" s="79"/>
      <c r="C104" s="79"/>
      <c r="D104" s="79"/>
      <c r="E104" s="79"/>
      <c r="F104" s="79"/>
      <c r="G104" s="79"/>
      <c r="H104" s="79"/>
      <c r="I104" s="79"/>
      <c r="J104" s="79"/>
      <c r="K104" s="79"/>
      <c r="L104" s="79"/>
      <c r="M104" s="79"/>
      <c r="N104" s="79"/>
      <c r="O104" s="91"/>
      <c r="P104" s="92"/>
      <c r="Q104" s="93"/>
      <c r="R104" s="93"/>
      <c r="S104" s="93"/>
      <c r="T104" s="93"/>
      <c r="U104" s="93"/>
      <c r="V104" s="93"/>
    </row>
    <row r="105" spans="1:22" ht="21" customHeight="1" x14ac:dyDescent="0.15">
      <c r="A105" s="79"/>
      <c r="B105" s="79"/>
      <c r="C105" s="79"/>
      <c r="D105" s="79"/>
      <c r="E105" s="79"/>
      <c r="F105" s="79"/>
      <c r="G105" s="79"/>
      <c r="H105" s="79"/>
      <c r="I105" s="79"/>
      <c r="J105" s="79"/>
      <c r="K105" s="79"/>
      <c r="L105" s="79"/>
      <c r="M105" s="79"/>
      <c r="N105" s="79"/>
      <c r="O105" s="91"/>
      <c r="P105" s="92"/>
      <c r="Q105" s="93"/>
      <c r="R105" s="93"/>
      <c r="S105" s="93"/>
      <c r="T105" s="93"/>
      <c r="U105" s="93"/>
      <c r="V105" s="93"/>
    </row>
    <row r="106" spans="1:22" ht="21" customHeight="1" x14ac:dyDescent="0.15">
      <c r="A106" s="79"/>
      <c r="B106" s="79"/>
      <c r="C106" s="79"/>
      <c r="D106" s="79"/>
      <c r="E106" s="79"/>
      <c r="F106" s="79"/>
      <c r="G106" s="79"/>
      <c r="H106" s="79"/>
      <c r="I106" s="79"/>
      <c r="J106" s="79"/>
      <c r="K106" s="79"/>
      <c r="L106" s="79"/>
      <c r="M106" s="79"/>
      <c r="N106" s="79"/>
      <c r="O106" s="91"/>
      <c r="P106" s="92"/>
      <c r="Q106" s="93"/>
      <c r="R106" s="93"/>
      <c r="S106" s="93"/>
      <c r="T106" s="93"/>
      <c r="U106" s="93"/>
      <c r="V106" s="93"/>
    </row>
    <row r="107" spans="1:22" ht="21" customHeight="1" x14ac:dyDescent="0.15">
      <c r="A107" s="79"/>
      <c r="B107" s="79"/>
      <c r="C107" s="79"/>
      <c r="D107" s="79"/>
      <c r="E107" s="79"/>
      <c r="F107" s="79"/>
      <c r="G107" s="79"/>
      <c r="H107" s="79"/>
      <c r="I107" s="79"/>
      <c r="J107" s="79"/>
      <c r="K107" s="79"/>
      <c r="L107" s="79"/>
      <c r="M107" s="79"/>
      <c r="N107" s="79"/>
      <c r="O107" s="91"/>
      <c r="P107" s="92"/>
      <c r="Q107" s="93"/>
      <c r="R107" s="93"/>
      <c r="S107" s="93"/>
      <c r="T107" s="93"/>
      <c r="U107" s="93"/>
      <c r="V107" s="93"/>
    </row>
    <row r="108" spans="1:22" ht="21" customHeight="1" x14ac:dyDescent="0.15">
      <c r="A108" s="79"/>
      <c r="B108" s="79"/>
      <c r="C108" s="79"/>
      <c r="D108" s="79"/>
      <c r="E108" s="79"/>
      <c r="F108" s="79"/>
      <c r="G108" s="79"/>
      <c r="H108" s="79"/>
      <c r="I108" s="79"/>
      <c r="J108" s="79"/>
      <c r="K108" s="79"/>
      <c r="L108" s="79"/>
      <c r="M108" s="79"/>
      <c r="N108" s="79"/>
      <c r="O108" s="91"/>
      <c r="P108" s="92"/>
      <c r="Q108" s="93"/>
      <c r="R108" s="93"/>
      <c r="S108" s="93"/>
      <c r="T108" s="93"/>
      <c r="U108" s="93"/>
      <c r="V108" s="93"/>
    </row>
    <row r="109" spans="1:22" ht="21" customHeight="1" x14ac:dyDescent="0.15">
      <c r="A109" s="79"/>
      <c r="B109" s="79"/>
      <c r="C109" s="79"/>
      <c r="D109" s="79"/>
      <c r="E109" s="79"/>
      <c r="F109" s="79"/>
      <c r="G109" s="79"/>
      <c r="H109" s="79"/>
      <c r="I109" s="79"/>
      <c r="J109" s="79"/>
      <c r="K109" s="79"/>
      <c r="L109" s="79"/>
      <c r="M109" s="79"/>
      <c r="N109" s="79"/>
      <c r="O109" s="91"/>
      <c r="P109" s="92"/>
      <c r="Q109" s="93"/>
      <c r="R109" s="93"/>
      <c r="S109" s="93"/>
      <c r="T109" s="93"/>
      <c r="U109" s="93"/>
      <c r="V109" s="93"/>
    </row>
    <row r="110" spans="1:22" ht="21" customHeight="1" x14ac:dyDescent="0.15">
      <c r="A110" s="79"/>
      <c r="B110" s="79"/>
      <c r="C110" s="79"/>
      <c r="D110" s="79"/>
      <c r="E110" s="79"/>
      <c r="F110" s="79"/>
      <c r="G110" s="79"/>
      <c r="H110" s="79"/>
      <c r="I110" s="79"/>
      <c r="J110" s="79"/>
      <c r="K110" s="79"/>
      <c r="L110" s="79"/>
      <c r="M110" s="79"/>
      <c r="N110" s="79"/>
      <c r="O110" s="91"/>
      <c r="P110" s="92"/>
      <c r="Q110" s="93"/>
      <c r="R110" s="93"/>
      <c r="S110" s="93"/>
      <c r="T110" s="93"/>
      <c r="U110" s="93"/>
      <c r="V110" s="93"/>
    </row>
    <row r="111" spans="1:22" ht="21" customHeight="1" x14ac:dyDescent="0.15">
      <c r="A111" s="79"/>
      <c r="B111" s="79"/>
      <c r="C111" s="79"/>
      <c r="D111" s="79"/>
      <c r="E111" s="79"/>
      <c r="F111" s="79"/>
      <c r="G111" s="79"/>
      <c r="H111" s="79"/>
      <c r="I111" s="79"/>
      <c r="J111" s="79"/>
      <c r="K111" s="79"/>
      <c r="L111" s="79"/>
      <c r="M111" s="79"/>
      <c r="N111" s="79"/>
      <c r="O111" s="91"/>
      <c r="P111" s="92"/>
      <c r="Q111" s="93"/>
      <c r="R111" s="93"/>
      <c r="S111" s="93"/>
      <c r="T111" s="93"/>
      <c r="U111" s="93"/>
      <c r="V111" s="93"/>
    </row>
    <row r="112" spans="1:22" ht="21" customHeight="1" x14ac:dyDescent="0.15">
      <c r="A112" s="79"/>
      <c r="B112" s="79"/>
      <c r="C112" s="79"/>
      <c r="D112" s="79"/>
      <c r="E112" s="79"/>
      <c r="F112" s="79"/>
      <c r="G112" s="79"/>
      <c r="H112" s="79"/>
      <c r="I112" s="79"/>
      <c r="J112" s="79"/>
      <c r="K112" s="79"/>
      <c r="L112" s="79"/>
      <c r="M112" s="79"/>
      <c r="N112" s="79"/>
      <c r="O112" s="91"/>
      <c r="P112" s="92"/>
      <c r="Q112" s="93"/>
      <c r="R112" s="93"/>
      <c r="S112" s="93"/>
      <c r="T112" s="93"/>
      <c r="U112" s="93"/>
      <c r="V112" s="93"/>
    </row>
    <row r="113" spans="1:22" ht="21" customHeight="1" x14ac:dyDescent="0.15">
      <c r="A113" s="79"/>
      <c r="B113" s="79"/>
      <c r="C113" s="79"/>
      <c r="D113" s="79"/>
      <c r="E113" s="79"/>
      <c r="F113" s="79"/>
      <c r="G113" s="79"/>
      <c r="H113" s="79"/>
      <c r="I113" s="79"/>
      <c r="J113" s="79"/>
      <c r="K113" s="79"/>
      <c r="L113" s="79"/>
      <c r="M113" s="79"/>
      <c r="N113" s="79"/>
      <c r="O113" s="91"/>
      <c r="P113" s="92"/>
      <c r="Q113" s="93"/>
      <c r="R113" s="93"/>
      <c r="S113" s="93"/>
      <c r="T113" s="93"/>
      <c r="U113" s="93"/>
      <c r="V113" s="93"/>
    </row>
    <row r="114" spans="1:22" ht="21" customHeight="1" x14ac:dyDescent="0.15">
      <c r="A114" s="79"/>
      <c r="B114" s="79"/>
      <c r="C114" s="79"/>
      <c r="D114" s="79"/>
      <c r="E114" s="79"/>
      <c r="F114" s="79"/>
      <c r="G114" s="79"/>
      <c r="H114" s="79"/>
      <c r="I114" s="79"/>
      <c r="J114" s="79"/>
      <c r="K114" s="79"/>
      <c r="L114" s="79"/>
      <c r="M114" s="79"/>
      <c r="N114" s="79"/>
      <c r="O114" s="91"/>
      <c r="P114" s="92"/>
      <c r="Q114" s="93"/>
      <c r="R114" s="93"/>
      <c r="S114" s="93"/>
      <c r="T114" s="93"/>
      <c r="U114" s="93"/>
      <c r="V114" s="93"/>
    </row>
    <row r="115" spans="1:22" ht="21" customHeight="1" x14ac:dyDescent="0.15">
      <c r="A115" s="79"/>
      <c r="B115" s="79"/>
      <c r="C115" s="79"/>
      <c r="D115" s="79"/>
      <c r="E115" s="79"/>
      <c r="F115" s="79"/>
      <c r="G115" s="79"/>
      <c r="H115" s="79"/>
      <c r="I115" s="79"/>
      <c r="J115" s="79"/>
      <c r="K115" s="79"/>
      <c r="L115" s="79"/>
      <c r="M115" s="79"/>
      <c r="N115" s="79"/>
      <c r="O115" s="91"/>
      <c r="P115" s="92"/>
      <c r="Q115" s="93"/>
      <c r="R115" s="93"/>
      <c r="S115" s="93"/>
      <c r="T115" s="93"/>
      <c r="U115" s="93"/>
      <c r="V115" s="93"/>
    </row>
    <row r="116" spans="1:22" ht="21" customHeight="1" x14ac:dyDescent="0.15">
      <c r="A116" s="79"/>
      <c r="B116" s="79"/>
      <c r="C116" s="79"/>
      <c r="D116" s="79"/>
      <c r="E116" s="79"/>
      <c r="F116" s="79"/>
      <c r="G116" s="79"/>
      <c r="H116" s="79"/>
      <c r="I116" s="79"/>
      <c r="J116" s="79"/>
      <c r="K116" s="79"/>
      <c r="L116" s="79"/>
      <c r="M116" s="79"/>
      <c r="N116" s="79"/>
      <c r="O116" s="91"/>
      <c r="P116" s="92"/>
      <c r="Q116" s="93"/>
      <c r="R116" s="93"/>
      <c r="S116" s="93"/>
      <c r="T116" s="93"/>
      <c r="U116" s="93"/>
      <c r="V116" s="93"/>
    </row>
    <row r="117" spans="1:22" ht="21" customHeight="1" x14ac:dyDescent="0.15">
      <c r="A117" s="79"/>
      <c r="B117" s="79"/>
      <c r="C117" s="79"/>
      <c r="D117" s="79"/>
      <c r="E117" s="79"/>
      <c r="F117" s="79"/>
      <c r="G117" s="79"/>
      <c r="H117" s="79"/>
      <c r="I117" s="79"/>
      <c r="J117" s="79"/>
      <c r="K117" s="79"/>
      <c r="L117" s="79"/>
      <c r="M117" s="79"/>
      <c r="N117" s="79"/>
      <c r="O117" s="91"/>
      <c r="P117" s="92"/>
      <c r="Q117" s="93"/>
      <c r="R117" s="93"/>
      <c r="S117" s="93"/>
      <c r="T117" s="93"/>
      <c r="U117" s="93"/>
      <c r="V117" s="93"/>
    </row>
    <row r="118" spans="1:22" ht="21" customHeight="1" x14ac:dyDescent="0.15">
      <c r="A118" s="79"/>
      <c r="B118" s="79"/>
      <c r="C118" s="79"/>
      <c r="D118" s="79"/>
      <c r="E118" s="79"/>
      <c r="F118" s="79"/>
      <c r="G118" s="79"/>
      <c r="H118" s="79"/>
      <c r="I118" s="79"/>
      <c r="J118" s="79"/>
      <c r="K118" s="79"/>
      <c r="L118" s="79"/>
      <c r="M118" s="79"/>
      <c r="N118" s="79"/>
      <c r="O118" s="91"/>
      <c r="P118" s="92"/>
      <c r="Q118" s="93"/>
      <c r="R118" s="93"/>
      <c r="S118" s="93"/>
      <c r="T118" s="93"/>
      <c r="U118" s="93"/>
      <c r="V118" s="93"/>
    </row>
    <row r="119" spans="1:22" ht="21" customHeight="1" x14ac:dyDescent="0.15">
      <c r="A119" s="79"/>
      <c r="B119" s="79"/>
      <c r="C119" s="79"/>
      <c r="D119" s="79"/>
      <c r="E119" s="79"/>
      <c r="F119" s="79"/>
      <c r="G119" s="79"/>
      <c r="H119" s="79"/>
      <c r="I119" s="79"/>
      <c r="J119" s="79"/>
      <c r="K119" s="79"/>
      <c r="L119" s="79"/>
      <c r="M119" s="79"/>
      <c r="N119" s="79"/>
      <c r="O119" s="91"/>
      <c r="P119" s="92"/>
      <c r="Q119" s="93"/>
      <c r="R119" s="93"/>
      <c r="S119" s="93"/>
      <c r="T119" s="93"/>
      <c r="U119" s="93"/>
      <c r="V119" s="93"/>
    </row>
    <row r="120" spans="1:22" ht="21" customHeight="1" x14ac:dyDescent="0.15">
      <c r="A120" s="79"/>
      <c r="B120" s="79"/>
      <c r="C120" s="79"/>
      <c r="D120" s="79"/>
      <c r="E120" s="79"/>
      <c r="F120" s="79"/>
      <c r="G120" s="79"/>
      <c r="H120" s="79"/>
      <c r="I120" s="79"/>
      <c r="J120" s="79"/>
      <c r="K120" s="79"/>
      <c r="L120" s="79"/>
      <c r="M120" s="79"/>
      <c r="N120" s="79"/>
      <c r="O120" s="91"/>
      <c r="P120" s="92"/>
      <c r="Q120" s="93"/>
      <c r="R120" s="93"/>
      <c r="S120" s="93"/>
      <c r="T120" s="93"/>
      <c r="U120" s="93"/>
      <c r="V120" s="93"/>
    </row>
    <row r="121" spans="1:22" ht="21" customHeight="1" x14ac:dyDescent="0.15">
      <c r="A121" s="79"/>
      <c r="B121" s="79"/>
      <c r="C121" s="79"/>
      <c r="D121" s="79"/>
      <c r="E121" s="79"/>
      <c r="F121" s="79"/>
      <c r="G121" s="79"/>
      <c r="H121" s="79"/>
      <c r="I121" s="79"/>
      <c r="J121" s="79"/>
      <c r="K121" s="79"/>
      <c r="L121" s="79"/>
      <c r="M121" s="79"/>
      <c r="N121" s="79"/>
      <c r="O121" s="91"/>
      <c r="P121" s="92"/>
      <c r="Q121" s="93"/>
      <c r="R121" s="93"/>
      <c r="S121" s="93"/>
      <c r="T121" s="93"/>
      <c r="U121" s="93"/>
      <c r="V121" s="93"/>
    </row>
    <row r="122" spans="1:22" ht="21" customHeight="1" x14ac:dyDescent="0.15">
      <c r="A122" s="79"/>
      <c r="B122" s="79"/>
      <c r="C122" s="79"/>
      <c r="D122" s="79"/>
      <c r="E122" s="79"/>
      <c r="F122" s="79"/>
      <c r="G122" s="79"/>
      <c r="H122" s="79"/>
      <c r="I122" s="79"/>
      <c r="J122" s="79"/>
      <c r="K122" s="79"/>
      <c r="L122" s="79"/>
      <c r="M122" s="79"/>
      <c r="N122" s="79"/>
      <c r="O122" s="91"/>
      <c r="P122" s="92"/>
      <c r="Q122" s="93"/>
      <c r="R122" s="93"/>
      <c r="S122" s="93"/>
      <c r="T122" s="93"/>
      <c r="U122" s="93"/>
      <c r="V122" s="93"/>
    </row>
    <row r="123" spans="1:22" ht="21" customHeight="1" x14ac:dyDescent="0.15">
      <c r="A123" s="79"/>
      <c r="B123" s="79"/>
      <c r="C123" s="79"/>
      <c r="D123" s="79"/>
      <c r="E123" s="79"/>
      <c r="F123" s="79"/>
      <c r="G123" s="79"/>
      <c r="H123" s="79"/>
      <c r="I123" s="79"/>
      <c r="J123" s="79"/>
      <c r="K123" s="79"/>
      <c r="L123" s="79"/>
      <c r="M123" s="79"/>
      <c r="N123" s="79"/>
      <c r="O123" s="91"/>
      <c r="P123" s="92"/>
      <c r="Q123" s="93"/>
      <c r="R123" s="93"/>
      <c r="S123" s="93"/>
      <c r="T123" s="93"/>
      <c r="U123" s="93"/>
      <c r="V123" s="93"/>
    </row>
    <row r="124" spans="1:22" ht="21" customHeight="1" x14ac:dyDescent="0.15">
      <c r="A124" s="79"/>
      <c r="B124" s="79"/>
      <c r="C124" s="79"/>
      <c r="D124" s="79"/>
      <c r="E124" s="79"/>
      <c r="F124" s="79"/>
      <c r="G124" s="79"/>
      <c r="H124" s="79"/>
      <c r="I124" s="79"/>
      <c r="J124" s="79"/>
      <c r="K124" s="79"/>
      <c r="L124" s="79"/>
      <c r="M124" s="79"/>
      <c r="N124" s="79"/>
      <c r="O124" s="91"/>
      <c r="P124" s="92"/>
      <c r="Q124" s="93"/>
      <c r="R124" s="93"/>
      <c r="S124" s="93"/>
      <c r="T124" s="93"/>
      <c r="U124" s="93"/>
      <c r="V124" s="93"/>
    </row>
    <row r="125" spans="1:22" ht="21" customHeight="1" x14ac:dyDescent="0.15">
      <c r="A125" s="79"/>
      <c r="B125" s="79"/>
      <c r="C125" s="79"/>
      <c r="D125" s="79"/>
      <c r="E125" s="79"/>
      <c r="F125" s="79"/>
      <c r="G125" s="79"/>
      <c r="H125" s="79"/>
      <c r="I125" s="79"/>
      <c r="J125" s="79"/>
      <c r="K125" s="79"/>
      <c r="L125" s="79"/>
      <c r="M125" s="79"/>
      <c r="N125" s="79"/>
      <c r="O125" s="91"/>
      <c r="P125" s="92"/>
      <c r="Q125" s="93"/>
      <c r="R125" s="93"/>
      <c r="S125" s="93"/>
      <c r="T125" s="93"/>
      <c r="U125" s="93"/>
      <c r="V125" s="93"/>
    </row>
    <row r="126" spans="1:22" ht="21" customHeight="1" x14ac:dyDescent="0.15">
      <c r="A126" s="79"/>
      <c r="B126" s="79"/>
      <c r="C126" s="79"/>
      <c r="D126" s="79"/>
      <c r="E126" s="79"/>
      <c r="F126" s="79"/>
      <c r="G126" s="79"/>
      <c r="H126" s="79"/>
      <c r="I126" s="79"/>
      <c r="J126" s="79"/>
      <c r="K126" s="79"/>
      <c r="L126" s="79"/>
      <c r="M126" s="79"/>
      <c r="N126" s="79"/>
      <c r="O126" s="91"/>
      <c r="P126" s="92"/>
      <c r="Q126" s="93"/>
      <c r="R126" s="93"/>
      <c r="S126" s="93"/>
      <c r="T126" s="93"/>
      <c r="U126" s="93"/>
      <c r="V126" s="93"/>
    </row>
    <row r="127" spans="1:22" ht="21" customHeight="1" x14ac:dyDescent="0.15">
      <c r="A127" s="79"/>
      <c r="B127" s="79"/>
      <c r="C127" s="79"/>
      <c r="D127" s="79"/>
      <c r="E127" s="79"/>
      <c r="F127" s="79"/>
      <c r="G127" s="79"/>
      <c r="H127" s="79"/>
      <c r="I127" s="79"/>
      <c r="J127" s="79"/>
      <c r="K127" s="79"/>
      <c r="L127" s="79"/>
      <c r="M127" s="79"/>
      <c r="N127" s="79"/>
      <c r="O127" s="91"/>
      <c r="P127" s="92"/>
      <c r="Q127" s="93"/>
      <c r="R127" s="93"/>
      <c r="S127" s="93"/>
      <c r="T127" s="93"/>
      <c r="U127" s="93"/>
      <c r="V127" s="93"/>
    </row>
    <row r="128" spans="1:22" ht="21" customHeight="1" x14ac:dyDescent="0.15">
      <c r="A128" s="79"/>
      <c r="B128" s="79"/>
      <c r="C128" s="79"/>
      <c r="D128" s="79"/>
      <c r="E128" s="79"/>
      <c r="F128" s="79"/>
      <c r="G128" s="79"/>
      <c r="H128" s="79"/>
      <c r="I128" s="79"/>
      <c r="J128" s="79"/>
      <c r="K128" s="79"/>
      <c r="L128" s="79"/>
      <c r="M128" s="79"/>
      <c r="N128" s="79"/>
      <c r="O128" s="91"/>
      <c r="P128" s="92"/>
      <c r="Q128" s="93"/>
      <c r="R128" s="93"/>
      <c r="S128" s="93"/>
      <c r="T128" s="93"/>
      <c r="U128" s="93"/>
      <c r="V128" s="93"/>
    </row>
    <row r="129" spans="1:22" ht="21" customHeight="1" x14ac:dyDescent="0.15">
      <c r="A129" s="79"/>
      <c r="B129" s="79"/>
      <c r="C129" s="79"/>
      <c r="D129" s="79"/>
      <c r="E129" s="79"/>
      <c r="F129" s="79"/>
      <c r="G129" s="79"/>
      <c r="H129" s="79"/>
      <c r="I129" s="79"/>
      <c r="J129" s="79"/>
      <c r="K129" s="79"/>
      <c r="L129" s="79"/>
      <c r="M129" s="79"/>
      <c r="N129" s="79"/>
      <c r="O129" s="91"/>
      <c r="P129" s="92"/>
      <c r="Q129" s="93"/>
      <c r="R129" s="93"/>
      <c r="S129" s="93"/>
      <c r="T129" s="93"/>
      <c r="U129" s="93"/>
      <c r="V129" s="93"/>
    </row>
    <row r="130" spans="1:22" ht="21" customHeight="1" x14ac:dyDescent="0.15">
      <c r="A130" s="79"/>
      <c r="B130" s="79"/>
      <c r="C130" s="79"/>
      <c r="D130" s="79"/>
      <c r="E130" s="79"/>
      <c r="F130" s="79"/>
      <c r="G130" s="79"/>
      <c r="H130" s="79"/>
      <c r="I130" s="79"/>
      <c r="J130" s="79"/>
      <c r="K130" s="79"/>
      <c r="L130" s="79"/>
      <c r="M130" s="79"/>
      <c r="N130" s="79"/>
      <c r="O130" s="91"/>
      <c r="P130" s="92"/>
      <c r="Q130" s="93"/>
      <c r="R130" s="93"/>
      <c r="S130" s="93"/>
      <c r="T130" s="93"/>
      <c r="U130" s="93"/>
      <c r="V130" s="93"/>
    </row>
    <row r="131" spans="1:22" ht="21" customHeight="1" x14ac:dyDescent="0.15">
      <c r="A131" s="79"/>
      <c r="B131" s="79"/>
      <c r="C131" s="79"/>
      <c r="D131" s="79"/>
      <c r="E131" s="79"/>
      <c r="F131" s="79"/>
      <c r="G131" s="79"/>
      <c r="H131" s="79"/>
      <c r="I131" s="79"/>
      <c r="J131" s="79"/>
      <c r="K131" s="79"/>
      <c r="L131" s="79"/>
      <c r="M131" s="79"/>
      <c r="N131" s="79"/>
      <c r="O131" s="91"/>
      <c r="P131" s="92"/>
      <c r="Q131" s="93"/>
      <c r="R131" s="93"/>
      <c r="S131" s="93"/>
      <c r="T131" s="93"/>
      <c r="U131" s="93"/>
      <c r="V131" s="93"/>
    </row>
    <row r="132" spans="1:22" ht="21" customHeight="1" x14ac:dyDescent="0.15">
      <c r="A132" s="79"/>
      <c r="B132" s="79"/>
      <c r="C132" s="79"/>
      <c r="D132" s="79"/>
      <c r="E132" s="79"/>
      <c r="F132" s="79"/>
      <c r="G132" s="79"/>
      <c r="H132" s="79"/>
      <c r="I132" s="79"/>
      <c r="J132" s="79"/>
      <c r="K132" s="79"/>
      <c r="L132" s="79"/>
      <c r="M132" s="79"/>
      <c r="N132" s="79"/>
      <c r="O132" s="91"/>
      <c r="P132" s="92"/>
      <c r="Q132" s="93"/>
      <c r="R132" s="93"/>
      <c r="S132" s="93"/>
      <c r="T132" s="93"/>
      <c r="U132" s="93"/>
      <c r="V132" s="93"/>
    </row>
    <row r="133" spans="1:22" ht="21" customHeight="1" x14ac:dyDescent="0.15">
      <c r="A133" s="79"/>
      <c r="B133" s="79"/>
      <c r="C133" s="79"/>
      <c r="D133" s="79"/>
      <c r="E133" s="79"/>
      <c r="F133" s="79"/>
      <c r="G133" s="79"/>
      <c r="H133" s="79"/>
      <c r="I133" s="79"/>
      <c r="J133" s="79"/>
      <c r="K133" s="79"/>
      <c r="L133" s="79"/>
      <c r="M133" s="79"/>
      <c r="N133" s="79"/>
      <c r="O133" s="91"/>
      <c r="P133" s="92"/>
      <c r="Q133" s="93"/>
      <c r="R133" s="93"/>
      <c r="S133" s="93"/>
      <c r="T133" s="93"/>
      <c r="U133" s="93"/>
      <c r="V133" s="93"/>
    </row>
    <row r="134" spans="1:22" ht="21" customHeight="1" x14ac:dyDescent="0.15">
      <c r="A134" s="79"/>
      <c r="B134" s="79"/>
      <c r="C134" s="79"/>
      <c r="D134" s="79"/>
      <c r="E134" s="79"/>
      <c r="F134" s="79"/>
      <c r="G134" s="79"/>
      <c r="H134" s="79"/>
      <c r="I134" s="79"/>
      <c r="J134" s="79"/>
      <c r="K134" s="79"/>
      <c r="L134" s="79"/>
      <c r="M134" s="79"/>
      <c r="N134" s="79"/>
      <c r="O134" s="91"/>
      <c r="P134" s="92"/>
      <c r="Q134" s="93"/>
      <c r="R134" s="93"/>
      <c r="S134" s="93"/>
      <c r="T134" s="93"/>
      <c r="U134" s="93"/>
      <c r="V134" s="93"/>
    </row>
    <row r="135" spans="1:22" ht="21" customHeight="1" x14ac:dyDescent="0.15">
      <c r="A135" s="79"/>
      <c r="B135" s="79"/>
      <c r="C135" s="79"/>
      <c r="D135" s="79"/>
      <c r="E135" s="79"/>
      <c r="F135" s="79"/>
      <c r="G135" s="79"/>
      <c r="H135" s="79"/>
      <c r="I135" s="79"/>
      <c r="J135" s="79"/>
      <c r="K135" s="79"/>
      <c r="L135" s="79"/>
      <c r="M135" s="79"/>
      <c r="N135" s="79"/>
      <c r="O135" s="91"/>
      <c r="P135" s="92"/>
      <c r="Q135" s="93"/>
      <c r="R135" s="93"/>
      <c r="S135" s="93"/>
      <c r="T135" s="93"/>
      <c r="U135" s="93"/>
      <c r="V135" s="93"/>
    </row>
  </sheetData>
  <autoFilter ref="A1:V1"/>
  <phoneticPr fontId="16"/>
  <pageMargins left="0.75" right="0.75" top="1" bottom="1" header="0.3" footer="0.3"/>
  <pageSetup paperSize="9" orientation="portrait" horizontalDpi="4294967292" verticalDpi="4294967292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 enableFormatConditionsCalculation="0">
    <tabColor rgb="FF0000FF"/>
    <outlinePr summaryBelow="0" summaryRight="0"/>
  </sheetPr>
  <dimension ref="A1:V135"/>
  <sheetViews>
    <sheetView showGridLines="0" zoomScale="75" zoomScaleNormal="75" zoomScalePageLayoutView="75" workbookViewId="0">
      <pane ySplit="1" topLeftCell="A2" activePane="bottomLeft" state="frozen"/>
      <selection activeCell="D34" sqref="D34"/>
      <selection pane="bottomLeft" activeCell="B5" sqref="B5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68</v>
      </c>
      <c r="B1" s="15" t="s">
        <v>1</v>
      </c>
      <c r="C1" s="3" t="s">
        <v>19</v>
      </c>
      <c r="D1" s="3" t="s">
        <v>77</v>
      </c>
      <c r="E1" s="3" t="s">
        <v>170</v>
      </c>
      <c r="F1" s="3" t="s">
        <v>171</v>
      </c>
      <c r="G1" s="3" t="s">
        <v>84</v>
      </c>
      <c r="H1" s="3" t="s">
        <v>21</v>
      </c>
      <c r="I1" s="3" t="s">
        <v>22</v>
      </c>
      <c r="J1" s="3" t="s">
        <v>23</v>
      </c>
      <c r="K1" s="3" t="s">
        <v>36</v>
      </c>
      <c r="L1" s="3" t="s">
        <v>24</v>
      </c>
      <c r="M1" s="3" t="s">
        <v>25</v>
      </c>
      <c r="N1" s="3" t="s">
        <v>42</v>
      </c>
      <c r="O1" s="15" t="s">
        <v>2</v>
      </c>
      <c r="P1" s="3" t="s">
        <v>47</v>
      </c>
      <c r="Q1" s="15" t="s">
        <v>26</v>
      </c>
      <c r="R1" s="23" t="s">
        <v>5</v>
      </c>
      <c r="S1" s="23" t="s">
        <v>6</v>
      </c>
      <c r="T1" s="23" t="s">
        <v>7</v>
      </c>
      <c r="U1" s="23" t="s">
        <v>8</v>
      </c>
      <c r="V1" s="23" t="s">
        <v>9</v>
      </c>
    </row>
    <row r="2" spans="1:22" ht="21" customHeight="1" x14ac:dyDescent="0.15">
      <c r="A2" s="2">
        <v>498102</v>
      </c>
      <c r="B2" s="1">
        <v>1069</v>
      </c>
      <c r="C2" s="7" t="str">
        <f t="shared" ref="C2:C7" si="0">D2&amp;J2&amp;E2&amp;F2&amp;G2</f>
        <v>PremiumSS5R5only</v>
      </c>
      <c r="D2" s="7" t="str">
        <f>IF(OR(I2="PremiumSS",I2="PremiumSSw"),"PremiumSS",IF(I2="PremiumSSS",I2,IF(I2="PremiumW",I2,"Premium")))</f>
        <v>PremiumSS</v>
      </c>
      <c r="E2" s="7" t="str">
        <f>IF(COUNTIF('R6追加前'!A:A,B2)=0,IF(OR(I2="PremiumSS",I2="PremiumSSw"),"R5only","R3less"),"")</f>
        <v>R5only</v>
      </c>
      <c r="F2" s="7" t="str">
        <f>IF(COUNTIF('R6開放'!A:A,B2)&gt;0,"R6release","")</f>
        <v/>
      </c>
      <c r="G2" s="7"/>
      <c r="H2" s="7" t="str">
        <f>VLOOKUP(B2,[1]characters!$A:$C,3,FALSE)</f>
        <v>イシュタル</v>
      </c>
      <c r="I2" s="7" t="str">
        <f>VLOOKUP(B2,[1]characters!$A:$J,10,FALSE)</f>
        <v>PremiumSS</v>
      </c>
      <c r="J2" s="7">
        <f>VLOOKUP(B2,[1]characters!$A:$I,9,FALSE)</f>
        <v>5</v>
      </c>
      <c r="K2" s="7" t="str">
        <f>VLOOKUP(B2,[1]characters!$A:$H,8,FALSE)</f>
        <v>green</v>
      </c>
      <c r="L2" s="7" t="str">
        <f>VLOOKUP(B2,[1]characters!$A:$K,11,FALSE)</f>
        <v>technical</v>
      </c>
      <c r="M2" s="7" t="str">
        <f>VLOOKUP(B2,[1]characters!$A:$M,13,FALSE)</f>
        <v>god</v>
      </c>
      <c r="N2" s="7" t="str">
        <f>VLOOKUP(B2,[1]characters!$A:$G,7,FALSE)</f>
        <v>男性</v>
      </c>
      <c r="O2" s="38">
        <v>10</v>
      </c>
      <c r="P2" s="39">
        <f t="shared" ref="P2:P7" si="1">O2/SUM(O:O)</f>
        <v>0.16666666666666666</v>
      </c>
      <c r="Q2" s="24">
        <v>1</v>
      </c>
      <c r="R2" s="24">
        <v>0</v>
      </c>
      <c r="S2" s="24">
        <v>0</v>
      </c>
      <c r="T2" s="24">
        <v>0</v>
      </c>
      <c r="U2" s="24">
        <v>0</v>
      </c>
      <c r="V2" s="24">
        <v>1</v>
      </c>
    </row>
    <row r="3" spans="1:22" ht="21" customHeight="1" x14ac:dyDescent="0.15">
      <c r="A3" s="2">
        <v>498102</v>
      </c>
      <c r="B3" s="1">
        <v>1072</v>
      </c>
      <c r="C3" s="7" t="str">
        <f t="shared" si="0"/>
        <v>PremiumSS5R5only</v>
      </c>
      <c r="D3" s="7" t="str">
        <f t="shared" ref="D3:D7" si="2">IF(OR(I3="PremiumSS",I3="PremiumSSw"),"PremiumSS",IF(I3="PremiumSSS",I3,IF(I3="PremiumW",I3,"Premium")))</f>
        <v>PremiumSS</v>
      </c>
      <c r="E3" s="7" t="str">
        <f>IF(COUNTIF('R6追加前'!A:A,B3)=0,IF(OR(I3="PremiumSS",I3="PremiumSSw"),"R5only","R3less"),"")</f>
        <v>R5only</v>
      </c>
      <c r="F3" s="7" t="str">
        <f>IF(COUNTIF('R6開放'!A:A,B3)&gt;0,"R6release","")</f>
        <v/>
      </c>
      <c r="G3" s="7"/>
      <c r="H3" s="7" t="str">
        <f>VLOOKUP(B3,[1]characters!$A:$C,3,FALSE)</f>
        <v>エンキドゥ</v>
      </c>
      <c r="I3" s="7" t="str">
        <f>VLOOKUP(B3,[1]characters!$A:$J,10,FALSE)</f>
        <v>PremiumSSw</v>
      </c>
      <c r="J3" s="7">
        <f>VLOOKUP(B3,[1]characters!$A:$I,9,FALSE)</f>
        <v>5</v>
      </c>
      <c r="K3" s="7" t="str">
        <f>VLOOKUP(B3,[1]characters!$A:$H,8,FALSE)</f>
        <v>blue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男性</v>
      </c>
      <c r="O3" s="38">
        <v>10</v>
      </c>
      <c r="P3" s="39">
        <f t="shared" si="1"/>
        <v>0.16666666666666666</v>
      </c>
      <c r="Q3" s="24">
        <v>1</v>
      </c>
      <c r="R3" s="24">
        <v>0</v>
      </c>
      <c r="S3" s="24">
        <v>0</v>
      </c>
      <c r="T3" s="24">
        <v>0</v>
      </c>
      <c r="U3" s="24">
        <v>0</v>
      </c>
      <c r="V3" s="24">
        <v>1</v>
      </c>
    </row>
    <row r="4" spans="1:22" ht="21" customHeight="1" x14ac:dyDescent="0.15">
      <c r="A4" s="2">
        <v>498102</v>
      </c>
      <c r="B4" s="1">
        <v>1074</v>
      </c>
      <c r="C4" s="7" t="str">
        <f t="shared" si="0"/>
        <v>PremiumSS5R5only</v>
      </c>
      <c r="D4" s="7" t="str">
        <f t="shared" si="2"/>
        <v>PremiumSS</v>
      </c>
      <c r="E4" s="7" t="str">
        <f>IF(COUNTIF('R6追加前'!A:A,B4)=0,IF(OR(I4="PremiumSS",I4="PremiumSSw"),"R5only","R3less"),"")</f>
        <v>R5only</v>
      </c>
      <c r="F4" s="7" t="str">
        <f>IF(COUNTIF('R6開放'!A:A,B4)&gt;0,"R6release","")</f>
        <v/>
      </c>
      <c r="G4" s="7"/>
      <c r="H4" s="7" t="str">
        <f>VLOOKUP(B4,[1]characters!$A:$C,3,FALSE)</f>
        <v>マルドゥク</v>
      </c>
      <c r="I4" s="7" t="str">
        <f>VLOOKUP(B4,[1]characters!$A:$J,10,FALSE)</f>
        <v>PremiumSS</v>
      </c>
      <c r="J4" s="7">
        <f>VLOOKUP(B4,[1]characters!$A:$I,9,FALSE)</f>
        <v>5</v>
      </c>
      <c r="K4" s="7" t="str">
        <f>VLOOKUP(B4,[1]characters!$A:$H,8,FALSE)</f>
        <v>yellow</v>
      </c>
      <c r="L4" s="7" t="str">
        <f>VLOOKUP(B4,[1]characters!$A:$K,11,FALSE)</f>
        <v>technical</v>
      </c>
      <c r="M4" s="7" t="str">
        <f>VLOOKUP(B4,[1]characters!$A:$M,13,FALSE)</f>
        <v>god</v>
      </c>
      <c r="N4" s="7" t="str">
        <f>VLOOKUP(B4,[1]characters!$A:$G,7,FALSE)</f>
        <v>男性</v>
      </c>
      <c r="O4" s="38">
        <v>10</v>
      </c>
      <c r="P4" s="39">
        <f t="shared" si="1"/>
        <v>0.16666666666666666</v>
      </c>
      <c r="Q4" s="24">
        <v>1</v>
      </c>
      <c r="R4" s="24">
        <v>0</v>
      </c>
      <c r="S4" s="24">
        <v>0</v>
      </c>
      <c r="T4" s="24">
        <v>0</v>
      </c>
      <c r="U4" s="24">
        <v>0</v>
      </c>
      <c r="V4" s="24">
        <v>1</v>
      </c>
    </row>
    <row r="5" spans="1:22" ht="21" customHeight="1" x14ac:dyDescent="0.15">
      <c r="A5" s="2">
        <v>498102</v>
      </c>
      <c r="B5" s="1">
        <v>1100</v>
      </c>
      <c r="C5" s="7" t="str">
        <f t="shared" si="0"/>
        <v>PremiumSS5R5only</v>
      </c>
      <c r="D5" s="7" t="str">
        <f t="shared" si="2"/>
        <v>PremiumSS</v>
      </c>
      <c r="E5" s="7" t="str">
        <f>IF(COUNTIF('R6追加前'!A:A,B5)=0,IF(OR(I5="PremiumSS",I5="PremiumSSw"),"R5only","R3less"),"")</f>
        <v>R5only</v>
      </c>
      <c r="F5" s="7" t="str">
        <f>IF(COUNTIF('R6開放'!A:A,B5)&gt;0,"R6release","")</f>
        <v/>
      </c>
      <c r="G5" s="7"/>
      <c r="H5" s="7" t="str">
        <f>VLOOKUP(B5,[1]characters!$A:$C,3,FALSE)</f>
        <v>北斎</v>
      </c>
      <c r="I5" s="7" t="str">
        <f>VLOOKUP(B5,[1]characters!$A:$J,10,FALSE)</f>
        <v>PremiumSS</v>
      </c>
      <c r="J5" s="7">
        <f>VLOOKUP(B5,[1]characters!$A:$I,9,FALSE)</f>
        <v>5</v>
      </c>
      <c r="K5" s="7" t="str">
        <f>VLOOKUP(B5,[1]characters!$A:$H,8,FALSE)</f>
        <v>red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不明</v>
      </c>
      <c r="O5" s="38">
        <v>10</v>
      </c>
      <c r="P5" s="39">
        <f t="shared" si="1"/>
        <v>0.16666666666666666</v>
      </c>
      <c r="Q5" s="24">
        <v>1</v>
      </c>
      <c r="R5" s="24">
        <v>0</v>
      </c>
      <c r="S5" s="24">
        <v>0</v>
      </c>
      <c r="T5" s="24">
        <v>0</v>
      </c>
      <c r="U5" s="24">
        <v>0</v>
      </c>
      <c r="V5" s="24">
        <v>1</v>
      </c>
    </row>
    <row r="6" spans="1:22" ht="21" customHeight="1" x14ac:dyDescent="0.15">
      <c r="A6" s="2">
        <v>498102</v>
      </c>
      <c r="B6" s="1">
        <v>1102</v>
      </c>
      <c r="C6" s="7" t="str">
        <f t="shared" si="0"/>
        <v>PremiumSS5R5only</v>
      </c>
      <c r="D6" s="7" t="str">
        <f t="shared" si="2"/>
        <v>PremiumSS</v>
      </c>
      <c r="E6" s="7" t="str">
        <f>IF(COUNTIF('R6追加前'!A:A,B6)=0,IF(OR(I6="PremiumSS",I6="PremiumSSw"),"R5only","R3less"),"")</f>
        <v>R5only</v>
      </c>
      <c r="F6" s="7" t="str">
        <f>IF(COUNTIF('R6開放'!A:A,B6)&gt;0,"R6release","")</f>
        <v/>
      </c>
      <c r="G6" s="7"/>
      <c r="H6" s="7" t="str">
        <f>VLOOKUP(B6,[1]characters!$A:$C,3,FALSE)</f>
        <v>ドガ</v>
      </c>
      <c r="I6" s="7" t="str">
        <f>VLOOKUP(B6,[1]characters!$A:$J,10,FALSE)</f>
        <v>PremiumSSw</v>
      </c>
      <c r="J6" s="7">
        <f>VLOOKUP(B6,[1]characters!$A:$I,9,FALSE)</f>
        <v>5</v>
      </c>
      <c r="K6" s="7" t="str">
        <f>VLOOKUP(B6,[1]characters!$A:$H,8,FALSE)</f>
        <v>green</v>
      </c>
      <c r="L6" s="7" t="str">
        <f>VLOOKUP(B6,[1]characters!$A:$K,11,FALSE)</f>
        <v>balance</v>
      </c>
      <c r="M6" s="7" t="str">
        <f>VLOOKUP(B6,[1]characters!$A:$M,13,FALSE)</f>
        <v>animal</v>
      </c>
      <c r="N6" s="7" t="str">
        <f>VLOOKUP(B6,[1]characters!$A:$G,7,FALSE)</f>
        <v>不明</v>
      </c>
      <c r="O6" s="38">
        <v>10</v>
      </c>
      <c r="P6" s="39">
        <f t="shared" si="1"/>
        <v>0.16666666666666666</v>
      </c>
      <c r="Q6" s="24">
        <v>1</v>
      </c>
      <c r="R6" s="24">
        <v>0</v>
      </c>
      <c r="S6" s="24">
        <v>0</v>
      </c>
      <c r="T6" s="24">
        <v>0</v>
      </c>
      <c r="U6" s="24">
        <v>0</v>
      </c>
      <c r="V6" s="24">
        <v>1</v>
      </c>
    </row>
    <row r="7" spans="1:22" ht="21" customHeight="1" x14ac:dyDescent="0.15">
      <c r="A7" s="2">
        <v>498102</v>
      </c>
      <c r="B7" s="79">
        <v>1106</v>
      </c>
      <c r="C7" s="7" t="str">
        <f t="shared" si="0"/>
        <v>PremiumSS5R5only</v>
      </c>
      <c r="D7" s="7" t="str">
        <f t="shared" si="2"/>
        <v>PremiumSS</v>
      </c>
      <c r="E7" s="7" t="str">
        <f>IF(COUNTIF('R6追加前'!A:A,B7)=0,IF(OR(I7="PremiumSS",I7="PremiumSSw"),"R5only","R3less"),"")</f>
        <v>R5only</v>
      </c>
      <c r="F7" s="7" t="str">
        <f>IF(COUNTIF('R6開放'!A:A,B7)&gt;0,"R6release","")</f>
        <v/>
      </c>
      <c r="G7" s="7"/>
      <c r="H7" s="7" t="str">
        <f>VLOOKUP(B7,[1]characters!$A:$C,3,FALSE)</f>
        <v>ラファエロ</v>
      </c>
      <c r="I7" s="7" t="str">
        <f>VLOOKUP(B7,[1]characters!$A:$J,10,FALSE)</f>
        <v>PremiumSS</v>
      </c>
      <c r="J7" s="7">
        <f>VLOOKUP(B7,[1]characters!$A:$I,9,FALSE)</f>
        <v>5</v>
      </c>
      <c r="K7" s="7" t="str">
        <f>VLOOKUP(B7,[1]characters!$A:$H,8,FALSE)</f>
        <v>yellow</v>
      </c>
      <c r="L7" s="7" t="str">
        <f>VLOOKUP(B7,[1]characters!$A:$K,11,FALSE)</f>
        <v>attack</v>
      </c>
      <c r="M7" s="7" t="str">
        <f>VLOOKUP(B7,[1]characters!$A:$M,13,FALSE)</f>
        <v>human</v>
      </c>
      <c r="N7" s="7" t="str">
        <f>VLOOKUP(B7,[1]characters!$A:$G,7,FALSE)</f>
        <v>不明</v>
      </c>
      <c r="O7" s="38">
        <v>10</v>
      </c>
      <c r="P7" s="39">
        <f t="shared" si="1"/>
        <v>0.16666666666666666</v>
      </c>
      <c r="Q7" s="24">
        <v>1</v>
      </c>
      <c r="R7" s="24">
        <v>0</v>
      </c>
      <c r="S7" s="24">
        <v>0</v>
      </c>
      <c r="T7" s="24">
        <v>0</v>
      </c>
      <c r="U7" s="24">
        <v>0</v>
      </c>
      <c r="V7" s="24">
        <v>1</v>
      </c>
    </row>
    <row r="8" spans="1:22" ht="21" customHeight="1" x14ac:dyDescent="0.15">
      <c r="A8" s="79"/>
      <c r="B8" s="79"/>
      <c r="C8" s="79"/>
      <c r="D8" s="79"/>
      <c r="E8" s="79"/>
      <c r="F8" s="79"/>
      <c r="G8" s="79"/>
      <c r="H8" s="79"/>
      <c r="I8" s="79"/>
      <c r="J8" s="79"/>
      <c r="K8" s="79"/>
      <c r="L8" s="79"/>
      <c r="M8" s="79"/>
      <c r="N8" s="79"/>
      <c r="O8" s="91"/>
      <c r="P8" s="92"/>
      <c r="Q8" s="93"/>
      <c r="R8" s="93"/>
      <c r="S8" s="93"/>
      <c r="T8" s="93"/>
      <c r="U8" s="93"/>
      <c r="V8" s="93"/>
    </row>
    <row r="9" spans="1:22" ht="21" customHeight="1" x14ac:dyDescent="0.15">
      <c r="A9" s="79"/>
      <c r="B9" s="79"/>
      <c r="C9" s="79"/>
      <c r="D9" s="79"/>
      <c r="E9" s="79"/>
      <c r="F9" s="79"/>
      <c r="G9" s="79"/>
      <c r="H9" s="79"/>
      <c r="I9" s="79"/>
      <c r="J9" s="79"/>
      <c r="K9" s="79"/>
      <c r="L9" s="79"/>
      <c r="M9" s="79"/>
      <c r="N9" s="79"/>
      <c r="O9" s="91"/>
      <c r="P9" s="92"/>
      <c r="Q9" s="93"/>
      <c r="R9" s="93"/>
      <c r="S9" s="93"/>
      <c r="T9" s="93"/>
      <c r="U9" s="93"/>
      <c r="V9" s="93"/>
    </row>
    <row r="10" spans="1:22" ht="21" customHeight="1" x14ac:dyDescent="0.15">
      <c r="A10" s="79"/>
      <c r="B10" s="79"/>
      <c r="C10" s="79"/>
      <c r="D10" s="79"/>
      <c r="E10" s="79"/>
      <c r="F10" s="79"/>
      <c r="G10" s="79"/>
      <c r="H10" s="79"/>
      <c r="I10" s="79"/>
      <c r="J10" s="79"/>
      <c r="K10" s="79"/>
      <c r="L10" s="79"/>
      <c r="M10" s="79"/>
      <c r="N10" s="79"/>
      <c r="O10" s="91"/>
      <c r="P10" s="92"/>
      <c r="Q10" s="93"/>
      <c r="R10" s="93"/>
      <c r="S10" s="93"/>
      <c r="T10" s="93"/>
      <c r="U10" s="93"/>
      <c r="V10" s="93"/>
    </row>
    <row r="11" spans="1:22" ht="21" customHeight="1" x14ac:dyDescent="0.15">
      <c r="A11" s="79"/>
      <c r="B11" s="79"/>
      <c r="C11" s="79"/>
      <c r="D11" s="79"/>
      <c r="E11" s="79"/>
      <c r="F11" s="79"/>
      <c r="G11" s="79"/>
      <c r="H11" s="79"/>
      <c r="I11" s="79"/>
      <c r="J11" s="79"/>
      <c r="K11" s="79"/>
      <c r="L11" s="79"/>
      <c r="M11" s="79"/>
      <c r="N11" s="79"/>
      <c r="O11" s="91"/>
      <c r="P11" s="92"/>
      <c r="Q11" s="93"/>
      <c r="R11" s="93"/>
      <c r="S11" s="93"/>
      <c r="T11" s="93"/>
      <c r="U11" s="93"/>
      <c r="V11" s="93"/>
    </row>
    <row r="12" spans="1:22" ht="21" customHeight="1" x14ac:dyDescent="0.15">
      <c r="A12" s="79"/>
      <c r="B12" s="79"/>
      <c r="C12" s="79"/>
      <c r="D12" s="79"/>
      <c r="E12" s="79"/>
      <c r="F12" s="79"/>
      <c r="G12" s="79"/>
      <c r="H12" s="79"/>
      <c r="I12" s="79"/>
      <c r="J12" s="79"/>
      <c r="K12" s="79"/>
      <c r="L12" s="79"/>
      <c r="M12" s="79"/>
      <c r="N12" s="79"/>
      <c r="O12" s="91"/>
      <c r="P12" s="92"/>
      <c r="Q12" s="93"/>
      <c r="R12" s="93"/>
      <c r="S12" s="93"/>
      <c r="T12" s="93"/>
      <c r="U12" s="93"/>
      <c r="V12" s="93"/>
    </row>
    <row r="13" spans="1:22" ht="21" customHeight="1" x14ac:dyDescent="0.15">
      <c r="A13" s="79"/>
      <c r="B13" s="79"/>
      <c r="C13" s="79"/>
      <c r="D13" s="79"/>
      <c r="E13" s="79"/>
      <c r="F13" s="79"/>
      <c r="G13" s="79"/>
      <c r="H13" s="79"/>
      <c r="I13" s="79"/>
      <c r="J13" s="79"/>
      <c r="K13" s="79"/>
      <c r="L13" s="79"/>
      <c r="M13" s="79"/>
      <c r="N13" s="79"/>
      <c r="O13" s="91"/>
      <c r="P13" s="92"/>
      <c r="Q13" s="93"/>
      <c r="R13" s="93"/>
      <c r="S13" s="93"/>
      <c r="T13" s="93"/>
      <c r="U13" s="93"/>
      <c r="V13" s="93"/>
    </row>
    <row r="14" spans="1:22" ht="21" customHeight="1" x14ac:dyDescent="0.15">
      <c r="A14" s="79"/>
      <c r="B14" s="79"/>
      <c r="C14" s="79"/>
      <c r="D14" s="79"/>
      <c r="E14" s="79"/>
      <c r="F14" s="79"/>
      <c r="G14" s="79"/>
      <c r="H14" s="79"/>
      <c r="I14" s="79"/>
      <c r="J14" s="79"/>
      <c r="K14" s="79"/>
      <c r="L14" s="79"/>
      <c r="M14" s="79"/>
      <c r="N14" s="79"/>
      <c r="O14" s="91"/>
      <c r="P14" s="92"/>
      <c r="Q14" s="93"/>
      <c r="R14" s="93"/>
      <c r="S14" s="93"/>
      <c r="T14" s="93"/>
      <c r="U14" s="93"/>
      <c r="V14" s="93"/>
    </row>
    <row r="15" spans="1:22" ht="21" customHeight="1" x14ac:dyDescent="0.15">
      <c r="A15" s="79"/>
      <c r="B15" s="79"/>
      <c r="C15" s="79"/>
      <c r="D15" s="79"/>
      <c r="E15" s="79"/>
      <c r="F15" s="79"/>
      <c r="G15" s="79"/>
      <c r="H15" s="79"/>
      <c r="I15" s="79"/>
      <c r="J15" s="79"/>
      <c r="K15" s="79"/>
      <c r="L15" s="79"/>
      <c r="M15" s="79"/>
      <c r="N15" s="79"/>
      <c r="O15" s="91"/>
      <c r="P15" s="92"/>
      <c r="Q15" s="93"/>
      <c r="R15" s="93"/>
      <c r="S15" s="93"/>
      <c r="T15" s="93"/>
      <c r="U15" s="93"/>
      <c r="V15" s="93"/>
    </row>
    <row r="16" spans="1:22" ht="21" customHeight="1" x14ac:dyDescent="0.15">
      <c r="A16" s="79"/>
      <c r="B16" s="79"/>
      <c r="C16" s="79"/>
      <c r="D16" s="79"/>
      <c r="E16" s="79"/>
      <c r="F16" s="79"/>
      <c r="G16" s="79"/>
      <c r="H16" s="79"/>
      <c r="I16" s="79"/>
      <c r="J16" s="79"/>
      <c r="K16" s="79"/>
      <c r="L16" s="79"/>
      <c r="M16" s="79"/>
      <c r="N16" s="79"/>
      <c r="O16" s="91"/>
      <c r="P16" s="92"/>
      <c r="Q16" s="93"/>
      <c r="R16" s="93"/>
      <c r="S16" s="93"/>
      <c r="T16" s="93"/>
      <c r="U16" s="93"/>
      <c r="V16" s="93"/>
    </row>
    <row r="17" spans="1:22" ht="21" customHeight="1" x14ac:dyDescent="0.15">
      <c r="A17" s="79"/>
      <c r="B17" s="79"/>
      <c r="C17" s="79"/>
      <c r="D17" s="79"/>
      <c r="E17" s="79"/>
      <c r="F17" s="79"/>
      <c r="G17" s="79"/>
      <c r="H17" s="79"/>
      <c r="I17" s="79"/>
      <c r="J17" s="79"/>
      <c r="K17" s="79"/>
      <c r="L17" s="79"/>
      <c r="M17" s="79"/>
      <c r="N17" s="79"/>
      <c r="O17" s="91"/>
      <c r="P17" s="92"/>
      <c r="Q17" s="93"/>
      <c r="R17" s="93"/>
      <c r="S17" s="93"/>
      <c r="T17" s="93"/>
      <c r="U17" s="93"/>
      <c r="V17" s="93"/>
    </row>
    <row r="18" spans="1:22" ht="21" customHeight="1" x14ac:dyDescent="0.15">
      <c r="A18" s="79"/>
      <c r="B18" s="79"/>
      <c r="C18" s="79"/>
      <c r="D18" s="79"/>
      <c r="E18" s="79"/>
      <c r="F18" s="79"/>
      <c r="G18" s="79"/>
      <c r="H18" s="79"/>
      <c r="I18" s="79"/>
      <c r="J18" s="79"/>
      <c r="K18" s="79"/>
      <c r="L18" s="79"/>
      <c r="M18" s="79"/>
      <c r="N18" s="79"/>
      <c r="O18" s="91"/>
      <c r="P18" s="92"/>
      <c r="Q18" s="93"/>
      <c r="R18" s="93"/>
      <c r="S18" s="93"/>
      <c r="T18" s="93"/>
      <c r="U18" s="93"/>
      <c r="V18" s="93"/>
    </row>
    <row r="19" spans="1:22" ht="21" customHeight="1" x14ac:dyDescent="0.15">
      <c r="A19" s="79"/>
      <c r="B19" s="79"/>
      <c r="C19" s="79"/>
      <c r="D19" s="79"/>
      <c r="E19" s="79"/>
      <c r="F19" s="79"/>
      <c r="G19" s="79"/>
      <c r="H19" s="79"/>
      <c r="I19" s="79"/>
      <c r="J19" s="79"/>
      <c r="K19" s="79"/>
      <c r="L19" s="79"/>
      <c r="M19" s="79"/>
      <c r="N19" s="79"/>
      <c r="O19" s="91"/>
      <c r="P19" s="92"/>
      <c r="Q19" s="93"/>
      <c r="R19" s="93"/>
      <c r="S19" s="93"/>
      <c r="T19" s="93"/>
      <c r="U19" s="93"/>
      <c r="V19" s="93"/>
    </row>
    <row r="20" spans="1:22" ht="21" customHeight="1" x14ac:dyDescent="0.15">
      <c r="A20" s="79"/>
      <c r="B20" s="79"/>
      <c r="C20" s="79"/>
      <c r="D20" s="79"/>
      <c r="E20" s="79"/>
      <c r="F20" s="79"/>
      <c r="G20" s="79"/>
      <c r="H20" s="79"/>
      <c r="I20" s="79"/>
      <c r="J20" s="79"/>
      <c r="K20" s="79"/>
      <c r="L20" s="79"/>
      <c r="M20" s="79"/>
      <c r="N20" s="79"/>
      <c r="O20" s="91"/>
      <c r="P20" s="92"/>
      <c r="Q20" s="93"/>
      <c r="R20" s="93"/>
      <c r="S20" s="93"/>
      <c r="T20" s="93"/>
      <c r="U20" s="93"/>
      <c r="V20" s="93"/>
    </row>
    <row r="21" spans="1:22" ht="21" customHeight="1" x14ac:dyDescent="0.15">
      <c r="A21" s="79"/>
      <c r="B21" s="79"/>
      <c r="C21" s="79"/>
      <c r="D21" s="79"/>
      <c r="E21" s="79"/>
      <c r="F21" s="79"/>
      <c r="G21" s="79"/>
      <c r="H21" s="79"/>
      <c r="I21" s="79"/>
      <c r="J21" s="79"/>
      <c r="K21" s="79"/>
      <c r="L21" s="79"/>
      <c r="M21" s="79"/>
      <c r="N21" s="79"/>
      <c r="O21" s="91"/>
      <c r="P21" s="92"/>
      <c r="Q21" s="93"/>
      <c r="R21" s="93"/>
      <c r="S21" s="93"/>
      <c r="T21" s="93"/>
      <c r="U21" s="93"/>
      <c r="V21" s="93"/>
    </row>
    <row r="22" spans="1:22" ht="21" customHeight="1" x14ac:dyDescent="0.15">
      <c r="A22" s="79"/>
      <c r="B22" s="79"/>
      <c r="C22" s="79"/>
      <c r="D22" s="79"/>
      <c r="E22" s="79"/>
      <c r="F22" s="79"/>
      <c r="G22" s="79"/>
      <c r="H22" s="79"/>
      <c r="I22" s="79"/>
      <c r="J22" s="79"/>
      <c r="K22" s="79"/>
      <c r="L22" s="79"/>
      <c r="M22" s="79"/>
      <c r="N22" s="79"/>
      <c r="O22" s="91"/>
      <c r="P22" s="92"/>
      <c r="Q22" s="93"/>
      <c r="R22" s="93"/>
      <c r="S22" s="93"/>
      <c r="T22" s="93"/>
      <c r="U22" s="93"/>
      <c r="V22" s="93"/>
    </row>
    <row r="23" spans="1:22" ht="21" customHeight="1" x14ac:dyDescent="0.15">
      <c r="A23" s="79"/>
      <c r="B23" s="79"/>
      <c r="C23" s="79"/>
      <c r="D23" s="79"/>
      <c r="E23" s="79"/>
      <c r="F23" s="79"/>
      <c r="G23" s="79"/>
      <c r="H23" s="79"/>
      <c r="I23" s="79"/>
      <c r="J23" s="79"/>
      <c r="K23" s="79"/>
      <c r="L23" s="79"/>
      <c r="M23" s="79"/>
      <c r="N23" s="79"/>
      <c r="O23" s="91"/>
      <c r="P23" s="92"/>
      <c r="Q23" s="93"/>
      <c r="R23" s="93"/>
      <c r="S23" s="93"/>
      <c r="T23" s="93"/>
      <c r="U23" s="93"/>
      <c r="V23" s="93"/>
    </row>
    <row r="24" spans="1:22" ht="21" customHeight="1" x14ac:dyDescent="0.15">
      <c r="A24" s="79"/>
      <c r="B24" s="79"/>
      <c r="C24" s="79"/>
      <c r="D24" s="79"/>
      <c r="E24" s="79"/>
      <c r="F24" s="79"/>
      <c r="G24" s="79"/>
      <c r="H24" s="79"/>
      <c r="I24" s="79"/>
      <c r="J24" s="79"/>
      <c r="K24" s="79"/>
      <c r="L24" s="79"/>
      <c r="M24" s="79"/>
      <c r="N24" s="79"/>
      <c r="O24" s="91"/>
      <c r="P24" s="92"/>
      <c r="Q24" s="93"/>
      <c r="R24" s="93"/>
      <c r="S24" s="93"/>
      <c r="T24" s="93"/>
      <c r="U24" s="93"/>
      <c r="V24" s="93"/>
    </row>
    <row r="25" spans="1:22" ht="21" customHeight="1" x14ac:dyDescent="0.15">
      <c r="A25" s="79"/>
      <c r="B25" s="79"/>
      <c r="C25" s="79"/>
      <c r="D25" s="79"/>
      <c r="E25" s="79"/>
      <c r="F25" s="79"/>
      <c r="G25" s="79"/>
      <c r="H25" s="79"/>
      <c r="I25" s="79"/>
      <c r="J25" s="79"/>
      <c r="K25" s="79"/>
      <c r="L25" s="79"/>
      <c r="M25" s="79"/>
      <c r="N25" s="79"/>
      <c r="O25" s="91"/>
      <c r="P25" s="92"/>
      <c r="Q25" s="93"/>
      <c r="R25" s="93"/>
      <c r="S25" s="93"/>
      <c r="T25" s="93"/>
      <c r="U25" s="93"/>
      <c r="V25" s="93"/>
    </row>
    <row r="26" spans="1:22" ht="21" customHeight="1" x14ac:dyDescent="0.15">
      <c r="A26" s="79"/>
      <c r="B26" s="79"/>
      <c r="C26" s="79"/>
      <c r="D26" s="79"/>
      <c r="E26" s="79"/>
      <c r="F26" s="79"/>
      <c r="G26" s="79"/>
      <c r="H26" s="79"/>
      <c r="I26" s="79"/>
      <c r="J26" s="79"/>
      <c r="K26" s="79"/>
      <c r="L26" s="79"/>
      <c r="M26" s="79"/>
      <c r="N26" s="79"/>
      <c r="O26" s="91"/>
      <c r="P26" s="92"/>
      <c r="Q26" s="93"/>
      <c r="R26" s="93"/>
      <c r="S26" s="93"/>
      <c r="T26" s="93"/>
      <c r="U26" s="93"/>
      <c r="V26" s="93"/>
    </row>
    <row r="27" spans="1:22" ht="21" customHeight="1" x14ac:dyDescent="0.15">
      <c r="A27" s="79"/>
      <c r="B27" s="79"/>
      <c r="C27" s="79"/>
      <c r="D27" s="79"/>
      <c r="E27" s="79"/>
      <c r="F27" s="79"/>
      <c r="G27" s="79"/>
      <c r="H27" s="79"/>
      <c r="I27" s="79"/>
      <c r="J27" s="79"/>
      <c r="K27" s="79"/>
      <c r="L27" s="79"/>
      <c r="M27" s="79"/>
      <c r="N27" s="79"/>
      <c r="O27" s="91"/>
      <c r="P27" s="92"/>
      <c r="Q27" s="93"/>
      <c r="R27" s="93"/>
      <c r="S27" s="93"/>
      <c r="T27" s="93"/>
      <c r="U27" s="93"/>
      <c r="V27" s="93"/>
    </row>
    <row r="28" spans="1:22" ht="21" customHeight="1" x14ac:dyDescent="0.15">
      <c r="A28" s="79"/>
      <c r="B28" s="79"/>
      <c r="C28" s="79"/>
      <c r="D28" s="79"/>
      <c r="E28" s="79"/>
      <c r="F28" s="79"/>
      <c r="G28" s="79"/>
      <c r="H28" s="79"/>
      <c r="I28" s="79"/>
      <c r="J28" s="79"/>
      <c r="K28" s="79"/>
      <c r="L28" s="79"/>
      <c r="M28" s="79"/>
      <c r="N28" s="79"/>
      <c r="O28" s="91"/>
      <c r="P28" s="92"/>
      <c r="Q28" s="93"/>
      <c r="R28" s="93"/>
      <c r="S28" s="93"/>
      <c r="T28" s="93"/>
      <c r="U28" s="93"/>
      <c r="V28" s="93"/>
    </row>
    <row r="29" spans="1:22" ht="21" customHeight="1" x14ac:dyDescent="0.15">
      <c r="A29" s="79"/>
      <c r="B29" s="79"/>
      <c r="C29" s="79"/>
      <c r="D29" s="79"/>
      <c r="E29" s="79"/>
      <c r="F29" s="79"/>
      <c r="G29" s="79"/>
      <c r="H29" s="79"/>
      <c r="I29" s="79"/>
      <c r="J29" s="79"/>
      <c r="K29" s="79"/>
      <c r="L29" s="79"/>
      <c r="M29" s="79"/>
      <c r="N29" s="79"/>
      <c r="O29" s="91"/>
      <c r="P29" s="92"/>
      <c r="Q29" s="93"/>
      <c r="R29" s="93"/>
      <c r="S29" s="93"/>
      <c r="T29" s="93"/>
      <c r="U29" s="93"/>
      <c r="V29" s="93"/>
    </row>
    <row r="30" spans="1:22" ht="21" customHeight="1" x14ac:dyDescent="0.15">
      <c r="A30" s="79"/>
      <c r="B30" s="79"/>
      <c r="C30" s="79"/>
      <c r="D30" s="79"/>
      <c r="E30" s="79"/>
      <c r="F30" s="79"/>
      <c r="G30" s="79"/>
      <c r="H30" s="79"/>
      <c r="I30" s="79"/>
      <c r="J30" s="79"/>
      <c r="K30" s="79"/>
      <c r="L30" s="79"/>
      <c r="M30" s="79"/>
      <c r="N30" s="79"/>
      <c r="O30" s="91"/>
      <c r="P30" s="92"/>
      <c r="Q30" s="93"/>
      <c r="R30" s="93"/>
      <c r="S30" s="93"/>
      <c r="T30" s="93"/>
      <c r="U30" s="93"/>
      <c r="V30" s="93"/>
    </row>
    <row r="31" spans="1:22" ht="21" customHeight="1" x14ac:dyDescent="0.15">
      <c r="A31" s="79"/>
      <c r="B31" s="79"/>
      <c r="C31" s="79"/>
      <c r="D31" s="79"/>
      <c r="E31" s="79"/>
      <c r="F31" s="79"/>
      <c r="G31" s="79"/>
      <c r="H31" s="79"/>
      <c r="I31" s="79"/>
      <c r="J31" s="79"/>
      <c r="K31" s="79"/>
      <c r="L31" s="79"/>
      <c r="M31" s="79"/>
      <c r="N31" s="79"/>
      <c r="O31" s="91"/>
      <c r="P31" s="92"/>
      <c r="Q31" s="93"/>
      <c r="R31" s="93"/>
      <c r="S31" s="93"/>
      <c r="T31" s="93"/>
      <c r="U31" s="93"/>
      <c r="V31" s="93"/>
    </row>
    <row r="32" spans="1:22" ht="21" customHeight="1" x14ac:dyDescent="0.15">
      <c r="A32" s="79"/>
      <c r="B32" s="79"/>
      <c r="C32" s="79"/>
      <c r="D32" s="79"/>
      <c r="E32" s="79"/>
      <c r="F32" s="79"/>
      <c r="G32" s="79"/>
      <c r="H32" s="79"/>
      <c r="I32" s="79"/>
      <c r="J32" s="79"/>
      <c r="K32" s="79"/>
      <c r="L32" s="79"/>
      <c r="M32" s="79"/>
      <c r="N32" s="79"/>
      <c r="O32" s="91"/>
      <c r="P32" s="92"/>
      <c r="Q32" s="93"/>
      <c r="R32" s="93"/>
      <c r="S32" s="93"/>
      <c r="T32" s="93"/>
      <c r="U32" s="93"/>
      <c r="V32" s="93"/>
    </row>
    <row r="33" spans="1:22" ht="21" customHeight="1" x14ac:dyDescent="0.15">
      <c r="A33" s="79"/>
      <c r="B33" s="79"/>
      <c r="C33" s="79"/>
      <c r="D33" s="79"/>
      <c r="E33" s="79"/>
      <c r="F33" s="79"/>
      <c r="G33" s="79"/>
      <c r="H33" s="79"/>
      <c r="I33" s="79"/>
      <c r="J33" s="79"/>
      <c r="K33" s="79"/>
      <c r="L33" s="79"/>
      <c r="M33" s="79"/>
      <c r="N33" s="79"/>
      <c r="O33" s="91"/>
      <c r="P33" s="92"/>
      <c r="Q33" s="93"/>
      <c r="R33" s="93"/>
      <c r="S33" s="93"/>
      <c r="T33" s="93"/>
      <c r="U33" s="93"/>
      <c r="V33" s="93"/>
    </row>
    <row r="34" spans="1:22" ht="21" customHeight="1" x14ac:dyDescent="0.15">
      <c r="A34" s="79"/>
      <c r="B34" s="79"/>
      <c r="C34" s="79"/>
      <c r="D34" s="79"/>
      <c r="E34" s="79"/>
      <c r="F34" s="79"/>
      <c r="G34" s="79"/>
      <c r="H34" s="79"/>
      <c r="I34" s="79"/>
      <c r="J34" s="79"/>
      <c r="K34" s="79"/>
      <c r="L34" s="79"/>
      <c r="M34" s="79"/>
      <c r="N34" s="79"/>
      <c r="O34" s="91"/>
      <c r="P34" s="92"/>
      <c r="Q34" s="93"/>
      <c r="R34" s="93"/>
      <c r="S34" s="93"/>
      <c r="T34" s="93"/>
      <c r="U34" s="93"/>
      <c r="V34" s="93"/>
    </row>
    <row r="35" spans="1:22" ht="21" customHeight="1" x14ac:dyDescent="0.15">
      <c r="A35" s="79"/>
      <c r="B35" s="79"/>
      <c r="C35" s="79"/>
      <c r="D35" s="79"/>
      <c r="E35" s="79"/>
      <c r="F35" s="79"/>
      <c r="G35" s="79"/>
      <c r="H35" s="79"/>
      <c r="I35" s="79"/>
      <c r="J35" s="79"/>
      <c r="K35" s="79"/>
      <c r="L35" s="79"/>
      <c r="M35" s="79"/>
      <c r="N35" s="79"/>
      <c r="O35" s="91"/>
      <c r="P35" s="92"/>
      <c r="Q35" s="93"/>
      <c r="R35" s="93"/>
      <c r="S35" s="93"/>
      <c r="T35" s="93"/>
      <c r="U35" s="93"/>
      <c r="V35" s="93"/>
    </row>
    <row r="36" spans="1:22" ht="21" customHeight="1" x14ac:dyDescent="0.15">
      <c r="A36" s="79"/>
      <c r="B36" s="79"/>
      <c r="C36" s="79"/>
      <c r="D36" s="79"/>
      <c r="E36" s="79"/>
      <c r="F36" s="79"/>
      <c r="G36" s="79"/>
      <c r="H36" s="79"/>
      <c r="I36" s="79"/>
      <c r="J36" s="79"/>
      <c r="K36" s="79"/>
      <c r="L36" s="79"/>
      <c r="M36" s="79"/>
      <c r="N36" s="79"/>
      <c r="O36" s="91"/>
      <c r="P36" s="92"/>
      <c r="Q36" s="93"/>
      <c r="R36" s="93"/>
      <c r="S36" s="93"/>
      <c r="T36" s="93"/>
      <c r="U36" s="93"/>
      <c r="V36" s="93"/>
    </row>
    <row r="37" spans="1:22" ht="21" customHeight="1" x14ac:dyDescent="0.15">
      <c r="A37" s="79"/>
      <c r="B37" s="79"/>
      <c r="C37" s="79"/>
      <c r="D37" s="79"/>
      <c r="E37" s="79"/>
      <c r="F37" s="79"/>
      <c r="G37" s="79"/>
      <c r="H37" s="79"/>
      <c r="I37" s="79"/>
      <c r="J37" s="79"/>
      <c r="K37" s="79"/>
      <c r="L37" s="79"/>
      <c r="M37" s="79"/>
      <c r="N37" s="79"/>
      <c r="O37" s="91"/>
      <c r="P37" s="92"/>
      <c r="Q37" s="93"/>
      <c r="R37" s="93"/>
      <c r="S37" s="93"/>
      <c r="T37" s="93"/>
      <c r="U37" s="93"/>
      <c r="V37" s="93"/>
    </row>
    <row r="38" spans="1:22" ht="21" customHeight="1" x14ac:dyDescent="0.15">
      <c r="A38" s="79"/>
      <c r="B38" s="79"/>
      <c r="C38" s="79"/>
      <c r="D38" s="79"/>
      <c r="E38" s="79"/>
      <c r="F38" s="79"/>
      <c r="G38" s="79"/>
      <c r="H38" s="79"/>
      <c r="I38" s="79"/>
      <c r="J38" s="79"/>
      <c r="K38" s="79"/>
      <c r="L38" s="79"/>
      <c r="M38" s="79"/>
      <c r="N38" s="79"/>
      <c r="O38" s="91"/>
      <c r="P38" s="92"/>
      <c r="Q38" s="93"/>
      <c r="R38" s="93"/>
      <c r="S38" s="93"/>
      <c r="T38" s="93"/>
      <c r="U38" s="93"/>
      <c r="V38" s="93"/>
    </row>
    <row r="39" spans="1:22" ht="21" customHeight="1" x14ac:dyDescent="0.15">
      <c r="A39" s="79"/>
      <c r="B39" s="79"/>
      <c r="C39" s="79"/>
      <c r="D39" s="79"/>
      <c r="E39" s="79"/>
      <c r="F39" s="79"/>
      <c r="G39" s="79"/>
      <c r="H39" s="79"/>
      <c r="I39" s="79"/>
      <c r="J39" s="79"/>
      <c r="K39" s="79"/>
      <c r="L39" s="79"/>
      <c r="M39" s="79"/>
      <c r="N39" s="79"/>
      <c r="O39" s="91"/>
      <c r="P39" s="92"/>
      <c r="Q39" s="93"/>
      <c r="R39" s="93"/>
      <c r="S39" s="93"/>
      <c r="T39" s="93"/>
      <c r="U39" s="93"/>
      <c r="V39" s="93"/>
    </row>
    <row r="40" spans="1:22" ht="21" customHeight="1" x14ac:dyDescent="0.15">
      <c r="A40" s="79"/>
      <c r="B40" s="79"/>
      <c r="C40" s="79"/>
      <c r="D40" s="79"/>
      <c r="E40" s="79"/>
      <c r="F40" s="79"/>
      <c r="G40" s="79"/>
      <c r="H40" s="79"/>
      <c r="I40" s="79"/>
      <c r="J40" s="79"/>
      <c r="K40" s="79"/>
      <c r="L40" s="79"/>
      <c r="M40" s="79"/>
      <c r="N40" s="79"/>
      <c r="O40" s="91"/>
      <c r="P40" s="92"/>
      <c r="Q40" s="93"/>
      <c r="R40" s="93"/>
      <c r="S40" s="93"/>
      <c r="T40" s="93"/>
      <c r="U40" s="93"/>
      <c r="V40" s="93"/>
    </row>
    <row r="41" spans="1:22" ht="21" customHeight="1" x14ac:dyDescent="0.15">
      <c r="A41" s="79"/>
      <c r="B41" s="79"/>
      <c r="C41" s="79"/>
      <c r="D41" s="79"/>
      <c r="E41" s="79"/>
      <c r="F41" s="79"/>
      <c r="G41" s="79"/>
      <c r="H41" s="79"/>
      <c r="I41" s="79"/>
      <c r="J41" s="79"/>
      <c r="K41" s="79"/>
      <c r="L41" s="79"/>
      <c r="M41" s="79"/>
      <c r="N41" s="79"/>
      <c r="O41" s="91"/>
      <c r="P41" s="92"/>
      <c r="Q41" s="93"/>
      <c r="R41" s="93"/>
      <c r="S41" s="93"/>
      <c r="T41" s="93"/>
      <c r="U41" s="93"/>
      <c r="V41" s="93"/>
    </row>
    <row r="42" spans="1:22" ht="21" customHeight="1" x14ac:dyDescent="0.15">
      <c r="A42" s="79"/>
      <c r="B42" s="79"/>
      <c r="C42" s="79"/>
      <c r="D42" s="79"/>
      <c r="E42" s="79"/>
      <c r="F42" s="79"/>
      <c r="G42" s="79"/>
      <c r="H42" s="79"/>
      <c r="I42" s="79"/>
      <c r="J42" s="79"/>
      <c r="K42" s="79"/>
      <c r="L42" s="79"/>
      <c r="M42" s="79"/>
      <c r="N42" s="79"/>
      <c r="O42" s="91"/>
      <c r="P42" s="92"/>
      <c r="Q42" s="93"/>
      <c r="R42" s="93"/>
      <c r="S42" s="93"/>
      <c r="T42" s="93"/>
      <c r="U42" s="93"/>
      <c r="V42" s="93"/>
    </row>
    <row r="43" spans="1:22" ht="21" customHeight="1" x14ac:dyDescent="0.15">
      <c r="A43" s="79"/>
      <c r="B43" s="79"/>
      <c r="C43" s="79"/>
      <c r="D43" s="79"/>
      <c r="E43" s="79"/>
      <c r="F43" s="79"/>
      <c r="G43" s="79"/>
      <c r="H43" s="79"/>
      <c r="I43" s="79"/>
      <c r="J43" s="79"/>
      <c r="K43" s="79"/>
      <c r="L43" s="79"/>
      <c r="M43" s="79"/>
      <c r="N43" s="79"/>
      <c r="O43" s="91"/>
      <c r="P43" s="92"/>
      <c r="Q43" s="93"/>
      <c r="R43" s="93"/>
      <c r="S43" s="93"/>
      <c r="T43" s="93"/>
      <c r="U43" s="93"/>
      <c r="V43" s="93"/>
    </row>
    <row r="44" spans="1:22" ht="21" customHeight="1" x14ac:dyDescent="0.15">
      <c r="A44" s="79"/>
      <c r="B44" s="79"/>
      <c r="C44" s="79"/>
      <c r="D44" s="79"/>
      <c r="E44" s="79"/>
      <c r="F44" s="79"/>
      <c r="G44" s="79"/>
      <c r="H44" s="79"/>
      <c r="I44" s="79"/>
      <c r="J44" s="79"/>
      <c r="K44" s="79"/>
      <c r="L44" s="79"/>
      <c r="M44" s="79"/>
      <c r="N44" s="79"/>
      <c r="O44" s="91"/>
      <c r="P44" s="92"/>
      <c r="Q44" s="93"/>
      <c r="R44" s="93"/>
      <c r="S44" s="93"/>
      <c r="T44" s="93"/>
      <c r="U44" s="93"/>
      <c r="V44" s="93"/>
    </row>
    <row r="45" spans="1:22" ht="21" customHeight="1" x14ac:dyDescent="0.15">
      <c r="A45" s="79"/>
      <c r="B45" s="79"/>
      <c r="C45" s="79"/>
      <c r="D45" s="79"/>
      <c r="E45" s="79"/>
      <c r="F45" s="79"/>
      <c r="G45" s="79"/>
      <c r="H45" s="79"/>
      <c r="I45" s="79"/>
      <c r="J45" s="79"/>
      <c r="K45" s="79"/>
      <c r="L45" s="79"/>
      <c r="M45" s="79"/>
      <c r="N45" s="79"/>
      <c r="O45" s="91"/>
      <c r="P45" s="92"/>
      <c r="Q45" s="93"/>
      <c r="R45" s="93"/>
      <c r="S45" s="93"/>
      <c r="T45" s="93"/>
      <c r="U45" s="93"/>
      <c r="V45" s="93"/>
    </row>
    <row r="46" spans="1:22" ht="21" customHeight="1" x14ac:dyDescent="0.15">
      <c r="A46" s="79"/>
      <c r="B46" s="79"/>
      <c r="C46" s="79"/>
      <c r="D46" s="79"/>
      <c r="E46" s="79"/>
      <c r="F46" s="79"/>
      <c r="G46" s="79"/>
      <c r="H46" s="79"/>
      <c r="I46" s="79"/>
      <c r="J46" s="79"/>
      <c r="K46" s="79"/>
      <c r="L46" s="79"/>
      <c r="M46" s="79"/>
      <c r="N46" s="79"/>
      <c r="O46" s="91"/>
      <c r="P46" s="92"/>
      <c r="Q46" s="93"/>
      <c r="R46" s="93"/>
      <c r="S46" s="93"/>
      <c r="T46" s="93"/>
      <c r="U46" s="93"/>
      <c r="V46" s="93"/>
    </row>
    <row r="47" spans="1:22" ht="21" customHeight="1" x14ac:dyDescent="0.15">
      <c r="A47" s="79"/>
      <c r="B47" s="79"/>
      <c r="C47" s="79"/>
      <c r="D47" s="79"/>
      <c r="E47" s="79"/>
      <c r="F47" s="79"/>
      <c r="G47" s="79"/>
      <c r="H47" s="79"/>
      <c r="I47" s="79"/>
      <c r="J47" s="79"/>
      <c r="K47" s="79"/>
      <c r="L47" s="79"/>
      <c r="M47" s="79"/>
      <c r="N47" s="79"/>
      <c r="O47" s="91"/>
      <c r="P47" s="92"/>
      <c r="Q47" s="93"/>
      <c r="R47" s="93"/>
      <c r="S47" s="93"/>
      <c r="T47" s="93"/>
      <c r="U47" s="93"/>
      <c r="V47" s="93"/>
    </row>
    <row r="48" spans="1:22" ht="21" customHeight="1" x14ac:dyDescent="0.15">
      <c r="A48" s="79"/>
      <c r="B48" s="79"/>
      <c r="C48" s="79"/>
      <c r="D48" s="79"/>
      <c r="E48" s="79"/>
      <c r="F48" s="79"/>
      <c r="G48" s="79"/>
      <c r="H48" s="79"/>
      <c r="I48" s="79"/>
      <c r="J48" s="79"/>
      <c r="K48" s="79"/>
      <c r="L48" s="79"/>
      <c r="M48" s="79"/>
      <c r="N48" s="79"/>
      <c r="O48" s="91"/>
      <c r="P48" s="92"/>
      <c r="Q48" s="93"/>
      <c r="R48" s="93"/>
      <c r="S48" s="93"/>
      <c r="T48" s="93"/>
      <c r="U48" s="93"/>
      <c r="V48" s="93"/>
    </row>
    <row r="49" spans="1:22" ht="21" customHeight="1" x14ac:dyDescent="0.15">
      <c r="A49" s="79"/>
      <c r="B49" s="79"/>
      <c r="C49" s="79"/>
      <c r="D49" s="79"/>
      <c r="E49" s="79"/>
      <c r="F49" s="79"/>
      <c r="G49" s="79"/>
      <c r="H49" s="79"/>
      <c r="I49" s="79"/>
      <c r="J49" s="79"/>
      <c r="K49" s="79"/>
      <c r="L49" s="79"/>
      <c r="M49" s="79"/>
      <c r="N49" s="79"/>
      <c r="O49" s="91"/>
      <c r="P49" s="92"/>
      <c r="Q49" s="93"/>
      <c r="R49" s="93"/>
      <c r="S49" s="93"/>
      <c r="T49" s="93"/>
      <c r="U49" s="93"/>
      <c r="V49" s="93"/>
    </row>
    <row r="50" spans="1:22" ht="21" customHeight="1" x14ac:dyDescent="0.15">
      <c r="A50" s="79"/>
      <c r="B50" s="79"/>
      <c r="C50" s="79"/>
      <c r="D50" s="79"/>
      <c r="E50" s="79"/>
      <c r="F50" s="79"/>
      <c r="G50" s="79"/>
      <c r="H50" s="79"/>
      <c r="I50" s="79"/>
      <c r="J50" s="79"/>
      <c r="K50" s="79"/>
      <c r="L50" s="79"/>
      <c r="M50" s="79"/>
      <c r="N50" s="79"/>
      <c r="O50" s="91"/>
      <c r="P50" s="92"/>
      <c r="Q50" s="93"/>
      <c r="R50" s="93"/>
      <c r="S50" s="93"/>
      <c r="T50" s="93"/>
      <c r="U50" s="93"/>
      <c r="V50" s="93"/>
    </row>
    <row r="51" spans="1:22" ht="21" customHeight="1" x14ac:dyDescent="0.15">
      <c r="A51" s="79"/>
      <c r="B51" s="79"/>
      <c r="C51" s="79"/>
      <c r="D51" s="79"/>
      <c r="E51" s="79"/>
      <c r="F51" s="79"/>
      <c r="G51" s="79"/>
      <c r="H51" s="79"/>
      <c r="I51" s="79"/>
      <c r="J51" s="79"/>
      <c r="K51" s="79"/>
      <c r="L51" s="79"/>
      <c r="M51" s="79"/>
      <c r="N51" s="79"/>
      <c r="O51" s="91"/>
      <c r="P51" s="92"/>
      <c r="Q51" s="93"/>
      <c r="R51" s="93"/>
      <c r="S51" s="93"/>
      <c r="T51" s="93"/>
      <c r="U51" s="93"/>
      <c r="V51" s="93"/>
    </row>
    <row r="52" spans="1:22" ht="21" customHeight="1" x14ac:dyDescent="0.15">
      <c r="A52" s="79"/>
      <c r="B52" s="79"/>
      <c r="C52" s="79"/>
      <c r="D52" s="79"/>
      <c r="E52" s="79"/>
      <c r="F52" s="79"/>
      <c r="G52" s="79"/>
      <c r="H52" s="79"/>
      <c r="I52" s="79"/>
      <c r="J52" s="79"/>
      <c r="K52" s="79"/>
      <c r="L52" s="79"/>
      <c r="M52" s="79"/>
      <c r="N52" s="79"/>
      <c r="O52" s="91"/>
      <c r="P52" s="92"/>
      <c r="Q52" s="93"/>
      <c r="R52" s="93"/>
      <c r="S52" s="93"/>
      <c r="T52" s="93"/>
      <c r="U52" s="93"/>
      <c r="V52" s="93"/>
    </row>
    <row r="53" spans="1:22" ht="21" customHeight="1" x14ac:dyDescent="0.15">
      <c r="A53" s="79"/>
      <c r="B53" s="79"/>
      <c r="C53" s="79"/>
      <c r="D53" s="79"/>
      <c r="E53" s="79"/>
      <c r="F53" s="79"/>
      <c r="G53" s="79"/>
      <c r="H53" s="79"/>
      <c r="I53" s="79"/>
      <c r="J53" s="79"/>
      <c r="K53" s="79"/>
      <c r="L53" s="79"/>
      <c r="M53" s="79"/>
      <c r="N53" s="79"/>
      <c r="O53" s="91"/>
      <c r="P53" s="92"/>
      <c r="Q53" s="93"/>
      <c r="R53" s="93"/>
      <c r="S53" s="93"/>
      <c r="T53" s="93"/>
      <c r="U53" s="93"/>
      <c r="V53" s="93"/>
    </row>
    <row r="54" spans="1:22" ht="21" customHeight="1" x14ac:dyDescent="0.15">
      <c r="A54" s="79"/>
      <c r="B54" s="79"/>
      <c r="C54" s="79"/>
      <c r="D54" s="79"/>
      <c r="E54" s="79"/>
      <c r="F54" s="79"/>
      <c r="G54" s="79"/>
      <c r="H54" s="79"/>
      <c r="I54" s="79"/>
      <c r="J54" s="79"/>
      <c r="K54" s="79"/>
      <c r="L54" s="79"/>
      <c r="M54" s="79"/>
      <c r="N54" s="79"/>
      <c r="O54" s="91"/>
      <c r="P54" s="92"/>
      <c r="Q54" s="93"/>
      <c r="R54" s="93"/>
      <c r="S54" s="93"/>
      <c r="T54" s="93"/>
      <c r="U54" s="93"/>
      <c r="V54" s="93"/>
    </row>
    <row r="55" spans="1:22" ht="21" customHeight="1" x14ac:dyDescent="0.15">
      <c r="A55" s="79"/>
      <c r="B55" s="79"/>
      <c r="C55" s="79"/>
      <c r="D55" s="79"/>
      <c r="E55" s="79"/>
      <c r="F55" s="79"/>
      <c r="G55" s="79"/>
      <c r="H55" s="79"/>
      <c r="I55" s="79"/>
      <c r="J55" s="79"/>
      <c r="K55" s="79"/>
      <c r="L55" s="79"/>
      <c r="M55" s="79"/>
      <c r="N55" s="79"/>
      <c r="O55" s="91"/>
      <c r="P55" s="92"/>
      <c r="Q55" s="93"/>
      <c r="R55" s="93"/>
      <c r="S55" s="93"/>
      <c r="T55" s="93"/>
      <c r="U55" s="93"/>
      <c r="V55" s="93"/>
    </row>
    <row r="56" spans="1:22" ht="21" customHeight="1" x14ac:dyDescent="0.15">
      <c r="A56" s="79"/>
      <c r="B56" s="79"/>
      <c r="C56" s="79"/>
      <c r="D56" s="79"/>
      <c r="E56" s="79"/>
      <c r="F56" s="79"/>
      <c r="G56" s="79"/>
      <c r="H56" s="79"/>
      <c r="I56" s="79"/>
      <c r="J56" s="79"/>
      <c r="K56" s="79"/>
      <c r="L56" s="79"/>
      <c r="M56" s="79"/>
      <c r="N56" s="79"/>
      <c r="O56" s="91"/>
      <c r="P56" s="92"/>
      <c r="Q56" s="93"/>
      <c r="R56" s="93"/>
      <c r="S56" s="93"/>
      <c r="T56" s="93"/>
      <c r="U56" s="93"/>
      <c r="V56" s="93"/>
    </row>
    <row r="57" spans="1:22" ht="21" customHeight="1" x14ac:dyDescent="0.15">
      <c r="A57" s="79"/>
      <c r="B57" s="79"/>
      <c r="C57" s="79"/>
      <c r="D57" s="79"/>
      <c r="E57" s="79"/>
      <c r="F57" s="79"/>
      <c r="G57" s="79"/>
      <c r="H57" s="79"/>
      <c r="I57" s="79"/>
      <c r="J57" s="79"/>
      <c r="K57" s="79"/>
      <c r="L57" s="79"/>
      <c r="M57" s="79"/>
      <c r="N57" s="79"/>
      <c r="O57" s="91"/>
      <c r="P57" s="92"/>
      <c r="Q57" s="93"/>
      <c r="R57" s="93"/>
      <c r="S57" s="93"/>
      <c r="T57" s="93"/>
      <c r="U57" s="93"/>
      <c r="V57" s="93"/>
    </row>
    <row r="58" spans="1:22" ht="21" customHeight="1" x14ac:dyDescent="0.15">
      <c r="A58" s="79"/>
      <c r="B58" s="79"/>
      <c r="C58" s="79"/>
      <c r="D58" s="79"/>
      <c r="E58" s="79"/>
      <c r="F58" s="79"/>
      <c r="G58" s="79"/>
      <c r="H58" s="79"/>
      <c r="I58" s="79"/>
      <c r="J58" s="79"/>
      <c r="K58" s="79"/>
      <c r="L58" s="79"/>
      <c r="M58" s="79"/>
      <c r="N58" s="79"/>
      <c r="O58" s="91"/>
      <c r="P58" s="92"/>
      <c r="Q58" s="93"/>
      <c r="R58" s="93"/>
      <c r="S58" s="93"/>
      <c r="T58" s="93"/>
      <c r="U58" s="93"/>
      <c r="V58" s="93"/>
    </row>
    <row r="59" spans="1:22" ht="21" customHeight="1" x14ac:dyDescent="0.15">
      <c r="A59" s="79"/>
      <c r="B59" s="79"/>
      <c r="C59" s="79"/>
      <c r="D59" s="79"/>
      <c r="E59" s="79"/>
      <c r="F59" s="79"/>
      <c r="G59" s="79"/>
      <c r="H59" s="79"/>
      <c r="I59" s="79"/>
      <c r="J59" s="79"/>
      <c r="K59" s="79"/>
      <c r="L59" s="79"/>
      <c r="M59" s="79"/>
      <c r="N59" s="79"/>
      <c r="O59" s="91"/>
      <c r="P59" s="92"/>
      <c r="Q59" s="93"/>
      <c r="R59" s="93"/>
      <c r="S59" s="93"/>
      <c r="T59" s="93"/>
      <c r="U59" s="93"/>
      <c r="V59" s="93"/>
    </row>
    <row r="60" spans="1:22" ht="21" customHeight="1" x14ac:dyDescent="0.15">
      <c r="A60" s="79"/>
      <c r="B60" s="79"/>
      <c r="C60" s="79"/>
      <c r="D60" s="79"/>
      <c r="E60" s="79"/>
      <c r="F60" s="79"/>
      <c r="G60" s="79"/>
      <c r="H60" s="79"/>
      <c r="I60" s="79"/>
      <c r="J60" s="79"/>
      <c r="K60" s="79"/>
      <c r="L60" s="79"/>
      <c r="M60" s="79"/>
      <c r="N60" s="79"/>
      <c r="O60" s="91"/>
      <c r="P60" s="92"/>
      <c r="Q60" s="93"/>
      <c r="R60" s="93"/>
      <c r="S60" s="93"/>
      <c r="T60" s="93"/>
      <c r="U60" s="93"/>
      <c r="V60" s="93"/>
    </row>
    <row r="61" spans="1:22" ht="21" customHeight="1" x14ac:dyDescent="0.15">
      <c r="A61" s="79"/>
      <c r="B61" s="79"/>
      <c r="C61" s="79"/>
      <c r="D61" s="79"/>
      <c r="E61" s="79"/>
      <c r="F61" s="79"/>
      <c r="G61" s="79"/>
      <c r="H61" s="79"/>
      <c r="I61" s="79"/>
      <c r="J61" s="79"/>
      <c r="K61" s="79"/>
      <c r="L61" s="79"/>
      <c r="M61" s="79"/>
      <c r="N61" s="79"/>
      <c r="O61" s="91"/>
      <c r="P61" s="92"/>
      <c r="Q61" s="93"/>
      <c r="R61" s="93"/>
      <c r="S61" s="93"/>
      <c r="T61" s="93"/>
      <c r="U61" s="93"/>
      <c r="V61" s="93"/>
    </row>
    <row r="62" spans="1:22" ht="21" customHeight="1" x14ac:dyDescent="0.15">
      <c r="A62" s="79"/>
      <c r="B62" s="79"/>
      <c r="C62" s="79"/>
      <c r="D62" s="79"/>
      <c r="E62" s="79"/>
      <c r="F62" s="79"/>
      <c r="G62" s="79"/>
      <c r="H62" s="79"/>
      <c r="I62" s="79"/>
      <c r="J62" s="79"/>
      <c r="K62" s="79"/>
      <c r="L62" s="79"/>
      <c r="M62" s="79"/>
      <c r="N62" s="79"/>
      <c r="O62" s="91"/>
      <c r="P62" s="92"/>
      <c r="Q62" s="93"/>
      <c r="R62" s="93"/>
      <c r="S62" s="93"/>
      <c r="T62" s="93"/>
      <c r="U62" s="93"/>
      <c r="V62" s="93"/>
    </row>
    <row r="63" spans="1:22" ht="21" customHeight="1" x14ac:dyDescent="0.15">
      <c r="A63" s="79"/>
      <c r="B63" s="79"/>
      <c r="C63" s="79"/>
      <c r="D63" s="79"/>
      <c r="E63" s="79"/>
      <c r="F63" s="79"/>
      <c r="G63" s="79"/>
      <c r="H63" s="79"/>
      <c r="I63" s="79"/>
      <c r="J63" s="79"/>
      <c r="K63" s="79"/>
      <c r="L63" s="79"/>
      <c r="M63" s="79"/>
      <c r="N63" s="79"/>
      <c r="O63" s="91"/>
      <c r="P63" s="92"/>
      <c r="Q63" s="93"/>
      <c r="R63" s="93"/>
      <c r="S63" s="93"/>
      <c r="T63" s="93"/>
      <c r="U63" s="93"/>
      <c r="V63" s="93"/>
    </row>
    <row r="64" spans="1:22" ht="21" customHeight="1" x14ac:dyDescent="0.15">
      <c r="A64" s="79"/>
      <c r="B64" s="79"/>
      <c r="C64" s="79"/>
      <c r="D64" s="79"/>
      <c r="E64" s="79"/>
      <c r="F64" s="79"/>
      <c r="G64" s="79"/>
      <c r="H64" s="79"/>
      <c r="I64" s="79"/>
      <c r="J64" s="79"/>
      <c r="K64" s="79"/>
      <c r="L64" s="79"/>
      <c r="M64" s="79"/>
      <c r="N64" s="79"/>
      <c r="O64" s="91"/>
      <c r="P64" s="92"/>
      <c r="Q64" s="93"/>
      <c r="R64" s="93"/>
      <c r="S64" s="93"/>
      <c r="T64" s="93"/>
      <c r="U64" s="93"/>
      <c r="V64" s="93"/>
    </row>
    <row r="65" spans="1:22" ht="21" customHeight="1" x14ac:dyDescent="0.15">
      <c r="A65" s="79"/>
      <c r="B65" s="79"/>
      <c r="C65" s="79"/>
      <c r="D65" s="79"/>
      <c r="E65" s="79"/>
      <c r="F65" s="79"/>
      <c r="G65" s="79"/>
      <c r="H65" s="79"/>
      <c r="I65" s="79"/>
      <c r="J65" s="79"/>
      <c r="K65" s="79"/>
      <c r="L65" s="79"/>
      <c r="M65" s="79"/>
      <c r="N65" s="79"/>
      <c r="O65" s="91"/>
      <c r="P65" s="92"/>
      <c r="Q65" s="93"/>
      <c r="R65" s="93"/>
      <c r="S65" s="93"/>
      <c r="T65" s="93"/>
      <c r="U65" s="93"/>
      <c r="V65" s="93"/>
    </row>
    <row r="66" spans="1:22" ht="21" customHeight="1" x14ac:dyDescent="0.15">
      <c r="A66" s="79"/>
      <c r="B66" s="79"/>
      <c r="C66" s="79"/>
      <c r="D66" s="79"/>
      <c r="E66" s="79"/>
      <c r="F66" s="79"/>
      <c r="G66" s="79"/>
      <c r="H66" s="79"/>
      <c r="I66" s="79"/>
      <c r="J66" s="79"/>
      <c r="K66" s="79"/>
      <c r="L66" s="79"/>
      <c r="M66" s="79"/>
      <c r="N66" s="79"/>
      <c r="O66" s="91"/>
      <c r="P66" s="92"/>
      <c r="Q66" s="93"/>
      <c r="R66" s="93"/>
      <c r="S66" s="93"/>
      <c r="T66" s="93"/>
      <c r="U66" s="93"/>
      <c r="V66" s="93"/>
    </row>
    <row r="67" spans="1:22" ht="21" customHeight="1" x14ac:dyDescent="0.15">
      <c r="A67" s="79"/>
      <c r="B67" s="79"/>
      <c r="C67" s="79"/>
      <c r="D67" s="79"/>
      <c r="E67" s="79"/>
      <c r="F67" s="79"/>
      <c r="G67" s="79"/>
      <c r="H67" s="79"/>
      <c r="I67" s="79"/>
      <c r="J67" s="79"/>
      <c r="K67" s="79"/>
      <c r="L67" s="79"/>
      <c r="M67" s="79"/>
      <c r="N67" s="79"/>
      <c r="O67" s="91"/>
      <c r="P67" s="92"/>
      <c r="Q67" s="93"/>
      <c r="R67" s="93"/>
      <c r="S67" s="93"/>
      <c r="T67" s="93"/>
      <c r="U67" s="93"/>
      <c r="V67" s="93"/>
    </row>
    <row r="68" spans="1:22" ht="21" customHeight="1" x14ac:dyDescent="0.15">
      <c r="A68" s="79"/>
      <c r="B68" s="79"/>
      <c r="C68" s="79"/>
      <c r="D68" s="79"/>
      <c r="E68" s="79"/>
      <c r="F68" s="79"/>
      <c r="G68" s="79"/>
      <c r="H68" s="79"/>
      <c r="I68" s="79"/>
      <c r="J68" s="79"/>
      <c r="K68" s="79"/>
      <c r="L68" s="79"/>
      <c r="M68" s="79"/>
      <c r="N68" s="79"/>
      <c r="O68" s="91"/>
      <c r="P68" s="92"/>
      <c r="Q68" s="93"/>
      <c r="R68" s="93"/>
      <c r="S68" s="93"/>
      <c r="T68" s="93"/>
      <c r="U68" s="93"/>
      <c r="V68" s="93"/>
    </row>
    <row r="69" spans="1:22" ht="21" customHeight="1" x14ac:dyDescent="0.15">
      <c r="A69" s="79"/>
      <c r="B69" s="79"/>
      <c r="C69" s="79"/>
      <c r="D69" s="79"/>
      <c r="E69" s="79"/>
      <c r="F69" s="79"/>
      <c r="G69" s="79"/>
      <c r="H69" s="79"/>
      <c r="I69" s="79"/>
      <c r="J69" s="79"/>
      <c r="K69" s="79"/>
      <c r="L69" s="79"/>
      <c r="M69" s="79"/>
      <c r="N69" s="79"/>
      <c r="O69" s="91"/>
      <c r="P69" s="92"/>
      <c r="Q69" s="93"/>
      <c r="R69" s="93"/>
      <c r="S69" s="93"/>
      <c r="T69" s="93"/>
      <c r="U69" s="93"/>
      <c r="V69" s="93"/>
    </row>
    <row r="70" spans="1:22" ht="21" customHeight="1" x14ac:dyDescent="0.15">
      <c r="A70" s="79"/>
      <c r="B70" s="79"/>
      <c r="C70" s="79"/>
      <c r="D70" s="79"/>
      <c r="E70" s="79"/>
      <c r="F70" s="79"/>
      <c r="G70" s="79"/>
      <c r="H70" s="79"/>
      <c r="I70" s="79"/>
      <c r="J70" s="79"/>
      <c r="K70" s="79"/>
      <c r="L70" s="79"/>
      <c r="M70" s="79"/>
      <c r="N70" s="79"/>
      <c r="O70" s="91"/>
      <c r="P70" s="92"/>
      <c r="Q70" s="93"/>
      <c r="R70" s="93"/>
      <c r="S70" s="93"/>
      <c r="T70" s="93"/>
      <c r="U70" s="93"/>
      <c r="V70" s="93"/>
    </row>
    <row r="71" spans="1:22" ht="21" customHeight="1" x14ac:dyDescent="0.15">
      <c r="A71" s="79"/>
      <c r="B71" s="79"/>
      <c r="C71" s="79"/>
      <c r="D71" s="79"/>
      <c r="E71" s="79"/>
      <c r="F71" s="79"/>
      <c r="G71" s="79"/>
      <c r="H71" s="79"/>
      <c r="I71" s="79"/>
      <c r="J71" s="79"/>
      <c r="K71" s="79"/>
      <c r="L71" s="79"/>
      <c r="M71" s="79"/>
      <c r="N71" s="79"/>
      <c r="O71" s="91"/>
      <c r="P71" s="92"/>
      <c r="Q71" s="93"/>
      <c r="R71" s="93"/>
      <c r="S71" s="93"/>
      <c r="T71" s="93"/>
      <c r="U71" s="93"/>
      <c r="V71" s="93"/>
    </row>
    <row r="72" spans="1:22" ht="21" customHeight="1" x14ac:dyDescent="0.15">
      <c r="A72" s="79"/>
      <c r="B72" s="79"/>
      <c r="C72" s="79"/>
      <c r="D72" s="79"/>
      <c r="E72" s="79"/>
      <c r="F72" s="79"/>
      <c r="G72" s="79"/>
      <c r="H72" s="79"/>
      <c r="I72" s="79"/>
      <c r="J72" s="79"/>
      <c r="K72" s="79"/>
      <c r="L72" s="79"/>
      <c r="M72" s="79"/>
      <c r="N72" s="79"/>
      <c r="O72" s="91"/>
      <c r="P72" s="92"/>
      <c r="Q72" s="93"/>
      <c r="R72" s="93"/>
      <c r="S72" s="93"/>
      <c r="T72" s="93"/>
      <c r="U72" s="93"/>
      <c r="V72" s="93"/>
    </row>
    <row r="73" spans="1:22" ht="21" customHeight="1" x14ac:dyDescent="0.15">
      <c r="A73" s="79"/>
      <c r="B73" s="79"/>
      <c r="C73" s="79"/>
      <c r="D73" s="79"/>
      <c r="E73" s="79"/>
      <c r="F73" s="79"/>
      <c r="G73" s="79"/>
      <c r="H73" s="79"/>
      <c r="I73" s="79"/>
      <c r="J73" s="79"/>
      <c r="K73" s="79"/>
      <c r="L73" s="79"/>
      <c r="M73" s="79"/>
      <c r="N73" s="79"/>
      <c r="O73" s="91"/>
      <c r="P73" s="92"/>
      <c r="Q73" s="93"/>
      <c r="R73" s="93"/>
      <c r="S73" s="93"/>
      <c r="T73" s="93"/>
      <c r="U73" s="93"/>
      <c r="V73" s="93"/>
    </row>
    <row r="74" spans="1:22" ht="21" customHeight="1" x14ac:dyDescent="0.15">
      <c r="A74" s="79"/>
      <c r="B74" s="79"/>
      <c r="C74" s="79"/>
      <c r="D74" s="79"/>
      <c r="E74" s="79"/>
      <c r="F74" s="79"/>
      <c r="G74" s="79"/>
      <c r="H74" s="79"/>
      <c r="I74" s="79"/>
      <c r="J74" s="79"/>
      <c r="K74" s="79"/>
      <c r="L74" s="79"/>
      <c r="M74" s="79"/>
      <c r="N74" s="79"/>
      <c r="O74" s="91"/>
      <c r="P74" s="92"/>
      <c r="Q74" s="93"/>
      <c r="R74" s="93"/>
      <c r="S74" s="93"/>
      <c r="T74" s="93"/>
      <c r="U74" s="93"/>
      <c r="V74" s="93"/>
    </row>
    <row r="75" spans="1:22" ht="21" customHeight="1" x14ac:dyDescent="0.15">
      <c r="A75" s="79"/>
      <c r="B75" s="79"/>
      <c r="C75" s="79"/>
      <c r="D75" s="79"/>
      <c r="E75" s="79"/>
      <c r="F75" s="79"/>
      <c r="G75" s="79"/>
      <c r="H75" s="79"/>
      <c r="I75" s="79"/>
      <c r="J75" s="79"/>
      <c r="K75" s="79"/>
      <c r="L75" s="79"/>
      <c r="M75" s="79"/>
      <c r="N75" s="79"/>
      <c r="O75" s="91"/>
      <c r="P75" s="92"/>
      <c r="Q75" s="93"/>
      <c r="R75" s="93"/>
      <c r="S75" s="93"/>
      <c r="T75" s="93"/>
      <c r="U75" s="93"/>
      <c r="V75" s="93"/>
    </row>
    <row r="76" spans="1:22" ht="21" customHeight="1" x14ac:dyDescent="0.15">
      <c r="A76" s="79"/>
      <c r="B76" s="79"/>
      <c r="C76" s="79"/>
      <c r="D76" s="79"/>
      <c r="E76" s="79"/>
      <c r="F76" s="79"/>
      <c r="G76" s="79"/>
      <c r="H76" s="79"/>
      <c r="I76" s="79"/>
      <c r="J76" s="79"/>
      <c r="K76" s="79"/>
      <c r="L76" s="79"/>
      <c r="M76" s="79"/>
      <c r="N76" s="79"/>
      <c r="O76" s="91"/>
      <c r="P76" s="92"/>
      <c r="Q76" s="93"/>
      <c r="R76" s="93"/>
      <c r="S76" s="93"/>
      <c r="T76" s="93"/>
      <c r="U76" s="93"/>
      <c r="V76" s="93"/>
    </row>
    <row r="77" spans="1:22" ht="21" customHeight="1" x14ac:dyDescent="0.15">
      <c r="A77" s="79"/>
      <c r="B77" s="79"/>
      <c r="C77" s="79"/>
      <c r="D77" s="79"/>
      <c r="E77" s="79"/>
      <c r="F77" s="79"/>
      <c r="G77" s="79"/>
      <c r="H77" s="79"/>
      <c r="I77" s="79"/>
      <c r="J77" s="79"/>
      <c r="K77" s="79"/>
      <c r="L77" s="79"/>
      <c r="M77" s="79"/>
      <c r="N77" s="79"/>
      <c r="O77" s="91"/>
      <c r="P77" s="92"/>
      <c r="Q77" s="93"/>
      <c r="R77" s="93"/>
      <c r="S77" s="93"/>
      <c r="T77" s="93"/>
      <c r="U77" s="93"/>
      <c r="V77" s="93"/>
    </row>
    <row r="78" spans="1:22" ht="21" customHeight="1" x14ac:dyDescent="0.15">
      <c r="A78" s="79"/>
      <c r="B78" s="79"/>
      <c r="C78" s="79"/>
      <c r="D78" s="79"/>
      <c r="E78" s="79"/>
      <c r="F78" s="79"/>
      <c r="G78" s="79"/>
      <c r="H78" s="79"/>
      <c r="I78" s="79"/>
      <c r="J78" s="79"/>
      <c r="K78" s="79"/>
      <c r="L78" s="79"/>
      <c r="M78" s="79"/>
      <c r="N78" s="79"/>
      <c r="O78" s="91"/>
      <c r="P78" s="92"/>
      <c r="Q78" s="93"/>
      <c r="R78" s="93"/>
      <c r="S78" s="93"/>
      <c r="T78" s="93"/>
      <c r="U78" s="93"/>
      <c r="V78" s="93"/>
    </row>
    <row r="79" spans="1:22" ht="21" customHeight="1" x14ac:dyDescent="0.15">
      <c r="A79" s="79"/>
      <c r="B79" s="79"/>
      <c r="C79" s="79"/>
      <c r="D79" s="79"/>
      <c r="E79" s="79"/>
      <c r="F79" s="79"/>
      <c r="G79" s="79"/>
      <c r="H79" s="79"/>
      <c r="I79" s="79"/>
      <c r="J79" s="79"/>
      <c r="K79" s="79"/>
      <c r="L79" s="79"/>
      <c r="M79" s="79"/>
      <c r="N79" s="79"/>
      <c r="O79" s="91"/>
      <c r="P79" s="92"/>
      <c r="Q79" s="93"/>
      <c r="R79" s="93"/>
      <c r="S79" s="93"/>
      <c r="T79" s="93"/>
      <c r="U79" s="93"/>
      <c r="V79" s="93"/>
    </row>
    <row r="80" spans="1:22" ht="21" customHeight="1" x14ac:dyDescent="0.15">
      <c r="A80" s="79"/>
      <c r="B80" s="79"/>
      <c r="C80" s="79"/>
      <c r="D80" s="79"/>
      <c r="E80" s="79"/>
      <c r="F80" s="79"/>
      <c r="G80" s="79"/>
      <c r="H80" s="79"/>
      <c r="I80" s="79"/>
      <c r="J80" s="79"/>
      <c r="K80" s="79"/>
      <c r="L80" s="79"/>
      <c r="M80" s="79"/>
      <c r="N80" s="79"/>
      <c r="O80" s="91"/>
      <c r="P80" s="92"/>
      <c r="Q80" s="93"/>
      <c r="R80" s="93"/>
      <c r="S80" s="93"/>
      <c r="T80" s="93"/>
      <c r="U80" s="93"/>
      <c r="V80" s="93"/>
    </row>
    <row r="81" spans="1:22" ht="21" customHeight="1" x14ac:dyDescent="0.15">
      <c r="A81" s="79"/>
      <c r="B81" s="79"/>
      <c r="C81" s="79"/>
      <c r="D81" s="79"/>
      <c r="E81" s="79"/>
      <c r="F81" s="79"/>
      <c r="G81" s="79"/>
      <c r="H81" s="79"/>
      <c r="I81" s="79"/>
      <c r="J81" s="79"/>
      <c r="K81" s="79"/>
      <c r="L81" s="79"/>
      <c r="M81" s="79"/>
      <c r="N81" s="79"/>
      <c r="O81" s="91"/>
      <c r="P81" s="92"/>
      <c r="Q81" s="93"/>
      <c r="R81" s="93"/>
      <c r="S81" s="93"/>
      <c r="T81" s="93"/>
      <c r="U81" s="93"/>
      <c r="V81" s="93"/>
    </row>
    <row r="82" spans="1:22" ht="21" customHeight="1" x14ac:dyDescent="0.15">
      <c r="A82" s="79"/>
      <c r="B82" s="79"/>
      <c r="C82" s="79"/>
      <c r="D82" s="79"/>
      <c r="E82" s="79"/>
      <c r="F82" s="79"/>
      <c r="G82" s="79"/>
      <c r="H82" s="79"/>
      <c r="I82" s="79"/>
      <c r="J82" s="79"/>
      <c r="K82" s="79"/>
      <c r="L82" s="79"/>
      <c r="M82" s="79"/>
      <c r="N82" s="79"/>
      <c r="O82" s="91"/>
      <c r="P82" s="92"/>
      <c r="Q82" s="93"/>
      <c r="R82" s="93"/>
      <c r="S82" s="93"/>
      <c r="T82" s="93"/>
      <c r="U82" s="93"/>
      <c r="V82" s="93"/>
    </row>
    <row r="83" spans="1:22" ht="21" customHeight="1" x14ac:dyDescent="0.15">
      <c r="A83" s="79"/>
      <c r="B83" s="79"/>
      <c r="C83" s="79"/>
      <c r="D83" s="79"/>
      <c r="E83" s="79"/>
      <c r="F83" s="79"/>
      <c r="G83" s="79"/>
      <c r="H83" s="79"/>
      <c r="I83" s="79"/>
      <c r="J83" s="79"/>
      <c r="K83" s="79"/>
      <c r="L83" s="79"/>
      <c r="M83" s="79"/>
      <c r="N83" s="79"/>
      <c r="O83" s="91"/>
      <c r="P83" s="92"/>
      <c r="Q83" s="93"/>
      <c r="R83" s="93"/>
      <c r="S83" s="93"/>
      <c r="T83" s="93"/>
      <c r="U83" s="93"/>
      <c r="V83" s="93"/>
    </row>
    <row r="84" spans="1:22" ht="21" customHeight="1" x14ac:dyDescent="0.15">
      <c r="A84" s="79"/>
      <c r="B84" s="79"/>
      <c r="C84" s="79"/>
      <c r="D84" s="79"/>
      <c r="E84" s="79"/>
      <c r="F84" s="79"/>
      <c r="G84" s="79"/>
      <c r="H84" s="79"/>
      <c r="I84" s="79"/>
      <c r="J84" s="79"/>
      <c r="K84" s="79"/>
      <c r="L84" s="79"/>
      <c r="M84" s="79"/>
      <c r="N84" s="79"/>
      <c r="O84" s="91"/>
      <c r="P84" s="92"/>
      <c r="Q84" s="93"/>
      <c r="R84" s="93"/>
      <c r="S84" s="93"/>
      <c r="T84" s="93"/>
      <c r="U84" s="93"/>
      <c r="V84" s="93"/>
    </row>
    <row r="85" spans="1:22" ht="21" customHeight="1" x14ac:dyDescent="0.15">
      <c r="A85" s="79"/>
      <c r="B85" s="79"/>
      <c r="C85" s="79"/>
      <c r="D85" s="79"/>
      <c r="E85" s="79"/>
      <c r="F85" s="79"/>
      <c r="G85" s="79"/>
      <c r="H85" s="79"/>
      <c r="I85" s="79"/>
      <c r="J85" s="79"/>
      <c r="K85" s="79"/>
      <c r="L85" s="79"/>
      <c r="M85" s="79"/>
      <c r="N85" s="79"/>
      <c r="O85" s="91"/>
      <c r="P85" s="92"/>
      <c r="Q85" s="93"/>
      <c r="R85" s="93"/>
      <c r="S85" s="93"/>
      <c r="T85" s="93"/>
      <c r="U85" s="93"/>
      <c r="V85" s="93"/>
    </row>
    <row r="86" spans="1:22" ht="21" customHeight="1" x14ac:dyDescent="0.15">
      <c r="A86" s="79"/>
      <c r="B86" s="79"/>
      <c r="C86" s="79"/>
      <c r="D86" s="79"/>
      <c r="E86" s="79"/>
      <c r="F86" s="79"/>
      <c r="G86" s="79"/>
      <c r="H86" s="79"/>
      <c r="I86" s="79"/>
      <c r="J86" s="79"/>
      <c r="K86" s="79"/>
      <c r="L86" s="79"/>
      <c r="M86" s="79"/>
      <c r="N86" s="79"/>
      <c r="O86" s="91"/>
      <c r="P86" s="92"/>
      <c r="Q86" s="93"/>
      <c r="R86" s="93"/>
      <c r="S86" s="93"/>
      <c r="T86" s="93"/>
      <c r="U86" s="93"/>
      <c r="V86" s="93"/>
    </row>
    <row r="87" spans="1:22" ht="21" customHeight="1" x14ac:dyDescent="0.15">
      <c r="A87" s="79"/>
      <c r="B87" s="79"/>
      <c r="C87" s="79"/>
      <c r="D87" s="79"/>
      <c r="E87" s="79"/>
      <c r="F87" s="79"/>
      <c r="G87" s="79"/>
      <c r="H87" s="79"/>
      <c r="I87" s="79"/>
      <c r="J87" s="79"/>
      <c r="K87" s="79"/>
      <c r="L87" s="79"/>
      <c r="M87" s="79"/>
      <c r="N87" s="79"/>
      <c r="O87" s="91"/>
      <c r="P87" s="92"/>
      <c r="Q87" s="93"/>
      <c r="R87" s="93"/>
      <c r="S87" s="93"/>
      <c r="T87" s="93"/>
      <c r="U87" s="93"/>
      <c r="V87" s="93"/>
    </row>
    <row r="88" spans="1:22" ht="21" customHeight="1" x14ac:dyDescent="0.15">
      <c r="A88" s="79"/>
      <c r="B88" s="79"/>
      <c r="C88" s="79"/>
      <c r="D88" s="79"/>
      <c r="E88" s="79"/>
      <c r="F88" s="79"/>
      <c r="G88" s="79"/>
      <c r="H88" s="79"/>
      <c r="I88" s="79"/>
      <c r="J88" s="79"/>
      <c r="K88" s="79"/>
      <c r="L88" s="79"/>
      <c r="M88" s="79"/>
      <c r="N88" s="79"/>
      <c r="O88" s="91"/>
      <c r="P88" s="92"/>
      <c r="Q88" s="93"/>
      <c r="R88" s="93"/>
      <c r="S88" s="93"/>
      <c r="T88" s="93"/>
      <c r="U88" s="93"/>
      <c r="V88" s="93"/>
    </row>
    <row r="89" spans="1:22" ht="21" customHeight="1" x14ac:dyDescent="0.15">
      <c r="A89" s="79"/>
      <c r="B89" s="79"/>
      <c r="C89" s="79"/>
      <c r="D89" s="79"/>
      <c r="E89" s="79"/>
      <c r="F89" s="79"/>
      <c r="G89" s="79"/>
      <c r="H89" s="79"/>
      <c r="I89" s="79"/>
      <c r="J89" s="79"/>
      <c r="K89" s="79"/>
      <c r="L89" s="79"/>
      <c r="M89" s="79"/>
      <c r="N89" s="79"/>
      <c r="O89" s="91"/>
      <c r="P89" s="92"/>
      <c r="Q89" s="93"/>
      <c r="R89" s="93"/>
      <c r="S89" s="93"/>
      <c r="T89" s="93"/>
      <c r="U89" s="93"/>
      <c r="V89" s="93"/>
    </row>
    <row r="90" spans="1:22" ht="21" customHeight="1" x14ac:dyDescent="0.15">
      <c r="A90" s="79"/>
      <c r="B90" s="79"/>
      <c r="C90" s="79"/>
      <c r="D90" s="79"/>
      <c r="E90" s="79"/>
      <c r="F90" s="79"/>
      <c r="G90" s="79"/>
      <c r="H90" s="79"/>
      <c r="I90" s="79"/>
      <c r="J90" s="79"/>
      <c r="K90" s="79"/>
      <c r="L90" s="79"/>
      <c r="M90" s="79"/>
      <c r="N90" s="79"/>
      <c r="O90" s="91"/>
      <c r="P90" s="92"/>
      <c r="Q90" s="93"/>
      <c r="R90" s="93"/>
      <c r="S90" s="93"/>
      <c r="T90" s="93"/>
      <c r="U90" s="93"/>
      <c r="V90" s="93"/>
    </row>
    <row r="91" spans="1:22" ht="21" customHeight="1" x14ac:dyDescent="0.15">
      <c r="A91" s="79"/>
      <c r="B91" s="79"/>
      <c r="C91" s="79"/>
      <c r="D91" s="79"/>
      <c r="E91" s="79"/>
      <c r="F91" s="79"/>
      <c r="G91" s="79"/>
      <c r="H91" s="79"/>
      <c r="I91" s="79"/>
      <c r="J91" s="79"/>
      <c r="K91" s="79"/>
      <c r="L91" s="79"/>
      <c r="M91" s="79"/>
      <c r="N91" s="79"/>
      <c r="O91" s="91"/>
      <c r="P91" s="92"/>
      <c r="Q91" s="93"/>
      <c r="R91" s="93"/>
      <c r="S91" s="93"/>
      <c r="T91" s="93"/>
      <c r="U91" s="93"/>
      <c r="V91" s="93"/>
    </row>
    <row r="92" spans="1:22" ht="21" customHeight="1" x14ac:dyDescent="0.15">
      <c r="A92" s="79"/>
      <c r="B92" s="79"/>
      <c r="C92" s="79"/>
      <c r="D92" s="79"/>
      <c r="E92" s="79"/>
      <c r="F92" s="79"/>
      <c r="G92" s="79"/>
      <c r="H92" s="79"/>
      <c r="I92" s="79"/>
      <c r="J92" s="79"/>
      <c r="K92" s="79"/>
      <c r="L92" s="79"/>
      <c r="M92" s="79"/>
      <c r="N92" s="79"/>
      <c r="O92" s="91"/>
      <c r="P92" s="92"/>
      <c r="Q92" s="93"/>
      <c r="R92" s="93"/>
      <c r="S92" s="93"/>
      <c r="T92" s="93"/>
      <c r="U92" s="93"/>
      <c r="V92" s="93"/>
    </row>
    <row r="93" spans="1:22" ht="21" customHeight="1" x14ac:dyDescent="0.15">
      <c r="A93" s="79"/>
      <c r="B93" s="79"/>
      <c r="C93" s="79"/>
      <c r="D93" s="79"/>
      <c r="E93" s="79"/>
      <c r="F93" s="79"/>
      <c r="G93" s="79"/>
      <c r="H93" s="79"/>
      <c r="I93" s="79"/>
      <c r="J93" s="79"/>
      <c r="K93" s="79"/>
      <c r="L93" s="79"/>
      <c r="M93" s="79"/>
      <c r="N93" s="79"/>
      <c r="O93" s="91"/>
      <c r="P93" s="92"/>
      <c r="Q93" s="93"/>
      <c r="R93" s="93"/>
      <c r="S93" s="93"/>
      <c r="T93" s="93"/>
      <c r="U93" s="93"/>
      <c r="V93" s="93"/>
    </row>
    <row r="94" spans="1:22" ht="21" customHeight="1" x14ac:dyDescent="0.15">
      <c r="A94" s="79"/>
      <c r="B94" s="79"/>
      <c r="C94" s="79"/>
      <c r="D94" s="79"/>
      <c r="E94" s="79"/>
      <c r="F94" s="79"/>
      <c r="G94" s="79"/>
      <c r="H94" s="79"/>
      <c r="I94" s="79"/>
      <c r="J94" s="79"/>
      <c r="K94" s="79"/>
      <c r="L94" s="79"/>
      <c r="M94" s="79"/>
      <c r="N94" s="79"/>
      <c r="O94" s="91"/>
      <c r="P94" s="92"/>
      <c r="Q94" s="93"/>
      <c r="R94" s="93"/>
      <c r="S94" s="93"/>
      <c r="T94" s="93"/>
      <c r="U94" s="93"/>
      <c r="V94" s="93"/>
    </row>
    <row r="95" spans="1:22" ht="21" customHeight="1" x14ac:dyDescent="0.15">
      <c r="A95" s="79"/>
      <c r="B95" s="79"/>
      <c r="C95" s="79"/>
      <c r="D95" s="79"/>
      <c r="E95" s="79"/>
      <c r="F95" s="79"/>
      <c r="G95" s="79"/>
      <c r="H95" s="79"/>
      <c r="I95" s="79"/>
      <c r="J95" s="79"/>
      <c r="K95" s="79"/>
      <c r="L95" s="79"/>
      <c r="M95" s="79"/>
      <c r="N95" s="79"/>
      <c r="O95" s="91"/>
      <c r="P95" s="92"/>
      <c r="Q95" s="93"/>
      <c r="R95" s="93"/>
      <c r="S95" s="93"/>
      <c r="T95" s="93"/>
      <c r="U95" s="93"/>
      <c r="V95" s="93"/>
    </row>
    <row r="96" spans="1:22" ht="21" customHeight="1" x14ac:dyDescent="0.15">
      <c r="A96" s="79"/>
      <c r="B96" s="79"/>
      <c r="C96" s="79"/>
      <c r="D96" s="79"/>
      <c r="E96" s="79"/>
      <c r="F96" s="79"/>
      <c r="G96" s="79"/>
      <c r="H96" s="79"/>
      <c r="I96" s="79"/>
      <c r="J96" s="79"/>
      <c r="K96" s="79"/>
      <c r="L96" s="79"/>
      <c r="M96" s="79"/>
      <c r="N96" s="79"/>
      <c r="O96" s="91"/>
      <c r="P96" s="92"/>
      <c r="Q96" s="93"/>
      <c r="R96" s="93"/>
      <c r="S96" s="93"/>
      <c r="T96" s="93"/>
      <c r="U96" s="93"/>
      <c r="V96" s="93"/>
    </row>
    <row r="97" spans="1:22" ht="21" customHeight="1" x14ac:dyDescent="0.15">
      <c r="A97" s="79"/>
      <c r="B97" s="79"/>
      <c r="C97" s="79"/>
      <c r="D97" s="79"/>
      <c r="E97" s="79"/>
      <c r="F97" s="79"/>
      <c r="G97" s="79"/>
      <c r="H97" s="79"/>
      <c r="I97" s="79"/>
      <c r="J97" s="79"/>
      <c r="K97" s="79"/>
      <c r="L97" s="79"/>
      <c r="M97" s="79"/>
      <c r="N97" s="79"/>
      <c r="O97" s="91"/>
      <c r="P97" s="92"/>
      <c r="Q97" s="93"/>
      <c r="R97" s="93"/>
      <c r="S97" s="93"/>
      <c r="T97" s="93"/>
      <c r="U97" s="93"/>
      <c r="V97" s="93"/>
    </row>
    <row r="98" spans="1:22" ht="21" customHeight="1" x14ac:dyDescent="0.15">
      <c r="A98" s="79"/>
      <c r="B98" s="79"/>
      <c r="C98" s="79"/>
      <c r="D98" s="79"/>
      <c r="E98" s="79"/>
      <c r="F98" s="79"/>
      <c r="G98" s="79"/>
      <c r="H98" s="79"/>
      <c r="I98" s="79"/>
      <c r="J98" s="79"/>
      <c r="K98" s="79"/>
      <c r="L98" s="79"/>
      <c r="M98" s="79"/>
      <c r="N98" s="79"/>
      <c r="O98" s="91"/>
      <c r="P98" s="92"/>
      <c r="Q98" s="93"/>
      <c r="R98" s="93"/>
      <c r="S98" s="93"/>
      <c r="T98" s="93"/>
      <c r="U98" s="93"/>
      <c r="V98" s="93"/>
    </row>
    <row r="99" spans="1:22" ht="21" customHeight="1" x14ac:dyDescent="0.15">
      <c r="A99" s="79"/>
      <c r="B99" s="79"/>
      <c r="C99" s="79"/>
      <c r="D99" s="79"/>
      <c r="E99" s="79"/>
      <c r="F99" s="79"/>
      <c r="G99" s="79"/>
      <c r="H99" s="79"/>
      <c r="I99" s="79"/>
      <c r="J99" s="79"/>
      <c r="K99" s="79"/>
      <c r="L99" s="79"/>
      <c r="M99" s="79"/>
      <c r="N99" s="79"/>
      <c r="O99" s="91"/>
      <c r="P99" s="92"/>
      <c r="Q99" s="93"/>
      <c r="R99" s="93"/>
      <c r="S99" s="93"/>
      <c r="T99" s="93"/>
      <c r="U99" s="93"/>
      <c r="V99" s="93"/>
    </row>
    <row r="100" spans="1:22" ht="21" customHeight="1" x14ac:dyDescent="0.15">
      <c r="A100" s="79"/>
      <c r="B100" s="79"/>
      <c r="C100" s="79"/>
      <c r="D100" s="79"/>
      <c r="E100" s="79"/>
      <c r="F100" s="79"/>
      <c r="G100" s="79"/>
      <c r="H100" s="79"/>
      <c r="I100" s="79"/>
      <c r="J100" s="79"/>
      <c r="K100" s="79"/>
      <c r="L100" s="79"/>
      <c r="M100" s="79"/>
      <c r="N100" s="79"/>
      <c r="O100" s="91"/>
      <c r="P100" s="92"/>
      <c r="Q100" s="93"/>
      <c r="R100" s="93"/>
      <c r="S100" s="93"/>
      <c r="T100" s="93"/>
      <c r="U100" s="93"/>
      <c r="V100" s="93"/>
    </row>
    <row r="101" spans="1:22" ht="21" customHeight="1" x14ac:dyDescent="0.15">
      <c r="A101" s="79"/>
      <c r="B101" s="79"/>
      <c r="C101" s="79"/>
      <c r="D101" s="79"/>
      <c r="E101" s="79"/>
      <c r="F101" s="79"/>
      <c r="G101" s="79"/>
      <c r="H101" s="79"/>
      <c r="I101" s="79"/>
      <c r="J101" s="79"/>
      <c r="K101" s="79"/>
      <c r="L101" s="79"/>
      <c r="M101" s="79"/>
      <c r="N101" s="79"/>
      <c r="O101" s="91"/>
      <c r="P101" s="92"/>
      <c r="Q101" s="93"/>
      <c r="R101" s="93"/>
      <c r="S101" s="93"/>
      <c r="T101" s="93"/>
      <c r="U101" s="93"/>
      <c r="V101" s="93"/>
    </row>
    <row r="102" spans="1:22" ht="21" customHeight="1" x14ac:dyDescent="0.15">
      <c r="A102" s="79"/>
      <c r="B102" s="79"/>
      <c r="C102" s="79"/>
      <c r="D102" s="79"/>
      <c r="E102" s="79"/>
      <c r="F102" s="79"/>
      <c r="G102" s="79"/>
      <c r="H102" s="79"/>
      <c r="I102" s="79"/>
      <c r="J102" s="79"/>
      <c r="K102" s="79"/>
      <c r="L102" s="79"/>
      <c r="M102" s="79"/>
      <c r="N102" s="79"/>
      <c r="O102" s="91"/>
      <c r="P102" s="92"/>
      <c r="Q102" s="93"/>
      <c r="R102" s="93"/>
      <c r="S102" s="93"/>
      <c r="T102" s="93"/>
      <c r="U102" s="93"/>
      <c r="V102" s="93"/>
    </row>
    <row r="103" spans="1:22" ht="21" customHeight="1" x14ac:dyDescent="0.15">
      <c r="A103" s="79"/>
      <c r="B103" s="79"/>
      <c r="C103" s="79"/>
      <c r="D103" s="79"/>
      <c r="E103" s="79"/>
      <c r="F103" s="79"/>
      <c r="G103" s="79"/>
      <c r="H103" s="79"/>
      <c r="I103" s="79"/>
      <c r="J103" s="79"/>
      <c r="K103" s="79"/>
      <c r="L103" s="79"/>
      <c r="M103" s="79"/>
      <c r="N103" s="79"/>
      <c r="O103" s="91"/>
      <c r="P103" s="92"/>
      <c r="Q103" s="93"/>
      <c r="R103" s="93"/>
      <c r="S103" s="93"/>
      <c r="T103" s="93"/>
      <c r="U103" s="93"/>
      <c r="V103" s="93"/>
    </row>
    <row r="104" spans="1:22" ht="21" customHeight="1" x14ac:dyDescent="0.15">
      <c r="A104" s="79"/>
      <c r="B104" s="79"/>
      <c r="C104" s="79"/>
      <c r="D104" s="79"/>
      <c r="E104" s="79"/>
      <c r="F104" s="79"/>
      <c r="G104" s="79"/>
      <c r="H104" s="79"/>
      <c r="I104" s="79"/>
      <c r="J104" s="79"/>
      <c r="K104" s="79"/>
      <c r="L104" s="79"/>
      <c r="M104" s="79"/>
      <c r="N104" s="79"/>
      <c r="O104" s="91"/>
      <c r="P104" s="92"/>
      <c r="Q104" s="93"/>
      <c r="R104" s="93"/>
      <c r="S104" s="93"/>
      <c r="T104" s="93"/>
      <c r="U104" s="93"/>
      <c r="V104" s="93"/>
    </row>
    <row r="105" spans="1:22" ht="21" customHeight="1" x14ac:dyDescent="0.15">
      <c r="A105" s="79"/>
      <c r="B105" s="79"/>
      <c r="C105" s="79"/>
      <c r="D105" s="79"/>
      <c r="E105" s="79"/>
      <c r="F105" s="79"/>
      <c r="G105" s="79"/>
      <c r="H105" s="79"/>
      <c r="I105" s="79"/>
      <c r="J105" s="79"/>
      <c r="K105" s="79"/>
      <c r="L105" s="79"/>
      <c r="M105" s="79"/>
      <c r="N105" s="79"/>
      <c r="O105" s="91"/>
      <c r="P105" s="92"/>
      <c r="Q105" s="93"/>
      <c r="R105" s="93"/>
      <c r="S105" s="93"/>
      <c r="T105" s="93"/>
      <c r="U105" s="93"/>
      <c r="V105" s="93"/>
    </row>
    <row r="106" spans="1:22" ht="21" customHeight="1" x14ac:dyDescent="0.15">
      <c r="A106" s="79"/>
      <c r="B106" s="79"/>
      <c r="C106" s="79"/>
      <c r="D106" s="79"/>
      <c r="E106" s="79"/>
      <c r="F106" s="79"/>
      <c r="G106" s="79"/>
      <c r="H106" s="79"/>
      <c r="I106" s="79"/>
      <c r="J106" s="79"/>
      <c r="K106" s="79"/>
      <c r="L106" s="79"/>
      <c r="M106" s="79"/>
      <c r="N106" s="79"/>
      <c r="O106" s="91"/>
      <c r="P106" s="92"/>
      <c r="Q106" s="93"/>
      <c r="R106" s="93"/>
      <c r="S106" s="93"/>
      <c r="T106" s="93"/>
      <c r="U106" s="93"/>
      <c r="V106" s="93"/>
    </row>
    <row r="107" spans="1:22" ht="21" customHeight="1" x14ac:dyDescent="0.15">
      <c r="A107" s="79"/>
      <c r="B107" s="79"/>
      <c r="C107" s="79"/>
      <c r="D107" s="79"/>
      <c r="E107" s="79"/>
      <c r="F107" s="79"/>
      <c r="G107" s="79"/>
      <c r="H107" s="79"/>
      <c r="I107" s="79"/>
      <c r="J107" s="79"/>
      <c r="K107" s="79"/>
      <c r="L107" s="79"/>
      <c r="M107" s="79"/>
      <c r="N107" s="79"/>
      <c r="O107" s="91"/>
      <c r="P107" s="92"/>
      <c r="Q107" s="93"/>
      <c r="R107" s="93"/>
      <c r="S107" s="93"/>
      <c r="T107" s="93"/>
      <c r="U107" s="93"/>
      <c r="V107" s="93"/>
    </row>
    <row r="108" spans="1:22" ht="21" customHeight="1" x14ac:dyDescent="0.15">
      <c r="A108" s="79"/>
      <c r="B108" s="79"/>
      <c r="C108" s="79"/>
      <c r="D108" s="79"/>
      <c r="E108" s="79"/>
      <c r="F108" s="79"/>
      <c r="G108" s="79"/>
      <c r="H108" s="79"/>
      <c r="I108" s="79"/>
      <c r="J108" s="79"/>
      <c r="K108" s="79"/>
      <c r="L108" s="79"/>
      <c r="M108" s="79"/>
      <c r="N108" s="79"/>
      <c r="O108" s="91"/>
      <c r="P108" s="92"/>
      <c r="Q108" s="93"/>
      <c r="R108" s="93"/>
      <c r="S108" s="93"/>
      <c r="T108" s="93"/>
      <c r="U108" s="93"/>
      <c r="V108" s="93"/>
    </row>
    <row r="109" spans="1:22" ht="21" customHeight="1" x14ac:dyDescent="0.15">
      <c r="A109" s="79"/>
      <c r="B109" s="79"/>
      <c r="C109" s="79"/>
      <c r="D109" s="79"/>
      <c r="E109" s="79"/>
      <c r="F109" s="79"/>
      <c r="G109" s="79"/>
      <c r="H109" s="79"/>
      <c r="I109" s="79"/>
      <c r="J109" s="79"/>
      <c r="K109" s="79"/>
      <c r="L109" s="79"/>
      <c r="M109" s="79"/>
      <c r="N109" s="79"/>
      <c r="O109" s="91"/>
      <c r="P109" s="92"/>
      <c r="Q109" s="93"/>
      <c r="R109" s="93"/>
      <c r="S109" s="93"/>
      <c r="T109" s="93"/>
      <c r="U109" s="93"/>
      <c r="V109" s="93"/>
    </row>
    <row r="110" spans="1:22" ht="21" customHeight="1" x14ac:dyDescent="0.15">
      <c r="A110" s="79"/>
      <c r="B110" s="79"/>
      <c r="C110" s="79"/>
      <c r="D110" s="79"/>
      <c r="E110" s="79"/>
      <c r="F110" s="79"/>
      <c r="G110" s="79"/>
      <c r="H110" s="79"/>
      <c r="I110" s="79"/>
      <c r="J110" s="79"/>
      <c r="K110" s="79"/>
      <c r="L110" s="79"/>
      <c r="M110" s="79"/>
      <c r="N110" s="79"/>
      <c r="O110" s="91"/>
      <c r="P110" s="92"/>
      <c r="Q110" s="93"/>
      <c r="R110" s="93"/>
      <c r="S110" s="93"/>
      <c r="T110" s="93"/>
      <c r="U110" s="93"/>
      <c r="V110" s="93"/>
    </row>
    <row r="111" spans="1:22" ht="21" customHeight="1" x14ac:dyDescent="0.15">
      <c r="A111" s="79"/>
      <c r="B111" s="79"/>
      <c r="C111" s="79"/>
      <c r="D111" s="79"/>
      <c r="E111" s="79"/>
      <c r="F111" s="79"/>
      <c r="G111" s="79"/>
      <c r="H111" s="79"/>
      <c r="I111" s="79"/>
      <c r="J111" s="79"/>
      <c r="K111" s="79"/>
      <c r="L111" s="79"/>
      <c r="M111" s="79"/>
      <c r="N111" s="79"/>
      <c r="O111" s="91"/>
      <c r="P111" s="92"/>
      <c r="Q111" s="93"/>
      <c r="R111" s="93"/>
      <c r="S111" s="93"/>
      <c r="T111" s="93"/>
      <c r="U111" s="93"/>
      <c r="V111" s="93"/>
    </row>
    <row r="112" spans="1:22" ht="21" customHeight="1" x14ac:dyDescent="0.15">
      <c r="A112" s="79"/>
      <c r="B112" s="79"/>
      <c r="C112" s="79"/>
      <c r="D112" s="79"/>
      <c r="E112" s="79"/>
      <c r="F112" s="79"/>
      <c r="G112" s="79"/>
      <c r="H112" s="79"/>
      <c r="I112" s="79"/>
      <c r="J112" s="79"/>
      <c r="K112" s="79"/>
      <c r="L112" s="79"/>
      <c r="M112" s="79"/>
      <c r="N112" s="79"/>
      <c r="O112" s="91"/>
      <c r="P112" s="92"/>
      <c r="Q112" s="93"/>
      <c r="R112" s="93"/>
      <c r="S112" s="93"/>
      <c r="T112" s="93"/>
      <c r="U112" s="93"/>
      <c r="V112" s="93"/>
    </row>
    <row r="113" spans="1:22" ht="21" customHeight="1" x14ac:dyDescent="0.15">
      <c r="A113" s="79"/>
      <c r="B113" s="79"/>
      <c r="C113" s="79"/>
      <c r="D113" s="79"/>
      <c r="E113" s="79"/>
      <c r="F113" s="79"/>
      <c r="G113" s="79"/>
      <c r="H113" s="79"/>
      <c r="I113" s="79"/>
      <c r="J113" s="79"/>
      <c r="K113" s="79"/>
      <c r="L113" s="79"/>
      <c r="M113" s="79"/>
      <c r="N113" s="79"/>
      <c r="O113" s="91"/>
      <c r="P113" s="92"/>
      <c r="Q113" s="93"/>
      <c r="R113" s="93"/>
      <c r="S113" s="93"/>
      <c r="T113" s="93"/>
      <c r="U113" s="93"/>
      <c r="V113" s="93"/>
    </row>
    <row r="114" spans="1:22" ht="21" customHeight="1" x14ac:dyDescent="0.15">
      <c r="A114" s="79"/>
      <c r="B114" s="79"/>
      <c r="C114" s="79"/>
      <c r="D114" s="79"/>
      <c r="E114" s="79"/>
      <c r="F114" s="79"/>
      <c r="G114" s="79"/>
      <c r="H114" s="79"/>
      <c r="I114" s="79"/>
      <c r="J114" s="79"/>
      <c r="K114" s="79"/>
      <c r="L114" s="79"/>
      <c r="M114" s="79"/>
      <c r="N114" s="79"/>
      <c r="O114" s="91"/>
      <c r="P114" s="92"/>
      <c r="Q114" s="93"/>
      <c r="R114" s="93"/>
      <c r="S114" s="93"/>
      <c r="T114" s="93"/>
      <c r="U114" s="93"/>
      <c r="V114" s="93"/>
    </row>
    <row r="115" spans="1:22" ht="21" customHeight="1" x14ac:dyDescent="0.15">
      <c r="A115" s="79"/>
      <c r="B115" s="79"/>
      <c r="C115" s="79"/>
      <c r="D115" s="79"/>
      <c r="E115" s="79"/>
      <c r="F115" s="79"/>
      <c r="G115" s="79"/>
      <c r="H115" s="79"/>
      <c r="I115" s="79"/>
      <c r="J115" s="79"/>
      <c r="K115" s="79"/>
      <c r="L115" s="79"/>
      <c r="M115" s="79"/>
      <c r="N115" s="79"/>
      <c r="O115" s="91"/>
      <c r="P115" s="92"/>
      <c r="Q115" s="93"/>
      <c r="R115" s="93"/>
      <c r="S115" s="93"/>
      <c r="T115" s="93"/>
      <c r="U115" s="93"/>
      <c r="V115" s="93"/>
    </row>
    <row r="116" spans="1:22" ht="21" customHeight="1" x14ac:dyDescent="0.15">
      <c r="A116" s="79"/>
      <c r="B116" s="79"/>
      <c r="C116" s="79"/>
      <c r="D116" s="79"/>
      <c r="E116" s="79"/>
      <c r="F116" s="79"/>
      <c r="G116" s="79"/>
      <c r="H116" s="79"/>
      <c r="I116" s="79"/>
      <c r="J116" s="79"/>
      <c r="K116" s="79"/>
      <c r="L116" s="79"/>
      <c r="M116" s="79"/>
      <c r="N116" s="79"/>
      <c r="O116" s="91"/>
      <c r="P116" s="92"/>
      <c r="Q116" s="93"/>
      <c r="R116" s="93"/>
      <c r="S116" s="93"/>
      <c r="T116" s="93"/>
      <c r="U116" s="93"/>
      <c r="V116" s="93"/>
    </row>
    <row r="117" spans="1:22" ht="21" customHeight="1" x14ac:dyDescent="0.15">
      <c r="A117" s="79"/>
      <c r="B117" s="79"/>
      <c r="C117" s="79"/>
      <c r="D117" s="79"/>
      <c r="E117" s="79"/>
      <c r="F117" s="79"/>
      <c r="G117" s="79"/>
      <c r="H117" s="79"/>
      <c r="I117" s="79"/>
      <c r="J117" s="79"/>
      <c r="K117" s="79"/>
      <c r="L117" s="79"/>
      <c r="M117" s="79"/>
      <c r="N117" s="79"/>
      <c r="O117" s="91"/>
      <c r="P117" s="92"/>
      <c r="Q117" s="93"/>
      <c r="R117" s="93"/>
      <c r="S117" s="93"/>
      <c r="T117" s="93"/>
      <c r="U117" s="93"/>
      <c r="V117" s="93"/>
    </row>
    <row r="118" spans="1:22" ht="21" customHeight="1" x14ac:dyDescent="0.15">
      <c r="A118" s="79"/>
      <c r="B118" s="79"/>
      <c r="C118" s="79"/>
      <c r="D118" s="79"/>
      <c r="E118" s="79"/>
      <c r="F118" s="79"/>
      <c r="G118" s="79"/>
      <c r="H118" s="79"/>
      <c r="I118" s="79"/>
      <c r="J118" s="79"/>
      <c r="K118" s="79"/>
      <c r="L118" s="79"/>
      <c r="M118" s="79"/>
      <c r="N118" s="79"/>
      <c r="O118" s="91"/>
      <c r="P118" s="92"/>
      <c r="Q118" s="93"/>
      <c r="R118" s="93"/>
      <c r="S118" s="93"/>
      <c r="T118" s="93"/>
      <c r="U118" s="93"/>
      <c r="V118" s="93"/>
    </row>
    <row r="119" spans="1:22" ht="21" customHeight="1" x14ac:dyDescent="0.15">
      <c r="A119" s="79"/>
      <c r="B119" s="79"/>
      <c r="C119" s="79"/>
      <c r="D119" s="79"/>
      <c r="E119" s="79"/>
      <c r="F119" s="79"/>
      <c r="G119" s="79"/>
      <c r="H119" s="79"/>
      <c r="I119" s="79"/>
      <c r="J119" s="79"/>
      <c r="K119" s="79"/>
      <c r="L119" s="79"/>
      <c r="M119" s="79"/>
      <c r="N119" s="79"/>
      <c r="O119" s="91"/>
      <c r="P119" s="92"/>
      <c r="Q119" s="93"/>
      <c r="R119" s="93"/>
      <c r="S119" s="93"/>
      <c r="T119" s="93"/>
      <c r="U119" s="93"/>
      <c r="V119" s="93"/>
    </row>
    <row r="120" spans="1:22" ht="21" customHeight="1" x14ac:dyDescent="0.15">
      <c r="A120" s="79"/>
      <c r="B120" s="79"/>
      <c r="C120" s="79"/>
      <c r="D120" s="79"/>
      <c r="E120" s="79"/>
      <c r="F120" s="79"/>
      <c r="G120" s="79"/>
      <c r="H120" s="79"/>
      <c r="I120" s="79"/>
      <c r="J120" s="79"/>
      <c r="K120" s="79"/>
      <c r="L120" s="79"/>
      <c r="M120" s="79"/>
      <c r="N120" s="79"/>
      <c r="O120" s="91"/>
      <c r="P120" s="92"/>
      <c r="Q120" s="93"/>
      <c r="R120" s="93"/>
      <c r="S120" s="93"/>
      <c r="T120" s="93"/>
      <c r="U120" s="93"/>
      <c r="V120" s="93"/>
    </row>
    <row r="121" spans="1:22" ht="21" customHeight="1" x14ac:dyDescent="0.15">
      <c r="A121" s="79"/>
      <c r="B121" s="79"/>
      <c r="C121" s="79"/>
      <c r="D121" s="79"/>
      <c r="E121" s="79"/>
      <c r="F121" s="79"/>
      <c r="G121" s="79"/>
      <c r="H121" s="79"/>
      <c r="I121" s="79"/>
      <c r="J121" s="79"/>
      <c r="K121" s="79"/>
      <c r="L121" s="79"/>
      <c r="M121" s="79"/>
      <c r="N121" s="79"/>
      <c r="O121" s="91"/>
      <c r="P121" s="92"/>
      <c r="Q121" s="93"/>
      <c r="R121" s="93"/>
      <c r="S121" s="93"/>
      <c r="T121" s="93"/>
      <c r="U121" s="93"/>
      <c r="V121" s="93"/>
    </row>
    <row r="122" spans="1:22" ht="21" customHeight="1" x14ac:dyDescent="0.15">
      <c r="A122" s="79"/>
      <c r="B122" s="79"/>
      <c r="C122" s="79"/>
      <c r="D122" s="79"/>
      <c r="E122" s="79"/>
      <c r="F122" s="79"/>
      <c r="G122" s="79"/>
      <c r="H122" s="79"/>
      <c r="I122" s="79"/>
      <c r="J122" s="79"/>
      <c r="K122" s="79"/>
      <c r="L122" s="79"/>
      <c r="M122" s="79"/>
      <c r="N122" s="79"/>
      <c r="O122" s="91"/>
      <c r="P122" s="92"/>
      <c r="Q122" s="93"/>
      <c r="R122" s="93"/>
      <c r="S122" s="93"/>
      <c r="T122" s="93"/>
      <c r="U122" s="93"/>
      <c r="V122" s="93"/>
    </row>
    <row r="123" spans="1:22" ht="21" customHeight="1" x14ac:dyDescent="0.15">
      <c r="A123" s="79"/>
      <c r="B123" s="79"/>
      <c r="C123" s="79"/>
      <c r="D123" s="79"/>
      <c r="E123" s="79"/>
      <c r="F123" s="79"/>
      <c r="G123" s="79"/>
      <c r="H123" s="79"/>
      <c r="I123" s="79"/>
      <c r="J123" s="79"/>
      <c r="K123" s="79"/>
      <c r="L123" s="79"/>
      <c r="M123" s="79"/>
      <c r="N123" s="79"/>
      <c r="O123" s="91"/>
      <c r="P123" s="92"/>
      <c r="Q123" s="93"/>
      <c r="R123" s="93"/>
      <c r="S123" s="93"/>
      <c r="T123" s="93"/>
      <c r="U123" s="93"/>
      <c r="V123" s="93"/>
    </row>
    <row r="124" spans="1:22" ht="21" customHeight="1" x14ac:dyDescent="0.15">
      <c r="A124" s="79"/>
      <c r="B124" s="79"/>
      <c r="C124" s="79"/>
      <c r="D124" s="79"/>
      <c r="E124" s="79"/>
      <c r="F124" s="79"/>
      <c r="G124" s="79"/>
      <c r="H124" s="79"/>
      <c r="I124" s="79"/>
      <c r="J124" s="79"/>
      <c r="K124" s="79"/>
      <c r="L124" s="79"/>
      <c r="M124" s="79"/>
      <c r="N124" s="79"/>
      <c r="O124" s="91"/>
      <c r="P124" s="92"/>
      <c r="Q124" s="93"/>
      <c r="R124" s="93"/>
      <c r="S124" s="93"/>
      <c r="T124" s="93"/>
      <c r="U124" s="93"/>
      <c r="V124" s="93"/>
    </row>
    <row r="125" spans="1:22" ht="21" customHeight="1" x14ac:dyDescent="0.15">
      <c r="A125" s="79"/>
      <c r="B125" s="79"/>
      <c r="C125" s="79"/>
      <c r="D125" s="79"/>
      <c r="E125" s="79"/>
      <c r="F125" s="79"/>
      <c r="G125" s="79"/>
      <c r="H125" s="79"/>
      <c r="I125" s="79"/>
      <c r="J125" s="79"/>
      <c r="K125" s="79"/>
      <c r="L125" s="79"/>
      <c r="M125" s="79"/>
      <c r="N125" s="79"/>
      <c r="O125" s="91"/>
      <c r="P125" s="92"/>
      <c r="Q125" s="93"/>
      <c r="R125" s="93"/>
      <c r="S125" s="93"/>
      <c r="T125" s="93"/>
      <c r="U125" s="93"/>
      <c r="V125" s="93"/>
    </row>
    <row r="126" spans="1:22" ht="21" customHeight="1" x14ac:dyDescent="0.15">
      <c r="A126" s="79"/>
      <c r="B126" s="79"/>
      <c r="C126" s="79"/>
      <c r="D126" s="79"/>
      <c r="E126" s="79"/>
      <c r="F126" s="79"/>
      <c r="G126" s="79"/>
      <c r="H126" s="79"/>
      <c r="I126" s="79"/>
      <c r="J126" s="79"/>
      <c r="K126" s="79"/>
      <c r="L126" s="79"/>
      <c r="M126" s="79"/>
      <c r="N126" s="79"/>
      <c r="O126" s="91"/>
      <c r="P126" s="92"/>
      <c r="Q126" s="93"/>
      <c r="R126" s="93"/>
      <c r="S126" s="93"/>
      <c r="T126" s="93"/>
      <c r="U126" s="93"/>
      <c r="V126" s="93"/>
    </row>
    <row r="127" spans="1:22" ht="21" customHeight="1" x14ac:dyDescent="0.15">
      <c r="A127" s="79"/>
      <c r="B127" s="79"/>
      <c r="C127" s="79"/>
      <c r="D127" s="79"/>
      <c r="E127" s="79"/>
      <c r="F127" s="79"/>
      <c r="G127" s="79"/>
      <c r="H127" s="79"/>
      <c r="I127" s="79"/>
      <c r="J127" s="79"/>
      <c r="K127" s="79"/>
      <c r="L127" s="79"/>
      <c r="M127" s="79"/>
      <c r="N127" s="79"/>
      <c r="O127" s="91"/>
      <c r="P127" s="92"/>
      <c r="Q127" s="93"/>
      <c r="R127" s="93"/>
      <c r="S127" s="93"/>
      <c r="T127" s="93"/>
      <c r="U127" s="93"/>
      <c r="V127" s="93"/>
    </row>
    <row r="128" spans="1:22" ht="21" customHeight="1" x14ac:dyDescent="0.15">
      <c r="A128" s="79"/>
      <c r="B128" s="79"/>
      <c r="C128" s="79"/>
      <c r="D128" s="79"/>
      <c r="E128" s="79"/>
      <c r="F128" s="79"/>
      <c r="G128" s="79"/>
      <c r="H128" s="79"/>
      <c r="I128" s="79"/>
      <c r="J128" s="79"/>
      <c r="K128" s="79"/>
      <c r="L128" s="79"/>
      <c r="M128" s="79"/>
      <c r="N128" s="79"/>
      <c r="O128" s="91"/>
      <c r="P128" s="92"/>
      <c r="Q128" s="93"/>
      <c r="R128" s="93"/>
      <c r="S128" s="93"/>
      <c r="T128" s="93"/>
      <c r="U128" s="93"/>
      <c r="V128" s="93"/>
    </row>
    <row r="129" spans="1:22" ht="21" customHeight="1" x14ac:dyDescent="0.15">
      <c r="A129" s="79"/>
      <c r="B129" s="79"/>
      <c r="C129" s="79"/>
      <c r="D129" s="79"/>
      <c r="E129" s="79"/>
      <c r="F129" s="79"/>
      <c r="G129" s="79"/>
      <c r="H129" s="79"/>
      <c r="I129" s="79"/>
      <c r="J129" s="79"/>
      <c r="K129" s="79"/>
      <c r="L129" s="79"/>
      <c r="M129" s="79"/>
      <c r="N129" s="79"/>
      <c r="O129" s="91"/>
      <c r="P129" s="92"/>
      <c r="Q129" s="93"/>
      <c r="R129" s="93"/>
      <c r="S129" s="93"/>
      <c r="T129" s="93"/>
      <c r="U129" s="93"/>
      <c r="V129" s="93"/>
    </row>
    <row r="130" spans="1:22" ht="21" customHeight="1" x14ac:dyDescent="0.15">
      <c r="A130" s="79"/>
      <c r="B130" s="79"/>
      <c r="C130" s="79"/>
      <c r="D130" s="79"/>
      <c r="E130" s="79"/>
      <c r="F130" s="79"/>
      <c r="G130" s="79"/>
      <c r="H130" s="79"/>
      <c r="I130" s="79"/>
      <c r="J130" s="79"/>
      <c r="K130" s="79"/>
      <c r="L130" s="79"/>
      <c r="M130" s="79"/>
      <c r="N130" s="79"/>
      <c r="O130" s="91"/>
      <c r="P130" s="92"/>
      <c r="Q130" s="93"/>
      <c r="R130" s="93"/>
      <c r="S130" s="93"/>
      <c r="T130" s="93"/>
      <c r="U130" s="93"/>
      <c r="V130" s="93"/>
    </row>
    <row r="131" spans="1:22" ht="21" customHeight="1" x14ac:dyDescent="0.15">
      <c r="A131" s="79"/>
      <c r="B131" s="79"/>
      <c r="C131" s="79"/>
      <c r="D131" s="79"/>
      <c r="E131" s="79"/>
      <c r="F131" s="79"/>
      <c r="G131" s="79"/>
      <c r="H131" s="79"/>
      <c r="I131" s="79"/>
      <c r="J131" s="79"/>
      <c r="K131" s="79"/>
      <c r="L131" s="79"/>
      <c r="M131" s="79"/>
      <c r="N131" s="79"/>
      <c r="O131" s="91"/>
      <c r="P131" s="92"/>
      <c r="Q131" s="93"/>
      <c r="R131" s="93"/>
      <c r="S131" s="93"/>
      <c r="T131" s="93"/>
      <c r="U131" s="93"/>
      <c r="V131" s="93"/>
    </row>
    <row r="132" spans="1:22" ht="21" customHeight="1" x14ac:dyDescent="0.15">
      <c r="A132" s="79"/>
      <c r="B132" s="79"/>
      <c r="C132" s="79"/>
      <c r="D132" s="79"/>
      <c r="E132" s="79"/>
      <c r="F132" s="79"/>
      <c r="G132" s="79"/>
      <c r="H132" s="79"/>
      <c r="I132" s="79"/>
      <c r="J132" s="79"/>
      <c r="K132" s="79"/>
      <c r="L132" s="79"/>
      <c r="M132" s="79"/>
      <c r="N132" s="79"/>
      <c r="O132" s="91"/>
      <c r="P132" s="92"/>
      <c r="Q132" s="93"/>
      <c r="R132" s="93"/>
      <c r="S132" s="93"/>
      <c r="T132" s="93"/>
      <c r="U132" s="93"/>
      <c r="V132" s="93"/>
    </row>
    <row r="133" spans="1:22" ht="21" customHeight="1" x14ac:dyDescent="0.15">
      <c r="A133" s="79"/>
      <c r="B133" s="79"/>
      <c r="C133" s="79"/>
      <c r="D133" s="79"/>
      <c r="E133" s="79"/>
      <c r="F133" s="79"/>
      <c r="G133" s="79"/>
      <c r="H133" s="79"/>
      <c r="I133" s="79"/>
      <c r="J133" s="79"/>
      <c r="K133" s="79"/>
      <c r="L133" s="79"/>
      <c r="M133" s="79"/>
      <c r="N133" s="79"/>
      <c r="O133" s="91"/>
      <c r="P133" s="92"/>
      <c r="Q133" s="93"/>
      <c r="R133" s="93"/>
      <c r="S133" s="93"/>
      <c r="T133" s="93"/>
      <c r="U133" s="93"/>
      <c r="V133" s="93"/>
    </row>
    <row r="134" spans="1:22" ht="21" customHeight="1" x14ac:dyDescent="0.15">
      <c r="A134" s="79"/>
      <c r="B134" s="79"/>
      <c r="C134" s="79"/>
      <c r="D134" s="79"/>
      <c r="E134" s="79"/>
      <c r="F134" s="79"/>
      <c r="G134" s="79"/>
      <c r="H134" s="79"/>
      <c r="I134" s="79"/>
      <c r="J134" s="79"/>
      <c r="K134" s="79"/>
      <c r="L134" s="79"/>
      <c r="M134" s="79"/>
      <c r="N134" s="79"/>
      <c r="O134" s="91"/>
      <c r="P134" s="92"/>
      <c r="Q134" s="93"/>
      <c r="R134" s="93"/>
      <c r="S134" s="93"/>
      <c r="T134" s="93"/>
      <c r="U134" s="93"/>
      <c r="V134" s="93"/>
    </row>
    <row r="135" spans="1:22" ht="21" customHeight="1" x14ac:dyDescent="0.15">
      <c r="A135" s="79"/>
      <c r="B135" s="79"/>
      <c r="C135" s="79"/>
      <c r="D135" s="79"/>
      <c r="E135" s="79"/>
      <c r="F135" s="79"/>
      <c r="G135" s="79"/>
      <c r="H135" s="79"/>
      <c r="I135" s="79"/>
      <c r="J135" s="79"/>
      <c r="K135" s="79"/>
      <c r="L135" s="79"/>
      <c r="M135" s="79"/>
      <c r="N135" s="79"/>
      <c r="O135" s="91"/>
      <c r="P135" s="92"/>
      <c r="Q135" s="93"/>
      <c r="R135" s="93"/>
      <c r="S135" s="93"/>
      <c r="T135" s="93"/>
      <c r="U135" s="93"/>
      <c r="V135" s="93"/>
    </row>
  </sheetData>
  <autoFilter ref="A1:V1"/>
  <phoneticPr fontId="16"/>
  <pageMargins left="0.75" right="0.75" top="1" bottom="1" header="0.3" footer="0.3"/>
  <pageSetup paperSize="9" orientation="portrait" horizontalDpi="4294967292" verticalDpi="4294967292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2" enableFormatConditionsCalculation="0">
    <tabColor rgb="FF0000FF"/>
    <outlinePr summaryBelow="0" summaryRight="0"/>
  </sheetPr>
  <dimension ref="A1:V135"/>
  <sheetViews>
    <sheetView showGridLines="0" zoomScale="75" zoomScaleNormal="75" zoomScalePageLayoutView="75" workbookViewId="0">
      <pane ySplit="1" topLeftCell="A2" activePane="bottomLeft" state="frozen"/>
      <selection activeCell="D34" sqref="D34"/>
      <selection pane="bottomLeft" activeCell="B8" sqref="B8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68</v>
      </c>
      <c r="B1" s="15" t="s">
        <v>1</v>
      </c>
      <c r="C1" s="3" t="s">
        <v>19</v>
      </c>
      <c r="D1" s="3" t="s">
        <v>77</v>
      </c>
      <c r="E1" s="3" t="s">
        <v>170</v>
      </c>
      <c r="F1" s="3" t="s">
        <v>171</v>
      </c>
      <c r="G1" s="3" t="s">
        <v>84</v>
      </c>
      <c r="H1" s="3" t="s">
        <v>21</v>
      </c>
      <c r="I1" s="3" t="s">
        <v>22</v>
      </c>
      <c r="J1" s="3" t="s">
        <v>23</v>
      </c>
      <c r="K1" s="3" t="s">
        <v>36</v>
      </c>
      <c r="L1" s="3" t="s">
        <v>24</v>
      </c>
      <c r="M1" s="3" t="s">
        <v>25</v>
      </c>
      <c r="N1" s="3" t="s">
        <v>42</v>
      </c>
      <c r="O1" s="15" t="s">
        <v>2</v>
      </c>
      <c r="P1" s="3" t="s">
        <v>47</v>
      </c>
      <c r="Q1" s="15" t="s">
        <v>26</v>
      </c>
      <c r="R1" s="23" t="s">
        <v>5</v>
      </c>
      <c r="S1" s="23" t="s">
        <v>6</v>
      </c>
      <c r="T1" s="23" t="s">
        <v>7</v>
      </c>
      <c r="U1" s="23" t="s">
        <v>8</v>
      </c>
      <c r="V1" s="23" t="s">
        <v>9</v>
      </c>
    </row>
    <row r="2" spans="1:22" ht="21" customHeight="1" x14ac:dyDescent="0.15">
      <c r="A2" s="2">
        <v>498103</v>
      </c>
      <c r="B2" s="1">
        <v>1137</v>
      </c>
      <c r="C2" s="7" t="str">
        <f t="shared" ref="C2:C7" si="0">D2&amp;J2&amp;E2&amp;F2&amp;G2</f>
        <v>PremiumSS5R5only</v>
      </c>
      <c r="D2" s="7" t="str">
        <f>IF(OR(I2="PremiumSS",I2="PremiumSSw"),"PremiumSS",IF(I2="PremiumSSS",I2,IF(I2="PremiumW",I2,"Premium")))</f>
        <v>PremiumSS</v>
      </c>
      <c r="E2" s="7" t="str">
        <f>IF(COUNTIF('R6追加前'!A:A,B2)=0,IF(OR(I2="PremiumSS",I2="PremiumSSw"),"R5only","R3less"),"")</f>
        <v>R5only</v>
      </c>
      <c r="F2" s="7" t="str">
        <f>IF(COUNTIF('R6開放'!A:A,B2)&gt;0,"R6release","")</f>
        <v/>
      </c>
      <c r="G2" s="7"/>
      <c r="H2" s="7" t="str">
        <f>VLOOKUP(B2,[1]characters!$A:$C,3,FALSE)</f>
        <v>諸葛亮</v>
      </c>
      <c r="I2" s="7" t="str">
        <f>VLOOKUP(B2,[1]characters!$A:$J,10,FALSE)</f>
        <v>PremiumSSw</v>
      </c>
      <c r="J2" s="7">
        <f>VLOOKUP(B2,[1]characters!$A:$I,9,FALSE)</f>
        <v>5</v>
      </c>
      <c r="K2" s="7" t="str">
        <f>VLOOKUP(B2,[1]characters!$A:$H,8,FALSE)</f>
        <v>red</v>
      </c>
      <c r="L2" s="7" t="str">
        <f>VLOOKUP(B2,[1]characters!$A:$K,11,FALSE)</f>
        <v>technical</v>
      </c>
      <c r="M2" s="7" t="str">
        <f>VLOOKUP(B2,[1]characters!$A:$M,13,FALSE)</f>
        <v>samurai</v>
      </c>
      <c r="N2" s="7" t="str">
        <f>VLOOKUP(B2,[1]characters!$A:$G,7,FALSE)</f>
        <v>不明</v>
      </c>
      <c r="O2" s="38">
        <v>10</v>
      </c>
      <c r="P2" s="39">
        <f t="shared" ref="P2:P7" si="1">O2/SUM(O:O)</f>
        <v>0.16666666666666666</v>
      </c>
      <c r="Q2" s="24">
        <v>1</v>
      </c>
      <c r="R2" s="24">
        <v>0</v>
      </c>
      <c r="S2" s="24">
        <v>0</v>
      </c>
      <c r="T2" s="24">
        <v>0</v>
      </c>
      <c r="U2" s="24">
        <v>0</v>
      </c>
      <c r="V2" s="24">
        <v>1</v>
      </c>
    </row>
    <row r="3" spans="1:22" ht="21" customHeight="1" x14ac:dyDescent="0.15">
      <c r="A3" s="2">
        <v>498103</v>
      </c>
      <c r="B3" s="1">
        <v>1139</v>
      </c>
      <c r="C3" s="7" t="str">
        <f t="shared" si="0"/>
        <v>PremiumSS5R5only</v>
      </c>
      <c r="D3" s="7" t="str">
        <f t="shared" ref="D3:D7" si="2">IF(OR(I3="PremiumSS",I3="PremiumSSw"),"PremiumSS",IF(I3="PremiumSSS",I3,IF(I3="PremiumW",I3,"Premium")))</f>
        <v>PremiumSS</v>
      </c>
      <c r="E3" s="7" t="str">
        <f>IF(COUNTIF('R6追加前'!A:A,B3)=0,IF(OR(I3="PremiumSS",I3="PremiumSSw"),"R5only","R3less"),"")</f>
        <v>R5only</v>
      </c>
      <c r="F3" s="7" t="str">
        <f>IF(COUNTIF('R6開放'!A:A,B3)&gt;0,"R6release","")</f>
        <v/>
      </c>
      <c r="G3" s="7"/>
      <c r="H3" s="7" t="str">
        <f>VLOOKUP(B3,[1]characters!$A:$C,3,FALSE)</f>
        <v>趙雲</v>
      </c>
      <c r="I3" s="7" t="str">
        <f>VLOOKUP(B3,[1]characters!$A:$J,10,FALSE)</f>
        <v>PremiumSS</v>
      </c>
      <c r="J3" s="7">
        <f>VLOOKUP(B3,[1]characters!$A:$I,9,FALSE)</f>
        <v>5</v>
      </c>
      <c r="K3" s="7" t="str">
        <f>VLOOKUP(B3,[1]characters!$A:$H,8,FALSE)</f>
        <v>green</v>
      </c>
      <c r="L3" s="7" t="str">
        <f>VLOOKUP(B3,[1]characters!$A:$K,11,FALSE)</f>
        <v>balance</v>
      </c>
      <c r="M3" s="7" t="str">
        <f>VLOOKUP(B3,[1]characters!$A:$M,13,FALSE)</f>
        <v>samurai</v>
      </c>
      <c r="N3" s="7" t="str">
        <f>VLOOKUP(B3,[1]characters!$A:$G,7,FALSE)</f>
        <v>不明</v>
      </c>
      <c r="O3" s="38">
        <v>10</v>
      </c>
      <c r="P3" s="39">
        <f t="shared" si="1"/>
        <v>0.16666666666666666</v>
      </c>
      <c r="Q3" s="24">
        <v>1</v>
      </c>
      <c r="R3" s="24">
        <v>0</v>
      </c>
      <c r="S3" s="24">
        <v>0</v>
      </c>
      <c r="T3" s="24">
        <v>0</v>
      </c>
      <c r="U3" s="24">
        <v>0</v>
      </c>
      <c r="V3" s="24">
        <v>1</v>
      </c>
    </row>
    <row r="4" spans="1:22" ht="21" customHeight="1" x14ac:dyDescent="0.15">
      <c r="A4" s="2">
        <v>498103</v>
      </c>
      <c r="B4" s="1">
        <v>1141</v>
      </c>
      <c r="C4" s="7" t="str">
        <f t="shared" si="0"/>
        <v>PremiumSS5R5only</v>
      </c>
      <c r="D4" s="7" t="str">
        <f t="shared" si="2"/>
        <v>PremiumSS</v>
      </c>
      <c r="E4" s="7" t="str">
        <f>IF(COUNTIF('R6追加前'!A:A,B4)=0,IF(OR(I4="PremiumSS",I4="PremiumSSw"),"R5only","R3less"),"")</f>
        <v>R5only</v>
      </c>
      <c r="F4" s="7" t="str">
        <f>IF(COUNTIF('R6開放'!A:A,B4)&gt;0,"R6release","")</f>
        <v/>
      </c>
      <c r="G4" s="7"/>
      <c r="H4" s="7" t="str">
        <f>VLOOKUP(B4,[1]characters!$A:$C,3,FALSE)</f>
        <v>月英</v>
      </c>
      <c r="I4" s="7" t="str">
        <f>VLOOKUP(B4,[1]characters!$A:$J,10,FALSE)</f>
        <v>PremiumSS</v>
      </c>
      <c r="J4" s="7">
        <f>VLOOKUP(B4,[1]characters!$A:$I,9,FALSE)</f>
        <v>5</v>
      </c>
      <c r="K4" s="7" t="str">
        <f>VLOOKUP(B4,[1]characters!$A:$H,8,FALSE)</f>
        <v>blue</v>
      </c>
      <c r="L4" s="7" t="str">
        <f>VLOOKUP(B4,[1]characters!$A:$K,11,FALSE)</f>
        <v>balance</v>
      </c>
      <c r="M4" s="7" t="str">
        <f>VLOOKUP(B4,[1]characters!$A:$M,13,FALSE)</f>
        <v>human</v>
      </c>
      <c r="N4" s="7" t="str">
        <f>VLOOKUP(B4,[1]characters!$A:$G,7,FALSE)</f>
        <v>不明</v>
      </c>
      <c r="O4" s="38">
        <v>10</v>
      </c>
      <c r="P4" s="39">
        <f t="shared" si="1"/>
        <v>0.16666666666666666</v>
      </c>
      <c r="Q4" s="24">
        <v>1</v>
      </c>
      <c r="R4" s="24">
        <v>0</v>
      </c>
      <c r="S4" s="24">
        <v>0</v>
      </c>
      <c r="T4" s="24">
        <v>0</v>
      </c>
      <c r="U4" s="24">
        <v>0</v>
      </c>
      <c r="V4" s="24">
        <v>1</v>
      </c>
    </row>
    <row r="5" spans="1:22" ht="21" customHeight="1" x14ac:dyDescent="0.15">
      <c r="A5" s="2">
        <v>498103</v>
      </c>
      <c r="B5" s="1">
        <v>1153</v>
      </c>
      <c r="C5" s="7" t="str">
        <f t="shared" si="0"/>
        <v>PremiumSS5R5only</v>
      </c>
      <c r="D5" s="7" t="str">
        <f t="shared" si="2"/>
        <v>PremiumSS</v>
      </c>
      <c r="E5" s="7" t="str">
        <f>IF(COUNTIF('R6追加前'!A:A,B5)=0,IF(OR(I5="PremiumSS",I5="PremiumSSw"),"R5only","R3less"),"")</f>
        <v>R5only</v>
      </c>
      <c r="F5" s="7" t="str">
        <f>IF(COUNTIF('R6開放'!A:A,B5)&gt;0,"R6release","")</f>
        <v/>
      </c>
      <c r="G5" s="7"/>
      <c r="H5" s="7" t="str">
        <f>VLOOKUP(B5,[1]characters!$A:$C,3,FALSE)</f>
        <v>ラクシュミー</v>
      </c>
      <c r="I5" s="7" t="str">
        <f>VLOOKUP(B5,[1]characters!$A:$J,10,FALSE)</f>
        <v>PremiumSSw</v>
      </c>
      <c r="J5" s="7">
        <f>VLOOKUP(B5,[1]characters!$A:$I,9,FALSE)</f>
        <v>5</v>
      </c>
      <c r="K5" s="7" t="str">
        <f>VLOOKUP(B5,[1]characters!$A:$H,8,FALSE)</f>
        <v>green</v>
      </c>
      <c r="L5" s="7" t="str">
        <f>VLOOKUP(B5,[1]characters!$A:$K,11,FALSE)</f>
        <v>hp</v>
      </c>
      <c r="M5" s="7" t="str">
        <f>VLOOKUP(B5,[1]characters!$A:$M,13,FALSE)</f>
        <v>god</v>
      </c>
      <c r="N5" s="7" t="str">
        <f>VLOOKUP(B5,[1]characters!$A:$G,7,FALSE)</f>
        <v>不明</v>
      </c>
      <c r="O5" s="38">
        <v>10</v>
      </c>
      <c r="P5" s="39">
        <f t="shared" si="1"/>
        <v>0.16666666666666666</v>
      </c>
      <c r="Q5" s="24">
        <v>1</v>
      </c>
      <c r="R5" s="24">
        <v>0</v>
      </c>
      <c r="S5" s="24">
        <v>0</v>
      </c>
      <c r="T5" s="24">
        <v>0</v>
      </c>
      <c r="U5" s="24">
        <v>0</v>
      </c>
      <c r="V5" s="24">
        <v>1</v>
      </c>
    </row>
    <row r="6" spans="1:22" ht="21" customHeight="1" x14ac:dyDescent="0.15">
      <c r="A6" s="2">
        <v>498103</v>
      </c>
      <c r="B6" s="1">
        <v>1155</v>
      </c>
      <c r="C6" s="7" t="str">
        <f t="shared" si="0"/>
        <v>PremiumSS5R5only</v>
      </c>
      <c r="D6" s="7" t="str">
        <f t="shared" si="2"/>
        <v>PremiumSS</v>
      </c>
      <c r="E6" s="7" t="str">
        <f>IF(COUNTIF('R6追加前'!A:A,B6)=0,IF(OR(I6="PremiumSS",I6="PremiumSSw"),"R5only","R3less"),"")</f>
        <v>R5only</v>
      </c>
      <c r="F6" s="7" t="str">
        <f>IF(COUNTIF('R6開放'!A:A,B6)&gt;0,"R6release","")</f>
        <v/>
      </c>
      <c r="G6" s="7"/>
      <c r="H6" s="7" t="str">
        <f>VLOOKUP(B6,[1]characters!$A:$C,3,FALSE)</f>
        <v>ドゥルガー</v>
      </c>
      <c r="I6" s="7" t="str">
        <f>VLOOKUP(B6,[1]characters!$A:$J,10,FALSE)</f>
        <v>PremiumSS</v>
      </c>
      <c r="J6" s="7">
        <f>VLOOKUP(B6,[1]characters!$A:$I,9,FALSE)</f>
        <v>5</v>
      </c>
      <c r="K6" s="7" t="str">
        <f>VLOOKUP(B6,[1]characters!$A:$H,8,FALSE)</f>
        <v>blue</v>
      </c>
      <c r="L6" s="7" t="str">
        <f>VLOOKUP(B6,[1]characters!$A:$K,11,FALSE)</f>
        <v>balance</v>
      </c>
      <c r="M6" s="7" t="str">
        <f>VLOOKUP(B6,[1]characters!$A:$M,13,FALSE)</f>
        <v>god</v>
      </c>
      <c r="N6" s="7" t="str">
        <f>VLOOKUP(B6,[1]characters!$A:$G,7,FALSE)</f>
        <v>不明</v>
      </c>
      <c r="O6" s="38">
        <v>10</v>
      </c>
      <c r="P6" s="39">
        <f t="shared" si="1"/>
        <v>0.16666666666666666</v>
      </c>
      <c r="Q6" s="24">
        <v>1</v>
      </c>
      <c r="R6" s="24">
        <v>0</v>
      </c>
      <c r="S6" s="24">
        <v>0</v>
      </c>
      <c r="T6" s="24">
        <v>0</v>
      </c>
      <c r="U6" s="24">
        <v>0</v>
      </c>
      <c r="V6" s="24">
        <v>1</v>
      </c>
    </row>
    <row r="7" spans="1:22" ht="21" customHeight="1" x14ac:dyDescent="0.15">
      <c r="A7" s="2">
        <v>498103</v>
      </c>
      <c r="B7" s="79">
        <v>1157</v>
      </c>
      <c r="C7" s="7" t="str">
        <f t="shared" si="0"/>
        <v>PremiumSS5R5only</v>
      </c>
      <c r="D7" s="7" t="str">
        <f t="shared" si="2"/>
        <v>PremiumSS</v>
      </c>
      <c r="E7" s="7" t="str">
        <f>IF(COUNTIF('R6追加前'!A:A,B7)=0,IF(OR(I7="PremiumSS",I7="PremiumSSw"),"R5only","R3less"),"")</f>
        <v>R5only</v>
      </c>
      <c r="F7" s="7" t="str">
        <f>IF(COUNTIF('R6開放'!A:A,B7)&gt;0,"R6release","")</f>
        <v/>
      </c>
      <c r="G7" s="7"/>
      <c r="H7" s="7" t="str">
        <f>VLOOKUP(B7,[1]characters!$A:$C,3,FALSE)</f>
        <v>インドラ</v>
      </c>
      <c r="I7" s="7" t="str">
        <f>VLOOKUP(B7,[1]characters!$A:$J,10,FALSE)</f>
        <v>PremiumSS</v>
      </c>
      <c r="J7" s="7">
        <f>VLOOKUP(B7,[1]characters!$A:$I,9,FALSE)</f>
        <v>5</v>
      </c>
      <c r="K7" s="7" t="str">
        <f>VLOOKUP(B7,[1]characters!$A:$H,8,FALSE)</f>
        <v>yellow</v>
      </c>
      <c r="L7" s="7" t="str">
        <f>VLOOKUP(B7,[1]characters!$A:$K,11,FALSE)</f>
        <v>attack</v>
      </c>
      <c r="M7" s="7" t="str">
        <f>VLOOKUP(B7,[1]characters!$A:$M,13,FALSE)</f>
        <v>god</v>
      </c>
      <c r="N7" s="7" t="str">
        <f>VLOOKUP(B7,[1]characters!$A:$G,7,FALSE)</f>
        <v>不明</v>
      </c>
      <c r="O7" s="38">
        <v>10</v>
      </c>
      <c r="P7" s="39">
        <f t="shared" si="1"/>
        <v>0.16666666666666666</v>
      </c>
      <c r="Q7" s="24">
        <v>1</v>
      </c>
      <c r="R7" s="24">
        <v>0</v>
      </c>
      <c r="S7" s="24">
        <v>0</v>
      </c>
      <c r="T7" s="24">
        <v>0</v>
      </c>
      <c r="U7" s="24">
        <v>0</v>
      </c>
      <c r="V7" s="24">
        <v>1</v>
      </c>
    </row>
    <row r="8" spans="1:22" ht="21" customHeight="1" x14ac:dyDescent="0.15">
      <c r="A8" s="79"/>
      <c r="B8" s="79"/>
      <c r="C8" s="79"/>
      <c r="D8" s="79"/>
      <c r="E8" s="79"/>
      <c r="F8" s="79"/>
      <c r="G8" s="79"/>
      <c r="H8" s="79"/>
      <c r="I8" s="79"/>
      <c r="J8" s="79"/>
      <c r="K8" s="79"/>
      <c r="L8" s="79"/>
      <c r="M8" s="79"/>
      <c r="N8" s="79"/>
      <c r="O8" s="91"/>
      <c r="P8" s="92"/>
      <c r="Q8" s="93"/>
      <c r="R8" s="93"/>
      <c r="S8" s="93"/>
      <c r="T8" s="93"/>
      <c r="U8" s="93"/>
      <c r="V8" s="93"/>
    </row>
    <row r="9" spans="1:22" ht="21" customHeight="1" x14ac:dyDescent="0.15">
      <c r="A9" s="79"/>
      <c r="B9" s="79"/>
      <c r="C9" s="79"/>
      <c r="D9" s="79"/>
      <c r="E9" s="79"/>
      <c r="F9" s="79"/>
      <c r="G9" s="79"/>
      <c r="H9" s="79"/>
      <c r="I9" s="79"/>
      <c r="J9" s="79"/>
      <c r="K9" s="79"/>
      <c r="L9" s="79"/>
      <c r="M9" s="79"/>
      <c r="N9" s="79"/>
      <c r="O9" s="91"/>
      <c r="P9" s="92"/>
      <c r="Q9" s="93"/>
      <c r="R9" s="93"/>
      <c r="S9" s="93"/>
      <c r="T9" s="93"/>
      <c r="U9" s="93"/>
      <c r="V9" s="93"/>
    </row>
    <row r="10" spans="1:22" ht="21" customHeight="1" x14ac:dyDescent="0.15">
      <c r="A10" s="79"/>
      <c r="B10" s="79"/>
      <c r="C10" s="79"/>
      <c r="D10" s="79"/>
      <c r="E10" s="79"/>
      <c r="F10" s="79"/>
      <c r="G10" s="79"/>
      <c r="H10" s="79"/>
      <c r="I10" s="79"/>
      <c r="J10" s="79"/>
      <c r="K10" s="79"/>
      <c r="L10" s="79"/>
      <c r="M10" s="79"/>
      <c r="N10" s="79"/>
      <c r="O10" s="91"/>
      <c r="P10" s="92"/>
      <c r="Q10" s="93"/>
      <c r="R10" s="93"/>
      <c r="S10" s="93"/>
      <c r="T10" s="93"/>
      <c r="U10" s="93"/>
      <c r="V10" s="93"/>
    </row>
    <row r="11" spans="1:22" ht="21" customHeight="1" x14ac:dyDescent="0.15">
      <c r="A11" s="79"/>
      <c r="B11" s="79"/>
      <c r="C11" s="79"/>
      <c r="D11" s="79"/>
      <c r="E11" s="79"/>
      <c r="F11" s="79"/>
      <c r="G11" s="79"/>
      <c r="H11" s="79"/>
      <c r="I11" s="79"/>
      <c r="J11" s="79"/>
      <c r="K11" s="79"/>
      <c r="L11" s="79"/>
      <c r="M11" s="79"/>
      <c r="N11" s="79"/>
      <c r="O11" s="91"/>
      <c r="P11" s="92"/>
      <c r="Q11" s="93"/>
      <c r="R11" s="93"/>
      <c r="S11" s="93"/>
      <c r="T11" s="93"/>
      <c r="U11" s="93"/>
      <c r="V11" s="93"/>
    </row>
    <row r="12" spans="1:22" ht="21" customHeight="1" x14ac:dyDescent="0.15">
      <c r="A12" s="79"/>
      <c r="B12" s="79"/>
      <c r="C12" s="79"/>
      <c r="D12" s="79"/>
      <c r="E12" s="79"/>
      <c r="F12" s="79"/>
      <c r="G12" s="79"/>
      <c r="H12" s="79"/>
      <c r="I12" s="79"/>
      <c r="J12" s="79"/>
      <c r="K12" s="79"/>
      <c r="L12" s="79"/>
      <c r="M12" s="79"/>
      <c r="N12" s="79"/>
      <c r="O12" s="91"/>
      <c r="P12" s="92"/>
      <c r="Q12" s="93"/>
      <c r="R12" s="93"/>
      <c r="S12" s="93"/>
      <c r="T12" s="93"/>
      <c r="U12" s="93"/>
      <c r="V12" s="93"/>
    </row>
    <row r="13" spans="1:22" ht="21" customHeight="1" x14ac:dyDescent="0.15">
      <c r="A13" s="79"/>
      <c r="B13" s="79"/>
      <c r="C13" s="79"/>
      <c r="D13" s="79"/>
      <c r="E13" s="79"/>
      <c r="F13" s="79"/>
      <c r="G13" s="79"/>
      <c r="H13" s="79"/>
      <c r="I13" s="79"/>
      <c r="J13" s="79"/>
      <c r="K13" s="79"/>
      <c r="L13" s="79"/>
      <c r="M13" s="79"/>
      <c r="N13" s="79"/>
      <c r="O13" s="91"/>
      <c r="P13" s="92"/>
      <c r="Q13" s="93"/>
      <c r="R13" s="93"/>
      <c r="S13" s="93"/>
      <c r="T13" s="93"/>
      <c r="U13" s="93"/>
      <c r="V13" s="93"/>
    </row>
    <row r="14" spans="1:22" ht="21" customHeight="1" x14ac:dyDescent="0.15">
      <c r="A14" s="79"/>
      <c r="B14" s="79"/>
      <c r="C14" s="79"/>
      <c r="D14" s="79"/>
      <c r="E14" s="79"/>
      <c r="F14" s="79"/>
      <c r="G14" s="79"/>
      <c r="H14" s="79"/>
      <c r="I14" s="79"/>
      <c r="J14" s="79"/>
      <c r="K14" s="79"/>
      <c r="L14" s="79"/>
      <c r="M14" s="79"/>
      <c r="N14" s="79"/>
      <c r="O14" s="91"/>
      <c r="P14" s="92"/>
      <c r="Q14" s="93"/>
      <c r="R14" s="93"/>
      <c r="S14" s="93"/>
      <c r="T14" s="93"/>
      <c r="U14" s="93"/>
      <c r="V14" s="93"/>
    </row>
    <row r="15" spans="1:22" ht="21" customHeight="1" x14ac:dyDescent="0.15">
      <c r="A15" s="79"/>
      <c r="B15" s="79"/>
      <c r="C15" s="79"/>
      <c r="D15" s="79"/>
      <c r="E15" s="79"/>
      <c r="F15" s="79"/>
      <c r="G15" s="79"/>
      <c r="H15" s="79"/>
      <c r="I15" s="79"/>
      <c r="J15" s="79"/>
      <c r="K15" s="79"/>
      <c r="L15" s="79"/>
      <c r="M15" s="79"/>
      <c r="N15" s="79"/>
      <c r="O15" s="91"/>
      <c r="P15" s="92"/>
      <c r="Q15" s="93"/>
      <c r="R15" s="93"/>
      <c r="S15" s="93"/>
      <c r="T15" s="93"/>
      <c r="U15" s="93"/>
      <c r="V15" s="93"/>
    </row>
    <row r="16" spans="1:22" ht="21" customHeight="1" x14ac:dyDescent="0.15">
      <c r="A16" s="79"/>
      <c r="B16" s="79"/>
      <c r="C16" s="79"/>
      <c r="D16" s="79"/>
      <c r="E16" s="79"/>
      <c r="F16" s="79"/>
      <c r="G16" s="79"/>
      <c r="H16" s="79"/>
      <c r="I16" s="79"/>
      <c r="J16" s="79"/>
      <c r="K16" s="79"/>
      <c r="L16" s="79"/>
      <c r="M16" s="79"/>
      <c r="N16" s="79"/>
      <c r="O16" s="91"/>
      <c r="P16" s="92"/>
      <c r="Q16" s="93"/>
      <c r="R16" s="93"/>
      <c r="S16" s="93"/>
      <c r="T16" s="93"/>
      <c r="U16" s="93"/>
      <c r="V16" s="93"/>
    </row>
    <row r="17" spans="1:22" ht="21" customHeight="1" x14ac:dyDescent="0.15">
      <c r="A17" s="79"/>
      <c r="B17" s="79"/>
      <c r="C17" s="79"/>
      <c r="D17" s="79"/>
      <c r="E17" s="79"/>
      <c r="F17" s="79"/>
      <c r="G17" s="79"/>
      <c r="H17" s="79"/>
      <c r="I17" s="79"/>
      <c r="J17" s="79"/>
      <c r="K17" s="79"/>
      <c r="L17" s="79"/>
      <c r="M17" s="79"/>
      <c r="N17" s="79"/>
      <c r="O17" s="91"/>
      <c r="P17" s="92"/>
      <c r="Q17" s="93"/>
      <c r="R17" s="93"/>
      <c r="S17" s="93"/>
      <c r="T17" s="93"/>
      <c r="U17" s="93"/>
      <c r="V17" s="93"/>
    </row>
    <row r="18" spans="1:22" ht="21" customHeight="1" x14ac:dyDescent="0.15">
      <c r="A18" s="79"/>
      <c r="B18" s="79"/>
      <c r="C18" s="79"/>
      <c r="D18" s="79"/>
      <c r="E18" s="79"/>
      <c r="F18" s="79"/>
      <c r="G18" s="79"/>
      <c r="H18" s="79"/>
      <c r="I18" s="79"/>
      <c r="J18" s="79"/>
      <c r="K18" s="79"/>
      <c r="L18" s="79"/>
      <c r="M18" s="79"/>
      <c r="N18" s="79"/>
      <c r="O18" s="91"/>
      <c r="P18" s="92"/>
      <c r="Q18" s="93"/>
      <c r="R18" s="93"/>
      <c r="S18" s="93"/>
      <c r="T18" s="93"/>
      <c r="U18" s="93"/>
      <c r="V18" s="93"/>
    </row>
    <row r="19" spans="1:22" ht="21" customHeight="1" x14ac:dyDescent="0.15">
      <c r="A19" s="79"/>
      <c r="B19" s="79"/>
      <c r="C19" s="79"/>
      <c r="D19" s="79"/>
      <c r="E19" s="79"/>
      <c r="F19" s="79"/>
      <c r="G19" s="79"/>
      <c r="H19" s="79"/>
      <c r="I19" s="79"/>
      <c r="J19" s="79"/>
      <c r="K19" s="79"/>
      <c r="L19" s="79"/>
      <c r="M19" s="79"/>
      <c r="N19" s="79"/>
      <c r="O19" s="91"/>
      <c r="P19" s="92"/>
      <c r="Q19" s="93"/>
      <c r="R19" s="93"/>
      <c r="S19" s="93"/>
      <c r="T19" s="93"/>
      <c r="U19" s="93"/>
      <c r="V19" s="93"/>
    </row>
    <row r="20" spans="1:22" ht="21" customHeight="1" x14ac:dyDescent="0.15">
      <c r="A20" s="79"/>
      <c r="B20" s="79"/>
      <c r="C20" s="79"/>
      <c r="D20" s="79"/>
      <c r="E20" s="79"/>
      <c r="F20" s="79"/>
      <c r="G20" s="79"/>
      <c r="H20" s="79"/>
      <c r="I20" s="79"/>
      <c r="J20" s="79"/>
      <c r="K20" s="79"/>
      <c r="L20" s="79"/>
      <c r="M20" s="79"/>
      <c r="N20" s="79"/>
      <c r="O20" s="91"/>
      <c r="P20" s="92"/>
      <c r="Q20" s="93"/>
      <c r="R20" s="93"/>
      <c r="S20" s="93"/>
      <c r="T20" s="93"/>
      <c r="U20" s="93"/>
      <c r="V20" s="93"/>
    </row>
    <row r="21" spans="1:22" ht="21" customHeight="1" x14ac:dyDescent="0.15">
      <c r="A21" s="79"/>
      <c r="B21" s="79"/>
      <c r="C21" s="79"/>
      <c r="D21" s="79"/>
      <c r="E21" s="79"/>
      <c r="F21" s="79"/>
      <c r="G21" s="79"/>
      <c r="H21" s="79"/>
      <c r="I21" s="79"/>
      <c r="J21" s="79"/>
      <c r="K21" s="79"/>
      <c r="L21" s="79"/>
      <c r="M21" s="79"/>
      <c r="N21" s="79"/>
      <c r="O21" s="91"/>
      <c r="P21" s="92"/>
      <c r="Q21" s="93"/>
      <c r="R21" s="93"/>
      <c r="S21" s="93"/>
      <c r="T21" s="93"/>
      <c r="U21" s="93"/>
      <c r="V21" s="93"/>
    </row>
    <row r="22" spans="1:22" ht="21" customHeight="1" x14ac:dyDescent="0.15">
      <c r="A22" s="79"/>
      <c r="B22" s="79"/>
      <c r="C22" s="79"/>
      <c r="D22" s="79"/>
      <c r="E22" s="79"/>
      <c r="F22" s="79"/>
      <c r="G22" s="79"/>
      <c r="H22" s="79"/>
      <c r="I22" s="79"/>
      <c r="J22" s="79"/>
      <c r="K22" s="79"/>
      <c r="L22" s="79"/>
      <c r="M22" s="79"/>
      <c r="N22" s="79"/>
      <c r="O22" s="91"/>
      <c r="P22" s="92"/>
      <c r="Q22" s="93"/>
      <c r="R22" s="93"/>
      <c r="S22" s="93"/>
      <c r="T22" s="93"/>
      <c r="U22" s="93"/>
      <c r="V22" s="93"/>
    </row>
    <row r="23" spans="1:22" ht="21" customHeight="1" x14ac:dyDescent="0.15">
      <c r="A23" s="79"/>
      <c r="B23" s="79"/>
      <c r="C23" s="79"/>
      <c r="D23" s="79"/>
      <c r="E23" s="79"/>
      <c r="F23" s="79"/>
      <c r="G23" s="79"/>
      <c r="H23" s="79"/>
      <c r="I23" s="79"/>
      <c r="J23" s="79"/>
      <c r="K23" s="79"/>
      <c r="L23" s="79"/>
      <c r="M23" s="79"/>
      <c r="N23" s="79"/>
      <c r="O23" s="91"/>
      <c r="P23" s="92"/>
      <c r="Q23" s="93"/>
      <c r="R23" s="93"/>
      <c r="S23" s="93"/>
      <c r="T23" s="93"/>
      <c r="U23" s="93"/>
      <c r="V23" s="93"/>
    </row>
    <row r="24" spans="1:22" ht="21" customHeight="1" x14ac:dyDescent="0.15">
      <c r="A24" s="79"/>
      <c r="B24" s="79"/>
      <c r="C24" s="79"/>
      <c r="D24" s="79"/>
      <c r="E24" s="79"/>
      <c r="F24" s="79"/>
      <c r="G24" s="79"/>
      <c r="H24" s="79"/>
      <c r="I24" s="79"/>
      <c r="J24" s="79"/>
      <c r="K24" s="79"/>
      <c r="L24" s="79"/>
      <c r="M24" s="79"/>
      <c r="N24" s="79"/>
      <c r="O24" s="91"/>
      <c r="P24" s="92"/>
      <c r="Q24" s="93"/>
      <c r="R24" s="93"/>
      <c r="S24" s="93"/>
      <c r="T24" s="93"/>
      <c r="U24" s="93"/>
      <c r="V24" s="93"/>
    </row>
    <row r="25" spans="1:22" ht="21" customHeight="1" x14ac:dyDescent="0.15">
      <c r="A25" s="79"/>
      <c r="B25" s="79"/>
      <c r="C25" s="79"/>
      <c r="D25" s="79"/>
      <c r="E25" s="79"/>
      <c r="F25" s="79"/>
      <c r="G25" s="79"/>
      <c r="H25" s="79"/>
      <c r="I25" s="79"/>
      <c r="J25" s="79"/>
      <c r="K25" s="79"/>
      <c r="L25" s="79"/>
      <c r="M25" s="79"/>
      <c r="N25" s="79"/>
      <c r="O25" s="91"/>
      <c r="P25" s="92"/>
      <c r="Q25" s="93"/>
      <c r="R25" s="93"/>
      <c r="S25" s="93"/>
      <c r="T25" s="93"/>
      <c r="U25" s="93"/>
      <c r="V25" s="93"/>
    </row>
    <row r="26" spans="1:22" ht="21" customHeight="1" x14ac:dyDescent="0.15">
      <c r="A26" s="79"/>
      <c r="B26" s="79"/>
      <c r="C26" s="79"/>
      <c r="D26" s="79"/>
      <c r="E26" s="79"/>
      <c r="F26" s="79"/>
      <c r="G26" s="79"/>
      <c r="H26" s="79"/>
      <c r="I26" s="79"/>
      <c r="J26" s="79"/>
      <c r="K26" s="79"/>
      <c r="L26" s="79"/>
      <c r="M26" s="79"/>
      <c r="N26" s="79"/>
      <c r="O26" s="91"/>
      <c r="P26" s="92"/>
      <c r="Q26" s="93"/>
      <c r="R26" s="93"/>
      <c r="S26" s="93"/>
      <c r="T26" s="93"/>
      <c r="U26" s="93"/>
      <c r="V26" s="93"/>
    </row>
    <row r="27" spans="1:22" ht="21" customHeight="1" x14ac:dyDescent="0.15">
      <c r="A27" s="79"/>
      <c r="B27" s="79"/>
      <c r="C27" s="79"/>
      <c r="D27" s="79"/>
      <c r="E27" s="79"/>
      <c r="F27" s="79"/>
      <c r="G27" s="79"/>
      <c r="H27" s="79"/>
      <c r="I27" s="79"/>
      <c r="J27" s="79"/>
      <c r="K27" s="79"/>
      <c r="L27" s="79"/>
      <c r="M27" s="79"/>
      <c r="N27" s="79"/>
      <c r="O27" s="91"/>
      <c r="P27" s="92"/>
      <c r="Q27" s="93"/>
      <c r="R27" s="93"/>
      <c r="S27" s="93"/>
      <c r="T27" s="93"/>
      <c r="U27" s="93"/>
      <c r="V27" s="93"/>
    </row>
    <row r="28" spans="1:22" ht="21" customHeight="1" x14ac:dyDescent="0.15">
      <c r="A28" s="79"/>
      <c r="B28" s="79"/>
      <c r="C28" s="79"/>
      <c r="D28" s="79"/>
      <c r="E28" s="79"/>
      <c r="F28" s="79"/>
      <c r="G28" s="79"/>
      <c r="H28" s="79"/>
      <c r="I28" s="79"/>
      <c r="J28" s="79"/>
      <c r="K28" s="79"/>
      <c r="L28" s="79"/>
      <c r="M28" s="79"/>
      <c r="N28" s="79"/>
      <c r="O28" s="91"/>
      <c r="P28" s="92"/>
      <c r="Q28" s="93"/>
      <c r="R28" s="93"/>
      <c r="S28" s="93"/>
      <c r="T28" s="93"/>
      <c r="U28" s="93"/>
      <c r="V28" s="93"/>
    </row>
    <row r="29" spans="1:22" ht="21" customHeight="1" x14ac:dyDescent="0.15">
      <c r="A29" s="79"/>
      <c r="B29" s="79"/>
      <c r="C29" s="79"/>
      <c r="D29" s="79"/>
      <c r="E29" s="79"/>
      <c r="F29" s="79"/>
      <c r="G29" s="79"/>
      <c r="H29" s="79"/>
      <c r="I29" s="79"/>
      <c r="J29" s="79"/>
      <c r="K29" s="79"/>
      <c r="L29" s="79"/>
      <c r="M29" s="79"/>
      <c r="N29" s="79"/>
      <c r="O29" s="91"/>
      <c r="P29" s="92"/>
      <c r="Q29" s="93"/>
      <c r="R29" s="93"/>
      <c r="S29" s="93"/>
      <c r="T29" s="93"/>
      <c r="U29" s="93"/>
      <c r="V29" s="93"/>
    </row>
    <row r="30" spans="1:22" ht="21" customHeight="1" x14ac:dyDescent="0.15">
      <c r="A30" s="79"/>
      <c r="B30" s="79"/>
      <c r="C30" s="79"/>
      <c r="D30" s="79"/>
      <c r="E30" s="79"/>
      <c r="F30" s="79"/>
      <c r="G30" s="79"/>
      <c r="H30" s="79"/>
      <c r="I30" s="79"/>
      <c r="J30" s="79"/>
      <c r="K30" s="79"/>
      <c r="L30" s="79"/>
      <c r="M30" s="79"/>
      <c r="N30" s="79"/>
      <c r="O30" s="91"/>
      <c r="P30" s="92"/>
      <c r="Q30" s="93"/>
      <c r="R30" s="93"/>
      <c r="S30" s="93"/>
      <c r="T30" s="93"/>
      <c r="U30" s="93"/>
      <c r="V30" s="93"/>
    </row>
    <row r="31" spans="1:22" ht="21" customHeight="1" x14ac:dyDescent="0.15">
      <c r="A31" s="79"/>
      <c r="B31" s="79"/>
      <c r="C31" s="79"/>
      <c r="D31" s="79"/>
      <c r="E31" s="79"/>
      <c r="F31" s="79"/>
      <c r="G31" s="79"/>
      <c r="H31" s="79"/>
      <c r="I31" s="79"/>
      <c r="J31" s="79"/>
      <c r="K31" s="79"/>
      <c r="L31" s="79"/>
      <c r="M31" s="79"/>
      <c r="N31" s="79"/>
      <c r="O31" s="91"/>
      <c r="P31" s="92"/>
      <c r="Q31" s="93"/>
      <c r="R31" s="93"/>
      <c r="S31" s="93"/>
      <c r="T31" s="93"/>
      <c r="U31" s="93"/>
      <c r="V31" s="93"/>
    </row>
    <row r="32" spans="1:22" ht="21" customHeight="1" x14ac:dyDescent="0.15">
      <c r="A32" s="79"/>
      <c r="B32" s="79"/>
      <c r="C32" s="79"/>
      <c r="D32" s="79"/>
      <c r="E32" s="79"/>
      <c r="F32" s="79"/>
      <c r="G32" s="79"/>
      <c r="H32" s="79"/>
      <c r="I32" s="79"/>
      <c r="J32" s="79"/>
      <c r="K32" s="79"/>
      <c r="L32" s="79"/>
      <c r="M32" s="79"/>
      <c r="N32" s="79"/>
      <c r="O32" s="91"/>
      <c r="P32" s="92"/>
      <c r="Q32" s="93"/>
      <c r="R32" s="93"/>
      <c r="S32" s="93"/>
      <c r="T32" s="93"/>
      <c r="U32" s="93"/>
      <c r="V32" s="93"/>
    </row>
    <row r="33" spans="1:22" ht="21" customHeight="1" x14ac:dyDescent="0.15">
      <c r="A33" s="79"/>
      <c r="B33" s="79"/>
      <c r="C33" s="79"/>
      <c r="D33" s="79"/>
      <c r="E33" s="79"/>
      <c r="F33" s="79"/>
      <c r="G33" s="79"/>
      <c r="H33" s="79"/>
      <c r="I33" s="79"/>
      <c r="J33" s="79"/>
      <c r="K33" s="79"/>
      <c r="L33" s="79"/>
      <c r="M33" s="79"/>
      <c r="N33" s="79"/>
      <c r="O33" s="91"/>
      <c r="P33" s="92"/>
      <c r="Q33" s="93"/>
      <c r="R33" s="93"/>
      <c r="S33" s="93"/>
      <c r="T33" s="93"/>
      <c r="U33" s="93"/>
      <c r="V33" s="93"/>
    </row>
    <row r="34" spans="1:22" ht="21" customHeight="1" x14ac:dyDescent="0.15">
      <c r="A34" s="79"/>
      <c r="B34" s="79"/>
      <c r="C34" s="79"/>
      <c r="D34" s="79"/>
      <c r="E34" s="79"/>
      <c r="F34" s="79"/>
      <c r="G34" s="79"/>
      <c r="H34" s="79"/>
      <c r="I34" s="79"/>
      <c r="J34" s="79"/>
      <c r="K34" s="79"/>
      <c r="L34" s="79"/>
      <c r="M34" s="79"/>
      <c r="N34" s="79"/>
      <c r="O34" s="91"/>
      <c r="P34" s="92"/>
      <c r="Q34" s="93"/>
      <c r="R34" s="93"/>
      <c r="S34" s="93"/>
      <c r="T34" s="93"/>
      <c r="U34" s="93"/>
      <c r="V34" s="93"/>
    </row>
    <row r="35" spans="1:22" ht="21" customHeight="1" x14ac:dyDescent="0.15">
      <c r="A35" s="79"/>
      <c r="B35" s="79"/>
      <c r="C35" s="79"/>
      <c r="D35" s="79"/>
      <c r="E35" s="79"/>
      <c r="F35" s="79"/>
      <c r="G35" s="79"/>
      <c r="H35" s="79"/>
      <c r="I35" s="79"/>
      <c r="J35" s="79"/>
      <c r="K35" s="79"/>
      <c r="L35" s="79"/>
      <c r="M35" s="79"/>
      <c r="N35" s="79"/>
      <c r="O35" s="91"/>
      <c r="P35" s="92"/>
      <c r="Q35" s="93"/>
      <c r="R35" s="93"/>
      <c r="S35" s="93"/>
      <c r="T35" s="93"/>
      <c r="U35" s="93"/>
      <c r="V35" s="93"/>
    </row>
    <row r="36" spans="1:22" ht="21" customHeight="1" x14ac:dyDescent="0.15">
      <c r="A36" s="79"/>
      <c r="B36" s="79"/>
      <c r="C36" s="79"/>
      <c r="D36" s="79"/>
      <c r="E36" s="79"/>
      <c r="F36" s="79"/>
      <c r="G36" s="79"/>
      <c r="H36" s="79"/>
      <c r="I36" s="79"/>
      <c r="J36" s="79"/>
      <c r="K36" s="79"/>
      <c r="L36" s="79"/>
      <c r="M36" s="79"/>
      <c r="N36" s="79"/>
      <c r="O36" s="91"/>
      <c r="P36" s="92"/>
      <c r="Q36" s="93"/>
      <c r="R36" s="93"/>
      <c r="S36" s="93"/>
      <c r="T36" s="93"/>
      <c r="U36" s="93"/>
      <c r="V36" s="93"/>
    </row>
    <row r="37" spans="1:22" ht="21" customHeight="1" x14ac:dyDescent="0.15">
      <c r="A37" s="79"/>
      <c r="B37" s="79"/>
      <c r="C37" s="79"/>
      <c r="D37" s="79"/>
      <c r="E37" s="79"/>
      <c r="F37" s="79"/>
      <c r="G37" s="79"/>
      <c r="H37" s="79"/>
      <c r="I37" s="79"/>
      <c r="J37" s="79"/>
      <c r="K37" s="79"/>
      <c r="L37" s="79"/>
      <c r="M37" s="79"/>
      <c r="N37" s="79"/>
      <c r="O37" s="91"/>
      <c r="P37" s="92"/>
      <c r="Q37" s="93"/>
      <c r="R37" s="93"/>
      <c r="S37" s="93"/>
      <c r="T37" s="93"/>
      <c r="U37" s="93"/>
      <c r="V37" s="93"/>
    </row>
    <row r="38" spans="1:22" ht="21" customHeight="1" x14ac:dyDescent="0.15">
      <c r="A38" s="79"/>
      <c r="B38" s="79"/>
      <c r="C38" s="79"/>
      <c r="D38" s="79"/>
      <c r="E38" s="79"/>
      <c r="F38" s="79"/>
      <c r="G38" s="79"/>
      <c r="H38" s="79"/>
      <c r="I38" s="79"/>
      <c r="J38" s="79"/>
      <c r="K38" s="79"/>
      <c r="L38" s="79"/>
      <c r="M38" s="79"/>
      <c r="N38" s="79"/>
      <c r="O38" s="91"/>
      <c r="P38" s="92"/>
      <c r="Q38" s="93"/>
      <c r="R38" s="93"/>
      <c r="S38" s="93"/>
      <c r="T38" s="93"/>
      <c r="U38" s="93"/>
      <c r="V38" s="93"/>
    </row>
    <row r="39" spans="1:22" ht="21" customHeight="1" x14ac:dyDescent="0.15">
      <c r="A39" s="79"/>
      <c r="B39" s="79"/>
      <c r="C39" s="79"/>
      <c r="D39" s="79"/>
      <c r="E39" s="79"/>
      <c r="F39" s="79"/>
      <c r="G39" s="79"/>
      <c r="H39" s="79"/>
      <c r="I39" s="79"/>
      <c r="J39" s="79"/>
      <c r="K39" s="79"/>
      <c r="L39" s="79"/>
      <c r="M39" s="79"/>
      <c r="N39" s="79"/>
      <c r="O39" s="91"/>
      <c r="P39" s="92"/>
      <c r="Q39" s="93"/>
      <c r="R39" s="93"/>
      <c r="S39" s="93"/>
      <c r="T39" s="93"/>
      <c r="U39" s="93"/>
      <c r="V39" s="93"/>
    </row>
    <row r="40" spans="1:22" ht="21" customHeight="1" x14ac:dyDescent="0.15">
      <c r="A40" s="79"/>
      <c r="B40" s="79"/>
      <c r="C40" s="79"/>
      <c r="D40" s="79"/>
      <c r="E40" s="79"/>
      <c r="F40" s="79"/>
      <c r="G40" s="79"/>
      <c r="H40" s="79"/>
      <c r="I40" s="79"/>
      <c r="J40" s="79"/>
      <c r="K40" s="79"/>
      <c r="L40" s="79"/>
      <c r="M40" s="79"/>
      <c r="N40" s="79"/>
      <c r="O40" s="91"/>
      <c r="P40" s="92"/>
      <c r="Q40" s="93"/>
      <c r="R40" s="93"/>
      <c r="S40" s="93"/>
      <c r="T40" s="93"/>
      <c r="U40" s="93"/>
      <c r="V40" s="93"/>
    </row>
    <row r="41" spans="1:22" ht="21" customHeight="1" x14ac:dyDescent="0.15">
      <c r="A41" s="79"/>
      <c r="B41" s="79"/>
      <c r="C41" s="79"/>
      <c r="D41" s="79"/>
      <c r="E41" s="79"/>
      <c r="F41" s="79"/>
      <c r="G41" s="79"/>
      <c r="H41" s="79"/>
      <c r="I41" s="79"/>
      <c r="J41" s="79"/>
      <c r="K41" s="79"/>
      <c r="L41" s="79"/>
      <c r="M41" s="79"/>
      <c r="N41" s="79"/>
      <c r="O41" s="91"/>
      <c r="P41" s="92"/>
      <c r="Q41" s="93"/>
      <c r="R41" s="93"/>
      <c r="S41" s="93"/>
      <c r="T41" s="93"/>
      <c r="U41" s="93"/>
      <c r="V41" s="93"/>
    </row>
    <row r="42" spans="1:22" ht="21" customHeight="1" x14ac:dyDescent="0.15">
      <c r="A42" s="79"/>
      <c r="B42" s="79"/>
      <c r="C42" s="79"/>
      <c r="D42" s="79"/>
      <c r="E42" s="79"/>
      <c r="F42" s="79"/>
      <c r="G42" s="79"/>
      <c r="H42" s="79"/>
      <c r="I42" s="79"/>
      <c r="J42" s="79"/>
      <c r="K42" s="79"/>
      <c r="L42" s="79"/>
      <c r="M42" s="79"/>
      <c r="N42" s="79"/>
      <c r="O42" s="91"/>
      <c r="P42" s="92"/>
      <c r="Q42" s="93"/>
      <c r="R42" s="93"/>
      <c r="S42" s="93"/>
      <c r="T42" s="93"/>
      <c r="U42" s="93"/>
      <c r="V42" s="93"/>
    </row>
    <row r="43" spans="1:22" ht="21" customHeight="1" x14ac:dyDescent="0.15">
      <c r="A43" s="79"/>
      <c r="B43" s="79"/>
      <c r="C43" s="79"/>
      <c r="D43" s="79"/>
      <c r="E43" s="79"/>
      <c r="F43" s="79"/>
      <c r="G43" s="79"/>
      <c r="H43" s="79"/>
      <c r="I43" s="79"/>
      <c r="J43" s="79"/>
      <c r="K43" s="79"/>
      <c r="L43" s="79"/>
      <c r="M43" s="79"/>
      <c r="N43" s="79"/>
      <c r="O43" s="91"/>
      <c r="P43" s="92"/>
      <c r="Q43" s="93"/>
      <c r="R43" s="93"/>
      <c r="S43" s="93"/>
      <c r="T43" s="93"/>
      <c r="U43" s="93"/>
      <c r="V43" s="93"/>
    </row>
    <row r="44" spans="1:22" ht="21" customHeight="1" x14ac:dyDescent="0.15">
      <c r="A44" s="79"/>
      <c r="B44" s="79"/>
      <c r="C44" s="79"/>
      <c r="D44" s="79"/>
      <c r="E44" s="79"/>
      <c r="F44" s="79"/>
      <c r="G44" s="79"/>
      <c r="H44" s="79"/>
      <c r="I44" s="79"/>
      <c r="J44" s="79"/>
      <c r="K44" s="79"/>
      <c r="L44" s="79"/>
      <c r="M44" s="79"/>
      <c r="N44" s="79"/>
      <c r="O44" s="91"/>
      <c r="P44" s="92"/>
      <c r="Q44" s="93"/>
      <c r="R44" s="93"/>
      <c r="S44" s="93"/>
      <c r="T44" s="93"/>
      <c r="U44" s="93"/>
      <c r="V44" s="93"/>
    </row>
    <row r="45" spans="1:22" ht="21" customHeight="1" x14ac:dyDescent="0.15">
      <c r="A45" s="79"/>
      <c r="B45" s="79"/>
      <c r="C45" s="79"/>
      <c r="D45" s="79"/>
      <c r="E45" s="79"/>
      <c r="F45" s="79"/>
      <c r="G45" s="79"/>
      <c r="H45" s="79"/>
      <c r="I45" s="79"/>
      <c r="J45" s="79"/>
      <c r="K45" s="79"/>
      <c r="L45" s="79"/>
      <c r="M45" s="79"/>
      <c r="N45" s="79"/>
      <c r="O45" s="91"/>
      <c r="P45" s="92"/>
      <c r="Q45" s="93"/>
      <c r="R45" s="93"/>
      <c r="S45" s="93"/>
      <c r="T45" s="93"/>
      <c r="U45" s="93"/>
      <c r="V45" s="93"/>
    </row>
    <row r="46" spans="1:22" ht="21" customHeight="1" x14ac:dyDescent="0.15">
      <c r="A46" s="79"/>
      <c r="B46" s="79"/>
      <c r="C46" s="79"/>
      <c r="D46" s="79"/>
      <c r="E46" s="79"/>
      <c r="F46" s="79"/>
      <c r="G46" s="79"/>
      <c r="H46" s="79"/>
      <c r="I46" s="79"/>
      <c r="J46" s="79"/>
      <c r="K46" s="79"/>
      <c r="L46" s="79"/>
      <c r="M46" s="79"/>
      <c r="N46" s="79"/>
      <c r="O46" s="91"/>
      <c r="P46" s="92"/>
      <c r="Q46" s="93"/>
      <c r="R46" s="93"/>
      <c r="S46" s="93"/>
      <c r="T46" s="93"/>
      <c r="U46" s="93"/>
      <c r="V46" s="93"/>
    </row>
    <row r="47" spans="1:22" ht="21" customHeight="1" x14ac:dyDescent="0.15">
      <c r="A47" s="79"/>
      <c r="B47" s="79"/>
      <c r="C47" s="79"/>
      <c r="D47" s="79"/>
      <c r="E47" s="79"/>
      <c r="F47" s="79"/>
      <c r="G47" s="79"/>
      <c r="H47" s="79"/>
      <c r="I47" s="79"/>
      <c r="J47" s="79"/>
      <c r="K47" s="79"/>
      <c r="L47" s="79"/>
      <c r="M47" s="79"/>
      <c r="N47" s="79"/>
      <c r="O47" s="91"/>
      <c r="P47" s="92"/>
      <c r="Q47" s="93"/>
      <c r="R47" s="93"/>
      <c r="S47" s="93"/>
      <c r="T47" s="93"/>
      <c r="U47" s="93"/>
      <c r="V47" s="93"/>
    </row>
    <row r="48" spans="1:22" ht="21" customHeight="1" x14ac:dyDescent="0.15">
      <c r="A48" s="79"/>
      <c r="B48" s="79"/>
      <c r="C48" s="79"/>
      <c r="D48" s="79"/>
      <c r="E48" s="79"/>
      <c r="F48" s="79"/>
      <c r="G48" s="79"/>
      <c r="H48" s="79"/>
      <c r="I48" s="79"/>
      <c r="J48" s="79"/>
      <c r="K48" s="79"/>
      <c r="L48" s="79"/>
      <c r="M48" s="79"/>
      <c r="N48" s="79"/>
      <c r="O48" s="91"/>
      <c r="P48" s="92"/>
      <c r="Q48" s="93"/>
      <c r="R48" s="93"/>
      <c r="S48" s="93"/>
      <c r="T48" s="93"/>
      <c r="U48" s="93"/>
      <c r="V48" s="93"/>
    </row>
    <row r="49" spans="1:22" ht="21" customHeight="1" x14ac:dyDescent="0.15">
      <c r="A49" s="79"/>
      <c r="B49" s="79"/>
      <c r="C49" s="79"/>
      <c r="D49" s="79"/>
      <c r="E49" s="79"/>
      <c r="F49" s="79"/>
      <c r="G49" s="79"/>
      <c r="H49" s="79"/>
      <c r="I49" s="79"/>
      <c r="J49" s="79"/>
      <c r="K49" s="79"/>
      <c r="L49" s="79"/>
      <c r="M49" s="79"/>
      <c r="N49" s="79"/>
      <c r="O49" s="91"/>
      <c r="P49" s="92"/>
      <c r="Q49" s="93"/>
      <c r="R49" s="93"/>
      <c r="S49" s="93"/>
      <c r="T49" s="93"/>
      <c r="U49" s="93"/>
      <c r="V49" s="93"/>
    </row>
    <row r="50" spans="1:22" ht="21" customHeight="1" x14ac:dyDescent="0.15">
      <c r="A50" s="79"/>
      <c r="B50" s="79"/>
      <c r="C50" s="79"/>
      <c r="D50" s="79"/>
      <c r="E50" s="79"/>
      <c r="F50" s="79"/>
      <c r="G50" s="79"/>
      <c r="H50" s="79"/>
      <c r="I50" s="79"/>
      <c r="J50" s="79"/>
      <c r="K50" s="79"/>
      <c r="L50" s="79"/>
      <c r="M50" s="79"/>
      <c r="N50" s="79"/>
      <c r="O50" s="91"/>
      <c r="P50" s="92"/>
      <c r="Q50" s="93"/>
      <c r="R50" s="93"/>
      <c r="S50" s="93"/>
      <c r="T50" s="93"/>
      <c r="U50" s="93"/>
      <c r="V50" s="93"/>
    </row>
    <row r="51" spans="1:22" ht="21" customHeight="1" x14ac:dyDescent="0.15">
      <c r="A51" s="79"/>
      <c r="B51" s="79"/>
      <c r="C51" s="79"/>
      <c r="D51" s="79"/>
      <c r="E51" s="79"/>
      <c r="F51" s="79"/>
      <c r="G51" s="79"/>
      <c r="H51" s="79"/>
      <c r="I51" s="79"/>
      <c r="J51" s="79"/>
      <c r="K51" s="79"/>
      <c r="L51" s="79"/>
      <c r="M51" s="79"/>
      <c r="N51" s="79"/>
      <c r="O51" s="91"/>
      <c r="P51" s="92"/>
      <c r="Q51" s="93"/>
      <c r="R51" s="93"/>
      <c r="S51" s="93"/>
      <c r="T51" s="93"/>
      <c r="U51" s="93"/>
      <c r="V51" s="93"/>
    </row>
    <row r="52" spans="1:22" ht="21" customHeight="1" x14ac:dyDescent="0.15">
      <c r="A52" s="79"/>
      <c r="B52" s="79"/>
      <c r="C52" s="79"/>
      <c r="D52" s="79"/>
      <c r="E52" s="79"/>
      <c r="F52" s="79"/>
      <c r="G52" s="79"/>
      <c r="H52" s="79"/>
      <c r="I52" s="79"/>
      <c r="J52" s="79"/>
      <c r="K52" s="79"/>
      <c r="L52" s="79"/>
      <c r="M52" s="79"/>
      <c r="N52" s="79"/>
      <c r="O52" s="91"/>
      <c r="P52" s="92"/>
      <c r="Q52" s="93"/>
      <c r="R52" s="93"/>
      <c r="S52" s="93"/>
      <c r="T52" s="93"/>
      <c r="U52" s="93"/>
      <c r="V52" s="93"/>
    </row>
    <row r="53" spans="1:22" ht="21" customHeight="1" x14ac:dyDescent="0.15">
      <c r="A53" s="79"/>
      <c r="B53" s="79"/>
      <c r="C53" s="79"/>
      <c r="D53" s="79"/>
      <c r="E53" s="79"/>
      <c r="F53" s="79"/>
      <c r="G53" s="79"/>
      <c r="H53" s="79"/>
      <c r="I53" s="79"/>
      <c r="J53" s="79"/>
      <c r="K53" s="79"/>
      <c r="L53" s="79"/>
      <c r="M53" s="79"/>
      <c r="N53" s="79"/>
      <c r="O53" s="91"/>
      <c r="P53" s="92"/>
      <c r="Q53" s="93"/>
      <c r="R53" s="93"/>
      <c r="S53" s="93"/>
      <c r="T53" s="93"/>
      <c r="U53" s="93"/>
      <c r="V53" s="93"/>
    </row>
    <row r="54" spans="1:22" ht="21" customHeight="1" x14ac:dyDescent="0.15">
      <c r="A54" s="79"/>
      <c r="B54" s="79"/>
      <c r="C54" s="79"/>
      <c r="D54" s="79"/>
      <c r="E54" s="79"/>
      <c r="F54" s="79"/>
      <c r="G54" s="79"/>
      <c r="H54" s="79"/>
      <c r="I54" s="79"/>
      <c r="J54" s="79"/>
      <c r="K54" s="79"/>
      <c r="L54" s="79"/>
      <c r="M54" s="79"/>
      <c r="N54" s="79"/>
      <c r="O54" s="91"/>
      <c r="P54" s="92"/>
      <c r="Q54" s="93"/>
      <c r="R54" s="93"/>
      <c r="S54" s="93"/>
      <c r="T54" s="93"/>
      <c r="U54" s="93"/>
      <c r="V54" s="93"/>
    </row>
    <row r="55" spans="1:22" ht="21" customHeight="1" x14ac:dyDescent="0.15">
      <c r="A55" s="79"/>
      <c r="B55" s="79"/>
      <c r="C55" s="79"/>
      <c r="D55" s="79"/>
      <c r="E55" s="79"/>
      <c r="F55" s="79"/>
      <c r="G55" s="79"/>
      <c r="H55" s="79"/>
      <c r="I55" s="79"/>
      <c r="J55" s="79"/>
      <c r="K55" s="79"/>
      <c r="L55" s="79"/>
      <c r="M55" s="79"/>
      <c r="N55" s="79"/>
      <c r="O55" s="91"/>
      <c r="P55" s="92"/>
      <c r="Q55" s="93"/>
      <c r="R55" s="93"/>
      <c r="S55" s="93"/>
      <c r="T55" s="93"/>
      <c r="U55" s="93"/>
      <c r="V55" s="93"/>
    </row>
    <row r="56" spans="1:22" ht="21" customHeight="1" x14ac:dyDescent="0.15">
      <c r="A56" s="79"/>
      <c r="B56" s="79"/>
      <c r="C56" s="79"/>
      <c r="D56" s="79"/>
      <c r="E56" s="79"/>
      <c r="F56" s="79"/>
      <c r="G56" s="79"/>
      <c r="H56" s="79"/>
      <c r="I56" s="79"/>
      <c r="J56" s="79"/>
      <c r="K56" s="79"/>
      <c r="L56" s="79"/>
      <c r="M56" s="79"/>
      <c r="N56" s="79"/>
      <c r="O56" s="91"/>
      <c r="P56" s="92"/>
      <c r="Q56" s="93"/>
      <c r="R56" s="93"/>
      <c r="S56" s="93"/>
      <c r="T56" s="93"/>
      <c r="U56" s="93"/>
      <c r="V56" s="93"/>
    </row>
    <row r="57" spans="1:22" ht="21" customHeight="1" x14ac:dyDescent="0.15">
      <c r="A57" s="79"/>
      <c r="B57" s="79"/>
      <c r="C57" s="79"/>
      <c r="D57" s="79"/>
      <c r="E57" s="79"/>
      <c r="F57" s="79"/>
      <c r="G57" s="79"/>
      <c r="H57" s="79"/>
      <c r="I57" s="79"/>
      <c r="J57" s="79"/>
      <c r="K57" s="79"/>
      <c r="L57" s="79"/>
      <c r="M57" s="79"/>
      <c r="N57" s="79"/>
      <c r="O57" s="91"/>
      <c r="P57" s="92"/>
      <c r="Q57" s="93"/>
      <c r="R57" s="93"/>
      <c r="S57" s="93"/>
      <c r="T57" s="93"/>
      <c r="U57" s="93"/>
      <c r="V57" s="93"/>
    </row>
    <row r="58" spans="1:22" ht="21" customHeight="1" x14ac:dyDescent="0.15">
      <c r="A58" s="79"/>
      <c r="B58" s="79"/>
      <c r="C58" s="79"/>
      <c r="D58" s="79"/>
      <c r="E58" s="79"/>
      <c r="F58" s="79"/>
      <c r="G58" s="79"/>
      <c r="H58" s="79"/>
      <c r="I58" s="79"/>
      <c r="J58" s="79"/>
      <c r="K58" s="79"/>
      <c r="L58" s="79"/>
      <c r="M58" s="79"/>
      <c r="N58" s="79"/>
      <c r="O58" s="91"/>
      <c r="P58" s="92"/>
      <c r="Q58" s="93"/>
      <c r="R58" s="93"/>
      <c r="S58" s="93"/>
      <c r="T58" s="93"/>
      <c r="U58" s="93"/>
      <c r="V58" s="93"/>
    </row>
    <row r="59" spans="1:22" ht="21" customHeight="1" x14ac:dyDescent="0.15">
      <c r="A59" s="79"/>
      <c r="B59" s="79"/>
      <c r="C59" s="79"/>
      <c r="D59" s="79"/>
      <c r="E59" s="79"/>
      <c r="F59" s="79"/>
      <c r="G59" s="79"/>
      <c r="H59" s="79"/>
      <c r="I59" s="79"/>
      <c r="J59" s="79"/>
      <c r="K59" s="79"/>
      <c r="L59" s="79"/>
      <c r="M59" s="79"/>
      <c r="N59" s="79"/>
      <c r="O59" s="91"/>
      <c r="P59" s="92"/>
      <c r="Q59" s="93"/>
      <c r="R59" s="93"/>
      <c r="S59" s="93"/>
      <c r="T59" s="93"/>
      <c r="U59" s="93"/>
      <c r="V59" s="93"/>
    </row>
    <row r="60" spans="1:22" ht="21" customHeight="1" x14ac:dyDescent="0.15">
      <c r="A60" s="79"/>
      <c r="B60" s="79"/>
      <c r="C60" s="79"/>
      <c r="D60" s="79"/>
      <c r="E60" s="79"/>
      <c r="F60" s="79"/>
      <c r="G60" s="79"/>
      <c r="H60" s="79"/>
      <c r="I60" s="79"/>
      <c r="J60" s="79"/>
      <c r="K60" s="79"/>
      <c r="L60" s="79"/>
      <c r="M60" s="79"/>
      <c r="N60" s="79"/>
      <c r="O60" s="91"/>
      <c r="P60" s="92"/>
      <c r="Q60" s="93"/>
      <c r="R60" s="93"/>
      <c r="S60" s="93"/>
      <c r="T60" s="93"/>
      <c r="U60" s="93"/>
      <c r="V60" s="93"/>
    </row>
    <row r="61" spans="1:22" ht="21" customHeight="1" x14ac:dyDescent="0.15">
      <c r="A61" s="79"/>
      <c r="B61" s="79"/>
      <c r="C61" s="79"/>
      <c r="D61" s="79"/>
      <c r="E61" s="79"/>
      <c r="F61" s="79"/>
      <c r="G61" s="79"/>
      <c r="H61" s="79"/>
      <c r="I61" s="79"/>
      <c r="J61" s="79"/>
      <c r="K61" s="79"/>
      <c r="L61" s="79"/>
      <c r="M61" s="79"/>
      <c r="N61" s="79"/>
      <c r="O61" s="91"/>
      <c r="P61" s="92"/>
      <c r="Q61" s="93"/>
      <c r="R61" s="93"/>
      <c r="S61" s="93"/>
      <c r="T61" s="93"/>
      <c r="U61" s="93"/>
      <c r="V61" s="93"/>
    </row>
    <row r="62" spans="1:22" ht="21" customHeight="1" x14ac:dyDescent="0.15">
      <c r="A62" s="79"/>
      <c r="B62" s="79"/>
      <c r="C62" s="79"/>
      <c r="D62" s="79"/>
      <c r="E62" s="79"/>
      <c r="F62" s="79"/>
      <c r="G62" s="79"/>
      <c r="H62" s="79"/>
      <c r="I62" s="79"/>
      <c r="J62" s="79"/>
      <c r="K62" s="79"/>
      <c r="L62" s="79"/>
      <c r="M62" s="79"/>
      <c r="N62" s="79"/>
      <c r="O62" s="91"/>
      <c r="P62" s="92"/>
      <c r="Q62" s="93"/>
      <c r="R62" s="93"/>
      <c r="S62" s="93"/>
      <c r="T62" s="93"/>
      <c r="U62" s="93"/>
      <c r="V62" s="93"/>
    </row>
    <row r="63" spans="1:22" ht="21" customHeight="1" x14ac:dyDescent="0.15">
      <c r="A63" s="79"/>
      <c r="B63" s="79"/>
      <c r="C63" s="79"/>
      <c r="D63" s="79"/>
      <c r="E63" s="79"/>
      <c r="F63" s="79"/>
      <c r="G63" s="79"/>
      <c r="H63" s="79"/>
      <c r="I63" s="79"/>
      <c r="J63" s="79"/>
      <c r="K63" s="79"/>
      <c r="L63" s="79"/>
      <c r="M63" s="79"/>
      <c r="N63" s="79"/>
      <c r="O63" s="91"/>
      <c r="P63" s="92"/>
      <c r="Q63" s="93"/>
      <c r="R63" s="93"/>
      <c r="S63" s="93"/>
      <c r="T63" s="93"/>
      <c r="U63" s="93"/>
      <c r="V63" s="93"/>
    </row>
    <row r="64" spans="1:22" ht="21" customHeight="1" x14ac:dyDescent="0.15">
      <c r="A64" s="79"/>
      <c r="B64" s="79"/>
      <c r="C64" s="79"/>
      <c r="D64" s="79"/>
      <c r="E64" s="79"/>
      <c r="F64" s="79"/>
      <c r="G64" s="79"/>
      <c r="H64" s="79"/>
      <c r="I64" s="79"/>
      <c r="J64" s="79"/>
      <c r="K64" s="79"/>
      <c r="L64" s="79"/>
      <c r="M64" s="79"/>
      <c r="N64" s="79"/>
      <c r="O64" s="91"/>
      <c r="P64" s="92"/>
      <c r="Q64" s="93"/>
      <c r="R64" s="93"/>
      <c r="S64" s="93"/>
      <c r="T64" s="93"/>
      <c r="U64" s="93"/>
      <c r="V64" s="93"/>
    </row>
    <row r="65" spans="1:22" ht="21" customHeight="1" x14ac:dyDescent="0.15">
      <c r="A65" s="79"/>
      <c r="B65" s="79"/>
      <c r="C65" s="79"/>
      <c r="D65" s="79"/>
      <c r="E65" s="79"/>
      <c r="F65" s="79"/>
      <c r="G65" s="79"/>
      <c r="H65" s="79"/>
      <c r="I65" s="79"/>
      <c r="J65" s="79"/>
      <c r="K65" s="79"/>
      <c r="L65" s="79"/>
      <c r="M65" s="79"/>
      <c r="N65" s="79"/>
      <c r="O65" s="91"/>
      <c r="P65" s="92"/>
      <c r="Q65" s="93"/>
      <c r="R65" s="93"/>
      <c r="S65" s="93"/>
      <c r="T65" s="93"/>
      <c r="U65" s="93"/>
      <c r="V65" s="93"/>
    </row>
    <row r="66" spans="1:22" ht="21" customHeight="1" x14ac:dyDescent="0.15">
      <c r="A66" s="79"/>
      <c r="B66" s="79"/>
      <c r="C66" s="79"/>
      <c r="D66" s="79"/>
      <c r="E66" s="79"/>
      <c r="F66" s="79"/>
      <c r="G66" s="79"/>
      <c r="H66" s="79"/>
      <c r="I66" s="79"/>
      <c r="J66" s="79"/>
      <c r="K66" s="79"/>
      <c r="L66" s="79"/>
      <c r="M66" s="79"/>
      <c r="N66" s="79"/>
      <c r="O66" s="91"/>
      <c r="P66" s="92"/>
      <c r="Q66" s="93"/>
      <c r="R66" s="93"/>
      <c r="S66" s="93"/>
      <c r="T66" s="93"/>
      <c r="U66" s="93"/>
      <c r="V66" s="93"/>
    </row>
    <row r="67" spans="1:22" ht="21" customHeight="1" x14ac:dyDescent="0.15">
      <c r="A67" s="79"/>
      <c r="B67" s="79"/>
      <c r="C67" s="79"/>
      <c r="D67" s="79"/>
      <c r="E67" s="79"/>
      <c r="F67" s="79"/>
      <c r="G67" s="79"/>
      <c r="H67" s="79"/>
      <c r="I67" s="79"/>
      <c r="J67" s="79"/>
      <c r="K67" s="79"/>
      <c r="L67" s="79"/>
      <c r="M67" s="79"/>
      <c r="N67" s="79"/>
      <c r="O67" s="91"/>
      <c r="P67" s="92"/>
      <c r="Q67" s="93"/>
      <c r="R67" s="93"/>
      <c r="S67" s="93"/>
      <c r="T67" s="93"/>
      <c r="U67" s="93"/>
      <c r="V67" s="93"/>
    </row>
    <row r="68" spans="1:22" ht="21" customHeight="1" x14ac:dyDescent="0.15">
      <c r="A68" s="79"/>
      <c r="B68" s="79"/>
      <c r="C68" s="79"/>
      <c r="D68" s="79"/>
      <c r="E68" s="79"/>
      <c r="F68" s="79"/>
      <c r="G68" s="79"/>
      <c r="H68" s="79"/>
      <c r="I68" s="79"/>
      <c r="J68" s="79"/>
      <c r="K68" s="79"/>
      <c r="L68" s="79"/>
      <c r="M68" s="79"/>
      <c r="N68" s="79"/>
      <c r="O68" s="91"/>
      <c r="P68" s="92"/>
      <c r="Q68" s="93"/>
      <c r="R68" s="93"/>
      <c r="S68" s="93"/>
      <c r="T68" s="93"/>
      <c r="U68" s="93"/>
      <c r="V68" s="93"/>
    </row>
    <row r="69" spans="1:22" ht="21" customHeight="1" x14ac:dyDescent="0.15">
      <c r="A69" s="79"/>
      <c r="B69" s="79"/>
      <c r="C69" s="79"/>
      <c r="D69" s="79"/>
      <c r="E69" s="79"/>
      <c r="F69" s="79"/>
      <c r="G69" s="79"/>
      <c r="H69" s="79"/>
      <c r="I69" s="79"/>
      <c r="J69" s="79"/>
      <c r="K69" s="79"/>
      <c r="L69" s="79"/>
      <c r="M69" s="79"/>
      <c r="N69" s="79"/>
      <c r="O69" s="91"/>
      <c r="P69" s="92"/>
      <c r="Q69" s="93"/>
      <c r="R69" s="93"/>
      <c r="S69" s="93"/>
      <c r="T69" s="93"/>
      <c r="U69" s="93"/>
      <c r="V69" s="93"/>
    </row>
    <row r="70" spans="1:22" ht="21" customHeight="1" x14ac:dyDescent="0.15">
      <c r="A70" s="79"/>
      <c r="B70" s="79"/>
      <c r="C70" s="79"/>
      <c r="D70" s="79"/>
      <c r="E70" s="79"/>
      <c r="F70" s="79"/>
      <c r="G70" s="79"/>
      <c r="H70" s="79"/>
      <c r="I70" s="79"/>
      <c r="J70" s="79"/>
      <c r="K70" s="79"/>
      <c r="L70" s="79"/>
      <c r="M70" s="79"/>
      <c r="N70" s="79"/>
      <c r="O70" s="91"/>
      <c r="P70" s="92"/>
      <c r="Q70" s="93"/>
      <c r="R70" s="93"/>
      <c r="S70" s="93"/>
      <c r="T70" s="93"/>
      <c r="U70" s="93"/>
      <c r="V70" s="93"/>
    </row>
    <row r="71" spans="1:22" ht="21" customHeight="1" x14ac:dyDescent="0.15">
      <c r="A71" s="79"/>
      <c r="B71" s="79"/>
      <c r="C71" s="79"/>
      <c r="D71" s="79"/>
      <c r="E71" s="79"/>
      <c r="F71" s="79"/>
      <c r="G71" s="79"/>
      <c r="H71" s="79"/>
      <c r="I71" s="79"/>
      <c r="J71" s="79"/>
      <c r="K71" s="79"/>
      <c r="L71" s="79"/>
      <c r="M71" s="79"/>
      <c r="N71" s="79"/>
      <c r="O71" s="91"/>
      <c r="P71" s="92"/>
      <c r="Q71" s="93"/>
      <c r="R71" s="93"/>
      <c r="S71" s="93"/>
      <c r="T71" s="93"/>
      <c r="U71" s="93"/>
      <c r="V71" s="93"/>
    </row>
    <row r="72" spans="1:22" ht="21" customHeight="1" x14ac:dyDescent="0.15">
      <c r="A72" s="79"/>
      <c r="B72" s="79"/>
      <c r="C72" s="79"/>
      <c r="D72" s="79"/>
      <c r="E72" s="79"/>
      <c r="F72" s="79"/>
      <c r="G72" s="79"/>
      <c r="H72" s="79"/>
      <c r="I72" s="79"/>
      <c r="J72" s="79"/>
      <c r="K72" s="79"/>
      <c r="L72" s="79"/>
      <c r="M72" s="79"/>
      <c r="N72" s="79"/>
      <c r="O72" s="91"/>
      <c r="P72" s="92"/>
      <c r="Q72" s="93"/>
      <c r="R72" s="93"/>
      <c r="S72" s="93"/>
      <c r="T72" s="93"/>
      <c r="U72" s="93"/>
      <c r="V72" s="93"/>
    </row>
    <row r="73" spans="1:22" ht="21" customHeight="1" x14ac:dyDescent="0.15">
      <c r="A73" s="79"/>
      <c r="B73" s="79"/>
      <c r="C73" s="79"/>
      <c r="D73" s="79"/>
      <c r="E73" s="79"/>
      <c r="F73" s="79"/>
      <c r="G73" s="79"/>
      <c r="H73" s="79"/>
      <c r="I73" s="79"/>
      <c r="J73" s="79"/>
      <c r="K73" s="79"/>
      <c r="L73" s="79"/>
      <c r="M73" s="79"/>
      <c r="N73" s="79"/>
      <c r="O73" s="91"/>
      <c r="P73" s="92"/>
      <c r="Q73" s="93"/>
      <c r="R73" s="93"/>
      <c r="S73" s="93"/>
      <c r="T73" s="93"/>
      <c r="U73" s="93"/>
      <c r="V73" s="93"/>
    </row>
    <row r="74" spans="1:22" ht="21" customHeight="1" x14ac:dyDescent="0.15">
      <c r="A74" s="79"/>
      <c r="B74" s="79"/>
      <c r="C74" s="79"/>
      <c r="D74" s="79"/>
      <c r="E74" s="79"/>
      <c r="F74" s="79"/>
      <c r="G74" s="79"/>
      <c r="H74" s="79"/>
      <c r="I74" s="79"/>
      <c r="J74" s="79"/>
      <c r="K74" s="79"/>
      <c r="L74" s="79"/>
      <c r="M74" s="79"/>
      <c r="N74" s="79"/>
      <c r="O74" s="91"/>
      <c r="P74" s="92"/>
      <c r="Q74" s="93"/>
      <c r="R74" s="93"/>
      <c r="S74" s="93"/>
      <c r="T74" s="93"/>
      <c r="U74" s="93"/>
      <c r="V74" s="93"/>
    </row>
    <row r="75" spans="1:22" ht="21" customHeight="1" x14ac:dyDescent="0.15">
      <c r="A75" s="79"/>
      <c r="B75" s="79"/>
      <c r="C75" s="79"/>
      <c r="D75" s="79"/>
      <c r="E75" s="79"/>
      <c r="F75" s="79"/>
      <c r="G75" s="79"/>
      <c r="H75" s="79"/>
      <c r="I75" s="79"/>
      <c r="J75" s="79"/>
      <c r="K75" s="79"/>
      <c r="L75" s="79"/>
      <c r="M75" s="79"/>
      <c r="N75" s="79"/>
      <c r="O75" s="91"/>
      <c r="P75" s="92"/>
      <c r="Q75" s="93"/>
      <c r="R75" s="93"/>
      <c r="S75" s="93"/>
      <c r="T75" s="93"/>
      <c r="U75" s="93"/>
      <c r="V75" s="93"/>
    </row>
    <row r="76" spans="1:22" ht="21" customHeight="1" x14ac:dyDescent="0.15">
      <c r="A76" s="79"/>
      <c r="B76" s="79"/>
      <c r="C76" s="79"/>
      <c r="D76" s="79"/>
      <c r="E76" s="79"/>
      <c r="F76" s="79"/>
      <c r="G76" s="79"/>
      <c r="H76" s="79"/>
      <c r="I76" s="79"/>
      <c r="J76" s="79"/>
      <c r="K76" s="79"/>
      <c r="L76" s="79"/>
      <c r="M76" s="79"/>
      <c r="N76" s="79"/>
      <c r="O76" s="91"/>
      <c r="P76" s="92"/>
      <c r="Q76" s="93"/>
      <c r="R76" s="93"/>
      <c r="S76" s="93"/>
      <c r="T76" s="93"/>
      <c r="U76" s="93"/>
      <c r="V76" s="93"/>
    </row>
    <row r="77" spans="1:22" ht="21" customHeight="1" x14ac:dyDescent="0.15">
      <c r="A77" s="79"/>
      <c r="B77" s="79"/>
      <c r="C77" s="79"/>
      <c r="D77" s="79"/>
      <c r="E77" s="79"/>
      <c r="F77" s="79"/>
      <c r="G77" s="79"/>
      <c r="H77" s="79"/>
      <c r="I77" s="79"/>
      <c r="J77" s="79"/>
      <c r="K77" s="79"/>
      <c r="L77" s="79"/>
      <c r="M77" s="79"/>
      <c r="N77" s="79"/>
      <c r="O77" s="91"/>
      <c r="P77" s="92"/>
      <c r="Q77" s="93"/>
      <c r="R77" s="93"/>
      <c r="S77" s="93"/>
      <c r="T77" s="93"/>
      <c r="U77" s="93"/>
      <c r="V77" s="93"/>
    </row>
    <row r="78" spans="1:22" ht="21" customHeight="1" x14ac:dyDescent="0.15">
      <c r="A78" s="79"/>
      <c r="B78" s="79"/>
      <c r="C78" s="79"/>
      <c r="D78" s="79"/>
      <c r="E78" s="79"/>
      <c r="F78" s="79"/>
      <c r="G78" s="79"/>
      <c r="H78" s="79"/>
      <c r="I78" s="79"/>
      <c r="J78" s="79"/>
      <c r="K78" s="79"/>
      <c r="L78" s="79"/>
      <c r="M78" s="79"/>
      <c r="N78" s="79"/>
      <c r="O78" s="91"/>
      <c r="P78" s="92"/>
      <c r="Q78" s="93"/>
      <c r="R78" s="93"/>
      <c r="S78" s="93"/>
      <c r="T78" s="93"/>
      <c r="U78" s="93"/>
      <c r="V78" s="93"/>
    </row>
    <row r="79" spans="1:22" ht="21" customHeight="1" x14ac:dyDescent="0.15">
      <c r="A79" s="79"/>
      <c r="B79" s="79"/>
      <c r="C79" s="79"/>
      <c r="D79" s="79"/>
      <c r="E79" s="79"/>
      <c r="F79" s="79"/>
      <c r="G79" s="79"/>
      <c r="H79" s="79"/>
      <c r="I79" s="79"/>
      <c r="J79" s="79"/>
      <c r="K79" s="79"/>
      <c r="L79" s="79"/>
      <c r="M79" s="79"/>
      <c r="N79" s="79"/>
      <c r="O79" s="91"/>
      <c r="P79" s="92"/>
      <c r="Q79" s="93"/>
      <c r="R79" s="93"/>
      <c r="S79" s="93"/>
      <c r="T79" s="93"/>
      <c r="U79" s="93"/>
      <c r="V79" s="93"/>
    </row>
    <row r="80" spans="1:22" ht="21" customHeight="1" x14ac:dyDescent="0.15">
      <c r="A80" s="79"/>
      <c r="B80" s="79"/>
      <c r="C80" s="79"/>
      <c r="D80" s="79"/>
      <c r="E80" s="79"/>
      <c r="F80" s="79"/>
      <c r="G80" s="79"/>
      <c r="H80" s="79"/>
      <c r="I80" s="79"/>
      <c r="J80" s="79"/>
      <c r="K80" s="79"/>
      <c r="L80" s="79"/>
      <c r="M80" s="79"/>
      <c r="N80" s="79"/>
      <c r="O80" s="91"/>
      <c r="P80" s="92"/>
      <c r="Q80" s="93"/>
      <c r="R80" s="93"/>
      <c r="S80" s="93"/>
      <c r="T80" s="93"/>
      <c r="U80" s="93"/>
      <c r="V80" s="93"/>
    </row>
    <row r="81" spans="1:22" ht="21" customHeight="1" x14ac:dyDescent="0.15">
      <c r="A81" s="79"/>
      <c r="B81" s="79"/>
      <c r="C81" s="79"/>
      <c r="D81" s="79"/>
      <c r="E81" s="79"/>
      <c r="F81" s="79"/>
      <c r="G81" s="79"/>
      <c r="H81" s="79"/>
      <c r="I81" s="79"/>
      <c r="J81" s="79"/>
      <c r="K81" s="79"/>
      <c r="L81" s="79"/>
      <c r="M81" s="79"/>
      <c r="N81" s="79"/>
      <c r="O81" s="91"/>
      <c r="P81" s="92"/>
      <c r="Q81" s="93"/>
      <c r="R81" s="93"/>
      <c r="S81" s="93"/>
      <c r="T81" s="93"/>
      <c r="U81" s="93"/>
      <c r="V81" s="93"/>
    </row>
    <row r="82" spans="1:22" ht="21" customHeight="1" x14ac:dyDescent="0.15">
      <c r="A82" s="79"/>
      <c r="B82" s="79"/>
      <c r="C82" s="79"/>
      <c r="D82" s="79"/>
      <c r="E82" s="79"/>
      <c r="F82" s="79"/>
      <c r="G82" s="79"/>
      <c r="H82" s="79"/>
      <c r="I82" s="79"/>
      <c r="J82" s="79"/>
      <c r="K82" s="79"/>
      <c r="L82" s="79"/>
      <c r="M82" s="79"/>
      <c r="N82" s="79"/>
      <c r="O82" s="91"/>
      <c r="P82" s="92"/>
      <c r="Q82" s="93"/>
      <c r="R82" s="93"/>
      <c r="S82" s="93"/>
      <c r="T82" s="93"/>
      <c r="U82" s="93"/>
      <c r="V82" s="93"/>
    </row>
    <row r="83" spans="1:22" ht="21" customHeight="1" x14ac:dyDescent="0.15">
      <c r="A83" s="79"/>
      <c r="B83" s="79"/>
      <c r="C83" s="79"/>
      <c r="D83" s="79"/>
      <c r="E83" s="79"/>
      <c r="F83" s="79"/>
      <c r="G83" s="79"/>
      <c r="H83" s="79"/>
      <c r="I83" s="79"/>
      <c r="J83" s="79"/>
      <c r="K83" s="79"/>
      <c r="L83" s="79"/>
      <c r="M83" s="79"/>
      <c r="N83" s="79"/>
      <c r="O83" s="91"/>
      <c r="P83" s="92"/>
      <c r="Q83" s="93"/>
      <c r="R83" s="93"/>
      <c r="S83" s="93"/>
      <c r="T83" s="93"/>
      <c r="U83" s="93"/>
      <c r="V83" s="93"/>
    </row>
    <row r="84" spans="1:22" ht="21" customHeight="1" x14ac:dyDescent="0.15">
      <c r="A84" s="79"/>
      <c r="B84" s="79"/>
      <c r="C84" s="79"/>
      <c r="D84" s="79"/>
      <c r="E84" s="79"/>
      <c r="F84" s="79"/>
      <c r="G84" s="79"/>
      <c r="H84" s="79"/>
      <c r="I84" s="79"/>
      <c r="J84" s="79"/>
      <c r="K84" s="79"/>
      <c r="L84" s="79"/>
      <c r="M84" s="79"/>
      <c r="N84" s="79"/>
      <c r="O84" s="91"/>
      <c r="P84" s="92"/>
      <c r="Q84" s="93"/>
      <c r="R84" s="93"/>
      <c r="S84" s="93"/>
      <c r="T84" s="93"/>
      <c r="U84" s="93"/>
      <c r="V84" s="93"/>
    </row>
    <row r="85" spans="1:22" ht="21" customHeight="1" x14ac:dyDescent="0.15">
      <c r="A85" s="79"/>
      <c r="B85" s="79"/>
      <c r="C85" s="79"/>
      <c r="D85" s="79"/>
      <c r="E85" s="79"/>
      <c r="F85" s="79"/>
      <c r="G85" s="79"/>
      <c r="H85" s="79"/>
      <c r="I85" s="79"/>
      <c r="J85" s="79"/>
      <c r="K85" s="79"/>
      <c r="L85" s="79"/>
      <c r="M85" s="79"/>
      <c r="N85" s="79"/>
      <c r="O85" s="91"/>
      <c r="P85" s="92"/>
      <c r="Q85" s="93"/>
      <c r="R85" s="93"/>
      <c r="S85" s="93"/>
      <c r="T85" s="93"/>
      <c r="U85" s="93"/>
      <c r="V85" s="93"/>
    </row>
    <row r="86" spans="1:22" ht="21" customHeight="1" x14ac:dyDescent="0.15">
      <c r="A86" s="79"/>
      <c r="B86" s="79"/>
      <c r="C86" s="79"/>
      <c r="D86" s="79"/>
      <c r="E86" s="79"/>
      <c r="F86" s="79"/>
      <c r="G86" s="79"/>
      <c r="H86" s="79"/>
      <c r="I86" s="79"/>
      <c r="J86" s="79"/>
      <c r="K86" s="79"/>
      <c r="L86" s="79"/>
      <c r="M86" s="79"/>
      <c r="N86" s="79"/>
      <c r="O86" s="91"/>
      <c r="P86" s="92"/>
      <c r="Q86" s="93"/>
      <c r="R86" s="93"/>
      <c r="S86" s="93"/>
      <c r="T86" s="93"/>
      <c r="U86" s="93"/>
      <c r="V86" s="93"/>
    </row>
    <row r="87" spans="1:22" ht="21" customHeight="1" x14ac:dyDescent="0.15">
      <c r="A87" s="79"/>
      <c r="B87" s="79"/>
      <c r="C87" s="79"/>
      <c r="D87" s="79"/>
      <c r="E87" s="79"/>
      <c r="F87" s="79"/>
      <c r="G87" s="79"/>
      <c r="H87" s="79"/>
      <c r="I87" s="79"/>
      <c r="J87" s="79"/>
      <c r="K87" s="79"/>
      <c r="L87" s="79"/>
      <c r="M87" s="79"/>
      <c r="N87" s="79"/>
      <c r="O87" s="91"/>
      <c r="P87" s="92"/>
      <c r="Q87" s="93"/>
      <c r="R87" s="93"/>
      <c r="S87" s="93"/>
      <c r="T87" s="93"/>
      <c r="U87" s="93"/>
      <c r="V87" s="93"/>
    </row>
    <row r="88" spans="1:22" ht="21" customHeight="1" x14ac:dyDescent="0.15">
      <c r="A88" s="79"/>
      <c r="B88" s="79"/>
      <c r="C88" s="79"/>
      <c r="D88" s="79"/>
      <c r="E88" s="79"/>
      <c r="F88" s="79"/>
      <c r="G88" s="79"/>
      <c r="H88" s="79"/>
      <c r="I88" s="79"/>
      <c r="J88" s="79"/>
      <c r="K88" s="79"/>
      <c r="L88" s="79"/>
      <c r="M88" s="79"/>
      <c r="N88" s="79"/>
      <c r="O88" s="91"/>
      <c r="P88" s="92"/>
      <c r="Q88" s="93"/>
      <c r="R88" s="93"/>
      <c r="S88" s="93"/>
      <c r="T88" s="93"/>
      <c r="U88" s="93"/>
      <c r="V88" s="93"/>
    </row>
    <row r="89" spans="1:22" ht="21" customHeight="1" x14ac:dyDescent="0.15">
      <c r="A89" s="79"/>
      <c r="B89" s="79"/>
      <c r="C89" s="79"/>
      <c r="D89" s="79"/>
      <c r="E89" s="79"/>
      <c r="F89" s="79"/>
      <c r="G89" s="79"/>
      <c r="H89" s="79"/>
      <c r="I89" s="79"/>
      <c r="J89" s="79"/>
      <c r="K89" s="79"/>
      <c r="L89" s="79"/>
      <c r="M89" s="79"/>
      <c r="N89" s="79"/>
      <c r="O89" s="91"/>
      <c r="P89" s="92"/>
      <c r="Q89" s="93"/>
      <c r="R89" s="93"/>
      <c r="S89" s="93"/>
      <c r="T89" s="93"/>
      <c r="U89" s="93"/>
      <c r="V89" s="93"/>
    </row>
    <row r="90" spans="1:22" ht="21" customHeight="1" x14ac:dyDescent="0.15">
      <c r="A90" s="79"/>
      <c r="B90" s="79"/>
      <c r="C90" s="79"/>
      <c r="D90" s="79"/>
      <c r="E90" s="79"/>
      <c r="F90" s="79"/>
      <c r="G90" s="79"/>
      <c r="H90" s="79"/>
      <c r="I90" s="79"/>
      <c r="J90" s="79"/>
      <c r="K90" s="79"/>
      <c r="L90" s="79"/>
      <c r="M90" s="79"/>
      <c r="N90" s="79"/>
      <c r="O90" s="91"/>
      <c r="P90" s="92"/>
      <c r="Q90" s="93"/>
      <c r="R90" s="93"/>
      <c r="S90" s="93"/>
      <c r="T90" s="93"/>
      <c r="U90" s="93"/>
      <c r="V90" s="93"/>
    </row>
    <row r="91" spans="1:22" ht="21" customHeight="1" x14ac:dyDescent="0.15">
      <c r="A91" s="79"/>
      <c r="B91" s="79"/>
      <c r="C91" s="79"/>
      <c r="D91" s="79"/>
      <c r="E91" s="79"/>
      <c r="F91" s="79"/>
      <c r="G91" s="79"/>
      <c r="H91" s="79"/>
      <c r="I91" s="79"/>
      <c r="J91" s="79"/>
      <c r="K91" s="79"/>
      <c r="L91" s="79"/>
      <c r="M91" s="79"/>
      <c r="N91" s="79"/>
      <c r="O91" s="91"/>
      <c r="P91" s="92"/>
      <c r="Q91" s="93"/>
      <c r="R91" s="93"/>
      <c r="S91" s="93"/>
      <c r="T91" s="93"/>
      <c r="U91" s="93"/>
      <c r="V91" s="93"/>
    </row>
    <row r="92" spans="1:22" ht="21" customHeight="1" x14ac:dyDescent="0.15">
      <c r="A92" s="79"/>
      <c r="B92" s="79"/>
      <c r="C92" s="79"/>
      <c r="D92" s="79"/>
      <c r="E92" s="79"/>
      <c r="F92" s="79"/>
      <c r="G92" s="79"/>
      <c r="H92" s="79"/>
      <c r="I92" s="79"/>
      <c r="J92" s="79"/>
      <c r="K92" s="79"/>
      <c r="L92" s="79"/>
      <c r="M92" s="79"/>
      <c r="N92" s="79"/>
      <c r="O92" s="91"/>
      <c r="P92" s="92"/>
      <c r="Q92" s="93"/>
      <c r="R92" s="93"/>
      <c r="S92" s="93"/>
      <c r="T92" s="93"/>
      <c r="U92" s="93"/>
      <c r="V92" s="93"/>
    </row>
    <row r="93" spans="1:22" ht="21" customHeight="1" x14ac:dyDescent="0.15">
      <c r="A93" s="79"/>
      <c r="B93" s="79"/>
      <c r="C93" s="79"/>
      <c r="D93" s="79"/>
      <c r="E93" s="79"/>
      <c r="F93" s="79"/>
      <c r="G93" s="79"/>
      <c r="H93" s="79"/>
      <c r="I93" s="79"/>
      <c r="J93" s="79"/>
      <c r="K93" s="79"/>
      <c r="L93" s="79"/>
      <c r="M93" s="79"/>
      <c r="N93" s="79"/>
      <c r="O93" s="91"/>
      <c r="P93" s="92"/>
      <c r="Q93" s="93"/>
      <c r="R93" s="93"/>
      <c r="S93" s="93"/>
      <c r="T93" s="93"/>
      <c r="U93" s="93"/>
      <c r="V93" s="93"/>
    </row>
    <row r="94" spans="1:22" ht="21" customHeight="1" x14ac:dyDescent="0.15">
      <c r="A94" s="79"/>
      <c r="B94" s="79"/>
      <c r="C94" s="79"/>
      <c r="D94" s="79"/>
      <c r="E94" s="79"/>
      <c r="F94" s="79"/>
      <c r="G94" s="79"/>
      <c r="H94" s="79"/>
      <c r="I94" s="79"/>
      <c r="J94" s="79"/>
      <c r="K94" s="79"/>
      <c r="L94" s="79"/>
      <c r="M94" s="79"/>
      <c r="N94" s="79"/>
      <c r="O94" s="91"/>
      <c r="P94" s="92"/>
      <c r="Q94" s="93"/>
      <c r="R94" s="93"/>
      <c r="S94" s="93"/>
      <c r="T94" s="93"/>
      <c r="U94" s="93"/>
      <c r="V94" s="93"/>
    </row>
    <row r="95" spans="1:22" ht="21" customHeight="1" x14ac:dyDescent="0.15">
      <c r="A95" s="79"/>
      <c r="B95" s="79"/>
      <c r="C95" s="79"/>
      <c r="D95" s="79"/>
      <c r="E95" s="79"/>
      <c r="F95" s="79"/>
      <c r="G95" s="79"/>
      <c r="H95" s="79"/>
      <c r="I95" s="79"/>
      <c r="J95" s="79"/>
      <c r="K95" s="79"/>
      <c r="L95" s="79"/>
      <c r="M95" s="79"/>
      <c r="N95" s="79"/>
      <c r="O95" s="91"/>
      <c r="P95" s="92"/>
      <c r="Q95" s="93"/>
      <c r="R95" s="93"/>
      <c r="S95" s="93"/>
      <c r="T95" s="93"/>
      <c r="U95" s="93"/>
      <c r="V95" s="93"/>
    </row>
    <row r="96" spans="1:22" ht="21" customHeight="1" x14ac:dyDescent="0.15">
      <c r="A96" s="79"/>
      <c r="B96" s="79"/>
      <c r="C96" s="79"/>
      <c r="D96" s="79"/>
      <c r="E96" s="79"/>
      <c r="F96" s="79"/>
      <c r="G96" s="79"/>
      <c r="H96" s="79"/>
      <c r="I96" s="79"/>
      <c r="J96" s="79"/>
      <c r="K96" s="79"/>
      <c r="L96" s="79"/>
      <c r="M96" s="79"/>
      <c r="N96" s="79"/>
      <c r="O96" s="91"/>
      <c r="P96" s="92"/>
      <c r="Q96" s="93"/>
      <c r="R96" s="93"/>
      <c r="S96" s="93"/>
      <c r="T96" s="93"/>
      <c r="U96" s="93"/>
      <c r="V96" s="93"/>
    </row>
    <row r="97" spans="1:22" ht="21" customHeight="1" x14ac:dyDescent="0.15">
      <c r="A97" s="79"/>
      <c r="B97" s="79"/>
      <c r="C97" s="79"/>
      <c r="D97" s="79"/>
      <c r="E97" s="79"/>
      <c r="F97" s="79"/>
      <c r="G97" s="79"/>
      <c r="H97" s="79"/>
      <c r="I97" s="79"/>
      <c r="J97" s="79"/>
      <c r="K97" s="79"/>
      <c r="L97" s="79"/>
      <c r="M97" s="79"/>
      <c r="N97" s="79"/>
      <c r="O97" s="91"/>
      <c r="P97" s="92"/>
      <c r="Q97" s="93"/>
      <c r="R97" s="93"/>
      <c r="S97" s="93"/>
      <c r="T97" s="93"/>
      <c r="U97" s="93"/>
      <c r="V97" s="93"/>
    </row>
    <row r="98" spans="1:22" ht="21" customHeight="1" x14ac:dyDescent="0.15">
      <c r="A98" s="79"/>
      <c r="B98" s="79"/>
      <c r="C98" s="79"/>
      <c r="D98" s="79"/>
      <c r="E98" s="79"/>
      <c r="F98" s="79"/>
      <c r="G98" s="79"/>
      <c r="H98" s="79"/>
      <c r="I98" s="79"/>
      <c r="J98" s="79"/>
      <c r="K98" s="79"/>
      <c r="L98" s="79"/>
      <c r="M98" s="79"/>
      <c r="N98" s="79"/>
      <c r="O98" s="91"/>
      <c r="P98" s="92"/>
      <c r="Q98" s="93"/>
      <c r="R98" s="93"/>
      <c r="S98" s="93"/>
      <c r="T98" s="93"/>
      <c r="U98" s="93"/>
      <c r="V98" s="93"/>
    </row>
    <row r="99" spans="1:22" ht="21" customHeight="1" x14ac:dyDescent="0.15">
      <c r="A99" s="79"/>
      <c r="B99" s="79"/>
      <c r="C99" s="79"/>
      <c r="D99" s="79"/>
      <c r="E99" s="79"/>
      <c r="F99" s="79"/>
      <c r="G99" s="79"/>
      <c r="H99" s="79"/>
      <c r="I99" s="79"/>
      <c r="J99" s="79"/>
      <c r="K99" s="79"/>
      <c r="L99" s="79"/>
      <c r="M99" s="79"/>
      <c r="N99" s="79"/>
      <c r="O99" s="91"/>
      <c r="P99" s="92"/>
      <c r="Q99" s="93"/>
      <c r="R99" s="93"/>
      <c r="S99" s="93"/>
      <c r="T99" s="93"/>
      <c r="U99" s="93"/>
      <c r="V99" s="93"/>
    </row>
    <row r="100" spans="1:22" ht="21" customHeight="1" x14ac:dyDescent="0.15">
      <c r="A100" s="79"/>
      <c r="B100" s="79"/>
      <c r="C100" s="79"/>
      <c r="D100" s="79"/>
      <c r="E100" s="79"/>
      <c r="F100" s="79"/>
      <c r="G100" s="79"/>
      <c r="H100" s="79"/>
      <c r="I100" s="79"/>
      <c r="J100" s="79"/>
      <c r="K100" s="79"/>
      <c r="L100" s="79"/>
      <c r="M100" s="79"/>
      <c r="N100" s="79"/>
      <c r="O100" s="91"/>
      <c r="P100" s="92"/>
      <c r="Q100" s="93"/>
      <c r="R100" s="93"/>
      <c r="S100" s="93"/>
      <c r="T100" s="93"/>
      <c r="U100" s="93"/>
      <c r="V100" s="93"/>
    </row>
    <row r="101" spans="1:22" ht="21" customHeight="1" x14ac:dyDescent="0.15">
      <c r="A101" s="79"/>
      <c r="B101" s="79"/>
      <c r="C101" s="79"/>
      <c r="D101" s="79"/>
      <c r="E101" s="79"/>
      <c r="F101" s="79"/>
      <c r="G101" s="79"/>
      <c r="H101" s="79"/>
      <c r="I101" s="79"/>
      <c r="J101" s="79"/>
      <c r="K101" s="79"/>
      <c r="L101" s="79"/>
      <c r="M101" s="79"/>
      <c r="N101" s="79"/>
      <c r="O101" s="91"/>
      <c r="P101" s="92"/>
      <c r="Q101" s="93"/>
      <c r="R101" s="93"/>
      <c r="S101" s="93"/>
      <c r="T101" s="93"/>
      <c r="U101" s="93"/>
      <c r="V101" s="93"/>
    </row>
    <row r="102" spans="1:22" ht="21" customHeight="1" x14ac:dyDescent="0.15">
      <c r="A102" s="79"/>
      <c r="B102" s="79"/>
      <c r="C102" s="79"/>
      <c r="D102" s="79"/>
      <c r="E102" s="79"/>
      <c r="F102" s="79"/>
      <c r="G102" s="79"/>
      <c r="H102" s="79"/>
      <c r="I102" s="79"/>
      <c r="J102" s="79"/>
      <c r="K102" s="79"/>
      <c r="L102" s="79"/>
      <c r="M102" s="79"/>
      <c r="N102" s="79"/>
      <c r="O102" s="91"/>
      <c r="P102" s="92"/>
      <c r="Q102" s="93"/>
      <c r="R102" s="93"/>
      <c r="S102" s="93"/>
      <c r="T102" s="93"/>
      <c r="U102" s="93"/>
      <c r="V102" s="93"/>
    </row>
    <row r="103" spans="1:22" ht="21" customHeight="1" x14ac:dyDescent="0.15">
      <c r="A103" s="79"/>
      <c r="B103" s="79"/>
      <c r="C103" s="79"/>
      <c r="D103" s="79"/>
      <c r="E103" s="79"/>
      <c r="F103" s="79"/>
      <c r="G103" s="79"/>
      <c r="H103" s="79"/>
      <c r="I103" s="79"/>
      <c r="J103" s="79"/>
      <c r="K103" s="79"/>
      <c r="L103" s="79"/>
      <c r="M103" s="79"/>
      <c r="N103" s="79"/>
      <c r="O103" s="91"/>
      <c r="P103" s="92"/>
      <c r="Q103" s="93"/>
      <c r="R103" s="93"/>
      <c r="S103" s="93"/>
      <c r="T103" s="93"/>
      <c r="U103" s="93"/>
      <c r="V103" s="93"/>
    </row>
    <row r="104" spans="1:22" ht="21" customHeight="1" x14ac:dyDescent="0.15">
      <c r="A104" s="79"/>
      <c r="B104" s="79"/>
      <c r="C104" s="79"/>
      <c r="D104" s="79"/>
      <c r="E104" s="79"/>
      <c r="F104" s="79"/>
      <c r="G104" s="79"/>
      <c r="H104" s="79"/>
      <c r="I104" s="79"/>
      <c r="J104" s="79"/>
      <c r="K104" s="79"/>
      <c r="L104" s="79"/>
      <c r="M104" s="79"/>
      <c r="N104" s="79"/>
      <c r="O104" s="91"/>
      <c r="P104" s="92"/>
      <c r="Q104" s="93"/>
      <c r="R104" s="93"/>
      <c r="S104" s="93"/>
      <c r="T104" s="93"/>
      <c r="U104" s="93"/>
      <c r="V104" s="93"/>
    </row>
    <row r="105" spans="1:22" ht="21" customHeight="1" x14ac:dyDescent="0.15">
      <c r="A105" s="79"/>
      <c r="B105" s="79"/>
      <c r="C105" s="79"/>
      <c r="D105" s="79"/>
      <c r="E105" s="79"/>
      <c r="F105" s="79"/>
      <c r="G105" s="79"/>
      <c r="H105" s="79"/>
      <c r="I105" s="79"/>
      <c r="J105" s="79"/>
      <c r="K105" s="79"/>
      <c r="L105" s="79"/>
      <c r="M105" s="79"/>
      <c r="N105" s="79"/>
      <c r="O105" s="91"/>
      <c r="P105" s="92"/>
      <c r="Q105" s="93"/>
      <c r="R105" s="93"/>
      <c r="S105" s="93"/>
      <c r="T105" s="93"/>
      <c r="U105" s="93"/>
      <c r="V105" s="93"/>
    </row>
    <row r="106" spans="1:22" ht="21" customHeight="1" x14ac:dyDescent="0.15">
      <c r="A106" s="79"/>
      <c r="B106" s="79"/>
      <c r="C106" s="79"/>
      <c r="D106" s="79"/>
      <c r="E106" s="79"/>
      <c r="F106" s="79"/>
      <c r="G106" s="79"/>
      <c r="H106" s="79"/>
      <c r="I106" s="79"/>
      <c r="J106" s="79"/>
      <c r="K106" s="79"/>
      <c r="L106" s="79"/>
      <c r="M106" s="79"/>
      <c r="N106" s="79"/>
      <c r="O106" s="91"/>
      <c r="P106" s="92"/>
      <c r="Q106" s="93"/>
      <c r="R106" s="93"/>
      <c r="S106" s="93"/>
      <c r="T106" s="93"/>
      <c r="U106" s="93"/>
      <c r="V106" s="93"/>
    </row>
    <row r="107" spans="1:22" ht="21" customHeight="1" x14ac:dyDescent="0.15">
      <c r="A107" s="79"/>
      <c r="B107" s="79"/>
      <c r="C107" s="79"/>
      <c r="D107" s="79"/>
      <c r="E107" s="79"/>
      <c r="F107" s="79"/>
      <c r="G107" s="79"/>
      <c r="H107" s="79"/>
      <c r="I107" s="79"/>
      <c r="J107" s="79"/>
      <c r="K107" s="79"/>
      <c r="L107" s="79"/>
      <c r="M107" s="79"/>
      <c r="N107" s="79"/>
      <c r="O107" s="91"/>
      <c r="P107" s="92"/>
      <c r="Q107" s="93"/>
      <c r="R107" s="93"/>
      <c r="S107" s="93"/>
      <c r="T107" s="93"/>
      <c r="U107" s="93"/>
      <c r="V107" s="93"/>
    </row>
    <row r="108" spans="1:22" ht="21" customHeight="1" x14ac:dyDescent="0.15">
      <c r="A108" s="79"/>
      <c r="B108" s="79"/>
      <c r="C108" s="79"/>
      <c r="D108" s="79"/>
      <c r="E108" s="79"/>
      <c r="F108" s="79"/>
      <c r="G108" s="79"/>
      <c r="H108" s="79"/>
      <c r="I108" s="79"/>
      <c r="J108" s="79"/>
      <c r="K108" s="79"/>
      <c r="L108" s="79"/>
      <c r="M108" s="79"/>
      <c r="N108" s="79"/>
      <c r="O108" s="91"/>
      <c r="P108" s="92"/>
      <c r="Q108" s="93"/>
      <c r="R108" s="93"/>
      <c r="S108" s="93"/>
      <c r="T108" s="93"/>
      <c r="U108" s="93"/>
      <c r="V108" s="93"/>
    </row>
    <row r="109" spans="1:22" ht="21" customHeight="1" x14ac:dyDescent="0.15">
      <c r="A109" s="79"/>
      <c r="B109" s="79"/>
      <c r="C109" s="79"/>
      <c r="D109" s="79"/>
      <c r="E109" s="79"/>
      <c r="F109" s="79"/>
      <c r="G109" s="79"/>
      <c r="H109" s="79"/>
      <c r="I109" s="79"/>
      <c r="J109" s="79"/>
      <c r="K109" s="79"/>
      <c r="L109" s="79"/>
      <c r="M109" s="79"/>
      <c r="N109" s="79"/>
      <c r="O109" s="91"/>
      <c r="P109" s="92"/>
      <c r="Q109" s="93"/>
      <c r="R109" s="93"/>
      <c r="S109" s="93"/>
      <c r="T109" s="93"/>
      <c r="U109" s="93"/>
      <c r="V109" s="93"/>
    </row>
    <row r="110" spans="1:22" ht="21" customHeight="1" x14ac:dyDescent="0.15">
      <c r="A110" s="79"/>
      <c r="B110" s="79"/>
      <c r="C110" s="79"/>
      <c r="D110" s="79"/>
      <c r="E110" s="79"/>
      <c r="F110" s="79"/>
      <c r="G110" s="79"/>
      <c r="H110" s="79"/>
      <c r="I110" s="79"/>
      <c r="J110" s="79"/>
      <c r="K110" s="79"/>
      <c r="L110" s="79"/>
      <c r="M110" s="79"/>
      <c r="N110" s="79"/>
      <c r="O110" s="91"/>
      <c r="P110" s="92"/>
      <c r="Q110" s="93"/>
      <c r="R110" s="93"/>
      <c r="S110" s="93"/>
      <c r="T110" s="93"/>
      <c r="U110" s="93"/>
      <c r="V110" s="93"/>
    </row>
    <row r="111" spans="1:22" ht="21" customHeight="1" x14ac:dyDescent="0.15">
      <c r="A111" s="79"/>
      <c r="B111" s="79"/>
      <c r="C111" s="79"/>
      <c r="D111" s="79"/>
      <c r="E111" s="79"/>
      <c r="F111" s="79"/>
      <c r="G111" s="79"/>
      <c r="H111" s="79"/>
      <c r="I111" s="79"/>
      <c r="J111" s="79"/>
      <c r="K111" s="79"/>
      <c r="L111" s="79"/>
      <c r="M111" s="79"/>
      <c r="N111" s="79"/>
      <c r="O111" s="91"/>
      <c r="P111" s="92"/>
      <c r="Q111" s="93"/>
      <c r="R111" s="93"/>
      <c r="S111" s="93"/>
      <c r="T111" s="93"/>
      <c r="U111" s="93"/>
      <c r="V111" s="93"/>
    </row>
    <row r="112" spans="1:22" ht="21" customHeight="1" x14ac:dyDescent="0.15">
      <c r="A112" s="79"/>
      <c r="B112" s="79"/>
      <c r="C112" s="79"/>
      <c r="D112" s="79"/>
      <c r="E112" s="79"/>
      <c r="F112" s="79"/>
      <c r="G112" s="79"/>
      <c r="H112" s="79"/>
      <c r="I112" s="79"/>
      <c r="J112" s="79"/>
      <c r="K112" s="79"/>
      <c r="L112" s="79"/>
      <c r="M112" s="79"/>
      <c r="N112" s="79"/>
      <c r="O112" s="91"/>
      <c r="P112" s="92"/>
      <c r="Q112" s="93"/>
      <c r="R112" s="93"/>
      <c r="S112" s="93"/>
      <c r="T112" s="93"/>
      <c r="U112" s="93"/>
      <c r="V112" s="93"/>
    </row>
    <row r="113" spans="1:22" ht="21" customHeight="1" x14ac:dyDescent="0.15">
      <c r="A113" s="79"/>
      <c r="B113" s="79"/>
      <c r="C113" s="79"/>
      <c r="D113" s="79"/>
      <c r="E113" s="79"/>
      <c r="F113" s="79"/>
      <c r="G113" s="79"/>
      <c r="H113" s="79"/>
      <c r="I113" s="79"/>
      <c r="J113" s="79"/>
      <c r="K113" s="79"/>
      <c r="L113" s="79"/>
      <c r="M113" s="79"/>
      <c r="N113" s="79"/>
      <c r="O113" s="91"/>
      <c r="P113" s="92"/>
      <c r="Q113" s="93"/>
      <c r="R113" s="93"/>
      <c r="S113" s="93"/>
      <c r="T113" s="93"/>
      <c r="U113" s="93"/>
      <c r="V113" s="93"/>
    </row>
    <row r="114" spans="1:22" ht="21" customHeight="1" x14ac:dyDescent="0.15">
      <c r="A114" s="79"/>
      <c r="B114" s="79"/>
      <c r="C114" s="79"/>
      <c r="D114" s="79"/>
      <c r="E114" s="79"/>
      <c r="F114" s="79"/>
      <c r="G114" s="79"/>
      <c r="H114" s="79"/>
      <c r="I114" s="79"/>
      <c r="J114" s="79"/>
      <c r="K114" s="79"/>
      <c r="L114" s="79"/>
      <c r="M114" s="79"/>
      <c r="N114" s="79"/>
      <c r="O114" s="91"/>
      <c r="P114" s="92"/>
      <c r="Q114" s="93"/>
      <c r="R114" s="93"/>
      <c r="S114" s="93"/>
      <c r="T114" s="93"/>
      <c r="U114" s="93"/>
      <c r="V114" s="93"/>
    </row>
    <row r="115" spans="1:22" ht="21" customHeight="1" x14ac:dyDescent="0.15">
      <c r="A115" s="79"/>
      <c r="B115" s="79"/>
      <c r="C115" s="79"/>
      <c r="D115" s="79"/>
      <c r="E115" s="79"/>
      <c r="F115" s="79"/>
      <c r="G115" s="79"/>
      <c r="H115" s="79"/>
      <c r="I115" s="79"/>
      <c r="J115" s="79"/>
      <c r="K115" s="79"/>
      <c r="L115" s="79"/>
      <c r="M115" s="79"/>
      <c r="N115" s="79"/>
      <c r="O115" s="91"/>
      <c r="P115" s="92"/>
      <c r="Q115" s="93"/>
      <c r="R115" s="93"/>
      <c r="S115" s="93"/>
      <c r="T115" s="93"/>
      <c r="U115" s="93"/>
      <c r="V115" s="93"/>
    </row>
    <row r="116" spans="1:22" ht="21" customHeight="1" x14ac:dyDescent="0.15">
      <c r="A116" s="79"/>
      <c r="B116" s="79"/>
      <c r="C116" s="79"/>
      <c r="D116" s="79"/>
      <c r="E116" s="79"/>
      <c r="F116" s="79"/>
      <c r="G116" s="79"/>
      <c r="H116" s="79"/>
      <c r="I116" s="79"/>
      <c r="J116" s="79"/>
      <c r="K116" s="79"/>
      <c r="L116" s="79"/>
      <c r="M116" s="79"/>
      <c r="N116" s="79"/>
      <c r="O116" s="91"/>
      <c r="P116" s="92"/>
      <c r="Q116" s="93"/>
      <c r="R116" s="93"/>
      <c r="S116" s="93"/>
      <c r="T116" s="93"/>
      <c r="U116" s="93"/>
      <c r="V116" s="93"/>
    </row>
    <row r="117" spans="1:22" ht="21" customHeight="1" x14ac:dyDescent="0.15">
      <c r="A117" s="79"/>
      <c r="B117" s="79"/>
      <c r="C117" s="79"/>
      <c r="D117" s="79"/>
      <c r="E117" s="79"/>
      <c r="F117" s="79"/>
      <c r="G117" s="79"/>
      <c r="H117" s="79"/>
      <c r="I117" s="79"/>
      <c r="J117" s="79"/>
      <c r="K117" s="79"/>
      <c r="L117" s="79"/>
      <c r="M117" s="79"/>
      <c r="N117" s="79"/>
      <c r="O117" s="91"/>
      <c r="P117" s="92"/>
      <c r="Q117" s="93"/>
      <c r="R117" s="93"/>
      <c r="S117" s="93"/>
      <c r="T117" s="93"/>
      <c r="U117" s="93"/>
      <c r="V117" s="93"/>
    </row>
    <row r="118" spans="1:22" ht="21" customHeight="1" x14ac:dyDescent="0.15">
      <c r="A118" s="79"/>
      <c r="B118" s="79"/>
      <c r="C118" s="79"/>
      <c r="D118" s="79"/>
      <c r="E118" s="79"/>
      <c r="F118" s="79"/>
      <c r="G118" s="79"/>
      <c r="H118" s="79"/>
      <c r="I118" s="79"/>
      <c r="J118" s="79"/>
      <c r="K118" s="79"/>
      <c r="L118" s="79"/>
      <c r="M118" s="79"/>
      <c r="N118" s="79"/>
      <c r="O118" s="91"/>
      <c r="P118" s="92"/>
      <c r="Q118" s="93"/>
      <c r="R118" s="93"/>
      <c r="S118" s="93"/>
      <c r="T118" s="93"/>
      <c r="U118" s="93"/>
      <c r="V118" s="93"/>
    </row>
    <row r="119" spans="1:22" ht="21" customHeight="1" x14ac:dyDescent="0.15">
      <c r="A119" s="79"/>
      <c r="B119" s="79"/>
      <c r="C119" s="79"/>
      <c r="D119" s="79"/>
      <c r="E119" s="79"/>
      <c r="F119" s="79"/>
      <c r="G119" s="79"/>
      <c r="H119" s="79"/>
      <c r="I119" s="79"/>
      <c r="J119" s="79"/>
      <c r="K119" s="79"/>
      <c r="L119" s="79"/>
      <c r="M119" s="79"/>
      <c r="N119" s="79"/>
      <c r="O119" s="91"/>
      <c r="P119" s="92"/>
      <c r="Q119" s="93"/>
      <c r="R119" s="93"/>
      <c r="S119" s="93"/>
      <c r="T119" s="93"/>
      <c r="U119" s="93"/>
      <c r="V119" s="93"/>
    </row>
    <row r="120" spans="1:22" ht="21" customHeight="1" x14ac:dyDescent="0.15">
      <c r="A120" s="79"/>
      <c r="B120" s="79"/>
      <c r="C120" s="79"/>
      <c r="D120" s="79"/>
      <c r="E120" s="79"/>
      <c r="F120" s="79"/>
      <c r="G120" s="79"/>
      <c r="H120" s="79"/>
      <c r="I120" s="79"/>
      <c r="J120" s="79"/>
      <c r="K120" s="79"/>
      <c r="L120" s="79"/>
      <c r="M120" s="79"/>
      <c r="N120" s="79"/>
      <c r="O120" s="91"/>
      <c r="P120" s="92"/>
      <c r="Q120" s="93"/>
      <c r="R120" s="93"/>
      <c r="S120" s="93"/>
      <c r="T120" s="93"/>
      <c r="U120" s="93"/>
      <c r="V120" s="93"/>
    </row>
    <row r="121" spans="1:22" ht="21" customHeight="1" x14ac:dyDescent="0.15">
      <c r="A121" s="79"/>
      <c r="B121" s="79"/>
      <c r="C121" s="79"/>
      <c r="D121" s="79"/>
      <c r="E121" s="79"/>
      <c r="F121" s="79"/>
      <c r="G121" s="79"/>
      <c r="H121" s="79"/>
      <c r="I121" s="79"/>
      <c r="J121" s="79"/>
      <c r="K121" s="79"/>
      <c r="L121" s="79"/>
      <c r="M121" s="79"/>
      <c r="N121" s="79"/>
      <c r="O121" s="91"/>
      <c r="P121" s="92"/>
      <c r="Q121" s="93"/>
      <c r="R121" s="93"/>
      <c r="S121" s="93"/>
      <c r="T121" s="93"/>
      <c r="U121" s="93"/>
      <c r="V121" s="93"/>
    </row>
    <row r="122" spans="1:22" ht="21" customHeight="1" x14ac:dyDescent="0.15">
      <c r="A122" s="79"/>
      <c r="B122" s="79"/>
      <c r="C122" s="79"/>
      <c r="D122" s="79"/>
      <c r="E122" s="79"/>
      <c r="F122" s="79"/>
      <c r="G122" s="79"/>
      <c r="H122" s="79"/>
      <c r="I122" s="79"/>
      <c r="J122" s="79"/>
      <c r="K122" s="79"/>
      <c r="L122" s="79"/>
      <c r="M122" s="79"/>
      <c r="N122" s="79"/>
      <c r="O122" s="91"/>
      <c r="P122" s="92"/>
      <c r="Q122" s="93"/>
      <c r="R122" s="93"/>
      <c r="S122" s="93"/>
      <c r="T122" s="93"/>
      <c r="U122" s="93"/>
      <c r="V122" s="93"/>
    </row>
    <row r="123" spans="1:22" ht="21" customHeight="1" x14ac:dyDescent="0.15">
      <c r="A123" s="79"/>
      <c r="B123" s="79"/>
      <c r="C123" s="79"/>
      <c r="D123" s="79"/>
      <c r="E123" s="79"/>
      <c r="F123" s="79"/>
      <c r="G123" s="79"/>
      <c r="H123" s="79"/>
      <c r="I123" s="79"/>
      <c r="J123" s="79"/>
      <c r="K123" s="79"/>
      <c r="L123" s="79"/>
      <c r="M123" s="79"/>
      <c r="N123" s="79"/>
      <c r="O123" s="91"/>
      <c r="P123" s="92"/>
      <c r="Q123" s="93"/>
      <c r="R123" s="93"/>
      <c r="S123" s="93"/>
      <c r="T123" s="93"/>
      <c r="U123" s="93"/>
      <c r="V123" s="93"/>
    </row>
    <row r="124" spans="1:22" ht="21" customHeight="1" x14ac:dyDescent="0.15">
      <c r="A124" s="79"/>
      <c r="B124" s="79"/>
      <c r="C124" s="79"/>
      <c r="D124" s="79"/>
      <c r="E124" s="79"/>
      <c r="F124" s="79"/>
      <c r="G124" s="79"/>
      <c r="H124" s="79"/>
      <c r="I124" s="79"/>
      <c r="J124" s="79"/>
      <c r="K124" s="79"/>
      <c r="L124" s="79"/>
      <c r="M124" s="79"/>
      <c r="N124" s="79"/>
      <c r="O124" s="91"/>
      <c r="P124" s="92"/>
      <c r="Q124" s="93"/>
      <c r="R124" s="93"/>
      <c r="S124" s="93"/>
      <c r="T124" s="93"/>
      <c r="U124" s="93"/>
      <c r="V124" s="93"/>
    </row>
    <row r="125" spans="1:22" ht="21" customHeight="1" x14ac:dyDescent="0.15">
      <c r="A125" s="79"/>
      <c r="B125" s="79"/>
      <c r="C125" s="79"/>
      <c r="D125" s="79"/>
      <c r="E125" s="79"/>
      <c r="F125" s="79"/>
      <c r="G125" s="79"/>
      <c r="H125" s="79"/>
      <c r="I125" s="79"/>
      <c r="J125" s="79"/>
      <c r="K125" s="79"/>
      <c r="L125" s="79"/>
      <c r="M125" s="79"/>
      <c r="N125" s="79"/>
      <c r="O125" s="91"/>
      <c r="P125" s="92"/>
      <c r="Q125" s="93"/>
      <c r="R125" s="93"/>
      <c r="S125" s="93"/>
      <c r="T125" s="93"/>
      <c r="U125" s="93"/>
      <c r="V125" s="93"/>
    </row>
    <row r="126" spans="1:22" ht="21" customHeight="1" x14ac:dyDescent="0.15">
      <c r="A126" s="79"/>
      <c r="B126" s="79"/>
      <c r="C126" s="79"/>
      <c r="D126" s="79"/>
      <c r="E126" s="79"/>
      <c r="F126" s="79"/>
      <c r="G126" s="79"/>
      <c r="H126" s="79"/>
      <c r="I126" s="79"/>
      <c r="J126" s="79"/>
      <c r="K126" s="79"/>
      <c r="L126" s="79"/>
      <c r="M126" s="79"/>
      <c r="N126" s="79"/>
      <c r="O126" s="91"/>
      <c r="P126" s="92"/>
      <c r="Q126" s="93"/>
      <c r="R126" s="93"/>
      <c r="S126" s="93"/>
      <c r="T126" s="93"/>
      <c r="U126" s="93"/>
      <c r="V126" s="93"/>
    </row>
    <row r="127" spans="1:22" ht="21" customHeight="1" x14ac:dyDescent="0.15">
      <c r="A127" s="79"/>
      <c r="B127" s="79"/>
      <c r="C127" s="79"/>
      <c r="D127" s="79"/>
      <c r="E127" s="79"/>
      <c r="F127" s="79"/>
      <c r="G127" s="79"/>
      <c r="H127" s="79"/>
      <c r="I127" s="79"/>
      <c r="J127" s="79"/>
      <c r="K127" s="79"/>
      <c r="L127" s="79"/>
      <c r="M127" s="79"/>
      <c r="N127" s="79"/>
      <c r="O127" s="91"/>
      <c r="P127" s="92"/>
      <c r="Q127" s="93"/>
      <c r="R127" s="93"/>
      <c r="S127" s="93"/>
      <c r="T127" s="93"/>
      <c r="U127" s="93"/>
      <c r="V127" s="93"/>
    </row>
    <row r="128" spans="1:22" ht="21" customHeight="1" x14ac:dyDescent="0.15">
      <c r="A128" s="79"/>
      <c r="B128" s="79"/>
      <c r="C128" s="79"/>
      <c r="D128" s="79"/>
      <c r="E128" s="79"/>
      <c r="F128" s="79"/>
      <c r="G128" s="79"/>
      <c r="H128" s="79"/>
      <c r="I128" s="79"/>
      <c r="J128" s="79"/>
      <c r="K128" s="79"/>
      <c r="L128" s="79"/>
      <c r="M128" s="79"/>
      <c r="N128" s="79"/>
      <c r="O128" s="91"/>
      <c r="P128" s="92"/>
      <c r="Q128" s="93"/>
      <c r="R128" s="93"/>
      <c r="S128" s="93"/>
      <c r="T128" s="93"/>
      <c r="U128" s="93"/>
      <c r="V128" s="93"/>
    </row>
    <row r="129" spans="1:22" ht="21" customHeight="1" x14ac:dyDescent="0.15">
      <c r="A129" s="79"/>
      <c r="B129" s="79"/>
      <c r="C129" s="79"/>
      <c r="D129" s="79"/>
      <c r="E129" s="79"/>
      <c r="F129" s="79"/>
      <c r="G129" s="79"/>
      <c r="H129" s="79"/>
      <c r="I129" s="79"/>
      <c r="J129" s="79"/>
      <c r="K129" s="79"/>
      <c r="L129" s="79"/>
      <c r="M129" s="79"/>
      <c r="N129" s="79"/>
      <c r="O129" s="91"/>
      <c r="P129" s="92"/>
      <c r="Q129" s="93"/>
      <c r="R129" s="93"/>
      <c r="S129" s="93"/>
      <c r="T129" s="93"/>
      <c r="U129" s="93"/>
      <c r="V129" s="93"/>
    </row>
    <row r="130" spans="1:22" ht="21" customHeight="1" x14ac:dyDescent="0.15">
      <c r="A130" s="79"/>
      <c r="B130" s="79"/>
      <c r="C130" s="79"/>
      <c r="D130" s="79"/>
      <c r="E130" s="79"/>
      <c r="F130" s="79"/>
      <c r="G130" s="79"/>
      <c r="H130" s="79"/>
      <c r="I130" s="79"/>
      <c r="J130" s="79"/>
      <c r="K130" s="79"/>
      <c r="L130" s="79"/>
      <c r="M130" s="79"/>
      <c r="N130" s="79"/>
      <c r="O130" s="91"/>
      <c r="P130" s="92"/>
      <c r="Q130" s="93"/>
      <c r="R130" s="93"/>
      <c r="S130" s="93"/>
      <c r="T130" s="93"/>
      <c r="U130" s="93"/>
      <c r="V130" s="93"/>
    </row>
    <row r="131" spans="1:22" ht="21" customHeight="1" x14ac:dyDescent="0.15">
      <c r="A131" s="79"/>
      <c r="B131" s="79"/>
      <c r="C131" s="79"/>
      <c r="D131" s="79"/>
      <c r="E131" s="79"/>
      <c r="F131" s="79"/>
      <c r="G131" s="79"/>
      <c r="H131" s="79"/>
      <c r="I131" s="79"/>
      <c r="J131" s="79"/>
      <c r="K131" s="79"/>
      <c r="L131" s="79"/>
      <c r="M131" s="79"/>
      <c r="N131" s="79"/>
      <c r="O131" s="91"/>
      <c r="P131" s="92"/>
      <c r="Q131" s="93"/>
      <c r="R131" s="93"/>
      <c r="S131" s="93"/>
      <c r="T131" s="93"/>
      <c r="U131" s="93"/>
      <c r="V131" s="93"/>
    </row>
    <row r="132" spans="1:22" ht="21" customHeight="1" x14ac:dyDescent="0.15">
      <c r="A132" s="79"/>
      <c r="B132" s="79"/>
      <c r="C132" s="79"/>
      <c r="D132" s="79"/>
      <c r="E132" s="79"/>
      <c r="F132" s="79"/>
      <c r="G132" s="79"/>
      <c r="H132" s="79"/>
      <c r="I132" s="79"/>
      <c r="J132" s="79"/>
      <c r="K132" s="79"/>
      <c r="L132" s="79"/>
      <c r="M132" s="79"/>
      <c r="N132" s="79"/>
      <c r="O132" s="91"/>
      <c r="P132" s="92"/>
      <c r="Q132" s="93"/>
      <c r="R132" s="93"/>
      <c r="S132" s="93"/>
      <c r="T132" s="93"/>
      <c r="U132" s="93"/>
      <c r="V132" s="93"/>
    </row>
    <row r="133" spans="1:22" ht="21" customHeight="1" x14ac:dyDescent="0.15">
      <c r="A133" s="79"/>
      <c r="B133" s="79"/>
      <c r="C133" s="79"/>
      <c r="D133" s="79"/>
      <c r="E133" s="79"/>
      <c r="F133" s="79"/>
      <c r="G133" s="79"/>
      <c r="H133" s="79"/>
      <c r="I133" s="79"/>
      <c r="J133" s="79"/>
      <c r="K133" s="79"/>
      <c r="L133" s="79"/>
      <c r="M133" s="79"/>
      <c r="N133" s="79"/>
      <c r="O133" s="91"/>
      <c r="P133" s="92"/>
      <c r="Q133" s="93"/>
      <c r="R133" s="93"/>
      <c r="S133" s="93"/>
      <c r="T133" s="93"/>
      <c r="U133" s="93"/>
      <c r="V133" s="93"/>
    </row>
    <row r="134" spans="1:22" ht="21" customHeight="1" x14ac:dyDescent="0.15">
      <c r="A134" s="79"/>
      <c r="B134" s="79"/>
      <c r="C134" s="79"/>
      <c r="D134" s="79"/>
      <c r="E134" s="79"/>
      <c r="F134" s="79"/>
      <c r="G134" s="79"/>
      <c r="H134" s="79"/>
      <c r="I134" s="79"/>
      <c r="J134" s="79"/>
      <c r="K134" s="79"/>
      <c r="L134" s="79"/>
      <c r="M134" s="79"/>
      <c r="N134" s="79"/>
      <c r="O134" s="91"/>
      <c r="P134" s="92"/>
      <c r="Q134" s="93"/>
      <c r="R134" s="93"/>
      <c r="S134" s="93"/>
      <c r="T134" s="93"/>
      <c r="U134" s="93"/>
      <c r="V134" s="93"/>
    </row>
    <row r="135" spans="1:22" ht="21" customHeight="1" x14ac:dyDescent="0.15">
      <c r="A135" s="79"/>
      <c r="B135" s="79"/>
      <c r="C135" s="79"/>
      <c r="D135" s="79"/>
      <c r="E135" s="79"/>
      <c r="F135" s="79"/>
      <c r="G135" s="79"/>
      <c r="H135" s="79"/>
      <c r="I135" s="79"/>
      <c r="J135" s="79"/>
      <c r="K135" s="79"/>
      <c r="L135" s="79"/>
      <c r="M135" s="79"/>
      <c r="N135" s="79"/>
      <c r="O135" s="91"/>
      <c r="P135" s="92"/>
      <c r="Q135" s="93"/>
      <c r="R135" s="93"/>
      <c r="S135" s="93"/>
      <c r="T135" s="93"/>
      <c r="U135" s="93"/>
      <c r="V135" s="93"/>
    </row>
  </sheetData>
  <autoFilter ref="A1:V1"/>
  <phoneticPr fontId="16"/>
  <pageMargins left="0.75" right="0.75" top="1" bottom="1" header="0.3" footer="0.3"/>
  <pageSetup paperSize="9" orientation="portrait" horizontalDpi="4294967292" verticalDpi="4294967292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3" enableFormatConditionsCalculation="0">
    <tabColor rgb="FF0000FF"/>
    <outlinePr summaryBelow="0" summaryRight="0"/>
  </sheetPr>
  <dimension ref="A1:V135"/>
  <sheetViews>
    <sheetView showGridLines="0" zoomScale="75" zoomScaleNormal="75" zoomScalePageLayoutView="75" workbookViewId="0">
      <pane ySplit="1" topLeftCell="A2" activePane="bottomLeft" state="frozen"/>
      <selection activeCell="D34" sqref="D34"/>
      <selection pane="bottomLeft" activeCell="B8" sqref="B8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68</v>
      </c>
      <c r="B1" s="15" t="s">
        <v>1</v>
      </c>
      <c r="C1" s="3" t="s">
        <v>19</v>
      </c>
      <c r="D1" s="3" t="s">
        <v>77</v>
      </c>
      <c r="E1" s="3" t="s">
        <v>170</v>
      </c>
      <c r="F1" s="3" t="s">
        <v>171</v>
      </c>
      <c r="G1" s="3" t="s">
        <v>84</v>
      </c>
      <c r="H1" s="3" t="s">
        <v>21</v>
      </c>
      <c r="I1" s="3" t="s">
        <v>22</v>
      </c>
      <c r="J1" s="3" t="s">
        <v>23</v>
      </c>
      <c r="K1" s="3" t="s">
        <v>36</v>
      </c>
      <c r="L1" s="3" t="s">
        <v>24</v>
      </c>
      <c r="M1" s="3" t="s">
        <v>25</v>
      </c>
      <c r="N1" s="3" t="s">
        <v>42</v>
      </c>
      <c r="O1" s="15" t="s">
        <v>2</v>
      </c>
      <c r="P1" s="3" t="s">
        <v>47</v>
      </c>
      <c r="Q1" s="15" t="s">
        <v>26</v>
      </c>
      <c r="R1" s="23" t="s">
        <v>5</v>
      </c>
      <c r="S1" s="23" t="s">
        <v>6</v>
      </c>
      <c r="T1" s="23" t="s">
        <v>7</v>
      </c>
      <c r="U1" s="23" t="s">
        <v>8</v>
      </c>
      <c r="V1" s="23" t="s">
        <v>9</v>
      </c>
    </row>
    <row r="2" spans="1:22" ht="21" customHeight="1" x14ac:dyDescent="0.15">
      <c r="A2" s="2">
        <v>498104</v>
      </c>
      <c r="B2" s="1">
        <v>1208</v>
      </c>
      <c r="C2" s="7" t="str">
        <f t="shared" ref="C2:C7" si="0">D2&amp;J2&amp;E2&amp;F2&amp;G2</f>
        <v>PremiumSS5R5only</v>
      </c>
      <c r="D2" s="7" t="str">
        <f>IF(OR(I2="PremiumSS",I2="PremiumSSw"),"PremiumSS",IF(I2="PremiumSSS",I2,IF(I2="PremiumW",I2,"Premium")))</f>
        <v>PremiumSS</v>
      </c>
      <c r="E2" s="7" t="str">
        <f>IF(COUNTIF('R6追加前'!A:A,B2)=0,IF(OR(I2="PremiumSS",I2="PremiumSSw"),"R5only","R3less"),"")</f>
        <v>R5only</v>
      </c>
      <c r="F2" s="7" t="str">
        <f>IF(COUNTIF('R6開放'!A:A,B2)&gt;0,"R6release","")</f>
        <v/>
      </c>
      <c r="G2" s="7"/>
      <c r="H2" s="7" t="str">
        <f>VLOOKUP(B2,[1]characters!$A:$C,3,FALSE)</f>
        <v>ネメシス</v>
      </c>
      <c r="I2" s="7" t="str">
        <f>VLOOKUP(B2,[1]characters!$A:$J,10,FALSE)</f>
        <v>PremiumSS</v>
      </c>
      <c r="J2" s="7">
        <f>VLOOKUP(B2,[1]characters!$A:$I,9,FALSE)</f>
        <v>5</v>
      </c>
      <c r="K2" s="7" t="str">
        <f>VLOOKUP(B2,[1]characters!$A:$H,8,FALSE)</f>
        <v>red</v>
      </c>
      <c r="L2" s="7" t="str">
        <f>VLOOKUP(B2,[1]characters!$A:$K,11,FALSE)</f>
        <v>hp</v>
      </c>
      <c r="M2" s="7" t="str">
        <f>VLOOKUP(B2,[1]characters!$A:$M,13,FALSE)</f>
        <v>god</v>
      </c>
      <c r="N2" s="7">
        <f>VLOOKUP(B2,[1]characters!$A:$G,7,FALSE)</f>
        <v>0</v>
      </c>
      <c r="O2" s="38">
        <v>10</v>
      </c>
      <c r="P2" s="39">
        <f t="shared" ref="P2:P7" si="1">O2/SUM(O:O)</f>
        <v>0.16666666666666666</v>
      </c>
      <c r="Q2" s="24">
        <v>1</v>
      </c>
      <c r="R2" s="24">
        <v>0</v>
      </c>
      <c r="S2" s="24">
        <v>0</v>
      </c>
      <c r="T2" s="24">
        <v>0</v>
      </c>
      <c r="U2" s="24">
        <v>0</v>
      </c>
      <c r="V2" s="24">
        <v>1</v>
      </c>
    </row>
    <row r="3" spans="1:22" ht="21" customHeight="1" x14ac:dyDescent="0.15">
      <c r="A3" s="2">
        <v>498104</v>
      </c>
      <c r="B3" s="1">
        <v>1212</v>
      </c>
      <c r="C3" s="7" t="str">
        <f t="shared" si="0"/>
        <v>PremiumSS5R5only</v>
      </c>
      <c r="D3" s="7" t="str">
        <f t="shared" ref="D3:D7" si="2">IF(OR(I3="PremiumSS",I3="PremiumSSw"),"PremiumSS",IF(I3="PremiumSSS",I3,IF(I3="PremiumW",I3,"Premium")))</f>
        <v>PremiumSS</v>
      </c>
      <c r="E3" s="7" t="str">
        <f>IF(COUNTIF('R6追加前'!A:A,B3)=0,IF(OR(I3="PremiumSS",I3="PremiumSSw"),"R5only","R3less"),"")</f>
        <v>R5only</v>
      </c>
      <c r="F3" s="7" t="str">
        <f>IF(COUNTIF('R6開放'!A:A,B3)&gt;0,"R6release","")</f>
        <v/>
      </c>
      <c r="G3" s="7"/>
      <c r="H3" s="7" t="str">
        <f>VLOOKUP(B3,[1]characters!$A:$C,3,FALSE)</f>
        <v>クロノス</v>
      </c>
      <c r="I3" s="7" t="str">
        <f>VLOOKUP(B3,[1]characters!$A:$J,10,FALSE)</f>
        <v>PremiumSS</v>
      </c>
      <c r="J3" s="7">
        <f>VLOOKUP(B3,[1]characters!$A:$I,9,FALSE)</f>
        <v>5</v>
      </c>
      <c r="K3" s="7" t="str">
        <f>VLOOKUP(B3,[1]characters!$A:$H,8,FALSE)</f>
        <v>blue</v>
      </c>
      <c r="L3" s="7" t="str">
        <f>VLOOKUP(B3,[1]characters!$A:$K,11,FALSE)</f>
        <v>technical</v>
      </c>
      <c r="M3" s="7" t="str">
        <f>VLOOKUP(B3,[1]characters!$A:$M,13,FALSE)</f>
        <v>god</v>
      </c>
      <c r="N3" s="7">
        <f>VLOOKUP(B3,[1]characters!$A:$G,7,FALSE)</f>
        <v>0</v>
      </c>
      <c r="O3" s="38">
        <v>10</v>
      </c>
      <c r="P3" s="39">
        <f t="shared" si="1"/>
        <v>0.16666666666666666</v>
      </c>
      <c r="Q3" s="24">
        <v>1</v>
      </c>
      <c r="R3" s="24">
        <v>0</v>
      </c>
      <c r="S3" s="24">
        <v>0</v>
      </c>
      <c r="T3" s="24">
        <v>0</v>
      </c>
      <c r="U3" s="24">
        <v>0</v>
      </c>
      <c r="V3" s="24">
        <v>1</v>
      </c>
    </row>
    <row r="4" spans="1:22" ht="21" customHeight="1" x14ac:dyDescent="0.15">
      <c r="A4" s="2">
        <v>498104</v>
      </c>
      <c r="B4" s="1">
        <v>1214</v>
      </c>
      <c r="C4" s="7" t="str">
        <f t="shared" si="0"/>
        <v>PremiumSS5R5only</v>
      </c>
      <c r="D4" s="7" t="str">
        <f t="shared" si="2"/>
        <v>PremiumSS</v>
      </c>
      <c r="E4" s="7" t="str">
        <f>IF(COUNTIF('R6追加前'!A:A,B4)=0,IF(OR(I4="PremiumSS",I4="PremiumSSw"),"R5only","R3less"),"")</f>
        <v>R5only</v>
      </c>
      <c r="F4" s="7" t="str">
        <f>IF(COUNTIF('R6開放'!A:A,B4)&gt;0,"R6release","")</f>
        <v/>
      </c>
      <c r="G4" s="7"/>
      <c r="H4" s="7" t="str">
        <f>VLOOKUP(B4,[1]characters!$A:$C,3,FALSE)</f>
        <v>アルテミス</v>
      </c>
      <c r="I4" s="7" t="str">
        <f>VLOOKUP(B4,[1]characters!$A:$J,10,FALSE)</f>
        <v>PremiumSSw</v>
      </c>
      <c r="J4" s="7">
        <f>VLOOKUP(B4,[1]characters!$A:$I,9,FALSE)</f>
        <v>5</v>
      </c>
      <c r="K4" s="7" t="str">
        <f>VLOOKUP(B4,[1]characters!$A:$H,8,FALSE)</f>
        <v>yellow</v>
      </c>
      <c r="L4" s="7" t="str">
        <f>VLOOKUP(B4,[1]characters!$A:$K,11,FALSE)</f>
        <v>balance</v>
      </c>
      <c r="M4" s="7" t="str">
        <f>VLOOKUP(B4,[1]characters!$A:$M,13,FALSE)</f>
        <v>god</v>
      </c>
      <c r="N4" s="7">
        <f>VLOOKUP(B4,[1]characters!$A:$G,7,FALSE)</f>
        <v>0</v>
      </c>
      <c r="O4" s="38">
        <v>10</v>
      </c>
      <c r="P4" s="39">
        <f t="shared" si="1"/>
        <v>0.16666666666666666</v>
      </c>
      <c r="Q4" s="24">
        <v>1</v>
      </c>
      <c r="R4" s="24">
        <v>0</v>
      </c>
      <c r="S4" s="24">
        <v>0</v>
      </c>
      <c r="T4" s="24">
        <v>0</v>
      </c>
      <c r="U4" s="24">
        <v>0</v>
      </c>
      <c r="V4" s="24">
        <v>1</v>
      </c>
    </row>
    <row r="5" spans="1:22" ht="21" customHeight="1" x14ac:dyDescent="0.15">
      <c r="A5" s="2">
        <v>498104</v>
      </c>
      <c r="B5" s="1">
        <v>1226</v>
      </c>
      <c r="C5" s="7" t="str">
        <f t="shared" si="0"/>
        <v>PremiumSS5R5only</v>
      </c>
      <c r="D5" s="7" t="str">
        <f t="shared" si="2"/>
        <v>PremiumSS</v>
      </c>
      <c r="E5" s="7" t="str">
        <f>IF(COUNTIF('R6追加前'!A:A,B5)=0,IF(OR(I5="PremiumSS",I5="PremiumSSw"),"R5only","R3less"),"")</f>
        <v>R5only</v>
      </c>
      <c r="F5" s="7" t="str">
        <f>IF(COUNTIF('R6開放'!A:A,B5)&gt;0,"R6release","")</f>
        <v/>
      </c>
      <c r="G5" s="7"/>
      <c r="H5" s="7" t="str">
        <f>VLOOKUP(B5,[1]characters!$A:$C,3,FALSE)</f>
        <v>トルストイ</v>
      </c>
      <c r="I5" s="7" t="str">
        <f>VLOOKUP(B5,[1]characters!$A:$J,10,FALSE)</f>
        <v>PremiumSS</v>
      </c>
      <c r="J5" s="7">
        <f>VLOOKUP(B5,[1]characters!$A:$I,9,FALSE)</f>
        <v>5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>
        <f>VLOOKUP(B5,[1]characters!$A:$G,7,FALSE)</f>
        <v>0</v>
      </c>
      <c r="O5" s="38">
        <v>10</v>
      </c>
      <c r="P5" s="39">
        <f t="shared" si="1"/>
        <v>0.16666666666666666</v>
      </c>
      <c r="Q5" s="24">
        <v>1</v>
      </c>
      <c r="R5" s="24">
        <v>0</v>
      </c>
      <c r="S5" s="24">
        <v>0</v>
      </c>
      <c r="T5" s="24">
        <v>0</v>
      </c>
      <c r="U5" s="24">
        <v>0</v>
      </c>
      <c r="V5" s="24">
        <v>1</v>
      </c>
    </row>
    <row r="6" spans="1:22" ht="21" customHeight="1" x14ac:dyDescent="0.15">
      <c r="A6" s="2">
        <v>498104</v>
      </c>
      <c r="B6" s="1">
        <v>1228</v>
      </c>
      <c r="C6" s="7" t="str">
        <f t="shared" si="0"/>
        <v>PremiumSS5R5only</v>
      </c>
      <c r="D6" s="7" t="str">
        <f t="shared" si="2"/>
        <v>PremiumSS</v>
      </c>
      <c r="E6" s="7" t="str">
        <f>IF(COUNTIF('R6追加前'!A:A,B6)=0,IF(OR(I6="PremiumSS",I6="PremiumSSw"),"R5only","R3less"),"")</f>
        <v>R5only</v>
      </c>
      <c r="F6" s="7" t="str">
        <f>IF(COUNTIF('R6開放'!A:A,B6)&gt;0,"R6release","")</f>
        <v/>
      </c>
      <c r="G6" s="7"/>
      <c r="H6" s="7" t="str">
        <f>VLOOKUP(B6,[1]characters!$A:$C,3,FALSE)</f>
        <v>芥川龍之介</v>
      </c>
      <c r="I6" s="7" t="str">
        <f>VLOOKUP(B6,[1]characters!$A:$J,10,FALSE)</f>
        <v>PremiumSSw</v>
      </c>
      <c r="J6" s="7">
        <f>VLOOKUP(B6,[1]characters!$A:$I,9,FALSE)</f>
        <v>5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human</v>
      </c>
      <c r="N6" s="7">
        <f>VLOOKUP(B6,[1]characters!$A:$G,7,FALSE)</f>
        <v>0</v>
      </c>
      <c r="O6" s="38">
        <v>10</v>
      </c>
      <c r="P6" s="39">
        <f t="shared" si="1"/>
        <v>0.16666666666666666</v>
      </c>
      <c r="Q6" s="24">
        <v>1</v>
      </c>
      <c r="R6" s="24">
        <v>0</v>
      </c>
      <c r="S6" s="24">
        <v>0</v>
      </c>
      <c r="T6" s="24">
        <v>0</v>
      </c>
      <c r="U6" s="24">
        <v>0</v>
      </c>
      <c r="V6" s="24">
        <v>1</v>
      </c>
    </row>
    <row r="7" spans="1:22" ht="21" customHeight="1" x14ac:dyDescent="0.15">
      <c r="A7" s="2">
        <v>498104</v>
      </c>
      <c r="B7" s="79">
        <v>1230</v>
      </c>
      <c r="C7" s="7" t="str">
        <f t="shared" si="0"/>
        <v>PremiumSS5R5only</v>
      </c>
      <c r="D7" s="7" t="str">
        <f t="shared" si="2"/>
        <v>PremiumSS</v>
      </c>
      <c r="E7" s="7" t="str">
        <f>IF(COUNTIF('R6追加前'!A:A,B7)=0,IF(OR(I7="PremiumSS",I7="PremiumSSw"),"R5only","R3less"),"")</f>
        <v>R5only</v>
      </c>
      <c r="F7" s="7" t="str">
        <f>IF(COUNTIF('R6開放'!A:A,B7)&gt;0,"R6release","")</f>
        <v/>
      </c>
      <c r="G7" s="7"/>
      <c r="H7" s="7" t="str">
        <f>VLOOKUP(B7,[1]characters!$A:$C,3,FALSE)</f>
        <v>夏目漱石</v>
      </c>
      <c r="I7" s="7" t="str">
        <f>VLOOKUP(B7,[1]characters!$A:$J,10,FALSE)</f>
        <v>PremiumSS</v>
      </c>
      <c r="J7" s="7">
        <f>VLOOKUP(B7,[1]characters!$A:$I,9,FALSE)</f>
        <v>5</v>
      </c>
      <c r="K7" s="7" t="str">
        <f>VLOOKUP(B7,[1]characters!$A:$H,8,FALSE)</f>
        <v>yellow</v>
      </c>
      <c r="L7" s="7" t="str">
        <f>VLOOKUP(B7,[1]characters!$A:$K,11,FALSE)</f>
        <v>heal</v>
      </c>
      <c r="M7" s="7" t="str">
        <f>VLOOKUP(B7,[1]characters!$A:$M,13,FALSE)</f>
        <v>animal</v>
      </c>
      <c r="N7" s="7">
        <f>VLOOKUP(B7,[1]characters!$A:$G,7,FALSE)</f>
        <v>0</v>
      </c>
      <c r="O7" s="38">
        <v>10</v>
      </c>
      <c r="P7" s="39">
        <f t="shared" si="1"/>
        <v>0.16666666666666666</v>
      </c>
      <c r="Q7" s="24">
        <v>1</v>
      </c>
      <c r="R7" s="24">
        <v>0</v>
      </c>
      <c r="S7" s="24">
        <v>0</v>
      </c>
      <c r="T7" s="24">
        <v>0</v>
      </c>
      <c r="U7" s="24">
        <v>0</v>
      </c>
      <c r="V7" s="24">
        <v>1</v>
      </c>
    </row>
    <row r="8" spans="1:22" ht="21" customHeight="1" x14ac:dyDescent="0.15">
      <c r="A8" s="79"/>
      <c r="B8" s="79"/>
      <c r="C8" s="79"/>
      <c r="D8" s="79"/>
      <c r="E8" s="79"/>
      <c r="F8" s="79"/>
      <c r="G8" s="79"/>
      <c r="H8" s="79"/>
      <c r="I8" s="79"/>
      <c r="J8" s="79"/>
      <c r="K8" s="79"/>
      <c r="L8" s="79"/>
      <c r="M8" s="79"/>
      <c r="N8" s="79"/>
      <c r="O8" s="91"/>
      <c r="P8" s="92"/>
      <c r="Q8" s="93"/>
      <c r="R8" s="93"/>
      <c r="S8" s="93"/>
      <c r="T8" s="93"/>
      <c r="U8" s="93"/>
      <c r="V8" s="93"/>
    </row>
    <row r="9" spans="1:22" ht="21" customHeight="1" x14ac:dyDescent="0.15">
      <c r="A9" s="79"/>
      <c r="B9" s="79"/>
      <c r="C9" s="79"/>
      <c r="D9" s="79"/>
      <c r="E9" s="79"/>
      <c r="F9" s="79"/>
      <c r="G9" s="79"/>
      <c r="H9" s="79"/>
      <c r="I9" s="79"/>
      <c r="J9" s="79"/>
      <c r="K9" s="79"/>
      <c r="L9" s="79"/>
      <c r="M9" s="79"/>
      <c r="N9" s="79"/>
      <c r="O9" s="91"/>
      <c r="P9" s="92"/>
      <c r="Q9" s="93"/>
      <c r="R9" s="93"/>
      <c r="S9" s="93"/>
      <c r="T9" s="93"/>
      <c r="U9" s="93"/>
      <c r="V9" s="93"/>
    </row>
    <row r="10" spans="1:22" ht="21" customHeight="1" x14ac:dyDescent="0.15">
      <c r="A10" s="79"/>
      <c r="B10" s="79"/>
      <c r="C10" s="79"/>
      <c r="D10" s="79"/>
      <c r="E10" s="79"/>
      <c r="F10" s="79"/>
      <c r="G10" s="79"/>
      <c r="H10" s="79"/>
      <c r="I10" s="79"/>
      <c r="J10" s="79"/>
      <c r="K10" s="79"/>
      <c r="L10" s="79"/>
      <c r="M10" s="79"/>
      <c r="N10" s="79"/>
      <c r="O10" s="91"/>
      <c r="P10" s="92"/>
      <c r="Q10" s="93"/>
      <c r="R10" s="93"/>
      <c r="S10" s="93"/>
      <c r="T10" s="93"/>
      <c r="U10" s="93"/>
      <c r="V10" s="93"/>
    </row>
    <row r="11" spans="1:22" ht="21" customHeight="1" x14ac:dyDescent="0.15">
      <c r="A11" s="79"/>
      <c r="B11" s="79"/>
      <c r="C11" s="79"/>
      <c r="D11" s="79"/>
      <c r="E11" s="79"/>
      <c r="F11" s="79"/>
      <c r="G11" s="79"/>
      <c r="H11" s="79"/>
      <c r="I11" s="79"/>
      <c r="J11" s="79"/>
      <c r="K11" s="79"/>
      <c r="L11" s="79"/>
      <c r="M11" s="79"/>
      <c r="N11" s="79"/>
      <c r="O11" s="91"/>
      <c r="P11" s="92"/>
      <c r="Q11" s="93"/>
      <c r="R11" s="93"/>
      <c r="S11" s="93"/>
      <c r="T11" s="93"/>
      <c r="U11" s="93"/>
      <c r="V11" s="93"/>
    </row>
    <row r="12" spans="1:22" ht="21" customHeight="1" x14ac:dyDescent="0.15">
      <c r="A12" s="79"/>
      <c r="B12" s="79"/>
      <c r="C12" s="79"/>
      <c r="D12" s="79"/>
      <c r="E12" s="79"/>
      <c r="F12" s="79"/>
      <c r="G12" s="79"/>
      <c r="H12" s="79"/>
      <c r="I12" s="79"/>
      <c r="J12" s="79"/>
      <c r="K12" s="79"/>
      <c r="L12" s="79"/>
      <c r="M12" s="79"/>
      <c r="N12" s="79"/>
      <c r="O12" s="91"/>
      <c r="P12" s="92"/>
      <c r="Q12" s="93"/>
      <c r="R12" s="93"/>
      <c r="S12" s="93"/>
      <c r="T12" s="93"/>
      <c r="U12" s="93"/>
      <c r="V12" s="93"/>
    </row>
    <row r="13" spans="1:22" ht="21" customHeight="1" x14ac:dyDescent="0.15">
      <c r="A13" s="79"/>
      <c r="B13" s="79"/>
      <c r="C13" s="79"/>
      <c r="D13" s="79"/>
      <c r="E13" s="79"/>
      <c r="F13" s="79"/>
      <c r="G13" s="79"/>
      <c r="H13" s="79"/>
      <c r="I13" s="79"/>
      <c r="J13" s="79"/>
      <c r="K13" s="79"/>
      <c r="L13" s="79"/>
      <c r="M13" s="79"/>
      <c r="N13" s="79"/>
      <c r="O13" s="91"/>
      <c r="P13" s="92"/>
      <c r="Q13" s="93"/>
      <c r="R13" s="93"/>
      <c r="S13" s="93"/>
      <c r="T13" s="93"/>
      <c r="U13" s="93"/>
      <c r="V13" s="93"/>
    </row>
    <row r="14" spans="1:22" ht="21" customHeight="1" x14ac:dyDescent="0.15">
      <c r="A14" s="79"/>
      <c r="B14" s="79"/>
      <c r="C14" s="79"/>
      <c r="D14" s="79"/>
      <c r="E14" s="79"/>
      <c r="F14" s="79"/>
      <c r="G14" s="79"/>
      <c r="H14" s="79"/>
      <c r="I14" s="79"/>
      <c r="J14" s="79"/>
      <c r="K14" s="79"/>
      <c r="L14" s="79"/>
      <c r="M14" s="79"/>
      <c r="N14" s="79"/>
      <c r="O14" s="91"/>
      <c r="P14" s="92"/>
      <c r="Q14" s="93"/>
      <c r="R14" s="93"/>
      <c r="S14" s="93"/>
      <c r="T14" s="93"/>
      <c r="U14" s="93"/>
      <c r="V14" s="93"/>
    </row>
    <row r="15" spans="1:22" ht="21" customHeight="1" x14ac:dyDescent="0.15">
      <c r="A15" s="79"/>
      <c r="B15" s="79"/>
      <c r="C15" s="79"/>
      <c r="D15" s="79"/>
      <c r="E15" s="79"/>
      <c r="F15" s="79"/>
      <c r="G15" s="79"/>
      <c r="H15" s="79"/>
      <c r="I15" s="79"/>
      <c r="J15" s="79"/>
      <c r="K15" s="79"/>
      <c r="L15" s="79"/>
      <c r="M15" s="79"/>
      <c r="N15" s="79"/>
      <c r="O15" s="91"/>
      <c r="P15" s="92"/>
      <c r="Q15" s="93"/>
      <c r="R15" s="93"/>
      <c r="S15" s="93"/>
      <c r="T15" s="93"/>
      <c r="U15" s="93"/>
      <c r="V15" s="93"/>
    </row>
    <row r="16" spans="1:22" ht="21" customHeight="1" x14ac:dyDescent="0.15">
      <c r="A16" s="79"/>
      <c r="B16" s="79"/>
      <c r="C16" s="79"/>
      <c r="D16" s="79"/>
      <c r="E16" s="79"/>
      <c r="F16" s="79"/>
      <c r="G16" s="79"/>
      <c r="H16" s="79"/>
      <c r="I16" s="79"/>
      <c r="J16" s="79"/>
      <c r="K16" s="79"/>
      <c r="L16" s="79"/>
      <c r="M16" s="79"/>
      <c r="N16" s="79"/>
      <c r="O16" s="91"/>
      <c r="P16" s="92"/>
      <c r="Q16" s="93"/>
      <c r="R16" s="93"/>
      <c r="S16" s="93"/>
      <c r="T16" s="93"/>
      <c r="U16" s="93"/>
      <c r="V16" s="93"/>
    </row>
    <row r="17" spans="1:22" ht="21" customHeight="1" x14ac:dyDescent="0.15">
      <c r="A17" s="79"/>
      <c r="B17" s="79"/>
      <c r="C17" s="79"/>
      <c r="D17" s="79"/>
      <c r="E17" s="79"/>
      <c r="F17" s="79"/>
      <c r="G17" s="79"/>
      <c r="H17" s="79"/>
      <c r="I17" s="79"/>
      <c r="J17" s="79"/>
      <c r="K17" s="79"/>
      <c r="L17" s="79"/>
      <c r="M17" s="79"/>
      <c r="N17" s="79"/>
      <c r="O17" s="91"/>
      <c r="P17" s="92"/>
      <c r="Q17" s="93"/>
      <c r="R17" s="93"/>
      <c r="S17" s="93"/>
      <c r="T17" s="93"/>
      <c r="U17" s="93"/>
      <c r="V17" s="93"/>
    </row>
    <row r="18" spans="1:22" ht="21" customHeight="1" x14ac:dyDescent="0.15">
      <c r="A18" s="79"/>
      <c r="B18" s="79"/>
      <c r="C18" s="79"/>
      <c r="D18" s="79"/>
      <c r="E18" s="79"/>
      <c r="F18" s="79"/>
      <c r="G18" s="79"/>
      <c r="H18" s="79"/>
      <c r="I18" s="79"/>
      <c r="J18" s="79"/>
      <c r="K18" s="79"/>
      <c r="L18" s="79"/>
      <c r="M18" s="79"/>
      <c r="N18" s="79"/>
      <c r="O18" s="91"/>
      <c r="P18" s="92"/>
      <c r="Q18" s="93"/>
      <c r="R18" s="93"/>
      <c r="S18" s="93"/>
      <c r="T18" s="93"/>
      <c r="U18" s="93"/>
      <c r="V18" s="93"/>
    </row>
    <row r="19" spans="1:22" ht="21" customHeight="1" x14ac:dyDescent="0.15">
      <c r="A19" s="79"/>
      <c r="B19" s="79"/>
      <c r="C19" s="79"/>
      <c r="D19" s="79"/>
      <c r="E19" s="79"/>
      <c r="F19" s="79"/>
      <c r="G19" s="79"/>
      <c r="H19" s="79"/>
      <c r="I19" s="79"/>
      <c r="J19" s="79"/>
      <c r="K19" s="79"/>
      <c r="L19" s="79"/>
      <c r="M19" s="79"/>
      <c r="N19" s="79"/>
      <c r="O19" s="91"/>
      <c r="P19" s="92"/>
      <c r="Q19" s="93"/>
      <c r="R19" s="93"/>
      <c r="S19" s="93"/>
      <c r="T19" s="93"/>
      <c r="U19" s="93"/>
      <c r="V19" s="93"/>
    </row>
    <row r="20" spans="1:22" ht="21" customHeight="1" x14ac:dyDescent="0.15">
      <c r="A20" s="79"/>
      <c r="B20" s="79"/>
      <c r="C20" s="79"/>
      <c r="D20" s="79"/>
      <c r="E20" s="79"/>
      <c r="F20" s="79"/>
      <c r="G20" s="79"/>
      <c r="H20" s="79"/>
      <c r="I20" s="79"/>
      <c r="J20" s="79"/>
      <c r="K20" s="79"/>
      <c r="L20" s="79"/>
      <c r="M20" s="79"/>
      <c r="N20" s="79"/>
      <c r="O20" s="91"/>
      <c r="P20" s="92"/>
      <c r="Q20" s="93"/>
      <c r="R20" s="93"/>
      <c r="S20" s="93"/>
      <c r="T20" s="93"/>
      <c r="U20" s="93"/>
      <c r="V20" s="93"/>
    </row>
    <row r="21" spans="1:22" ht="21" customHeight="1" x14ac:dyDescent="0.15">
      <c r="A21" s="79"/>
      <c r="B21" s="79"/>
      <c r="C21" s="79"/>
      <c r="D21" s="79"/>
      <c r="E21" s="79"/>
      <c r="F21" s="79"/>
      <c r="G21" s="79"/>
      <c r="H21" s="79"/>
      <c r="I21" s="79"/>
      <c r="J21" s="79"/>
      <c r="K21" s="79"/>
      <c r="L21" s="79"/>
      <c r="M21" s="79"/>
      <c r="N21" s="79"/>
      <c r="O21" s="91"/>
      <c r="P21" s="92"/>
      <c r="Q21" s="93"/>
      <c r="R21" s="93"/>
      <c r="S21" s="93"/>
      <c r="T21" s="93"/>
      <c r="U21" s="93"/>
      <c r="V21" s="93"/>
    </row>
    <row r="22" spans="1:22" ht="21" customHeight="1" x14ac:dyDescent="0.15">
      <c r="A22" s="79"/>
      <c r="B22" s="79"/>
      <c r="C22" s="79"/>
      <c r="D22" s="79"/>
      <c r="E22" s="79"/>
      <c r="F22" s="79"/>
      <c r="G22" s="79"/>
      <c r="H22" s="79"/>
      <c r="I22" s="79"/>
      <c r="J22" s="79"/>
      <c r="K22" s="79"/>
      <c r="L22" s="79"/>
      <c r="M22" s="79"/>
      <c r="N22" s="79"/>
      <c r="O22" s="91"/>
      <c r="P22" s="92"/>
      <c r="Q22" s="93"/>
      <c r="R22" s="93"/>
      <c r="S22" s="93"/>
      <c r="T22" s="93"/>
      <c r="U22" s="93"/>
      <c r="V22" s="93"/>
    </row>
    <row r="23" spans="1:22" ht="21" customHeight="1" x14ac:dyDescent="0.15">
      <c r="A23" s="79"/>
      <c r="B23" s="79"/>
      <c r="C23" s="79"/>
      <c r="D23" s="79"/>
      <c r="E23" s="79"/>
      <c r="F23" s="79"/>
      <c r="G23" s="79"/>
      <c r="H23" s="79"/>
      <c r="I23" s="79"/>
      <c r="J23" s="79"/>
      <c r="K23" s="79"/>
      <c r="L23" s="79"/>
      <c r="M23" s="79"/>
      <c r="N23" s="79"/>
      <c r="O23" s="91"/>
      <c r="P23" s="92"/>
      <c r="Q23" s="93"/>
      <c r="R23" s="93"/>
      <c r="S23" s="93"/>
      <c r="T23" s="93"/>
      <c r="U23" s="93"/>
      <c r="V23" s="93"/>
    </row>
    <row r="24" spans="1:22" ht="21" customHeight="1" x14ac:dyDescent="0.15">
      <c r="A24" s="79"/>
      <c r="B24" s="79"/>
      <c r="C24" s="79"/>
      <c r="D24" s="79"/>
      <c r="E24" s="79"/>
      <c r="F24" s="79"/>
      <c r="G24" s="79"/>
      <c r="H24" s="79"/>
      <c r="I24" s="79"/>
      <c r="J24" s="79"/>
      <c r="K24" s="79"/>
      <c r="L24" s="79"/>
      <c r="M24" s="79"/>
      <c r="N24" s="79"/>
      <c r="O24" s="91"/>
      <c r="P24" s="92"/>
      <c r="Q24" s="93"/>
      <c r="R24" s="93"/>
      <c r="S24" s="93"/>
      <c r="T24" s="93"/>
      <c r="U24" s="93"/>
      <c r="V24" s="93"/>
    </row>
    <row r="25" spans="1:22" ht="21" customHeight="1" x14ac:dyDescent="0.15">
      <c r="A25" s="79"/>
      <c r="B25" s="79"/>
      <c r="C25" s="79"/>
      <c r="D25" s="79"/>
      <c r="E25" s="79"/>
      <c r="F25" s="79"/>
      <c r="G25" s="79"/>
      <c r="H25" s="79"/>
      <c r="I25" s="79"/>
      <c r="J25" s="79"/>
      <c r="K25" s="79"/>
      <c r="L25" s="79"/>
      <c r="M25" s="79"/>
      <c r="N25" s="79"/>
      <c r="O25" s="91"/>
      <c r="P25" s="92"/>
      <c r="Q25" s="93"/>
      <c r="R25" s="93"/>
      <c r="S25" s="93"/>
      <c r="T25" s="93"/>
      <c r="U25" s="93"/>
      <c r="V25" s="93"/>
    </row>
    <row r="26" spans="1:22" ht="21" customHeight="1" x14ac:dyDescent="0.15">
      <c r="A26" s="79"/>
      <c r="B26" s="79"/>
      <c r="C26" s="79"/>
      <c r="D26" s="79"/>
      <c r="E26" s="79"/>
      <c r="F26" s="79"/>
      <c r="G26" s="79"/>
      <c r="H26" s="79"/>
      <c r="I26" s="79"/>
      <c r="J26" s="79"/>
      <c r="K26" s="79"/>
      <c r="L26" s="79"/>
      <c r="M26" s="79"/>
      <c r="N26" s="79"/>
      <c r="O26" s="91"/>
      <c r="P26" s="92"/>
      <c r="Q26" s="93"/>
      <c r="R26" s="93"/>
      <c r="S26" s="93"/>
      <c r="T26" s="93"/>
      <c r="U26" s="93"/>
      <c r="V26" s="93"/>
    </row>
    <row r="27" spans="1:22" ht="21" customHeight="1" x14ac:dyDescent="0.15">
      <c r="A27" s="79"/>
      <c r="B27" s="79"/>
      <c r="C27" s="79"/>
      <c r="D27" s="79"/>
      <c r="E27" s="79"/>
      <c r="F27" s="79"/>
      <c r="G27" s="79"/>
      <c r="H27" s="79"/>
      <c r="I27" s="79"/>
      <c r="J27" s="79"/>
      <c r="K27" s="79"/>
      <c r="L27" s="79"/>
      <c r="M27" s="79"/>
      <c r="N27" s="79"/>
      <c r="O27" s="91"/>
      <c r="P27" s="92"/>
      <c r="Q27" s="93"/>
      <c r="R27" s="93"/>
      <c r="S27" s="93"/>
      <c r="T27" s="93"/>
      <c r="U27" s="93"/>
      <c r="V27" s="93"/>
    </row>
    <row r="28" spans="1:22" ht="21" customHeight="1" x14ac:dyDescent="0.15">
      <c r="A28" s="79"/>
      <c r="B28" s="79"/>
      <c r="C28" s="79"/>
      <c r="D28" s="79"/>
      <c r="E28" s="79"/>
      <c r="F28" s="79"/>
      <c r="G28" s="79"/>
      <c r="H28" s="79"/>
      <c r="I28" s="79"/>
      <c r="J28" s="79"/>
      <c r="K28" s="79"/>
      <c r="L28" s="79"/>
      <c r="M28" s="79"/>
      <c r="N28" s="79"/>
      <c r="O28" s="91"/>
      <c r="P28" s="92"/>
      <c r="Q28" s="93"/>
      <c r="R28" s="93"/>
      <c r="S28" s="93"/>
      <c r="T28" s="93"/>
      <c r="U28" s="93"/>
      <c r="V28" s="93"/>
    </row>
    <row r="29" spans="1:22" ht="21" customHeight="1" x14ac:dyDescent="0.15">
      <c r="A29" s="79"/>
      <c r="B29" s="79"/>
      <c r="C29" s="79"/>
      <c r="D29" s="79"/>
      <c r="E29" s="79"/>
      <c r="F29" s="79"/>
      <c r="G29" s="79"/>
      <c r="H29" s="79"/>
      <c r="I29" s="79"/>
      <c r="J29" s="79"/>
      <c r="K29" s="79"/>
      <c r="L29" s="79"/>
      <c r="M29" s="79"/>
      <c r="N29" s="79"/>
      <c r="O29" s="91"/>
      <c r="P29" s="92"/>
      <c r="Q29" s="93"/>
      <c r="R29" s="93"/>
      <c r="S29" s="93"/>
      <c r="T29" s="93"/>
      <c r="U29" s="93"/>
      <c r="V29" s="93"/>
    </row>
    <row r="30" spans="1:22" ht="21" customHeight="1" x14ac:dyDescent="0.15">
      <c r="A30" s="79"/>
      <c r="B30" s="79"/>
      <c r="C30" s="79"/>
      <c r="D30" s="79"/>
      <c r="E30" s="79"/>
      <c r="F30" s="79"/>
      <c r="G30" s="79"/>
      <c r="H30" s="79"/>
      <c r="I30" s="79"/>
      <c r="J30" s="79"/>
      <c r="K30" s="79"/>
      <c r="L30" s="79"/>
      <c r="M30" s="79"/>
      <c r="N30" s="79"/>
      <c r="O30" s="91"/>
      <c r="P30" s="92"/>
      <c r="Q30" s="93"/>
      <c r="R30" s="93"/>
      <c r="S30" s="93"/>
      <c r="T30" s="93"/>
      <c r="U30" s="93"/>
      <c r="V30" s="93"/>
    </row>
    <row r="31" spans="1:22" ht="21" customHeight="1" x14ac:dyDescent="0.15">
      <c r="A31" s="79"/>
      <c r="B31" s="79"/>
      <c r="C31" s="79"/>
      <c r="D31" s="79"/>
      <c r="E31" s="79"/>
      <c r="F31" s="79"/>
      <c r="G31" s="79"/>
      <c r="H31" s="79"/>
      <c r="I31" s="79"/>
      <c r="J31" s="79"/>
      <c r="K31" s="79"/>
      <c r="L31" s="79"/>
      <c r="M31" s="79"/>
      <c r="N31" s="79"/>
      <c r="O31" s="91"/>
      <c r="P31" s="92"/>
      <c r="Q31" s="93"/>
      <c r="R31" s="93"/>
      <c r="S31" s="93"/>
      <c r="T31" s="93"/>
      <c r="U31" s="93"/>
      <c r="V31" s="93"/>
    </row>
    <row r="32" spans="1:22" ht="21" customHeight="1" x14ac:dyDescent="0.15">
      <c r="A32" s="79"/>
      <c r="B32" s="79"/>
      <c r="C32" s="79"/>
      <c r="D32" s="79"/>
      <c r="E32" s="79"/>
      <c r="F32" s="79"/>
      <c r="G32" s="79"/>
      <c r="H32" s="79"/>
      <c r="I32" s="79"/>
      <c r="J32" s="79"/>
      <c r="K32" s="79"/>
      <c r="L32" s="79"/>
      <c r="M32" s="79"/>
      <c r="N32" s="79"/>
      <c r="O32" s="91"/>
      <c r="P32" s="92"/>
      <c r="Q32" s="93"/>
      <c r="R32" s="93"/>
      <c r="S32" s="93"/>
      <c r="T32" s="93"/>
      <c r="U32" s="93"/>
      <c r="V32" s="93"/>
    </row>
    <row r="33" spans="1:22" ht="21" customHeight="1" x14ac:dyDescent="0.15">
      <c r="A33" s="79"/>
      <c r="B33" s="79"/>
      <c r="C33" s="79"/>
      <c r="D33" s="79"/>
      <c r="E33" s="79"/>
      <c r="F33" s="79"/>
      <c r="G33" s="79"/>
      <c r="H33" s="79"/>
      <c r="I33" s="79"/>
      <c r="J33" s="79"/>
      <c r="K33" s="79"/>
      <c r="L33" s="79"/>
      <c r="M33" s="79"/>
      <c r="N33" s="79"/>
      <c r="O33" s="91"/>
      <c r="P33" s="92"/>
      <c r="Q33" s="93"/>
      <c r="R33" s="93"/>
      <c r="S33" s="93"/>
      <c r="T33" s="93"/>
      <c r="U33" s="93"/>
      <c r="V33" s="93"/>
    </row>
    <row r="34" spans="1:22" ht="21" customHeight="1" x14ac:dyDescent="0.15">
      <c r="A34" s="79"/>
      <c r="B34" s="79"/>
      <c r="C34" s="79"/>
      <c r="D34" s="79"/>
      <c r="E34" s="79"/>
      <c r="F34" s="79"/>
      <c r="G34" s="79"/>
      <c r="H34" s="79"/>
      <c r="I34" s="79"/>
      <c r="J34" s="79"/>
      <c r="K34" s="79"/>
      <c r="L34" s="79"/>
      <c r="M34" s="79"/>
      <c r="N34" s="79"/>
      <c r="O34" s="91"/>
      <c r="P34" s="92"/>
      <c r="Q34" s="93"/>
      <c r="R34" s="93"/>
      <c r="S34" s="93"/>
      <c r="T34" s="93"/>
      <c r="U34" s="93"/>
      <c r="V34" s="93"/>
    </row>
    <row r="35" spans="1:22" ht="21" customHeight="1" x14ac:dyDescent="0.15">
      <c r="A35" s="79"/>
      <c r="B35" s="79"/>
      <c r="C35" s="79"/>
      <c r="D35" s="79"/>
      <c r="E35" s="79"/>
      <c r="F35" s="79"/>
      <c r="G35" s="79"/>
      <c r="H35" s="79"/>
      <c r="I35" s="79"/>
      <c r="J35" s="79"/>
      <c r="K35" s="79"/>
      <c r="L35" s="79"/>
      <c r="M35" s="79"/>
      <c r="N35" s="79"/>
      <c r="O35" s="91"/>
      <c r="P35" s="92"/>
      <c r="Q35" s="93"/>
      <c r="R35" s="93"/>
      <c r="S35" s="93"/>
      <c r="T35" s="93"/>
      <c r="U35" s="93"/>
      <c r="V35" s="93"/>
    </row>
    <row r="36" spans="1:22" ht="21" customHeight="1" x14ac:dyDescent="0.15">
      <c r="A36" s="79"/>
      <c r="B36" s="79"/>
      <c r="C36" s="79"/>
      <c r="D36" s="79"/>
      <c r="E36" s="79"/>
      <c r="F36" s="79"/>
      <c r="G36" s="79"/>
      <c r="H36" s="79"/>
      <c r="I36" s="79"/>
      <c r="J36" s="79"/>
      <c r="K36" s="79"/>
      <c r="L36" s="79"/>
      <c r="M36" s="79"/>
      <c r="N36" s="79"/>
      <c r="O36" s="91"/>
      <c r="P36" s="92"/>
      <c r="Q36" s="93"/>
      <c r="R36" s="93"/>
      <c r="S36" s="93"/>
      <c r="T36" s="93"/>
      <c r="U36" s="93"/>
      <c r="V36" s="93"/>
    </row>
    <row r="37" spans="1:22" ht="21" customHeight="1" x14ac:dyDescent="0.15">
      <c r="A37" s="79"/>
      <c r="B37" s="79"/>
      <c r="C37" s="79"/>
      <c r="D37" s="79"/>
      <c r="E37" s="79"/>
      <c r="F37" s="79"/>
      <c r="G37" s="79"/>
      <c r="H37" s="79"/>
      <c r="I37" s="79"/>
      <c r="J37" s="79"/>
      <c r="K37" s="79"/>
      <c r="L37" s="79"/>
      <c r="M37" s="79"/>
      <c r="N37" s="79"/>
      <c r="O37" s="91"/>
      <c r="P37" s="92"/>
      <c r="Q37" s="93"/>
      <c r="R37" s="93"/>
      <c r="S37" s="93"/>
      <c r="T37" s="93"/>
      <c r="U37" s="93"/>
      <c r="V37" s="93"/>
    </row>
    <row r="38" spans="1:22" ht="21" customHeight="1" x14ac:dyDescent="0.15">
      <c r="A38" s="79"/>
      <c r="B38" s="79"/>
      <c r="C38" s="79"/>
      <c r="D38" s="79"/>
      <c r="E38" s="79"/>
      <c r="F38" s="79"/>
      <c r="G38" s="79"/>
      <c r="H38" s="79"/>
      <c r="I38" s="79"/>
      <c r="J38" s="79"/>
      <c r="K38" s="79"/>
      <c r="L38" s="79"/>
      <c r="M38" s="79"/>
      <c r="N38" s="79"/>
      <c r="O38" s="91"/>
      <c r="P38" s="92"/>
      <c r="Q38" s="93"/>
      <c r="R38" s="93"/>
      <c r="S38" s="93"/>
      <c r="T38" s="93"/>
      <c r="U38" s="93"/>
      <c r="V38" s="93"/>
    </row>
    <row r="39" spans="1:22" ht="21" customHeight="1" x14ac:dyDescent="0.15">
      <c r="A39" s="79"/>
      <c r="B39" s="79"/>
      <c r="C39" s="79"/>
      <c r="D39" s="79"/>
      <c r="E39" s="79"/>
      <c r="F39" s="79"/>
      <c r="G39" s="79"/>
      <c r="H39" s="79"/>
      <c r="I39" s="79"/>
      <c r="J39" s="79"/>
      <c r="K39" s="79"/>
      <c r="L39" s="79"/>
      <c r="M39" s="79"/>
      <c r="N39" s="79"/>
      <c r="O39" s="91"/>
      <c r="P39" s="92"/>
      <c r="Q39" s="93"/>
      <c r="R39" s="93"/>
      <c r="S39" s="93"/>
      <c r="T39" s="93"/>
      <c r="U39" s="93"/>
      <c r="V39" s="93"/>
    </row>
    <row r="40" spans="1:22" ht="21" customHeight="1" x14ac:dyDescent="0.15">
      <c r="A40" s="79"/>
      <c r="B40" s="79"/>
      <c r="C40" s="79"/>
      <c r="D40" s="79"/>
      <c r="E40" s="79"/>
      <c r="F40" s="79"/>
      <c r="G40" s="79"/>
      <c r="H40" s="79"/>
      <c r="I40" s="79"/>
      <c r="J40" s="79"/>
      <c r="K40" s="79"/>
      <c r="L40" s="79"/>
      <c r="M40" s="79"/>
      <c r="N40" s="79"/>
      <c r="O40" s="91"/>
      <c r="P40" s="92"/>
      <c r="Q40" s="93"/>
      <c r="R40" s="93"/>
      <c r="S40" s="93"/>
      <c r="T40" s="93"/>
      <c r="U40" s="93"/>
      <c r="V40" s="93"/>
    </row>
    <row r="41" spans="1:22" ht="21" customHeight="1" x14ac:dyDescent="0.15">
      <c r="A41" s="79"/>
      <c r="B41" s="79"/>
      <c r="C41" s="79"/>
      <c r="D41" s="79"/>
      <c r="E41" s="79"/>
      <c r="F41" s="79"/>
      <c r="G41" s="79"/>
      <c r="H41" s="79"/>
      <c r="I41" s="79"/>
      <c r="J41" s="79"/>
      <c r="K41" s="79"/>
      <c r="L41" s="79"/>
      <c r="M41" s="79"/>
      <c r="N41" s="79"/>
      <c r="O41" s="91"/>
      <c r="P41" s="92"/>
      <c r="Q41" s="93"/>
      <c r="R41" s="93"/>
      <c r="S41" s="93"/>
      <c r="T41" s="93"/>
      <c r="U41" s="93"/>
      <c r="V41" s="93"/>
    </row>
    <row r="42" spans="1:22" ht="21" customHeight="1" x14ac:dyDescent="0.15">
      <c r="A42" s="79"/>
      <c r="B42" s="79"/>
      <c r="C42" s="79"/>
      <c r="D42" s="79"/>
      <c r="E42" s="79"/>
      <c r="F42" s="79"/>
      <c r="G42" s="79"/>
      <c r="H42" s="79"/>
      <c r="I42" s="79"/>
      <c r="J42" s="79"/>
      <c r="K42" s="79"/>
      <c r="L42" s="79"/>
      <c r="M42" s="79"/>
      <c r="N42" s="79"/>
      <c r="O42" s="91"/>
      <c r="P42" s="92"/>
      <c r="Q42" s="93"/>
      <c r="R42" s="93"/>
      <c r="S42" s="93"/>
      <c r="T42" s="93"/>
      <c r="U42" s="93"/>
      <c r="V42" s="93"/>
    </row>
    <row r="43" spans="1:22" ht="21" customHeight="1" x14ac:dyDescent="0.15">
      <c r="A43" s="79"/>
      <c r="B43" s="79"/>
      <c r="C43" s="79"/>
      <c r="D43" s="79"/>
      <c r="E43" s="79"/>
      <c r="F43" s="79"/>
      <c r="G43" s="79"/>
      <c r="H43" s="79"/>
      <c r="I43" s="79"/>
      <c r="J43" s="79"/>
      <c r="K43" s="79"/>
      <c r="L43" s="79"/>
      <c r="M43" s="79"/>
      <c r="N43" s="79"/>
      <c r="O43" s="91"/>
      <c r="P43" s="92"/>
      <c r="Q43" s="93"/>
      <c r="R43" s="93"/>
      <c r="S43" s="93"/>
      <c r="T43" s="93"/>
      <c r="U43" s="93"/>
      <c r="V43" s="93"/>
    </row>
    <row r="44" spans="1:22" ht="21" customHeight="1" x14ac:dyDescent="0.15">
      <c r="A44" s="79"/>
      <c r="B44" s="79"/>
      <c r="C44" s="79"/>
      <c r="D44" s="79"/>
      <c r="E44" s="79"/>
      <c r="F44" s="79"/>
      <c r="G44" s="79"/>
      <c r="H44" s="79"/>
      <c r="I44" s="79"/>
      <c r="J44" s="79"/>
      <c r="K44" s="79"/>
      <c r="L44" s="79"/>
      <c r="M44" s="79"/>
      <c r="N44" s="79"/>
      <c r="O44" s="91"/>
      <c r="P44" s="92"/>
      <c r="Q44" s="93"/>
      <c r="R44" s="93"/>
      <c r="S44" s="93"/>
      <c r="T44" s="93"/>
      <c r="U44" s="93"/>
      <c r="V44" s="93"/>
    </row>
    <row r="45" spans="1:22" ht="21" customHeight="1" x14ac:dyDescent="0.15">
      <c r="A45" s="79"/>
      <c r="B45" s="79"/>
      <c r="C45" s="79"/>
      <c r="D45" s="79"/>
      <c r="E45" s="79"/>
      <c r="F45" s="79"/>
      <c r="G45" s="79"/>
      <c r="H45" s="79"/>
      <c r="I45" s="79"/>
      <c r="J45" s="79"/>
      <c r="K45" s="79"/>
      <c r="L45" s="79"/>
      <c r="M45" s="79"/>
      <c r="N45" s="79"/>
      <c r="O45" s="91"/>
      <c r="P45" s="92"/>
      <c r="Q45" s="93"/>
      <c r="R45" s="93"/>
      <c r="S45" s="93"/>
      <c r="T45" s="93"/>
      <c r="U45" s="93"/>
      <c r="V45" s="93"/>
    </row>
    <row r="46" spans="1:22" ht="21" customHeight="1" x14ac:dyDescent="0.15">
      <c r="A46" s="79"/>
      <c r="B46" s="79"/>
      <c r="C46" s="79"/>
      <c r="D46" s="79"/>
      <c r="E46" s="79"/>
      <c r="F46" s="79"/>
      <c r="G46" s="79"/>
      <c r="H46" s="79"/>
      <c r="I46" s="79"/>
      <c r="J46" s="79"/>
      <c r="K46" s="79"/>
      <c r="L46" s="79"/>
      <c r="M46" s="79"/>
      <c r="N46" s="79"/>
      <c r="O46" s="91"/>
      <c r="P46" s="92"/>
      <c r="Q46" s="93"/>
      <c r="R46" s="93"/>
      <c r="S46" s="93"/>
      <c r="T46" s="93"/>
      <c r="U46" s="93"/>
      <c r="V46" s="93"/>
    </row>
    <row r="47" spans="1:22" ht="21" customHeight="1" x14ac:dyDescent="0.15">
      <c r="A47" s="79"/>
      <c r="B47" s="79"/>
      <c r="C47" s="79"/>
      <c r="D47" s="79"/>
      <c r="E47" s="79"/>
      <c r="F47" s="79"/>
      <c r="G47" s="79"/>
      <c r="H47" s="79"/>
      <c r="I47" s="79"/>
      <c r="J47" s="79"/>
      <c r="K47" s="79"/>
      <c r="L47" s="79"/>
      <c r="M47" s="79"/>
      <c r="N47" s="79"/>
      <c r="O47" s="91"/>
      <c r="P47" s="92"/>
      <c r="Q47" s="93"/>
      <c r="R47" s="93"/>
      <c r="S47" s="93"/>
      <c r="T47" s="93"/>
      <c r="U47" s="93"/>
      <c r="V47" s="93"/>
    </row>
    <row r="48" spans="1:22" ht="21" customHeight="1" x14ac:dyDescent="0.15">
      <c r="A48" s="79"/>
      <c r="B48" s="79"/>
      <c r="C48" s="79"/>
      <c r="D48" s="79"/>
      <c r="E48" s="79"/>
      <c r="F48" s="79"/>
      <c r="G48" s="79"/>
      <c r="H48" s="79"/>
      <c r="I48" s="79"/>
      <c r="J48" s="79"/>
      <c r="K48" s="79"/>
      <c r="L48" s="79"/>
      <c r="M48" s="79"/>
      <c r="N48" s="79"/>
      <c r="O48" s="91"/>
      <c r="P48" s="92"/>
      <c r="Q48" s="93"/>
      <c r="R48" s="93"/>
      <c r="S48" s="93"/>
      <c r="T48" s="93"/>
      <c r="U48" s="93"/>
      <c r="V48" s="93"/>
    </row>
    <row r="49" spans="1:22" ht="21" customHeight="1" x14ac:dyDescent="0.15">
      <c r="A49" s="79"/>
      <c r="B49" s="79"/>
      <c r="C49" s="79"/>
      <c r="D49" s="79"/>
      <c r="E49" s="79"/>
      <c r="F49" s="79"/>
      <c r="G49" s="79"/>
      <c r="H49" s="79"/>
      <c r="I49" s="79"/>
      <c r="J49" s="79"/>
      <c r="K49" s="79"/>
      <c r="L49" s="79"/>
      <c r="M49" s="79"/>
      <c r="N49" s="79"/>
      <c r="O49" s="91"/>
      <c r="P49" s="92"/>
      <c r="Q49" s="93"/>
      <c r="R49" s="93"/>
      <c r="S49" s="93"/>
      <c r="T49" s="93"/>
      <c r="U49" s="93"/>
      <c r="V49" s="93"/>
    </row>
    <row r="50" spans="1:22" ht="21" customHeight="1" x14ac:dyDescent="0.15">
      <c r="A50" s="79"/>
      <c r="B50" s="79"/>
      <c r="C50" s="79"/>
      <c r="D50" s="79"/>
      <c r="E50" s="79"/>
      <c r="F50" s="79"/>
      <c r="G50" s="79"/>
      <c r="H50" s="79"/>
      <c r="I50" s="79"/>
      <c r="J50" s="79"/>
      <c r="K50" s="79"/>
      <c r="L50" s="79"/>
      <c r="M50" s="79"/>
      <c r="N50" s="79"/>
      <c r="O50" s="91"/>
      <c r="P50" s="92"/>
      <c r="Q50" s="93"/>
      <c r="R50" s="93"/>
      <c r="S50" s="93"/>
      <c r="T50" s="93"/>
      <c r="U50" s="93"/>
      <c r="V50" s="93"/>
    </row>
    <row r="51" spans="1:22" ht="21" customHeight="1" x14ac:dyDescent="0.15">
      <c r="A51" s="79"/>
      <c r="B51" s="79"/>
      <c r="C51" s="79"/>
      <c r="D51" s="79"/>
      <c r="E51" s="79"/>
      <c r="F51" s="79"/>
      <c r="G51" s="79"/>
      <c r="H51" s="79"/>
      <c r="I51" s="79"/>
      <c r="J51" s="79"/>
      <c r="K51" s="79"/>
      <c r="L51" s="79"/>
      <c r="M51" s="79"/>
      <c r="N51" s="79"/>
      <c r="O51" s="91"/>
      <c r="P51" s="92"/>
      <c r="Q51" s="93"/>
      <c r="R51" s="93"/>
      <c r="S51" s="93"/>
      <c r="T51" s="93"/>
      <c r="U51" s="93"/>
      <c r="V51" s="93"/>
    </row>
    <row r="52" spans="1:22" ht="21" customHeight="1" x14ac:dyDescent="0.15">
      <c r="A52" s="79"/>
      <c r="B52" s="79"/>
      <c r="C52" s="79"/>
      <c r="D52" s="79"/>
      <c r="E52" s="79"/>
      <c r="F52" s="79"/>
      <c r="G52" s="79"/>
      <c r="H52" s="79"/>
      <c r="I52" s="79"/>
      <c r="J52" s="79"/>
      <c r="K52" s="79"/>
      <c r="L52" s="79"/>
      <c r="M52" s="79"/>
      <c r="N52" s="79"/>
      <c r="O52" s="91"/>
      <c r="P52" s="92"/>
      <c r="Q52" s="93"/>
      <c r="R52" s="93"/>
      <c r="S52" s="93"/>
      <c r="T52" s="93"/>
      <c r="U52" s="93"/>
      <c r="V52" s="93"/>
    </row>
    <row r="53" spans="1:22" ht="21" customHeight="1" x14ac:dyDescent="0.15">
      <c r="A53" s="79"/>
      <c r="B53" s="79"/>
      <c r="C53" s="79"/>
      <c r="D53" s="79"/>
      <c r="E53" s="79"/>
      <c r="F53" s="79"/>
      <c r="G53" s="79"/>
      <c r="H53" s="79"/>
      <c r="I53" s="79"/>
      <c r="J53" s="79"/>
      <c r="K53" s="79"/>
      <c r="L53" s="79"/>
      <c r="M53" s="79"/>
      <c r="N53" s="79"/>
      <c r="O53" s="91"/>
      <c r="P53" s="92"/>
      <c r="Q53" s="93"/>
      <c r="R53" s="93"/>
      <c r="S53" s="93"/>
      <c r="T53" s="93"/>
      <c r="U53" s="93"/>
      <c r="V53" s="93"/>
    </row>
    <row r="54" spans="1:22" ht="21" customHeight="1" x14ac:dyDescent="0.15">
      <c r="A54" s="79"/>
      <c r="B54" s="79"/>
      <c r="C54" s="79"/>
      <c r="D54" s="79"/>
      <c r="E54" s="79"/>
      <c r="F54" s="79"/>
      <c r="G54" s="79"/>
      <c r="H54" s="79"/>
      <c r="I54" s="79"/>
      <c r="J54" s="79"/>
      <c r="K54" s="79"/>
      <c r="L54" s="79"/>
      <c r="M54" s="79"/>
      <c r="N54" s="79"/>
      <c r="O54" s="91"/>
      <c r="P54" s="92"/>
      <c r="Q54" s="93"/>
      <c r="R54" s="93"/>
      <c r="S54" s="93"/>
      <c r="T54" s="93"/>
      <c r="U54" s="93"/>
      <c r="V54" s="93"/>
    </row>
    <row r="55" spans="1:22" ht="21" customHeight="1" x14ac:dyDescent="0.15">
      <c r="A55" s="79"/>
      <c r="B55" s="79"/>
      <c r="C55" s="79"/>
      <c r="D55" s="79"/>
      <c r="E55" s="79"/>
      <c r="F55" s="79"/>
      <c r="G55" s="79"/>
      <c r="H55" s="79"/>
      <c r="I55" s="79"/>
      <c r="J55" s="79"/>
      <c r="K55" s="79"/>
      <c r="L55" s="79"/>
      <c r="M55" s="79"/>
      <c r="N55" s="79"/>
      <c r="O55" s="91"/>
      <c r="P55" s="92"/>
      <c r="Q55" s="93"/>
      <c r="R55" s="93"/>
      <c r="S55" s="93"/>
      <c r="T55" s="93"/>
      <c r="U55" s="93"/>
      <c r="V55" s="93"/>
    </row>
    <row r="56" spans="1:22" ht="21" customHeight="1" x14ac:dyDescent="0.15">
      <c r="A56" s="79"/>
      <c r="B56" s="79"/>
      <c r="C56" s="79"/>
      <c r="D56" s="79"/>
      <c r="E56" s="79"/>
      <c r="F56" s="79"/>
      <c r="G56" s="79"/>
      <c r="H56" s="79"/>
      <c r="I56" s="79"/>
      <c r="J56" s="79"/>
      <c r="K56" s="79"/>
      <c r="L56" s="79"/>
      <c r="M56" s="79"/>
      <c r="N56" s="79"/>
      <c r="O56" s="91"/>
      <c r="P56" s="92"/>
      <c r="Q56" s="93"/>
      <c r="R56" s="93"/>
      <c r="S56" s="93"/>
      <c r="T56" s="93"/>
      <c r="U56" s="93"/>
      <c r="V56" s="93"/>
    </row>
    <row r="57" spans="1:22" ht="21" customHeight="1" x14ac:dyDescent="0.15">
      <c r="A57" s="79"/>
      <c r="B57" s="79"/>
      <c r="C57" s="79"/>
      <c r="D57" s="79"/>
      <c r="E57" s="79"/>
      <c r="F57" s="79"/>
      <c r="G57" s="79"/>
      <c r="H57" s="79"/>
      <c r="I57" s="79"/>
      <c r="J57" s="79"/>
      <c r="K57" s="79"/>
      <c r="L57" s="79"/>
      <c r="M57" s="79"/>
      <c r="N57" s="79"/>
      <c r="O57" s="91"/>
      <c r="P57" s="92"/>
      <c r="Q57" s="93"/>
      <c r="R57" s="93"/>
      <c r="S57" s="93"/>
      <c r="T57" s="93"/>
      <c r="U57" s="93"/>
      <c r="V57" s="93"/>
    </row>
    <row r="58" spans="1:22" ht="21" customHeight="1" x14ac:dyDescent="0.15">
      <c r="A58" s="79"/>
      <c r="B58" s="79"/>
      <c r="C58" s="79"/>
      <c r="D58" s="79"/>
      <c r="E58" s="79"/>
      <c r="F58" s="79"/>
      <c r="G58" s="79"/>
      <c r="H58" s="79"/>
      <c r="I58" s="79"/>
      <c r="J58" s="79"/>
      <c r="K58" s="79"/>
      <c r="L58" s="79"/>
      <c r="M58" s="79"/>
      <c r="N58" s="79"/>
      <c r="O58" s="91"/>
      <c r="P58" s="92"/>
      <c r="Q58" s="93"/>
      <c r="R58" s="93"/>
      <c r="S58" s="93"/>
      <c r="T58" s="93"/>
      <c r="U58" s="93"/>
      <c r="V58" s="93"/>
    </row>
    <row r="59" spans="1:22" ht="21" customHeight="1" x14ac:dyDescent="0.15">
      <c r="A59" s="79"/>
      <c r="B59" s="79"/>
      <c r="C59" s="79"/>
      <c r="D59" s="79"/>
      <c r="E59" s="79"/>
      <c r="F59" s="79"/>
      <c r="G59" s="79"/>
      <c r="H59" s="79"/>
      <c r="I59" s="79"/>
      <c r="J59" s="79"/>
      <c r="K59" s="79"/>
      <c r="L59" s="79"/>
      <c r="M59" s="79"/>
      <c r="N59" s="79"/>
      <c r="O59" s="91"/>
      <c r="P59" s="92"/>
      <c r="Q59" s="93"/>
      <c r="R59" s="93"/>
      <c r="S59" s="93"/>
      <c r="T59" s="93"/>
      <c r="U59" s="93"/>
      <c r="V59" s="93"/>
    </row>
    <row r="60" spans="1:22" ht="21" customHeight="1" x14ac:dyDescent="0.15">
      <c r="A60" s="79"/>
      <c r="B60" s="79"/>
      <c r="C60" s="79"/>
      <c r="D60" s="79"/>
      <c r="E60" s="79"/>
      <c r="F60" s="79"/>
      <c r="G60" s="79"/>
      <c r="H60" s="79"/>
      <c r="I60" s="79"/>
      <c r="J60" s="79"/>
      <c r="K60" s="79"/>
      <c r="L60" s="79"/>
      <c r="M60" s="79"/>
      <c r="N60" s="79"/>
      <c r="O60" s="91"/>
      <c r="P60" s="92"/>
      <c r="Q60" s="93"/>
      <c r="R60" s="93"/>
      <c r="S60" s="93"/>
      <c r="T60" s="93"/>
      <c r="U60" s="93"/>
      <c r="V60" s="93"/>
    </row>
    <row r="61" spans="1:22" ht="21" customHeight="1" x14ac:dyDescent="0.15">
      <c r="A61" s="79"/>
      <c r="B61" s="79"/>
      <c r="C61" s="79"/>
      <c r="D61" s="79"/>
      <c r="E61" s="79"/>
      <c r="F61" s="79"/>
      <c r="G61" s="79"/>
      <c r="H61" s="79"/>
      <c r="I61" s="79"/>
      <c r="J61" s="79"/>
      <c r="K61" s="79"/>
      <c r="L61" s="79"/>
      <c r="M61" s="79"/>
      <c r="N61" s="79"/>
      <c r="O61" s="91"/>
      <c r="P61" s="92"/>
      <c r="Q61" s="93"/>
      <c r="R61" s="93"/>
      <c r="S61" s="93"/>
      <c r="T61" s="93"/>
      <c r="U61" s="93"/>
      <c r="V61" s="93"/>
    </row>
    <row r="62" spans="1:22" ht="21" customHeight="1" x14ac:dyDescent="0.15">
      <c r="A62" s="79"/>
      <c r="B62" s="79"/>
      <c r="C62" s="79"/>
      <c r="D62" s="79"/>
      <c r="E62" s="79"/>
      <c r="F62" s="79"/>
      <c r="G62" s="79"/>
      <c r="H62" s="79"/>
      <c r="I62" s="79"/>
      <c r="J62" s="79"/>
      <c r="K62" s="79"/>
      <c r="L62" s="79"/>
      <c r="M62" s="79"/>
      <c r="N62" s="79"/>
      <c r="O62" s="91"/>
      <c r="P62" s="92"/>
      <c r="Q62" s="93"/>
      <c r="R62" s="93"/>
      <c r="S62" s="93"/>
      <c r="T62" s="93"/>
      <c r="U62" s="93"/>
      <c r="V62" s="93"/>
    </row>
    <row r="63" spans="1:22" ht="21" customHeight="1" x14ac:dyDescent="0.15">
      <c r="A63" s="79"/>
      <c r="B63" s="79"/>
      <c r="C63" s="79"/>
      <c r="D63" s="79"/>
      <c r="E63" s="79"/>
      <c r="F63" s="79"/>
      <c r="G63" s="79"/>
      <c r="H63" s="79"/>
      <c r="I63" s="79"/>
      <c r="J63" s="79"/>
      <c r="K63" s="79"/>
      <c r="L63" s="79"/>
      <c r="M63" s="79"/>
      <c r="N63" s="79"/>
      <c r="O63" s="91"/>
      <c r="P63" s="92"/>
      <c r="Q63" s="93"/>
      <c r="R63" s="93"/>
      <c r="S63" s="93"/>
      <c r="T63" s="93"/>
      <c r="U63" s="93"/>
      <c r="V63" s="93"/>
    </row>
    <row r="64" spans="1:22" ht="21" customHeight="1" x14ac:dyDescent="0.15">
      <c r="A64" s="79"/>
      <c r="B64" s="79"/>
      <c r="C64" s="79"/>
      <c r="D64" s="79"/>
      <c r="E64" s="79"/>
      <c r="F64" s="79"/>
      <c r="G64" s="79"/>
      <c r="H64" s="79"/>
      <c r="I64" s="79"/>
      <c r="J64" s="79"/>
      <c r="K64" s="79"/>
      <c r="L64" s="79"/>
      <c r="M64" s="79"/>
      <c r="N64" s="79"/>
      <c r="O64" s="91"/>
      <c r="P64" s="92"/>
      <c r="Q64" s="93"/>
      <c r="R64" s="93"/>
      <c r="S64" s="93"/>
      <c r="T64" s="93"/>
      <c r="U64" s="93"/>
      <c r="V64" s="93"/>
    </row>
    <row r="65" spans="1:22" ht="21" customHeight="1" x14ac:dyDescent="0.15">
      <c r="A65" s="79"/>
      <c r="B65" s="79"/>
      <c r="C65" s="79"/>
      <c r="D65" s="79"/>
      <c r="E65" s="79"/>
      <c r="F65" s="79"/>
      <c r="G65" s="79"/>
      <c r="H65" s="79"/>
      <c r="I65" s="79"/>
      <c r="J65" s="79"/>
      <c r="K65" s="79"/>
      <c r="L65" s="79"/>
      <c r="M65" s="79"/>
      <c r="N65" s="79"/>
      <c r="O65" s="91"/>
      <c r="P65" s="92"/>
      <c r="Q65" s="93"/>
      <c r="R65" s="93"/>
      <c r="S65" s="93"/>
      <c r="T65" s="93"/>
      <c r="U65" s="93"/>
      <c r="V65" s="93"/>
    </row>
    <row r="66" spans="1:22" ht="21" customHeight="1" x14ac:dyDescent="0.15">
      <c r="A66" s="79"/>
      <c r="B66" s="79"/>
      <c r="C66" s="79"/>
      <c r="D66" s="79"/>
      <c r="E66" s="79"/>
      <c r="F66" s="79"/>
      <c r="G66" s="79"/>
      <c r="H66" s="79"/>
      <c r="I66" s="79"/>
      <c r="J66" s="79"/>
      <c r="K66" s="79"/>
      <c r="L66" s="79"/>
      <c r="M66" s="79"/>
      <c r="N66" s="79"/>
      <c r="O66" s="91"/>
      <c r="P66" s="92"/>
      <c r="Q66" s="93"/>
      <c r="R66" s="93"/>
      <c r="S66" s="93"/>
      <c r="T66" s="93"/>
      <c r="U66" s="93"/>
      <c r="V66" s="93"/>
    </row>
    <row r="67" spans="1:22" ht="21" customHeight="1" x14ac:dyDescent="0.15">
      <c r="A67" s="79"/>
      <c r="B67" s="79"/>
      <c r="C67" s="79"/>
      <c r="D67" s="79"/>
      <c r="E67" s="79"/>
      <c r="F67" s="79"/>
      <c r="G67" s="79"/>
      <c r="H67" s="79"/>
      <c r="I67" s="79"/>
      <c r="J67" s="79"/>
      <c r="K67" s="79"/>
      <c r="L67" s="79"/>
      <c r="M67" s="79"/>
      <c r="N67" s="79"/>
      <c r="O67" s="91"/>
      <c r="P67" s="92"/>
      <c r="Q67" s="93"/>
      <c r="R67" s="93"/>
      <c r="S67" s="93"/>
      <c r="T67" s="93"/>
      <c r="U67" s="93"/>
      <c r="V67" s="93"/>
    </row>
    <row r="68" spans="1:22" ht="21" customHeight="1" x14ac:dyDescent="0.15">
      <c r="A68" s="79"/>
      <c r="B68" s="79"/>
      <c r="C68" s="79"/>
      <c r="D68" s="79"/>
      <c r="E68" s="79"/>
      <c r="F68" s="79"/>
      <c r="G68" s="79"/>
      <c r="H68" s="79"/>
      <c r="I68" s="79"/>
      <c r="J68" s="79"/>
      <c r="K68" s="79"/>
      <c r="L68" s="79"/>
      <c r="M68" s="79"/>
      <c r="N68" s="79"/>
      <c r="O68" s="91"/>
      <c r="P68" s="92"/>
      <c r="Q68" s="93"/>
      <c r="R68" s="93"/>
      <c r="S68" s="93"/>
      <c r="T68" s="93"/>
      <c r="U68" s="93"/>
      <c r="V68" s="93"/>
    </row>
    <row r="69" spans="1:22" ht="21" customHeight="1" x14ac:dyDescent="0.15">
      <c r="A69" s="79"/>
      <c r="B69" s="79"/>
      <c r="C69" s="79"/>
      <c r="D69" s="79"/>
      <c r="E69" s="79"/>
      <c r="F69" s="79"/>
      <c r="G69" s="79"/>
      <c r="H69" s="79"/>
      <c r="I69" s="79"/>
      <c r="J69" s="79"/>
      <c r="K69" s="79"/>
      <c r="L69" s="79"/>
      <c r="M69" s="79"/>
      <c r="N69" s="79"/>
      <c r="O69" s="91"/>
      <c r="P69" s="92"/>
      <c r="Q69" s="93"/>
      <c r="R69" s="93"/>
      <c r="S69" s="93"/>
      <c r="T69" s="93"/>
      <c r="U69" s="93"/>
      <c r="V69" s="93"/>
    </row>
    <row r="70" spans="1:22" ht="21" customHeight="1" x14ac:dyDescent="0.15">
      <c r="A70" s="79"/>
      <c r="B70" s="79"/>
      <c r="C70" s="79"/>
      <c r="D70" s="79"/>
      <c r="E70" s="79"/>
      <c r="F70" s="79"/>
      <c r="G70" s="79"/>
      <c r="H70" s="79"/>
      <c r="I70" s="79"/>
      <c r="J70" s="79"/>
      <c r="K70" s="79"/>
      <c r="L70" s="79"/>
      <c r="M70" s="79"/>
      <c r="N70" s="79"/>
      <c r="O70" s="91"/>
      <c r="P70" s="92"/>
      <c r="Q70" s="93"/>
      <c r="R70" s="93"/>
      <c r="S70" s="93"/>
      <c r="T70" s="93"/>
      <c r="U70" s="93"/>
      <c r="V70" s="93"/>
    </row>
    <row r="71" spans="1:22" ht="21" customHeight="1" x14ac:dyDescent="0.15">
      <c r="A71" s="79"/>
      <c r="B71" s="79"/>
      <c r="C71" s="79"/>
      <c r="D71" s="79"/>
      <c r="E71" s="79"/>
      <c r="F71" s="79"/>
      <c r="G71" s="79"/>
      <c r="H71" s="79"/>
      <c r="I71" s="79"/>
      <c r="J71" s="79"/>
      <c r="K71" s="79"/>
      <c r="L71" s="79"/>
      <c r="M71" s="79"/>
      <c r="N71" s="79"/>
      <c r="O71" s="91"/>
      <c r="P71" s="92"/>
      <c r="Q71" s="93"/>
      <c r="R71" s="93"/>
      <c r="S71" s="93"/>
      <c r="T71" s="93"/>
      <c r="U71" s="93"/>
      <c r="V71" s="93"/>
    </row>
    <row r="72" spans="1:22" ht="21" customHeight="1" x14ac:dyDescent="0.15">
      <c r="A72" s="79"/>
      <c r="B72" s="79"/>
      <c r="C72" s="79"/>
      <c r="D72" s="79"/>
      <c r="E72" s="79"/>
      <c r="F72" s="79"/>
      <c r="G72" s="79"/>
      <c r="H72" s="79"/>
      <c r="I72" s="79"/>
      <c r="J72" s="79"/>
      <c r="K72" s="79"/>
      <c r="L72" s="79"/>
      <c r="M72" s="79"/>
      <c r="N72" s="79"/>
      <c r="O72" s="91"/>
      <c r="P72" s="92"/>
      <c r="Q72" s="93"/>
      <c r="R72" s="93"/>
      <c r="S72" s="93"/>
      <c r="T72" s="93"/>
      <c r="U72" s="93"/>
      <c r="V72" s="93"/>
    </row>
    <row r="73" spans="1:22" ht="21" customHeight="1" x14ac:dyDescent="0.15">
      <c r="A73" s="79"/>
      <c r="B73" s="79"/>
      <c r="C73" s="79"/>
      <c r="D73" s="79"/>
      <c r="E73" s="79"/>
      <c r="F73" s="79"/>
      <c r="G73" s="79"/>
      <c r="H73" s="79"/>
      <c r="I73" s="79"/>
      <c r="J73" s="79"/>
      <c r="K73" s="79"/>
      <c r="L73" s="79"/>
      <c r="M73" s="79"/>
      <c r="N73" s="79"/>
      <c r="O73" s="91"/>
      <c r="P73" s="92"/>
      <c r="Q73" s="93"/>
      <c r="R73" s="93"/>
      <c r="S73" s="93"/>
      <c r="T73" s="93"/>
      <c r="U73" s="93"/>
      <c r="V73" s="93"/>
    </row>
    <row r="74" spans="1:22" ht="21" customHeight="1" x14ac:dyDescent="0.15">
      <c r="A74" s="79"/>
      <c r="B74" s="79"/>
      <c r="C74" s="79"/>
      <c r="D74" s="79"/>
      <c r="E74" s="79"/>
      <c r="F74" s="79"/>
      <c r="G74" s="79"/>
      <c r="H74" s="79"/>
      <c r="I74" s="79"/>
      <c r="J74" s="79"/>
      <c r="K74" s="79"/>
      <c r="L74" s="79"/>
      <c r="M74" s="79"/>
      <c r="N74" s="79"/>
      <c r="O74" s="91"/>
      <c r="P74" s="92"/>
      <c r="Q74" s="93"/>
      <c r="R74" s="93"/>
      <c r="S74" s="93"/>
      <c r="T74" s="93"/>
      <c r="U74" s="93"/>
      <c r="V74" s="93"/>
    </row>
    <row r="75" spans="1:22" ht="21" customHeight="1" x14ac:dyDescent="0.15">
      <c r="A75" s="79"/>
      <c r="B75" s="79"/>
      <c r="C75" s="79"/>
      <c r="D75" s="79"/>
      <c r="E75" s="79"/>
      <c r="F75" s="79"/>
      <c r="G75" s="79"/>
      <c r="H75" s="79"/>
      <c r="I75" s="79"/>
      <c r="J75" s="79"/>
      <c r="K75" s="79"/>
      <c r="L75" s="79"/>
      <c r="M75" s="79"/>
      <c r="N75" s="79"/>
      <c r="O75" s="91"/>
      <c r="P75" s="92"/>
      <c r="Q75" s="93"/>
      <c r="R75" s="93"/>
      <c r="S75" s="93"/>
      <c r="T75" s="93"/>
      <c r="U75" s="93"/>
      <c r="V75" s="93"/>
    </row>
    <row r="76" spans="1:22" ht="21" customHeight="1" x14ac:dyDescent="0.15">
      <c r="A76" s="79"/>
      <c r="B76" s="79"/>
      <c r="C76" s="79"/>
      <c r="D76" s="79"/>
      <c r="E76" s="79"/>
      <c r="F76" s="79"/>
      <c r="G76" s="79"/>
      <c r="H76" s="79"/>
      <c r="I76" s="79"/>
      <c r="J76" s="79"/>
      <c r="K76" s="79"/>
      <c r="L76" s="79"/>
      <c r="M76" s="79"/>
      <c r="N76" s="79"/>
      <c r="O76" s="91"/>
      <c r="P76" s="92"/>
      <c r="Q76" s="93"/>
      <c r="R76" s="93"/>
      <c r="S76" s="93"/>
      <c r="T76" s="93"/>
      <c r="U76" s="93"/>
      <c r="V76" s="93"/>
    </row>
    <row r="77" spans="1:22" ht="21" customHeight="1" x14ac:dyDescent="0.15">
      <c r="A77" s="79"/>
      <c r="B77" s="79"/>
      <c r="C77" s="79"/>
      <c r="D77" s="79"/>
      <c r="E77" s="79"/>
      <c r="F77" s="79"/>
      <c r="G77" s="79"/>
      <c r="H77" s="79"/>
      <c r="I77" s="79"/>
      <c r="J77" s="79"/>
      <c r="K77" s="79"/>
      <c r="L77" s="79"/>
      <c r="M77" s="79"/>
      <c r="N77" s="79"/>
      <c r="O77" s="91"/>
      <c r="P77" s="92"/>
      <c r="Q77" s="93"/>
      <c r="R77" s="93"/>
      <c r="S77" s="93"/>
      <c r="T77" s="93"/>
      <c r="U77" s="93"/>
      <c r="V77" s="93"/>
    </row>
    <row r="78" spans="1:22" ht="21" customHeight="1" x14ac:dyDescent="0.15">
      <c r="A78" s="79"/>
      <c r="B78" s="79"/>
      <c r="C78" s="79"/>
      <c r="D78" s="79"/>
      <c r="E78" s="79"/>
      <c r="F78" s="79"/>
      <c r="G78" s="79"/>
      <c r="H78" s="79"/>
      <c r="I78" s="79"/>
      <c r="J78" s="79"/>
      <c r="K78" s="79"/>
      <c r="L78" s="79"/>
      <c r="M78" s="79"/>
      <c r="N78" s="79"/>
      <c r="O78" s="91"/>
      <c r="P78" s="92"/>
      <c r="Q78" s="93"/>
      <c r="R78" s="93"/>
      <c r="S78" s="93"/>
      <c r="T78" s="93"/>
      <c r="U78" s="93"/>
      <c r="V78" s="93"/>
    </row>
    <row r="79" spans="1:22" ht="21" customHeight="1" x14ac:dyDescent="0.15">
      <c r="A79" s="79"/>
      <c r="B79" s="79"/>
      <c r="C79" s="79"/>
      <c r="D79" s="79"/>
      <c r="E79" s="79"/>
      <c r="F79" s="79"/>
      <c r="G79" s="79"/>
      <c r="H79" s="79"/>
      <c r="I79" s="79"/>
      <c r="J79" s="79"/>
      <c r="K79" s="79"/>
      <c r="L79" s="79"/>
      <c r="M79" s="79"/>
      <c r="N79" s="79"/>
      <c r="O79" s="91"/>
      <c r="P79" s="92"/>
      <c r="Q79" s="93"/>
      <c r="R79" s="93"/>
      <c r="S79" s="93"/>
      <c r="T79" s="93"/>
      <c r="U79" s="93"/>
      <c r="V79" s="93"/>
    </row>
    <row r="80" spans="1:22" ht="21" customHeight="1" x14ac:dyDescent="0.15">
      <c r="A80" s="79"/>
      <c r="B80" s="79"/>
      <c r="C80" s="79"/>
      <c r="D80" s="79"/>
      <c r="E80" s="79"/>
      <c r="F80" s="79"/>
      <c r="G80" s="79"/>
      <c r="H80" s="79"/>
      <c r="I80" s="79"/>
      <c r="J80" s="79"/>
      <c r="K80" s="79"/>
      <c r="L80" s="79"/>
      <c r="M80" s="79"/>
      <c r="N80" s="79"/>
      <c r="O80" s="91"/>
      <c r="P80" s="92"/>
      <c r="Q80" s="93"/>
      <c r="R80" s="93"/>
      <c r="S80" s="93"/>
      <c r="T80" s="93"/>
      <c r="U80" s="93"/>
      <c r="V80" s="93"/>
    </row>
    <row r="81" spans="1:22" ht="21" customHeight="1" x14ac:dyDescent="0.15">
      <c r="A81" s="79"/>
      <c r="B81" s="79"/>
      <c r="C81" s="79"/>
      <c r="D81" s="79"/>
      <c r="E81" s="79"/>
      <c r="F81" s="79"/>
      <c r="G81" s="79"/>
      <c r="H81" s="79"/>
      <c r="I81" s="79"/>
      <c r="J81" s="79"/>
      <c r="K81" s="79"/>
      <c r="L81" s="79"/>
      <c r="M81" s="79"/>
      <c r="N81" s="79"/>
      <c r="O81" s="91"/>
      <c r="P81" s="92"/>
      <c r="Q81" s="93"/>
      <c r="R81" s="93"/>
      <c r="S81" s="93"/>
      <c r="T81" s="93"/>
      <c r="U81" s="93"/>
      <c r="V81" s="93"/>
    </row>
    <row r="82" spans="1:22" ht="21" customHeight="1" x14ac:dyDescent="0.15">
      <c r="A82" s="79"/>
      <c r="B82" s="79"/>
      <c r="C82" s="79"/>
      <c r="D82" s="79"/>
      <c r="E82" s="79"/>
      <c r="F82" s="79"/>
      <c r="G82" s="79"/>
      <c r="H82" s="79"/>
      <c r="I82" s="79"/>
      <c r="J82" s="79"/>
      <c r="K82" s="79"/>
      <c r="L82" s="79"/>
      <c r="M82" s="79"/>
      <c r="N82" s="79"/>
      <c r="O82" s="91"/>
      <c r="P82" s="92"/>
      <c r="Q82" s="93"/>
      <c r="R82" s="93"/>
      <c r="S82" s="93"/>
      <c r="T82" s="93"/>
      <c r="U82" s="93"/>
      <c r="V82" s="93"/>
    </row>
    <row r="83" spans="1:22" ht="21" customHeight="1" x14ac:dyDescent="0.15">
      <c r="A83" s="79"/>
      <c r="B83" s="79"/>
      <c r="C83" s="79"/>
      <c r="D83" s="79"/>
      <c r="E83" s="79"/>
      <c r="F83" s="79"/>
      <c r="G83" s="79"/>
      <c r="H83" s="79"/>
      <c r="I83" s="79"/>
      <c r="J83" s="79"/>
      <c r="K83" s="79"/>
      <c r="L83" s="79"/>
      <c r="M83" s="79"/>
      <c r="N83" s="79"/>
      <c r="O83" s="91"/>
      <c r="P83" s="92"/>
      <c r="Q83" s="93"/>
      <c r="R83" s="93"/>
      <c r="S83" s="93"/>
      <c r="T83" s="93"/>
      <c r="U83" s="93"/>
      <c r="V83" s="93"/>
    </row>
    <row r="84" spans="1:22" ht="21" customHeight="1" x14ac:dyDescent="0.15">
      <c r="A84" s="79"/>
      <c r="B84" s="79"/>
      <c r="C84" s="79"/>
      <c r="D84" s="79"/>
      <c r="E84" s="79"/>
      <c r="F84" s="79"/>
      <c r="G84" s="79"/>
      <c r="H84" s="79"/>
      <c r="I84" s="79"/>
      <c r="J84" s="79"/>
      <c r="K84" s="79"/>
      <c r="L84" s="79"/>
      <c r="M84" s="79"/>
      <c r="N84" s="79"/>
      <c r="O84" s="91"/>
      <c r="P84" s="92"/>
      <c r="Q84" s="93"/>
      <c r="R84" s="93"/>
      <c r="S84" s="93"/>
      <c r="T84" s="93"/>
      <c r="U84" s="93"/>
      <c r="V84" s="93"/>
    </row>
    <row r="85" spans="1:22" ht="21" customHeight="1" x14ac:dyDescent="0.15">
      <c r="A85" s="79"/>
      <c r="B85" s="79"/>
      <c r="C85" s="79"/>
      <c r="D85" s="79"/>
      <c r="E85" s="79"/>
      <c r="F85" s="79"/>
      <c r="G85" s="79"/>
      <c r="H85" s="79"/>
      <c r="I85" s="79"/>
      <c r="J85" s="79"/>
      <c r="K85" s="79"/>
      <c r="L85" s="79"/>
      <c r="M85" s="79"/>
      <c r="N85" s="79"/>
      <c r="O85" s="91"/>
      <c r="P85" s="92"/>
      <c r="Q85" s="93"/>
      <c r="R85" s="93"/>
      <c r="S85" s="93"/>
      <c r="T85" s="93"/>
      <c r="U85" s="93"/>
      <c r="V85" s="93"/>
    </row>
    <row r="86" spans="1:22" ht="21" customHeight="1" x14ac:dyDescent="0.15">
      <c r="A86" s="79"/>
      <c r="B86" s="79"/>
      <c r="C86" s="79"/>
      <c r="D86" s="79"/>
      <c r="E86" s="79"/>
      <c r="F86" s="79"/>
      <c r="G86" s="79"/>
      <c r="H86" s="79"/>
      <c r="I86" s="79"/>
      <c r="J86" s="79"/>
      <c r="K86" s="79"/>
      <c r="L86" s="79"/>
      <c r="M86" s="79"/>
      <c r="N86" s="79"/>
      <c r="O86" s="91"/>
      <c r="P86" s="92"/>
      <c r="Q86" s="93"/>
      <c r="R86" s="93"/>
      <c r="S86" s="93"/>
      <c r="T86" s="93"/>
      <c r="U86" s="93"/>
      <c r="V86" s="93"/>
    </row>
    <row r="87" spans="1:22" ht="21" customHeight="1" x14ac:dyDescent="0.15">
      <c r="A87" s="79"/>
      <c r="B87" s="79"/>
      <c r="C87" s="79"/>
      <c r="D87" s="79"/>
      <c r="E87" s="79"/>
      <c r="F87" s="79"/>
      <c r="G87" s="79"/>
      <c r="H87" s="79"/>
      <c r="I87" s="79"/>
      <c r="J87" s="79"/>
      <c r="K87" s="79"/>
      <c r="L87" s="79"/>
      <c r="M87" s="79"/>
      <c r="N87" s="79"/>
      <c r="O87" s="91"/>
      <c r="P87" s="92"/>
      <c r="Q87" s="93"/>
      <c r="R87" s="93"/>
      <c r="S87" s="93"/>
      <c r="T87" s="93"/>
      <c r="U87" s="93"/>
      <c r="V87" s="93"/>
    </row>
    <row r="88" spans="1:22" ht="21" customHeight="1" x14ac:dyDescent="0.15">
      <c r="A88" s="79"/>
      <c r="B88" s="79"/>
      <c r="C88" s="79"/>
      <c r="D88" s="79"/>
      <c r="E88" s="79"/>
      <c r="F88" s="79"/>
      <c r="G88" s="79"/>
      <c r="H88" s="79"/>
      <c r="I88" s="79"/>
      <c r="J88" s="79"/>
      <c r="K88" s="79"/>
      <c r="L88" s="79"/>
      <c r="M88" s="79"/>
      <c r="N88" s="79"/>
      <c r="O88" s="91"/>
      <c r="P88" s="92"/>
      <c r="Q88" s="93"/>
      <c r="R88" s="93"/>
      <c r="S88" s="93"/>
      <c r="T88" s="93"/>
      <c r="U88" s="93"/>
      <c r="V88" s="93"/>
    </row>
    <row r="89" spans="1:22" ht="21" customHeight="1" x14ac:dyDescent="0.15">
      <c r="A89" s="79"/>
      <c r="B89" s="79"/>
      <c r="C89" s="79"/>
      <c r="D89" s="79"/>
      <c r="E89" s="79"/>
      <c r="F89" s="79"/>
      <c r="G89" s="79"/>
      <c r="H89" s="79"/>
      <c r="I89" s="79"/>
      <c r="J89" s="79"/>
      <c r="K89" s="79"/>
      <c r="L89" s="79"/>
      <c r="M89" s="79"/>
      <c r="N89" s="79"/>
      <c r="O89" s="91"/>
      <c r="P89" s="92"/>
      <c r="Q89" s="93"/>
      <c r="R89" s="93"/>
      <c r="S89" s="93"/>
      <c r="T89" s="93"/>
      <c r="U89" s="93"/>
      <c r="V89" s="93"/>
    </row>
    <row r="90" spans="1:22" ht="21" customHeight="1" x14ac:dyDescent="0.15">
      <c r="A90" s="79"/>
      <c r="B90" s="79"/>
      <c r="C90" s="79"/>
      <c r="D90" s="79"/>
      <c r="E90" s="79"/>
      <c r="F90" s="79"/>
      <c r="G90" s="79"/>
      <c r="H90" s="79"/>
      <c r="I90" s="79"/>
      <c r="J90" s="79"/>
      <c r="K90" s="79"/>
      <c r="L90" s="79"/>
      <c r="M90" s="79"/>
      <c r="N90" s="79"/>
      <c r="O90" s="91"/>
      <c r="P90" s="92"/>
      <c r="Q90" s="93"/>
      <c r="R90" s="93"/>
      <c r="S90" s="93"/>
      <c r="T90" s="93"/>
      <c r="U90" s="93"/>
      <c r="V90" s="93"/>
    </row>
    <row r="91" spans="1:22" ht="21" customHeight="1" x14ac:dyDescent="0.15">
      <c r="A91" s="79"/>
      <c r="B91" s="79"/>
      <c r="C91" s="79"/>
      <c r="D91" s="79"/>
      <c r="E91" s="79"/>
      <c r="F91" s="79"/>
      <c r="G91" s="79"/>
      <c r="H91" s="79"/>
      <c r="I91" s="79"/>
      <c r="J91" s="79"/>
      <c r="K91" s="79"/>
      <c r="L91" s="79"/>
      <c r="M91" s="79"/>
      <c r="N91" s="79"/>
      <c r="O91" s="91"/>
      <c r="P91" s="92"/>
      <c r="Q91" s="93"/>
      <c r="R91" s="93"/>
      <c r="S91" s="93"/>
      <c r="T91" s="93"/>
      <c r="U91" s="93"/>
      <c r="V91" s="93"/>
    </row>
    <row r="92" spans="1:22" ht="21" customHeight="1" x14ac:dyDescent="0.15">
      <c r="A92" s="79"/>
      <c r="B92" s="79"/>
      <c r="C92" s="79"/>
      <c r="D92" s="79"/>
      <c r="E92" s="79"/>
      <c r="F92" s="79"/>
      <c r="G92" s="79"/>
      <c r="H92" s="79"/>
      <c r="I92" s="79"/>
      <c r="J92" s="79"/>
      <c r="K92" s="79"/>
      <c r="L92" s="79"/>
      <c r="M92" s="79"/>
      <c r="N92" s="79"/>
      <c r="O92" s="91"/>
      <c r="P92" s="92"/>
      <c r="Q92" s="93"/>
      <c r="R92" s="93"/>
      <c r="S92" s="93"/>
      <c r="T92" s="93"/>
      <c r="U92" s="93"/>
      <c r="V92" s="93"/>
    </row>
    <row r="93" spans="1:22" ht="21" customHeight="1" x14ac:dyDescent="0.15">
      <c r="A93" s="79"/>
      <c r="B93" s="79"/>
      <c r="C93" s="79"/>
      <c r="D93" s="79"/>
      <c r="E93" s="79"/>
      <c r="F93" s="79"/>
      <c r="G93" s="79"/>
      <c r="H93" s="79"/>
      <c r="I93" s="79"/>
      <c r="J93" s="79"/>
      <c r="K93" s="79"/>
      <c r="L93" s="79"/>
      <c r="M93" s="79"/>
      <c r="N93" s="79"/>
      <c r="O93" s="91"/>
      <c r="P93" s="92"/>
      <c r="Q93" s="93"/>
      <c r="R93" s="93"/>
      <c r="S93" s="93"/>
      <c r="T93" s="93"/>
      <c r="U93" s="93"/>
      <c r="V93" s="93"/>
    </row>
    <row r="94" spans="1:22" ht="21" customHeight="1" x14ac:dyDescent="0.15">
      <c r="A94" s="79"/>
      <c r="B94" s="79"/>
      <c r="C94" s="79"/>
      <c r="D94" s="79"/>
      <c r="E94" s="79"/>
      <c r="F94" s="79"/>
      <c r="G94" s="79"/>
      <c r="H94" s="79"/>
      <c r="I94" s="79"/>
      <c r="J94" s="79"/>
      <c r="K94" s="79"/>
      <c r="L94" s="79"/>
      <c r="M94" s="79"/>
      <c r="N94" s="79"/>
      <c r="O94" s="91"/>
      <c r="P94" s="92"/>
      <c r="Q94" s="93"/>
      <c r="R94" s="93"/>
      <c r="S94" s="93"/>
      <c r="T94" s="93"/>
      <c r="U94" s="93"/>
      <c r="V94" s="93"/>
    </row>
    <row r="95" spans="1:22" ht="21" customHeight="1" x14ac:dyDescent="0.15">
      <c r="A95" s="79"/>
      <c r="B95" s="79"/>
      <c r="C95" s="79"/>
      <c r="D95" s="79"/>
      <c r="E95" s="79"/>
      <c r="F95" s="79"/>
      <c r="G95" s="79"/>
      <c r="H95" s="79"/>
      <c r="I95" s="79"/>
      <c r="J95" s="79"/>
      <c r="K95" s="79"/>
      <c r="L95" s="79"/>
      <c r="M95" s="79"/>
      <c r="N95" s="79"/>
      <c r="O95" s="91"/>
      <c r="P95" s="92"/>
      <c r="Q95" s="93"/>
      <c r="R95" s="93"/>
      <c r="S95" s="93"/>
      <c r="T95" s="93"/>
      <c r="U95" s="93"/>
      <c r="V95" s="93"/>
    </row>
    <row r="96" spans="1:22" ht="21" customHeight="1" x14ac:dyDescent="0.15">
      <c r="A96" s="79"/>
      <c r="B96" s="79"/>
      <c r="C96" s="79"/>
      <c r="D96" s="79"/>
      <c r="E96" s="79"/>
      <c r="F96" s="79"/>
      <c r="G96" s="79"/>
      <c r="H96" s="79"/>
      <c r="I96" s="79"/>
      <c r="J96" s="79"/>
      <c r="K96" s="79"/>
      <c r="L96" s="79"/>
      <c r="M96" s="79"/>
      <c r="N96" s="79"/>
      <c r="O96" s="91"/>
      <c r="P96" s="92"/>
      <c r="Q96" s="93"/>
      <c r="R96" s="93"/>
      <c r="S96" s="93"/>
      <c r="T96" s="93"/>
      <c r="U96" s="93"/>
      <c r="V96" s="93"/>
    </row>
    <row r="97" spans="1:22" ht="21" customHeight="1" x14ac:dyDescent="0.15">
      <c r="A97" s="79"/>
      <c r="B97" s="79"/>
      <c r="C97" s="79"/>
      <c r="D97" s="79"/>
      <c r="E97" s="79"/>
      <c r="F97" s="79"/>
      <c r="G97" s="79"/>
      <c r="H97" s="79"/>
      <c r="I97" s="79"/>
      <c r="J97" s="79"/>
      <c r="K97" s="79"/>
      <c r="L97" s="79"/>
      <c r="M97" s="79"/>
      <c r="N97" s="79"/>
      <c r="O97" s="91"/>
      <c r="P97" s="92"/>
      <c r="Q97" s="93"/>
      <c r="R97" s="93"/>
      <c r="S97" s="93"/>
      <c r="T97" s="93"/>
      <c r="U97" s="93"/>
      <c r="V97" s="93"/>
    </row>
    <row r="98" spans="1:22" ht="21" customHeight="1" x14ac:dyDescent="0.15">
      <c r="A98" s="79"/>
      <c r="B98" s="79"/>
      <c r="C98" s="79"/>
      <c r="D98" s="79"/>
      <c r="E98" s="79"/>
      <c r="F98" s="79"/>
      <c r="G98" s="79"/>
      <c r="H98" s="79"/>
      <c r="I98" s="79"/>
      <c r="J98" s="79"/>
      <c r="K98" s="79"/>
      <c r="L98" s="79"/>
      <c r="M98" s="79"/>
      <c r="N98" s="79"/>
      <c r="O98" s="91"/>
      <c r="P98" s="92"/>
      <c r="Q98" s="93"/>
      <c r="R98" s="93"/>
      <c r="S98" s="93"/>
      <c r="T98" s="93"/>
      <c r="U98" s="93"/>
      <c r="V98" s="93"/>
    </row>
    <row r="99" spans="1:22" ht="21" customHeight="1" x14ac:dyDescent="0.15">
      <c r="A99" s="79"/>
      <c r="B99" s="79"/>
      <c r="C99" s="79"/>
      <c r="D99" s="79"/>
      <c r="E99" s="79"/>
      <c r="F99" s="79"/>
      <c r="G99" s="79"/>
      <c r="H99" s="79"/>
      <c r="I99" s="79"/>
      <c r="J99" s="79"/>
      <c r="K99" s="79"/>
      <c r="L99" s="79"/>
      <c r="M99" s="79"/>
      <c r="N99" s="79"/>
      <c r="O99" s="91"/>
      <c r="P99" s="92"/>
      <c r="Q99" s="93"/>
      <c r="R99" s="93"/>
      <c r="S99" s="93"/>
      <c r="T99" s="93"/>
      <c r="U99" s="93"/>
      <c r="V99" s="93"/>
    </row>
    <row r="100" spans="1:22" ht="21" customHeight="1" x14ac:dyDescent="0.15">
      <c r="A100" s="79"/>
      <c r="B100" s="79"/>
      <c r="C100" s="79"/>
      <c r="D100" s="79"/>
      <c r="E100" s="79"/>
      <c r="F100" s="79"/>
      <c r="G100" s="79"/>
      <c r="H100" s="79"/>
      <c r="I100" s="79"/>
      <c r="J100" s="79"/>
      <c r="K100" s="79"/>
      <c r="L100" s="79"/>
      <c r="M100" s="79"/>
      <c r="N100" s="79"/>
      <c r="O100" s="91"/>
      <c r="P100" s="92"/>
      <c r="Q100" s="93"/>
      <c r="R100" s="93"/>
      <c r="S100" s="93"/>
      <c r="T100" s="93"/>
      <c r="U100" s="93"/>
      <c r="V100" s="93"/>
    </row>
    <row r="101" spans="1:22" ht="21" customHeight="1" x14ac:dyDescent="0.15">
      <c r="A101" s="79"/>
      <c r="B101" s="79"/>
      <c r="C101" s="79"/>
      <c r="D101" s="79"/>
      <c r="E101" s="79"/>
      <c r="F101" s="79"/>
      <c r="G101" s="79"/>
      <c r="H101" s="79"/>
      <c r="I101" s="79"/>
      <c r="J101" s="79"/>
      <c r="K101" s="79"/>
      <c r="L101" s="79"/>
      <c r="M101" s="79"/>
      <c r="N101" s="79"/>
      <c r="O101" s="91"/>
      <c r="P101" s="92"/>
      <c r="Q101" s="93"/>
      <c r="R101" s="93"/>
      <c r="S101" s="93"/>
      <c r="T101" s="93"/>
      <c r="U101" s="93"/>
      <c r="V101" s="93"/>
    </row>
    <row r="102" spans="1:22" ht="21" customHeight="1" x14ac:dyDescent="0.15">
      <c r="A102" s="79"/>
      <c r="B102" s="79"/>
      <c r="C102" s="79"/>
      <c r="D102" s="79"/>
      <c r="E102" s="79"/>
      <c r="F102" s="79"/>
      <c r="G102" s="79"/>
      <c r="H102" s="79"/>
      <c r="I102" s="79"/>
      <c r="J102" s="79"/>
      <c r="K102" s="79"/>
      <c r="L102" s="79"/>
      <c r="M102" s="79"/>
      <c r="N102" s="79"/>
      <c r="O102" s="91"/>
      <c r="P102" s="92"/>
      <c r="Q102" s="93"/>
      <c r="R102" s="93"/>
      <c r="S102" s="93"/>
      <c r="T102" s="93"/>
      <c r="U102" s="93"/>
      <c r="V102" s="93"/>
    </row>
    <row r="103" spans="1:22" ht="21" customHeight="1" x14ac:dyDescent="0.15">
      <c r="A103" s="79"/>
      <c r="B103" s="79"/>
      <c r="C103" s="79"/>
      <c r="D103" s="79"/>
      <c r="E103" s="79"/>
      <c r="F103" s="79"/>
      <c r="G103" s="79"/>
      <c r="H103" s="79"/>
      <c r="I103" s="79"/>
      <c r="J103" s="79"/>
      <c r="K103" s="79"/>
      <c r="L103" s="79"/>
      <c r="M103" s="79"/>
      <c r="N103" s="79"/>
      <c r="O103" s="91"/>
      <c r="P103" s="92"/>
      <c r="Q103" s="93"/>
      <c r="R103" s="93"/>
      <c r="S103" s="93"/>
      <c r="T103" s="93"/>
      <c r="U103" s="93"/>
      <c r="V103" s="93"/>
    </row>
    <row r="104" spans="1:22" ht="21" customHeight="1" x14ac:dyDescent="0.15">
      <c r="A104" s="79"/>
      <c r="B104" s="79"/>
      <c r="C104" s="79"/>
      <c r="D104" s="79"/>
      <c r="E104" s="79"/>
      <c r="F104" s="79"/>
      <c r="G104" s="79"/>
      <c r="H104" s="79"/>
      <c r="I104" s="79"/>
      <c r="J104" s="79"/>
      <c r="K104" s="79"/>
      <c r="L104" s="79"/>
      <c r="M104" s="79"/>
      <c r="N104" s="79"/>
      <c r="O104" s="91"/>
      <c r="P104" s="92"/>
      <c r="Q104" s="93"/>
      <c r="R104" s="93"/>
      <c r="S104" s="93"/>
      <c r="T104" s="93"/>
      <c r="U104" s="93"/>
      <c r="V104" s="93"/>
    </row>
    <row r="105" spans="1:22" ht="21" customHeight="1" x14ac:dyDescent="0.15">
      <c r="A105" s="79"/>
      <c r="B105" s="79"/>
      <c r="C105" s="79"/>
      <c r="D105" s="79"/>
      <c r="E105" s="79"/>
      <c r="F105" s="79"/>
      <c r="G105" s="79"/>
      <c r="H105" s="79"/>
      <c r="I105" s="79"/>
      <c r="J105" s="79"/>
      <c r="K105" s="79"/>
      <c r="L105" s="79"/>
      <c r="M105" s="79"/>
      <c r="N105" s="79"/>
      <c r="O105" s="91"/>
      <c r="P105" s="92"/>
      <c r="Q105" s="93"/>
      <c r="R105" s="93"/>
      <c r="S105" s="93"/>
      <c r="T105" s="93"/>
      <c r="U105" s="93"/>
      <c r="V105" s="93"/>
    </row>
    <row r="106" spans="1:22" ht="21" customHeight="1" x14ac:dyDescent="0.15">
      <c r="A106" s="79"/>
      <c r="B106" s="79"/>
      <c r="C106" s="79"/>
      <c r="D106" s="79"/>
      <c r="E106" s="79"/>
      <c r="F106" s="79"/>
      <c r="G106" s="79"/>
      <c r="H106" s="79"/>
      <c r="I106" s="79"/>
      <c r="J106" s="79"/>
      <c r="K106" s="79"/>
      <c r="L106" s="79"/>
      <c r="M106" s="79"/>
      <c r="N106" s="79"/>
      <c r="O106" s="91"/>
      <c r="P106" s="92"/>
      <c r="Q106" s="93"/>
      <c r="R106" s="93"/>
      <c r="S106" s="93"/>
      <c r="T106" s="93"/>
      <c r="U106" s="93"/>
      <c r="V106" s="93"/>
    </row>
    <row r="107" spans="1:22" ht="21" customHeight="1" x14ac:dyDescent="0.15">
      <c r="A107" s="79"/>
      <c r="B107" s="79"/>
      <c r="C107" s="79"/>
      <c r="D107" s="79"/>
      <c r="E107" s="79"/>
      <c r="F107" s="79"/>
      <c r="G107" s="79"/>
      <c r="H107" s="79"/>
      <c r="I107" s="79"/>
      <c r="J107" s="79"/>
      <c r="K107" s="79"/>
      <c r="L107" s="79"/>
      <c r="M107" s="79"/>
      <c r="N107" s="79"/>
      <c r="O107" s="91"/>
      <c r="P107" s="92"/>
      <c r="Q107" s="93"/>
      <c r="R107" s="93"/>
      <c r="S107" s="93"/>
      <c r="T107" s="93"/>
      <c r="U107" s="93"/>
      <c r="V107" s="93"/>
    </row>
    <row r="108" spans="1:22" ht="21" customHeight="1" x14ac:dyDescent="0.15">
      <c r="A108" s="79"/>
      <c r="B108" s="79"/>
      <c r="C108" s="79"/>
      <c r="D108" s="79"/>
      <c r="E108" s="79"/>
      <c r="F108" s="79"/>
      <c r="G108" s="79"/>
      <c r="H108" s="79"/>
      <c r="I108" s="79"/>
      <c r="J108" s="79"/>
      <c r="K108" s="79"/>
      <c r="L108" s="79"/>
      <c r="M108" s="79"/>
      <c r="N108" s="79"/>
      <c r="O108" s="91"/>
      <c r="P108" s="92"/>
      <c r="Q108" s="93"/>
      <c r="R108" s="93"/>
      <c r="S108" s="93"/>
      <c r="T108" s="93"/>
      <c r="U108" s="93"/>
      <c r="V108" s="93"/>
    </row>
    <row r="109" spans="1:22" ht="21" customHeight="1" x14ac:dyDescent="0.15">
      <c r="A109" s="79"/>
      <c r="B109" s="79"/>
      <c r="C109" s="79"/>
      <c r="D109" s="79"/>
      <c r="E109" s="79"/>
      <c r="F109" s="79"/>
      <c r="G109" s="79"/>
      <c r="H109" s="79"/>
      <c r="I109" s="79"/>
      <c r="J109" s="79"/>
      <c r="K109" s="79"/>
      <c r="L109" s="79"/>
      <c r="M109" s="79"/>
      <c r="N109" s="79"/>
      <c r="O109" s="91"/>
      <c r="P109" s="92"/>
      <c r="Q109" s="93"/>
      <c r="R109" s="93"/>
      <c r="S109" s="93"/>
      <c r="T109" s="93"/>
      <c r="U109" s="93"/>
      <c r="V109" s="93"/>
    </row>
    <row r="110" spans="1:22" ht="21" customHeight="1" x14ac:dyDescent="0.15">
      <c r="A110" s="79"/>
      <c r="B110" s="79"/>
      <c r="C110" s="79"/>
      <c r="D110" s="79"/>
      <c r="E110" s="79"/>
      <c r="F110" s="79"/>
      <c r="G110" s="79"/>
      <c r="H110" s="79"/>
      <c r="I110" s="79"/>
      <c r="J110" s="79"/>
      <c r="K110" s="79"/>
      <c r="L110" s="79"/>
      <c r="M110" s="79"/>
      <c r="N110" s="79"/>
      <c r="O110" s="91"/>
      <c r="P110" s="92"/>
      <c r="Q110" s="93"/>
      <c r="R110" s="93"/>
      <c r="S110" s="93"/>
      <c r="T110" s="93"/>
      <c r="U110" s="93"/>
      <c r="V110" s="93"/>
    </row>
    <row r="111" spans="1:22" ht="21" customHeight="1" x14ac:dyDescent="0.15">
      <c r="A111" s="79"/>
      <c r="B111" s="79"/>
      <c r="C111" s="79"/>
      <c r="D111" s="79"/>
      <c r="E111" s="79"/>
      <c r="F111" s="79"/>
      <c r="G111" s="79"/>
      <c r="H111" s="79"/>
      <c r="I111" s="79"/>
      <c r="J111" s="79"/>
      <c r="K111" s="79"/>
      <c r="L111" s="79"/>
      <c r="M111" s="79"/>
      <c r="N111" s="79"/>
      <c r="O111" s="91"/>
      <c r="P111" s="92"/>
      <c r="Q111" s="93"/>
      <c r="R111" s="93"/>
      <c r="S111" s="93"/>
      <c r="T111" s="93"/>
      <c r="U111" s="93"/>
      <c r="V111" s="93"/>
    </row>
    <row r="112" spans="1:22" ht="21" customHeight="1" x14ac:dyDescent="0.15">
      <c r="A112" s="79"/>
      <c r="B112" s="79"/>
      <c r="C112" s="79"/>
      <c r="D112" s="79"/>
      <c r="E112" s="79"/>
      <c r="F112" s="79"/>
      <c r="G112" s="79"/>
      <c r="H112" s="79"/>
      <c r="I112" s="79"/>
      <c r="J112" s="79"/>
      <c r="K112" s="79"/>
      <c r="L112" s="79"/>
      <c r="M112" s="79"/>
      <c r="N112" s="79"/>
      <c r="O112" s="91"/>
      <c r="P112" s="92"/>
      <c r="Q112" s="93"/>
      <c r="R112" s="93"/>
      <c r="S112" s="93"/>
      <c r="T112" s="93"/>
      <c r="U112" s="93"/>
      <c r="V112" s="93"/>
    </row>
    <row r="113" spans="1:22" ht="21" customHeight="1" x14ac:dyDescent="0.15">
      <c r="A113" s="79"/>
      <c r="B113" s="79"/>
      <c r="C113" s="79"/>
      <c r="D113" s="79"/>
      <c r="E113" s="79"/>
      <c r="F113" s="79"/>
      <c r="G113" s="79"/>
      <c r="H113" s="79"/>
      <c r="I113" s="79"/>
      <c r="J113" s="79"/>
      <c r="K113" s="79"/>
      <c r="L113" s="79"/>
      <c r="M113" s="79"/>
      <c r="N113" s="79"/>
      <c r="O113" s="91"/>
      <c r="P113" s="92"/>
      <c r="Q113" s="93"/>
      <c r="R113" s="93"/>
      <c r="S113" s="93"/>
      <c r="T113" s="93"/>
      <c r="U113" s="93"/>
      <c r="V113" s="93"/>
    </row>
    <row r="114" spans="1:22" ht="21" customHeight="1" x14ac:dyDescent="0.15">
      <c r="A114" s="79"/>
      <c r="B114" s="79"/>
      <c r="C114" s="79"/>
      <c r="D114" s="79"/>
      <c r="E114" s="79"/>
      <c r="F114" s="79"/>
      <c r="G114" s="79"/>
      <c r="H114" s="79"/>
      <c r="I114" s="79"/>
      <c r="J114" s="79"/>
      <c r="K114" s="79"/>
      <c r="L114" s="79"/>
      <c r="M114" s="79"/>
      <c r="N114" s="79"/>
      <c r="O114" s="91"/>
      <c r="P114" s="92"/>
      <c r="Q114" s="93"/>
      <c r="R114" s="93"/>
      <c r="S114" s="93"/>
      <c r="T114" s="93"/>
      <c r="U114" s="93"/>
      <c r="V114" s="93"/>
    </row>
    <row r="115" spans="1:22" ht="21" customHeight="1" x14ac:dyDescent="0.15">
      <c r="A115" s="79"/>
      <c r="B115" s="79"/>
      <c r="C115" s="79"/>
      <c r="D115" s="79"/>
      <c r="E115" s="79"/>
      <c r="F115" s="79"/>
      <c r="G115" s="79"/>
      <c r="H115" s="79"/>
      <c r="I115" s="79"/>
      <c r="J115" s="79"/>
      <c r="K115" s="79"/>
      <c r="L115" s="79"/>
      <c r="M115" s="79"/>
      <c r="N115" s="79"/>
      <c r="O115" s="91"/>
      <c r="P115" s="92"/>
      <c r="Q115" s="93"/>
      <c r="R115" s="93"/>
      <c r="S115" s="93"/>
      <c r="T115" s="93"/>
      <c r="U115" s="93"/>
      <c r="V115" s="93"/>
    </row>
    <row r="116" spans="1:22" ht="21" customHeight="1" x14ac:dyDescent="0.15">
      <c r="A116" s="79"/>
      <c r="B116" s="79"/>
      <c r="C116" s="79"/>
      <c r="D116" s="79"/>
      <c r="E116" s="79"/>
      <c r="F116" s="79"/>
      <c r="G116" s="79"/>
      <c r="H116" s="79"/>
      <c r="I116" s="79"/>
      <c r="J116" s="79"/>
      <c r="K116" s="79"/>
      <c r="L116" s="79"/>
      <c r="M116" s="79"/>
      <c r="N116" s="79"/>
      <c r="O116" s="91"/>
      <c r="P116" s="92"/>
      <c r="Q116" s="93"/>
      <c r="R116" s="93"/>
      <c r="S116" s="93"/>
      <c r="T116" s="93"/>
      <c r="U116" s="93"/>
      <c r="V116" s="93"/>
    </row>
    <row r="117" spans="1:22" ht="21" customHeight="1" x14ac:dyDescent="0.15">
      <c r="A117" s="79"/>
      <c r="B117" s="79"/>
      <c r="C117" s="79"/>
      <c r="D117" s="79"/>
      <c r="E117" s="79"/>
      <c r="F117" s="79"/>
      <c r="G117" s="79"/>
      <c r="H117" s="79"/>
      <c r="I117" s="79"/>
      <c r="J117" s="79"/>
      <c r="K117" s="79"/>
      <c r="L117" s="79"/>
      <c r="M117" s="79"/>
      <c r="N117" s="79"/>
      <c r="O117" s="91"/>
      <c r="P117" s="92"/>
      <c r="Q117" s="93"/>
      <c r="R117" s="93"/>
      <c r="S117" s="93"/>
      <c r="T117" s="93"/>
      <c r="U117" s="93"/>
      <c r="V117" s="93"/>
    </row>
    <row r="118" spans="1:22" ht="21" customHeight="1" x14ac:dyDescent="0.15">
      <c r="A118" s="79"/>
      <c r="B118" s="79"/>
      <c r="C118" s="79"/>
      <c r="D118" s="79"/>
      <c r="E118" s="79"/>
      <c r="F118" s="79"/>
      <c r="G118" s="79"/>
      <c r="H118" s="79"/>
      <c r="I118" s="79"/>
      <c r="J118" s="79"/>
      <c r="K118" s="79"/>
      <c r="L118" s="79"/>
      <c r="M118" s="79"/>
      <c r="N118" s="79"/>
      <c r="O118" s="91"/>
      <c r="P118" s="92"/>
      <c r="Q118" s="93"/>
      <c r="R118" s="93"/>
      <c r="S118" s="93"/>
      <c r="T118" s="93"/>
      <c r="U118" s="93"/>
      <c r="V118" s="93"/>
    </row>
    <row r="119" spans="1:22" ht="21" customHeight="1" x14ac:dyDescent="0.15">
      <c r="A119" s="79"/>
      <c r="B119" s="79"/>
      <c r="C119" s="79"/>
      <c r="D119" s="79"/>
      <c r="E119" s="79"/>
      <c r="F119" s="79"/>
      <c r="G119" s="79"/>
      <c r="H119" s="79"/>
      <c r="I119" s="79"/>
      <c r="J119" s="79"/>
      <c r="K119" s="79"/>
      <c r="L119" s="79"/>
      <c r="M119" s="79"/>
      <c r="N119" s="79"/>
      <c r="O119" s="91"/>
      <c r="P119" s="92"/>
      <c r="Q119" s="93"/>
      <c r="R119" s="93"/>
      <c r="S119" s="93"/>
      <c r="T119" s="93"/>
      <c r="U119" s="93"/>
      <c r="V119" s="93"/>
    </row>
    <row r="120" spans="1:22" ht="21" customHeight="1" x14ac:dyDescent="0.15">
      <c r="A120" s="79"/>
      <c r="B120" s="79"/>
      <c r="C120" s="79"/>
      <c r="D120" s="79"/>
      <c r="E120" s="79"/>
      <c r="F120" s="79"/>
      <c r="G120" s="79"/>
      <c r="H120" s="79"/>
      <c r="I120" s="79"/>
      <c r="J120" s="79"/>
      <c r="K120" s="79"/>
      <c r="L120" s="79"/>
      <c r="M120" s="79"/>
      <c r="N120" s="79"/>
      <c r="O120" s="91"/>
      <c r="P120" s="92"/>
      <c r="Q120" s="93"/>
      <c r="R120" s="93"/>
      <c r="S120" s="93"/>
      <c r="T120" s="93"/>
      <c r="U120" s="93"/>
      <c r="V120" s="93"/>
    </row>
    <row r="121" spans="1:22" ht="21" customHeight="1" x14ac:dyDescent="0.15">
      <c r="A121" s="79"/>
      <c r="B121" s="79"/>
      <c r="C121" s="79"/>
      <c r="D121" s="79"/>
      <c r="E121" s="79"/>
      <c r="F121" s="79"/>
      <c r="G121" s="79"/>
      <c r="H121" s="79"/>
      <c r="I121" s="79"/>
      <c r="J121" s="79"/>
      <c r="K121" s="79"/>
      <c r="L121" s="79"/>
      <c r="M121" s="79"/>
      <c r="N121" s="79"/>
      <c r="O121" s="91"/>
      <c r="P121" s="92"/>
      <c r="Q121" s="93"/>
      <c r="R121" s="93"/>
      <c r="S121" s="93"/>
      <c r="T121" s="93"/>
      <c r="U121" s="93"/>
      <c r="V121" s="93"/>
    </row>
    <row r="122" spans="1:22" ht="21" customHeight="1" x14ac:dyDescent="0.15">
      <c r="A122" s="79"/>
      <c r="B122" s="79"/>
      <c r="C122" s="79"/>
      <c r="D122" s="79"/>
      <c r="E122" s="79"/>
      <c r="F122" s="79"/>
      <c r="G122" s="79"/>
      <c r="H122" s="79"/>
      <c r="I122" s="79"/>
      <c r="J122" s="79"/>
      <c r="K122" s="79"/>
      <c r="L122" s="79"/>
      <c r="M122" s="79"/>
      <c r="N122" s="79"/>
      <c r="O122" s="91"/>
      <c r="P122" s="92"/>
      <c r="Q122" s="93"/>
      <c r="R122" s="93"/>
      <c r="S122" s="93"/>
      <c r="T122" s="93"/>
      <c r="U122" s="93"/>
      <c r="V122" s="93"/>
    </row>
    <row r="123" spans="1:22" ht="21" customHeight="1" x14ac:dyDescent="0.15">
      <c r="A123" s="79"/>
      <c r="B123" s="79"/>
      <c r="C123" s="79"/>
      <c r="D123" s="79"/>
      <c r="E123" s="79"/>
      <c r="F123" s="79"/>
      <c r="G123" s="79"/>
      <c r="H123" s="79"/>
      <c r="I123" s="79"/>
      <c r="J123" s="79"/>
      <c r="K123" s="79"/>
      <c r="L123" s="79"/>
      <c r="M123" s="79"/>
      <c r="N123" s="79"/>
      <c r="O123" s="91"/>
      <c r="P123" s="92"/>
      <c r="Q123" s="93"/>
      <c r="R123" s="93"/>
      <c r="S123" s="93"/>
      <c r="T123" s="93"/>
      <c r="U123" s="93"/>
      <c r="V123" s="93"/>
    </row>
    <row r="124" spans="1:22" ht="21" customHeight="1" x14ac:dyDescent="0.15">
      <c r="A124" s="79"/>
      <c r="B124" s="79"/>
      <c r="C124" s="79"/>
      <c r="D124" s="79"/>
      <c r="E124" s="79"/>
      <c r="F124" s="79"/>
      <c r="G124" s="79"/>
      <c r="H124" s="79"/>
      <c r="I124" s="79"/>
      <c r="J124" s="79"/>
      <c r="K124" s="79"/>
      <c r="L124" s="79"/>
      <c r="M124" s="79"/>
      <c r="N124" s="79"/>
      <c r="O124" s="91"/>
      <c r="P124" s="92"/>
      <c r="Q124" s="93"/>
      <c r="R124" s="93"/>
      <c r="S124" s="93"/>
      <c r="T124" s="93"/>
      <c r="U124" s="93"/>
      <c r="V124" s="93"/>
    </row>
    <row r="125" spans="1:22" ht="21" customHeight="1" x14ac:dyDescent="0.15">
      <c r="A125" s="79"/>
      <c r="B125" s="79"/>
      <c r="C125" s="79"/>
      <c r="D125" s="79"/>
      <c r="E125" s="79"/>
      <c r="F125" s="79"/>
      <c r="G125" s="79"/>
      <c r="H125" s="79"/>
      <c r="I125" s="79"/>
      <c r="J125" s="79"/>
      <c r="K125" s="79"/>
      <c r="L125" s="79"/>
      <c r="M125" s="79"/>
      <c r="N125" s="79"/>
      <c r="O125" s="91"/>
      <c r="P125" s="92"/>
      <c r="Q125" s="93"/>
      <c r="R125" s="93"/>
      <c r="S125" s="93"/>
      <c r="T125" s="93"/>
      <c r="U125" s="93"/>
      <c r="V125" s="93"/>
    </row>
    <row r="126" spans="1:22" ht="21" customHeight="1" x14ac:dyDescent="0.15">
      <c r="A126" s="79"/>
      <c r="B126" s="79"/>
      <c r="C126" s="79"/>
      <c r="D126" s="79"/>
      <c r="E126" s="79"/>
      <c r="F126" s="79"/>
      <c r="G126" s="79"/>
      <c r="H126" s="79"/>
      <c r="I126" s="79"/>
      <c r="J126" s="79"/>
      <c r="K126" s="79"/>
      <c r="L126" s="79"/>
      <c r="M126" s="79"/>
      <c r="N126" s="79"/>
      <c r="O126" s="91"/>
      <c r="P126" s="92"/>
      <c r="Q126" s="93"/>
      <c r="R126" s="93"/>
      <c r="S126" s="93"/>
      <c r="T126" s="93"/>
      <c r="U126" s="93"/>
      <c r="V126" s="93"/>
    </row>
    <row r="127" spans="1:22" ht="21" customHeight="1" x14ac:dyDescent="0.15">
      <c r="A127" s="79"/>
      <c r="B127" s="79"/>
      <c r="C127" s="79"/>
      <c r="D127" s="79"/>
      <c r="E127" s="79"/>
      <c r="F127" s="79"/>
      <c r="G127" s="79"/>
      <c r="H127" s="79"/>
      <c r="I127" s="79"/>
      <c r="J127" s="79"/>
      <c r="K127" s="79"/>
      <c r="L127" s="79"/>
      <c r="M127" s="79"/>
      <c r="N127" s="79"/>
      <c r="O127" s="91"/>
      <c r="P127" s="92"/>
      <c r="Q127" s="93"/>
      <c r="R127" s="93"/>
      <c r="S127" s="93"/>
      <c r="T127" s="93"/>
      <c r="U127" s="93"/>
      <c r="V127" s="93"/>
    </row>
    <row r="128" spans="1:22" ht="21" customHeight="1" x14ac:dyDescent="0.15">
      <c r="A128" s="79"/>
      <c r="B128" s="79"/>
      <c r="C128" s="79"/>
      <c r="D128" s="79"/>
      <c r="E128" s="79"/>
      <c r="F128" s="79"/>
      <c r="G128" s="79"/>
      <c r="H128" s="79"/>
      <c r="I128" s="79"/>
      <c r="J128" s="79"/>
      <c r="K128" s="79"/>
      <c r="L128" s="79"/>
      <c r="M128" s="79"/>
      <c r="N128" s="79"/>
      <c r="O128" s="91"/>
      <c r="P128" s="92"/>
      <c r="Q128" s="93"/>
      <c r="R128" s="93"/>
      <c r="S128" s="93"/>
      <c r="T128" s="93"/>
      <c r="U128" s="93"/>
      <c r="V128" s="93"/>
    </row>
    <row r="129" spans="1:22" ht="21" customHeight="1" x14ac:dyDescent="0.15">
      <c r="A129" s="79"/>
      <c r="B129" s="79"/>
      <c r="C129" s="79"/>
      <c r="D129" s="79"/>
      <c r="E129" s="79"/>
      <c r="F129" s="79"/>
      <c r="G129" s="79"/>
      <c r="H129" s="79"/>
      <c r="I129" s="79"/>
      <c r="J129" s="79"/>
      <c r="K129" s="79"/>
      <c r="L129" s="79"/>
      <c r="M129" s="79"/>
      <c r="N129" s="79"/>
      <c r="O129" s="91"/>
      <c r="P129" s="92"/>
      <c r="Q129" s="93"/>
      <c r="R129" s="93"/>
      <c r="S129" s="93"/>
      <c r="T129" s="93"/>
      <c r="U129" s="93"/>
      <c r="V129" s="93"/>
    </row>
    <row r="130" spans="1:22" ht="21" customHeight="1" x14ac:dyDescent="0.15">
      <c r="A130" s="79"/>
      <c r="B130" s="79"/>
      <c r="C130" s="79"/>
      <c r="D130" s="79"/>
      <c r="E130" s="79"/>
      <c r="F130" s="79"/>
      <c r="G130" s="79"/>
      <c r="H130" s="79"/>
      <c r="I130" s="79"/>
      <c r="J130" s="79"/>
      <c r="K130" s="79"/>
      <c r="L130" s="79"/>
      <c r="M130" s="79"/>
      <c r="N130" s="79"/>
      <c r="O130" s="91"/>
      <c r="P130" s="92"/>
      <c r="Q130" s="93"/>
      <c r="R130" s="93"/>
      <c r="S130" s="93"/>
      <c r="T130" s="93"/>
      <c r="U130" s="93"/>
      <c r="V130" s="93"/>
    </row>
    <row r="131" spans="1:22" ht="21" customHeight="1" x14ac:dyDescent="0.15">
      <c r="A131" s="79"/>
      <c r="B131" s="79"/>
      <c r="C131" s="79"/>
      <c r="D131" s="79"/>
      <c r="E131" s="79"/>
      <c r="F131" s="79"/>
      <c r="G131" s="79"/>
      <c r="H131" s="79"/>
      <c r="I131" s="79"/>
      <c r="J131" s="79"/>
      <c r="K131" s="79"/>
      <c r="L131" s="79"/>
      <c r="M131" s="79"/>
      <c r="N131" s="79"/>
      <c r="O131" s="91"/>
      <c r="P131" s="92"/>
      <c r="Q131" s="93"/>
      <c r="R131" s="93"/>
      <c r="S131" s="93"/>
      <c r="T131" s="93"/>
      <c r="U131" s="93"/>
      <c r="V131" s="93"/>
    </row>
    <row r="132" spans="1:22" ht="21" customHeight="1" x14ac:dyDescent="0.15">
      <c r="A132" s="79"/>
      <c r="B132" s="79"/>
      <c r="C132" s="79"/>
      <c r="D132" s="79"/>
      <c r="E132" s="79"/>
      <c r="F132" s="79"/>
      <c r="G132" s="79"/>
      <c r="H132" s="79"/>
      <c r="I132" s="79"/>
      <c r="J132" s="79"/>
      <c r="K132" s="79"/>
      <c r="L132" s="79"/>
      <c r="M132" s="79"/>
      <c r="N132" s="79"/>
      <c r="O132" s="91"/>
      <c r="P132" s="92"/>
      <c r="Q132" s="93"/>
      <c r="R132" s="93"/>
      <c r="S132" s="93"/>
      <c r="T132" s="93"/>
      <c r="U132" s="93"/>
      <c r="V132" s="93"/>
    </row>
    <row r="133" spans="1:22" ht="21" customHeight="1" x14ac:dyDescent="0.15">
      <c r="A133" s="79"/>
      <c r="B133" s="79"/>
      <c r="C133" s="79"/>
      <c r="D133" s="79"/>
      <c r="E133" s="79"/>
      <c r="F133" s="79"/>
      <c r="G133" s="79"/>
      <c r="H133" s="79"/>
      <c r="I133" s="79"/>
      <c r="J133" s="79"/>
      <c r="K133" s="79"/>
      <c r="L133" s="79"/>
      <c r="M133" s="79"/>
      <c r="N133" s="79"/>
      <c r="O133" s="91"/>
      <c r="P133" s="92"/>
      <c r="Q133" s="93"/>
      <c r="R133" s="93"/>
      <c r="S133" s="93"/>
      <c r="T133" s="93"/>
      <c r="U133" s="93"/>
      <c r="V133" s="93"/>
    </row>
    <row r="134" spans="1:22" ht="21" customHeight="1" x14ac:dyDescent="0.15">
      <c r="A134" s="79"/>
      <c r="B134" s="79"/>
      <c r="C134" s="79"/>
      <c r="D134" s="79"/>
      <c r="E134" s="79"/>
      <c r="F134" s="79"/>
      <c r="G134" s="79"/>
      <c r="H134" s="79"/>
      <c r="I134" s="79"/>
      <c r="J134" s="79"/>
      <c r="K134" s="79"/>
      <c r="L134" s="79"/>
      <c r="M134" s="79"/>
      <c r="N134" s="79"/>
      <c r="O134" s="91"/>
      <c r="P134" s="92"/>
      <c r="Q134" s="93"/>
      <c r="R134" s="93"/>
      <c r="S134" s="93"/>
      <c r="T134" s="93"/>
      <c r="U134" s="93"/>
      <c r="V134" s="93"/>
    </row>
    <row r="135" spans="1:22" ht="21" customHeight="1" x14ac:dyDescent="0.15">
      <c r="A135" s="79"/>
      <c r="B135" s="79"/>
      <c r="C135" s="79"/>
      <c r="D135" s="79"/>
      <c r="E135" s="79"/>
      <c r="F135" s="79"/>
      <c r="G135" s="79"/>
      <c r="H135" s="79"/>
      <c r="I135" s="79"/>
      <c r="J135" s="79"/>
      <c r="K135" s="79"/>
      <c r="L135" s="79"/>
      <c r="M135" s="79"/>
      <c r="N135" s="79"/>
      <c r="O135" s="91"/>
      <c r="P135" s="92"/>
      <c r="Q135" s="93"/>
      <c r="R135" s="93"/>
      <c r="S135" s="93"/>
      <c r="T135" s="93"/>
      <c r="U135" s="93"/>
      <c r="V135" s="93"/>
    </row>
  </sheetData>
  <autoFilter ref="A1:V1"/>
  <phoneticPr fontId="16"/>
  <pageMargins left="0.75" right="0.75" top="1" bottom="1" header="0.3" footer="0.3"/>
  <pageSetup paperSize="9" orientation="portrait" horizontalDpi="4294967292" verticalDpi="4294967292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4" enableFormatConditionsCalculation="0">
    <tabColor rgb="FF0000FF"/>
    <outlinePr summaryBelow="0" summaryRight="0"/>
  </sheetPr>
  <dimension ref="A1:V134"/>
  <sheetViews>
    <sheetView showGridLines="0" zoomScale="75" zoomScaleNormal="75" zoomScalePageLayoutView="75" workbookViewId="0">
      <pane ySplit="1" topLeftCell="A2" activePane="bottomLeft" state="frozen"/>
      <selection activeCell="D34" sqref="D34"/>
      <selection pane="bottomLeft" activeCell="D16" sqref="D16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68</v>
      </c>
      <c r="B1" s="15" t="s">
        <v>1</v>
      </c>
      <c r="C1" s="3" t="s">
        <v>19</v>
      </c>
      <c r="D1" s="3" t="s">
        <v>77</v>
      </c>
      <c r="E1" s="3" t="s">
        <v>170</v>
      </c>
      <c r="F1" s="3" t="s">
        <v>171</v>
      </c>
      <c r="G1" s="3" t="s">
        <v>84</v>
      </c>
      <c r="H1" s="3" t="s">
        <v>21</v>
      </c>
      <c r="I1" s="3" t="s">
        <v>22</v>
      </c>
      <c r="J1" s="3" t="s">
        <v>23</v>
      </c>
      <c r="K1" s="3" t="s">
        <v>36</v>
      </c>
      <c r="L1" s="3" t="s">
        <v>24</v>
      </c>
      <c r="M1" s="3" t="s">
        <v>25</v>
      </c>
      <c r="N1" s="3" t="s">
        <v>42</v>
      </c>
      <c r="O1" s="15" t="s">
        <v>2</v>
      </c>
      <c r="P1" s="3" t="s">
        <v>47</v>
      </c>
      <c r="Q1" s="15" t="s">
        <v>26</v>
      </c>
      <c r="R1" s="23" t="s">
        <v>5</v>
      </c>
      <c r="S1" s="23" t="s">
        <v>6</v>
      </c>
      <c r="T1" s="23" t="s">
        <v>7</v>
      </c>
      <c r="U1" s="23" t="s">
        <v>8</v>
      </c>
      <c r="V1" s="23" t="s">
        <v>9</v>
      </c>
    </row>
    <row r="2" spans="1:22" ht="21" customHeight="1" x14ac:dyDescent="0.15">
      <c r="A2" s="2">
        <v>498105</v>
      </c>
      <c r="B2" s="1">
        <v>953</v>
      </c>
      <c r="C2" s="7" t="str">
        <f t="shared" ref="C2:C6" si="0">D2&amp;J2&amp;E2&amp;F2&amp;G2</f>
        <v>PremiumSSS5R3less</v>
      </c>
      <c r="D2" s="7" t="str">
        <f>IF(OR(I2="PremiumSS",I2="PremiumSSw"),"PremiumSS",IF(I2="PremiumSSS",I2,IF(I2="PremiumW",I2,"Premium")))</f>
        <v>PremiumSSS</v>
      </c>
      <c r="E2" s="7" t="str">
        <f>IF(COUNTIF('R6追加前'!A:A,B2)=0,IF(OR(I2="PremiumSS",I2="PremiumSSw"),"R5only","R3less"),"")</f>
        <v>R3less</v>
      </c>
      <c r="F2" s="7" t="str">
        <f>IF(COUNTIF('R6開放'!A:A,B2)&gt;0,"R6release","")</f>
        <v/>
      </c>
      <c r="G2" s="7"/>
      <c r="H2" s="7" t="str">
        <f>VLOOKUP(B2,[1]characters!$A:$C,3,FALSE)</f>
        <v>ハイゼンベルク</v>
      </c>
      <c r="I2" s="7" t="str">
        <f>VLOOKUP(B2,[1]characters!$A:$J,10,FALSE)</f>
        <v>PremiumSSS</v>
      </c>
      <c r="J2" s="7">
        <f>VLOOKUP(B2,[1]characters!$A:$I,9,FALSE)</f>
        <v>5</v>
      </c>
      <c r="K2" s="7" t="str">
        <f>VLOOKUP(B2,[1]characters!$A:$H,8,FALSE)</f>
        <v>green</v>
      </c>
      <c r="L2" s="7" t="str">
        <f>VLOOKUP(B2,[1]characters!$A:$K,11,FALSE)</f>
        <v>attack</v>
      </c>
      <c r="M2" s="7" t="str">
        <f>VLOOKUP(B2,[1]characters!$A:$M,13,FALSE)</f>
        <v>academia</v>
      </c>
      <c r="N2" s="7" t="str">
        <f>VLOOKUP(B2,[1]characters!$A:$G,7,FALSE)</f>
        <v>男性</v>
      </c>
      <c r="O2" s="38">
        <v>10</v>
      </c>
      <c r="P2" s="39">
        <f>O2/SUM(O:O)</f>
        <v>0.2</v>
      </c>
      <c r="Q2" s="24">
        <v>1</v>
      </c>
      <c r="R2" s="24">
        <v>0</v>
      </c>
      <c r="S2" s="24">
        <v>0</v>
      </c>
      <c r="T2" s="24">
        <v>0</v>
      </c>
      <c r="U2" s="24">
        <v>0</v>
      </c>
      <c r="V2" s="24">
        <v>1</v>
      </c>
    </row>
    <row r="3" spans="1:22" ht="21" customHeight="1" x14ac:dyDescent="0.15">
      <c r="A3" s="2">
        <v>498105</v>
      </c>
      <c r="B3" s="1">
        <v>620</v>
      </c>
      <c r="C3" s="7" t="str">
        <f t="shared" si="0"/>
        <v>PremiumSSS5R3less</v>
      </c>
      <c r="D3" s="7" t="str">
        <f t="shared" ref="D3:D6" si="1">IF(OR(I3="PremiumSS",I3="PremiumSSw"),"PremiumSS",IF(I3="PremiumSSS",I3,IF(I3="PremiumW",I3,"Premium")))</f>
        <v>PremiumSSS</v>
      </c>
      <c r="E3" s="7" t="str">
        <f>IF(COUNTIF('R6追加前'!A:A,B3)=0,IF(OR(I3="PremiumSS",I3="PremiumSSw"),"R5only","R3less"),"")</f>
        <v>R3less</v>
      </c>
      <c r="F3" s="7" t="str">
        <f>IF(COUNTIF('R6開放'!A:A,B3)&gt;0,"R6release","")</f>
        <v/>
      </c>
      <c r="G3" s="7"/>
      <c r="H3" s="7" t="str">
        <f>VLOOKUP(B3,[1]characters!$A:$C,3,FALSE)</f>
        <v>奇跡の調和 メビウス</v>
      </c>
      <c r="I3" s="7" t="str">
        <f>VLOOKUP(B3,[1]characters!$A:$J,10,FALSE)</f>
        <v>PremiumSSS</v>
      </c>
      <c r="J3" s="7">
        <f>VLOOKUP(B3,[1]characters!$A:$I,9,FALSE)</f>
        <v>5</v>
      </c>
      <c r="K3" s="7" t="str">
        <f>VLOOKUP(B3,[1]characters!$A:$H,8,FALSE)</f>
        <v>blue</v>
      </c>
      <c r="L3" s="7" t="str">
        <f>VLOOKUP(B3,[1]characters!$A:$K,11,FALSE)</f>
        <v>balance</v>
      </c>
      <c r="M3" s="7" t="str">
        <f>VLOOKUP(B3,[1]characters!$A:$M,13,FALSE)</f>
        <v>human</v>
      </c>
      <c r="N3" s="7" t="str">
        <f>VLOOKUP(B3,[1]characters!$A:$G,7,FALSE)</f>
        <v>女性</v>
      </c>
      <c r="O3" s="38">
        <v>10</v>
      </c>
      <c r="P3" s="39">
        <f>O3/SUM(O:O)</f>
        <v>0.2</v>
      </c>
      <c r="Q3" s="24">
        <v>1</v>
      </c>
      <c r="R3" s="24">
        <v>0</v>
      </c>
      <c r="S3" s="24">
        <v>0</v>
      </c>
      <c r="T3" s="24">
        <v>0</v>
      </c>
      <c r="U3" s="24">
        <v>0</v>
      </c>
      <c r="V3" s="24">
        <v>1</v>
      </c>
    </row>
    <row r="4" spans="1:22" ht="21" customHeight="1" x14ac:dyDescent="0.15">
      <c r="A4" s="2">
        <v>498105</v>
      </c>
      <c r="B4" s="1">
        <v>880</v>
      </c>
      <c r="C4" s="7" t="str">
        <f t="shared" si="0"/>
        <v>PremiumSSS5R3less</v>
      </c>
      <c r="D4" s="7" t="str">
        <f t="shared" si="1"/>
        <v>PremiumSSS</v>
      </c>
      <c r="E4" s="7" t="str">
        <f>IF(COUNTIF('R6追加前'!A:A,B4)=0,IF(OR(I4="PremiumSS",I4="PremiumSSw"),"R5only","R3less"),"")</f>
        <v>R3less</v>
      </c>
      <c r="F4" s="7" t="str">
        <f>IF(COUNTIF('R6開放'!A:A,B4)&gt;0,"R6release","")</f>
        <v/>
      </c>
      <c r="G4" s="7"/>
      <c r="H4" s="7" t="str">
        <f>VLOOKUP(B4,[1]characters!$A:$C,3,FALSE)</f>
        <v>ハーシェル</v>
      </c>
      <c r="I4" s="7" t="str">
        <f>VLOOKUP(B4,[1]characters!$A:$J,10,FALSE)</f>
        <v>PremiumSSS</v>
      </c>
      <c r="J4" s="7">
        <f>VLOOKUP(B4,[1]characters!$A:$I,9,FALSE)</f>
        <v>5</v>
      </c>
      <c r="K4" s="7" t="str">
        <f>VLOOKUP(B4,[1]characters!$A:$H,8,FALSE)</f>
        <v>yellow</v>
      </c>
      <c r="L4" s="7" t="str">
        <f>VLOOKUP(B4,[1]characters!$A:$K,11,FALSE)</f>
        <v>heal</v>
      </c>
      <c r="M4" s="7" t="str">
        <f>VLOOKUP(B4,[1]characters!$A:$M,13,FALSE)</f>
        <v>academia</v>
      </c>
      <c r="N4" s="7" t="str">
        <f>VLOOKUP(B4,[1]characters!$A:$G,7,FALSE)</f>
        <v>男性</v>
      </c>
      <c r="O4" s="38">
        <v>10</v>
      </c>
      <c r="P4" s="39">
        <f>O4/SUM(O:O)</f>
        <v>0.2</v>
      </c>
      <c r="Q4" s="24">
        <v>1</v>
      </c>
      <c r="R4" s="24">
        <v>0</v>
      </c>
      <c r="S4" s="24">
        <v>0</v>
      </c>
      <c r="T4" s="24">
        <v>0</v>
      </c>
      <c r="U4" s="24">
        <v>0</v>
      </c>
      <c r="V4" s="24">
        <v>1</v>
      </c>
    </row>
    <row r="5" spans="1:22" ht="21" customHeight="1" x14ac:dyDescent="0.15">
      <c r="A5" s="2">
        <v>498105</v>
      </c>
      <c r="B5" s="1">
        <v>623</v>
      </c>
      <c r="C5" s="7" t="str">
        <f t="shared" si="0"/>
        <v>PremiumSSS5R3less</v>
      </c>
      <c r="D5" s="7" t="str">
        <f t="shared" si="1"/>
        <v>PremiumSSS</v>
      </c>
      <c r="E5" s="7" t="str">
        <f>IF(COUNTIF('R6追加前'!A:A,B5)=0,IF(OR(I5="PremiumSS",I5="PremiumSSw"),"R5only","R3less"),"")</f>
        <v>R3less</v>
      </c>
      <c r="F5" s="7" t="str">
        <f>IF(COUNTIF('R6開放'!A:A,B5)&gt;0,"R6release","")</f>
        <v/>
      </c>
      <c r="G5" s="7"/>
      <c r="H5" s="7" t="str">
        <f>VLOOKUP(B5,[1]characters!$A:$C,3,FALSE)</f>
        <v>フェルマー</v>
      </c>
      <c r="I5" s="7" t="str">
        <f>VLOOKUP(B5,[1]characters!$A:$J,10,FALSE)</f>
        <v>PremiumSSS</v>
      </c>
      <c r="J5" s="7">
        <f>VLOOKUP(B5,[1]characters!$A:$I,9,FALSE)</f>
        <v>5</v>
      </c>
      <c r="K5" s="7" t="str">
        <f>VLOOKUP(B5,[1]characters!$A:$H,8,FALSE)</f>
        <v>yellow</v>
      </c>
      <c r="L5" s="7" t="str">
        <f>VLOOKUP(B5,[1]characters!$A:$K,11,FALSE)</f>
        <v>attack</v>
      </c>
      <c r="M5" s="7" t="str">
        <f>VLOOKUP(B5,[1]characters!$A:$M,13,FALSE)</f>
        <v>academia</v>
      </c>
      <c r="N5" s="7" t="str">
        <f>VLOOKUP(B5,[1]characters!$A:$G,7,FALSE)</f>
        <v>女性</v>
      </c>
      <c r="O5" s="38">
        <v>10</v>
      </c>
      <c r="P5" s="39">
        <f>O5/SUM(O:O)</f>
        <v>0.2</v>
      </c>
      <c r="Q5" s="24">
        <v>1</v>
      </c>
      <c r="R5" s="24">
        <v>0</v>
      </c>
      <c r="S5" s="24">
        <v>0</v>
      </c>
      <c r="T5" s="24">
        <v>0</v>
      </c>
      <c r="U5" s="24">
        <v>0</v>
      </c>
      <c r="V5" s="24">
        <v>1</v>
      </c>
    </row>
    <row r="6" spans="1:22" ht="21" customHeight="1" x14ac:dyDescent="0.15">
      <c r="A6" s="2">
        <v>498105</v>
      </c>
      <c r="B6" s="53">
        <v>972</v>
      </c>
      <c r="C6" s="7" t="str">
        <f t="shared" si="0"/>
        <v>PremiumSSS5R3less</v>
      </c>
      <c r="D6" s="7" t="str">
        <f t="shared" si="1"/>
        <v>PremiumSSS</v>
      </c>
      <c r="E6" s="7" t="str">
        <f>IF(COUNTIF('R6追加前'!A:A,B6)=0,IF(OR(I6="PremiumSS",I6="PremiumSSw"),"R5only","R3less"),"")</f>
        <v>R3less</v>
      </c>
      <c r="F6" s="7" t="str">
        <f>IF(COUNTIF('R6開放'!A:A,B6)&gt;0,"R6release","")</f>
        <v/>
      </c>
      <c r="G6" s="7"/>
      <c r="H6" s="7" t="str">
        <f>VLOOKUP(B6,[1]characters!$A:$C,3,FALSE)</f>
        <v>コーシー</v>
      </c>
      <c r="I6" s="7" t="str">
        <f>VLOOKUP(B6,[1]characters!$A:$J,10,FALSE)</f>
        <v>PremiumSSS</v>
      </c>
      <c r="J6" s="7">
        <f>VLOOKUP(B6,[1]characters!$A:$I,9,FALSE)</f>
        <v>5</v>
      </c>
      <c r="K6" s="7" t="str">
        <f>VLOOKUP(B6,[1]characters!$A:$H,8,FALSE)</f>
        <v>red</v>
      </c>
      <c r="L6" s="7" t="str">
        <f>VLOOKUP(B6,[1]characters!$A:$K,11,FALSE)</f>
        <v>attack</v>
      </c>
      <c r="M6" s="7" t="str">
        <f>VLOOKUP(B6,[1]characters!$A:$M,13,FALSE)</f>
        <v>academia</v>
      </c>
      <c r="N6" s="7" t="str">
        <f>VLOOKUP(B6,[1]characters!$A:$G,7,FALSE)</f>
        <v>男性</v>
      </c>
      <c r="O6" s="38">
        <v>10</v>
      </c>
      <c r="P6" s="39">
        <f>O6/SUM(O:O)</f>
        <v>0.2</v>
      </c>
      <c r="Q6" s="24">
        <v>1</v>
      </c>
      <c r="R6" s="24">
        <v>0</v>
      </c>
      <c r="S6" s="24">
        <v>0</v>
      </c>
      <c r="T6" s="24">
        <v>0</v>
      </c>
      <c r="U6" s="24">
        <v>0</v>
      </c>
      <c r="V6" s="24">
        <v>1</v>
      </c>
    </row>
    <row r="7" spans="1:22" ht="21" customHeight="1" x14ac:dyDescent="0.15">
      <c r="A7" s="79"/>
      <c r="B7" s="53"/>
      <c r="C7" s="79"/>
      <c r="D7" s="79"/>
      <c r="E7" s="79"/>
      <c r="F7" s="79"/>
      <c r="G7" s="79"/>
      <c r="H7" s="79"/>
      <c r="I7" s="79"/>
      <c r="J7" s="79"/>
      <c r="K7" s="79"/>
      <c r="L7" s="79"/>
      <c r="M7" s="79"/>
      <c r="N7" s="79"/>
      <c r="O7" s="91"/>
      <c r="P7" s="92"/>
      <c r="Q7" s="93"/>
      <c r="R7" s="93"/>
      <c r="S7" s="93"/>
      <c r="T7" s="93"/>
      <c r="U7" s="93"/>
      <c r="V7" s="93"/>
    </row>
    <row r="8" spans="1:22" ht="21" customHeight="1" x14ac:dyDescent="0.15">
      <c r="A8" s="79"/>
      <c r="B8" s="79"/>
      <c r="C8" s="79"/>
      <c r="D8" s="79"/>
      <c r="E8" s="79"/>
      <c r="F8" s="79"/>
      <c r="G8" s="79"/>
      <c r="H8" s="79"/>
      <c r="I8" s="79"/>
      <c r="J8" s="79"/>
      <c r="K8" s="79"/>
      <c r="L8" s="79"/>
      <c r="M8" s="79"/>
      <c r="N8" s="79"/>
      <c r="O8" s="91"/>
      <c r="P8" s="92"/>
      <c r="Q8" s="93"/>
      <c r="R8" s="93"/>
      <c r="S8" s="93"/>
      <c r="T8" s="93"/>
      <c r="U8" s="93"/>
      <c r="V8" s="93"/>
    </row>
    <row r="9" spans="1:22" ht="21" customHeight="1" x14ac:dyDescent="0.15">
      <c r="A9" s="79"/>
      <c r="B9" s="79"/>
      <c r="C9" s="79"/>
      <c r="D9" s="79"/>
      <c r="E9" s="79"/>
      <c r="F9" s="79"/>
      <c r="G9" s="79"/>
      <c r="H9" s="79"/>
      <c r="I9" s="79"/>
      <c r="J9" s="79"/>
      <c r="K9" s="79"/>
      <c r="L9" s="79"/>
      <c r="M9" s="79"/>
      <c r="N9" s="79"/>
      <c r="O9" s="91"/>
      <c r="P9" s="92"/>
      <c r="Q9" s="93"/>
      <c r="R9" s="93"/>
      <c r="S9" s="93"/>
      <c r="T9" s="93"/>
      <c r="U9" s="93"/>
      <c r="V9" s="93"/>
    </row>
    <row r="10" spans="1:22" ht="21" customHeight="1" x14ac:dyDescent="0.15">
      <c r="A10" s="79"/>
      <c r="B10" s="79"/>
      <c r="C10" s="79"/>
      <c r="D10" s="79"/>
      <c r="E10" s="79"/>
      <c r="F10" s="79"/>
      <c r="G10" s="79"/>
      <c r="H10" s="79"/>
      <c r="I10" s="79"/>
      <c r="J10" s="79"/>
      <c r="K10" s="79"/>
      <c r="L10" s="79"/>
      <c r="M10" s="79"/>
      <c r="N10" s="79"/>
      <c r="O10" s="91"/>
      <c r="P10" s="92"/>
      <c r="Q10" s="93"/>
      <c r="R10" s="93"/>
      <c r="S10" s="93"/>
      <c r="T10" s="93"/>
      <c r="U10" s="93"/>
      <c r="V10" s="93"/>
    </row>
    <row r="11" spans="1:22" ht="21" customHeight="1" x14ac:dyDescent="0.15">
      <c r="A11" s="79"/>
      <c r="B11" s="79"/>
      <c r="C11" s="79"/>
      <c r="D11" s="79"/>
      <c r="E11" s="79"/>
      <c r="F11" s="79"/>
      <c r="G11" s="79"/>
      <c r="H11" s="79"/>
      <c r="I11" s="79"/>
      <c r="J11" s="79"/>
      <c r="K11" s="79"/>
      <c r="L11" s="79"/>
      <c r="M11" s="79"/>
      <c r="N11" s="79"/>
      <c r="O11" s="91"/>
      <c r="P11" s="92"/>
      <c r="Q11" s="93"/>
      <c r="R11" s="93"/>
      <c r="S11" s="93"/>
      <c r="T11" s="93"/>
      <c r="U11" s="93"/>
      <c r="V11" s="93"/>
    </row>
    <row r="12" spans="1:22" ht="21" customHeight="1" x14ac:dyDescent="0.15">
      <c r="A12" s="79"/>
      <c r="B12" s="79"/>
      <c r="C12" s="79"/>
      <c r="D12" s="79"/>
      <c r="E12" s="79"/>
      <c r="F12" s="79"/>
      <c r="G12" s="79"/>
      <c r="H12" s="79"/>
      <c r="I12" s="79"/>
      <c r="J12" s="79"/>
      <c r="K12" s="79"/>
      <c r="L12" s="79"/>
      <c r="M12" s="79"/>
      <c r="N12" s="79"/>
      <c r="O12" s="91"/>
      <c r="P12" s="92"/>
      <c r="Q12" s="93"/>
      <c r="R12" s="93"/>
      <c r="S12" s="93"/>
      <c r="T12" s="93"/>
      <c r="U12" s="93"/>
      <c r="V12" s="93"/>
    </row>
    <row r="13" spans="1:22" ht="21" customHeight="1" x14ac:dyDescent="0.15">
      <c r="A13" s="79"/>
      <c r="B13" s="79"/>
      <c r="C13" s="79"/>
      <c r="D13" s="79"/>
      <c r="E13" s="79"/>
      <c r="F13" s="79"/>
      <c r="G13" s="79"/>
      <c r="H13" s="79"/>
      <c r="I13" s="79"/>
      <c r="J13" s="79"/>
      <c r="K13" s="79"/>
      <c r="L13" s="79"/>
      <c r="M13" s="79"/>
      <c r="N13" s="79"/>
      <c r="O13" s="91"/>
      <c r="P13" s="92"/>
      <c r="Q13" s="93"/>
      <c r="R13" s="93"/>
      <c r="S13" s="93"/>
      <c r="T13" s="93"/>
      <c r="U13" s="93"/>
      <c r="V13" s="93"/>
    </row>
    <row r="14" spans="1:22" ht="21" customHeight="1" x14ac:dyDescent="0.15">
      <c r="A14" s="79"/>
      <c r="B14" s="79"/>
      <c r="C14" s="79"/>
      <c r="D14" s="79"/>
      <c r="E14" s="79"/>
      <c r="F14" s="79"/>
      <c r="G14" s="79"/>
      <c r="H14" s="79"/>
      <c r="I14" s="79"/>
      <c r="J14" s="79"/>
      <c r="K14" s="79"/>
      <c r="L14" s="79"/>
      <c r="M14" s="79"/>
      <c r="N14" s="79"/>
      <c r="O14" s="91"/>
      <c r="P14" s="92"/>
      <c r="Q14" s="93"/>
      <c r="R14" s="93"/>
      <c r="S14" s="93"/>
      <c r="T14" s="93"/>
      <c r="U14" s="93"/>
      <c r="V14" s="93"/>
    </row>
    <row r="15" spans="1:22" ht="21" customHeight="1" x14ac:dyDescent="0.15">
      <c r="A15" s="79"/>
      <c r="B15" s="79"/>
      <c r="C15" s="79"/>
      <c r="D15" s="79"/>
      <c r="E15" s="79"/>
      <c r="F15" s="79"/>
      <c r="G15" s="79"/>
      <c r="H15" s="79"/>
      <c r="I15" s="79"/>
      <c r="J15" s="79"/>
      <c r="K15" s="79"/>
      <c r="L15" s="79"/>
      <c r="M15" s="79"/>
      <c r="N15" s="79"/>
      <c r="O15" s="91"/>
      <c r="P15" s="92"/>
      <c r="Q15" s="93"/>
      <c r="R15" s="93"/>
      <c r="S15" s="93"/>
      <c r="T15" s="93"/>
      <c r="U15" s="93"/>
      <c r="V15" s="93"/>
    </row>
    <row r="16" spans="1:22" ht="21" customHeight="1" x14ac:dyDescent="0.15">
      <c r="A16" s="79"/>
      <c r="B16" s="79"/>
      <c r="C16" s="79"/>
      <c r="D16" s="79"/>
      <c r="E16" s="79"/>
      <c r="F16" s="79"/>
      <c r="G16" s="79"/>
      <c r="H16" s="79"/>
      <c r="I16" s="79"/>
      <c r="J16" s="79"/>
      <c r="K16" s="79"/>
      <c r="L16" s="79"/>
      <c r="M16" s="79"/>
      <c r="N16" s="79"/>
      <c r="O16" s="91"/>
      <c r="P16" s="92"/>
      <c r="Q16" s="93"/>
      <c r="R16" s="93"/>
      <c r="S16" s="93"/>
      <c r="T16" s="93"/>
      <c r="U16" s="93"/>
      <c r="V16" s="93"/>
    </row>
    <row r="17" spans="1:22" ht="21" customHeight="1" x14ac:dyDescent="0.15">
      <c r="A17" s="79"/>
      <c r="B17" s="79"/>
      <c r="C17" s="79"/>
      <c r="D17" s="79"/>
      <c r="E17" s="79"/>
      <c r="F17" s="79"/>
      <c r="G17" s="79"/>
      <c r="H17" s="79"/>
      <c r="I17" s="79"/>
      <c r="J17" s="79"/>
      <c r="K17" s="79"/>
      <c r="L17" s="79"/>
      <c r="M17" s="79"/>
      <c r="N17" s="79"/>
      <c r="O17" s="91"/>
      <c r="P17" s="92"/>
      <c r="Q17" s="93"/>
      <c r="R17" s="93"/>
      <c r="S17" s="93"/>
      <c r="T17" s="93"/>
      <c r="U17" s="93"/>
      <c r="V17" s="93"/>
    </row>
    <row r="18" spans="1:22" ht="21" customHeight="1" x14ac:dyDescent="0.15">
      <c r="A18" s="79"/>
      <c r="B18" s="79"/>
      <c r="C18" s="79"/>
      <c r="D18" s="79"/>
      <c r="E18" s="79"/>
      <c r="F18" s="79"/>
      <c r="G18" s="79"/>
      <c r="H18" s="79"/>
      <c r="I18" s="79"/>
      <c r="J18" s="79"/>
      <c r="K18" s="79"/>
      <c r="L18" s="79"/>
      <c r="M18" s="79"/>
      <c r="N18" s="79"/>
      <c r="O18" s="91"/>
      <c r="P18" s="92"/>
      <c r="Q18" s="93"/>
      <c r="R18" s="93"/>
      <c r="S18" s="93"/>
      <c r="T18" s="93"/>
      <c r="U18" s="93"/>
      <c r="V18" s="93"/>
    </row>
    <row r="19" spans="1:22" ht="21" customHeight="1" x14ac:dyDescent="0.15">
      <c r="A19" s="79"/>
      <c r="B19" s="79"/>
      <c r="C19" s="79"/>
      <c r="D19" s="79"/>
      <c r="E19" s="79"/>
      <c r="F19" s="79"/>
      <c r="G19" s="79"/>
      <c r="H19" s="79"/>
      <c r="I19" s="79"/>
      <c r="J19" s="79"/>
      <c r="K19" s="79"/>
      <c r="L19" s="79"/>
      <c r="M19" s="79"/>
      <c r="N19" s="79"/>
      <c r="O19" s="91"/>
      <c r="P19" s="92"/>
      <c r="Q19" s="93"/>
      <c r="R19" s="93"/>
      <c r="S19" s="93"/>
      <c r="T19" s="93"/>
      <c r="U19" s="93"/>
      <c r="V19" s="93"/>
    </row>
    <row r="20" spans="1:22" ht="21" customHeight="1" x14ac:dyDescent="0.15">
      <c r="A20" s="79"/>
      <c r="B20" s="79"/>
      <c r="C20" s="79"/>
      <c r="D20" s="79"/>
      <c r="E20" s="79"/>
      <c r="F20" s="79"/>
      <c r="G20" s="79"/>
      <c r="H20" s="79"/>
      <c r="I20" s="79"/>
      <c r="J20" s="79"/>
      <c r="K20" s="79"/>
      <c r="L20" s="79"/>
      <c r="M20" s="79"/>
      <c r="N20" s="79"/>
      <c r="O20" s="91"/>
      <c r="P20" s="92"/>
      <c r="Q20" s="93"/>
      <c r="R20" s="93"/>
      <c r="S20" s="93"/>
      <c r="T20" s="93"/>
      <c r="U20" s="93"/>
      <c r="V20" s="93"/>
    </row>
    <row r="21" spans="1:22" ht="21" customHeight="1" x14ac:dyDescent="0.15">
      <c r="A21" s="79"/>
      <c r="B21" s="79"/>
      <c r="C21" s="79"/>
      <c r="D21" s="79"/>
      <c r="E21" s="79"/>
      <c r="F21" s="79"/>
      <c r="G21" s="79"/>
      <c r="H21" s="79"/>
      <c r="I21" s="79"/>
      <c r="J21" s="79"/>
      <c r="K21" s="79"/>
      <c r="L21" s="79"/>
      <c r="M21" s="79"/>
      <c r="N21" s="79"/>
      <c r="O21" s="91"/>
      <c r="P21" s="92"/>
      <c r="Q21" s="93"/>
      <c r="R21" s="93"/>
      <c r="S21" s="93"/>
      <c r="T21" s="93"/>
      <c r="U21" s="93"/>
      <c r="V21" s="93"/>
    </row>
    <row r="22" spans="1:22" ht="21" customHeight="1" x14ac:dyDescent="0.15">
      <c r="A22" s="79"/>
      <c r="B22" s="79"/>
      <c r="C22" s="79"/>
      <c r="D22" s="79"/>
      <c r="E22" s="79"/>
      <c r="F22" s="79"/>
      <c r="G22" s="79"/>
      <c r="H22" s="79"/>
      <c r="I22" s="79"/>
      <c r="J22" s="79"/>
      <c r="K22" s="79"/>
      <c r="L22" s="79"/>
      <c r="M22" s="79"/>
      <c r="N22" s="79"/>
      <c r="O22" s="91"/>
      <c r="P22" s="92"/>
      <c r="Q22" s="93"/>
      <c r="R22" s="93"/>
      <c r="S22" s="93"/>
      <c r="T22" s="93"/>
      <c r="U22" s="93"/>
      <c r="V22" s="93"/>
    </row>
    <row r="23" spans="1:22" ht="21" customHeight="1" x14ac:dyDescent="0.15">
      <c r="A23" s="79"/>
      <c r="B23" s="79"/>
      <c r="C23" s="79"/>
      <c r="D23" s="79"/>
      <c r="E23" s="79"/>
      <c r="F23" s="79"/>
      <c r="G23" s="79"/>
      <c r="H23" s="79"/>
      <c r="I23" s="79"/>
      <c r="J23" s="79"/>
      <c r="K23" s="79"/>
      <c r="L23" s="79"/>
      <c r="M23" s="79"/>
      <c r="N23" s="79"/>
      <c r="O23" s="91"/>
      <c r="P23" s="92"/>
      <c r="Q23" s="93"/>
      <c r="R23" s="93"/>
      <c r="S23" s="93"/>
      <c r="T23" s="93"/>
      <c r="U23" s="93"/>
      <c r="V23" s="93"/>
    </row>
    <row r="24" spans="1:22" ht="21" customHeight="1" x14ac:dyDescent="0.15">
      <c r="A24" s="79"/>
      <c r="B24" s="79"/>
      <c r="C24" s="79"/>
      <c r="D24" s="79"/>
      <c r="E24" s="79"/>
      <c r="F24" s="79"/>
      <c r="G24" s="79"/>
      <c r="H24" s="79"/>
      <c r="I24" s="79"/>
      <c r="J24" s="79"/>
      <c r="K24" s="79"/>
      <c r="L24" s="79"/>
      <c r="M24" s="79"/>
      <c r="N24" s="79"/>
      <c r="O24" s="91"/>
      <c r="P24" s="92"/>
      <c r="Q24" s="93"/>
      <c r="R24" s="93"/>
      <c r="S24" s="93"/>
      <c r="T24" s="93"/>
      <c r="U24" s="93"/>
      <c r="V24" s="93"/>
    </row>
    <row r="25" spans="1:22" ht="21" customHeight="1" x14ac:dyDescent="0.15">
      <c r="A25" s="79"/>
      <c r="B25" s="79"/>
      <c r="C25" s="79"/>
      <c r="D25" s="79"/>
      <c r="E25" s="79"/>
      <c r="F25" s="79"/>
      <c r="G25" s="79"/>
      <c r="H25" s="79"/>
      <c r="I25" s="79"/>
      <c r="J25" s="79"/>
      <c r="K25" s="79"/>
      <c r="L25" s="79"/>
      <c r="M25" s="79"/>
      <c r="N25" s="79"/>
      <c r="O25" s="91"/>
      <c r="P25" s="92"/>
      <c r="Q25" s="93"/>
      <c r="R25" s="93"/>
      <c r="S25" s="93"/>
      <c r="T25" s="93"/>
      <c r="U25" s="93"/>
      <c r="V25" s="93"/>
    </row>
    <row r="26" spans="1:22" ht="21" customHeight="1" x14ac:dyDescent="0.15">
      <c r="A26" s="79"/>
      <c r="B26" s="79"/>
      <c r="C26" s="79"/>
      <c r="D26" s="79"/>
      <c r="E26" s="79"/>
      <c r="F26" s="79"/>
      <c r="G26" s="79"/>
      <c r="H26" s="79"/>
      <c r="I26" s="79"/>
      <c r="J26" s="79"/>
      <c r="K26" s="79"/>
      <c r="L26" s="79"/>
      <c r="M26" s="79"/>
      <c r="N26" s="79"/>
      <c r="O26" s="91"/>
      <c r="P26" s="92"/>
      <c r="Q26" s="93"/>
      <c r="R26" s="93"/>
      <c r="S26" s="93"/>
      <c r="T26" s="93"/>
      <c r="U26" s="93"/>
      <c r="V26" s="93"/>
    </row>
    <row r="27" spans="1:22" ht="21" customHeight="1" x14ac:dyDescent="0.15">
      <c r="A27" s="79"/>
      <c r="B27" s="79"/>
      <c r="C27" s="79"/>
      <c r="D27" s="79"/>
      <c r="E27" s="79"/>
      <c r="F27" s="79"/>
      <c r="G27" s="79"/>
      <c r="H27" s="79"/>
      <c r="I27" s="79"/>
      <c r="J27" s="79"/>
      <c r="K27" s="79"/>
      <c r="L27" s="79"/>
      <c r="M27" s="79"/>
      <c r="N27" s="79"/>
      <c r="O27" s="91"/>
      <c r="P27" s="92"/>
      <c r="Q27" s="93"/>
      <c r="R27" s="93"/>
      <c r="S27" s="93"/>
      <c r="T27" s="93"/>
      <c r="U27" s="93"/>
      <c r="V27" s="93"/>
    </row>
    <row r="28" spans="1:22" ht="21" customHeight="1" x14ac:dyDescent="0.15">
      <c r="A28" s="79"/>
      <c r="B28" s="79"/>
      <c r="C28" s="79"/>
      <c r="D28" s="79"/>
      <c r="E28" s="79"/>
      <c r="F28" s="79"/>
      <c r="G28" s="79"/>
      <c r="H28" s="79"/>
      <c r="I28" s="79"/>
      <c r="J28" s="79"/>
      <c r="K28" s="79"/>
      <c r="L28" s="79"/>
      <c r="M28" s="79"/>
      <c r="N28" s="79"/>
      <c r="O28" s="91"/>
      <c r="P28" s="92"/>
      <c r="Q28" s="93"/>
      <c r="R28" s="93"/>
      <c r="S28" s="93"/>
      <c r="T28" s="93"/>
      <c r="U28" s="93"/>
      <c r="V28" s="93"/>
    </row>
    <row r="29" spans="1:22" ht="21" customHeight="1" x14ac:dyDescent="0.15">
      <c r="A29" s="79"/>
      <c r="B29" s="79"/>
      <c r="C29" s="79"/>
      <c r="D29" s="79"/>
      <c r="E29" s="79"/>
      <c r="F29" s="79"/>
      <c r="G29" s="79"/>
      <c r="H29" s="79"/>
      <c r="I29" s="79"/>
      <c r="J29" s="79"/>
      <c r="K29" s="79"/>
      <c r="L29" s="79"/>
      <c r="M29" s="79"/>
      <c r="N29" s="79"/>
      <c r="O29" s="91"/>
      <c r="P29" s="92"/>
      <c r="Q29" s="93"/>
      <c r="R29" s="93"/>
      <c r="S29" s="93"/>
      <c r="T29" s="93"/>
      <c r="U29" s="93"/>
      <c r="V29" s="93"/>
    </row>
    <row r="30" spans="1:22" ht="21" customHeight="1" x14ac:dyDescent="0.15">
      <c r="A30" s="79"/>
      <c r="B30" s="79"/>
      <c r="C30" s="79"/>
      <c r="D30" s="79"/>
      <c r="E30" s="79"/>
      <c r="F30" s="79"/>
      <c r="G30" s="79"/>
      <c r="H30" s="79"/>
      <c r="I30" s="79"/>
      <c r="J30" s="79"/>
      <c r="K30" s="79"/>
      <c r="L30" s="79"/>
      <c r="M30" s="79"/>
      <c r="N30" s="79"/>
      <c r="O30" s="91"/>
      <c r="P30" s="92"/>
      <c r="Q30" s="93"/>
      <c r="R30" s="93"/>
      <c r="S30" s="93"/>
      <c r="T30" s="93"/>
      <c r="U30" s="93"/>
      <c r="V30" s="93"/>
    </row>
    <row r="31" spans="1:22" ht="21" customHeight="1" x14ac:dyDescent="0.15">
      <c r="A31" s="79"/>
      <c r="B31" s="79"/>
      <c r="C31" s="79"/>
      <c r="D31" s="79"/>
      <c r="E31" s="79"/>
      <c r="F31" s="79"/>
      <c r="G31" s="79"/>
      <c r="H31" s="79"/>
      <c r="I31" s="79"/>
      <c r="J31" s="79"/>
      <c r="K31" s="79"/>
      <c r="L31" s="79"/>
      <c r="M31" s="79"/>
      <c r="N31" s="79"/>
      <c r="O31" s="91"/>
      <c r="P31" s="92"/>
      <c r="Q31" s="93"/>
      <c r="R31" s="93"/>
      <c r="S31" s="93"/>
      <c r="T31" s="93"/>
      <c r="U31" s="93"/>
      <c r="V31" s="93"/>
    </row>
    <row r="32" spans="1:22" ht="21" customHeight="1" x14ac:dyDescent="0.15">
      <c r="A32" s="79"/>
      <c r="B32" s="79"/>
      <c r="C32" s="79"/>
      <c r="D32" s="79"/>
      <c r="E32" s="79"/>
      <c r="F32" s="79"/>
      <c r="G32" s="79"/>
      <c r="H32" s="79"/>
      <c r="I32" s="79"/>
      <c r="J32" s="79"/>
      <c r="K32" s="79"/>
      <c r="L32" s="79"/>
      <c r="M32" s="79"/>
      <c r="N32" s="79"/>
      <c r="O32" s="91"/>
      <c r="P32" s="92"/>
      <c r="Q32" s="93"/>
      <c r="R32" s="93"/>
      <c r="S32" s="93"/>
      <c r="T32" s="93"/>
      <c r="U32" s="93"/>
      <c r="V32" s="93"/>
    </row>
    <row r="33" spans="1:22" ht="21" customHeight="1" x14ac:dyDescent="0.15">
      <c r="A33" s="79"/>
      <c r="B33" s="79"/>
      <c r="C33" s="79"/>
      <c r="D33" s="79"/>
      <c r="E33" s="79"/>
      <c r="F33" s="79"/>
      <c r="G33" s="79"/>
      <c r="H33" s="79"/>
      <c r="I33" s="79"/>
      <c r="J33" s="79"/>
      <c r="K33" s="79"/>
      <c r="L33" s="79"/>
      <c r="M33" s="79"/>
      <c r="N33" s="79"/>
      <c r="O33" s="91"/>
      <c r="P33" s="92"/>
      <c r="Q33" s="93"/>
      <c r="R33" s="93"/>
      <c r="S33" s="93"/>
      <c r="T33" s="93"/>
      <c r="U33" s="93"/>
      <c r="V33" s="93"/>
    </row>
    <row r="34" spans="1:22" ht="21" customHeight="1" x14ac:dyDescent="0.15">
      <c r="A34" s="79"/>
      <c r="B34" s="79"/>
      <c r="C34" s="79"/>
      <c r="D34" s="79"/>
      <c r="E34" s="79"/>
      <c r="F34" s="79"/>
      <c r="G34" s="79"/>
      <c r="H34" s="79"/>
      <c r="I34" s="79"/>
      <c r="J34" s="79"/>
      <c r="K34" s="79"/>
      <c r="L34" s="79"/>
      <c r="M34" s="79"/>
      <c r="N34" s="79"/>
      <c r="O34" s="91"/>
      <c r="P34" s="92"/>
      <c r="Q34" s="93"/>
      <c r="R34" s="93"/>
      <c r="S34" s="93"/>
      <c r="T34" s="93"/>
      <c r="U34" s="93"/>
      <c r="V34" s="93"/>
    </row>
    <row r="35" spans="1:22" ht="21" customHeight="1" x14ac:dyDescent="0.15">
      <c r="A35" s="79"/>
      <c r="B35" s="79"/>
      <c r="C35" s="79"/>
      <c r="D35" s="79"/>
      <c r="E35" s="79"/>
      <c r="F35" s="79"/>
      <c r="G35" s="79"/>
      <c r="H35" s="79"/>
      <c r="I35" s="79"/>
      <c r="J35" s="79"/>
      <c r="K35" s="79"/>
      <c r="L35" s="79"/>
      <c r="M35" s="79"/>
      <c r="N35" s="79"/>
      <c r="O35" s="91"/>
      <c r="P35" s="92"/>
      <c r="Q35" s="93"/>
      <c r="R35" s="93"/>
      <c r="S35" s="93"/>
      <c r="T35" s="93"/>
      <c r="U35" s="93"/>
      <c r="V35" s="93"/>
    </row>
    <row r="36" spans="1:22" ht="21" customHeight="1" x14ac:dyDescent="0.15">
      <c r="A36" s="79"/>
      <c r="B36" s="79"/>
      <c r="C36" s="79"/>
      <c r="D36" s="79"/>
      <c r="E36" s="79"/>
      <c r="F36" s="79"/>
      <c r="G36" s="79"/>
      <c r="H36" s="79"/>
      <c r="I36" s="79"/>
      <c r="J36" s="79"/>
      <c r="K36" s="79"/>
      <c r="L36" s="79"/>
      <c r="M36" s="79"/>
      <c r="N36" s="79"/>
      <c r="O36" s="91"/>
      <c r="P36" s="92"/>
      <c r="Q36" s="93"/>
      <c r="R36" s="93"/>
      <c r="S36" s="93"/>
      <c r="T36" s="93"/>
      <c r="U36" s="93"/>
      <c r="V36" s="93"/>
    </row>
    <row r="37" spans="1:22" ht="21" customHeight="1" x14ac:dyDescent="0.15">
      <c r="A37" s="79"/>
      <c r="B37" s="79"/>
      <c r="C37" s="79"/>
      <c r="D37" s="79"/>
      <c r="E37" s="79"/>
      <c r="F37" s="79"/>
      <c r="G37" s="79"/>
      <c r="H37" s="79"/>
      <c r="I37" s="79"/>
      <c r="J37" s="79"/>
      <c r="K37" s="79"/>
      <c r="L37" s="79"/>
      <c r="M37" s="79"/>
      <c r="N37" s="79"/>
      <c r="O37" s="91"/>
      <c r="P37" s="92"/>
      <c r="Q37" s="93"/>
      <c r="R37" s="93"/>
      <c r="S37" s="93"/>
      <c r="T37" s="93"/>
      <c r="U37" s="93"/>
      <c r="V37" s="93"/>
    </row>
    <row r="38" spans="1:22" ht="21" customHeight="1" x14ac:dyDescent="0.15">
      <c r="A38" s="79"/>
      <c r="B38" s="79"/>
      <c r="C38" s="79"/>
      <c r="D38" s="79"/>
      <c r="E38" s="79"/>
      <c r="F38" s="79"/>
      <c r="G38" s="79"/>
      <c r="H38" s="79"/>
      <c r="I38" s="79"/>
      <c r="J38" s="79"/>
      <c r="K38" s="79"/>
      <c r="L38" s="79"/>
      <c r="M38" s="79"/>
      <c r="N38" s="79"/>
      <c r="O38" s="91"/>
      <c r="P38" s="92"/>
      <c r="Q38" s="93"/>
      <c r="R38" s="93"/>
      <c r="S38" s="93"/>
      <c r="T38" s="93"/>
      <c r="U38" s="93"/>
      <c r="V38" s="93"/>
    </row>
    <row r="39" spans="1:22" ht="21" customHeight="1" x14ac:dyDescent="0.15">
      <c r="A39" s="79"/>
      <c r="B39" s="79"/>
      <c r="C39" s="79"/>
      <c r="D39" s="79"/>
      <c r="E39" s="79"/>
      <c r="F39" s="79"/>
      <c r="G39" s="79"/>
      <c r="H39" s="79"/>
      <c r="I39" s="79"/>
      <c r="J39" s="79"/>
      <c r="K39" s="79"/>
      <c r="L39" s="79"/>
      <c r="M39" s="79"/>
      <c r="N39" s="79"/>
      <c r="O39" s="91"/>
      <c r="P39" s="92"/>
      <c r="Q39" s="93"/>
      <c r="R39" s="93"/>
      <c r="S39" s="93"/>
      <c r="T39" s="93"/>
      <c r="U39" s="93"/>
      <c r="V39" s="93"/>
    </row>
    <row r="40" spans="1:22" ht="21" customHeight="1" x14ac:dyDescent="0.15">
      <c r="A40" s="79"/>
      <c r="B40" s="79"/>
      <c r="C40" s="79"/>
      <c r="D40" s="79"/>
      <c r="E40" s="79"/>
      <c r="F40" s="79"/>
      <c r="G40" s="79"/>
      <c r="H40" s="79"/>
      <c r="I40" s="79"/>
      <c r="J40" s="79"/>
      <c r="K40" s="79"/>
      <c r="L40" s="79"/>
      <c r="M40" s="79"/>
      <c r="N40" s="79"/>
      <c r="O40" s="91"/>
      <c r="P40" s="92"/>
      <c r="Q40" s="93"/>
      <c r="R40" s="93"/>
      <c r="S40" s="93"/>
      <c r="T40" s="93"/>
      <c r="U40" s="93"/>
      <c r="V40" s="93"/>
    </row>
    <row r="41" spans="1:22" ht="21" customHeight="1" x14ac:dyDescent="0.15">
      <c r="A41" s="79"/>
      <c r="B41" s="79"/>
      <c r="C41" s="79"/>
      <c r="D41" s="79"/>
      <c r="E41" s="79"/>
      <c r="F41" s="79"/>
      <c r="G41" s="79"/>
      <c r="H41" s="79"/>
      <c r="I41" s="79"/>
      <c r="J41" s="79"/>
      <c r="K41" s="79"/>
      <c r="L41" s="79"/>
      <c r="M41" s="79"/>
      <c r="N41" s="79"/>
      <c r="O41" s="91"/>
      <c r="P41" s="92"/>
      <c r="Q41" s="93"/>
      <c r="R41" s="93"/>
      <c r="S41" s="93"/>
      <c r="T41" s="93"/>
      <c r="U41" s="93"/>
      <c r="V41" s="93"/>
    </row>
    <row r="42" spans="1:22" ht="21" customHeight="1" x14ac:dyDescent="0.15">
      <c r="A42" s="79"/>
      <c r="B42" s="79"/>
      <c r="C42" s="79"/>
      <c r="D42" s="79"/>
      <c r="E42" s="79"/>
      <c r="F42" s="79"/>
      <c r="G42" s="79"/>
      <c r="H42" s="79"/>
      <c r="I42" s="79"/>
      <c r="J42" s="79"/>
      <c r="K42" s="79"/>
      <c r="L42" s="79"/>
      <c r="M42" s="79"/>
      <c r="N42" s="79"/>
      <c r="O42" s="91"/>
      <c r="P42" s="92"/>
      <c r="Q42" s="93"/>
      <c r="R42" s="93"/>
      <c r="S42" s="93"/>
      <c r="T42" s="93"/>
      <c r="U42" s="93"/>
      <c r="V42" s="93"/>
    </row>
    <row r="43" spans="1:22" ht="21" customHeight="1" x14ac:dyDescent="0.15">
      <c r="A43" s="79"/>
      <c r="B43" s="79"/>
      <c r="C43" s="79"/>
      <c r="D43" s="79"/>
      <c r="E43" s="79"/>
      <c r="F43" s="79"/>
      <c r="G43" s="79"/>
      <c r="H43" s="79"/>
      <c r="I43" s="79"/>
      <c r="J43" s="79"/>
      <c r="K43" s="79"/>
      <c r="L43" s="79"/>
      <c r="M43" s="79"/>
      <c r="N43" s="79"/>
      <c r="O43" s="91"/>
      <c r="P43" s="92"/>
      <c r="Q43" s="93"/>
      <c r="R43" s="93"/>
      <c r="S43" s="93"/>
      <c r="T43" s="93"/>
      <c r="U43" s="93"/>
      <c r="V43" s="93"/>
    </row>
    <row r="44" spans="1:22" ht="21" customHeight="1" x14ac:dyDescent="0.15">
      <c r="A44" s="79"/>
      <c r="B44" s="79"/>
      <c r="C44" s="79"/>
      <c r="D44" s="79"/>
      <c r="E44" s="79"/>
      <c r="F44" s="79"/>
      <c r="G44" s="79"/>
      <c r="H44" s="79"/>
      <c r="I44" s="79"/>
      <c r="J44" s="79"/>
      <c r="K44" s="79"/>
      <c r="L44" s="79"/>
      <c r="M44" s="79"/>
      <c r="N44" s="79"/>
      <c r="O44" s="91"/>
      <c r="P44" s="92"/>
      <c r="Q44" s="93"/>
      <c r="R44" s="93"/>
      <c r="S44" s="93"/>
      <c r="T44" s="93"/>
      <c r="U44" s="93"/>
      <c r="V44" s="93"/>
    </row>
    <row r="45" spans="1:22" ht="21" customHeight="1" x14ac:dyDescent="0.15">
      <c r="A45" s="79"/>
      <c r="B45" s="79"/>
      <c r="C45" s="79"/>
      <c r="D45" s="79"/>
      <c r="E45" s="79"/>
      <c r="F45" s="79"/>
      <c r="G45" s="79"/>
      <c r="H45" s="79"/>
      <c r="I45" s="79"/>
      <c r="J45" s="79"/>
      <c r="K45" s="79"/>
      <c r="L45" s="79"/>
      <c r="M45" s="79"/>
      <c r="N45" s="79"/>
      <c r="O45" s="91"/>
      <c r="P45" s="92"/>
      <c r="Q45" s="93"/>
      <c r="R45" s="93"/>
      <c r="S45" s="93"/>
      <c r="T45" s="93"/>
      <c r="U45" s="93"/>
      <c r="V45" s="93"/>
    </row>
    <row r="46" spans="1:22" ht="21" customHeight="1" x14ac:dyDescent="0.15">
      <c r="A46" s="79"/>
      <c r="B46" s="79"/>
      <c r="C46" s="79"/>
      <c r="D46" s="79"/>
      <c r="E46" s="79"/>
      <c r="F46" s="79"/>
      <c r="G46" s="79"/>
      <c r="H46" s="79"/>
      <c r="I46" s="79"/>
      <c r="J46" s="79"/>
      <c r="K46" s="79"/>
      <c r="L46" s="79"/>
      <c r="M46" s="79"/>
      <c r="N46" s="79"/>
      <c r="O46" s="91"/>
      <c r="P46" s="92"/>
      <c r="Q46" s="93"/>
      <c r="R46" s="93"/>
      <c r="S46" s="93"/>
      <c r="T46" s="93"/>
      <c r="U46" s="93"/>
      <c r="V46" s="93"/>
    </row>
    <row r="47" spans="1:22" ht="21" customHeight="1" x14ac:dyDescent="0.15">
      <c r="A47" s="79"/>
      <c r="B47" s="79"/>
      <c r="C47" s="79"/>
      <c r="D47" s="79"/>
      <c r="E47" s="79"/>
      <c r="F47" s="79"/>
      <c r="G47" s="79"/>
      <c r="H47" s="79"/>
      <c r="I47" s="79"/>
      <c r="J47" s="79"/>
      <c r="K47" s="79"/>
      <c r="L47" s="79"/>
      <c r="M47" s="79"/>
      <c r="N47" s="79"/>
      <c r="O47" s="91"/>
      <c r="P47" s="92"/>
      <c r="Q47" s="93"/>
      <c r="R47" s="93"/>
      <c r="S47" s="93"/>
      <c r="T47" s="93"/>
      <c r="U47" s="93"/>
      <c r="V47" s="93"/>
    </row>
    <row r="48" spans="1:22" ht="21" customHeight="1" x14ac:dyDescent="0.15">
      <c r="A48" s="79"/>
      <c r="B48" s="79"/>
      <c r="C48" s="79"/>
      <c r="D48" s="79"/>
      <c r="E48" s="79"/>
      <c r="F48" s="79"/>
      <c r="G48" s="79"/>
      <c r="H48" s="79"/>
      <c r="I48" s="79"/>
      <c r="J48" s="79"/>
      <c r="K48" s="79"/>
      <c r="L48" s="79"/>
      <c r="M48" s="79"/>
      <c r="N48" s="79"/>
      <c r="O48" s="91"/>
      <c r="P48" s="92"/>
      <c r="Q48" s="93"/>
      <c r="R48" s="93"/>
      <c r="S48" s="93"/>
      <c r="T48" s="93"/>
      <c r="U48" s="93"/>
      <c r="V48" s="93"/>
    </row>
    <row r="49" spans="1:22" ht="21" customHeight="1" x14ac:dyDescent="0.15">
      <c r="A49" s="79"/>
      <c r="B49" s="79"/>
      <c r="C49" s="79"/>
      <c r="D49" s="79"/>
      <c r="E49" s="79"/>
      <c r="F49" s="79"/>
      <c r="G49" s="79"/>
      <c r="H49" s="79"/>
      <c r="I49" s="79"/>
      <c r="J49" s="79"/>
      <c r="K49" s="79"/>
      <c r="L49" s="79"/>
      <c r="M49" s="79"/>
      <c r="N49" s="79"/>
      <c r="O49" s="91"/>
      <c r="P49" s="92"/>
      <c r="Q49" s="93"/>
      <c r="R49" s="93"/>
      <c r="S49" s="93"/>
      <c r="T49" s="93"/>
      <c r="U49" s="93"/>
      <c r="V49" s="93"/>
    </row>
    <row r="50" spans="1:22" ht="21" customHeight="1" x14ac:dyDescent="0.15">
      <c r="A50" s="79"/>
      <c r="B50" s="79"/>
      <c r="C50" s="79"/>
      <c r="D50" s="79"/>
      <c r="E50" s="79"/>
      <c r="F50" s="79"/>
      <c r="G50" s="79"/>
      <c r="H50" s="79"/>
      <c r="I50" s="79"/>
      <c r="J50" s="79"/>
      <c r="K50" s="79"/>
      <c r="L50" s="79"/>
      <c r="M50" s="79"/>
      <c r="N50" s="79"/>
      <c r="O50" s="91"/>
      <c r="P50" s="92"/>
      <c r="Q50" s="93"/>
      <c r="R50" s="93"/>
      <c r="S50" s="93"/>
      <c r="T50" s="93"/>
      <c r="U50" s="93"/>
      <c r="V50" s="93"/>
    </row>
    <row r="51" spans="1:22" ht="21" customHeight="1" x14ac:dyDescent="0.15">
      <c r="A51" s="79"/>
      <c r="B51" s="79"/>
      <c r="C51" s="79"/>
      <c r="D51" s="79"/>
      <c r="E51" s="79"/>
      <c r="F51" s="79"/>
      <c r="G51" s="79"/>
      <c r="H51" s="79"/>
      <c r="I51" s="79"/>
      <c r="J51" s="79"/>
      <c r="K51" s="79"/>
      <c r="L51" s="79"/>
      <c r="M51" s="79"/>
      <c r="N51" s="79"/>
      <c r="O51" s="91"/>
      <c r="P51" s="92"/>
      <c r="Q51" s="93"/>
      <c r="R51" s="93"/>
      <c r="S51" s="93"/>
      <c r="T51" s="93"/>
      <c r="U51" s="93"/>
      <c r="V51" s="93"/>
    </row>
    <row r="52" spans="1:22" ht="21" customHeight="1" x14ac:dyDescent="0.15">
      <c r="A52" s="79"/>
      <c r="B52" s="79"/>
      <c r="C52" s="79"/>
      <c r="D52" s="79"/>
      <c r="E52" s="79"/>
      <c r="F52" s="79"/>
      <c r="G52" s="79"/>
      <c r="H52" s="79"/>
      <c r="I52" s="79"/>
      <c r="J52" s="79"/>
      <c r="K52" s="79"/>
      <c r="L52" s="79"/>
      <c r="M52" s="79"/>
      <c r="N52" s="79"/>
      <c r="O52" s="91"/>
      <c r="P52" s="92"/>
      <c r="Q52" s="93"/>
      <c r="R52" s="93"/>
      <c r="S52" s="93"/>
      <c r="T52" s="93"/>
      <c r="U52" s="93"/>
      <c r="V52" s="93"/>
    </row>
    <row r="53" spans="1:22" ht="21" customHeight="1" x14ac:dyDescent="0.15">
      <c r="A53" s="79"/>
      <c r="B53" s="79"/>
      <c r="C53" s="79"/>
      <c r="D53" s="79"/>
      <c r="E53" s="79"/>
      <c r="F53" s="79"/>
      <c r="G53" s="79"/>
      <c r="H53" s="79"/>
      <c r="I53" s="79"/>
      <c r="J53" s="79"/>
      <c r="K53" s="79"/>
      <c r="L53" s="79"/>
      <c r="M53" s="79"/>
      <c r="N53" s="79"/>
      <c r="O53" s="91"/>
      <c r="P53" s="92"/>
      <c r="Q53" s="93"/>
      <c r="R53" s="93"/>
      <c r="S53" s="93"/>
      <c r="T53" s="93"/>
      <c r="U53" s="93"/>
      <c r="V53" s="93"/>
    </row>
    <row r="54" spans="1:22" ht="21" customHeight="1" x14ac:dyDescent="0.15">
      <c r="A54" s="79"/>
      <c r="B54" s="79"/>
      <c r="C54" s="79"/>
      <c r="D54" s="79"/>
      <c r="E54" s="79"/>
      <c r="F54" s="79"/>
      <c r="G54" s="79"/>
      <c r="H54" s="79"/>
      <c r="I54" s="79"/>
      <c r="J54" s="79"/>
      <c r="K54" s="79"/>
      <c r="L54" s="79"/>
      <c r="M54" s="79"/>
      <c r="N54" s="79"/>
      <c r="O54" s="91"/>
      <c r="P54" s="92"/>
      <c r="Q54" s="93"/>
      <c r="R54" s="93"/>
      <c r="S54" s="93"/>
      <c r="T54" s="93"/>
      <c r="U54" s="93"/>
      <c r="V54" s="93"/>
    </row>
    <row r="55" spans="1:22" ht="21" customHeight="1" x14ac:dyDescent="0.15">
      <c r="A55" s="79"/>
      <c r="B55" s="79"/>
      <c r="C55" s="79"/>
      <c r="D55" s="79"/>
      <c r="E55" s="79"/>
      <c r="F55" s="79"/>
      <c r="G55" s="79"/>
      <c r="H55" s="79"/>
      <c r="I55" s="79"/>
      <c r="J55" s="79"/>
      <c r="K55" s="79"/>
      <c r="L55" s="79"/>
      <c r="M55" s="79"/>
      <c r="N55" s="79"/>
      <c r="O55" s="91"/>
      <c r="P55" s="92"/>
      <c r="Q55" s="93"/>
      <c r="R55" s="93"/>
      <c r="S55" s="93"/>
      <c r="T55" s="93"/>
      <c r="U55" s="93"/>
      <c r="V55" s="93"/>
    </row>
    <row r="56" spans="1:22" ht="21" customHeight="1" x14ac:dyDescent="0.15">
      <c r="A56" s="79"/>
      <c r="B56" s="79"/>
      <c r="C56" s="79"/>
      <c r="D56" s="79"/>
      <c r="E56" s="79"/>
      <c r="F56" s="79"/>
      <c r="G56" s="79"/>
      <c r="H56" s="79"/>
      <c r="I56" s="79"/>
      <c r="J56" s="79"/>
      <c r="K56" s="79"/>
      <c r="L56" s="79"/>
      <c r="M56" s="79"/>
      <c r="N56" s="79"/>
      <c r="O56" s="91"/>
      <c r="P56" s="92"/>
      <c r="Q56" s="93"/>
      <c r="R56" s="93"/>
      <c r="S56" s="93"/>
      <c r="T56" s="93"/>
      <c r="U56" s="93"/>
      <c r="V56" s="93"/>
    </row>
    <row r="57" spans="1:22" ht="21" customHeight="1" x14ac:dyDescent="0.15">
      <c r="A57" s="79"/>
      <c r="B57" s="79"/>
      <c r="C57" s="79"/>
      <c r="D57" s="79"/>
      <c r="E57" s="79"/>
      <c r="F57" s="79"/>
      <c r="G57" s="79"/>
      <c r="H57" s="79"/>
      <c r="I57" s="79"/>
      <c r="J57" s="79"/>
      <c r="K57" s="79"/>
      <c r="L57" s="79"/>
      <c r="M57" s="79"/>
      <c r="N57" s="79"/>
      <c r="O57" s="91"/>
      <c r="P57" s="92"/>
      <c r="Q57" s="93"/>
      <c r="R57" s="93"/>
      <c r="S57" s="93"/>
      <c r="T57" s="93"/>
      <c r="U57" s="93"/>
      <c r="V57" s="93"/>
    </row>
    <row r="58" spans="1:22" ht="21" customHeight="1" x14ac:dyDescent="0.15">
      <c r="A58" s="79"/>
      <c r="B58" s="79"/>
      <c r="C58" s="79"/>
      <c r="D58" s="79"/>
      <c r="E58" s="79"/>
      <c r="F58" s="79"/>
      <c r="G58" s="79"/>
      <c r="H58" s="79"/>
      <c r="I58" s="79"/>
      <c r="J58" s="79"/>
      <c r="K58" s="79"/>
      <c r="L58" s="79"/>
      <c r="M58" s="79"/>
      <c r="N58" s="79"/>
      <c r="O58" s="91"/>
      <c r="P58" s="92"/>
      <c r="Q58" s="93"/>
      <c r="R58" s="93"/>
      <c r="S58" s="93"/>
      <c r="T58" s="93"/>
      <c r="U58" s="93"/>
      <c r="V58" s="93"/>
    </row>
    <row r="59" spans="1:22" ht="21" customHeight="1" x14ac:dyDescent="0.15">
      <c r="A59" s="79"/>
      <c r="B59" s="79"/>
      <c r="C59" s="79"/>
      <c r="D59" s="79"/>
      <c r="E59" s="79"/>
      <c r="F59" s="79"/>
      <c r="G59" s="79"/>
      <c r="H59" s="79"/>
      <c r="I59" s="79"/>
      <c r="J59" s="79"/>
      <c r="K59" s="79"/>
      <c r="L59" s="79"/>
      <c r="M59" s="79"/>
      <c r="N59" s="79"/>
      <c r="O59" s="91"/>
      <c r="P59" s="92"/>
      <c r="Q59" s="93"/>
      <c r="R59" s="93"/>
      <c r="S59" s="93"/>
      <c r="T59" s="93"/>
      <c r="U59" s="93"/>
      <c r="V59" s="93"/>
    </row>
    <row r="60" spans="1:22" ht="21" customHeight="1" x14ac:dyDescent="0.15">
      <c r="A60" s="79"/>
      <c r="B60" s="79"/>
      <c r="C60" s="79"/>
      <c r="D60" s="79"/>
      <c r="E60" s="79"/>
      <c r="F60" s="79"/>
      <c r="G60" s="79"/>
      <c r="H60" s="79"/>
      <c r="I60" s="79"/>
      <c r="J60" s="79"/>
      <c r="K60" s="79"/>
      <c r="L60" s="79"/>
      <c r="M60" s="79"/>
      <c r="N60" s="79"/>
      <c r="O60" s="91"/>
      <c r="P60" s="92"/>
      <c r="Q60" s="93"/>
      <c r="R60" s="93"/>
      <c r="S60" s="93"/>
      <c r="T60" s="93"/>
      <c r="U60" s="93"/>
      <c r="V60" s="93"/>
    </row>
    <row r="61" spans="1:22" ht="21" customHeight="1" x14ac:dyDescent="0.15">
      <c r="A61" s="79"/>
      <c r="B61" s="79"/>
      <c r="C61" s="79"/>
      <c r="D61" s="79"/>
      <c r="E61" s="79"/>
      <c r="F61" s="79"/>
      <c r="G61" s="79"/>
      <c r="H61" s="79"/>
      <c r="I61" s="79"/>
      <c r="J61" s="79"/>
      <c r="K61" s="79"/>
      <c r="L61" s="79"/>
      <c r="M61" s="79"/>
      <c r="N61" s="79"/>
      <c r="O61" s="91"/>
      <c r="P61" s="92"/>
      <c r="Q61" s="93"/>
      <c r="R61" s="93"/>
      <c r="S61" s="93"/>
      <c r="T61" s="93"/>
      <c r="U61" s="93"/>
      <c r="V61" s="93"/>
    </row>
    <row r="62" spans="1:22" ht="21" customHeight="1" x14ac:dyDescent="0.15">
      <c r="A62" s="79"/>
      <c r="B62" s="79"/>
      <c r="C62" s="79"/>
      <c r="D62" s="79"/>
      <c r="E62" s="79"/>
      <c r="F62" s="79"/>
      <c r="G62" s="79"/>
      <c r="H62" s="79"/>
      <c r="I62" s="79"/>
      <c r="J62" s="79"/>
      <c r="K62" s="79"/>
      <c r="L62" s="79"/>
      <c r="M62" s="79"/>
      <c r="N62" s="79"/>
      <c r="O62" s="91"/>
      <c r="P62" s="92"/>
      <c r="Q62" s="93"/>
      <c r="R62" s="93"/>
      <c r="S62" s="93"/>
      <c r="T62" s="93"/>
      <c r="U62" s="93"/>
      <c r="V62" s="93"/>
    </row>
    <row r="63" spans="1:22" ht="21" customHeight="1" x14ac:dyDescent="0.15">
      <c r="A63" s="79"/>
      <c r="B63" s="79"/>
      <c r="C63" s="79"/>
      <c r="D63" s="79"/>
      <c r="E63" s="79"/>
      <c r="F63" s="79"/>
      <c r="G63" s="79"/>
      <c r="H63" s="79"/>
      <c r="I63" s="79"/>
      <c r="J63" s="79"/>
      <c r="K63" s="79"/>
      <c r="L63" s="79"/>
      <c r="M63" s="79"/>
      <c r="N63" s="79"/>
      <c r="O63" s="91"/>
      <c r="P63" s="92"/>
      <c r="Q63" s="93"/>
      <c r="R63" s="93"/>
      <c r="S63" s="93"/>
      <c r="T63" s="93"/>
      <c r="U63" s="93"/>
      <c r="V63" s="93"/>
    </row>
    <row r="64" spans="1:22" ht="21" customHeight="1" x14ac:dyDescent="0.15">
      <c r="A64" s="79"/>
      <c r="B64" s="79"/>
      <c r="C64" s="79"/>
      <c r="D64" s="79"/>
      <c r="E64" s="79"/>
      <c r="F64" s="79"/>
      <c r="G64" s="79"/>
      <c r="H64" s="79"/>
      <c r="I64" s="79"/>
      <c r="J64" s="79"/>
      <c r="K64" s="79"/>
      <c r="L64" s="79"/>
      <c r="M64" s="79"/>
      <c r="N64" s="79"/>
      <c r="O64" s="91"/>
      <c r="P64" s="92"/>
      <c r="Q64" s="93"/>
      <c r="R64" s="93"/>
      <c r="S64" s="93"/>
      <c r="T64" s="93"/>
      <c r="U64" s="93"/>
      <c r="V64" s="93"/>
    </row>
    <row r="65" spans="1:22" ht="21" customHeight="1" x14ac:dyDescent="0.15">
      <c r="A65" s="79"/>
      <c r="B65" s="79"/>
      <c r="C65" s="79"/>
      <c r="D65" s="79"/>
      <c r="E65" s="79"/>
      <c r="F65" s="79"/>
      <c r="G65" s="79"/>
      <c r="H65" s="79"/>
      <c r="I65" s="79"/>
      <c r="J65" s="79"/>
      <c r="K65" s="79"/>
      <c r="L65" s="79"/>
      <c r="M65" s="79"/>
      <c r="N65" s="79"/>
      <c r="O65" s="91"/>
      <c r="P65" s="92"/>
      <c r="Q65" s="93"/>
      <c r="R65" s="93"/>
      <c r="S65" s="93"/>
      <c r="T65" s="93"/>
      <c r="U65" s="93"/>
      <c r="V65" s="93"/>
    </row>
    <row r="66" spans="1:22" ht="21" customHeight="1" x14ac:dyDescent="0.15">
      <c r="A66" s="79"/>
      <c r="B66" s="79"/>
      <c r="C66" s="79"/>
      <c r="D66" s="79"/>
      <c r="E66" s="79"/>
      <c r="F66" s="79"/>
      <c r="G66" s="79"/>
      <c r="H66" s="79"/>
      <c r="I66" s="79"/>
      <c r="J66" s="79"/>
      <c r="K66" s="79"/>
      <c r="L66" s="79"/>
      <c r="M66" s="79"/>
      <c r="N66" s="79"/>
      <c r="O66" s="91"/>
      <c r="P66" s="92"/>
      <c r="Q66" s="93"/>
      <c r="R66" s="93"/>
      <c r="S66" s="93"/>
      <c r="T66" s="93"/>
      <c r="U66" s="93"/>
      <c r="V66" s="93"/>
    </row>
    <row r="67" spans="1:22" ht="21" customHeight="1" x14ac:dyDescent="0.15">
      <c r="A67" s="79"/>
      <c r="B67" s="79"/>
      <c r="C67" s="79"/>
      <c r="D67" s="79"/>
      <c r="E67" s="79"/>
      <c r="F67" s="79"/>
      <c r="G67" s="79"/>
      <c r="H67" s="79"/>
      <c r="I67" s="79"/>
      <c r="J67" s="79"/>
      <c r="K67" s="79"/>
      <c r="L67" s="79"/>
      <c r="M67" s="79"/>
      <c r="N67" s="79"/>
      <c r="O67" s="91"/>
      <c r="P67" s="92"/>
      <c r="Q67" s="93"/>
      <c r="R67" s="93"/>
      <c r="S67" s="93"/>
      <c r="T67" s="93"/>
      <c r="U67" s="93"/>
      <c r="V67" s="93"/>
    </row>
    <row r="68" spans="1:22" ht="21" customHeight="1" x14ac:dyDescent="0.15">
      <c r="A68" s="79"/>
      <c r="B68" s="79"/>
      <c r="C68" s="79"/>
      <c r="D68" s="79"/>
      <c r="E68" s="79"/>
      <c r="F68" s="79"/>
      <c r="G68" s="79"/>
      <c r="H68" s="79"/>
      <c r="I68" s="79"/>
      <c r="J68" s="79"/>
      <c r="K68" s="79"/>
      <c r="L68" s="79"/>
      <c r="M68" s="79"/>
      <c r="N68" s="79"/>
      <c r="O68" s="91"/>
      <c r="P68" s="92"/>
      <c r="Q68" s="93"/>
      <c r="R68" s="93"/>
      <c r="S68" s="93"/>
      <c r="T68" s="93"/>
      <c r="U68" s="93"/>
      <c r="V68" s="93"/>
    </row>
    <row r="69" spans="1:22" ht="21" customHeight="1" x14ac:dyDescent="0.15">
      <c r="A69" s="79"/>
      <c r="B69" s="79"/>
      <c r="C69" s="79"/>
      <c r="D69" s="79"/>
      <c r="E69" s="79"/>
      <c r="F69" s="79"/>
      <c r="G69" s="79"/>
      <c r="H69" s="79"/>
      <c r="I69" s="79"/>
      <c r="J69" s="79"/>
      <c r="K69" s="79"/>
      <c r="L69" s="79"/>
      <c r="M69" s="79"/>
      <c r="N69" s="79"/>
      <c r="O69" s="91"/>
      <c r="P69" s="92"/>
      <c r="Q69" s="93"/>
      <c r="R69" s="93"/>
      <c r="S69" s="93"/>
      <c r="T69" s="93"/>
      <c r="U69" s="93"/>
      <c r="V69" s="93"/>
    </row>
    <row r="70" spans="1:22" ht="21" customHeight="1" x14ac:dyDescent="0.15">
      <c r="A70" s="79"/>
      <c r="B70" s="79"/>
      <c r="C70" s="79"/>
      <c r="D70" s="79"/>
      <c r="E70" s="79"/>
      <c r="F70" s="79"/>
      <c r="G70" s="79"/>
      <c r="H70" s="79"/>
      <c r="I70" s="79"/>
      <c r="J70" s="79"/>
      <c r="K70" s="79"/>
      <c r="L70" s="79"/>
      <c r="M70" s="79"/>
      <c r="N70" s="79"/>
      <c r="O70" s="91"/>
      <c r="P70" s="92"/>
      <c r="Q70" s="93"/>
      <c r="R70" s="93"/>
      <c r="S70" s="93"/>
      <c r="T70" s="93"/>
      <c r="U70" s="93"/>
      <c r="V70" s="93"/>
    </row>
    <row r="71" spans="1:22" ht="21" customHeight="1" x14ac:dyDescent="0.15">
      <c r="A71" s="79"/>
      <c r="B71" s="79"/>
      <c r="C71" s="79"/>
      <c r="D71" s="79"/>
      <c r="E71" s="79"/>
      <c r="F71" s="79"/>
      <c r="G71" s="79"/>
      <c r="H71" s="79"/>
      <c r="I71" s="79"/>
      <c r="J71" s="79"/>
      <c r="K71" s="79"/>
      <c r="L71" s="79"/>
      <c r="M71" s="79"/>
      <c r="N71" s="79"/>
      <c r="O71" s="91"/>
      <c r="P71" s="92"/>
      <c r="Q71" s="93"/>
      <c r="R71" s="93"/>
      <c r="S71" s="93"/>
      <c r="T71" s="93"/>
      <c r="U71" s="93"/>
      <c r="V71" s="93"/>
    </row>
    <row r="72" spans="1:22" ht="21" customHeight="1" x14ac:dyDescent="0.15">
      <c r="A72" s="79"/>
      <c r="B72" s="79"/>
      <c r="C72" s="79"/>
      <c r="D72" s="79"/>
      <c r="E72" s="79"/>
      <c r="F72" s="79"/>
      <c r="G72" s="79"/>
      <c r="H72" s="79"/>
      <c r="I72" s="79"/>
      <c r="J72" s="79"/>
      <c r="K72" s="79"/>
      <c r="L72" s="79"/>
      <c r="M72" s="79"/>
      <c r="N72" s="79"/>
      <c r="O72" s="91"/>
      <c r="P72" s="92"/>
      <c r="Q72" s="93"/>
      <c r="R72" s="93"/>
      <c r="S72" s="93"/>
      <c r="T72" s="93"/>
      <c r="U72" s="93"/>
      <c r="V72" s="93"/>
    </row>
    <row r="73" spans="1:22" ht="21" customHeight="1" x14ac:dyDescent="0.15">
      <c r="A73" s="79"/>
      <c r="B73" s="79"/>
      <c r="C73" s="79"/>
      <c r="D73" s="79"/>
      <c r="E73" s="79"/>
      <c r="F73" s="79"/>
      <c r="G73" s="79"/>
      <c r="H73" s="79"/>
      <c r="I73" s="79"/>
      <c r="J73" s="79"/>
      <c r="K73" s="79"/>
      <c r="L73" s="79"/>
      <c r="M73" s="79"/>
      <c r="N73" s="79"/>
      <c r="O73" s="91"/>
      <c r="P73" s="92"/>
      <c r="Q73" s="93"/>
      <c r="R73" s="93"/>
      <c r="S73" s="93"/>
      <c r="T73" s="93"/>
      <c r="U73" s="93"/>
      <c r="V73" s="93"/>
    </row>
    <row r="74" spans="1:22" ht="21" customHeight="1" x14ac:dyDescent="0.15">
      <c r="A74" s="79"/>
      <c r="B74" s="79"/>
      <c r="C74" s="79"/>
      <c r="D74" s="79"/>
      <c r="E74" s="79"/>
      <c r="F74" s="79"/>
      <c r="G74" s="79"/>
      <c r="H74" s="79"/>
      <c r="I74" s="79"/>
      <c r="J74" s="79"/>
      <c r="K74" s="79"/>
      <c r="L74" s="79"/>
      <c r="M74" s="79"/>
      <c r="N74" s="79"/>
      <c r="O74" s="91"/>
      <c r="P74" s="92"/>
      <c r="Q74" s="93"/>
      <c r="R74" s="93"/>
      <c r="S74" s="93"/>
      <c r="T74" s="93"/>
      <c r="U74" s="93"/>
      <c r="V74" s="93"/>
    </row>
    <row r="75" spans="1:22" ht="21" customHeight="1" x14ac:dyDescent="0.15">
      <c r="A75" s="79"/>
      <c r="B75" s="79"/>
      <c r="C75" s="79"/>
      <c r="D75" s="79"/>
      <c r="E75" s="79"/>
      <c r="F75" s="79"/>
      <c r="G75" s="79"/>
      <c r="H75" s="79"/>
      <c r="I75" s="79"/>
      <c r="J75" s="79"/>
      <c r="K75" s="79"/>
      <c r="L75" s="79"/>
      <c r="M75" s="79"/>
      <c r="N75" s="79"/>
      <c r="O75" s="91"/>
      <c r="P75" s="92"/>
      <c r="Q75" s="93"/>
      <c r="R75" s="93"/>
      <c r="S75" s="93"/>
      <c r="T75" s="93"/>
      <c r="U75" s="93"/>
      <c r="V75" s="93"/>
    </row>
    <row r="76" spans="1:22" ht="21" customHeight="1" x14ac:dyDescent="0.15">
      <c r="A76" s="79"/>
      <c r="B76" s="79"/>
      <c r="C76" s="79"/>
      <c r="D76" s="79"/>
      <c r="E76" s="79"/>
      <c r="F76" s="79"/>
      <c r="G76" s="79"/>
      <c r="H76" s="79"/>
      <c r="I76" s="79"/>
      <c r="J76" s="79"/>
      <c r="K76" s="79"/>
      <c r="L76" s="79"/>
      <c r="M76" s="79"/>
      <c r="N76" s="79"/>
      <c r="O76" s="91"/>
      <c r="P76" s="92"/>
      <c r="Q76" s="93"/>
      <c r="R76" s="93"/>
      <c r="S76" s="93"/>
      <c r="T76" s="93"/>
      <c r="U76" s="93"/>
      <c r="V76" s="93"/>
    </row>
    <row r="77" spans="1:22" ht="21" customHeight="1" x14ac:dyDescent="0.15">
      <c r="A77" s="79"/>
      <c r="B77" s="79"/>
      <c r="C77" s="79"/>
      <c r="D77" s="79"/>
      <c r="E77" s="79"/>
      <c r="F77" s="79"/>
      <c r="G77" s="79"/>
      <c r="H77" s="79"/>
      <c r="I77" s="79"/>
      <c r="J77" s="79"/>
      <c r="K77" s="79"/>
      <c r="L77" s="79"/>
      <c r="M77" s="79"/>
      <c r="N77" s="79"/>
      <c r="O77" s="91"/>
      <c r="P77" s="92"/>
      <c r="Q77" s="93"/>
      <c r="R77" s="93"/>
      <c r="S77" s="93"/>
      <c r="T77" s="93"/>
      <c r="U77" s="93"/>
      <c r="V77" s="93"/>
    </row>
    <row r="78" spans="1:22" ht="21" customHeight="1" x14ac:dyDescent="0.15">
      <c r="A78" s="79"/>
      <c r="B78" s="79"/>
      <c r="C78" s="79"/>
      <c r="D78" s="79"/>
      <c r="E78" s="79"/>
      <c r="F78" s="79"/>
      <c r="G78" s="79"/>
      <c r="H78" s="79"/>
      <c r="I78" s="79"/>
      <c r="J78" s="79"/>
      <c r="K78" s="79"/>
      <c r="L78" s="79"/>
      <c r="M78" s="79"/>
      <c r="N78" s="79"/>
      <c r="O78" s="91"/>
      <c r="P78" s="92"/>
      <c r="Q78" s="93"/>
      <c r="R78" s="93"/>
      <c r="S78" s="93"/>
      <c r="T78" s="93"/>
      <c r="U78" s="93"/>
      <c r="V78" s="93"/>
    </row>
    <row r="79" spans="1:22" ht="21" customHeight="1" x14ac:dyDescent="0.15">
      <c r="A79" s="79"/>
      <c r="B79" s="79"/>
      <c r="C79" s="79"/>
      <c r="D79" s="79"/>
      <c r="E79" s="79"/>
      <c r="F79" s="79"/>
      <c r="G79" s="79"/>
      <c r="H79" s="79"/>
      <c r="I79" s="79"/>
      <c r="J79" s="79"/>
      <c r="K79" s="79"/>
      <c r="L79" s="79"/>
      <c r="M79" s="79"/>
      <c r="N79" s="79"/>
      <c r="O79" s="91"/>
      <c r="P79" s="92"/>
      <c r="Q79" s="93"/>
      <c r="R79" s="93"/>
      <c r="S79" s="93"/>
      <c r="T79" s="93"/>
      <c r="U79" s="93"/>
      <c r="V79" s="93"/>
    </row>
    <row r="80" spans="1:22" ht="21" customHeight="1" x14ac:dyDescent="0.15">
      <c r="A80" s="79"/>
      <c r="B80" s="79"/>
      <c r="C80" s="79"/>
      <c r="D80" s="79"/>
      <c r="E80" s="79"/>
      <c r="F80" s="79"/>
      <c r="G80" s="79"/>
      <c r="H80" s="79"/>
      <c r="I80" s="79"/>
      <c r="J80" s="79"/>
      <c r="K80" s="79"/>
      <c r="L80" s="79"/>
      <c r="M80" s="79"/>
      <c r="N80" s="79"/>
      <c r="O80" s="91"/>
      <c r="P80" s="92"/>
      <c r="Q80" s="93"/>
      <c r="R80" s="93"/>
      <c r="S80" s="93"/>
      <c r="T80" s="93"/>
      <c r="U80" s="93"/>
      <c r="V80" s="93"/>
    </row>
    <row r="81" spans="1:22" ht="21" customHeight="1" x14ac:dyDescent="0.15">
      <c r="A81" s="79"/>
      <c r="B81" s="79"/>
      <c r="C81" s="79"/>
      <c r="D81" s="79"/>
      <c r="E81" s="79"/>
      <c r="F81" s="79"/>
      <c r="G81" s="79"/>
      <c r="H81" s="79"/>
      <c r="I81" s="79"/>
      <c r="J81" s="79"/>
      <c r="K81" s="79"/>
      <c r="L81" s="79"/>
      <c r="M81" s="79"/>
      <c r="N81" s="79"/>
      <c r="O81" s="91"/>
      <c r="P81" s="92"/>
      <c r="Q81" s="93"/>
      <c r="R81" s="93"/>
      <c r="S81" s="93"/>
      <c r="T81" s="93"/>
      <c r="U81" s="93"/>
      <c r="V81" s="93"/>
    </row>
    <row r="82" spans="1:22" ht="21" customHeight="1" x14ac:dyDescent="0.15">
      <c r="A82" s="79"/>
      <c r="B82" s="79"/>
      <c r="C82" s="79"/>
      <c r="D82" s="79"/>
      <c r="E82" s="79"/>
      <c r="F82" s="79"/>
      <c r="G82" s="79"/>
      <c r="H82" s="79"/>
      <c r="I82" s="79"/>
      <c r="J82" s="79"/>
      <c r="K82" s="79"/>
      <c r="L82" s="79"/>
      <c r="M82" s="79"/>
      <c r="N82" s="79"/>
      <c r="O82" s="91"/>
      <c r="P82" s="92"/>
      <c r="Q82" s="93"/>
      <c r="R82" s="93"/>
      <c r="S82" s="93"/>
      <c r="T82" s="93"/>
      <c r="U82" s="93"/>
      <c r="V82" s="93"/>
    </row>
    <row r="83" spans="1:22" ht="21" customHeight="1" x14ac:dyDescent="0.15">
      <c r="A83" s="79"/>
      <c r="B83" s="79"/>
      <c r="C83" s="79"/>
      <c r="D83" s="79"/>
      <c r="E83" s="79"/>
      <c r="F83" s="79"/>
      <c r="G83" s="79"/>
      <c r="H83" s="79"/>
      <c r="I83" s="79"/>
      <c r="J83" s="79"/>
      <c r="K83" s="79"/>
      <c r="L83" s="79"/>
      <c r="M83" s="79"/>
      <c r="N83" s="79"/>
      <c r="O83" s="91"/>
      <c r="P83" s="92"/>
      <c r="Q83" s="93"/>
      <c r="R83" s="93"/>
      <c r="S83" s="93"/>
      <c r="T83" s="93"/>
      <c r="U83" s="93"/>
      <c r="V83" s="93"/>
    </row>
    <row r="84" spans="1:22" ht="21" customHeight="1" x14ac:dyDescent="0.15">
      <c r="A84" s="79"/>
      <c r="B84" s="79"/>
      <c r="C84" s="79"/>
      <c r="D84" s="79"/>
      <c r="E84" s="79"/>
      <c r="F84" s="79"/>
      <c r="G84" s="79"/>
      <c r="H84" s="79"/>
      <c r="I84" s="79"/>
      <c r="J84" s="79"/>
      <c r="K84" s="79"/>
      <c r="L84" s="79"/>
      <c r="M84" s="79"/>
      <c r="N84" s="79"/>
      <c r="O84" s="91"/>
      <c r="P84" s="92"/>
      <c r="Q84" s="93"/>
      <c r="R84" s="93"/>
      <c r="S84" s="93"/>
      <c r="T84" s="93"/>
      <c r="U84" s="93"/>
      <c r="V84" s="93"/>
    </row>
    <row r="85" spans="1:22" ht="21" customHeight="1" x14ac:dyDescent="0.15">
      <c r="A85" s="79"/>
      <c r="B85" s="79"/>
      <c r="C85" s="79"/>
      <c r="D85" s="79"/>
      <c r="E85" s="79"/>
      <c r="F85" s="79"/>
      <c r="G85" s="79"/>
      <c r="H85" s="79"/>
      <c r="I85" s="79"/>
      <c r="J85" s="79"/>
      <c r="K85" s="79"/>
      <c r="L85" s="79"/>
      <c r="M85" s="79"/>
      <c r="N85" s="79"/>
      <c r="O85" s="91"/>
      <c r="P85" s="92"/>
      <c r="Q85" s="93"/>
      <c r="R85" s="93"/>
      <c r="S85" s="93"/>
      <c r="T85" s="93"/>
      <c r="U85" s="93"/>
      <c r="V85" s="93"/>
    </row>
    <row r="86" spans="1:22" ht="21" customHeight="1" x14ac:dyDescent="0.15">
      <c r="A86" s="79"/>
      <c r="B86" s="79"/>
      <c r="C86" s="79"/>
      <c r="D86" s="79"/>
      <c r="E86" s="79"/>
      <c r="F86" s="79"/>
      <c r="G86" s="79"/>
      <c r="H86" s="79"/>
      <c r="I86" s="79"/>
      <c r="J86" s="79"/>
      <c r="K86" s="79"/>
      <c r="L86" s="79"/>
      <c r="M86" s="79"/>
      <c r="N86" s="79"/>
      <c r="O86" s="91"/>
      <c r="P86" s="92"/>
      <c r="Q86" s="93"/>
      <c r="R86" s="93"/>
      <c r="S86" s="93"/>
      <c r="T86" s="93"/>
      <c r="U86" s="93"/>
      <c r="V86" s="93"/>
    </row>
    <row r="87" spans="1:22" ht="21" customHeight="1" x14ac:dyDescent="0.15">
      <c r="A87" s="79"/>
      <c r="B87" s="79"/>
      <c r="C87" s="79"/>
      <c r="D87" s="79"/>
      <c r="E87" s="79"/>
      <c r="F87" s="79"/>
      <c r="G87" s="79"/>
      <c r="H87" s="79"/>
      <c r="I87" s="79"/>
      <c r="J87" s="79"/>
      <c r="K87" s="79"/>
      <c r="L87" s="79"/>
      <c r="M87" s="79"/>
      <c r="N87" s="79"/>
      <c r="O87" s="91"/>
      <c r="P87" s="92"/>
      <c r="Q87" s="93"/>
      <c r="R87" s="93"/>
      <c r="S87" s="93"/>
      <c r="T87" s="93"/>
      <c r="U87" s="93"/>
      <c r="V87" s="93"/>
    </row>
    <row r="88" spans="1:22" ht="21" customHeight="1" x14ac:dyDescent="0.15">
      <c r="A88" s="79"/>
      <c r="B88" s="79"/>
      <c r="C88" s="79"/>
      <c r="D88" s="79"/>
      <c r="E88" s="79"/>
      <c r="F88" s="79"/>
      <c r="G88" s="79"/>
      <c r="H88" s="79"/>
      <c r="I88" s="79"/>
      <c r="J88" s="79"/>
      <c r="K88" s="79"/>
      <c r="L88" s="79"/>
      <c r="M88" s="79"/>
      <c r="N88" s="79"/>
      <c r="O88" s="91"/>
      <c r="P88" s="92"/>
      <c r="Q88" s="93"/>
      <c r="R88" s="93"/>
      <c r="S88" s="93"/>
      <c r="T88" s="93"/>
      <c r="U88" s="93"/>
      <c r="V88" s="93"/>
    </row>
    <row r="89" spans="1:22" ht="21" customHeight="1" x14ac:dyDescent="0.15">
      <c r="A89" s="79"/>
      <c r="B89" s="79"/>
      <c r="C89" s="79"/>
      <c r="D89" s="79"/>
      <c r="E89" s="79"/>
      <c r="F89" s="79"/>
      <c r="G89" s="79"/>
      <c r="H89" s="79"/>
      <c r="I89" s="79"/>
      <c r="J89" s="79"/>
      <c r="K89" s="79"/>
      <c r="L89" s="79"/>
      <c r="M89" s="79"/>
      <c r="N89" s="79"/>
      <c r="O89" s="91"/>
      <c r="P89" s="92"/>
      <c r="Q89" s="93"/>
      <c r="R89" s="93"/>
      <c r="S89" s="93"/>
      <c r="T89" s="93"/>
      <c r="U89" s="93"/>
      <c r="V89" s="93"/>
    </row>
    <row r="90" spans="1:22" ht="21" customHeight="1" x14ac:dyDescent="0.15">
      <c r="A90" s="79"/>
      <c r="B90" s="79"/>
      <c r="C90" s="79"/>
      <c r="D90" s="79"/>
      <c r="E90" s="79"/>
      <c r="F90" s="79"/>
      <c r="G90" s="79"/>
      <c r="H90" s="79"/>
      <c r="I90" s="79"/>
      <c r="J90" s="79"/>
      <c r="K90" s="79"/>
      <c r="L90" s="79"/>
      <c r="M90" s="79"/>
      <c r="N90" s="79"/>
      <c r="O90" s="91"/>
      <c r="P90" s="92"/>
      <c r="Q90" s="93"/>
      <c r="R90" s="93"/>
      <c r="S90" s="93"/>
      <c r="T90" s="93"/>
      <c r="U90" s="93"/>
      <c r="V90" s="93"/>
    </row>
    <row r="91" spans="1:22" ht="21" customHeight="1" x14ac:dyDescent="0.15">
      <c r="A91" s="79"/>
      <c r="B91" s="79"/>
      <c r="C91" s="79"/>
      <c r="D91" s="79"/>
      <c r="E91" s="79"/>
      <c r="F91" s="79"/>
      <c r="G91" s="79"/>
      <c r="H91" s="79"/>
      <c r="I91" s="79"/>
      <c r="J91" s="79"/>
      <c r="K91" s="79"/>
      <c r="L91" s="79"/>
      <c r="M91" s="79"/>
      <c r="N91" s="79"/>
      <c r="O91" s="91"/>
      <c r="P91" s="92"/>
      <c r="Q91" s="93"/>
      <c r="R91" s="93"/>
      <c r="S91" s="93"/>
      <c r="T91" s="93"/>
      <c r="U91" s="93"/>
      <c r="V91" s="93"/>
    </row>
    <row r="92" spans="1:22" ht="21" customHeight="1" x14ac:dyDescent="0.15">
      <c r="A92" s="79"/>
      <c r="B92" s="79"/>
      <c r="C92" s="79"/>
      <c r="D92" s="79"/>
      <c r="E92" s="79"/>
      <c r="F92" s="79"/>
      <c r="G92" s="79"/>
      <c r="H92" s="79"/>
      <c r="I92" s="79"/>
      <c r="J92" s="79"/>
      <c r="K92" s="79"/>
      <c r="L92" s="79"/>
      <c r="M92" s="79"/>
      <c r="N92" s="79"/>
      <c r="O92" s="91"/>
      <c r="P92" s="92"/>
      <c r="Q92" s="93"/>
      <c r="R92" s="93"/>
      <c r="S92" s="93"/>
      <c r="T92" s="93"/>
      <c r="U92" s="93"/>
      <c r="V92" s="93"/>
    </row>
    <row r="93" spans="1:22" ht="21" customHeight="1" x14ac:dyDescent="0.15">
      <c r="A93" s="79"/>
      <c r="B93" s="79"/>
      <c r="C93" s="79"/>
      <c r="D93" s="79"/>
      <c r="E93" s="79"/>
      <c r="F93" s="79"/>
      <c r="G93" s="79"/>
      <c r="H93" s="79"/>
      <c r="I93" s="79"/>
      <c r="J93" s="79"/>
      <c r="K93" s="79"/>
      <c r="L93" s="79"/>
      <c r="M93" s="79"/>
      <c r="N93" s="79"/>
      <c r="O93" s="91"/>
      <c r="P93" s="92"/>
      <c r="Q93" s="93"/>
      <c r="R93" s="93"/>
      <c r="S93" s="93"/>
      <c r="T93" s="93"/>
      <c r="U93" s="93"/>
      <c r="V93" s="93"/>
    </row>
    <row r="94" spans="1:22" ht="21" customHeight="1" x14ac:dyDescent="0.15">
      <c r="A94" s="79"/>
      <c r="B94" s="79"/>
      <c r="C94" s="79"/>
      <c r="D94" s="79"/>
      <c r="E94" s="79"/>
      <c r="F94" s="79"/>
      <c r="G94" s="79"/>
      <c r="H94" s="79"/>
      <c r="I94" s="79"/>
      <c r="J94" s="79"/>
      <c r="K94" s="79"/>
      <c r="L94" s="79"/>
      <c r="M94" s="79"/>
      <c r="N94" s="79"/>
      <c r="O94" s="91"/>
      <c r="P94" s="92"/>
      <c r="Q94" s="93"/>
      <c r="R94" s="93"/>
      <c r="S94" s="93"/>
      <c r="T94" s="93"/>
      <c r="U94" s="93"/>
      <c r="V94" s="93"/>
    </row>
    <row r="95" spans="1:22" ht="21" customHeight="1" x14ac:dyDescent="0.15">
      <c r="A95" s="79"/>
      <c r="B95" s="79"/>
      <c r="C95" s="79"/>
      <c r="D95" s="79"/>
      <c r="E95" s="79"/>
      <c r="F95" s="79"/>
      <c r="G95" s="79"/>
      <c r="H95" s="79"/>
      <c r="I95" s="79"/>
      <c r="J95" s="79"/>
      <c r="K95" s="79"/>
      <c r="L95" s="79"/>
      <c r="M95" s="79"/>
      <c r="N95" s="79"/>
      <c r="O95" s="91"/>
      <c r="P95" s="92"/>
      <c r="Q95" s="93"/>
      <c r="R95" s="93"/>
      <c r="S95" s="93"/>
      <c r="T95" s="93"/>
      <c r="U95" s="93"/>
      <c r="V95" s="93"/>
    </row>
    <row r="96" spans="1:22" ht="21" customHeight="1" x14ac:dyDescent="0.15">
      <c r="A96" s="79"/>
      <c r="B96" s="79"/>
      <c r="C96" s="79"/>
      <c r="D96" s="79"/>
      <c r="E96" s="79"/>
      <c r="F96" s="79"/>
      <c r="G96" s="79"/>
      <c r="H96" s="79"/>
      <c r="I96" s="79"/>
      <c r="J96" s="79"/>
      <c r="K96" s="79"/>
      <c r="L96" s="79"/>
      <c r="M96" s="79"/>
      <c r="N96" s="79"/>
      <c r="O96" s="91"/>
      <c r="P96" s="92"/>
      <c r="Q96" s="93"/>
      <c r="R96" s="93"/>
      <c r="S96" s="93"/>
      <c r="T96" s="93"/>
      <c r="U96" s="93"/>
      <c r="V96" s="93"/>
    </row>
    <row r="97" spans="1:22" ht="21" customHeight="1" x14ac:dyDescent="0.15">
      <c r="A97" s="79"/>
      <c r="B97" s="79"/>
      <c r="C97" s="79"/>
      <c r="D97" s="79"/>
      <c r="E97" s="79"/>
      <c r="F97" s="79"/>
      <c r="G97" s="79"/>
      <c r="H97" s="79"/>
      <c r="I97" s="79"/>
      <c r="J97" s="79"/>
      <c r="K97" s="79"/>
      <c r="L97" s="79"/>
      <c r="M97" s="79"/>
      <c r="N97" s="79"/>
      <c r="O97" s="91"/>
      <c r="P97" s="92"/>
      <c r="Q97" s="93"/>
      <c r="R97" s="93"/>
      <c r="S97" s="93"/>
      <c r="T97" s="93"/>
      <c r="U97" s="93"/>
      <c r="V97" s="93"/>
    </row>
    <row r="98" spans="1:22" ht="21" customHeight="1" x14ac:dyDescent="0.15">
      <c r="A98" s="79"/>
      <c r="B98" s="79"/>
      <c r="C98" s="79"/>
      <c r="D98" s="79"/>
      <c r="E98" s="79"/>
      <c r="F98" s="79"/>
      <c r="G98" s="79"/>
      <c r="H98" s="79"/>
      <c r="I98" s="79"/>
      <c r="J98" s="79"/>
      <c r="K98" s="79"/>
      <c r="L98" s="79"/>
      <c r="M98" s="79"/>
      <c r="N98" s="79"/>
      <c r="O98" s="91"/>
      <c r="P98" s="92"/>
      <c r="Q98" s="93"/>
      <c r="R98" s="93"/>
      <c r="S98" s="93"/>
      <c r="T98" s="93"/>
      <c r="U98" s="93"/>
      <c r="V98" s="93"/>
    </row>
    <row r="99" spans="1:22" ht="21" customHeight="1" x14ac:dyDescent="0.15">
      <c r="A99" s="79"/>
      <c r="B99" s="79"/>
      <c r="C99" s="79"/>
      <c r="D99" s="79"/>
      <c r="E99" s="79"/>
      <c r="F99" s="79"/>
      <c r="G99" s="79"/>
      <c r="H99" s="79"/>
      <c r="I99" s="79"/>
      <c r="J99" s="79"/>
      <c r="K99" s="79"/>
      <c r="L99" s="79"/>
      <c r="M99" s="79"/>
      <c r="N99" s="79"/>
      <c r="O99" s="91"/>
      <c r="P99" s="92"/>
      <c r="Q99" s="93"/>
      <c r="R99" s="93"/>
      <c r="S99" s="93"/>
      <c r="T99" s="93"/>
      <c r="U99" s="93"/>
      <c r="V99" s="93"/>
    </row>
    <row r="100" spans="1:22" ht="21" customHeight="1" x14ac:dyDescent="0.15">
      <c r="A100" s="79"/>
      <c r="B100" s="79"/>
      <c r="C100" s="79"/>
      <c r="D100" s="79"/>
      <c r="E100" s="79"/>
      <c r="F100" s="79"/>
      <c r="G100" s="79"/>
      <c r="H100" s="79"/>
      <c r="I100" s="79"/>
      <c r="J100" s="79"/>
      <c r="K100" s="79"/>
      <c r="L100" s="79"/>
      <c r="M100" s="79"/>
      <c r="N100" s="79"/>
      <c r="O100" s="91"/>
      <c r="P100" s="92"/>
      <c r="Q100" s="93"/>
      <c r="R100" s="93"/>
      <c r="S100" s="93"/>
      <c r="T100" s="93"/>
      <c r="U100" s="93"/>
      <c r="V100" s="93"/>
    </row>
    <row r="101" spans="1:22" ht="21" customHeight="1" x14ac:dyDescent="0.15">
      <c r="A101" s="79"/>
      <c r="B101" s="79"/>
      <c r="C101" s="79"/>
      <c r="D101" s="79"/>
      <c r="E101" s="79"/>
      <c r="F101" s="79"/>
      <c r="G101" s="79"/>
      <c r="H101" s="79"/>
      <c r="I101" s="79"/>
      <c r="J101" s="79"/>
      <c r="K101" s="79"/>
      <c r="L101" s="79"/>
      <c r="M101" s="79"/>
      <c r="N101" s="79"/>
      <c r="O101" s="91"/>
      <c r="P101" s="92"/>
      <c r="Q101" s="93"/>
      <c r="R101" s="93"/>
      <c r="S101" s="93"/>
      <c r="T101" s="93"/>
      <c r="U101" s="93"/>
      <c r="V101" s="93"/>
    </row>
    <row r="102" spans="1:22" ht="21" customHeight="1" x14ac:dyDescent="0.15">
      <c r="A102" s="79"/>
      <c r="B102" s="79"/>
      <c r="C102" s="79"/>
      <c r="D102" s="79"/>
      <c r="E102" s="79"/>
      <c r="F102" s="79"/>
      <c r="G102" s="79"/>
      <c r="H102" s="79"/>
      <c r="I102" s="79"/>
      <c r="J102" s="79"/>
      <c r="K102" s="79"/>
      <c r="L102" s="79"/>
      <c r="M102" s="79"/>
      <c r="N102" s="79"/>
      <c r="O102" s="91"/>
      <c r="P102" s="92"/>
      <c r="Q102" s="93"/>
      <c r="R102" s="93"/>
      <c r="S102" s="93"/>
      <c r="T102" s="93"/>
      <c r="U102" s="93"/>
      <c r="V102" s="93"/>
    </row>
    <row r="103" spans="1:22" ht="21" customHeight="1" x14ac:dyDescent="0.15">
      <c r="A103" s="79"/>
      <c r="B103" s="79"/>
      <c r="C103" s="79"/>
      <c r="D103" s="79"/>
      <c r="E103" s="79"/>
      <c r="F103" s="79"/>
      <c r="G103" s="79"/>
      <c r="H103" s="79"/>
      <c r="I103" s="79"/>
      <c r="J103" s="79"/>
      <c r="K103" s="79"/>
      <c r="L103" s="79"/>
      <c r="M103" s="79"/>
      <c r="N103" s="79"/>
      <c r="O103" s="91"/>
      <c r="P103" s="92"/>
      <c r="Q103" s="93"/>
      <c r="R103" s="93"/>
      <c r="S103" s="93"/>
      <c r="T103" s="93"/>
      <c r="U103" s="93"/>
      <c r="V103" s="93"/>
    </row>
    <row r="104" spans="1:22" ht="21" customHeight="1" x14ac:dyDescent="0.15">
      <c r="A104" s="79"/>
      <c r="B104" s="79"/>
      <c r="C104" s="79"/>
      <c r="D104" s="79"/>
      <c r="E104" s="79"/>
      <c r="F104" s="79"/>
      <c r="G104" s="79"/>
      <c r="H104" s="79"/>
      <c r="I104" s="79"/>
      <c r="J104" s="79"/>
      <c r="K104" s="79"/>
      <c r="L104" s="79"/>
      <c r="M104" s="79"/>
      <c r="N104" s="79"/>
      <c r="O104" s="91"/>
      <c r="P104" s="92"/>
      <c r="Q104" s="93"/>
      <c r="R104" s="93"/>
      <c r="S104" s="93"/>
      <c r="T104" s="93"/>
      <c r="U104" s="93"/>
      <c r="V104" s="93"/>
    </row>
    <row r="105" spans="1:22" ht="21" customHeight="1" x14ac:dyDescent="0.15">
      <c r="A105" s="79"/>
      <c r="B105" s="79"/>
      <c r="C105" s="79"/>
      <c r="D105" s="79"/>
      <c r="E105" s="79"/>
      <c r="F105" s="79"/>
      <c r="G105" s="79"/>
      <c r="H105" s="79"/>
      <c r="I105" s="79"/>
      <c r="J105" s="79"/>
      <c r="K105" s="79"/>
      <c r="L105" s="79"/>
      <c r="M105" s="79"/>
      <c r="N105" s="79"/>
      <c r="O105" s="91"/>
      <c r="P105" s="92"/>
      <c r="Q105" s="93"/>
      <c r="R105" s="93"/>
      <c r="S105" s="93"/>
      <c r="T105" s="93"/>
      <c r="U105" s="93"/>
      <c r="V105" s="93"/>
    </row>
    <row r="106" spans="1:22" ht="21" customHeight="1" x14ac:dyDescent="0.15">
      <c r="A106" s="79"/>
      <c r="B106" s="79"/>
      <c r="C106" s="79"/>
      <c r="D106" s="79"/>
      <c r="E106" s="79"/>
      <c r="F106" s="79"/>
      <c r="G106" s="79"/>
      <c r="H106" s="79"/>
      <c r="I106" s="79"/>
      <c r="J106" s="79"/>
      <c r="K106" s="79"/>
      <c r="L106" s="79"/>
      <c r="M106" s="79"/>
      <c r="N106" s="79"/>
      <c r="O106" s="91"/>
      <c r="P106" s="92"/>
      <c r="Q106" s="93"/>
      <c r="R106" s="93"/>
      <c r="S106" s="93"/>
      <c r="T106" s="93"/>
      <c r="U106" s="93"/>
      <c r="V106" s="93"/>
    </row>
    <row r="107" spans="1:22" ht="21" customHeight="1" x14ac:dyDescent="0.15">
      <c r="A107" s="79"/>
      <c r="B107" s="79"/>
      <c r="C107" s="79"/>
      <c r="D107" s="79"/>
      <c r="E107" s="79"/>
      <c r="F107" s="79"/>
      <c r="G107" s="79"/>
      <c r="H107" s="79"/>
      <c r="I107" s="79"/>
      <c r="J107" s="79"/>
      <c r="K107" s="79"/>
      <c r="L107" s="79"/>
      <c r="M107" s="79"/>
      <c r="N107" s="79"/>
      <c r="O107" s="91"/>
      <c r="P107" s="92"/>
      <c r="Q107" s="93"/>
      <c r="R107" s="93"/>
      <c r="S107" s="93"/>
      <c r="T107" s="93"/>
      <c r="U107" s="93"/>
      <c r="V107" s="93"/>
    </row>
    <row r="108" spans="1:22" ht="21" customHeight="1" x14ac:dyDescent="0.15">
      <c r="A108" s="79"/>
      <c r="B108" s="79"/>
      <c r="C108" s="79"/>
      <c r="D108" s="79"/>
      <c r="E108" s="79"/>
      <c r="F108" s="79"/>
      <c r="G108" s="79"/>
      <c r="H108" s="79"/>
      <c r="I108" s="79"/>
      <c r="J108" s="79"/>
      <c r="K108" s="79"/>
      <c r="L108" s="79"/>
      <c r="M108" s="79"/>
      <c r="N108" s="79"/>
      <c r="O108" s="91"/>
      <c r="P108" s="92"/>
      <c r="Q108" s="93"/>
      <c r="R108" s="93"/>
      <c r="S108" s="93"/>
      <c r="T108" s="93"/>
      <c r="U108" s="93"/>
      <c r="V108" s="93"/>
    </row>
    <row r="109" spans="1:22" ht="21" customHeight="1" x14ac:dyDescent="0.15">
      <c r="A109" s="79"/>
      <c r="B109" s="79"/>
      <c r="C109" s="79"/>
      <c r="D109" s="79"/>
      <c r="E109" s="79"/>
      <c r="F109" s="79"/>
      <c r="G109" s="79"/>
      <c r="H109" s="79"/>
      <c r="I109" s="79"/>
      <c r="J109" s="79"/>
      <c r="K109" s="79"/>
      <c r="L109" s="79"/>
      <c r="M109" s="79"/>
      <c r="N109" s="79"/>
      <c r="O109" s="91"/>
      <c r="P109" s="92"/>
      <c r="Q109" s="93"/>
      <c r="R109" s="93"/>
      <c r="S109" s="93"/>
      <c r="T109" s="93"/>
      <c r="U109" s="93"/>
      <c r="V109" s="93"/>
    </row>
    <row r="110" spans="1:22" ht="21" customHeight="1" x14ac:dyDescent="0.15">
      <c r="A110" s="79"/>
      <c r="B110" s="79"/>
      <c r="C110" s="79"/>
      <c r="D110" s="79"/>
      <c r="E110" s="79"/>
      <c r="F110" s="79"/>
      <c r="G110" s="79"/>
      <c r="H110" s="79"/>
      <c r="I110" s="79"/>
      <c r="J110" s="79"/>
      <c r="K110" s="79"/>
      <c r="L110" s="79"/>
      <c r="M110" s="79"/>
      <c r="N110" s="79"/>
      <c r="O110" s="91"/>
      <c r="P110" s="92"/>
      <c r="Q110" s="93"/>
      <c r="R110" s="93"/>
      <c r="S110" s="93"/>
      <c r="T110" s="93"/>
      <c r="U110" s="93"/>
      <c r="V110" s="93"/>
    </row>
    <row r="111" spans="1:22" ht="21" customHeight="1" x14ac:dyDescent="0.15">
      <c r="A111" s="79"/>
      <c r="B111" s="79"/>
      <c r="C111" s="79"/>
      <c r="D111" s="79"/>
      <c r="E111" s="79"/>
      <c r="F111" s="79"/>
      <c r="G111" s="79"/>
      <c r="H111" s="79"/>
      <c r="I111" s="79"/>
      <c r="J111" s="79"/>
      <c r="K111" s="79"/>
      <c r="L111" s="79"/>
      <c r="M111" s="79"/>
      <c r="N111" s="79"/>
      <c r="O111" s="91"/>
      <c r="P111" s="92"/>
      <c r="Q111" s="93"/>
      <c r="R111" s="93"/>
      <c r="S111" s="93"/>
      <c r="T111" s="93"/>
      <c r="U111" s="93"/>
      <c r="V111" s="93"/>
    </row>
    <row r="112" spans="1:22" ht="21" customHeight="1" x14ac:dyDescent="0.15">
      <c r="A112" s="79"/>
      <c r="B112" s="79"/>
      <c r="C112" s="79"/>
      <c r="D112" s="79"/>
      <c r="E112" s="79"/>
      <c r="F112" s="79"/>
      <c r="G112" s="79"/>
      <c r="H112" s="79"/>
      <c r="I112" s="79"/>
      <c r="J112" s="79"/>
      <c r="K112" s="79"/>
      <c r="L112" s="79"/>
      <c r="M112" s="79"/>
      <c r="N112" s="79"/>
      <c r="O112" s="91"/>
      <c r="P112" s="92"/>
      <c r="Q112" s="93"/>
      <c r="R112" s="93"/>
      <c r="S112" s="93"/>
      <c r="T112" s="93"/>
      <c r="U112" s="93"/>
      <c r="V112" s="93"/>
    </row>
    <row r="113" spans="1:22" ht="21" customHeight="1" x14ac:dyDescent="0.15">
      <c r="A113" s="79"/>
      <c r="B113" s="79"/>
      <c r="C113" s="79"/>
      <c r="D113" s="79"/>
      <c r="E113" s="79"/>
      <c r="F113" s="79"/>
      <c r="G113" s="79"/>
      <c r="H113" s="79"/>
      <c r="I113" s="79"/>
      <c r="J113" s="79"/>
      <c r="K113" s="79"/>
      <c r="L113" s="79"/>
      <c r="M113" s="79"/>
      <c r="N113" s="79"/>
      <c r="O113" s="91"/>
      <c r="P113" s="92"/>
      <c r="Q113" s="93"/>
      <c r="R113" s="93"/>
      <c r="S113" s="93"/>
      <c r="T113" s="93"/>
      <c r="U113" s="93"/>
      <c r="V113" s="93"/>
    </row>
    <row r="114" spans="1:22" ht="21" customHeight="1" x14ac:dyDescent="0.15">
      <c r="A114" s="79"/>
      <c r="B114" s="79"/>
      <c r="C114" s="79"/>
      <c r="D114" s="79"/>
      <c r="E114" s="79"/>
      <c r="F114" s="79"/>
      <c r="G114" s="79"/>
      <c r="H114" s="79"/>
      <c r="I114" s="79"/>
      <c r="J114" s="79"/>
      <c r="K114" s="79"/>
      <c r="L114" s="79"/>
      <c r="M114" s="79"/>
      <c r="N114" s="79"/>
      <c r="O114" s="91"/>
      <c r="P114" s="92"/>
      <c r="Q114" s="93"/>
      <c r="R114" s="93"/>
      <c r="S114" s="93"/>
      <c r="T114" s="93"/>
      <c r="U114" s="93"/>
      <c r="V114" s="93"/>
    </row>
    <row r="115" spans="1:22" ht="21" customHeight="1" x14ac:dyDescent="0.15">
      <c r="A115" s="79"/>
      <c r="B115" s="79"/>
      <c r="C115" s="79"/>
      <c r="D115" s="79"/>
      <c r="E115" s="79"/>
      <c r="F115" s="79"/>
      <c r="G115" s="79"/>
      <c r="H115" s="79"/>
      <c r="I115" s="79"/>
      <c r="J115" s="79"/>
      <c r="K115" s="79"/>
      <c r="L115" s="79"/>
      <c r="M115" s="79"/>
      <c r="N115" s="79"/>
      <c r="O115" s="91"/>
      <c r="P115" s="92"/>
      <c r="Q115" s="93"/>
      <c r="R115" s="93"/>
      <c r="S115" s="93"/>
      <c r="T115" s="93"/>
      <c r="U115" s="93"/>
      <c r="V115" s="93"/>
    </row>
    <row r="116" spans="1:22" ht="21" customHeight="1" x14ac:dyDescent="0.15">
      <c r="A116" s="79"/>
      <c r="B116" s="79"/>
      <c r="C116" s="79"/>
      <c r="D116" s="79"/>
      <c r="E116" s="79"/>
      <c r="F116" s="79"/>
      <c r="G116" s="79"/>
      <c r="H116" s="79"/>
      <c r="I116" s="79"/>
      <c r="J116" s="79"/>
      <c r="K116" s="79"/>
      <c r="L116" s="79"/>
      <c r="M116" s="79"/>
      <c r="N116" s="79"/>
      <c r="O116" s="91"/>
      <c r="P116" s="92"/>
      <c r="Q116" s="93"/>
      <c r="R116" s="93"/>
      <c r="S116" s="93"/>
      <c r="T116" s="93"/>
      <c r="U116" s="93"/>
      <c r="V116" s="93"/>
    </row>
    <row r="117" spans="1:22" ht="21" customHeight="1" x14ac:dyDescent="0.15">
      <c r="A117" s="79"/>
      <c r="B117" s="79"/>
      <c r="C117" s="79"/>
      <c r="D117" s="79"/>
      <c r="E117" s="79"/>
      <c r="F117" s="79"/>
      <c r="G117" s="79"/>
      <c r="H117" s="79"/>
      <c r="I117" s="79"/>
      <c r="J117" s="79"/>
      <c r="K117" s="79"/>
      <c r="L117" s="79"/>
      <c r="M117" s="79"/>
      <c r="N117" s="79"/>
      <c r="O117" s="91"/>
      <c r="P117" s="92"/>
      <c r="Q117" s="93"/>
      <c r="R117" s="93"/>
      <c r="S117" s="93"/>
      <c r="T117" s="93"/>
      <c r="U117" s="93"/>
      <c r="V117" s="93"/>
    </row>
    <row r="118" spans="1:22" ht="21" customHeight="1" x14ac:dyDescent="0.15">
      <c r="A118" s="79"/>
      <c r="B118" s="79"/>
      <c r="C118" s="79"/>
      <c r="D118" s="79"/>
      <c r="E118" s="79"/>
      <c r="F118" s="79"/>
      <c r="G118" s="79"/>
      <c r="H118" s="79"/>
      <c r="I118" s="79"/>
      <c r="J118" s="79"/>
      <c r="K118" s="79"/>
      <c r="L118" s="79"/>
      <c r="M118" s="79"/>
      <c r="N118" s="79"/>
      <c r="O118" s="91"/>
      <c r="P118" s="92"/>
      <c r="Q118" s="93"/>
      <c r="R118" s="93"/>
      <c r="S118" s="93"/>
      <c r="T118" s="93"/>
      <c r="U118" s="93"/>
      <c r="V118" s="93"/>
    </row>
    <row r="119" spans="1:22" ht="21" customHeight="1" x14ac:dyDescent="0.15">
      <c r="A119" s="79"/>
      <c r="B119" s="79"/>
      <c r="C119" s="79"/>
      <c r="D119" s="79"/>
      <c r="E119" s="79"/>
      <c r="F119" s="79"/>
      <c r="G119" s="79"/>
      <c r="H119" s="79"/>
      <c r="I119" s="79"/>
      <c r="J119" s="79"/>
      <c r="K119" s="79"/>
      <c r="L119" s="79"/>
      <c r="M119" s="79"/>
      <c r="N119" s="79"/>
      <c r="O119" s="91"/>
      <c r="P119" s="92"/>
      <c r="Q119" s="93"/>
      <c r="R119" s="93"/>
      <c r="S119" s="93"/>
      <c r="T119" s="93"/>
      <c r="U119" s="93"/>
      <c r="V119" s="93"/>
    </row>
    <row r="120" spans="1:22" ht="21" customHeight="1" x14ac:dyDescent="0.15">
      <c r="A120" s="79"/>
      <c r="B120" s="79"/>
      <c r="C120" s="79"/>
      <c r="D120" s="79"/>
      <c r="E120" s="79"/>
      <c r="F120" s="79"/>
      <c r="G120" s="79"/>
      <c r="H120" s="79"/>
      <c r="I120" s="79"/>
      <c r="J120" s="79"/>
      <c r="K120" s="79"/>
      <c r="L120" s="79"/>
      <c r="M120" s="79"/>
      <c r="N120" s="79"/>
      <c r="O120" s="91"/>
      <c r="P120" s="92"/>
      <c r="Q120" s="93"/>
      <c r="R120" s="93"/>
      <c r="S120" s="93"/>
      <c r="T120" s="93"/>
      <c r="U120" s="93"/>
      <c r="V120" s="93"/>
    </row>
    <row r="121" spans="1:22" ht="21" customHeight="1" x14ac:dyDescent="0.15">
      <c r="A121" s="79"/>
      <c r="B121" s="79"/>
      <c r="C121" s="79"/>
      <c r="D121" s="79"/>
      <c r="E121" s="79"/>
      <c r="F121" s="79"/>
      <c r="G121" s="79"/>
      <c r="H121" s="79"/>
      <c r="I121" s="79"/>
      <c r="J121" s="79"/>
      <c r="K121" s="79"/>
      <c r="L121" s="79"/>
      <c r="M121" s="79"/>
      <c r="N121" s="79"/>
      <c r="O121" s="91"/>
      <c r="P121" s="92"/>
      <c r="Q121" s="93"/>
      <c r="R121" s="93"/>
      <c r="S121" s="93"/>
      <c r="T121" s="93"/>
      <c r="U121" s="93"/>
      <c r="V121" s="93"/>
    </row>
    <row r="122" spans="1:22" ht="21" customHeight="1" x14ac:dyDescent="0.15">
      <c r="A122" s="79"/>
      <c r="B122" s="79"/>
      <c r="C122" s="79"/>
      <c r="D122" s="79"/>
      <c r="E122" s="79"/>
      <c r="F122" s="79"/>
      <c r="G122" s="79"/>
      <c r="H122" s="79"/>
      <c r="I122" s="79"/>
      <c r="J122" s="79"/>
      <c r="K122" s="79"/>
      <c r="L122" s="79"/>
      <c r="M122" s="79"/>
      <c r="N122" s="79"/>
      <c r="O122" s="91"/>
      <c r="P122" s="92"/>
      <c r="Q122" s="93"/>
      <c r="R122" s="93"/>
      <c r="S122" s="93"/>
      <c r="T122" s="93"/>
      <c r="U122" s="93"/>
      <c r="V122" s="93"/>
    </row>
    <row r="123" spans="1:22" ht="21" customHeight="1" x14ac:dyDescent="0.15">
      <c r="A123" s="79"/>
      <c r="B123" s="79"/>
      <c r="C123" s="79"/>
      <c r="D123" s="79"/>
      <c r="E123" s="79"/>
      <c r="F123" s="79"/>
      <c r="G123" s="79"/>
      <c r="H123" s="79"/>
      <c r="I123" s="79"/>
      <c r="J123" s="79"/>
      <c r="K123" s="79"/>
      <c r="L123" s="79"/>
      <c r="M123" s="79"/>
      <c r="N123" s="79"/>
      <c r="O123" s="91"/>
      <c r="P123" s="92"/>
      <c r="Q123" s="93"/>
      <c r="R123" s="93"/>
      <c r="S123" s="93"/>
      <c r="T123" s="93"/>
      <c r="U123" s="93"/>
      <c r="V123" s="93"/>
    </row>
    <row r="124" spans="1:22" ht="21" customHeight="1" x14ac:dyDescent="0.15">
      <c r="A124" s="79"/>
      <c r="B124" s="79"/>
      <c r="C124" s="79"/>
      <c r="D124" s="79"/>
      <c r="E124" s="79"/>
      <c r="F124" s="79"/>
      <c r="G124" s="79"/>
      <c r="H124" s="79"/>
      <c r="I124" s="79"/>
      <c r="J124" s="79"/>
      <c r="K124" s="79"/>
      <c r="L124" s="79"/>
      <c r="M124" s="79"/>
      <c r="N124" s="79"/>
      <c r="O124" s="91"/>
      <c r="P124" s="92"/>
      <c r="Q124" s="93"/>
      <c r="R124" s="93"/>
      <c r="S124" s="93"/>
      <c r="T124" s="93"/>
      <c r="U124" s="93"/>
      <c r="V124" s="93"/>
    </row>
    <row r="125" spans="1:22" ht="21" customHeight="1" x14ac:dyDescent="0.15">
      <c r="A125" s="79"/>
      <c r="B125" s="79"/>
      <c r="C125" s="79"/>
      <c r="D125" s="79"/>
      <c r="E125" s="79"/>
      <c r="F125" s="79"/>
      <c r="G125" s="79"/>
      <c r="H125" s="79"/>
      <c r="I125" s="79"/>
      <c r="J125" s="79"/>
      <c r="K125" s="79"/>
      <c r="L125" s="79"/>
      <c r="M125" s="79"/>
      <c r="N125" s="79"/>
      <c r="O125" s="91"/>
      <c r="P125" s="92"/>
      <c r="Q125" s="93"/>
      <c r="R125" s="93"/>
      <c r="S125" s="93"/>
      <c r="T125" s="93"/>
      <c r="U125" s="93"/>
      <c r="V125" s="93"/>
    </row>
    <row r="126" spans="1:22" ht="21" customHeight="1" x14ac:dyDescent="0.15">
      <c r="A126" s="79"/>
      <c r="B126" s="79"/>
      <c r="C126" s="79"/>
      <c r="D126" s="79"/>
      <c r="E126" s="79"/>
      <c r="F126" s="79"/>
      <c r="G126" s="79"/>
      <c r="H126" s="79"/>
      <c r="I126" s="79"/>
      <c r="J126" s="79"/>
      <c r="K126" s="79"/>
      <c r="L126" s="79"/>
      <c r="M126" s="79"/>
      <c r="N126" s="79"/>
      <c r="O126" s="91"/>
      <c r="P126" s="92"/>
      <c r="Q126" s="93"/>
      <c r="R126" s="93"/>
      <c r="S126" s="93"/>
      <c r="T126" s="93"/>
      <c r="U126" s="93"/>
      <c r="V126" s="93"/>
    </row>
    <row r="127" spans="1:22" ht="21" customHeight="1" x14ac:dyDescent="0.15">
      <c r="A127" s="79"/>
      <c r="B127" s="79"/>
      <c r="C127" s="79"/>
      <c r="D127" s="79"/>
      <c r="E127" s="79"/>
      <c r="F127" s="79"/>
      <c r="G127" s="79"/>
      <c r="H127" s="79"/>
      <c r="I127" s="79"/>
      <c r="J127" s="79"/>
      <c r="K127" s="79"/>
      <c r="L127" s="79"/>
      <c r="M127" s="79"/>
      <c r="N127" s="79"/>
      <c r="O127" s="91"/>
      <c r="P127" s="92"/>
      <c r="Q127" s="93"/>
      <c r="R127" s="93"/>
      <c r="S127" s="93"/>
      <c r="T127" s="93"/>
      <c r="U127" s="93"/>
      <c r="V127" s="93"/>
    </row>
    <row r="128" spans="1:22" ht="21" customHeight="1" x14ac:dyDescent="0.15">
      <c r="A128" s="79"/>
      <c r="B128" s="79"/>
      <c r="C128" s="79"/>
      <c r="D128" s="79"/>
      <c r="E128" s="79"/>
      <c r="F128" s="79"/>
      <c r="G128" s="79"/>
      <c r="H128" s="79"/>
      <c r="I128" s="79"/>
      <c r="J128" s="79"/>
      <c r="K128" s="79"/>
      <c r="L128" s="79"/>
      <c r="M128" s="79"/>
      <c r="N128" s="79"/>
      <c r="O128" s="91"/>
      <c r="P128" s="92"/>
      <c r="Q128" s="93"/>
      <c r="R128" s="93"/>
      <c r="S128" s="93"/>
      <c r="T128" s="93"/>
      <c r="U128" s="93"/>
      <c r="V128" s="93"/>
    </row>
    <row r="129" spans="1:22" ht="21" customHeight="1" x14ac:dyDescent="0.15">
      <c r="A129" s="79"/>
      <c r="B129" s="79"/>
      <c r="C129" s="79"/>
      <c r="D129" s="79"/>
      <c r="E129" s="79"/>
      <c r="F129" s="79"/>
      <c r="G129" s="79"/>
      <c r="H129" s="79"/>
      <c r="I129" s="79"/>
      <c r="J129" s="79"/>
      <c r="K129" s="79"/>
      <c r="L129" s="79"/>
      <c r="M129" s="79"/>
      <c r="N129" s="79"/>
      <c r="O129" s="91"/>
      <c r="P129" s="92"/>
      <c r="Q129" s="93"/>
      <c r="R129" s="93"/>
      <c r="S129" s="93"/>
      <c r="T129" s="93"/>
      <c r="U129" s="93"/>
      <c r="V129" s="93"/>
    </row>
    <row r="130" spans="1:22" ht="21" customHeight="1" x14ac:dyDescent="0.15">
      <c r="A130" s="79"/>
      <c r="B130" s="79"/>
      <c r="C130" s="79"/>
      <c r="D130" s="79"/>
      <c r="E130" s="79"/>
      <c r="F130" s="79"/>
      <c r="G130" s="79"/>
      <c r="H130" s="79"/>
      <c r="I130" s="79"/>
      <c r="J130" s="79"/>
      <c r="K130" s="79"/>
      <c r="L130" s="79"/>
      <c r="M130" s="79"/>
      <c r="N130" s="79"/>
      <c r="O130" s="91"/>
      <c r="P130" s="92"/>
      <c r="Q130" s="93"/>
      <c r="R130" s="93"/>
      <c r="S130" s="93"/>
      <c r="T130" s="93"/>
      <c r="U130" s="93"/>
      <c r="V130" s="93"/>
    </row>
    <row r="131" spans="1:22" ht="21" customHeight="1" x14ac:dyDescent="0.15">
      <c r="A131" s="79"/>
      <c r="B131" s="79"/>
      <c r="C131" s="79"/>
      <c r="D131" s="79"/>
      <c r="E131" s="79"/>
      <c r="F131" s="79"/>
      <c r="G131" s="79"/>
      <c r="H131" s="79"/>
      <c r="I131" s="79"/>
      <c r="J131" s="79"/>
      <c r="K131" s="79"/>
      <c r="L131" s="79"/>
      <c r="M131" s="79"/>
      <c r="N131" s="79"/>
      <c r="O131" s="91"/>
      <c r="P131" s="92"/>
      <c r="Q131" s="93"/>
      <c r="R131" s="93"/>
      <c r="S131" s="93"/>
      <c r="T131" s="93"/>
      <c r="U131" s="93"/>
      <c r="V131" s="93"/>
    </row>
    <row r="132" spans="1:22" ht="21" customHeight="1" x14ac:dyDescent="0.15">
      <c r="A132" s="79"/>
      <c r="B132" s="79"/>
      <c r="C132" s="79"/>
      <c r="D132" s="79"/>
      <c r="E132" s="79"/>
      <c r="F132" s="79"/>
      <c r="G132" s="79"/>
      <c r="H132" s="79"/>
      <c r="I132" s="79"/>
      <c r="J132" s="79"/>
      <c r="K132" s="79"/>
      <c r="L132" s="79"/>
      <c r="M132" s="79"/>
      <c r="N132" s="79"/>
      <c r="O132" s="91"/>
      <c r="P132" s="92"/>
      <c r="Q132" s="93"/>
      <c r="R132" s="93"/>
      <c r="S132" s="93"/>
      <c r="T132" s="93"/>
      <c r="U132" s="93"/>
      <c r="V132" s="93"/>
    </row>
    <row r="133" spans="1:22" ht="21" customHeight="1" x14ac:dyDescent="0.15">
      <c r="A133" s="79"/>
      <c r="B133" s="79"/>
      <c r="C133" s="79"/>
      <c r="D133" s="79"/>
      <c r="E133" s="79"/>
      <c r="F133" s="79"/>
      <c r="G133" s="79"/>
      <c r="H133" s="79"/>
      <c r="I133" s="79"/>
      <c r="J133" s="79"/>
      <c r="K133" s="79"/>
      <c r="L133" s="79"/>
      <c r="M133" s="79"/>
      <c r="N133" s="79"/>
      <c r="O133" s="91"/>
      <c r="P133" s="92"/>
      <c r="Q133" s="93"/>
      <c r="R133" s="93"/>
      <c r="S133" s="93"/>
      <c r="T133" s="93"/>
      <c r="U133" s="93"/>
      <c r="V133" s="93"/>
    </row>
    <row r="134" spans="1:22" ht="21" customHeight="1" x14ac:dyDescent="0.15">
      <c r="A134" s="79"/>
      <c r="B134" s="79"/>
      <c r="C134" s="79"/>
      <c r="D134" s="79"/>
      <c r="E134" s="79"/>
      <c r="F134" s="79"/>
      <c r="G134" s="79"/>
      <c r="H134" s="79"/>
      <c r="I134" s="79"/>
      <c r="J134" s="79"/>
      <c r="K134" s="79"/>
      <c r="L134" s="79"/>
      <c r="M134" s="79"/>
      <c r="N134" s="79"/>
      <c r="O134" s="91"/>
      <c r="P134" s="92"/>
      <c r="Q134" s="93"/>
      <c r="R134" s="93"/>
      <c r="S134" s="93"/>
      <c r="T134" s="93"/>
      <c r="U134" s="93"/>
      <c r="V134" s="93"/>
    </row>
  </sheetData>
  <autoFilter ref="A1:V1"/>
  <phoneticPr fontId="16"/>
  <pageMargins left="0.75" right="0.75" top="1" bottom="1" header="0.3" footer="0.3"/>
  <pageSetup paperSize="9" orientation="portrait" horizontalDpi="4294967292" verticalDpi="4294967292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5"/>
  <sheetViews>
    <sheetView showGridLines="0" workbookViewId="0">
      <pane ySplit="1" topLeftCell="A2" activePane="bottomLeft" state="frozen"/>
      <selection activeCell="M24" sqref="M24"/>
      <selection pane="bottomLeft" activeCell="A2" sqref="A2:Q5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1" t="s">
        <v>11</v>
      </c>
      <c r="C1" s="14" t="s">
        <v>12</v>
      </c>
      <c r="D1" s="14" t="s">
        <v>13</v>
      </c>
      <c r="E1" s="14" t="s">
        <v>14</v>
      </c>
      <c r="F1" s="13" t="s">
        <v>2</v>
      </c>
      <c r="G1" s="45" t="s">
        <v>70</v>
      </c>
      <c r="H1" s="45" t="s">
        <v>71</v>
      </c>
      <c r="I1" s="46" t="s">
        <v>72</v>
      </c>
      <c r="J1" s="46" t="s">
        <v>73</v>
      </c>
      <c r="K1" s="46" t="s">
        <v>74</v>
      </c>
      <c r="L1" s="46" t="s">
        <v>75</v>
      </c>
      <c r="M1" s="46" t="s">
        <v>76</v>
      </c>
      <c r="N1" s="13" t="s">
        <v>15</v>
      </c>
      <c r="O1" s="13" t="s">
        <v>16</v>
      </c>
      <c r="P1" s="13" t="s">
        <v>17</v>
      </c>
      <c r="Q1" s="13" t="s">
        <v>18</v>
      </c>
    </row>
    <row r="2" spans="1:17" ht="21" customHeight="1" x14ac:dyDescent="0.15">
      <c r="A2" s="71"/>
      <c r="B2" s="71"/>
      <c r="C2" s="72"/>
      <c r="D2" s="72"/>
      <c r="E2" s="72"/>
      <c r="F2" s="72"/>
      <c r="G2" s="1"/>
      <c r="H2" s="1"/>
      <c r="I2" s="1"/>
      <c r="J2" s="1"/>
      <c r="K2" s="1"/>
      <c r="L2" s="1"/>
      <c r="M2" s="1"/>
      <c r="N2" s="72"/>
      <c r="O2" s="72"/>
      <c r="P2" s="72"/>
      <c r="Q2" s="73"/>
    </row>
    <row r="3" spans="1:17" ht="21" customHeight="1" x14ac:dyDescent="0.15">
      <c r="A3" s="71"/>
      <c r="B3" s="71"/>
      <c r="G3" s="79"/>
      <c r="H3" s="79"/>
      <c r="I3" s="79"/>
      <c r="J3" s="79"/>
      <c r="K3" s="79"/>
      <c r="L3" s="79"/>
      <c r="M3" s="79"/>
      <c r="N3" s="72"/>
      <c r="O3" s="72"/>
      <c r="P3" s="72"/>
      <c r="Q3" s="73"/>
    </row>
    <row r="4" spans="1:17" ht="21" customHeight="1" x14ac:dyDescent="0.15">
      <c r="A4" s="71"/>
      <c r="B4" s="71"/>
      <c r="G4" s="79"/>
      <c r="H4" s="79"/>
      <c r="I4" s="79"/>
      <c r="J4" s="79"/>
      <c r="K4" s="79"/>
      <c r="L4" s="79"/>
      <c r="M4" s="79"/>
      <c r="N4" s="72"/>
      <c r="O4" s="72"/>
      <c r="P4" s="72"/>
      <c r="Q4" s="73"/>
    </row>
    <row r="5" spans="1:17" ht="21" customHeight="1" x14ac:dyDescent="0.15">
      <c r="A5" s="71"/>
      <c r="B5" s="71"/>
      <c r="G5" s="79"/>
      <c r="H5" s="79"/>
      <c r="I5" s="79"/>
      <c r="J5" s="79"/>
      <c r="K5" s="79"/>
      <c r="L5" s="79"/>
      <c r="M5" s="79"/>
      <c r="N5" s="72"/>
      <c r="O5" s="72"/>
      <c r="P5" s="72"/>
      <c r="Q5" s="73"/>
    </row>
  </sheetData>
  <autoFilter ref="A1:F1"/>
  <phoneticPr fontId="16"/>
  <pageMargins left="0.75" right="0.75" top="1" bottom="1" header="0.3" footer="0.3"/>
  <pageSetup paperSize="9" orientation="portrait" horizontalDpi="4294967292" verticalDpi="4294967292"/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20</v>
      </c>
      <c r="B1" s="3" t="s">
        <v>21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53">
        <v>668</v>
      </c>
      <c r="B246" s="7" t="str">
        <f>VLOOKUP(A246,[1]characters!$A:$C,3,FALSE)</f>
        <v>アグニ</v>
      </c>
    </row>
    <row r="247" spans="1:2" x14ac:dyDescent="0.15">
      <c r="A247" s="53">
        <v>669</v>
      </c>
      <c r="B247" s="7" t="str">
        <f>VLOOKUP(A247,[1]characters!$A:$C,3,FALSE)</f>
        <v>天地の仲界 アグニ</v>
      </c>
    </row>
    <row r="248" spans="1:2" x14ac:dyDescent="0.15">
      <c r="A248" s="53">
        <v>670</v>
      </c>
      <c r="B248" s="7" t="str">
        <f>VLOOKUP(A248,[1]characters!$A:$C,3,FALSE)</f>
        <v>陽天の噴煙 アグニ</v>
      </c>
    </row>
    <row r="249" spans="1:2" x14ac:dyDescent="0.15">
      <c r="A249" s="53">
        <v>671</v>
      </c>
      <c r="B249" s="7" t="str">
        <f>VLOOKUP(A249,[1]characters!$A:$C,3,FALSE)</f>
        <v>ハヌマーン</v>
      </c>
    </row>
    <row r="250" spans="1:2" x14ac:dyDescent="0.15">
      <c r="A250" s="53">
        <v>672</v>
      </c>
      <c r="B250" s="7" t="str">
        <f>VLOOKUP(A250,[1]characters!$A:$C,3,FALSE)</f>
        <v>西遊韋駄天 ハヌマーン</v>
      </c>
    </row>
    <row r="251" spans="1:2" x14ac:dyDescent="0.15">
      <c r="A251" s="53">
        <v>673</v>
      </c>
      <c r="B251" s="7" t="str">
        <f>VLOOKUP(A251,[1]characters!$A:$C,3,FALSE)</f>
        <v>変幻自在の猿王 ハヌマーン</v>
      </c>
    </row>
    <row r="252" spans="1:2" x14ac:dyDescent="0.15">
      <c r="A252" s="53">
        <v>674</v>
      </c>
      <c r="B252" s="7" t="str">
        <f>VLOOKUP(A252,[1]characters!$A:$C,3,FALSE)</f>
        <v>サラスヴァティ</v>
      </c>
    </row>
    <row r="253" spans="1:2" x14ac:dyDescent="0.15">
      <c r="A253" s="53">
        <v>675</v>
      </c>
      <c r="B253" s="7" t="str">
        <f>VLOOKUP(A253,[1]characters!$A:$C,3,FALSE)</f>
        <v>芸楽の奔流 サラスヴァティ</v>
      </c>
    </row>
    <row r="254" spans="1:2" x14ac:dyDescent="0.15">
      <c r="A254" s="53">
        <v>676</v>
      </c>
      <c r="B254" s="7" t="str">
        <f>VLOOKUP(A254,[1]characters!$A:$C,3,FALSE)</f>
        <v>ヴィシュヌ</v>
      </c>
    </row>
    <row r="255" spans="1:2" x14ac:dyDescent="0.15">
      <c r="A255" s="53">
        <v>677</v>
      </c>
      <c r="B255" s="7" t="str">
        <f>VLOOKUP(A255,[1]characters!$A:$C,3,FALSE)</f>
        <v>武遊闊歩 ヴィシュヌ</v>
      </c>
    </row>
    <row r="256" spans="1:2" x14ac:dyDescent="0.15">
      <c r="A256" s="53">
        <v>770</v>
      </c>
      <c r="B256" s="7" t="str">
        <f>VLOOKUP(A256,[1]characters!$A:$C,3,FALSE)</f>
        <v>ハヅル</v>
      </c>
    </row>
    <row r="257" spans="1:2" x14ac:dyDescent="0.15">
      <c r="A257" s="53">
        <v>771</v>
      </c>
      <c r="B257" s="7" t="str">
        <f>VLOOKUP(A257,[1]characters!$A:$C,3,FALSE)</f>
        <v>天織羽鶴 ハヅル</v>
      </c>
    </row>
    <row r="258" spans="1:2" x14ac:dyDescent="0.15">
      <c r="A258" s="53">
        <v>772</v>
      </c>
      <c r="B258" s="7" t="str">
        <f>VLOOKUP(A258,[1]characters!$A:$C,3,FALSE)</f>
        <v>イナバ</v>
      </c>
    </row>
    <row r="259" spans="1:2" x14ac:dyDescent="0.15">
      <c r="A259" s="53">
        <v>773</v>
      </c>
      <c r="B259" s="7" t="str">
        <f>VLOOKUP(A259,[1]characters!$A:$C,3,FALSE)</f>
        <v>浮跳天兎 イナバ</v>
      </c>
    </row>
    <row r="260" spans="1:2" x14ac:dyDescent="0.15">
      <c r="A260" s="53">
        <v>774</v>
      </c>
      <c r="B260" s="7" t="str">
        <f>VLOOKUP(A260,[1]characters!$A:$C,3,FALSE)</f>
        <v>ミズチ</v>
      </c>
    </row>
    <row r="261" spans="1:2" x14ac:dyDescent="0.15">
      <c r="A261" s="53">
        <v>775</v>
      </c>
      <c r="B261" s="7" t="str">
        <f>VLOOKUP(A261,[1]characters!$A:$C,3,FALSE)</f>
        <v>水底霊竜 ミズチ</v>
      </c>
    </row>
    <row r="262" spans="1:2" x14ac:dyDescent="0.15">
      <c r="A262" s="53">
        <v>776</v>
      </c>
      <c r="B262" s="7" t="str">
        <f>VLOOKUP(A262,[1]characters!$A:$C,3,FALSE)</f>
        <v>水竜底主 ミズチ</v>
      </c>
    </row>
    <row r="263" spans="1:2" x14ac:dyDescent="0.15">
      <c r="A263" s="53">
        <v>777</v>
      </c>
      <c r="B263" s="7" t="str">
        <f>VLOOKUP(A263,[1]characters!$A:$C,3,FALSE)</f>
        <v>ガメック</v>
      </c>
    </row>
    <row r="264" spans="1:2" x14ac:dyDescent="0.15">
      <c r="A264" s="53">
        <v>778</v>
      </c>
      <c r="B264" s="7" t="str">
        <f>VLOOKUP(A264,[1]characters!$A:$C,3,FALSE)</f>
        <v>一亀懸明 ガメック</v>
      </c>
    </row>
    <row r="265" spans="1:2" x14ac:dyDescent="0.15">
      <c r="A265" s="53">
        <v>779</v>
      </c>
      <c r="B265" s="7" t="str">
        <f>VLOOKUP(A265,[1]characters!$A:$C,3,FALSE)</f>
        <v>頑堅咬亀 ガメック</v>
      </c>
    </row>
    <row r="266" spans="1:2" x14ac:dyDescent="0.15">
      <c r="A266" s="53">
        <v>779</v>
      </c>
      <c r="B266" s="7" t="str">
        <f>VLOOKUP(A266,[1]characters!$A:$C,3,FALSE)</f>
        <v>頑堅咬亀 ガメック</v>
      </c>
    </row>
  </sheetData>
  <phoneticPr fontId="16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1" t="s">
        <v>45</v>
      </c>
      <c r="B1" s="31"/>
    </row>
    <row r="2" spans="1:2" x14ac:dyDescent="0.15">
      <c r="A2" s="26" t="s">
        <v>1</v>
      </c>
      <c r="B2" s="30" t="s">
        <v>49</v>
      </c>
    </row>
    <row r="3" spans="1:2" x14ac:dyDescent="0.15">
      <c r="A3" s="6">
        <v>166</v>
      </c>
      <c r="B3" s="30" t="str">
        <f>VLOOKUP(A3,[1]characters!$A:$C,3,FALSE)</f>
        <v>ベリアル</v>
      </c>
    </row>
    <row r="4" spans="1:2" x14ac:dyDescent="0.15">
      <c r="A4" s="6">
        <v>167</v>
      </c>
      <c r="B4" s="30" t="str">
        <f>VLOOKUP(A4,[1]characters!$A:$C,3,FALSE)</f>
        <v>逆徒 ベリアル</v>
      </c>
    </row>
    <row r="5" spans="1:2" x14ac:dyDescent="0.15">
      <c r="A5" s="6">
        <v>168</v>
      </c>
      <c r="B5" s="30" t="str">
        <f>VLOOKUP(A5,[1]characters!$A:$C,3,FALSE)</f>
        <v>猛進の大逆者 ベリアル</v>
      </c>
    </row>
    <row r="6" spans="1:2" x14ac:dyDescent="0.15">
      <c r="A6" s="26">
        <v>169</v>
      </c>
      <c r="B6" s="30" t="str">
        <f>VLOOKUP(A6,[1]characters!$A:$C,3,FALSE)</f>
        <v>オセ</v>
      </c>
    </row>
    <row r="7" spans="1:2" x14ac:dyDescent="0.15">
      <c r="A7" s="26">
        <v>170</v>
      </c>
      <c r="B7" s="30" t="str">
        <f>VLOOKUP(A7,[1]characters!$A:$C,3,FALSE)</f>
        <v>識徒 オセ</v>
      </c>
    </row>
    <row r="8" spans="1:2" x14ac:dyDescent="0.15">
      <c r="A8" s="26">
        <v>171</v>
      </c>
      <c r="B8" s="30" t="str">
        <f>VLOOKUP(A8,[1]characters!$A:$C,3,FALSE)</f>
        <v>精解の預知者 オセ</v>
      </c>
    </row>
    <row r="9" spans="1:2" x14ac:dyDescent="0.15">
      <c r="A9" s="26">
        <v>172</v>
      </c>
      <c r="B9" s="30" t="str">
        <f>VLOOKUP(A9,[1]characters!$A:$C,3,FALSE)</f>
        <v>フォルネウス</v>
      </c>
    </row>
    <row r="10" spans="1:2" x14ac:dyDescent="0.15">
      <c r="A10" s="26">
        <v>173</v>
      </c>
      <c r="B10" s="30" t="str">
        <f>VLOOKUP(A10,[1]characters!$A:$C,3,FALSE)</f>
        <v>公爵 フォルネウス</v>
      </c>
    </row>
    <row r="11" spans="1:2" x14ac:dyDescent="0.15">
      <c r="A11" s="26">
        <v>174</v>
      </c>
      <c r="B11" s="30" t="str">
        <f>VLOOKUP(A11,[1]characters!$A:$C,3,FALSE)</f>
        <v>偽愛の大公爵 フォルネウス</v>
      </c>
    </row>
    <row r="12" spans="1:2" x14ac:dyDescent="0.15">
      <c r="A12" s="26">
        <v>235</v>
      </c>
      <c r="B12" s="30" t="str">
        <f>VLOOKUP(A12,[1]characters!$A:$C,3,FALSE)</f>
        <v>イザナミ</v>
      </c>
    </row>
    <row r="13" spans="1:2" x14ac:dyDescent="0.15">
      <c r="A13" s="26">
        <v>236</v>
      </c>
      <c r="B13" s="30" t="str">
        <f>VLOOKUP(A13,[1]characters!$A:$C,3,FALSE)</f>
        <v>神産 イザナミ</v>
      </c>
    </row>
    <row r="14" spans="1:2" x14ac:dyDescent="0.15">
      <c r="A14" s="26">
        <v>237</v>
      </c>
      <c r="B14" s="30" t="str">
        <f>VLOOKUP(A14,[1]characters!$A:$C,3,FALSE)</f>
        <v>森羅万象の神母 イザナミ</v>
      </c>
    </row>
  </sheetData>
  <phoneticPr fontId="16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19</vt:i4>
      </vt:variant>
    </vt:vector>
  </HeadingPairs>
  <TitlesOfParts>
    <vt:vector size="19" baseType="lpstr">
      <vt:lpstr>確率の考え方</vt:lpstr>
      <vt:lpstr>Sheet1</vt:lpstr>
      <vt:lpstr>output</vt:lpstr>
      <vt:lpstr>input_498010</vt:lpstr>
      <vt:lpstr>tables_498010</vt:lpstr>
      <vt:lpstr>input_498101</vt:lpstr>
      <vt:lpstr>tables_498101</vt:lpstr>
      <vt:lpstr>input_498104</vt:lpstr>
      <vt:lpstr>tables_498104</vt:lpstr>
      <vt:lpstr>input_498100</vt:lpstr>
      <vt:lpstr>tables_498100</vt:lpstr>
      <vt:lpstr>tables_settle_498101</vt:lpstr>
      <vt:lpstr>tables_settle_498102</vt:lpstr>
      <vt:lpstr>tables_settle_498103</vt:lpstr>
      <vt:lpstr>tables_settle_498104</vt:lpstr>
      <vt:lpstr>tables_settle_498105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2016-12-26T08:28:38Z</dcterms:modified>
</cp:coreProperties>
</file>