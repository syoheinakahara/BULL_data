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6000" tabRatio="943" activeTab="7"/>
  </bookViews>
  <sheets>
    <sheet name="確率の考え方" sheetId="110" r:id="rId1"/>
    <sheet name="Sheet1" sheetId="107" r:id="rId2"/>
    <sheet name="output" sheetId="103" r:id="rId3"/>
    <sheet name="tables_7025100" sheetId="131" r:id="rId4"/>
    <sheet name="tables_7025101" sheetId="132" r:id="rId5"/>
    <sheet name="tables_7025102" sheetId="133" r:id="rId6"/>
    <sheet name="tables_7025103" sheetId="134" r:id="rId7"/>
    <sheet name="tables_7025104" sheetId="135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3" hidden="1">tables_7025100!$A$1:$V$67</definedName>
    <definedName name="_xlnm._FilterDatabase" localSheetId="4" hidden="1">tables_7025101!$A$1:$V$134</definedName>
    <definedName name="_xlnm._FilterDatabase" localSheetId="5" hidden="1">tables_7025102!$A$1:$V$135</definedName>
    <definedName name="_xlnm._FilterDatabase" localSheetId="6" hidden="1">tables_7025103!$A$1:$V$134</definedName>
    <definedName name="_xlnm._FilterDatabase" localSheetId="7" hidden="1">tables_7025104!$A$1:$V$134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9" i="135" l="1"/>
  <c r="D39" i="135"/>
  <c r="J39" i="135"/>
  <c r="E39" i="135"/>
  <c r="F39" i="135"/>
  <c r="C39" i="135"/>
  <c r="H39" i="135"/>
  <c r="K39" i="135"/>
  <c r="L39" i="135"/>
  <c r="M39" i="135"/>
  <c r="N39" i="135"/>
  <c r="O39" i="135"/>
  <c r="I2" i="135"/>
  <c r="D2" i="135"/>
  <c r="O2" i="135"/>
  <c r="I3" i="135"/>
  <c r="D3" i="135"/>
  <c r="O3" i="135"/>
  <c r="I4" i="135"/>
  <c r="D4" i="135"/>
  <c r="O4" i="135"/>
  <c r="I5" i="135"/>
  <c r="D5" i="135"/>
  <c r="O5" i="135"/>
  <c r="I6" i="135"/>
  <c r="D6" i="135"/>
  <c r="O6" i="135"/>
  <c r="I7" i="135"/>
  <c r="D7" i="135"/>
  <c r="O7" i="135"/>
  <c r="I8" i="135"/>
  <c r="D8" i="135"/>
  <c r="O8" i="135"/>
  <c r="I9" i="135"/>
  <c r="D9" i="135"/>
  <c r="O9" i="135"/>
  <c r="I10" i="135"/>
  <c r="D10" i="135"/>
  <c r="O10" i="135"/>
  <c r="I11" i="135"/>
  <c r="D11" i="135"/>
  <c r="O11" i="135"/>
  <c r="I12" i="135"/>
  <c r="D12" i="135"/>
  <c r="O12" i="135"/>
  <c r="I13" i="135"/>
  <c r="D13" i="135"/>
  <c r="O13" i="135"/>
  <c r="I14" i="135"/>
  <c r="D14" i="135"/>
  <c r="O14" i="135"/>
  <c r="I15" i="135"/>
  <c r="D15" i="135"/>
  <c r="O15" i="135"/>
  <c r="I16" i="135"/>
  <c r="D16" i="135"/>
  <c r="O16" i="135"/>
  <c r="I17" i="135"/>
  <c r="D17" i="135"/>
  <c r="O17" i="135"/>
  <c r="I18" i="135"/>
  <c r="J18" i="135"/>
  <c r="D18" i="135"/>
  <c r="O18" i="135"/>
  <c r="I19" i="135"/>
  <c r="J19" i="135"/>
  <c r="D19" i="135"/>
  <c r="O19" i="135"/>
  <c r="I20" i="135"/>
  <c r="D20" i="135"/>
  <c r="O20" i="135"/>
  <c r="I21" i="135"/>
  <c r="D21" i="135"/>
  <c r="O21" i="135"/>
  <c r="I22" i="135"/>
  <c r="D22" i="135"/>
  <c r="O22" i="135"/>
  <c r="I23" i="135"/>
  <c r="D23" i="135"/>
  <c r="O23" i="135"/>
  <c r="I24" i="135"/>
  <c r="D24" i="135"/>
  <c r="O24" i="135"/>
  <c r="I25" i="135"/>
  <c r="D25" i="135"/>
  <c r="O25" i="135"/>
  <c r="I26" i="135"/>
  <c r="D26" i="135"/>
  <c r="O26" i="135"/>
  <c r="I27" i="135"/>
  <c r="D27" i="135"/>
  <c r="O27" i="135"/>
  <c r="I28" i="135"/>
  <c r="D28" i="135"/>
  <c r="O28" i="135"/>
  <c r="I29" i="135"/>
  <c r="D29" i="135"/>
  <c r="O29" i="135"/>
  <c r="I30" i="135"/>
  <c r="D30" i="135"/>
  <c r="O30" i="135"/>
  <c r="I31" i="135"/>
  <c r="D31" i="135"/>
  <c r="O31" i="135"/>
  <c r="I32" i="135"/>
  <c r="D32" i="135"/>
  <c r="O32" i="135"/>
  <c r="I33" i="135"/>
  <c r="D33" i="135"/>
  <c r="O33" i="135"/>
  <c r="I34" i="135"/>
  <c r="D34" i="135"/>
  <c r="O34" i="135"/>
  <c r="I35" i="135"/>
  <c r="D35" i="135"/>
  <c r="O35" i="135"/>
  <c r="I36" i="135"/>
  <c r="D36" i="135"/>
  <c r="O36" i="135"/>
  <c r="I37" i="135"/>
  <c r="D37" i="135"/>
  <c r="O37" i="135"/>
  <c r="I38" i="135"/>
  <c r="D38" i="135"/>
  <c r="O38" i="135"/>
  <c r="P39" i="135"/>
  <c r="I38" i="134"/>
  <c r="D38" i="134"/>
  <c r="J38" i="134"/>
  <c r="E38" i="134"/>
  <c r="F38" i="134"/>
  <c r="C38" i="134"/>
  <c r="H38" i="134"/>
  <c r="K38" i="134"/>
  <c r="L38" i="134"/>
  <c r="M38" i="134"/>
  <c r="N38" i="134"/>
  <c r="P38" i="134"/>
  <c r="I39" i="133"/>
  <c r="D39" i="133"/>
  <c r="J39" i="133"/>
  <c r="E39" i="133"/>
  <c r="F39" i="133"/>
  <c r="C39" i="133"/>
  <c r="H39" i="133"/>
  <c r="K39" i="133"/>
  <c r="L39" i="133"/>
  <c r="M39" i="133"/>
  <c r="N39" i="133"/>
  <c r="O39" i="133"/>
  <c r="I2" i="133"/>
  <c r="D2" i="133"/>
  <c r="O2" i="133"/>
  <c r="I3" i="133"/>
  <c r="D3" i="133"/>
  <c r="O3" i="133"/>
  <c r="I4" i="133"/>
  <c r="D4" i="133"/>
  <c r="O4" i="133"/>
  <c r="I5" i="133"/>
  <c r="D5" i="133"/>
  <c r="O5" i="133"/>
  <c r="I6" i="133"/>
  <c r="D6" i="133"/>
  <c r="O6" i="133"/>
  <c r="I7" i="133"/>
  <c r="D7" i="133"/>
  <c r="O7" i="133"/>
  <c r="I8" i="133"/>
  <c r="D8" i="133"/>
  <c r="O8" i="133"/>
  <c r="I9" i="133"/>
  <c r="D9" i="133"/>
  <c r="O9" i="133"/>
  <c r="I10" i="133"/>
  <c r="D10" i="133"/>
  <c r="O10" i="133"/>
  <c r="I11" i="133"/>
  <c r="D11" i="133"/>
  <c r="O11" i="133"/>
  <c r="I12" i="133"/>
  <c r="D12" i="133"/>
  <c r="O12" i="133"/>
  <c r="I13" i="133"/>
  <c r="D13" i="133"/>
  <c r="O13" i="133"/>
  <c r="I14" i="133"/>
  <c r="D14" i="133"/>
  <c r="O14" i="133"/>
  <c r="I15" i="133"/>
  <c r="D15" i="133"/>
  <c r="O15" i="133"/>
  <c r="I16" i="133"/>
  <c r="D16" i="133"/>
  <c r="O16" i="133"/>
  <c r="I17" i="133"/>
  <c r="D17" i="133"/>
  <c r="O17" i="133"/>
  <c r="I18" i="133"/>
  <c r="J18" i="133"/>
  <c r="D18" i="133"/>
  <c r="O18" i="133"/>
  <c r="I19" i="133"/>
  <c r="J19" i="133"/>
  <c r="D19" i="133"/>
  <c r="O19" i="133"/>
  <c r="I20" i="133"/>
  <c r="D20" i="133"/>
  <c r="O20" i="133"/>
  <c r="I21" i="133"/>
  <c r="D21" i="133"/>
  <c r="O21" i="133"/>
  <c r="I22" i="133"/>
  <c r="D22" i="133"/>
  <c r="O22" i="133"/>
  <c r="I23" i="133"/>
  <c r="D23" i="133"/>
  <c r="O23" i="133"/>
  <c r="I24" i="133"/>
  <c r="D24" i="133"/>
  <c r="O24" i="133"/>
  <c r="I25" i="133"/>
  <c r="D25" i="133"/>
  <c r="O25" i="133"/>
  <c r="I26" i="133"/>
  <c r="D26" i="133"/>
  <c r="O26" i="133"/>
  <c r="I27" i="133"/>
  <c r="D27" i="133"/>
  <c r="O27" i="133"/>
  <c r="I28" i="133"/>
  <c r="D28" i="133"/>
  <c r="O28" i="133"/>
  <c r="I29" i="133"/>
  <c r="D29" i="133"/>
  <c r="O29" i="133"/>
  <c r="I30" i="133"/>
  <c r="D30" i="133"/>
  <c r="O30" i="133"/>
  <c r="I31" i="133"/>
  <c r="D31" i="133"/>
  <c r="O31" i="133"/>
  <c r="I32" i="133"/>
  <c r="D32" i="133"/>
  <c r="O32" i="133"/>
  <c r="I33" i="133"/>
  <c r="D33" i="133"/>
  <c r="O33" i="133"/>
  <c r="I34" i="133"/>
  <c r="D34" i="133"/>
  <c r="O34" i="133"/>
  <c r="I35" i="133"/>
  <c r="D35" i="133"/>
  <c r="O35" i="133"/>
  <c r="I36" i="133"/>
  <c r="D36" i="133"/>
  <c r="O36" i="133"/>
  <c r="I37" i="133"/>
  <c r="D37" i="133"/>
  <c r="O37" i="133"/>
  <c r="I38" i="133"/>
  <c r="D38" i="133"/>
  <c r="O38" i="133"/>
  <c r="P39" i="133"/>
  <c r="I38" i="132"/>
  <c r="D38" i="132"/>
  <c r="J38" i="132"/>
  <c r="E38" i="132"/>
  <c r="F38" i="132"/>
  <c r="C38" i="132"/>
  <c r="H38" i="132"/>
  <c r="K38" i="132"/>
  <c r="L38" i="132"/>
  <c r="M38" i="132"/>
  <c r="N38" i="132"/>
  <c r="O38" i="132"/>
  <c r="I2" i="132"/>
  <c r="D2" i="132"/>
  <c r="O2" i="132"/>
  <c r="I3" i="132"/>
  <c r="D3" i="132"/>
  <c r="O3" i="132"/>
  <c r="I4" i="132"/>
  <c r="D4" i="132"/>
  <c r="O4" i="132"/>
  <c r="I5" i="132"/>
  <c r="D5" i="132"/>
  <c r="O5" i="132"/>
  <c r="I6" i="132"/>
  <c r="D6" i="132"/>
  <c r="O6" i="132"/>
  <c r="I7" i="132"/>
  <c r="D7" i="132"/>
  <c r="O7" i="132"/>
  <c r="I8" i="132"/>
  <c r="D8" i="132"/>
  <c r="O8" i="132"/>
  <c r="I9" i="132"/>
  <c r="D9" i="132"/>
  <c r="O9" i="132"/>
  <c r="I10" i="132"/>
  <c r="D10" i="132"/>
  <c r="O10" i="132"/>
  <c r="I11" i="132"/>
  <c r="D11" i="132"/>
  <c r="O11" i="132"/>
  <c r="I12" i="132"/>
  <c r="D12" i="132"/>
  <c r="O12" i="132"/>
  <c r="I13" i="132"/>
  <c r="D13" i="132"/>
  <c r="O13" i="132"/>
  <c r="I14" i="132"/>
  <c r="D14" i="132"/>
  <c r="O14" i="132"/>
  <c r="I15" i="132"/>
  <c r="D15" i="132"/>
  <c r="O15" i="132"/>
  <c r="I16" i="132"/>
  <c r="D16" i="132"/>
  <c r="O16" i="132"/>
  <c r="I17" i="132"/>
  <c r="D17" i="132"/>
  <c r="O17" i="132"/>
  <c r="I18" i="132"/>
  <c r="J18" i="132"/>
  <c r="D18" i="132"/>
  <c r="O18" i="132"/>
  <c r="I19" i="132"/>
  <c r="D19" i="132"/>
  <c r="O19" i="132"/>
  <c r="I20" i="132"/>
  <c r="D20" i="132"/>
  <c r="O20" i="132"/>
  <c r="I21" i="132"/>
  <c r="D21" i="132"/>
  <c r="O21" i="132"/>
  <c r="I22" i="132"/>
  <c r="D22" i="132"/>
  <c r="O22" i="132"/>
  <c r="I23" i="132"/>
  <c r="D23" i="132"/>
  <c r="O23" i="132"/>
  <c r="I24" i="132"/>
  <c r="D24" i="132"/>
  <c r="O24" i="132"/>
  <c r="I25" i="132"/>
  <c r="D25" i="132"/>
  <c r="O25" i="132"/>
  <c r="I26" i="132"/>
  <c r="D26" i="132"/>
  <c r="O26" i="132"/>
  <c r="I27" i="132"/>
  <c r="D27" i="132"/>
  <c r="O27" i="132"/>
  <c r="I28" i="132"/>
  <c r="D28" i="132"/>
  <c r="O28" i="132"/>
  <c r="I29" i="132"/>
  <c r="D29" i="132"/>
  <c r="O29" i="132"/>
  <c r="I30" i="132"/>
  <c r="D30" i="132"/>
  <c r="O30" i="132"/>
  <c r="I31" i="132"/>
  <c r="D31" i="132"/>
  <c r="O31" i="132"/>
  <c r="I32" i="132"/>
  <c r="D32" i="132"/>
  <c r="O32" i="132"/>
  <c r="I33" i="132"/>
  <c r="D33" i="132"/>
  <c r="O33" i="132"/>
  <c r="I34" i="132"/>
  <c r="D34" i="132"/>
  <c r="O34" i="132"/>
  <c r="I35" i="132"/>
  <c r="D35" i="132"/>
  <c r="O35" i="132"/>
  <c r="I36" i="132"/>
  <c r="D36" i="132"/>
  <c r="O36" i="132"/>
  <c r="I37" i="132"/>
  <c r="D37" i="132"/>
  <c r="O37" i="132"/>
  <c r="P38" i="132"/>
  <c r="I68" i="131"/>
  <c r="D68" i="131"/>
  <c r="J68" i="131"/>
  <c r="E68" i="131"/>
  <c r="F68" i="131"/>
  <c r="C68" i="131"/>
  <c r="H68" i="131"/>
  <c r="K68" i="131"/>
  <c r="L68" i="131"/>
  <c r="M68" i="131"/>
  <c r="N68" i="131"/>
  <c r="P68" i="131"/>
  <c r="I69" i="131"/>
  <c r="D69" i="131"/>
  <c r="J69" i="131"/>
  <c r="E69" i="131"/>
  <c r="F69" i="131"/>
  <c r="C69" i="131"/>
  <c r="H69" i="131"/>
  <c r="K69" i="131"/>
  <c r="L69" i="131"/>
  <c r="M69" i="131"/>
  <c r="N69" i="131"/>
  <c r="P69" i="131"/>
  <c r="I70" i="131"/>
  <c r="D70" i="131"/>
  <c r="J70" i="131"/>
  <c r="E70" i="131"/>
  <c r="F70" i="131"/>
  <c r="C70" i="131"/>
  <c r="H70" i="131"/>
  <c r="K70" i="131"/>
  <c r="L70" i="131"/>
  <c r="M70" i="131"/>
  <c r="N70" i="131"/>
  <c r="P70" i="131"/>
  <c r="J38" i="135"/>
  <c r="E38" i="135"/>
  <c r="F38" i="135"/>
  <c r="C38" i="135"/>
  <c r="H38" i="135"/>
  <c r="K38" i="135"/>
  <c r="L38" i="135"/>
  <c r="M38" i="135"/>
  <c r="N38" i="135"/>
  <c r="P38" i="135"/>
  <c r="I2" i="134"/>
  <c r="D2" i="134"/>
  <c r="I3" i="134"/>
  <c r="D3" i="134"/>
  <c r="I4" i="134"/>
  <c r="D4" i="134"/>
  <c r="I5" i="134"/>
  <c r="D5" i="134"/>
  <c r="I6" i="134"/>
  <c r="D6" i="134"/>
  <c r="I7" i="134"/>
  <c r="D7" i="134"/>
  <c r="I8" i="134"/>
  <c r="D8" i="134"/>
  <c r="I9" i="134"/>
  <c r="D9" i="134"/>
  <c r="I10" i="134"/>
  <c r="D10" i="134"/>
  <c r="I11" i="134"/>
  <c r="D11" i="134"/>
  <c r="I12" i="134"/>
  <c r="D12" i="134"/>
  <c r="I13" i="134"/>
  <c r="D13" i="134"/>
  <c r="I14" i="134"/>
  <c r="D14" i="134"/>
  <c r="I15" i="134"/>
  <c r="D15" i="134"/>
  <c r="I16" i="134"/>
  <c r="D16" i="134"/>
  <c r="I17" i="134"/>
  <c r="D17" i="134"/>
  <c r="I18" i="134"/>
  <c r="J18" i="134"/>
  <c r="D18" i="134"/>
  <c r="I19" i="134"/>
  <c r="D19" i="134"/>
  <c r="I20" i="134"/>
  <c r="D20" i="134"/>
  <c r="I21" i="134"/>
  <c r="D21" i="134"/>
  <c r="I22" i="134"/>
  <c r="D22" i="134"/>
  <c r="I23" i="134"/>
  <c r="D23" i="134"/>
  <c r="I24" i="134"/>
  <c r="D24" i="134"/>
  <c r="I25" i="134"/>
  <c r="D25" i="134"/>
  <c r="I26" i="134"/>
  <c r="D26" i="134"/>
  <c r="I27" i="134"/>
  <c r="D27" i="134"/>
  <c r="I28" i="134"/>
  <c r="D28" i="134"/>
  <c r="I29" i="134"/>
  <c r="D29" i="134"/>
  <c r="I30" i="134"/>
  <c r="D30" i="134"/>
  <c r="I31" i="134"/>
  <c r="D31" i="134"/>
  <c r="I32" i="134"/>
  <c r="D32" i="134"/>
  <c r="I33" i="134"/>
  <c r="D33" i="134"/>
  <c r="I34" i="134"/>
  <c r="D34" i="134"/>
  <c r="I35" i="134"/>
  <c r="D35" i="134"/>
  <c r="I36" i="134"/>
  <c r="D36" i="134"/>
  <c r="I37" i="134"/>
  <c r="D37" i="134"/>
  <c r="J37" i="134"/>
  <c r="E37" i="134"/>
  <c r="F37" i="134"/>
  <c r="C37" i="134"/>
  <c r="H37" i="134"/>
  <c r="K37" i="134"/>
  <c r="L37" i="134"/>
  <c r="M37" i="134"/>
  <c r="N37" i="134"/>
  <c r="P37" i="134"/>
  <c r="J38" i="133"/>
  <c r="E38" i="133"/>
  <c r="F38" i="133"/>
  <c r="C38" i="133"/>
  <c r="H38" i="133"/>
  <c r="K38" i="133"/>
  <c r="L38" i="133"/>
  <c r="M38" i="133"/>
  <c r="N38" i="133"/>
  <c r="P38" i="133"/>
  <c r="M57" i="131"/>
  <c r="L57" i="131"/>
  <c r="K57" i="131"/>
  <c r="J57" i="131"/>
  <c r="I57" i="131"/>
  <c r="H57" i="131"/>
  <c r="F57" i="131"/>
  <c r="E57" i="131"/>
  <c r="D57" i="131"/>
  <c r="C57" i="131"/>
  <c r="P57" i="131"/>
  <c r="N57" i="131"/>
  <c r="B257" i="111"/>
  <c r="B157" i="111"/>
  <c r="B57" i="111"/>
  <c r="B248" i="111"/>
  <c r="B247" i="111"/>
  <c r="B246" i="111"/>
  <c r="B245" i="111"/>
  <c r="B244" i="111"/>
  <c r="B243" i="111"/>
  <c r="B242" i="111"/>
  <c r="B241" i="111"/>
  <c r="B240" i="111"/>
  <c r="B234" i="111"/>
  <c r="B224" i="111"/>
  <c r="B214" i="111"/>
  <c r="B204" i="111"/>
  <c r="B194" i="111"/>
  <c r="B184" i="111"/>
  <c r="B174" i="111"/>
  <c r="B164" i="111"/>
  <c r="B154" i="111"/>
  <c r="B149" i="111"/>
  <c r="B148" i="111"/>
  <c r="B147" i="111"/>
  <c r="B146" i="111"/>
  <c r="B145" i="111"/>
  <c r="B144" i="111"/>
  <c r="B143" i="111"/>
  <c r="B142" i="111"/>
  <c r="B141" i="111"/>
  <c r="B140" i="111"/>
  <c r="B134" i="111"/>
  <c r="B124" i="111"/>
  <c r="B114" i="111"/>
  <c r="B104" i="111"/>
  <c r="B94" i="111"/>
  <c r="B84" i="111"/>
  <c r="B74" i="111"/>
  <c r="B64" i="111"/>
  <c r="B54" i="111"/>
  <c r="B49" i="111"/>
  <c r="B48" i="111"/>
  <c r="B47" i="111"/>
  <c r="B46" i="111"/>
  <c r="B45" i="111"/>
  <c r="B44" i="111"/>
  <c r="B43" i="111"/>
  <c r="B42" i="111"/>
  <c r="B41" i="111"/>
  <c r="B40" i="111"/>
  <c r="B34" i="111"/>
  <c r="B24" i="111"/>
  <c r="B14" i="111"/>
  <c r="B4" i="111"/>
  <c r="P34" i="135"/>
  <c r="N34" i="135"/>
  <c r="M34" i="135"/>
  <c r="L34" i="135"/>
  <c r="K34" i="135"/>
  <c r="J34" i="135"/>
  <c r="H34" i="135"/>
  <c r="F34" i="135"/>
  <c r="E34" i="135"/>
  <c r="C34" i="135"/>
  <c r="P24" i="135"/>
  <c r="N24" i="135"/>
  <c r="M24" i="135"/>
  <c r="L24" i="135"/>
  <c r="K24" i="135"/>
  <c r="J24" i="135"/>
  <c r="H24" i="135"/>
  <c r="F24" i="135"/>
  <c r="E24" i="135"/>
  <c r="C24" i="135"/>
  <c r="P14" i="135"/>
  <c r="N14" i="135"/>
  <c r="M14" i="135"/>
  <c r="L14" i="135"/>
  <c r="K14" i="135"/>
  <c r="J14" i="135"/>
  <c r="H14" i="135"/>
  <c r="F14" i="135"/>
  <c r="E14" i="135"/>
  <c r="C14" i="135"/>
  <c r="P4" i="135"/>
  <c r="N4" i="135"/>
  <c r="M4" i="135"/>
  <c r="L4" i="135"/>
  <c r="K4" i="135"/>
  <c r="J4" i="135"/>
  <c r="H4" i="135"/>
  <c r="F4" i="135"/>
  <c r="E4" i="135"/>
  <c r="C4" i="135"/>
  <c r="E34" i="134"/>
  <c r="J34" i="134"/>
  <c r="F34" i="134"/>
  <c r="C34" i="134"/>
  <c r="P24" i="134"/>
  <c r="N24" i="134"/>
  <c r="M24" i="134"/>
  <c r="L24" i="134"/>
  <c r="K24" i="134"/>
  <c r="J24" i="134"/>
  <c r="H24" i="134"/>
  <c r="F24" i="134"/>
  <c r="E24" i="134"/>
  <c r="C24" i="134"/>
  <c r="P14" i="134"/>
  <c r="N14" i="134"/>
  <c r="M14" i="134"/>
  <c r="L14" i="134"/>
  <c r="K14" i="134"/>
  <c r="J14" i="134"/>
  <c r="H14" i="134"/>
  <c r="F14" i="134"/>
  <c r="E14" i="134"/>
  <c r="C14" i="134"/>
  <c r="P4" i="134"/>
  <c r="N4" i="134"/>
  <c r="M4" i="134"/>
  <c r="L4" i="134"/>
  <c r="K4" i="134"/>
  <c r="J4" i="134"/>
  <c r="H4" i="134"/>
  <c r="F4" i="134"/>
  <c r="E4" i="134"/>
  <c r="C4" i="134"/>
  <c r="L34" i="133"/>
  <c r="K34" i="133"/>
  <c r="J34" i="133"/>
  <c r="H34" i="133"/>
  <c r="F34" i="133"/>
  <c r="E34" i="133"/>
  <c r="C34" i="133"/>
  <c r="P24" i="133"/>
  <c r="N24" i="133"/>
  <c r="M24" i="133"/>
  <c r="L24" i="133"/>
  <c r="K24" i="133"/>
  <c r="J24" i="133"/>
  <c r="H24" i="133"/>
  <c r="F24" i="133"/>
  <c r="E24" i="133"/>
  <c r="C24" i="133"/>
  <c r="P14" i="133"/>
  <c r="N14" i="133"/>
  <c r="M14" i="133"/>
  <c r="L14" i="133"/>
  <c r="K14" i="133"/>
  <c r="J14" i="133"/>
  <c r="H14" i="133"/>
  <c r="F14" i="133"/>
  <c r="E14" i="133"/>
  <c r="C14" i="133"/>
  <c r="P4" i="133"/>
  <c r="N4" i="133"/>
  <c r="M4" i="133"/>
  <c r="L4" i="133"/>
  <c r="K4" i="133"/>
  <c r="J4" i="133"/>
  <c r="H4" i="133"/>
  <c r="F4" i="133"/>
  <c r="E4" i="133"/>
  <c r="C4" i="133"/>
  <c r="P34" i="132"/>
  <c r="N34" i="132"/>
  <c r="M34" i="132"/>
  <c r="L34" i="132"/>
  <c r="K34" i="132"/>
  <c r="J34" i="132"/>
  <c r="H34" i="132"/>
  <c r="F34" i="132"/>
  <c r="E34" i="132"/>
  <c r="C34" i="132"/>
  <c r="P24" i="132"/>
  <c r="N24" i="132"/>
  <c r="M24" i="132"/>
  <c r="L24" i="132"/>
  <c r="K24" i="132"/>
  <c r="J24" i="132"/>
  <c r="H24" i="132"/>
  <c r="F24" i="132"/>
  <c r="E24" i="132"/>
  <c r="C24" i="132"/>
  <c r="P14" i="132"/>
  <c r="N14" i="132"/>
  <c r="M14" i="132"/>
  <c r="L14" i="132"/>
  <c r="K14" i="132"/>
  <c r="J14" i="132"/>
  <c r="H14" i="132"/>
  <c r="F14" i="132"/>
  <c r="E14" i="132"/>
  <c r="C14" i="132"/>
  <c r="P4" i="132"/>
  <c r="N4" i="132"/>
  <c r="M4" i="132"/>
  <c r="L4" i="132"/>
  <c r="K4" i="132"/>
  <c r="J4" i="132"/>
  <c r="H4" i="132"/>
  <c r="F4" i="132"/>
  <c r="E4" i="132"/>
  <c r="C4" i="132"/>
  <c r="K64" i="131"/>
  <c r="J64" i="131"/>
  <c r="I64" i="131"/>
  <c r="H64" i="131"/>
  <c r="F64" i="131"/>
  <c r="E64" i="131"/>
  <c r="D64" i="131"/>
  <c r="C64" i="131"/>
  <c r="P54" i="131"/>
  <c r="N54" i="131"/>
  <c r="M54" i="131"/>
  <c r="L54" i="131"/>
  <c r="K54" i="131"/>
  <c r="J54" i="131"/>
  <c r="I54" i="131"/>
  <c r="H54" i="131"/>
  <c r="F54" i="131"/>
  <c r="E54" i="131"/>
  <c r="D54" i="131"/>
  <c r="C54" i="131"/>
  <c r="P49" i="131"/>
  <c r="N49" i="131"/>
  <c r="M49" i="131"/>
  <c r="L49" i="131"/>
  <c r="K49" i="131"/>
  <c r="J49" i="131"/>
  <c r="I49" i="131"/>
  <c r="H49" i="131"/>
  <c r="F49" i="131"/>
  <c r="E49" i="131"/>
  <c r="D49" i="131"/>
  <c r="C49" i="131"/>
  <c r="P48" i="131"/>
  <c r="N48" i="131"/>
  <c r="M48" i="131"/>
  <c r="L48" i="131"/>
  <c r="K48" i="131"/>
  <c r="J48" i="131"/>
  <c r="I48" i="131"/>
  <c r="H48" i="131"/>
  <c r="F48" i="131"/>
  <c r="E48" i="131"/>
  <c r="D48" i="131"/>
  <c r="C48" i="131"/>
  <c r="P47" i="131"/>
  <c r="N47" i="131"/>
  <c r="M47" i="131"/>
  <c r="L47" i="131"/>
  <c r="K47" i="131"/>
  <c r="J47" i="131"/>
  <c r="I47" i="131"/>
  <c r="H47" i="131"/>
  <c r="F47" i="131"/>
  <c r="E47" i="131"/>
  <c r="D47" i="131"/>
  <c r="C47" i="131"/>
  <c r="P46" i="131"/>
  <c r="N46" i="131"/>
  <c r="M46" i="131"/>
  <c r="L46" i="131"/>
  <c r="K46" i="131"/>
  <c r="J46" i="131"/>
  <c r="I46" i="131"/>
  <c r="H46" i="131"/>
  <c r="F46" i="131"/>
  <c r="E46" i="131"/>
  <c r="D46" i="131"/>
  <c r="C46" i="131"/>
  <c r="P45" i="131"/>
  <c r="N45" i="131"/>
  <c r="M45" i="131"/>
  <c r="L45" i="131"/>
  <c r="K45" i="131"/>
  <c r="J45" i="131"/>
  <c r="I45" i="131"/>
  <c r="H45" i="131"/>
  <c r="F45" i="131"/>
  <c r="E45" i="131"/>
  <c r="D45" i="131"/>
  <c r="C45" i="131"/>
  <c r="P44" i="131"/>
  <c r="N44" i="131"/>
  <c r="M44" i="131"/>
  <c r="L44" i="131"/>
  <c r="K44" i="131"/>
  <c r="J44" i="131"/>
  <c r="I44" i="131"/>
  <c r="H44" i="131"/>
  <c r="F44" i="131"/>
  <c r="E44" i="131"/>
  <c r="D44" i="131"/>
  <c r="C44" i="131"/>
  <c r="P43" i="131"/>
  <c r="N43" i="131"/>
  <c r="M43" i="131"/>
  <c r="L43" i="131"/>
  <c r="K43" i="131"/>
  <c r="J43" i="131"/>
  <c r="I43" i="131"/>
  <c r="H43" i="131"/>
  <c r="F43" i="131"/>
  <c r="E43" i="131"/>
  <c r="D43" i="131"/>
  <c r="C43" i="131"/>
  <c r="P42" i="131"/>
  <c r="N42" i="131"/>
  <c r="M42" i="131"/>
  <c r="L42" i="131"/>
  <c r="K42" i="131"/>
  <c r="J42" i="131"/>
  <c r="I42" i="131"/>
  <c r="H42" i="131"/>
  <c r="F42" i="131"/>
  <c r="E42" i="131"/>
  <c r="D42" i="131"/>
  <c r="C42" i="131"/>
  <c r="P41" i="131"/>
  <c r="N41" i="131"/>
  <c r="M41" i="131"/>
  <c r="L41" i="131"/>
  <c r="K41" i="131"/>
  <c r="J41" i="131"/>
  <c r="I41" i="131"/>
  <c r="H41" i="131"/>
  <c r="F41" i="131"/>
  <c r="E41" i="131"/>
  <c r="D41" i="131"/>
  <c r="C41" i="131"/>
  <c r="P40" i="131"/>
  <c r="N40" i="131"/>
  <c r="M40" i="131"/>
  <c r="L40" i="131"/>
  <c r="K40" i="131"/>
  <c r="J40" i="131"/>
  <c r="I40" i="131"/>
  <c r="H40" i="131"/>
  <c r="F40" i="131"/>
  <c r="E40" i="131"/>
  <c r="D40" i="131"/>
  <c r="C40" i="131"/>
  <c r="P34" i="131"/>
  <c r="N34" i="131"/>
  <c r="M34" i="131"/>
  <c r="L34" i="131"/>
  <c r="K34" i="131"/>
  <c r="J34" i="131"/>
  <c r="I34" i="131"/>
  <c r="H34" i="131"/>
  <c r="F34" i="131"/>
  <c r="E34" i="131"/>
  <c r="D34" i="131"/>
  <c r="C34" i="131"/>
  <c r="P24" i="131"/>
  <c r="N24" i="131"/>
  <c r="M24" i="131"/>
  <c r="L24" i="131"/>
  <c r="K24" i="131"/>
  <c r="J24" i="131"/>
  <c r="I24" i="131"/>
  <c r="H24" i="131"/>
  <c r="F24" i="131"/>
  <c r="E24" i="131"/>
  <c r="D24" i="131"/>
  <c r="C24" i="131"/>
  <c r="P14" i="131"/>
  <c r="N14" i="131"/>
  <c r="M14" i="131"/>
  <c r="L14" i="131"/>
  <c r="K14" i="131"/>
  <c r="J14" i="131"/>
  <c r="I14" i="131"/>
  <c r="H14" i="131"/>
  <c r="F14" i="131"/>
  <c r="E14" i="131"/>
  <c r="D14" i="131"/>
  <c r="C14" i="131"/>
  <c r="P4" i="131"/>
  <c r="N4" i="131"/>
  <c r="M4" i="131"/>
  <c r="L4" i="131"/>
  <c r="K4" i="131"/>
  <c r="J4" i="131"/>
  <c r="I4" i="131"/>
  <c r="H4" i="131"/>
  <c r="F4" i="131"/>
  <c r="E4" i="131"/>
  <c r="D4" i="131"/>
  <c r="C4" i="131"/>
  <c r="C4" i="103"/>
  <c r="E4" i="103"/>
  <c r="P64" i="131"/>
  <c r="N64" i="131"/>
  <c r="M64" i="131"/>
  <c r="L64" i="131"/>
  <c r="P34" i="133"/>
  <c r="N34" i="133"/>
  <c r="M34" i="133"/>
  <c r="P34" i="134"/>
  <c r="N34" i="134"/>
  <c r="M34" i="134"/>
  <c r="L34" i="134"/>
  <c r="K34" i="134"/>
  <c r="H34" i="134"/>
  <c r="B264" i="111"/>
  <c r="B254" i="111"/>
  <c r="B249" i="111"/>
  <c r="B14" i="112"/>
  <c r="B4" i="112"/>
  <c r="E20" i="135"/>
  <c r="F20" i="135"/>
  <c r="E20" i="134"/>
  <c r="F20" i="134"/>
  <c r="E20" i="133"/>
  <c r="F20" i="133"/>
  <c r="E20" i="132"/>
  <c r="F20" i="132"/>
  <c r="I20" i="131"/>
  <c r="E20" i="131"/>
  <c r="F20" i="131"/>
  <c r="J37" i="132"/>
  <c r="E37" i="132"/>
  <c r="F37" i="132"/>
  <c r="C37" i="132"/>
  <c r="H37" i="132"/>
  <c r="K37" i="132"/>
  <c r="L37" i="132"/>
  <c r="M37" i="132"/>
  <c r="N37" i="132"/>
  <c r="P37" i="132"/>
  <c r="I65" i="131"/>
  <c r="D65" i="131"/>
  <c r="J65" i="131"/>
  <c r="E65" i="131"/>
  <c r="F65" i="131"/>
  <c r="C65" i="131"/>
  <c r="H65" i="131"/>
  <c r="K65" i="131"/>
  <c r="L65" i="131"/>
  <c r="M65" i="131"/>
  <c r="N65" i="131"/>
  <c r="P65" i="131"/>
  <c r="I66" i="131"/>
  <c r="D66" i="131"/>
  <c r="J66" i="131"/>
  <c r="E66" i="131"/>
  <c r="F66" i="131"/>
  <c r="C66" i="131"/>
  <c r="H66" i="131"/>
  <c r="K66" i="131"/>
  <c r="L66" i="131"/>
  <c r="M66" i="131"/>
  <c r="N66" i="131"/>
  <c r="P66" i="131"/>
  <c r="I67" i="131"/>
  <c r="D67" i="131"/>
  <c r="J67" i="131"/>
  <c r="E67" i="131"/>
  <c r="F67" i="131"/>
  <c r="C67" i="131"/>
  <c r="H67" i="131"/>
  <c r="K67" i="131"/>
  <c r="L67" i="131"/>
  <c r="M67" i="131"/>
  <c r="N67" i="131"/>
  <c r="P67" i="131"/>
  <c r="I32" i="131"/>
  <c r="D32" i="131"/>
  <c r="J32" i="131"/>
  <c r="E32" i="131"/>
  <c r="F32" i="131"/>
  <c r="C32" i="131"/>
  <c r="H32" i="131"/>
  <c r="K32" i="131"/>
  <c r="L32" i="131"/>
  <c r="M32" i="131"/>
  <c r="N32" i="131"/>
  <c r="P32" i="131"/>
  <c r="I37" i="131"/>
  <c r="D37" i="131"/>
  <c r="J37" i="131"/>
  <c r="E37" i="131"/>
  <c r="F37" i="131"/>
  <c r="C37" i="131"/>
  <c r="H37" i="131"/>
  <c r="K37" i="131"/>
  <c r="L37" i="131"/>
  <c r="M37" i="131"/>
  <c r="N37" i="131"/>
  <c r="P37" i="131"/>
  <c r="I38" i="131"/>
  <c r="D38" i="131"/>
  <c r="J38" i="131"/>
  <c r="E38" i="131"/>
  <c r="F38" i="131"/>
  <c r="C38" i="131"/>
  <c r="H38" i="131"/>
  <c r="K38" i="131"/>
  <c r="L38" i="131"/>
  <c r="M38" i="131"/>
  <c r="N38" i="131"/>
  <c r="P38" i="131"/>
  <c r="I35" i="131"/>
  <c r="D35" i="131"/>
  <c r="J35" i="131"/>
  <c r="E35" i="131"/>
  <c r="F35" i="131"/>
  <c r="C35" i="131"/>
  <c r="H35" i="131"/>
  <c r="K35" i="131"/>
  <c r="L35" i="131"/>
  <c r="M35" i="131"/>
  <c r="N35" i="131"/>
  <c r="P35" i="131"/>
  <c r="I36" i="131"/>
  <c r="D36" i="131"/>
  <c r="J36" i="131"/>
  <c r="E36" i="131"/>
  <c r="F36" i="131"/>
  <c r="C36" i="131"/>
  <c r="H36" i="131"/>
  <c r="K36" i="131"/>
  <c r="L36" i="131"/>
  <c r="M36" i="131"/>
  <c r="N36" i="131"/>
  <c r="P36" i="131"/>
  <c r="J37" i="135"/>
  <c r="E37" i="135"/>
  <c r="F37" i="135"/>
  <c r="C37" i="135"/>
  <c r="H37" i="135"/>
  <c r="K37" i="135"/>
  <c r="L37" i="135"/>
  <c r="M37" i="135"/>
  <c r="N37" i="135"/>
  <c r="P37" i="135"/>
  <c r="J36" i="134"/>
  <c r="E36" i="134"/>
  <c r="F36" i="134"/>
  <c r="C36" i="134"/>
  <c r="H36" i="134"/>
  <c r="K36" i="134"/>
  <c r="L36" i="134"/>
  <c r="M36" i="134"/>
  <c r="N36" i="134"/>
  <c r="P36" i="134"/>
  <c r="J36" i="132"/>
  <c r="E36" i="132"/>
  <c r="F36" i="132"/>
  <c r="C36" i="132"/>
  <c r="H36" i="132"/>
  <c r="K36" i="132"/>
  <c r="L36" i="132"/>
  <c r="M36" i="132"/>
  <c r="N36" i="132"/>
  <c r="P36" i="132"/>
  <c r="J37" i="133"/>
  <c r="E37" i="133"/>
  <c r="F37" i="133"/>
  <c r="C37" i="133"/>
  <c r="H37" i="133"/>
  <c r="K37" i="133"/>
  <c r="L37" i="133"/>
  <c r="M37" i="133"/>
  <c r="N37" i="133"/>
  <c r="P37" i="133"/>
  <c r="I62" i="131"/>
  <c r="D62" i="131"/>
  <c r="J62" i="131"/>
  <c r="E62" i="131"/>
  <c r="F62" i="131"/>
  <c r="C62" i="131"/>
  <c r="H62" i="131"/>
  <c r="K62" i="131"/>
  <c r="L62" i="131"/>
  <c r="M62" i="131"/>
  <c r="N62" i="131"/>
  <c r="P62" i="131"/>
  <c r="I63" i="131"/>
  <c r="D63" i="131"/>
  <c r="J63" i="131"/>
  <c r="E63" i="131"/>
  <c r="F63" i="131"/>
  <c r="C63" i="131"/>
  <c r="H63" i="131"/>
  <c r="K63" i="131"/>
  <c r="L63" i="131"/>
  <c r="M63" i="131"/>
  <c r="N63" i="131"/>
  <c r="P63" i="131"/>
  <c r="I5" i="131"/>
  <c r="D5" i="131"/>
  <c r="J5" i="131"/>
  <c r="E5" i="131"/>
  <c r="F5" i="131"/>
  <c r="C5" i="131"/>
  <c r="H5" i="131"/>
  <c r="K5" i="131"/>
  <c r="L5" i="131"/>
  <c r="M5" i="131"/>
  <c r="N5" i="131"/>
  <c r="P5" i="131"/>
  <c r="I6" i="131"/>
  <c r="D6" i="131"/>
  <c r="J6" i="131"/>
  <c r="E6" i="131"/>
  <c r="F6" i="131"/>
  <c r="C6" i="131"/>
  <c r="H6" i="131"/>
  <c r="K6" i="131"/>
  <c r="L6" i="131"/>
  <c r="M6" i="131"/>
  <c r="N6" i="131"/>
  <c r="P6" i="131"/>
  <c r="I7" i="131"/>
  <c r="D7" i="131"/>
  <c r="J7" i="131"/>
  <c r="E7" i="131"/>
  <c r="F7" i="131"/>
  <c r="C7" i="131"/>
  <c r="H7" i="131"/>
  <c r="K7" i="131"/>
  <c r="L7" i="131"/>
  <c r="M7" i="131"/>
  <c r="N7" i="131"/>
  <c r="P7" i="131"/>
  <c r="I8" i="131"/>
  <c r="D8" i="131"/>
  <c r="J8" i="131"/>
  <c r="E8" i="131"/>
  <c r="F8" i="131"/>
  <c r="C8" i="131"/>
  <c r="H8" i="131"/>
  <c r="K8" i="131"/>
  <c r="L8" i="131"/>
  <c r="M8" i="131"/>
  <c r="N8" i="131"/>
  <c r="P8" i="131"/>
  <c r="I9" i="131"/>
  <c r="D9" i="131"/>
  <c r="J9" i="131"/>
  <c r="E9" i="131"/>
  <c r="F9" i="131"/>
  <c r="C9" i="131"/>
  <c r="H9" i="131"/>
  <c r="K9" i="131"/>
  <c r="L9" i="131"/>
  <c r="M9" i="131"/>
  <c r="N9" i="131"/>
  <c r="P9" i="131"/>
  <c r="I10" i="131"/>
  <c r="D10" i="131"/>
  <c r="J10" i="131"/>
  <c r="E10" i="131"/>
  <c r="F10" i="131"/>
  <c r="C10" i="131"/>
  <c r="H10" i="131"/>
  <c r="K10" i="131"/>
  <c r="L10" i="131"/>
  <c r="M10" i="131"/>
  <c r="N10" i="131"/>
  <c r="P10" i="131"/>
  <c r="I11" i="131"/>
  <c r="D11" i="131"/>
  <c r="J11" i="131"/>
  <c r="E11" i="131"/>
  <c r="F11" i="131"/>
  <c r="C11" i="131"/>
  <c r="H11" i="131"/>
  <c r="K11" i="131"/>
  <c r="L11" i="131"/>
  <c r="M11" i="131"/>
  <c r="N11" i="131"/>
  <c r="P11" i="131"/>
  <c r="I12" i="131"/>
  <c r="D12" i="131"/>
  <c r="J12" i="131"/>
  <c r="E12" i="131"/>
  <c r="F12" i="131"/>
  <c r="C12" i="131"/>
  <c r="H12" i="131"/>
  <c r="K12" i="131"/>
  <c r="L12" i="131"/>
  <c r="M12" i="131"/>
  <c r="N12" i="131"/>
  <c r="P12" i="131"/>
  <c r="I13" i="131"/>
  <c r="D13" i="131"/>
  <c r="J13" i="131"/>
  <c r="E13" i="131"/>
  <c r="F13" i="131"/>
  <c r="C13" i="131"/>
  <c r="H13" i="131"/>
  <c r="K13" i="131"/>
  <c r="L13" i="131"/>
  <c r="M13" i="131"/>
  <c r="N13" i="131"/>
  <c r="P13" i="131"/>
  <c r="I15" i="131"/>
  <c r="D15" i="131"/>
  <c r="J15" i="131"/>
  <c r="E15" i="131"/>
  <c r="F15" i="131"/>
  <c r="C15" i="131"/>
  <c r="H15" i="131"/>
  <c r="K15" i="131"/>
  <c r="L15" i="131"/>
  <c r="M15" i="131"/>
  <c r="N15" i="131"/>
  <c r="P15" i="131"/>
  <c r="I16" i="131"/>
  <c r="D16" i="131"/>
  <c r="J16" i="131"/>
  <c r="E16" i="131"/>
  <c r="F16" i="131"/>
  <c r="C16" i="131"/>
  <c r="H16" i="131"/>
  <c r="K16" i="131"/>
  <c r="L16" i="131"/>
  <c r="M16" i="131"/>
  <c r="N16" i="131"/>
  <c r="P16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I18" i="131"/>
  <c r="D18" i="131"/>
  <c r="J18" i="131"/>
  <c r="E18" i="131"/>
  <c r="F18" i="131"/>
  <c r="C18" i="131"/>
  <c r="H18" i="131"/>
  <c r="K18" i="131"/>
  <c r="L18" i="131"/>
  <c r="M18" i="131"/>
  <c r="N18" i="131"/>
  <c r="P18" i="131"/>
  <c r="I19" i="131"/>
  <c r="D19" i="131"/>
  <c r="J19" i="131"/>
  <c r="E19" i="131"/>
  <c r="F19" i="131"/>
  <c r="C19" i="131"/>
  <c r="H19" i="131"/>
  <c r="K19" i="131"/>
  <c r="L19" i="131"/>
  <c r="M19" i="131"/>
  <c r="N19" i="131"/>
  <c r="P19" i="131"/>
  <c r="D20" i="131"/>
  <c r="J20" i="131"/>
  <c r="C20" i="131"/>
  <c r="H20" i="131"/>
  <c r="K20" i="131"/>
  <c r="L20" i="131"/>
  <c r="M20" i="131"/>
  <c r="N20" i="131"/>
  <c r="P20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I22" i="131"/>
  <c r="D22" i="131"/>
  <c r="J22" i="131"/>
  <c r="E22" i="131"/>
  <c r="F22" i="131"/>
  <c r="C22" i="131"/>
  <c r="H22" i="131"/>
  <c r="K22" i="131"/>
  <c r="L22" i="131"/>
  <c r="M22" i="131"/>
  <c r="N22" i="131"/>
  <c r="P22" i="131"/>
  <c r="I23" i="131"/>
  <c r="D23" i="131"/>
  <c r="J23" i="131"/>
  <c r="E23" i="131"/>
  <c r="F23" i="131"/>
  <c r="C23" i="131"/>
  <c r="H23" i="131"/>
  <c r="K23" i="131"/>
  <c r="L23" i="131"/>
  <c r="M23" i="131"/>
  <c r="N23" i="131"/>
  <c r="P23" i="131"/>
  <c r="I25" i="131"/>
  <c r="D25" i="131"/>
  <c r="J25" i="131"/>
  <c r="E25" i="131"/>
  <c r="F25" i="131"/>
  <c r="C25" i="131"/>
  <c r="H25" i="131"/>
  <c r="K25" i="131"/>
  <c r="L25" i="131"/>
  <c r="M25" i="131"/>
  <c r="N25" i="131"/>
  <c r="P25" i="131"/>
  <c r="I26" i="131"/>
  <c r="D26" i="131"/>
  <c r="J26" i="131"/>
  <c r="E26" i="131"/>
  <c r="F26" i="131"/>
  <c r="C26" i="131"/>
  <c r="H26" i="131"/>
  <c r="K26" i="131"/>
  <c r="L26" i="131"/>
  <c r="M26" i="131"/>
  <c r="N26" i="131"/>
  <c r="P26" i="131"/>
  <c r="I27" i="131"/>
  <c r="D27" i="131"/>
  <c r="J27" i="131"/>
  <c r="E27" i="131"/>
  <c r="F27" i="131"/>
  <c r="C27" i="131"/>
  <c r="H27" i="131"/>
  <c r="K27" i="131"/>
  <c r="L27" i="131"/>
  <c r="M27" i="131"/>
  <c r="N27" i="131"/>
  <c r="P27" i="131"/>
  <c r="I28" i="131"/>
  <c r="D28" i="131"/>
  <c r="J28" i="131"/>
  <c r="E28" i="131"/>
  <c r="F28" i="131"/>
  <c r="C28" i="131"/>
  <c r="H28" i="131"/>
  <c r="K28" i="131"/>
  <c r="L28" i="131"/>
  <c r="M28" i="131"/>
  <c r="N28" i="131"/>
  <c r="P28" i="131"/>
  <c r="I29" i="131"/>
  <c r="D29" i="131"/>
  <c r="J29" i="131"/>
  <c r="E29" i="131"/>
  <c r="F29" i="131"/>
  <c r="C29" i="131"/>
  <c r="H29" i="131"/>
  <c r="K29" i="131"/>
  <c r="L29" i="131"/>
  <c r="M29" i="131"/>
  <c r="N29" i="131"/>
  <c r="P29" i="131"/>
  <c r="I30" i="131"/>
  <c r="D30" i="131"/>
  <c r="J30" i="131"/>
  <c r="E30" i="131"/>
  <c r="F30" i="131"/>
  <c r="C30" i="131"/>
  <c r="H30" i="131"/>
  <c r="K30" i="131"/>
  <c r="L30" i="131"/>
  <c r="M30" i="131"/>
  <c r="N30" i="131"/>
  <c r="P30" i="131"/>
  <c r="I31" i="131"/>
  <c r="D31" i="131"/>
  <c r="J31" i="131"/>
  <c r="E31" i="131"/>
  <c r="F31" i="131"/>
  <c r="C31" i="131"/>
  <c r="H31" i="131"/>
  <c r="K31" i="131"/>
  <c r="L31" i="131"/>
  <c r="M31" i="131"/>
  <c r="N31" i="131"/>
  <c r="P31" i="131"/>
  <c r="I33" i="131"/>
  <c r="D33" i="131"/>
  <c r="J33" i="131"/>
  <c r="E33" i="131"/>
  <c r="F33" i="131"/>
  <c r="C33" i="131"/>
  <c r="H33" i="131"/>
  <c r="K33" i="131"/>
  <c r="L33" i="131"/>
  <c r="M33" i="131"/>
  <c r="N33" i="131"/>
  <c r="P33" i="131"/>
  <c r="I39" i="131"/>
  <c r="D39" i="131"/>
  <c r="J39" i="131"/>
  <c r="E39" i="131"/>
  <c r="F39" i="131"/>
  <c r="C39" i="131"/>
  <c r="H39" i="131"/>
  <c r="K39" i="131"/>
  <c r="L39" i="131"/>
  <c r="M39" i="131"/>
  <c r="N39" i="131"/>
  <c r="P39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52" i="13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55" i="131"/>
  <c r="D55" i="131"/>
  <c r="J55" i="131"/>
  <c r="E55" i="131"/>
  <c r="F55" i="131"/>
  <c r="C55" i="131"/>
  <c r="H55" i="131"/>
  <c r="K55" i="131"/>
  <c r="L55" i="131"/>
  <c r="M55" i="131"/>
  <c r="N55" i="131"/>
  <c r="P55" i="131"/>
  <c r="I56" i="131"/>
  <c r="D56" i="131"/>
  <c r="J56" i="131"/>
  <c r="E56" i="131"/>
  <c r="F56" i="131"/>
  <c r="C56" i="131"/>
  <c r="H56" i="131"/>
  <c r="K56" i="131"/>
  <c r="L56" i="131"/>
  <c r="M56" i="131"/>
  <c r="N56" i="131"/>
  <c r="P56" i="131"/>
  <c r="I58" i="131"/>
  <c r="D58" i="131"/>
  <c r="J58" i="131"/>
  <c r="E58" i="131"/>
  <c r="F58" i="131"/>
  <c r="C58" i="131"/>
  <c r="H58" i="131"/>
  <c r="K58" i="131"/>
  <c r="L58" i="131"/>
  <c r="M58" i="131"/>
  <c r="N58" i="131"/>
  <c r="P58" i="131"/>
  <c r="I59" i="131"/>
  <c r="D59" i="131"/>
  <c r="J59" i="131"/>
  <c r="E59" i="131"/>
  <c r="F59" i="131"/>
  <c r="C59" i="131"/>
  <c r="H59" i="131"/>
  <c r="K59" i="131"/>
  <c r="L59" i="131"/>
  <c r="M59" i="131"/>
  <c r="N59" i="131"/>
  <c r="P59" i="131"/>
  <c r="I60" i="131"/>
  <c r="D60" i="131"/>
  <c r="J60" i="131"/>
  <c r="E60" i="131"/>
  <c r="F60" i="131"/>
  <c r="C60" i="131"/>
  <c r="H60" i="131"/>
  <c r="K60" i="131"/>
  <c r="L60" i="131"/>
  <c r="M60" i="131"/>
  <c r="N60" i="131"/>
  <c r="P60" i="131"/>
  <c r="I61" i="131"/>
  <c r="D61" i="131"/>
  <c r="J61" i="131"/>
  <c r="E61" i="131"/>
  <c r="F61" i="131"/>
  <c r="C61" i="131"/>
  <c r="H61" i="131"/>
  <c r="K61" i="131"/>
  <c r="L61" i="131"/>
  <c r="M61" i="131"/>
  <c r="N61" i="131"/>
  <c r="P61" i="131"/>
  <c r="C6" i="103"/>
  <c r="E6" i="103"/>
  <c r="C5" i="103"/>
  <c r="E5" i="103"/>
  <c r="J36" i="135"/>
  <c r="E36" i="135"/>
  <c r="F36" i="135"/>
  <c r="C36" i="135"/>
  <c r="H36" i="135"/>
  <c r="K36" i="135"/>
  <c r="L36" i="135"/>
  <c r="M36" i="135"/>
  <c r="N36" i="135"/>
  <c r="P36" i="135"/>
  <c r="P35" i="135"/>
  <c r="N35" i="135"/>
  <c r="M35" i="135"/>
  <c r="L35" i="135"/>
  <c r="K35" i="135"/>
  <c r="J35" i="135"/>
  <c r="H35" i="135"/>
  <c r="F35" i="135"/>
  <c r="E35" i="135"/>
  <c r="C35" i="135"/>
  <c r="P33" i="135"/>
  <c r="N33" i="135"/>
  <c r="M33" i="135"/>
  <c r="L33" i="135"/>
  <c r="K33" i="135"/>
  <c r="J33" i="135"/>
  <c r="H33" i="135"/>
  <c r="F33" i="135"/>
  <c r="E33" i="135"/>
  <c r="C33" i="135"/>
  <c r="P32" i="135"/>
  <c r="N32" i="135"/>
  <c r="M32" i="135"/>
  <c r="L32" i="135"/>
  <c r="K32" i="135"/>
  <c r="J32" i="135"/>
  <c r="H32" i="135"/>
  <c r="F32" i="135"/>
  <c r="E32" i="135"/>
  <c r="C32" i="135"/>
  <c r="P31" i="135"/>
  <c r="N31" i="135"/>
  <c r="M31" i="135"/>
  <c r="L31" i="135"/>
  <c r="K31" i="135"/>
  <c r="J31" i="135"/>
  <c r="H31" i="135"/>
  <c r="F31" i="135"/>
  <c r="E31" i="135"/>
  <c r="C31" i="135"/>
  <c r="P30" i="135"/>
  <c r="N30" i="135"/>
  <c r="M30" i="135"/>
  <c r="L30" i="135"/>
  <c r="K30" i="135"/>
  <c r="J30" i="135"/>
  <c r="H30" i="135"/>
  <c r="F30" i="135"/>
  <c r="E30" i="135"/>
  <c r="C30" i="135"/>
  <c r="P29" i="135"/>
  <c r="N29" i="135"/>
  <c r="M29" i="135"/>
  <c r="L29" i="135"/>
  <c r="K29" i="135"/>
  <c r="J29" i="135"/>
  <c r="H29" i="135"/>
  <c r="F29" i="135"/>
  <c r="E29" i="135"/>
  <c r="C29" i="135"/>
  <c r="P28" i="135"/>
  <c r="N28" i="135"/>
  <c r="M28" i="135"/>
  <c r="L28" i="135"/>
  <c r="K28" i="135"/>
  <c r="J28" i="135"/>
  <c r="H28" i="135"/>
  <c r="F28" i="135"/>
  <c r="E28" i="135"/>
  <c r="C28" i="135"/>
  <c r="P27" i="135"/>
  <c r="N27" i="135"/>
  <c r="M27" i="135"/>
  <c r="L27" i="135"/>
  <c r="K27" i="135"/>
  <c r="J27" i="135"/>
  <c r="H27" i="135"/>
  <c r="F27" i="135"/>
  <c r="E27" i="135"/>
  <c r="C27" i="135"/>
  <c r="P26" i="135"/>
  <c r="N26" i="135"/>
  <c r="M26" i="135"/>
  <c r="L26" i="135"/>
  <c r="K26" i="135"/>
  <c r="J26" i="135"/>
  <c r="H26" i="135"/>
  <c r="F26" i="135"/>
  <c r="E26" i="135"/>
  <c r="C26" i="135"/>
  <c r="P25" i="135"/>
  <c r="N25" i="135"/>
  <c r="M25" i="135"/>
  <c r="L25" i="135"/>
  <c r="K25" i="135"/>
  <c r="J25" i="135"/>
  <c r="H25" i="135"/>
  <c r="F25" i="135"/>
  <c r="E25" i="135"/>
  <c r="C25" i="135"/>
  <c r="P23" i="135"/>
  <c r="N23" i="135"/>
  <c r="M23" i="135"/>
  <c r="L23" i="135"/>
  <c r="K23" i="135"/>
  <c r="J23" i="135"/>
  <c r="H23" i="135"/>
  <c r="F23" i="135"/>
  <c r="E23" i="135"/>
  <c r="C23" i="135"/>
  <c r="P22" i="135"/>
  <c r="N22" i="135"/>
  <c r="M22" i="135"/>
  <c r="L22" i="135"/>
  <c r="K22" i="135"/>
  <c r="J22" i="135"/>
  <c r="H22" i="135"/>
  <c r="F22" i="135"/>
  <c r="E22" i="135"/>
  <c r="C22" i="135"/>
  <c r="P21" i="135"/>
  <c r="N21" i="135"/>
  <c r="M21" i="135"/>
  <c r="L21" i="135"/>
  <c r="K21" i="135"/>
  <c r="J21" i="135"/>
  <c r="H21" i="135"/>
  <c r="F21" i="135"/>
  <c r="E21" i="135"/>
  <c r="C21" i="135"/>
  <c r="P20" i="135"/>
  <c r="N20" i="135"/>
  <c r="M20" i="135"/>
  <c r="L20" i="135"/>
  <c r="K20" i="135"/>
  <c r="J20" i="135"/>
  <c r="H20" i="135"/>
  <c r="C20" i="135"/>
  <c r="P19" i="135"/>
  <c r="N19" i="135"/>
  <c r="M19" i="135"/>
  <c r="L19" i="135"/>
  <c r="K19" i="135"/>
  <c r="H19" i="135"/>
  <c r="F19" i="135"/>
  <c r="E19" i="135"/>
  <c r="C19" i="135"/>
  <c r="P18" i="135"/>
  <c r="N18" i="135"/>
  <c r="M18" i="135"/>
  <c r="L18" i="135"/>
  <c r="K18" i="135"/>
  <c r="H18" i="135"/>
  <c r="F18" i="135"/>
  <c r="E18" i="135"/>
  <c r="C18" i="135"/>
  <c r="P17" i="135"/>
  <c r="N17" i="135"/>
  <c r="M17" i="135"/>
  <c r="L17" i="135"/>
  <c r="K17" i="135"/>
  <c r="J17" i="135"/>
  <c r="H17" i="135"/>
  <c r="F17" i="135"/>
  <c r="E17" i="135"/>
  <c r="C17" i="135"/>
  <c r="P16" i="135"/>
  <c r="N16" i="135"/>
  <c r="M16" i="135"/>
  <c r="L16" i="135"/>
  <c r="K16" i="135"/>
  <c r="J16" i="135"/>
  <c r="H16" i="135"/>
  <c r="F16" i="135"/>
  <c r="E16" i="135"/>
  <c r="C16" i="135"/>
  <c r="P15" i="135"/>
  <c r="N15" i="135"/>
  <c r="M15" i="135"/>
  <c r="L15" i="135"/>
  <c r="K15" i="135"/>
  <c r="J15" i="135"/>
  <c r="H15" i="135"/>
  <c r="F15" i="135"/>
  <c r="E15" i="135"/>
  <c r="C15" i="135"/>
  <c r="P13" i="135"/>
  <c r="N13" i="135"/>
  <c r="M13" i="135"/>
  <c r="L13" i="135"/>
  <c r="K13" i="135"/>
  <c r="J13" i="135"/>
  <c r="H13" i="135"/>
  <c r="F13" i="135"/>
  <c r="E13" i="135"/>
  <c r="C13" i="135"/>
  <c r="P12" i="135"/>
  <c r="N12" i="135"/>
  <c r="M12" i="135"/>
  <c r="L12" i="135"/>
  <c r="K12" i="135"/>
  <c r="J12" i="135"/>
  <c r="H12" i="135"/>
  <c r="F12" i="135"/>
  <c r="E12" i="135"/>
  <c r="C12" i="135"/>
  <c r="P11" i="135"/>
  <c r="N11" i="135"/>
  <c r="M11" i="135"/>
  <c r="L11" i="135"/>
  <c r="K11" i="135"/>
  <c r="J11" i="135"/>
  <c r="H11" i="135"/>
  <c r="F11" i="135"/>
  <c r="E11" i="135"/>
  <c r="C11" i="135"/>
  <c r="P10" i="135"/>
  <c r="N10" i="135"/>
  <c r="M10" i="135"/>
  <c r="L10" i="135"/>
  <c r="K10" i="135"/>
  <c r="J10" i="135"/>
  <c r="H10" i="135"/>
  <c r="F10" i="135"/>
  <c r="E10" i="135"/>
  <c r="C10" i="135"/>
  <c r="P9" i="135"/>
  <c r="N9" i="135"/>
  <c r="M9" i="135"/>
  <c r="L9" i="135"/>
  <c r="K9" i="135"/>
  <c r="J9" i="135"/>
  <c r="H9" i="135"/>
  <c r="F9" i="135"/>
  <c r="E9" i="135"/>
  <c r="C9" i="135"/>
  <c r="P8" i="135"/>
  <c r="N8" i="135"/>
  <c r="M8" i="135"/>
  <c r="L8" i="135"/>
  <c r="K8" i="135"/>
  <c r="J8" i="135"/>
  <c r="H8" i="135"/>
  <c r="F8" i="135"/>
  <c r="E8" i="135"/>
  <c r="C8" i="135"/>
  <c r="P7" i="135"/>
  <c r="N7" i="135"/>
  <c r="M7" i="135"/>
  <c r="L7" i="135"/>
  <c r="K7" i="135"/>
  <c r="J7" i="135"/>
  <c r="H7" i="135"/>
  <c r="F7" i="135"/>
  <c r="E7" i="135"/>
  <c r="C7" i="135"/>
  <c r="P6" i="135"/>
  <c r="N6" i="135"/>
  <c r="M6" i="135"/>
  <c r="L6" i="135"/>
  <c r="K6" i="135"/>
  <c r="J6" i="135"/>
  <c r="H6" i="135"/>
  <c r="F6" i="135"/>
  <c r="E6" i="135"/>
  <c r="C6" i="135"/>
  <c r="P5" i="135"/>
  <c r="N5" i="135"/>
  <c r="M5" i="135"/>
  <c r="L5" i="135"/>
  <c r="K5" i="135"/>
  <c r="J5" i="135"/>
  <c r="H5" i="135"/>
  <c r="F5" i="135"/>
  <c r="E5" i="135"/>
  <c r="C5" i="135"/>
  <c r="P3" i="135"/>
  <c r="N3" i="135"/>
  <c r="M3" i="135"/>
  <c r="L3" i="135"/>
  <c r="K3" i="135"/>
  <c r="J3" i="135"/>
  <c r="H3" i="135"/>
  <c r="F3" i="135"/>
  <c r="E3" i="135"/>
  <c r="C3" i="135"/>
  <c r="P2" i="135"/>
  <c r="N2" i="135"/>
  <c r="M2" i="135"/>
  <c r="L2" i="135"/>
  <c r="K2" i="135"/>
  <c r="J2" i="135"/>
  <c r="H2" i="135"/>
  <c r="F2" i="135"/>
  <c r="E2" i="135"/>
  <c r="C2" i="135"/>
  <c r="J19" i="134"/>
  <c r="P35" i="134"/>
  <c r="N35" i="134"/>
  <c r="M35" i="134"/>
  <c r="L35" i="134"/>
  <c r="K35" i="134"/>
  <c r="J35" i="134"/>
  <c r="H35" i="134"/>
  <c r="F35" i="134"/>
  <c r="E35" i="134"/>
  <c r="C35" i="134"/>
  <c r="P33" i="134"/>
  <c r="N33" i="134"/>
  <c r="M33" i="134"/>
  <c r="L33" i="134"/>
  <c r="K33" i="134"/>
  <c r="J33" i="134"/>
  <c r="H33" i="134"/>
  <c r="F33" i="134"/>
  <c r="E33" i="134"/>
  <c r="C33" i="134"/>
  <c r="P32" i="134"/>
  <c r="N32" i="134"/>
  <c r="M32" i="134"/>
  <c r="L32" i="134"/>
  <c r="K32" i="134"/>
  <c r="J32" i="134"/>
  <c r="H32" i="134"/>
  <c r="F32" i="134"/>
  <c r="E32" i="134"/>
  <c r="C32" i="134"/>
  <c r="P31" i="134"/>
  <c r="N31" i="134"/>
  <c r="M31" i="134"/>
  <c r="L31" i="134"/>
  <c r="K31" i="134"/>
  <c r="J31" i="134"/>
  <c r="H31" i="134"/>
  <c r="F31" i="134"/>
  <c r="E31" i="134"/>
  <c r="C31" i="134"/>
  <c r="P30" i="134"/>
  <c r="N30" i="134"/>
  <c r="M30" i="134"/>
  <c r="L30" i="134"/>
  <c r="K30" i="134"/>
  <c r="J30" i="134"/>
  <c r="H30" i="134"/>
  <c r="F30" i="134"/>
  <c r="E30" i="134"/>
  <c r="C30" i="134"/>
  <c r="P29" i="134"/>
  <c r="N29" i="134"/>
  <c r="M29" i="134"/>
  <c r="L29" i="134"/>
  <c r="K29" i="134"/>
  <c r="J29" i="134"/>
  <c r="H29" i="134"/>
  <c r="F29" i="134"/>
  <c r="E29" i="134"/>
  <c r="C29" i="134"/>
  <c r="P28" i="134"/>
  <c r="N28" i="134"/>
  <c r="M28" i="134"/>
  <c r="L28" i="134"/>
  <c r="K28" i="134"/>
  <c r="J28" i="134"/>
  <c r="H28" i="134"/>
  <c r="F28" i="134"/>
  <c r="E28" i="134"/>
  <c r="C28" i="134"/>
  <c r="P27" i="134"/>
  <c r="N27" i="134"/>
  <c r="M27" i="134"/>
  <c r="L27" i="134"/>
  <c r="K27" i="134"/>
  <c r="J27" i="134"/>
  <c r="H27" i="134"/>
  <c r="F27" i="134"/>
  <c r="E27" i="134"/>
  <c r="C27" i="134"/>
  <c r="P26" i="134"/>
  <c r="N26" i="134"/>
  <c r="M26" i="134"/>
  <c r="L26" i="134"/>
  <c r="K26" i="134"/>
  <c r="J26" i="134"/>
  <c r="H26" i="134"/>
  <c r="F26" i="134"/>
  <c r="E26" i="134"/>
  <c r="C26" i="134"/>
  <c r="P25" i="134"/>
  <c r="N25" i="134"/>
  <c r="M25" i="134"/>
  <c r="L25" i="134"/>
  <c r="K25" i="134"/>
  <c r="J25" i="134"/>
  <c r="H25" i="134"/>
  <c r="F25" i="134"/>
  <c r="E25" i="134"/>
  <c r="C25" i="134"/>
  <c r="P23" i="134"/>
  <c r="N23" i="134"/>
  <c r="M23" i="134"/>
  <c r="L23" i="134"/>
  <c r="K23" i="134"/>
  <c r="J23" i="134"/>
  <c r="H23" i="134"/>
  <c r="F23" i="134"/>
  <c r="E23" i="134"/>
  <c r="C23" i="134"/>
  <c r="P22" i="134"/>
  <c r="N22" i="134"/>
  <c r="M22" i="134"/>
  <c r="L22" i="134"/>
  <c r="K22" i="134"/>
  <c r="J22" i="134"/>
  <c r="H22" i="134"/>
  <c r="F22" i="134"/>
  <c r="E22" i="134"/>
  <c r="C22" i="134"/>
  <c r="P21" i="134"/>
  <c r="N21" i="134"/>
  <c r="M21" i="134"/>
  <c r="L21" i="134"/>
  <c r="K21" i="134"/>
  <c r="J21" i="134"/>
  <c r="H21" i="134"/>
  <c r="F21" i="134"/>
  <c r="E21" i="134"/>
  <c r="C21" i="134"/>
  <c r="P20" i="134"/>
  <c r="N20" i="134"/>
  <c r="M20" i="134"/>
  <c r="L20" i="134"/>
  <c r="K20" i="134"/>
  <c r="J20" i="134"/>
  <c r="H20" i="134"/>
  <c r="C20" i="134"/>
  <c r="P19" i="134"/>
  <c r="N19" i="134"/>
  <c r="M19" i="134"/>
  <c r="L19" i="134"/>
  <c r="K19" i="134"/>
  <c r="H19" i="134"/>
  <c r="F19" i="134"/>
  <c r="E19" i="134"/>
  <c r="C19" i="134"/>
  <c r="P18" i="134"/>
  <c r="N18" i="134"/>
  <c r="M18" i="134"/>
  <c r="L18" i="134"/>
  <c r="K18" i="134"/>
  <c r="H18" i="134"/>
  <c r="F18" i="134"/>
  <c r="E18" i="134"/>
  <c r="C18" i="134"/>
  <c r="P17" i="134"/>
  <c r="N17" i="134"/>
  <c r="M17" i="134"/>
  <c r="L17" i="134"/>
  <c r="K17" i="134"/>
  <c r="J17" i="134"/>
  <c r="H17" i="134"/>
  <c r="F17" i="134"/>
  <c r="E17" i="134"/>
  <c r="C17" i="134"/>
  <c r="P16" i="134"/>
  <c r="N16" i="134"/>
  <c r="M16" i="134"/>
  <c r="L16" i="134"/>
  <c r="K16" i="134"/>
  <c r="J16" i="134"/>
  <c r="H16" i="134"/>
  <c r="F16" i="134"/>
  <c r="E16" i="134"/>
  <c r="C16" i="134"/>
  <c r="P15" i="134"/>
  <c r="N15" i="134"/>
  <c r="M15" i="134"/>
  <c r="L15" i="134"/>
  <c r="K15" i="134"/>
  <c r="J15" i="134"/>
  <c r="H15" i="134"/>
  <c r="F15" i="134"/>
  <c r="E15" i="134"/>
  <c r="C15" i="134"/>
  <c r="P13" i="134"/>
  <c r="N13" i="134"/>
  <c r="M13" i="134"/>
  <c r="L13" i="134"/>
  <c r="K13" i="134"/>
  <c r="J13" i="134"/>
  <c r="H13" i="134"/>
  <c r="F13" i="134"/>
  <c r="E13" i="134"/>
  <c r="C13" i="134"/>
  <c r="P12" i="134"/>
  <c r="N12" i="134"/>
  <c r="M12" i="134"/>
  <c r="L12" i="134"/>
  <c r="K12" i="134"/>
  <c r="J12" i="134"/>
  <c r="H12" i="134"/>
  <c r="F12" i="134"/>
  <c r="E12" i="134"/>
  <c r="C12" i="134"/>
  <c r="P11" i="134"/>
  <c r="N11" i="134"/>
  <c r="M11" i="134"/>
  <c r="L11" i="134"/>
  <c r="K11" i="134"/>
  <c r="J11" i="134"/>
  <c r="H11" i="134"/>
  <c r="F11" i="134"/>
  <c r="E11" i="134"/>
  <c r="C11" i="134"/>
  <c r="P10" i="134"/>
  <c r="N10" i="134"/>
  <c r="M10" i="134"/>
  <c r="L10" i="134"/>
  <c r="K10" i="134"/>
  <c r="J10" i="134"/>
  <c r="H10" i="134"/>
  <c r="F10" i="134"/>
  <c r="E10" i="134"/>
  <c r="C10" i="134"/>
  <c r="P9" i="134"/>
  <c r="N9" i="134"/>
  <c r="M9" i="134"/>
  <c r="L9" i="134"/>
  <c r="K9" i="134"/>
  <c r="J9" i="134"/>
  <c r="H9" i="134"/>
  <c r="F9" i="134"/>
  <c r="E9" i="134"/>
  <c r="C9" i="134"/>
  <c r="P8" i="134"/>
  <c r="N8" i="134"/>
  <c r="M8" i="134"/>
  <c r="L8" i="134"/>
  <c r="K8" i="134"/>
  <c r="J8" i="134"/>
  <c r="H8" i="134"/>
  <c r="F8" i="134"/>
  <c r="E8" i="134"/>
  <c r="C8" i="134"/>
  <c r="P7" i="134"/>
  <c r="N7" i="134"/>
  <c r="M7" i="134"/>
  <c r="L7" i="134"/>
  <c r="K7" i="134"/>
  <c r="J7" i="134"/>
  <c r="H7" i="134"/>
  <c r="F7" i="134"/>
  <c r="E7" i="134"/>
  <c r="C7" i="134"/>
  <c r="P6" i="134"/>
  <c r="N6" i="134"/>
  <c r="M6" i="134"/>
  <c r="L6" i="134"/>
  <c r="K6" i="134"/>
  <c r="J6" i="134"/>
  <c r="H6" i="134"/>
  <c r="F6" i="134"/>
  <c r="E6" i="134"/>
  <c r="C6" i="134"/>
  <c r="P5" i="134"/>
  <c r="N5" i="134"/>
  <c r="M5" i="134"/>
  <c r="L5" i="134"/>
  <c r="K5" i="134"/>
  <c r="J5" i="134"/>
  <c r="H5" i="134"/>
  <c r="F5" i="134"/>
  <c r="E5" i="134"/>
  <c r="C5" i="134"/>
  <c r="P3" i="134"/>
  <c r="N3" i="134"/>
  <c r="M3" i="134"/>
  <c r="L3" i="134"/>
  <c r="K3" i="134"/>
  <c r="J3" i="134"/>
  <c r="H3" i="134"/>
  <c r="F3" i="134"/>
  <c r="E3" i="134"/>
  <c r="C3" i="134"/>
  <c r="P2" i="134"/>
  <c r="N2" i="134"/>
  <c r="M2" i="134"/>
  <c r="L2" i="134"/>
  <c r="K2" i="134"/>
  <c r="J2" i="134"/>
  <c r="H2" i="134"/>
  <c r="F2" i="134"/>
  <c r="E2" i="134"/>
  <c r="C2" i="134"/>
  <c r="J36" i="133"/>
  <c r="E36" i="133"/>
  <c r="F36" i="133"/>
  <c r="C36" i="133"/>
  <c r="H36" i="133"/>
  <c r="K36" i="133"/>
  <c r="L36" i="133"/>
  <c r="M36" i="133"/>
  <c r="N36" i="133"/>
  <c r="P36" i="133"/>
  <c r="P35" i="133"/>
  <c r="N35" i="133"/>
  <c r="M35" i="133"/>
  <c r="L35" i="133"/>
  <c r="K35" i="133"/>
  <c r="J35" i="133"/>
  <c r="H35" i="133"/>
  <c r="F35" i="133"/>
  <c r="E35" i="133"/>
  <c r="C35" i="133"/>
  <c r="P33" i="133"/>
  <c r="N33" i="133"/>
  <c r="M33" i="133"/>
  <c r="L33" i="133"/>
  <c r="K33" i="133"/>
  <c r="J33" i="133"/>
  <c r="H33" i="133"/>
  <c r="F33" i="133"/>
  <c r="E33" i="133"/>
  <c r="C33" i="133"/>
  <c r="P32" i="133"/>
  <c r="N32" i="133"/>
  <c r="M32" i="133"/>
  <c r="L32" i="133"/>
  <c r="K32" i="133"/>
  <c r="J32" i="133"/>
  <c r="H32" i="133"/>
  <c r="F32" i="133"/>
  <c r="E32" i="133"/>
  <c r="C32" i="133"/>
  <c r="P31" i="133"/>
  <c r="N31" i="133"/>
  <c r="M31" i="133"/>
  <c r="L31" i="133"/>
  <c r="K31" i="133"/>
  <c r="J31" i="133"/>
  <c r="H31" i="133"/>
  <c r="F31" i="133"/>
  <c r="E31" i="133"/>
  <c r="C31" i="133"/>
  <c r="P30" i="133"/>
  <c r="N30" i="133"/>
  <c r="M30" i="133"/>
  <c r="L30" i="133"/>
  <c r="K30" i="133"/>
  <c r="J30" i="133"/>
  <c r="H30" i="133"/>
  <c r="F30" i="133"/>
  <c r="E30" i="133"/>
  <c r="C30" i="133"/>
  <c r="P29" i="133"/>
  <c r="N29" i="133"/>
  <c r="M29" i="133"/>
  <c r="L29" i="133"/>
  <c r="K29" i="133"/>
  <c r="J29" i="133"/>
  <c r="H29" i="133"/>
  <c r="F29" i="133"/>
  <c r="E29" i="133"/>
  <c r="C29" i="133"/>
  <c r="P28" i="133"/>
  <c r="N28" i="133"/>
  <c r="M28" i="133"/>
  <c r="L28" i="133"/>
  <c r="K28" i="133"/>
  <c r="J28" i="133"/>
  <c r="H28" i="133"/>
  <c r="F28" i="133"/>
  <c r="E28" i="133"/>
  <c r="C28" i="133"/>
  <c r="P27" i="133"/>
  <c r="N27" i="133"/>
  <c r="M27" i="133"/>
  <c r="L27" i="133"/>
  <c r="K27" i="133"/>
  <c r="J27" i="133"/>
  <c r="H27" i="133"/>
  <c r="F27" i="133"/>
  <c r="E27" i="133"/>
  <c r="C27" i="133"/>
  <c r="P26" i="133"/>
  <c r="N26" i="133"/>
  <c r="M26" i="133"/>
  <c r="L26" i="133"/>
  <c r="K26" i="133"/>
  <c r="J26" i="133"/>
  <c r="H26" i="133"/>
  <c r="F26" i="133"/>
  <c r="E26" i="133"/>
  <c r="C26" i="133"/>
  <c r="P25" i="133"/>
  <c r="N25" i="133"/>
  <c r="M25" i="133"/>
  <c r="L25" i="133"/>
  <c r="K25" i="133"/>
  <c r="J25" i="133"/>
  <c r="H25" i="133"/>
  <c r="F25" i="133"/>
  <c r="E25" i="133"/>
  <c r="C25" i="133"/>
  <c r="P23" i="133"/>
  <c r="N23" i="133"/>
  <c r="M23" i="133"/>
  <c r="L23" i="133"/>
  <c r="K23" i="133"/>
  <c r="J23" i="133"/>
  <c r="H23" i="133"/>
  <c r="F23" i="133"/>
  <c r="E23" i="133"/>
  <c r="C23" i="133"/>
  <c r="P22" i="133"/>
  <c r="N22" i="133"/>
  <c r="M22" i="133"/>
  <c r="L22" i="133"/>
  <c r="K22" i="133"/>
  <c r="J22" i="133"/>
  <c r="H22" i="133"/>
  <c r="F22" i="133"/>
  <c r="E22" i="133"/>
  <c r="C22" i="133"/>
  <c r="P21" i="133"/>
  <c r="N21" i="133"/>
  <c r="M21" i="133"/>
  <c r="L21" i="133"/>
  <c r="K21" i="133"/>
  <c r="J21" i="133"/>
  <c r="H21" i="133"/>
  <c r="F21" i="133"/>
  <c r="E21" i="133"/>
  <c r="C21" i="133"/>
  <c r="P20" i="133"/>
  <c r="N20" i="133"/>
  <c r="M20" i="133"/>
  <c r="L20" i="133"/>
  <c r="K20" i="133"/>
  <c r="J20" i="133"/>
  <c r="H20" i="133"/>
  <c r="C20" i="133"/>
  <c r="P19" i="133"/>
  <c r="N19" i="133"/>
  <c r="M19" i="133"/>
  <c r="L19" i="133"/>
  <c r="K19" i="133"/>
  <c r="H19" i="133"/>
  <c r="F19" i="133"/>
  <c r="E19" i="133"/>
  <c r="C19" i="133"/>
  <c r="P18" i="133"/>
  <c r="N18" i="133"/>
  <c r="M18" i="133"/>
  <c r="L18" i="133"/>
  <c r="K18" i="133"/>
  <c r="H18" i="133"/>
  <c r="F18" i="133"/>
  <c r="E18" i="133"/>
  <c r="C18" i="133"/>
  <c r="P17" i="133"/>
  <c r="N17" i="133"/>
  <c r="M17" i="133"/>
  <c r="L17" i="133"/>
  <c r="K17" i="133"/>
  <c r="J17" i="133"/>
  <c r="H17" i="133"/>
  <c r="F17" i="133"/>
  <c r="E17" i="133"/>
  <c r="C17" i="133"/>
  <c r="P16" i="133"/>
  <c r="N16" i="133"/>
  <c r="M16" i="133"/>
  <c r="L16" i="133"/>
  <c r="K16" i="133"/>
  <c r="J16" i="133"/>
  <c r="H16" i="133"/>
  <c r="F16" i="133"/>
  <c r="E16" i="133"/>
  <c r="C16" i="133"/>
  <c r="P15" i="133"/>
  <c r="N15" i="133"/>
  <c r="M15" i="133"/>
  <c r="L15" i="133"/>
  <c r="K15" i="133"/>
  <c r="J15" i="133"/>
  <c r="H15" i="133"/>
  <c r="F15" i="133"/>
  <c r="E15" i="133"/>
  <c r="C15" i="133"/>
  <c r="P13" i="133"/>
  <c r="N13" i="133"/>
  <c r="M13" i="133"/>
  <c r="L13" i="133"/>
  <c r="K13" i="133"/>
  <c r="J13" i="133"/>
  <c r="H13" i="133"/>
  <c r="F13" i="133"/>
  <c r="E13" i="133"/>
  <c r="C13" i="133"/>
  <c r="P12" i="133"/>
  <c r="N12" i="133"/>
  <c r="M12" i="133"/>
  <c r="L12" i="133"/>
  <c r="K12" i="133"/>
  <c r="J12" i="133"/>
  <c r="H12" i="133"/>
  <c r="F12" i="133"/>
  <c r="E12" i="133"/>
  <c r="C12" i="133"/>
  <c r="P11" i="133"/>
  <c r="N11" i="133"/>
  <c r="M11" i="133"/>
  <c r="L11" i="133"/>
  <c r="K11" i="133"/>
  <c r="J11" i="133"/>
  <c r="H11" i="133"/>
  <c r="F11" i="133"/>
  <c r="E11" i="133"/>
  <c r="C11" i="133"/>
  <c r="P10" i="133"/>
  <c r="N10" i="133"/>
  <c r="M10" i="133"/>
  <c r="L10" i="133"/>
  <c r="K10" i="133"/>
  <c r="J10" i="133"/>
  <c r="H10" i="133"/>
  <c r="F10" i="133"/>
  <c r="E10" i="133"/>
  <c r="C10" i="133"/>
  <c r="P9" i="133"/>
  <c r="N9" i="133"/>
  <c r="M9" i="133"/>
  <c r="L9" i="133"/>
  <c r="K9" i="133"/>
  <c r="J9" i="133"/>
  <c r="H9" i="133"/>
  <c r="F9" i="133"/>
  <c r="E9" i="133"/>
  <c r="C9" i="133"/>
  <c r="P8" i="133"/>
  <c r="N8" i="133"/>
  <c r="M8" i="133"/>
  <c r="L8" i="133"/>
  <c r="K8" i="133"/>
  <c r="J8" i="133"/>
  <c r="H8" i="133"/>
  <c r="F8" i="133"/>
  <c r="E8" i="133"/>
  <c r="C8" i="133"/>
  <c r="P7" i="133"/>
  <c r="N7" i="133"/>
  <c r="M7" i="133"/>
  <c r="L7" i="133"/>
  <c r="K7" i="133"/>
  <c r="J7" i="133"/>
  <c r="H7" i="133"/>
  <c r="F7" i="133"/>
  <c r="E7" i="133"/>
  <c r="C7" i="133"/>
  <c r="P6" i="133"/>
  <c r="N6" i="133"/>
  <c r="M6" i="133"/>
  <c r="L6" i="133"/>
  <c r="K6" i="133"/>
  <c r="J6" i="133"/>
  <c r="H6" i="133"/>
  <c r="F6" i="133"/>
  <c r="E6" i="133"/>
  <c r="C6" i="133"/>
  <c r="P5" i="133"/>
  <c r="N5" i="133"/>
  <c r="M5" i="133"/>
  <c r="L5" i="133"/>
  <c r="K5" i="133"/>
  <c r="J5" i="133"/>
  <c r="H5" i="133"/>
  <c r="F5" i="133"/>
  <c r="E5" i="133"/>
  <c r="C5" i="133"/>
  <c r="P3" i="133"/>
  <c r="N3" i="133"/>
  <c r="M3" i="133"/>
  <c r="L3" i="133"/>
  <c r="K3" i="133"/>
  <c r="J3" i="133"/>
  <c r="H3" i="133"/>
  <c r="F3" i="133"/>
  <c r="E3" i="133"/>
  <c r="C3" i="133"/>
  <c r="P2" i="133"/>
  <c r="N2" i="133"/>
  <c r="M2" i="133"/>
  <c r="L2" i="133"/>
  <c r="K2" i="133"/>
  <c r="J2" i="133"/>
  <c r="H2" i="133"/>
  <c r="F2" i="133"/>
  <c r="E2" i="133"/>
  <c r="C2" i="133"/>
  <c r="C2" i="103"/>
  <c r="E2" i="103"/>
  <c r="J2" i="132"/>
  <c r="J3" i="132"/>
  <c r="J5" i="132"/>
  <c r="J6" i="132"/>
  <c r="J7" i="132"/>
  <c r="J8" i="132"/>
  <c r="J9" i="132"/>
  <c r="J10" i="132"/>
  <c r="J11" i="132"/>
  <c r="J12" i="132"/>
  <c r="J13" i="132"/>
  <c r="J15" i="132"/>
  <c r="J16" i="132"/>
  <c r="J17" i="132"/>
  <c r="J19" i="132"/>
  <c r="J20" i="132"/>
  <c r="J21" i="132"/>
  <c r="J22" i="132"/>
  <c r="J23" i="132"/>
  <c r="J25" i="132"/>
  <c r="J26" i="132"/>
  <c r="J27" i="132"/>
  <c r="J28" i="132"/>
  <c r="J29" i="132"/>
  <c r="J30" i="132"/>
  <c r="J31" i="132"/>
  <c r="J32" i="132"/>
  <c r="J33" i="132"/>
  <c r="J35" i="132"/>
  <c r="P35" i="132"/>
  <c r="N35" i="132"/>
  <c r="M35" i="132"/>
  <c r="L35" i="132"/>
  <c r="K35" i="132"/>
  <c r="H35" i="132"/>
  <c r="F35" i="132"/>
  <c r="E35" i="132"/>
  <c r="C35" i="132"/>
  <c r="P33" i="132"/>
  <c r="N33" i="132"/>
  <c r="M33" i="132"/>
  <c r="L33" i="132"/>
  <c r="K33" i="132"/>
  <c r="H33" i="132"/>
  <c r="F33" i="132"/>
  <c r="E33" i="132"/>
  <c r="C33" i="132"/>
  <c r="P32" i="132"/>
  <c r="N32" i="132"/>
  <c r="M32" i="132"/>
  <c r="L32" i="132"/>
  <c r="K32" i="132"/>
  <c r="H32" i="132"/>
  <c r="F32" i="132"/>
  <c r="E32" i="132"/>
  <c r="C32" i="132"/>
  <c r="P31" i="132"/>
  <c r="N31" i="132"/>
  <c r="M31" i="132"/>
  <c r="L31" i="132"/>
  <c r="K31" i="132"/>
  <c r="H31" i="132"/>
  <c r="F31" i="132"/>
  <c r="E31" i="132"/>
  <c r="C31" i="132"/>
  <c r="P30" i="132"/>
  <c r="N30" i="132"/>
  <c r="M30" i="132"/>
  <c r="L30" i="132"/>
  <c r="K30" i="132"/>
  <c r="H30" i="132"/>
  <c r="F30" i="132"/>
  <c r="E30" i="132"/>
  <c r="C30" i="132"/>
  <c r="P29" i="132"/>
  <c r="N29" i="132"/>
  <c r="M29" i="132"/>
  <c r="L29" i="132"/>
  <c r="K29" i="132"/>
  <c r="H29" i="132"/>
  <c r="F29" i="132"/>
  <c r="E29" i="132"/>
  <c r="C29" i="132"/>
  <c r="P28" i="132"/>
  <c r="N28" i="132"/>
  <c r="M28" i="132"/>
  <c r="L28" i="132"/>
  <c r="K28" i="132"/>
  <c r="H28" i="132"/>
  <c r="F28" i="132"/>
  <c r="E28" i="132"/>
  <c r="C28" i="132"/>
  <c r="P27" i="132"/>
  <c r="N27" i="132"/>
  <c r="M27" i="132"/>
  <c r="L27" i="132"/>
  <c r="K27" i="132"/>
  <c r="H27" i="132"/>
  <c r="F27" i="132"/>
  <c r="E27" i="132"/>
  <c r="C27" i="132"/>
  <c r="P26" i="132"/>
  <c r="N26" i="132"/>
  <c r="M26" i="132"/>
  <c r="L26" i="132"/>
  <c r="K26" i="132"/>
  <c r="H26" i="132"/>
  <c r="F26" i="132"/>
  <c r="E26" i="132"/>
  <c r="C26" i="132"/>
  <c r="P25" i="132"/>
  <c r="N25" i="132"/>
  <c r="M25" i="132"/>
  <c r="L25" i="132"/>
  <c r="K25" i="132"/>
  <c r="H25" i="132"/>
  <c r="F25" i="132"/>
  <c r="E25" i="132"/>
  <c r="C25" i="132"/>
  <c r="P23" i="132"/>
  <c r="N23" i="132"/>
  <c r="M23" i="132"/>
  <c r="L23" i="132"/>
  <c r="K23" i="132"/>
  <c r="H23" i="132"/>
  <c r="F23" i="132"/>
  <c r="E23" i="132"/>
  <c r="C23" i="132"/>
  <c r="P22" i="132"/>
  <c r="N22" i="132"/>
  <c r="M22" i="132"/>
  <c r="L22" i="132"/>
  <c r="K22" i="132"/>
  <c r="H22" i="132"/>
  <c r="F22" i="132"/>
  <c r="E22" i="132"/>
  <c r="C22" i="132"/>
  <c r="P21" i="132"/>
  <c r="N21" i="132"/>
  <c r="M21" i="132"/>
  <c r="L21" i="132"/>
  <c r="K21" i="132"/>
  <c r="H21" i="132"/>
  <c r="F21" i="132"/>
  <c r="E21" i="132"/>
  <c r="C21" i="132"/>
  <c r="P20" i="132"/>
  <c r="N20" i="132"/>
  <c r="M20" i="132"/>
  <c r="L20" i="132"/>
  <c r="K20" i="132"/>
  <c r="H20" i="132"/>
  <c r="C20" i="132"/>
  <c r="P19" i="132"/>
  <c r="N19" i="132"/>
  <c r="M19" i="132"/>
  <c r="L19" i="132"/>
  <c r="K19" i="132"/>
  <c r="H19" i="132"/>
  <c r="F19" i="132"/>
  <c r="E19" i="132"/>
  <c r="C19" i="132"/>
  <c r="P18" i="132"/>
  <c r="N18" i="132"/>
  <c r="M18" i="132"/>
  <c r="L18" i="132"/>
  <c r="K18" i="132"/>
  <c r="H18" i="132"/>
  <c r="F18" i="132"/>
  <c r="E18" i="132"/>
  <c r="C18" i="132"/>
  <c r="P17" i="132"/>
  <c r="N17" i="132"/>
  <c r="M17" i="132"/>
  <c r="L17" i="132"/>
  <c r="K17" i="132"/>
  <c r="H17" i="132"/>
  <c r="F17" i="132"/>
  <c r="E17" i="132"/>
  <c r="C17" i="132"/>
  <c r="P16" i="132"/>
  <c r="N16" i="132"/>
  <c r="M16" i="132"/>
  <c r="L16" i="132"/>
  <c r="K16" i="132"/>
  <c r="H16" i="132"/>
  <c r="F16" i="132"/>
  <c r="E16" i="132"/>
  <c r="C16" i="132"/>
  <c r="P15" i="132"/>
  <c r="N15" i="132"/>
  <c r="M15" i="132"/>
  <c r="L15" i="132"/>
  <c r="K15" i="132"/>
  <c r="H15" i="132"/>
  <c r="F15" i="132"/>
  <c r="E15" i="132"/>
  <c r="C15" i="132"/>
  <c r="P13" i="132"/>
  <c r="N13" i="132"/>
  <c r="M13" i="132"/>
  <c r="L13" i="132"/>
  <c r="K13" i="132"/>
  <c r="H13" i="132"/>
  <c r="F13" i="132"/>
  <c r="E13" i="132"/>
  <c r="C13" i="132"/>
  <c r="P12" i="132"/>
  <c r="N12" i="132"/>
  <c r="M12" i="132"/>
  <c r="L12" i="132"/>
  <c r="K12" i="132"/>
  <c r="H12" i="132"/>
  <c r="F12" i="132"/>
  <c r="E12" i="132"/>
  <c r="C12" i="132"/>
  <c r="P11" i="132"/>
  <c r="N11" i="132"/>
  <c r="M11" i="132"/>
  <c r="L11" i="132"/>
  <c r="K11" i="132"/>
  <c r="H11" i="132"/>
  <c r="F11" i="132"/>
  <c r="E11" i="132"/>
  <c r="C11" i="132"/>
  <c r="P10" i="132"/>
  <c r="N10" i="132"/>
  <c r="M10" i="132"/>
  <c r="L10" i="132"/>
  <c r="K10" i="132"/>
  <c r="H10" i="132"/>
  <c r="F10" i="132"/>
  <c r="E10" i="132"/>
  <c r="C10" i="132"/>
  <c r="P9" i="132"/>
  <c r="N9" i="132"/>
  <c r="M9" i="132"/>
  <c r="L9" i="132"/>
  <c r="K9" i="132"/>
  <c r="H9" i="132"/>
  <c r="F9" i="132"/>
  <c r="E9" i="132"/>
  <c r="C9" i="132"/>
  <c r="P8" i="132"/>
  <c r="N8" i="132"/>
  <c r="M8" i="132"/>
  <c r="L8" i="132"/>
  <c r="K8" i="132"/>
  <c r="H8" i="132"/>
  <c r="F8" i="132"/>
  <c r="E8" i="132"/>
  <c r="C8" i="132"/>
  <c r="P7" i="132"/>
  <c r="N7" i="132"/>
  <c r="M7" i="132"/>
  <c r="L7" i="132"/>
  <c r="K7" i="132"/>
  <c r="H7" i="132"/>
  <c r="F7" i="132"/>
  <c r="E7" i="132"/>
  <c r="C7" i="132"/>
  <c r="P6" i="132"/>
  <c r="N6" i="132"/>
  <c r="M6" i="132"/>
  <c r="L6" i="132"/>
  <c r="K6" i="132"/>
  <c r="H6" i="132"/>
  <c r="F6" i="132"/>
  <c r="E6" i="132"/>
  <c r="C6" i="132"/>
  <c r="P5" i="132"/>
  <c r="N5" i="132"/>
  <c r="M5" i="132"/>
  <c r="L5" i="132"/>
  <c r="K5" i="132"/>
  <c r="H5" i="132"/>
  <c r="F5" i="132"/>
  <c r="E5" i="132"/>
  <c r="C5" i="132"/>
  <c r="P3" i="132"/>
  <c r="N3" i="132"/>
  <c r="M3" i="132"/>
  <c r="L3" i="132"/>
  <c r="K3" i="132"/>
  <c r="H3" i="132"/>
  <c r="F3" i="132"/>
  <c r="E3" i="132"/>
  <c r="C3" i="132"/>
  <c r="P2" i="132"/>
  <c r="N2" i="132"/>
  <c r="M2" i="132"/>
  <c r="L2" i="132"/>
  <c r="K2" i="132"/>
  <c r="H2" i="132"/>
  <c r="F2" i="132"/>
  <c r="E2" i="132"/>
  <c r="C2" i="132"/>
  <c r="I2" i="131"/>
  <c r="D2" i="131"/>
  <c r="J2" i="131"/>
  <c r="E2" i="131"/>
  <c r="F2" i="131"/>
  <c r="C2" i="131"/>
  <c r="H2" i="131"/>
  <c r="K2" i="131"/>
  <c r="L2" i="131"/>
  <c r="M2" i="131"/>
  <c r="N2" i="131"/>
  <c r="P2" i="131"/>
  <c r="I3" i="131"/>
  <c r="D3" i="131"/>
  <c r="J3" i="131"/>
  <c r="E3" i="131"/>
  <c r="F3" i="131"/>
  <c r="C3" i="131"/>
  <c r="H3" i="131"/>
  <c r="K3" i="131"/>
  <c r="L3" i="131"/>
  <c r="M3" i="131"/>
  <c r="N3" i="131"/>
  <c r="P3" i="131"/>
  <c r="C3" i="103"/>
  <c r="E3" i="103"/>
  <c r="B13" i="112"/>
  <c r="B12" i="112"/>
  <c r="B11" i="112"/>
  <c r="B10" i="112"/>
  <c r="B9" i="112"/>
  <c r="B8" i="112"/>
  <c r="B7" i="112"/>
  <c r="B6" i="112"/>
  <c r="B5" i="112"/>
  <c r="B3" i="112"/>
  <c r="B266" i="111"/>
  <c r="B265" i="111"/>
  <c r="B263" i="111"/>
  <c r="B262" i="111"/>
  <c r="B261" i="111"/>
  <c r="B260" i="111"/>
  <c r="B259" i="111"/>
  <c r="B258" i="111"/>
  <c r="B256" i="111"/>
  <c r="B255" i="111"/>
  <c r="B253" i="111"/>
  <c r="B252" i="111"/>
  <c r="B251" i="111"/>
  <c r="B250" i="111"/>
  <c r="B239" i="111"/>
  <c r="B238" i="111"/>
  <c r="B237" i="111"/>
  <c r="B236" i="111"/>
  <c r="B235" i="111"/>
  <c r="B233" i="111"/>
  <c r="B232" i="111"/>
  <c r="B231" i="111"/>
  <c r="B230" i="111"/>
  <c r="B229" i="111"/>
  <c r="B228" i="111"/>
  <c r="B227" i="111"/>
  <c r="B226" i="111"/>
  <c r="B225" i="111"/>
  <c r="B223" i="111"/>
  <c r="B222" i="111"/>
  <c r="B221" i="111"/>
  <c r="B220" i="111"/>
  <c r="B219" i="111"/>
  <c r="B218" i="111"/>
  <c r="B217" i="111"/>
  <c r="B216" i="111"/>
  <c r="B215" i="111"/>
  <c r="B213" i="111"/>
  <c r="B212" i="111"/>
  <c r="B211" i="111"/>
  <c r="B210" i="111"/>
  <c r="B209" i="111"/>
  <c r="B208" i="111"/>
  <c r="B207" i="111"/>
  <c r="B206" i="111"/>
  <c r="B205" i="111"/>
  <c r="B203" i="111"/>
  <c r="B202" i="111"/>
  <c r="B201" i="111"/>
  <c r="B200" i="111"/>
  <c r="B199" i="111"/>
  <c r="B198" i="111"/>
  <c r="B197" i="111"/>
  <c r="B196" i="111"/>
  <c r="B195" i="111"/>
  <c r="B193" i="111"/>
  <c r="B192" i="111"/>
  <c r="B191" i="111"/>
  <c r="B190" i="111"/>
  <c r="B189" i="111"/>
  <c r="B188" i="111"/>
  <c r="B187" i="111"/>
  <c r="B186" i="111"/>
  <c r="B185" i="111"/>
  <c r="B183" i="111"/>
  <c r="B182" i="111"/>
  <c r="B181" i="111"/>
  <c r="B180" i="111"/>
  <c r="B179" i="111"/>
  <c r="B178" i="111"/>
  <c r="B177" i="111"/>
  <c r="B176" i="111"/>
  <c r="B175" i="111"/>
  <c r="B173" i="111"/>
  <c r="B172" i="111"/>
  <c r="B171" i="111"/>
  <c r="B170" i="111"/>
  <c r="B169" i="111"/>
  <c r="B168" i="111"/>
  <c r="B167" i="111"/>
  <c r="B166" i="111"/>
  <c r="B165" i="111"/>
  <c r="B163" i="111"/>
  <c r="B162" i="111"/>
  <c r="B161" i="111"/>
  <c r="B160" i="111"/>
  <c r="B159" i="111"/>
  <c r="B158" i="111"/>
  <c r="B156" i="111"/>
  <c r="B155" i="111"/>
  <c r="B153" i="111"/>
  <c r="B152" i="111"/>
  <c r="B151" i="111"/>
  <c r="B150" i="111"/>
  <c r="B139" i="111"/>
  <c r="B138" i="111"/>
  <c r="B137" i="111"/>
  <c r="B136" i="111"/>
  <c r="B135" i="111"/>
  <c r="B133" i="111"/>
  <c r="B132" i="111"/>
  <c r="B131" i="111"/>
  <c r="B130" i="111"/>
  <c r="B129" i="111"/>
  <c r="B128" i="111"/>
  <c r="B127" i="111"/>
  <c r="B126" i="111"/>
  <c r="B125" i="111"/>
  <c r="B123" i="111"/>
  <c r="B122" i="111"/>
  <c r="B121" i="111"/>
  <c r="B120" i="111"/>
  <c r="B119" i="111"/>
  <c r="B118" i="111"/>
  <c r="B117" i="111"/>
  <c r="B116" i="111"/>
  <c r="B115" i="111"/>
  <c r="B113" i="111"/>
  <c r="B112" i="111"/>
  <c r="B111" i="111"/>
  <c r="B110" i="111"/>
  <c r="B109" i="111"/>
  <c r="B108" i="111"/>
  <c r="B107" i="111"/>
  <c r="B106" i="111"/>
  <c r="B105" i="111"/>
  <c r="B103" i="111"/>
  <c r="B102" i="111"/>
  <c r="B101" i="111"/>
  <c r="B100" i="111"/>
  <c r="B99" i="111"/>
  <c r="B98" i="111"/>
  <c r="B97" i="111"/>
  <c r="B96" i="111"/>
  <c r="B95" i="111"/>
  <c r="B93" i="111"/>
  <c r="B92" i="111"/>
  <c r="B91" i="111"/>
  <c r="B90" i="111"/>
  <c r="B89" i="111"/>
  <c r="B88" i="111"/>
  <c r="B87" i="111"/>
  <c r="B86" i="111"/>
  <c r="B85" i="111"/>
  <c r="B83" i="111"/>
  <c r="B82" i="111"/>
  <c r="B81" i="111"/>
  <c r="B80" i="111"/>
  <c r="B79" i="111"/>
  <c r="B78" i="111"/>
  <c r="B77" i="111"/>
  <c r="B76" i="111"/>
  <c r="B75" i="111"/>
  <c r="B73" i="111"/>
  <c r="B72" i="111"/>
  <c r="B71" i="111"/>
  <c r="B70" i="111"/>
  <c r="B69" i="111"/>
  <c r="B68" i="111"/>
  <c r="B67" i="111"/>
  <c r="B66" i="111"/>
  <c r="B65" i="111"/>
  <c r="B63" i="111"/>
  <c r="B62" i="111"/>
  <c r="B61" i="111"/>
  <c r="B60" i="111"/>
  <c r="B59" i="111"/>
  <c r="B58" i="111"/>
  <c r="B56" i="111"/>
  <c r="B55" i="111"/>
  <c r="B53" i="111"/>
  <c r="B52" i="111"/>
  <c r="B51" i="111"/>
  <c r="B50" i="111"/>
  <c r="B39" i="111"/>
  <c r="B38" i="111"/>
  <c r="B37" i="111"/>
  <c r="B36" i="111"/>
  <c r="B35" i="111"/>
  <c r="B33" i="111"/>
  <c r="B32" i="111"/>
  <c r="B31" i="111"/>
  <c r="B30" i="111"/>
  <c r="B29" i="111"/>
  <c r="B28" i="111"/>
  <c r="B27" i="111"/>
  <c r="B26" i="111"/>
  <c r="B25" i="111"/>
  <c r="B23" i="111"/>
  <c r="B22" i="111"/>
  <c r="B21" i="111"/>
  <c r="B20" i="111"/>
  <c r="B19" i="111"/>
  <c r="B18" i="111"/>
  <c r="B17" i="111"/>
  <c r="B16" i="111"/>
  <c r="B15" i="111"/>
  <c r="B13" i="111"/>
  <c r="B12" i="111"/>
  <c r="B11" i="111"/>
  <c r="B10" i="111"/>
  <c r="B9" i="111"/>
  <c r="B8" i="111"/>
  <c r="B7" i="111"/>
  <c r="B6" i="111"/>
  <c r="B5" i="111"/>
  <c r="B3" i="111"/>
  <c r="B2" i="111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<sst xmlns="http://schemas.openxmlformats.org/spreadsheetml/2006/main" count="302" uniqueCount="127">
  <si>
    <t>character_id</t>
  </si>
  <si>
    <t>character_id</t>
    <phoneticPr fontId="10"/>
  </si>
  <si>
    <t>unit_level</t>
  </si>
  <si>
    <t>weight</t>
  </si>
  <si>
    <t>hp_plus</t>
  </si>
  <si>
    <t>attack_plus</t>
  </si>
  <si>
    <t>defense_plus</t>
  </si>
  <si>
    <t>heal_plus</t>
  </si>
  <si>
    <t>bug</t>
  </si>
  <si>
    <t>備考</t>
    <rPh sb="0" eb="2">
      <t>ビコウ</t>
    </rPh>
    <phoneticPr fontId="10"/>
  </si>
  <si>
    <t>character_id</t>
    <phoneticPr fontId="10"/>
  </si>
  <si>
    <t>name</t>
    <phoneticPr fontId="10"/>
  </si>
  <si>
    <t>接頭語</t>
    <rPh sb="0" eb="3">
      <t>セットウゴ</t>
    </rPh>
    <phoneticPr fontId="43"/>
  </si>
  <si>
    <t>識別子</t>
    <rPh sb="0" eb="3">
      <t>シキベツシ</t>
    </rPh>
    <phoneticPr fontId="43"/>
  </si>
  <si>
    <t>形式</t>
    <rPh sb="0" eb="2">
      <t>ケイシキ</t>
    </rPh>
    <phoneticPr fontId="43"/>
  </si>
  <si>
    <t>出力ファイル名</t>
    <rPh sb="0" eb="2">
      <t>シュツリョク</t>
    </rPh>
    <rPh sb="6" eb="7">
      <t>メイ</t>
    </rPh>
    <phoneticPr fontId="43"/>
  </si>
  <si>
    <t>入力シート名</t>
    <rPh sb="0" eb="2">
      <t>ニュウリョク</t>
    </rPh>
    <rPh sb="5" eb="6">
      <t>メイ</t>
    </rPh>
    <phoneticPr fontId="43"/>
  </si>
  <si>
    <t>出力データ</t>
    <rPh sb="0" eb="2">
      <t>シュツリョク</t>
    </rPh>
    <phoneticPr fontId="43"/>
  </si>
  <si>
    <t>.tmp</t>
    <phoneticPr fontId="43"/>
  </si>
  <si>
    <t>出力flg</t>
    <rPh sb="0" eb="2">
      <t>シュツリョク</t>
    </rPh>
    <phoneticPr fontId="43"/>
  </si>
  <si>
    <t>性別</t>
    <rPh sb="0" eb="2">
      <t>セイベツ</t>
    </rPh>
    <phoneticPr fontId="10"/>
  </si>
  <si>
    <t>ピックアップ確率</t>
    <rPh sb="6" eb="8">
      <t>カクリツ</t>
    </rPh>
    <phoneticPr fontId="10"/>
  </si>
  <si>
    <t>確率</t>
    <rPh sb="0" eb="2">
      <t>カクリツ</t>
    </rPh>
    <phoneticPr fontId="10"/>
  </si>
  <si>
    <t>名前</t>
    <rPh sb="0" eb="2">
      <t>ナマエ</t>
    </rPh>
    <phoneticPr fontId="10"/>
  </si>
  <si>
    <t>テーブルを増やしたい場合</t>
    <rPh sb="5" eb="6">
      <t>フ</t>
    </rPh>
    <rPh sb="10" eb="12">
      <t>バアイ</t>
    </rPh>
    <phoneticPr fontId="1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</si>
  <si>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</si>
  <si>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0"/>
  </si>
  <si>
    <t>３．outputシートで２で作ったtablesを指定する</t>
    <rPh sb="14" eb="15">
      <t>ツク</t>
    </rPh>
    <rPh sb="24" eb="26">
      <t>シテイ</t>
    </rPh>
    <phoneticPr fontId="10"/>
  </si>
  <si>
    <t>table_no</t>
    <phoneticPr fontId="10"/>
  </si>
  <si>
    <t>ラベル確率で考えましょう</t>
    <rPh sb="6" eb="7">
      <t>カンガエマショウ</t>
    </rPh>
    <phoneticPr fontId="43"/>
  </si>
  <si>
    <t>ラベル</t>
    <phoneticPr fontId="43"/>
  </si>
  <si>
    <t>レアリティ</t>
    <phoneticPr fontId="43"/>
  </si>
  <si>
    <t>{W}</t>
    <phoneticPr fontId="43"/>
  </si>
  <si>
    <t>{N,S}</t>
    <phoneticPr fontId="43"/>
  </si>
  <si>
    <t>{N,S}R3less</t>
    <phoneticPr fontId="43"/>
  </si>
  <si>
    <t>{N,S}R6release</t>
    <phoneticPr fontId="43"/>
  </si>
  <si>
    <t>{SS}</t>
    <phoneticPr fontId="43"/>
  </si>
  <si>
    <t>{SS}R6only</t>
    <phoneticPr fontId="43"/>
  </si>
  <si>
    <t>小計</t>
    <rPh sb="0" eb="2">
      <t>ショウケイ</t>
    </rPh>
    <phoneticPr fontId="43"/>
  </si>
  <si>
    <t>A</t>
    <phoneticPr fontId="43"/>
  </si>
  <si>
    <t>C</t>
    <phoneticPr fontId="43"/>
  </si>
  <si>
    <t>H</t>
    <phoneticPr fontId="43"/>
  </si>
  <si>
    <t>B</t>
    <phoneticPr fontId="43"/>
  </si>
  <si>
    <t>D</t>
    <phoneticPr fontId="43"/>
  </si>
  <si>
    <t>F</t>
    <phoneticPr fontId="43"/>
  </si>
  <si>
    <t>I</t>
    <phoneticPr fontId="43"/>
  </si>
  <si>
    <t>K</t>
    <phoneticPr fontId="43"/>
  </si>
  <si>
    <t>E</t>
    <phoneticPr fontId="43"/>
  </si>
  <si>
    <t>G</t>
    <phoneticPr fontId="43"/>
  </si>
  <si>
    <t>J</t>
    <phoneticPr fontId="43"/>
  </si>
  <si>
    <t>L</t>
    <phoneticPr fontId="43"/>
  </si>
  <si>
    <t>M</t>
    <phoneticPr fontId="43"/>
  </si>
  <si>
    <t>→</t>
    <phoneticPr fontId="43"/>
  </si>
  <si>
    <t>1-SS率</t>
    <rPh sb="4" eb="5">
      <t>リツ</t>
    </rPh>
    <phoneticPr fontId="43"/>
  </si>
  <si>
    <t>SS率</t>
    <rPh sb="2" eb="3">
      <t>リツ</t>
    </rPh>
    <phoneticPr fontId="43"/>
  </si>
  <si>
    <t>考え方を変える</t>
    <rPh sb="0" eb="1">
      <t>カンガエカタ</t>
    </rPh>
    <rPh sb="4" eb="5">
      <t>カエル</t>
    </rPh>
    <phoneticPr fontId="43"/>
  </si>
  <si>
    <t>SS4%は確定事項</t>
    <rPh sb="5" eb="7">
      <t>カクテイ</t>
    </rPh>
    <rPh sb="7" eb="9">
      <t>ジコウ</t>
    </rPh>
    <phoneticPr fontId="43"/>
  </si>
  <si>
    <t>当たりは分配</t>
    <rPh sb="0" eb="1">
      <t>アタリ</t>
    </rPh>
    <rPh sb="4" eb="6">
      <t>ブンパイ</t>
    </rPh>
    <phoneticPr fontId="4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</si>
  <si>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3"/>
  </si>
  <si>
    <t>=</t>
    <phoneticPr fontId="43"/>
  </si>
  <si>
    <t>X*{SS R5only}</t>
    <phoneticPr fontId="43"/>
  </si>
  <si>
    <t>K</t>
    <phoneticPr fontId="43"/>
  </si>
  <si>
    <t>=</t>
    <phoneticPr fontId="43"/>
  </si>
  <si>
    <t>X*{SS}*(R3率+R4率)</t>
    <rPh sb="10" eb="11">
      <t>リツ</t>
    </rPh>
    <rPh sb="14" eb="15">
      <t>リツ</t>
    </rPh>
    <phoneticPr fontId="43"/>
  </si>
  <si>
    <t>L</t>
    <phoneticPr fontId="43"/>
  </si>
  <si>
    <t>X*{SS}*R5率</t>
    <rPh sb="9" eb="10">
      <t>リツ</t>
    </rPh>
    <phoneticPr fontId="43"/>
  </si>
  <si>
    <t>X*{R6release}*R3率</t>
    <rPh sb="16" eb="17">
      <t>リツ</t>
    </rPh>
    <phoneticPr fontId="43"/>
  </si>
  <si>
    <t>X*{R6release}*R4率</t>
    <rPh sb="16" eb="17">
      <t>リツ</t>
    </rPh>
    <phoneticPr fontId="43"/>
  </si>
  <si>
    <t>J</t>
    <phoneticPr fontId="43"/>
  </si>
  <si>
    <t>X*{R6release}*R5率</t>
    <rPh sb="16" eb="17">
      <t>リツ</t>
    </rPh>
    <phoneticPr fontId="43"/>
  </si>
  <si>
    <t>ハズレで確率を整える</t>
    <rPh sb="4" eb="6">
      <t>カクリツ</t>
    </rPh>
    <rPh sb="7" eb="8">
      <t>トトノエル</t>
    </rPh>
    <phoneticPr fontId="4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</si>
  <si>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3"/>
  </si>
  <si>
    <t>A + C</t>
    <phoneticPr fontId="43"/>
  </si>
  <si>
    <t>=</t>
    <phoneticPr fontId="43"/>
  </si>
  <si>
    <t>50%-H</t>
    <phoneticPr fontId="43"/>
  </si>
  <si>
    <t>①</t>
    <phoneticPr fontId="43"/>
  </si>
  <si>
    <t>B + D + F</t>
    <phoneticPr fontId="43"/>
  </si>
  <si>
    <t>45%-I-K</t>
    <phoneticPr fontId="43"/>
  </si>
  <si>
    <t>②</t>
    <phoneticPr fontId="43"/>
  </si>
  <si>
    <t>E+G</t>
    <phoneticPr fontId="43"/>
  </si>
  <si>
    <t>5%-J-L-M</t>
    <phoneticPr fontId="43"/>
  </si>
  <si>
    <t>③</t>
    <phoneticPr fontId="43"/>
  </si>
  <si>
    <t>A+B</t>
    <phoneticPr fontId="43"/>
  </si>
  <si>
    <t>Y*{W}</t>
    <phoneticPr fontId="43"/>
  </si>
  <si>
    <t>④</t>
    <phoneticPr fontId="43"/>
  </si>
  <si>
    <t>C+D+E</t>
    <phoneticPr fontId="43"/>
  </si>
  <si>
    <t>Y*{N,S}</t>
    <phoneticPr fontId="43"/>
  </si>
  <si>
    <t>⑤</t>
    <phoneticPr fontId="43"/>
  </si>
  <si>
    <t>F+G</t>
    <phoneticPr fontId="43"/>
  </si>
  <si>
    <t>Y*{N,S R3less}</t>
    <phoneticPr fontId="43"/>
  </si>
  <si>
    <t>⑥</t>
    <phoneticPr fontId="43"/>
  </si>
  <si>
    <t>A+B+C+D+E+F+G</t>
    <phoneticPr fontId="43"/>
  </si>
  <si>
    <t>⑦</t>
    <phoneticPr fontId="43"/>
  </si>
  <si>
    <t>←これは4,5,6で作れるのでダメだわ</t>
    <rPh sb="10" eb="11">
      <t>ツクレル</t>
    </rPh>
    <phoneticPr fontId="43"/>
  </si>
  <si>
    <t>E*R3率/R5率</t>
    <rPh sb="4" eb="5">
      <t>リツ</t>
    </rPh>
    <rPh sb="8" eb="9">
      <t>リツ</t>
    </rPh>
    <phoneticPr fontId="4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</si>
  <si>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3"/>
  </si>
  <si>
    <t>E*R4率/R5率</t>
    <rPh sb="4" eb="5">
      <t>リツ</t>
    </rPh>
    <rPh sb="8" eb="9">
      <t>リツ</t>
    </rPh>
    <phoneticPr fontId="43"/>
  </si>
  <si>
    <t>∴</t>
    <phoneticPr fontId="43"/>
  </si>
  <si>
    <t>E</t>
    <phoneticPr fontId="43"/>
  </si>
  <si>
    <t>Y*{N,S}*R5率</t>
    <rPh sb="10" eb="11">
      <t>リツ</t>
    </rPh>
    <phoneticPr fontId="43"/>
  </si>
  <si>
    <t>Y*{N,S}*R4率</t>
    <rPh sb="10" eb="11">
      <t>リツ</t>
    </rPh>
    <phoneticPr fontId="43"/>
  </si>
  <si>
    <t>Y*{N,S}*R3率</t>
    <rPh sb="10" eb="11">
      <t>リツ</t>
    </rPh>
    <phoneticPr fontId="43"/>
  </si>
  <si>
    <t>50%-H-C</t>
    <phoneticPr fontId="43"/>
  </si>
  <si>
    <t>Y*{W}-A</t>
    <phoneticPr fontId="43"/>
  </si>
  <si>
    <t>5%-J-L-M-E</t>
    <phoneticPr fontId="43"/>
  </si>
  <si>
    <t>Y*{N,S R3less} - G</t>
    <phoneticPr fontId="43"/>
  </si>
  <si>
    <t>R6境界前後</t>
    <rPh sb="2" eb="4">
      <t>キョウカイ</t>
    </rPh>
    <rPh sb="4" eb="6">
      <t>ゼンゴ</t>
    </rPh>
    <phoneticPr fontId="10"/>
  </si>
  <si>
    <t>R6事後開放N,S</t>
    <rPh sb="2" eb="6">
      <t>ジゴカイホウ</t>
    </rPh>
    <phoneticPr fontId="10"/>
  </si>
  <si>
    <t>table_no</t>
    <phoneticPr fontId="10"/>
  </si>
  <si>
    <t>character_id</t>
    <phoneticPr fontId="10"/>
  </si>
  <si>
    <t>drop_label2</t>
    <phoneticPr fontId="10"/>
  </si>
  <si>
    <t>color2</t>
    <phoneticPr fontId="10"/>
  </si>
  <si>
    <t>name</t>
    <phoneticPr fontId="10"/>
  </si>
  <si>
    <t>drop_label</t>
    <phoneticPr fontId="10"/>
  </si>
  <si>
    <t>rare</t>
    <phoneticPr fontId="10"/>
  </si>
  <si>
    <t>color</t>
    <phoneticPr fontId="10"/>
  </si>
  <si>
    <t>character_type_id</t>
    <phoneticPr fontId="10"/>
  </si>
  <si>
    <t>character_tribe_id</t>
    <phoneticPr fontId="10"/>
  </si>
  <si>
    <t>weight</t>
    <phoneticPr fontId="10"/>
  </si>
  <si>
    <t>unit_level</t>
    <phoneticPr fontId="10"/>
  </si>
  <si>
    <t>old</t>
    <phoneticPr fontId="10"/>
  </si>
  <si>
    <t>gacha_select_tables_</t>
    <phoneticPr fontId="10"/>
  </si>
  <si>
    <t>tables_7025100</t>
    <phoneticPr fontId="10"/>
  </si>
  <si>
    <t>tables_7025101</t>
    <phoneticPr fontId="10"/>
  </si>
  <si>
    <t>tables_7025102</t>
    <phoneticPr fontId="10"/>
  </si>
  <si>
    <t>tables_7025103</t>
    <phoneticPr fontId="10"/>
  </si>
  <si>
    <t>tables_7025104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</si>
</sst>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4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665">
    <xf numFmtId="0" fontId="0" fillId="0" borderId="0"/>
    <xf numFmtId="0" fontId="9" fillId="0" borderId="0"/>
    <xf numFmtId="0" fontId="13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8" fillId="0" borderId="0"/>
    <xf numFmtId="0" fontId="20" fillId="5" borderId="2" applyNumberFormat="0" applyAlignment="0" applyProtection="0"/>
    <xf numFmtId="0" fontId="21" fillId="6" borderId="0" applyNumberFormat="0" applyBorder="0" applyAlignment="0" applyProtection="0"/>
    <xf numFmtId="0" fontId="22" fillId="7" borderId="3" applyNumberFormat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5" fillId="9" borderId="4" applyNumberFormat="0" applyAlignment="0" applyProtection="0"/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28" fillId="0" borderId="6" applyNumberFormat="0" applyFill="0" applyAlignment="0" applyProtection="0"/>
    <xf numFmtId="0" fontId="29" fillId="0" borderId="7" applyNumberFormat="0" applyFill="0" applyAlignment="0" applyProtection="0"/>
    <xf numFmtId="0" fontId="29" fillId="0" borderId="0" applyNumberFormat="0" applyFill="0" applyBorder="0" applyAlignment="0" applyProtection="0"/>
    <xf numFmtId="0" fontId="30" fillId="7" borderId="0" applyNumberFormat="0" applyBorder="0" applyAlignment="0" applyProtection="0"/>
    <xf numFmtId="0" fontId="30" fillId="6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1" borderId="0" applyNumberFormat="0" applyBorder="0" applyAlignment="0" applyProtection="0"/>
    <xf numFmtId="0" fontId="30" fillId="5" borderId="0" applyNumberFormat="0" applyBorder="0" applyAlignment="0" applyProtection="0"/>
    <xf numFmtId="0" fontId="30" fillId="7" borderId="0" applyNumberFormat="0" applyBorder="0" applyAlignment="0" applyProtection="0"/>
    <xf numFmtId="0" fontId="30" fillId="12" borderId="0" applyNumberFormat="0" applyBorder="0" applyAlignment="0" applyProtection="0"/>
    <xf numFmtId="0" fontId="30" fillId="10" borderId="0" applyNumberFormat="0" applyBorder="0" applyAlignment="0" applyProtection="0"/>
    <xf numFmtId="0" fontId="30" fillId="7" borderId="0" applyNumberFormat="0" applyBorder="0" applyAlignment="0" applyProtection="0"/>
    <xf numFmtId="0" fontId="30" fillId="13" borderId="0" applyNumberFormat="0" applyBorder="0" applyAlignment="0" applyProtection="0"/>
    <xf numFmtId="0" fontId="30" fillId="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1" fillId="10" borderId="0" applyNumberFormat="0" applyBorder="0" applyAlignment="0" applyProtection="0"/>
    <xf numFmtId="0" fontId="31" fillId="7" borderId="0" applyNumberFormat="0" applyBorder="0" applyAlignment="0" applyProtection="0"/>
    <xf numFmtId="0" fontId="31" fillId="14" borderId="0" applyNumberFormat="0" applyBorder="0" applyAlignment="0" applyProtection="0"/>
    <xf numFmtId="0" fontId="31" fillId="6" borderId="0" applyNumberFormat="0" applyBorder="0" applyAlignment="0" applyProtection="0"/>
    <xf numFmtId="0" fontId="23" fillId="0" borderId="0" applyNumberFormat="0" applyFill="0" applyBorder="0" applyAlignment="0" applyProtection="0"/>
    <xf numFmtId="0" fontId="31" fillId="14" borderId="0" applyNumberFormat="0" applyBorder="0" applyAlignment="0" applyProtection="0"/>
    <xf numFmtId="0" fontId="31" fillId="15" borderId="0" applyNumberFormat="0" applyBorder="0" applyAlignment="0" applyProtection="0"/>
    <xf numFmtId="0" fontId="31" fillId="10" borderId="0" applyNumberFormat="0" applyBorder="0" applyAlignment="0" applyProtection="0"/>
    <xf numFmtId="0" fontId="31" fillId="16" borderId="0" applyNumberFormat="0" applyBorder="0" applyAlignment="0" applyProtection="0"/>
    <xf numFmtId="0" fontId="31" fillId="14" borderId="0" applyNumberFormat="0" applyBorder="0" applyAlignment="0" applyProtection="0"/>
    <xf numFmtId="0" fontId="31" fillId="12" borderId="0" applyNumberFormat="0" applyBorder="0" applyAlignment="0" applyProtection="0"/>
    <xf numFmtId="0" fontId="32" fillId="17" borderId="0" applyNumberFormat="0" applyBorder="0" applyAlignment="0" applyProtection="0"/>
    <xf numFmtId="0" fontId="21" fillId="6" borderId="0" applyNumberFormat="0" applyBorder="0" applyAlignment="0" applyProtection="0"/>
    <xf numFmtId="0" fontId="33" fillId="0" borderId="8" applyNumberFormat="0" applyFill="0" applyAlignment="0" applyProtection="0"/>
    <xf numFmtId="0" fontId="34" fillId="7" borderId="9" applyNumberFormat="0" applyAlignment="0" applyProtection="0"/>
    <xf numFmtId="0" fontId="34" fillId="18" borderId="9" applyNumberFormat="0" applyAlignment="0" applyProtection="0"/>
    <xf numFmtId="0" fontId="22" fillId="6" borderId="3" applyNumberFormat="0" applyAlignment="0" applyProtection="0"/>
    <xf numFmtId="0" fontId="35" fillId="0" borderId="10" applyNumberFormat="0" applyFill="0" applyAlignment="0" applyProtection="0"/>
    <xf numFmtId="0" fontId="36" fillId="18" borderId="3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11" applyNumberFormat="0" applyFill="0" applyAlignment="0" applyProtection="0"/>
    <xf numFmtId="38" fontId="8" fillId="0" borderId="0" applyFont="0" applyFill="0" applyBorder="0" applyAlignment="0" applyProtection="0">
      <alignment vertical="center"/>
    </xf>
    <xf numFmtId="0" fontId="39" fillId="19" borderId="0" applyNumberFormat="0" applyBorder="0" applyAlignment="0" applyProtection="0"/>
    <xf numFmtId="0" fontId="40" fillId="20" borderId="0" applyNumberFormat="0" applyBorder="0" applyAlignment="0" applyProtection="0"/>
    <xf numFmtId="0" fontId="8" fillId="0" borderId="0"/>
    <xf numFmtId="0" fontId="41" fillId="20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7" fillId="0" borderId="0"/>
    <xf numFmtId="0" fontId="44" fillId="0" borderId="0">
      <alignment vertic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4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4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15" fillId="0" borderId="0" xfId="2" applyFont="1" applyAlignment="1">
      <alignment vertical="center"/>
    </xf>
    <xf numFmtId="0" fontId="15" fillId="0" borderId="1" xfId="2" applyFont="1" applyBorder="1" applyAlignment="1">
      <alignment vertical="center"/>
    </xf>
    <xf numFmtId="0" fontId="15" fillId="3" borderId="1" xfId="2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4" borderId="1" xfId="2" applyFont="1" applyFill="1" applyBorder="1" applyAlignment="1">
      <alignment vertical="center"/>
    </xf>
    <xf numFmtId="0" fontId="14" fillId="4" borderId="1" xfId="0" applyFont="1" applyFill="1" applyBorder="1" applyAlignment="1">
      <alignment horizontal="right" vertical="center"/>
    </xf>
    <xf numFmtId="0" fontId="15" fillId="3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vertical="center"/>
    </xf>
    <xf numFmtId="0" fontId="15" fillId="0" borderId="13" xfId="2" applyFont="1" applyBorder="1" applyAlignment="1">
      <alignment vertical="center"/>
    </xf>
    <xf numFmtId="0" fontId="14" fillId="4" borderId="12" xfId="0" applyFont="1" applyFill="1" applyBorder="1" applyAlignment="1">
      <alignment horizontal="right" vertical="center"/>
    </xf>
    <xf numFmtId="0" fontId="14" fillId="4" borderId="14" xfId="0" applyFont="1" applyFill="1" applyBorder="1" applyAlignment="1">
      <alignment horizontal="right" vertical="center"/>
    </xf>
    <xf numFmtId="0" fontId="15" fillId="0" borderId="15" xfId="2" applyFont="1" applyBorder="1" applyAlignment="1">
      <alignment vertical="center"/>
    </xf>
    <xf numFmtId="0" fontId="15" fillId="2" borderId="1" xfId="2" applyFont="1" applyFill="1" applyBorder="1" applyAlignment="1">
      <alignment horizontal="left" vertical="center"/>
    </xf>
    <xf numFmtId="0" fontId="15" fillId="2" borderId="1" xfId="2" applyFont="1" applyFill="1" applyBorder="1" applyAlignment="1">
      <alignment horizontal="center" vertical="center"/>
    </xf>
    <xf numFmtId="0" fontId="17" fillId="21" borderId="1" xfId="2978" applyFont="1" applyFill="1" applyBorder="1"/>
    <xf numFmtId="0" fontId="7" fillId="21" borderId="1" xfId="2978" applyFill="1" applyBorder="1"/>
    <xf numFmtId="0" fontId="7" fillId="0" borderId="0" xfId="2978"/>
    <xf numFmtId="0" fontId="7" fillId="0" borderId="1" xfId="2978" applyBorder="1"/>
    <xf numFmtId="0" fontId="8" fillId="2" borderId="1" xfId="19" applyFill="1" applyBorder="1"/>
    <xf numFmtId="0" fontId="17" fillId="21" borderId="1" xfId="0" applyFont="1" applyFill="1" applyBorder="1"/>
    <xf numFmtId="0" fontId="42" fillId="22" borderId="1" xfId="0" applyFont="1" applyFill="1" applyBorder="1" applyAlignment="1">
      <alignment horizontal="center" vertical="center"/>
    </xf>
    <xf numFmtId="0" fontId="42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14" fillId="23" borderId="1" xfId="0" applyFont="1" applyFill="1" applyBorder="1" applyAlignment="1">
      <alignment horizontal="right" vertical="center"/>
    </xf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0" fontId="3" fillId="0" borderId="1" xfId="3036" applyFont="1" applyBorder="1"/>
    <xf numFmtId="0" fontId="15" fillId="0" borderId="0" xfId="2" applyFont="1" applyFill="1" applyBorder="1" applyAlignment="1">
      <alignment vertical="center"/>
    </xf>
    <xf numFmtId="0" fontId="14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42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5" fillId="0" borderId="0" xfId="2" applyFont="1" applyBorder="1" applyAlignment="1">
      <alignment vertical="center"/>
    </xf>
    <xf numFmtId="0" fontId="15" fillId="0" borderId="1" xfId="2" applyFont="1" applyFill="1" applyBorder="1" applyAlignment="1">
      <alignment vertical="center"/>
    </xf>
    <xf numFmtId="0" fontId="14" fillId="0" borderId="1" xfId="0" applyFont="1" applyFill="1" applyBorder="1" applyAlignment="1">
      <alignment horizontal="right" vertical="center"/>
    </xf>
    <xf numFmtId="0" fontId="0" fillId="0" borderId="1" xfId="0" applyFill="1" applyBorder="1"/>
    <xf numFmtId="176" fontId="0" fillId="0" borderId="1" xfId="3575" applyNumberFormat="1" applyFont="1" applyFill="1" applyBorder="1"/>
    <xf numFmtId="0" fontId="42" fillId="0" borderId="1" xfId="0" applyFont="1" applyFill="1" applyBorder="1" applyAlignment="1">
      <alignment vertical="center"/>
    </xf>
    <xf numFmtId="0" fontId="15" fillId="0" borderId="0" xfId="2" applyFont="1" applyFill="1" applyAlignment="1">
      <alignment vertical="center"/>
    </xf>
    <xf numFmtId="0" fontId="16" fillId="0" borderId="1" xfId="0" applyFont="1" applyFill="1" applyBorder="1" applyAlignment="1">
      <alignment vertical="center"/>
    </xf>
    <xf numFmtId="0" fontId="2" fillId="0" borderId="1" xfId="2978" applyFont="1" applyBorder="1"/>
    <xf numFmtId="1" fontId="15" fillId="3" borderId="1" xfId="2" applyNumberFormat="1" applyFont="1" applyFill="1" applyBorder="1" applyAlignment="1">
      <alignment vertical="center"/>
    </xf>
    <xf numFmtId="0" fontId="1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8087</v>
          </cell>
          <cell r="B1481" t="str">
            <v>ja</v>
          </cell>
          <cell r="C1481" t="str">
            <v>財神</v>
          </cell>
          <cell r="H1481" t="str">
            <v>red</v>
          </cell>
          <cell r="I1481">
            <v>5</v>
          </cell>
          <cell r="J1481" t="str">
            <v>PremiumSSS</v>
          </cell>
          <cell r="K1481" t="str">
            <v>technical</v>
          </cell>
          <cell r="L1481" t="str">
            <v>テクニカルタイプ</v>
          </cell>
          <cell r="M1481" t="str">
            <v>god</v>
          </cell>
        </row>
        <row r="1482">
          <cell r="A1482">
            <v>8088</v>
          </cell>
          <cell r="B1482" t="str">
            <v>ja</v>
          </cell>
          <cell r="C1482" t="str">
            <v>★６財神</v>
          </cell>
          <cell r="H1482" t="str">
            <v>red</v>
          </cell>
          <cell r="I1482">
            <v>6</v>
          </cell>
          <cell r="J1482" t="str">
            <v>PremiumSSS</v>
          </cell>
          <cell r="K1482" t="str">
            <v>technical</v>
          </cell>
          <cell r="L1482" t="str">
            <v>テクニカルタイプ</v>
          </cell>
          <cell r="M1482" t="str">
            <v>god</v>
          </cell>
        </row>
        <row r="1483">
          <cell r="A1483">
            <v>8089</v>
          </cell>
          <cell r="B1483" t="str">
            <v>ja</v>
          </cell>
          <cell r="C1483" t="str">
            <v>年獣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8090</v>
          </cell>
          <cell r="B1484" t="str">
            <v>ja</v>
          </cell>
          <cell r="C1484" t="str">
            <v>★６年獣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8095</v>
          </cell>
          <cell r="B1485" t="str">
            <v>ja</v>
          </cell>
          <cell r="C1485" t="str">
            <v>バハムートダック赤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6</v>
          </cell>
          <cell r="J1485" t="str">
            <v>Material</v>
          </cell>
          <cell r="K1485" t="str">
            <v>exp</v>
          </cell>
          <cell r="L1485" t="str">
            <v>強化素材タイプ</v>
          </cell>
          <cell r="M1485" t="str">
            <v>unknown</v>
          </cell>
        </row>
        <row r="1486">
          <cell r="A1486">
            <v>8096</v>
          </cell>
          <cell r="B1486" t="str">
            <v>ja</v>
          </cell>
          <cell r="C1486" t="str">
            <v>バハムートダック緑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6</v>
          </cell>
          <cell r="J1486" t="str">
            <v>Material</v>
          </cell>
          <cell r="K1486" t="str">
            <v>exp</v>
          </cell>
          <cell r="L1486" t="str">
            <v>強化素材タイプ</v>
          </cell>
          <cell r="M1486" t="str">
            <v>unknown</v>
          </cell>
        </row>
        <row r="1487">
          <cell r="A1487">
            <v>8097</v>
          </cell>
          <cell r="B1487" t="str">
            <v>ja</v>
          </cell>
          <cell r="C1487" t="str">
            <v>バハムートダック青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6</v>
          </cell>
          <cell r="J1487" t="str">
            <v>Material</v>
          </cell>
          <cell r="K1487" t="str">
            <v>exp</v>
          </cell>
          <cell r="L1487" t="str">
            <v>強化素材タイプ</v>
          </cell>
          <cell r="M1487" t="str">
            <v>unknown</v>
          </cell>
        </row>
        <row r="1488">
          <cell r="A1488">
            <v>8098</v>
          </cell>
          <cell r="B1488" t="str">
            <v>ja</v>
          </cell>
          <cell r="C1488" t="str">
            <v>バハムートダック黄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yellow</v>
          </cell>
          <cell r="I1488">
            <v>6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8099</v>
          </cell>
          <cell r="B1489" t="str">
            <v>ja</v>
          </cell>
          <cell r="C1489" t="str">
            <v>リトルハンプティ</v>
          </cell>
          <cell r="D1489" t="str">
            <v>各属性相性良3・黄・R455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green</v>
          </cell>
          <cell r="I1489">
            <v>6</v>
          </cell>
          <cell r="J1489" t="str">
            <v>Material</v>
          </cell>
          <cell r="K1489" t="str">
            <v>evolution</v>
          </cell>
          <cell r="L1489" t="str">
            <v>覚醒素材タイプ</v>
          </cell>
          <cell r="M148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2" customWidth="1"/>
    <col min="2" max="16384" width="13" style="32"/>
  </cols>
  <sheetData>
    <row r="1" spans="1:13" x14ac:dyDescent="0.15">
      <c r="A1" s="32" t="s">
        <v>29</v>
      </c>
      <c r="B1" s="32" t="s">
        <v>30</v>
      </c>
    </row>
    <row r="2" spans="1:13" x14ac:dyDescent="0.15">
      <c r="A2" s="32" t="s">
        <v>31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G2" s="32" t="s">
        <v>37</v>
      </c>
      <c r="H2" s="32" t="s">
        <v>38</v>
      </c>
    </row>
    <row r="3" spans="1:13" x14ac:dyDescent="0.15">
      <c r="A3" s="32">
        <v>3</v>
      </c>
      <c r="B3" s="33" t="s">
        <v>39</v>
      </c>
      <c r="C3" s="33" t="s">
        <v>40</v>
      </c>
      <c r="D3" s="32">
        <v>0</v>
      </c>
      <c r="E3" s="33" t="s">
        <v>41</v>
      </c>
      <c r="F3" s="32">
        <v>0</v>
      </c>
      <c r="G3" s="32">
        <v>0</v>
      </c>
      <c r="H3" s="34">
        <v>0.5</v>
      </c>
    </row>
    <row r="4" spans="1:13" x14ac:dyDescent="0.15">
      <c r="A4" s="32">
        <v>4</v>
      </c>
      <c r="B4" s="33" t="s">
        <v>42</v>
      </c>
      <c r="C4" s="33" t="s">
        <v>43</v>
      </c>
      <c r="D4" s="33" t="s">
        <v>44</v>
      </c>
      <c r="E4" s="33" t="s">
        <v>45</v>
      </c>
      <c r="F4" s="33" t="s">
        <v>46</v>
      </c>
      <c r="G4" s="32">
        <v>0</v>
      </c>
      <c r="H4" s="34">
        <v>0.45</v>
      </c>
    </row>
    <row r="5" spans="1:13" x14ac:dyDescent="0.15">
      <c r="A5" s="32">
        <v>5</v>
      </c>
      <c r="B5" s="35">
        <v>0</v>
      </c>
      <c r="C5" s="33" t="s">
        <v>47</v>
      </c>
      <c r="D5" s="33" t="s">
        <v>48</v>
      </c>
      <c r="E5" s="33" t="s">
        <v>49</v>
      </c>
      <c r="F5" s="33" t="s">
        <v>50</v>
      </c>
      <c r="G5" s="33" t="s">
        <v>51</v>
      </c>
      <c r="H5" s="34">
        <v>0.05</v>
      </c>
    </row>
    <row r="6" spans="1:13" x14ac:dyDescent="0.15">
      <c r="B6" s="34" t="s">
        <v>52</v>
      </c>
      <c r="C6" s="34" t="s">
        <v>52</v>
      </c>
      <c r="D6" s="34" t="s">
        <v>53</v>
      </c>
      <c r="E6" s="34" t="s">
        <v>52</v>
      </c>
      <c r="F6" s="34" t="s">
        <v>52</v>
      </c>
      <c r="G6" s="36" t="s">
        <v>54</v>
      </c>
      <c r="H6" s="34">
        <v>1</v>
      </c>
    </row>
    <row r="7" spans="1:13" x14ac:dyDescent="0.15">
      <c r="B7" s="34"/>
      <c r="C7" s="34"/>
      <c r="D7" s="34"/>
      <c r="E7" s="34"/>
      <c r="F7" s="34"/>
      <c r="G7" s="36"/>
      <c r="H7" s="34"/>
    </row>
    <row r="8" spans="1:13" x14ac:dyDescent="0.15">
      <c r="A8" s="32" t="s">
        <v>55</v>
      </c>
      <c r="B8" s="34"/>
      <c r="C8" s="34"/>
      <c r="D8" s="34"/>
      <c r="E8" s="34"/>
      <c r="F8" s="34"/>
      <c r="G8" s="36"/>
      <c r="H8" s="34"/>
    </row>
    <row r="9" spans="1:13" x14ac:dyDescent="0.15">
      <c r="A9" s="32" t="s">
        <v>56</v>
      </c>
      <c r="B9" s="34"/>
      <c r="C9" s="34"/>
      <c r="D9" s="34"/>
      <c r="E9" s="34"/>
      <c r="F9" s="34"/>
      <c r="G9" s="36"/>
      <c r="H9" s="34"/>
    </row>
    <row r="10" spans="1:13" x14ac:dyDescent="0.15">
      <c r="A10" s="32" t="s">
        <v>57</v>
      </c>
      <c r="B10" s="34"/>
      <c r="C10" s="34"/>
      <c r="D10" s="34"/>
      <c r="E10" s="34"/>
      <c r="F10" s="34"/>
      <c r="G10" s="36"/>
      <c r="H10" s="34"/>
    </row>
    <row r="11" spans="1:13" x14ac:dyDescent="0.15">
      <c r="A11" s="32" t="s">
        <v>58</v>
      </c>
      <c r="B11" s="34"/>
      <c r="C11" s="34"/>
      <c r="D11" s="34"/>
      <c r="E11" s="34"/>
      <c r="F11" s="34"/>
      <c r="G11" s="36"/>
      <c r="H11" s="34"/>
    </row>
    <row r="12" spans="1:13" x14ac:dyDescent="0.15">
      <c r="A12" s="32" t="s">
        <v>51</v>
      </c>
      <c r="B12" s="34" t="s">
        <v>59</v>
      </c>
      <c r="C12" s="34" t="s">
        <v>60</v>
      </c>
      <c r="D12" s="34"/>
      <c r="E12" s="34"/>
      <c r="F12" s="34"/>
      <c r="G12" s="36"/>
      <c r="H12" s="34"/>
    </row>
    <row r="13" spans="1:13" x14ac:dyDescent="0.15">
      <c r="A13" s="32" t="s">
        <v>61</v>
      </c>
      <c r="B13" s="32" t="s">
        <v>62</v>
      </c>
      <c r="C13" s="32" t="s">
        <v>63</v>
      </c>
    </row>
    <row r="14" spans="1:13" x14ac:dyDescent="0.15">
      <c r="A14" s="32" t="s">
        <v>64</v>
      </c>
      <c r="B14" s="32" t="s">
        <v>59</v>
      </c>
      <c r="C14" s="35" t="s">
        <v>65</v>
      </c>
      <c r="E14" s="35"/>
      <c r="F14" s="35"/>
      <c r="M14" s="34"/>
    </row>
    <row r="15" spans="1:13" x14ac:dyDescent="0.15">
      <c r="A15" s="32" t="s">
        <v>41</v>
      </c>
      <c r="B15" s="34" t="s">
        <v>59</v>
      </c>
      <c r="C15" s="34" t="s">
        <v>66</v>
      </c>
      <c r="H15" s="37"/>
      <c r="M15" s="34"/>
    </row>
    <row r="16" spans="1:13" x14ac:dyDescent="0.15">
      <c r="A16" s="32" t="s">
        <v>45</v>
      </c>
      <c r="B16" s="34" t="s">
        <v>59</v>
      </c>
      <c r="C16" s="34" t="s">
        <v>67</v>
      </c>
      <c r="M16" s="34"/>
    </row>
    <row r="17" spans="1:13" x14ac:dyDescent="0.15">
      <c r="A17" s="32" t="s">
        <v>68</v>
      </c>
      <c r="B17" s="34" t="s">
        <v>59</v>
      </c>
      <c r="C17" s="34" t="s">
        <v>69</v>
      </c>
      <c r="M17" s="34"/>
    </row>
    <row r="18" spans="1:13" x14ac:dyDescent="0.15">
      <c r="B18" s="34"/>
      <c r="C18" s="34"/>
    </row>
    <row r="19" spans="1:13" x14ac:dyDescent="0.15">
      <c r="A19" s="32" t="s">
        <v>70</v>
      </c>
    </row>
    <row r="20" spans="1:13" x14ac:dyDescent="0.15">
      <c r="A20" s="32" t="s">
        <v>71</v>
      </c>
      <c r="B20" s="34"/>
      <c r="C20" s="34"/>
    </row>
    <row r="21" spans="1:13" x14ac:dyDescent="0.15">
      <c r="A21" s="32" t="s">
        <v>72</v>
      </c>
      <c r="B21" s="34" t="s">
        <v>73</v>
      </c>
      <c r="C21" s="34" t="s">
        <v>74</v>
      </c>
      <c r="D21" s="32" t="s">
        <v>75</v>
      </c>
    </row>
    <row r="22" spans="1:13" x14ac:dyDescent="0.15">
      <c r="A22" s="32" t="s">
        <v>76</v>
      </c>
      <c r="B22" s="34" t="s">
        <v>59</v>
      </c>
      <c r="C22" s="34" t="s">
        <v>77</v>
      </c>
      <c r="D22" s="32" t="s">
        <v>78</v>
      </c>
    </row>
    <row r="23" spans="1:13" x14ac:dyDescent="0.15">
      <c r="A23" s="32" t="s">
        <v>79</v>
      </c>
      <c r="B23" s="34" t="s">
        <v>59</v>
      </c>
      <c r="C23" s="32" t="s">
        <v>80</v>
      </c>
      <c r="D23" s="32" t="s">
        <v>81</v>
      </c>
    </row>
    <row r="24" spans="1:13" x14ac:dyDescent="0.15">
      <c r="A24" s="32" t="s">
        <v>82</v>
      </c>
      <c r="B24" s="34" t="s">
        <v>59</v>
      </c>
      <c r="C24" s="34" t="s">
        <v>83</v>
      </c>
      <c r="D24" s="32" t="s">
        <v>84</v>
      </c>
    </row>
    <row r="25" spans="1:13" x14ac:dyDescent="0.15">
      <c r="A25" s="32" t="s">
        <v>85</v>
      </c>
      <c r="B25" s="34" t="s">
        <v>59</v>
      </c>
      <c r="C25" s="34" t="s">
        <v>86</v>
      </c>
      <c r="D25" s="32" t="s">
        <v>87</v>
      </c>
    </row>
    <row r="26" spans="1:13" x14ac:dyDescent="0.15">
      <c r="A26" s="32" t="s">
        <v>88</v>
      </c>
      <c r="B26" s="34" t="s">
        <v>59</v>
      </c>
      <c r="C26" s="34" t="s">
        <v>89</v>
      </c>
      <c r="D26" s="32" t="s">
        <v>90</v>
      </c>
    </row>
    <row r="27" spans="1:13" x14ac:dyDescent="0.15">
      <c r="A27" s="32" t="s">
        <v>91</v>
      </c>
      <c r="B27" s="34" t="s">
        <v>59</v>
      </c>
      <c r="C27" s="34" t="s">
        <v>53</v>
      </c>
      <c r="D27" s="32" t="s">
        <v>92</v>
      </c>
      <c r="E27" s="32" t="s">
        <v>93</v>
      </c>
    </row>
    <row r="28" spans="1:13" x14ac:dyDescent="0.15">
      <c r="A28" s="32" t="s">
        <v>40</v>
      </c>
      <c r="B28" s="34" t="s">
        <v>59</v>
      </c>
      <c r="C28" s="34" t="s">
        <v>94</v>
      </c>
      <c r="E28" s="32" t="s">
        <v>95</v>
      </c>
    </row>
    <row r="29" spans="1:13" x14ac:dyDescent="0.15">
      <c r="A29" s="32" t="s">
        <v>43</v>
      </c>
      <c r="B29" s="34" t="s">
        <v>59</v>
      </c>
      <c r="C29" s="34" t="s">
        <v>96</v>
      </c>
    </row>
    <row r="30" spans="1:13" x14ac:dyDescent="0.15">
      <c r="B30" s="34"/>
    </row>
    <row r="31" spans="1:13" x14ac:dyDescent="0.15">
      <c r="A31" s="32" t="s">
        <v>97</v>
      </c>
    </row>
    <row r="32" spans="1:13" x14ac:dyDescent="0.15">
      <c r="A32" s="32" t="s">
        <v>98</v>
      </c>
      <c r="B32" s="34" t="s">
        <v>59</v>
      </c>
      <c r="C32" s="34" t="s">
        <v>99</v>
      </c>
    </row>
    <row r="33" spans="1:3" x14ac:dyDescent="0.15">
      <c r="A33" s="32" t="s">
        <v>43</v>
      </c>
      <c r="B33" s="34" t="s">
        <v>59</v>
      </c>
      <c r="C33" s="34" t="s">
        <v>100</v>
      </c>
    </row>
    <row r="34" spans="1:3" x14ac:dyDescent="0.15">
      <c r="A34" s="32" t="s">
        <v>40</v>
      </c>
      <c r="B34" s="34" t="s">
        <v>59</v>
      </c>
      <c r="C34" s="34" t="s">
        <v>101</v>
      </c>
    </row>
    <row r="35" spans="1:3" x14ac:dyDescent="0.15">
      <c r="A35" s="32" t="s">
        <v>39</v>
      </c>
      <c r="B35" s="34" t="s">
        <v>59</v>
      </c>
      <c r="C35" s="34" t="s">
        <v>102</v>
      </c>
    </row>
    <row r="36" spans="1:3" x14ac:dyDescent="0.15">
      <c r="A36" s="32" t="s">
        <v>42</v>
      </c>
      <c r="B36" s="34" t="s">
        <v>59</v>
      </c>
      <c r="C36" s="34" t="s">
        <v>103</v>
      </c>
    </row>
    <row r="37" spans="1:3" x14ac:dyDescent="0.15">
      <c r="A37" s="32" t="s">
        <v>48</v>
      </c>
      <c r="B37" s="34" t="s">
        <v>59</v>
      </c>
      <c r="C37" s="34" t="s">
        <v>104</v>
      </c>
    </row>
    <row r="38" spans="1:3" x14ac:dyDescent="0.15">
      <c r="A38" s="32" t="s">
        <v>44</v>
      </c>
      <c r="B38" s="34" t="s">
        <v>59</v>
      </c>
      <c r="C38" s="34" t="s">
        <v>105</v>
      </c>
    </row>
  </sheetData>
  <phoneticPr fontId="1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24</v>
      </c>
    </row>
    <row r="2" spans="1:1" x14ac:dyDescent="0.15">
      <c r="A2" t="s">
        <v>25</v>
      </c>
    </row>
    <row r="3" spans="1:1" x14ac:dyDescent="0.15">
      <c r="A3" t="s">
        <v>26</v>
      </c>
    </row>
    <row r="4" spans="1:1" x14ac:dyDescent="0.15">
      <c r="A4" t="s">
        <v>27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G17" sqref="G17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0" t="s">
        <v>19</v>
      </c>
      <c r="B1" s="15" t="s">
        <v>12</v>
      </c>
      <c r="C1" s="15" t="s">
        <v>13</v>
      </c>
      <c r="D1" s="15" t="s">
        <v>14</v>
      </c>
      <c r="E1" s="15" t="s">
        <v>15</v>
      </c>
      <c r="F1" s="15" t="s">
        <v>16</v>
      </c>
      <c r="G1" s="15" t="s">
        <v>17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38" t="s">
        <v>120</v>
      </c>
      <c r="B2" s="53" t="s">
        <v>121</v>
      </c>
      <c r="C2" s="29" t="str">
        <f>RIGHT(F2,7)</f>
        <v>7025100</v>
      </c>
      <c r="D2" s="18" t="s">
        <v>18</v>
      </c>
      <c r="E2" s="16" t="str">
        <f t="shared" ref="E2" si="0">B2&amp;C2&amp;D2</f>
        <v>gacha_select_tables_7025100.tmp</v>
      </c>
      <c r="F2" s="55" t="s">
        <v>122</v>
      </c>
      <c r="G2" s="28" t="s">
        <v>28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38" t="s">
        <v>120</v>
      </c>
      <c r="B3" s="53" t="s">
        <v>121</v>
      </c>
      <c r="C3" s="29" t="str">
        <f>RIGHT(F3,7)</f>
        <v>7025101</v>
      </c>
      <c r="D3" s="18" t="s">
        <v>18</v>
      </c>
      <c r="E3" s="16" t="str">
        <f t="shared" ref="E3:E4" si="1">B3&amp;C3&amp;D3</f>
        <v>gacha_select_tables_7025101.tmp</v>
      </c>
      <c r="F3" s="55" t="s">
        <v>123</v>
      </c>
      <c r="G3" s="28" t="s">
        <v>28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38" t="s">
        <v>120</v>
      </c>
      <c r="B4" s="53" t="s">
        <v>121</v>
      </c>
      <c r="C4" s="29" t="str">
        <f>RIGHT(F4,7)</f>
        <v>7025102</v>
      </c>
      <c r="D4" s="18" t="s">
        <v>18</v>
      </c>
      <c r="E4" s="16" t="str">
        <f t="shared" si="1"/>
        <v>gacha_select_tables_7025102.tmp</v>
      </c>
      <c r="F4" s="55" t="s">
        <v>124</v>
      </c>
      <c r="G4" s="28" t="s">
        <v>28</v>
      </c>
      <c r="H4" s="19" t="s">
        <v>0</v>
      </c>
      <c r="I4" s="19" t="s">
        <v>2</v>
      </c>
      <c r="J4" s="19" t="s">
        <v>3</v>
      </c>
      <c r="K4" s="19" t="s">
        <v>4</v>
      </c>
      <c r="L4" s="19" t="s">
        <v>5</v>
      </c>
      <c r="M4" s="19" t="s">
        <v>6</v>
      </c>
      <c r="N4" s="19" t="s">
        <v>7</v>
      </c>
      <c r="O4" s="19" t="s">
        <v>8</v>
      </c>
    </row>
    <row r="5" spans="1:21" x14ac:dyDescent="0.15">
      <c r="A5" s="38" t="s">
        <v>120</v>
      </c>
      <c r="B5" s="53" t="s">
        <v>121</v>
      </c>
      <c r="C5" s="29" t="str">
        <f>RIGHT(F5,7)</f>
        <v>7025103</v>
      </c>
      <c r="D5" s="18" t="s">
        <v>18</v>
      </c>
      <c r="E5" s="16" t="str">
        <f t="shared" ref="E5" si="2">B5&amp;C5&amp;D5</f>
        <v>gacha_select_tables_7025103.tmp</v>
      </c>
      <c r="F5" s="55" t="s">
        <v>125</v>
      </c>
      <c r="G5" s="28" t="s">
        <v>28</v>
      </c>
      <c r="H5" s="19" t="s">
        <v>0</v>
      </c>
      <c r="I5" s="19" t="s">
        <v>2</v>
      </c>
      <c r="J5" s="19" t="s">
        <v>3</v>
      </c>
      <c r="K5" s="19" t="s">
        <v>4</v>
      </c>
      <c r="L5" s="19" t="s">
        <v>5</v>
      </c>
      <c r="M5" s="19" t="s">
        <v>6</v>
      </c>
      <c r="N5" s="19" t="s">
        <v>7</v>
      </c>
      <c r="O5" s="19" t="s">
        <v>8</v>
      </c>
      <c r="P5" s="30"/>
      <c r="Q5" s="30"/>
      <c r="R5" s="30"/>
      <c r="S5" s="30"/>
      <c r="T5" s="30"/>
      <c r="U5" s="30"/>
    </row>
    <row r="6" spans="1:21" x14ac:dyDescent="0.15">
      <c r="A6" s="38" t="s">
        <v>120</v>
      </c>
      <c r="B6" s="53" t="s">
        <v>121</v>
      </c>
      <c r="C6" s="29" t="str">
        <f>RIGHT(F6,7)</f>
        <v>7025104</v>
      </c>
      <c r="D6" s="18" t="s">
        <v>18</v>
      </c>
      <c r="E6" s="16" t="str">
        <f t="shared" ref="E6" si="3">B6&amp;C6&amp;D6</f>
        <v>gacha_select_tables_7025104.tmp</v>
      </c>
      <c r="F6" s="55" t="s">
        <v>126</v>
      </c>
      <c r="G6" s="28" t="s">
        <v>28</v>
      </c>
      <c r="H6" s="19" t="s">
        <v>0</v>
      </c>
      <c r="I6" s="19" t="s">
        <v>2</v>
      </c>
      <c r="J6" s="19" t="s">
        <v>3</v>
      </c>
      <c r="K6" s="19" t="s">
        <v>4</v>
      </c>
      <c r="L6" s="19" t="s">
        <v>5</v>
      </c>
      <c r="M6" s="19" t="s">
        <v>6</v>
      </c>
      <c r="N6" s="19" t="s">
        <v>7</v>
      </c>
      <c r="O6" s="19" t="s">
        <v>8</v>
      </c>
    </row>
  </sheetData>
  <phoneticPr fontId="1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AJ268"/>
  <sheetViews>
    <sheetView showGridLines="0" zoomScale="75" zoomScaleNormal="75" zoomScalePageLayoutView="75" workbookViewId="0">
      <pane ySplit="1" topLeftCell="A44" activePane="bottomLeft" state="frozen"/>
      <selection activeCell="E6" sqref="E6"/>
      <selection pane="bottomLeft" activeCell="G72" sqref="G7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36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36" s="51" customFormat="1" ht="21" customHeight="1" x14ac:dyDescent="0.15">
      <c r="A2" s="2">
        <v>7025100</v>
      </c>
      <c r="B2" s="47">
        <v>733</v>
      </c>
      <c r="C2" s="7" t="str">
        <f t="shared" ref="C2:C4" si="0">D2&amp;J2&amp;E2&amp;F2&amp;G2</f>
        <v>PremiumSS6R5only</v>
      </c>
      <c r="D2" s="7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26">
        <v>20</v>
      </c>
      <c r="P2" s="27">
        <f t="shared" ref="P2:P33" si="2">O2/SUM(O:O)</f>
        <v>1.4492753623188406E-2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</row>
    <row r="3" spans="1:36" s="51" customFormat="1" ht="21" customHeight="1" x14ac:dyDescent="0.15">
      <c r="A3" s="2">
        <v>7025100</v>
      </c>
      <c r="B3" s="47">
        <v>735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破天の隻眼 伊達政宗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26">
        <v>20</v>
      </c>
      <c r="P3" s="27">
        <f t="shared" si="2"/>
        <v>1.4492753623188406E-2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</row>
    <row r="4" spans="1:36" s="51" customFormat="1" ht="21" customHeight="1" x14ac:dyDescent="0.15">
      <c r="A4" s="2">
        <v>7025100</v>
      </c>
      <c r="B4" s="46">
        <v>743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弩級の洸源 アポロン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男性</v>
      </c>
      <c r="O4" s="26">
        <v>20</v>
      </c>
      <c r="P4" s="27">
        <f t="shared" si="2"/>
        <v>1.4492753623188406E-2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</row>
    <row r="5" spans="1:36" s="51" customFormat="1" ht="21" customHeight="1" x14ac:dyDescent="0.15">
      <c r="A5" s="2">
        <v>7025100</v>
      </c>
      <c r="B5" s="46">
        <v>745</v>
      </c>
      <c r="C5" s="7" t="str">
        <f t="shared" ref="C5:C61" si="3">D5&amp;J5&amp;E5&amp;F5&amp;G5</f>
        <v>PremiumSS6R5only</v>
      </c>
      <c r="D5" s="7" t="str">
        <f t="shared" ref="D5:D61" si="4">IF(OR(I5="PremiumSS",I5="PremiumSSw"),"PremiumSS",IF(I5="PremiumSSS",I5,IF(I5="PremiumW",IF(J5=5,"premium",I5),"Premium")))</f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望羅の発神 ヘルメス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green</v>
      </c>
      <c r="L5" s="7" t="str">
        <f>VLOOKUP(B5,[1]characters!$A:$K,11,FALSE)</f>
        <v>technical</v>
      </c>
      <c r="M5" s="7" t="str">
        <f>VLOOKUP(B5,[1]characters!$A:$M,13,FALSE)</f>
        <v>god</v>
      </c>
      <c r="N5" s="7" t="str">
        <f>VLOOKUP(B5,[1]characters!$A:$G,7,FALSE)</f>
        <v>男性</v>
      </c>
      <c r="O5" s="26">
        <v>20</v>
      </c>
      <c r="P5" s="27">
        <f t="shared" si="2"/>
        <v>1.4492753623188406E-2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</row>
    <row r="6" spans="1:36" s="51" customFormat="1" ht="21" customHeight="1" x14ac:dyDescent="0.15">
      <c r="A6" s="2">
        <v>7025100</v>
      </c>
      <c r="B6" s="46">
        <v>809</v>
      </c>
      <c r="C6" s="7" t="str">
        <f t="shared" si="3"/>
        <v>PremiumSS6R5only</v>
      </c>
      <c r="D6" s="7" t="str">
        <f t="shared" si="4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天然理心の激凛 沖田総司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26">
        <v>20</v>
      </c>
      <c r="P6" s="27">
        <f t="shared" si="2"/>
        <v>1.4492753623188406E-2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</row>
    <row r="7" spans="1:36" s="51" customFormat="1" ht="21" customHeight="1" x14ac:dyDescent="0.15">
      <c r="A7" s="2">
        <v>7025100</v>
      </c>
      <c r="B7" s="46">
        <v>811</v>
      </c>
      <c r="C7" s="7" t="str">
        <f t="shared" si="3"/>
        <v>PremiumSS6R5only</v>
      </c>
      <c r="D7" s="7" t="str">
        <f t="shared" si="4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咲き誇る旅航者 親指姫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red</v>
      </c>
      <c r="L7" s="7" t="str">
        <f>VLOOKUP(B7,[1]characters!$A:$K,11,FALSE)</f>
        <v>heal</v>
      </c>
      <c r="M7" s="7" t="str">
        <f>VLOOKUP(B7,[1]characters!$A:$M,13,FALSE)</f>
        <v>human</v>
      </c>
      <c r="N7" s="7" t="str">
        <f>VLOOKUP(B7,[1]characters!$A:$G,7,FALSE)</f>
        <v>男性</v>
      </c>
      <c r="O7" s="26">
        <v>20</v>
      </c>
      <c r="P7" s="27">
        <f t="shared" si="2"/>
        <v>1.4492753623188406E-2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</row>
    <row r="8" spans="1:36" s="51" customFormat="1" ht="21" customHeight="1" x14ac:dyDescent="0.15">
      <c r="A8" s="2">
        <v>7025100</v>
      </c>
      <c r="B8" s="46">
        <v>813</v>
      </c>
      <c r="C8" s="7" t="str">
        <f t="shared" si="3"/>
        <v>PremiumSS6R5only</v>
      </c>
      <c r="D8" s="7" t="str">
        <f t="shared" si="4"/>
        <v>PremiumSS</v>
      </c>
      <c r="E8" s="7" t="str">
        <f>IF(COUNTIF('R6追加前'!A:A,B8)=0,IF(OR(I8="PremiumSS",I8="PremiumSSw"),"R5only","R3less"),"")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絆の大冒険 ヘンゼル＆グレーテル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男性</v>
      </c>
      <c r="O8" s="26">
        <v>20</v>
      </c>
      <c r="P8" s="27">
        <f t="shared" si="2"/>
        <v>1.4492753623188406E-2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</row>
    <row r="9" spans="1:36" s="51" customFormat="1" ht="21" customHeight="1" x14ac:dyDescent="0.15">
      <c r="A9" s="2">
        <v>7025100</v>
      </c>
      <c r="B9" s="46">
        <v>815</v>
      </c>
      <c r="C9" s="7" t="str">
        <f t="shared" si="3"/>
        <v>PremiumSS6R5only</v>
      </c>
      <c r="D9" s="7" t="str">
        <f t="shared" si="4"/>
        <v>PremiumSS</v>
      </c>
      <c r="E9" s="7" t="str">
        <f>IF(COUNTIF('R6追加前'!A:A,B9)=0,IF(OR(I9="PremiumSS",I9="PremiumSSw"),"R5only","R3less"),"")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解砲の鴉眼 八咫烏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男性</v>
      </c>
      <c r="O9" s="26">
        <v>20</v>
      </c>
      <c r="P9" s="27">
        <f t="shared" si="2"/>
        <v>1.4492753623188406E-2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</row>
    <row r="10" spans="1:36" s="51" customFormat="1" ht="21" customHeight="1" x14ac:dyDescent="0.15">
      <c r="A10" s="2">
        <v>7025100</v>
      </c>
      <c r="B10" s="46">
        <v>817</v>
      </c>
      <c r="C10" s="7" t="str">
        <f t="shared" si="3"/>
        <v>PremiumSS6R5only</v>
      </c>
      <c r="D10" s="7" t="str">
        <f t="shared" si="4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決戦の抗弾 D.R.T.H.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男性</v>
      </c>
      <c r="O10" s="26">
        <v>20</v>
      </c>
      <c r="P10" s="27">
        <f t="shared" si="2"/>
        <v>1.4492753623188406E-2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</row>
    <row r="11" spans="1:36" s="51" customFormat="1" ht="21" customHeight="1" x14ac:dyDescent="0.15">
      <c r="A11" s="2">
        <v>7025100</v>
      </c>
      <c r="B11" s="46">
        <v>819</v>
      </c>
      <c r="C11" s="7" t="str">
        <f t="shared" si="3"/>
        <v>PremiumSS6R5only</v>
      </c>
      <c r="D11" s="7" t="str">
        <f t="shared" si="4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讐命の我突 モルドレッド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26">
        <v>20</v>
      </c>
      <c r="P11" s="27">
        <f t="shared" si="2"/>
        <v>1.4492753623188406E-2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</row>
    <row r="12" spans="1:36" s="51" customFormat="1" ht="21" customHeight="1" x14ac:dyDescent="0.15">
      <c r="A12" s="2">
        <v>7025100</v>
      </c>
      <c r="B12" s="46">
        <v>821</v>
      </c>
      <c r="C12" s="7" t="str">
        <f t="shared" si="3"/>
        <v>PremiumSS6R5only</v>
      </c>
      <c r="D12" s="7" t="str">
        <f t="shared" si="4"/>
        <v>PremiumSS</v>
      </c>
      <c r="E12" s="7" t="str">
        <f>IF(COUNTIF('R6追加前'!A:A,B12)=0,IF(OR(I12="PremiumSS",I12="PremiumSSw"),"R5only","R3less"),"")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急蹴の硬機脚 ブートレグ・ペロー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animal</v>
      </c>
      <c r="N12" s="7" t="str">
        <f>VLOOKUP(B12,[1]characters!$A:$G,7,FALSE)</f>
        <v>男性</v>
      </c>
      <c r="O12" s="26">
        <v>20</v>
      </c>
      <c r="P12" s="27">
        <f t="shared" si="2"/>
        <v>1.4492753623188406E-2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</row>
    <row r="13" spans="1:36" s="51" customFormat="1" ht="21" customHeight="1" x14ac:dyDescent="0.15">
      <c r="A13" s="2">
        <v>7025100</v>
      </c>
      <c r="B13" s="46">
        <v>823</v>
      </c>
      <c r="C13" s="7" t="str">
        <f t="shared" si="3"/>
        <v>PremiumSS6R5only</v>
      </c>
      <c r="D13" s="7" t="str">
        <f t="shared" si="4"/>
        <v>PremiumSS</v>
      </c>
      <c r="E13" s="7" t="str">
        <f>IF(COUNTIF('R6追加前'!A:A,B13)=0,IF(OR(I13="PremiumSS",I13="PremiumSSw"),"R5only","R3less"),"")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跳鼠の睡奏楽 ハーメルン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technical</v>
      </c>
      <c r="M13" s="7" t="str">
        <f>VLOOKUP(B13,[1]characters!$A:$M,13,FALSE)</f>
        <v>human</v>
      </c>
      <c r="N13" s="7" t="str">
        <f>VLOOKUP(B13,[1]characters!$A:$G,7,FALSE)</f>
        <v>男性</v>
      </c>
      <c r="O13" s="26">
        <v>20</v>
      </c>
      <c r="P13" s="27">
        <f t="shared" si="2"/>
        <v>1.4492753623188406E-2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</row>
    <row r="14" spans="1:36" s="51" customFormat="1" ht="21" customHeight="1" x14ac:dyDescent="0.15">
      <c r="A14" s="2">
        <v>7025100</v>
      </c>
      <c r="B14" s="46">
        <v>825</v>
      </c>
      <c r="C14" s="7" t="str">
        <f t="shared" si="3"/>
        <v>PremiumSS6R5only</v>
      </c>
      <c r="D14" s="7" t="str">
        <f t="shared" si="4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彩愛なる豊穣妃神 フレイヤ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blue</v>
      </c>
      <c r="L14" s="7" t="str">
        <f>VLOOKUP(B14,[1]characters!$A:$K,11,FALSE)</f>
        <v>heal</v>
      </c>
      <c r="M14" s="7" t="str">
        <f>VLOOKUP(B14,[1]characters!$A:$M,13,FALSE)</f>
        <v>animal</v>
      </c>
      <c r="N14" s="7" t="str">
        <f>VLOOKUP(B14,[1]characters!$A:$G,7,FALSE)</f>
        <v>男性</v>
      </c>
      <c r="O14" s="26">
        <v>20</v>
      </c>
      <c r="P14" s="27">
        <f t="shared" si="2"/>
        <v>1.4492753623188406E-2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1:36" s="51" customFormat="1" ht="21" customHeight="1" x14ac:dyDescent="0.15">
      <c r="A15" s="2">
        <v>7025100</v>
      </c>
      <c r="B15" s="46">
        <v>827</v>
      </c>
      <c r="C15" s="7" t="str">
        <f t="shared" si="3"/>
        <v>PremiumSS6R5only</v>
      </c>
      <c r="D15" s="7" t="str">
        <f t="shared" si="4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光神しき彩雲龍 アルフヘイム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dragon</v>
      </c>
      <c r="N15" s="7" t="str">
        <f>VLOOKUP(B15,[1]characters!$A:$G,7,FALSE)</f>
        <v>男性</v>
      </c>
      <c r="O15" s="26">
        <v>20</v>
      </c>
      <c r="P15" s="27">
        <f t="shared" si="2"/>
        <v>1.4492753623188406E-2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</row>
    <row r="16" spans="1:36" s="51" customFormat="1" ht="21" customHeight="1" x14ac:dyDescent="0.15">
      <c r="A16" s="2">
        <v>7025100</v>
      </c>
      <c r="B16" s="46">
        <v>829</v>
      </c>
      <c r="C16" s="7" t="str">
        <f t="shared" si="3"/>
        <v>PremiumSS6R5only</v>
      </c>
      <c r="D16" s="7" t="str">
        <f t="shared" si="4"/>
        <v>PremiumSS</v>
      </c>
      <c r="E16" s="7" t="str">
        <f>IF(COUNTIF('R6追加前'!A:A,B16)=0,IF(OR(I16="PremiumSS",I16="PremiumSSw"),"R5only","R3less"),"")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銃刃乱舞の怪猫 クルミ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unknown</v>
      </c>
      <c r="N16" s="7" t="str">
        <f>VLOOKUP(B16,[1]characters!$A:$G,7,FALSE)</f>
        <v>男性</v>
      </c>
      <c r="O16" s="26">
        <v>20</v>
      </c>
      <c r="P16" s="27">
        <f t="shared" si="2"/>
        <v>1.4492753623188406E-2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</row>
    <row r="17" spans="1:36" s="51" customFormat="1" ht="21" customHeight="1" x14ac:dyDescent="0.15">
      <c r="A17" s="2">
        <v>7025100</v>
      </c>
      <c r="B17" s="46">
        <v>830</v>
      </c>
      <c r="C17" s="7" t="str">
        <f t="shared" si="3"/>
        <v>PremiumSS6R5only</v>
      </c>
      <c r="D17" s="7" t="str">
        <f t="shared" si="4"/>
        <v>PremiumSS</v>
      </c>
      <c r="E17" s="7" t="str">
        <f>IF(COUNTIF('R6追加前'!A:A,B17)=0,IF(OR(I17="PremiumSS",I17="PremiumSSw"),"R5only","R3less"),"")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清兆の天狗礫 フウガ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green</v>
      </c>
      <c r="L17" s="7" t="str">
        <f>VLOOKUP(B17,[1]characters!$A:$K,11,FALSE)</f>
        <v>balance</v>
      </c>
      <c r="M17" s="7" t="str">
        <f>VLOOKUP(B17,[1]characters!$A:$M,13,FALSE)</f>
        <v>unknown</v>
      </c>
      <c r="N17" s="7" t="str">
        <f>VLOOKUP(B17,[1]characters!$A:$G,7,FALSE)</f>
        <v>男性</v>
      </c>
      <c r="O17" s="26">
        <v>20</v>
      </c>
      <c r="P17" s="27">
        <f t="shared" si="2"/>
        <v>1.4492753623188406E-2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</row>
    <row r="18" spans="1:36" s="51" customFormat="1" ht="21" customHeight="1" x14ac:dyDescent="0.15">
      <c r="A18" s="2">
        <v>7025100</v>
      </c>
      <c r="B18" s="46">
        <v>833</v>
      </c>
      <c r="C18" s="7" t="str">
        <f t="shared" si="3"/>
        <v>PremiumSS6R5only</v>
      </c>
      <c r="D18" s="7" t="str">
        <f t="shared" si="4"/>
        <v>PremiumSS</v>
      </c>
      <c r="E18" s="7" t="str">
        <f>IF(COUNTIF('R6追加前'!A:A,B18)=0,IF(OR(I18="PremiumSS",I18="PremiumSSw"),"R5only","R3less"),"")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維界の復世神 ヴィシュヌ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god</v>
      </c>
      <c r="N18" s="7" t="str">
        <f>VLOOKUP(B18,[1]characters!$A:$G,7,FALSE)</f>
        <v>男性</v>
      </c>
      <c r="O18" s="26">
        <v>20</v>
      </c>
      <c r="P18" s="27">
        <f t="shared" si="2"/>
        <v>1.4492753623188406E-2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</row>
    <row r="19" spans="1:36" s="51" customFormat="1" ht="21" customHeight="1" x14ac:dyDescent="0.15">
      <c r="A19" s="2">
        <v>7025100</v>
      </c>
      <c r="B19" s="46">
        <v>835</v>
      </c>
      <c r="C19" s="7" t="str">
        <f t="shared" si="3"/>
        <v>PremiumSS6R5only</v>
      </c>
      <c r="D19" s="7" t="str">
        <f t="shared" si="4"/>
        <v>PremiumSS</v>
      </c>
      <c r="E19" s="7" t="str">
        <f>IF(COUNTIF('R6追加前'!A:A,B19)=0,IF(OR(I19="PremiumSS",I19="PremiumSSw"),"R5only","R3less"),"")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流奏の鳳楽神 サラスヴァティ</v>
      </c>
      <c r="I19" s="7" t="str">
        <f>VLOOKUP(B19,[1]characters!$A:$J,10,FALSE)</f>
        <v>PremiumSS</v>
      </c>
      <c r="J19" s="7">
        <f>VLOOKUP(B19,[1]characters!$A:$I,9,FALSE)</f>
        <v>6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god</v>
      </c>
      <c r="N19" s="7" t="str">
        <f>VLOOKUP(B19,[1]characters!$A:$G,7,FALSE)</f>
        <v>男性</v>
      </c>
      <c r="O19" s="26">
        <v>20</v>
      </c>
      <c r="P19" s="27">
        <f t="shared" si="2"/>
        <v>1.4492753623188406E-2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</row>
    <row r="20" spans="1:36" s="51" customFormat="1" ht="21" customHeight="1" x14ac:dyDescent="0.15">
      <c r="A20" s="2">
        <v>7025100</v>
      </c>
      <c r="B20" s="46">
        <v>838</v>
      </c>
      <c r="C20" s="7" t="str">
        <f t="shared" si="3"/>
        <v>PremiumSS6R5only</v>
      </c>
      <c r="D20" s="7" t="str">
        <f t="shared" si="4"/>
        <v>PremiumSS</v>
      </c>
      <c r="E20" s="7" t="str">
        <f>IF(COUNTIF('R6追加前'!A:A,B20)=0,IF(OR(I20="PremiumSS",I20="PremiumSSw"),"R5only","R3less"),"")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巌鋼の爆烈志士 近藤勇</v>
      </c>
      <c r="I20" s="7" t="str">
        <f>VLOOKUP(B20,[1]characters!$A:$J,10,FALSE)</f>
        <v>PremiumSS</v>
      </c>
      <c r="J20" s="7">
        <f>VLOOKUP(B20,[1]characters!$A:$I,9,FALSE)</f>
        <v>6</v>
      </c>
      <c r="K20" s="7" t="str">
        <f>VLOOKUP(B20,[1]characters!$A:$H,8,FALSE)</f>
        <v>red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男性</v>
      </c>
      <c r="O20" s="26">
        <v>20</v>
      </c>
      <c r="P20" s="27">
        <f t="shared" si="2"/>
        <v>1.4492753623188406E-2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</row>
    <row r="21" spans="1:36" s="51" customFormat="1" ht="21" customHeight="1" x14ac:dyDescent="0.15">
      <c r="A21" s="2">
        <v>7025100</v>
      </c>
      <c r="B21" s="46">
        <v>839</v>
      </c>
      <c r="C21" s="7" t="str">
        <f t="shared" si="3"/>
        <v>PremiumSS6R5only</v>
      </c>
      <c r="D21" s="7" t="str">
        <f t="shared" si="4"/>
        <v>PremiumSS</v>
      </c>
      <c r="E21" s="7" t="str">
        <f>IF(COUNTIF('R6追加前'!A:A,B21)=0,IF(OR(I21="PremiumSS",I21="PremiumSSw"),"R5only","R3less"),"")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真覇の勇魔剣 ランスロット</v>
      </c>
      <c r="I21" s="7" t="str">
        <f>VLOOKUP(B21,[1]characters!$A:$J,10,FALSE)</f>
        <v>PremiumSS</v>
      </c>
      <c r="J21" s="7">
        <f>VLOOKUP(B21,[1]characters!$A:$I,9,FALSE)</f>
        <v>6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26">
        <v>20</v>
      </c>
      <c r="P21" s="27">
        <f t="shared" si="2"/>
        <v>1.4492753623188406E-2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</row>
    <row r="22" spans="1:36" s="51" customFormat="1" ht="21" customHeight="1" x14ac:dyDescent="0.15">
      <c r="A22" s="2">
        <v>7025100</v>
      </c>
      <c r="B22" s="46">
        <v>849</v>
      </c>
      <c r="C22" s="7" t="str">
        <f t="shared" si="3"/>
        <v>PremiumSS6R5only</v>
      </c>
      <c r="D22" s="7" t="str">
        <f t="shared" si="4"/>
        <v>PremiumSS</v>
      </c>
      <c r="E22" s="7" t="str">
        <f>IF(COUNTIF('R6追加前'!A:A,B22)=0,IF(OR(I22="PremiumSS",I22="PremiumSSw"),"R5only","R3less"),"")</f>
        <v>R5only</v>
      </c>
      <c r="F22" s="7" t="str">
        <f>IF(COUNTIF('R6開放'!A:A,B22)&gt;0,"R6release","")</f>
        <v/>
      </c>
      <c r="G22" s="7"/>
      <c r="H22" s="7" t="str">
        <f>VLOOKUP(B22,[1]characters!$A:$C,3,FALSE)</f>
        <v>燦然たる天使 メタトロン・ラヴァ</v>
      </c>
      <c r="I22" s="7" t="str">
        <f>VLOOKUP(B22,[1]characters!$A:$J,10,FALSE)</f>
        <v>PremiumSS</v>
      </c>
      <c r="J22" s="7">
        <f>VLOOKUP(B22,[1]characters!$A:$I,9,FALSE)</f>
        <v>6</v>
      </c>
      <c r="K22" s="7" t="str">
        <f>VLOOKUP(B22,[1]characters!$A:$H,8,FALSE)</f>
        <v>red</v>
      </c>
      <c r="L22" s="7" t="str">
        <f>VLOOKUP(B22,[1]characters!$A:$K,11,FALSE)</f>
        <v>balance</v>
      </c>
      <c r="M22" s="7" t="str">
        <f>VLOOKUP(B22,[1]characters!$A:$M,13,FALSE)</f>
        <v>god</v>
      </c>
      <c r="N22" s="7" t="str">
        <f>VLOOKUP(B22,[1]characters!$A:$G,7,FALSE)</f>
        <v>男性</v>
      </c>
      <c r="O22" s="26">
        <v>20</v>
      </c>
      <c r="P22" s="27">
        <f t="shared" si="2"/>
        <v>1.4492753623188406E-2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</row>
    <row r="23" spans="1:36" s="51" customFormat="1" ht="21" customHeight="1" x14ac:dyDescent="0.15">
      <c r="A23" s="2">
        <v>7025100</v>
      </c>
      <c r="B23" s="46">
        <v>851</v>
      </c>
      <c r="C23" s="7" t="str">
        <f t="shared" si="3"/>
        <v>PremiumSS6R5only</v>
      </c>
      <c r="D23" s="7" t="str">
        <f t="shared" si="4"/>
        <v>PremiumSS</v>
      </c>
      <c r="E23" s="7" t="str">
        <f>IF(COUNTIF('R6追加前'!A:A,B23)=0,IF(OR(I23="PremiumSS",I23="PremiumSSw"),"R5only","R3less"),"")</f>
        <v>R5only</v>
      </c>
      <c r="F23" s="7" t="str">
        <f>IF(COUNTIF('R6開放'!A:A,B23)&gt;0,"R6release","")</f>
        <v/>
      </c>
      <c r="G23" s="7"/>
      <c r="H23" s="7" t="str">
        <f>VLOOKUP(B23,[1]characters!$A:$C,3,FALSE)</f>
        <v>寡黙なる凶王 バアル</v>
      </c>
      <c r="I23" s="7" t="str">
        <f>VLOOKUP(B23,[1]characters!$A:$J,10,FALSE)</f>
        <v>PremiumSS</v>
      </c>
      <c r="J23" s="7">
        <f>VLOOKUP(B23,[1]characters!$A:$I,9,FALSE)</f>
        <v>6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god</v>
      </c>
      <c r="N23" s="7" t="str">
        <f>VLOOKUP(B23,[1]characters!$A:$G,7,FALSE)</f>
        <v>男性</v>
      </c>
      <c r="O23" s="26">
        <v>20</v>
      </c>
      <c r="P23" s="27">
        <f t="shared" si="2"/>
        <v>1.4492753623188406E-2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</row>
    <row r="24" spans="1:36" s="51" customFormat="1" ht="21" customHeight="1" x14ac:dyDescent="0.15">
      <c r="A24" s="2">
        <v>7025100</v>
      </c>
      <c r="B24" s="46">
        <v>867</v>
      </c>
      <c r="C24" s="7" t="str">
        <f t="shared" si="3"/>
        <v>PremiumSS6R5only</v>
      </c>
      <c r="D24" s="7" t="str">
        <f t="shared" si="4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華麗なる作戦 白雪姫</v>
      </c>
      <c r="I24" s="7" t="str">
        <f>VLOOKUP(B24,[1]characters!$A:$J,10,FALSE)</f>
        <v>PremiumSS</v>
      </c>
      <c r="J24" s="7">
        <f>VLOOKUP(B24,[1]characters!$A:$I,9,FALSE)</f>
        <v>6</v>
      </c>
      <c r="K24" s="7" t="str">
        <f>VLOOKUP(B24,[1]characters!$A:$H,8,FALSE)</f>
        <v>blue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26">
        <v>20</v>
      </c>
      <c r="P24" s="27">
        <f t="shared" si="2"/>
        <v>1.4492753623188406E-2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</row>
    <row r="25" spans="1:36" s="51" customFormat="1" ht="21" customHeight="1" x14ac:dyDescent="0.15">
      <c r="A25" s="2">
        <v>7025100</v>
      </c>
      <c r="B25" s="46">
        <v>869</v>
      </c>
      <c r="C25" s="7" t="str">
        <f t="shared" si="3"/>
        <v>PremiumSS6R5only</v>
      </c>
      <c r="D25" s="7" t="str">
        <f t="shared" si="4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 xml:space="preserve">マスター･アラジンと殲滅機兵LAMP </v>
      </c>
      <c r="I25" s="7" t="str">
        <f>VLOOKUP(B25,[1]characters!$A:$J,10,FALSE)</f>
        <v>PremiumSS</v>
      </c>
      <c r="J25" s="7">
        <f>VLOOKUP(B25,[1]characters!$A:$I,9,FALSE)</f>
        <v>6</v>
      </c>
      <c r="K25" s="7" t="str">
        <f>VLOOKUP(B25,[1]characters!$A:$H,8,FALSE)</f>
        <v>yellow</v>
      </c>
      <c r="L25" s="7" t="str">
        <f>VLOOKUP(B25,[1]characters!$A:$K,11,FALSE)</f>
        <v>hp</v>
      </c>
      <c r="M25" s="7" t="str">
        <f>VLOOKUP(B25,[1]characters!$A:$M,13,FALSE)</f>
        <v>human</v>
      </c>
      <c r="N25" s="7" t="str">
        <f>VLOOKUP(B25,[1]characters!$A:$G,7,FALSE)</f>
        <v>男性</v>
      </c>
      <c r="O25" s="26">
        <v>20</v>
      </c>
      <c r="P25" s="27">
        <f t="shared" si="2"/>
        <v>1.4492753623188406E-2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</row>
    <row r="26" spans="1:36" s="51" customFormat="1" ht="21" customHeight="1" x14ac:dyDescent="0.15">
      <c r="A26" s="2">
        <v>7025100</v>
      </c>
      <c r="B26" s="46">
        <v>896</v>
      </c>
      <c r="C26" s="7" t="str">
        <f t="shared" si="3"/>
        <v>PremiumSS6R5only</v>
      </c>
      <c r="D26" s="7" t="str">
        <f t="shared" si="4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天衣紡ぐ麗鶴 ハヅル</v>
      </c>
      <c r="I26" s="7" t="str">
        <f>VLOOKUP(B26,[1]characters!$A:$J,10,FALSE)</f>
        <v>PremiumSS</v>
      </c>
      <c r="J26" s="7">
        <f>VLOOKUP(B26,[1]characters!$A:$I,9,FALSE)</f>
        <v>6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animal</v>
      </c>
      <c r="N26" s="7" t="str">
        <f>VLOOKUP(B26,[1]characters!$A:$G,7,FALSE)</f>
        <v>男性</v>
      </c>
      <c r="O26" s="26">
        <v>20</v>
      </c>
      <c r="P26" s="27">
        <f t="shared" si="2"/>
        <v>1.4492753623188406E-2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</row>
    <row r="27" spans="1:36" s="51" customFormat="1" ht="21" customHeight="1" x14ac:dyDescent="0.15">
      <c r="A27" s="2">
        <v>7025100</v>
      </c>
      <c r="B27" s="46">
        <v>897</v>
      </c>
      <c r="C27" s="7" t="str">
        <f t="shared" si="3"/>
        <v>PremiumSS6R5only</v>
      </c>
      <c r="D27" s="7" t="str">
        <f t="shared" si="4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天跳兎破 イナバ</v>
      </c>
      <c r="I27" s="7" t="str">
        <f>VLOOKUP(B27,[1]characters!$A:$J,10,FALSE)</f>
        <v>PremiumSS</v>
      </c>
      <c r="J27" s="7">
        <f>VLOOKUP(B27,[1]characters!$A:$I,9,FALSE)</f>
        <v>6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26">
        <v>20</v>
      </c>
      <c r="P27" s="27">
        <f t="shared" si="2"/>
        <v>1.4492753623188406E-2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</row>
    <row r="28" spans="1:36" s="51" customFormat="1" ht="21" customHeight="1" x14ac:dyDescent="0.15">
      <c r="A28" s="2">
        <v>7025100</v>
      </c>
      <c r="B28" s="46">
        <v>938</v>
      </c>
      <c r="C28" s="7" t="str">
        <f t="shared" si="3"/>
        <v>PremiumSS6R5only</v>
      </c>
      <c r="D28" s="7" t="str">
        <f t="shared" si="4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炎焔宿す革命皇 ナポレオン</v>
      </c>
      <c r="I28" s="7" t="str">
        <f>VLOOKUP(B28,[1]characters!$A:$J,10,FALSE)</f>
        <v>PremiumSS</v>
      </c>
      <c r="J28" s="7">
        <f>VLOOKUP(B28,[1]characters!$A:$I,9,FALSE)</f>
        <v>6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26">
        <v>20</v>
      </c>
      <c r="P28" s="27">
        <f t="shared" si="2"/>
        <v>1.4492753623188406E-2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</row>
    <row r="29" spans="1:36" s="51" customFormat="1" ht="21" customHeight="1" x14ac:dyDescent="0.15">
      <c r="A29" s="2">
        <v>7025100</v>
      </c>
      <c r="B29" s="46">
        <v>942</v>
      </c>
      <c r="C29" s="7" t="str">
        <f t="shared" si="3"/>
        <v>PremiumSS6R5only</v>
      </c>
      <c r="D29" s="7" t="str">
        <f t="shared" si="4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華戯たる傲妃 アントワネット</v>
      </c>
      <c r="I29" s="7" t="str">
        <f>VLOOKUP(B29,[1]characters!$A:$J,10,FALSE)</f>
        <v>PremiumSS</v>
      </c>
      <c r="J29" s="7">
        <f>VLOOKUP(B29,[1]characters!$A:$I,9,FALSE)</f>
        <v>6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26">
        <v>20</v>
      </c>
      <c r="P29" s="27">
        <f t="shared" si="2"/>
        <v>1.4492753623188406E-2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</row>
    <row r="30" spans="1:36" s="51" customFormat="1" ht="21" customHeight="1" x14ac:dyDescent="0.15">
      <c r="A30" s="2">
        <v>7025100</v>
      </c>
      <c r="B30" s="46">
        <v>944</v>
      </c>
      <c r="C30" s="7" t="str">
        <f t="shared" si="3"/>
        <v>PremiumSS6R5only</v>
      </c>
      <c r="D30" s="7" t="str">
        <f t="shared" si="4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王敬の執行者 サンソン</v>
      </c>
      <c r="I30" s="7" t="str">
        <f>VLOOKUP(B30,[1]characters!$A:$J,10,FALSE)</f>
        <v>PremiumSS</v>
      </c>
      <c r="J30" s="7">
        <f>VLOOKUP(B30,[1]characters!$A:$I,9,FALSE)</f>
        <v>6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26">
        <v>20</v>
      </c>
      <c r="P30" s="27">
        <f t="shared" si="2"/>
        <v>1.4492753623188406E-2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</row>
    <row r="31" spans="1:36" s="51" customFormat="1" ht="21" customHeight="1" x14ac:dyDescent="0.15">
      <c r="A31" s="2">
        <v>7025100</v>
      </c>
      <c r="B31" s="46">
        <v>962</v>
      </c>
      <c r="C31" s="7" t="str">
        <f t="shared" si="3"/>
        <v>PremiumSS6R5only</v>
      </c>
      <c r="D31" s="7" t="str">
        <f t="shared" si="4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酩酊する大宴龍 ヤマタノオロチ</v>
      </c>
      <c r="I31" s="7" t="str">
        <f>VLOOKUP(B31,[1]characters!$A:$J,10,FALSE)</f>
        <v>PremiumSS</v>
      </c>
      <c r="J31" s="7">
        <f>VLOOKUP(B31,[1]characters!$A:$I,9,FALSE)</f>
        <v>6</v>
      </c>
      <c r="K31" s="7" t="str">
        <f>VLOOKUP(B31,[1]characters!$A:$H,8,FALSE)</f>
        <v>green</v>
      </c>
      <c r="L31" s="7" t="str">
        <f>VLOOKUP(B31,[1]characters!$A:$K,11,FALSE)</f>
        <v>hp</v>
      </c>
      <c r="M31" s="7" t="str">
        <f>VLOOKUP(B31,[1]characters!$A:$M,13,FALSE)</f>
        <v>dragon</v>
      </c>
      <c r="N31" s="7" t="str">
        <f>VLOOKUP(B31,[1]characters!$A:$G,7,FALSE)</f>
        <v>男性</v>
      </c>
      <c r="O31" s="26">
        <v>20</v>
      </c>
      <c r="P31" s="27">
        <f t="shared" si="2"/>
        <v>1.4492753623188406E-2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</row>
    <row r="32" spans="1:36" s="51" customFormat="1" ht="21" customHeight="1" x14ac:dyDescent="0.15">
      <c r="A32" s="2">
        <v>7025100</v>
      </c>
      <c r="B32" s="46">
        <v>963</v>
      </c>
      <c r="C32" s="7" t="str">
        <f t="shared" ref="C32" si="5">D32&amp;J32&amp;E32&amp;F32&amp;G32</f>
        <v>PremiumSS6R5only</v>
      </c>
      <c r="D32" s="7" t="str">
        <f t="shared" ref="D32" si="6">IF(OR(I32="PremiumSS",I32="PremiumSSw"),"PremiumSS",IF(I32="PremiumSSS",I32,IF(I32="PremiumW",IF(J32=5,"premium",I32),"Premium")))</f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天蛇の閃皇貴魔 アスタロト</v>
      </c>
      <c r="I32" s="7" t="str">
        <f>VLOOKUP(B32,[1]characters!$A:$J,10,FALSE)</f>
        <v>PremiumSS</v>
      </c>
      <c r="J32" s="7">
        <f>VLOOKUP(B32,[1]characters!$A:$I,9,FALSE)</f>
        <v>6</v>
      </c>
      <c r="K32" s="7" t="str">
        <f>VLOOKUP(B32,[1]characters!$A:$H,8,FALSE)</f>
        <v>yellow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男性</v>
      </c>
      <c r="O32" s="26">
        <v>20</v>
      </c>
      <c r="P32" s="27">
        <f t="shared" si="2"/>
        <v>1.4492753623188406E-2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</row>
    <row r="33" spans="1:36" s="51" customFormat="1" ht="21" customHeight="1" x14ac:dyDescent="0.15">
      <c r="A33" s="2">
        <v>7025100</v>
      </c>
      <c r="B33" s="46">
        <v>964</v>
      </c>
      <c r="C33" s="7" t="str">
        <f t="shared" si="3"/>
        <v>PremiumSS6R5only</v>
      </c>
      <c r="D33" s="7" t="str">
        <f t="shared" si="4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海破雨散の海龍 リヴァイアサン</v>
      </c>
      <c r="I33" s="7" t="str">
        <f>VLOOKUP(B33,[1]characters!$A:$J,10,FALSE)</f>
        <v>PremiumSS</v>
      </c>
      <c r="J33" s="7">
        <f>VLOOKUP(B33,[1]characters!$A:$I,9,FALSE)</f>
        <v>6</v>
      </c>
      <c r="K33" s="7" t="str">
        <f>VLOOKUP(B33,[1]characters!$A:$H,8,FALSE)</f>
        <v>blue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男性</v>
      </c>
      <c r="O33" s="26">
        <v>20</v>
      </c>
      <c r="P33" s="27">
        <f t="shared" si="2"/>
        <v>1.4492753623188406E-2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</row>
    <row r="34" spans="1:36" s="51" customFormat="1" ht="21" customHeight="1" x14ac:dyDescent="0.15">
      <c r="A34" s="2">
        <v>7025100</v>
      </c>
      <c r="B34" s="46">
        <v>965</v>
      </c>
      <c r="C34" s="7" t="str">
        <f t="shared" si="3"/>
        <v>PremiumSS6R5only</v>
      </c>
      <c r="D34" s="7" t="str">
        <f t="shared" si="4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穿熱の緋龍王 キング・ドライグ</v>
      </c>
      <c r="I34" s="7" t="str">
        <f>VLOOKUP(B34,[1]characters!$A:$J,10,FALSE)</f>
        <v>PremiumSS</v>
      </c>
      <c r="J34" s="7">
        <f>VLOOKUP(B34,[1]characters!$A:$I,9,FALSE)</f>
        <v>6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dragon</v>
      </c>
      <c r="N34" s="7" t="str">
        <f>VLOOKUP(B34,[1]characters!$A:$G,7,FALSE)</f>
        <v>男性</v>
      </c>
      <c r="O34" s="26">
        <v>20</v>
      </c>
      <c r="P34" s="27">
        <f t="shared" ref="P34:P64" si="7">O34/SUM(O:O)</f>
        <v>1.4492753623188406E-2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</row>
    <row r="35" spans="1:36" s="51" customFormat="1" ht="21" customHeight="1" x14ac:dyDescent="0.15">
      <c r="A35" s="2">
        <v>7025100</v>
      </c>
      <c r="B35" s="46">
        <v>966</v>
      </c>
      <c r="C35" s="7" t="str">
        <f t="shared" ref="C35:C36" si="8">D35&amp;J35&amp;E35&amp;F35&amp;G35</f>
        <v>PremiumSS6R5only</v>
      </c>
      <c r="D35" s="7" t="str">
        <f t="shared" ref="D35:D36" si="9">IF(OR(I35="PremiumSS",I35="PremiumSSw"),"PremiumSS",IF(I35="PremiumSSS",I35,IF(I35="PremiumW",IF(J35=5,"premium",I35),"Premium")))</f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麗嵐の颯愛志士 土方歳三</v>
      </c>
      <c r="I35" s="7" t="str">
        <f>VLOOKUP(B35,[1]characters!$A:$J,10,FALSE)</f>
        <v>PremiumSS</v>
      </c>
      <c r="J35" s="7">
        <f>VLOOKUP(B35,[1]characters!$A:$I,9,FALSE)</f>
        <v>6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男性</v>
      </c>
      <c r="O35" s="26">
        <v>20</v>
      </c>
      <c r="P35" s="27">
        <f t="shared" si="7"/>
        <v>1.4492753623188406E-2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</row>
    <row r="36" spans="1:36" s="51" customFormat="1" ht="21" customHeight="1" x14ac:dyDescent="0.15">
      <c r="A36" s="2">
        <v>7025100</v>
      </c>
      <c r="B36" s="46">
        <v>967</v>
      </c>
      <c r="C36" s="7" t="str">
        <f t="shared" si="8"/>
        <v>PremiumSS6R5only</v>
      </c>
      <c r="D36" s="7" t="str">
        <f t="shared" si="9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討滅の凶妖志士 斎藤一</v>
      </c>
      <c r="I36" s="7" t="str">
        <f>VLOOKUP(B36,[1]characters!$A:$J,10,FALSE)</f>
        <v>PremiumSS</v>
      </c>
      <c r="J36" s="7">
        <f>VLOOKUP(B36,[1]characters!$A:$I,9,FALSE)</f>
        <v>6</v>
      </c>
      <c r="K36" s="7" t="str">
        <f>VLOOKUP(B36,[1]characters!$A:$H,8,FALSE)</f>
        <v>yellow</v>
      </c>
      <c r="L36" s="7" t="str">
        <f>VLOOKUP(B36,[1]characters!$A:$K,11,FALSE)</f>
        <v>technical</v>
      </c>
      <c r="M36" s="7" t="str">
        <f>VLOOKUP(B36,[1]characters!$A:$M,13,FALSE)</f>
        <v>human</v>
      </c>
      <c r="N36" s="7" t="str">
        <f>VLOOKUP(B36,[1]characters!$A:$G,7,FALSE)</f>
        <v>男性</v>
      </c>
      <c r="O36" s="26">
        <v>20</v>
      </c>
      <c r="P36" s="27">
        <f t="shared" si="7"/>
        <v>1.4492753623188406E-2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</row>
    <row r="37" spans="1:36" s="51" customFormat="1" ht="21" customHeight="1" x14ac:dyDescent="0.15">
      <c r="A37" s="2">
        <v>7025100</v>
      </c>
      <c r="B37" s="46">
        <v>968</v>
      </c>
      <c r="C37" s="7" t="str">
        <f t="shared" ref="C37:C38" si="10">D37&amp;J37&amp;E37&amp;F37&amp;G37</f>
        <v>PremiumSS6R5only</v>
      </c>
      <c r="D37" s="7" t="str">
        <f t="shared" ref="D37:D38" si="11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夢謀の愚幻者 フール</v>
      </c>
      <c r="I37" s="7" t="str">
        <f>VLOOKUP(B37,[1]characters!$A:$J,10,FALSE)</f>
        <v>PremiumSS</v>
      </c>
      <c r="J37" s="7">
        <f>VLOOKUP(B37,[1]characters!$A:$I,9,FALSE)</f>
        <v>6</v>
      </c>
      <c r="K37" s="7" t="str">
        <f>VLOOKUP(B37,[1]characters!$A:$H,8,FALSE)</f>
        <v>blue</v>
      </c>
      <c r="L37" s="7" t="str">
        <f>VLOOKUP(B37,[1]characters!$A:$K,11,FALSE)</f>
        <v>technical</v>
      </c>
      <c r="M37" s="7" t="str">
        <f>VLOOKUP(B37,[1]characters!$A:$M,13,FALSE)</f>
        <v>god</v>
      </c>
      <c r="N37" s="7" t="str">
        <f>VLOOKUP(B37,[1]characters!$A:$G,7,FALSE)</f>
        <v>男性</v>
      </c>
      <c r="O37" s="26">
        <v>20</v>
      </c>
      <c r="P37" s="27">
        <f t="shared" si="7"/>
        <v>1.4492753623188406E-2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</row>
    <row r="38" spans="1:36" s="51" customFormat="1" ht="21" customHeight="1" x14ac:dyDescent="0.15">
      <c r="A38" s="2">
        <v>7025100</v>
      </c>
      <c r="B38" s="46">
        <v>969</v>
      </c>
      <c r="C38" s="7" t="str">
        <f t="shared" si="10"/>
        <v>PremiumSS6R5only</v>
      </c>
      <c r="D38" s="7" t="str">
        <f t="shared" si="11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超排撃の焔砲巨神 ユミル</v>
      </c>
      <c r="I38" s="7" t="str">
        <f>VLOOKUP(B38,[1]characters!$A:$J,10,FALSE)</f>
        <v>PremiumSS</v>
      </c>
      <c r="J38" s="7">
        <f>VLOOKUP(B38,[1]characters!$A:$I,9,FALSE)</f>
        <v>6</v>
      </c>
      <c r="K38" s="7" t="str">
        <f>VLOOKUP(B38,[1]characters!$A:$H,8,FALSE)</f>
        <v>red</v>
      </c>
      <c r="L38" s="7" t="str">
        <f>VLOOKUP(B38,[1]characters!$A:$K,11,FALSE)</f>
        <v>hp</v>
      </c>
      <c r="M38" s="7" t="str">
        <f>VLOOKUP(B38,[1]characters!$A:$M,13,FALSE)</f>
        <v>machine</v>
      </c>
      <c r="N38" s="7" t="str">
        <f>VLOOKUP(B38,[1]characters!$A:$G,7,FALSE)</f>
        <v>男性</v>
      </c>
      <c r="O38" s="26">
        <v>20</v>
      </c>
      <c r="P38" s="27">
        <f t="shared" si="7"/>
        <v>1.4492753623188406E-2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</row>
    <row r="39" spans="1:36" s="51" customFormat="1" ht="21" customHeight="1" x14ac:dyDescent="0.15">
      <c r="A39" s="2">
        <v>7025100</v>
      </c>
      <c r="B39" s="46">
        <v>970</v>
      </c>
      <c r="C39" s="7" t="str">
        <f t="shared" si="3"/>
        <v>PremiumSS6R5only</v>
      </c>
      <c r="D39" s="7" t="str">
        <f t="shared" si="4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目醒の鋏牙 ラプンツェル</v>
      </c>
      <c r="I39" s="7" t="str">
        <f>VLOOKUP(B39,[1]characters!$A:$J,10,FALSE)</f>
        <v>PremiumSS</v>
      </c>
      <c r="J39" s="7">
        <f>VLOOKUP(B39,[1]characters!$A:$I,9,FALSE)</f>
        <v>6</v>
      </c>
      <c r="K39" s="7" t="str">
        <f>VLOOKUP(B39,[1]characters!$A:$H,8,FALSE)</f>
        <v>yellow</v>
      </c>
      <c r="L39" s="7" t="str">
        <f>VLOOKUP(B39,[1]characters!$A:$K,11,FALSE)</f>
        <v>balance</v>
      </c>
      <c r="M39" s="7" t="str">
        <f>VLOOKUP(B39,[1]characters!$A:$M,13,FALSE)</f>
        <v>human</v>
      </c>
      <c r="N39" s="7" t="str">
        <f>VLOOKUP(B39,[1]characters!$A:$G,7,FALSE)</f>
        <v>男性</v>
      </c>
      <c r="O39" s="26">
        <v>20</v>
      </c>
      <c r="P39" s="27">
        <f t="shared" si="7"/>
        <v>1.4492753623188406E-2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</row>
    <row r="40" spans="1:36" s="51" customFormat="1" ht="21" customHeight="1" x14ac:dyDescent="0.15">
      <c r="A40" s="2">
        <v>7025100</v>
      </c>
      <c r="B40" s="46">
        <v>971</v>
      </c>
      <c r="C40" s="7" t="str">
        <f t="shared" ref="C40" si="12">D40&amp;J40&amp;E40&amp;F40&amp;G40</f>
        <v>PremiumSS6R5only</v>
      </c>
      <c r="D40" s="7" t="str">
        <f t="shared" ref="D40" si="13">IF(OR(I40="PremiumSS",I40="PremiumSSw"),"PremiumSS",IF(I40="PremiumSSS",I40,IF(I40="PremiumW",IF(J40=5,"premium",I40),"Premium")))</f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機獅蛮勇 ブレイブリー・ライオン</v>
      </c>
      <c r="I40" s="7" t="str">
        <f>VLOOKUP(B40,[1]characters!$A:$J,10,FALSE)</f>
        <v>PremiumSS</v>
      </c>
      <c r="J40" s="7">
        <f>VLOOKUP(B40,[1]characters!$A:$I,9,FALSE)</f>
        <v>6</v>
      </c>
      <c r="K40" s="7" t="str">
        <f>VLOOKUP(B40,[1]characters!$A:$H,8,FALSE)</f>
        <v>yellow</v>
      </c>
      <c r="L40" s="7" t="str">
        <f>VLOOKUP(B40,[1]characters!$A:$K,11,FALSE)</f>
        <v>hp</v>
      </c>
      <c r="M40" s="7" t="str">
        <f>VLOOKUP(B40,[1]characters!$A:$M,13,FALSE)</f>
        <v>animal</v>
      </c>
      <c r="N40" s="7" t="str">
        <f>VLOOKUP(B40,[1]characters!$A:$G,7,FALSE)</f>
        <v>男性</v>
      </c>
      <c r="O40" s="26">
        <v>20</v>
      </c>
      <c r="P40" s="27">
        <f t="shared" si="7"/>
        <v>1.4492753623188406E-2</v>
      </c>
      <c r="Q40" s="22">
        <v>1</v>
      </c>
      <c r="R40" s="22">
        <v>0</v>
      </c>
      <c r="S40" s="22">
        <v>0</v>
      </c>
      <c r="T40" s="22">
        <v>0</v>
      </c>
      <c r="U40" s="22">
        <v>0</v>
      </c>
      <c r="V40" s="22">
        <v>1</v>
      </c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</row>
    <row r="41" spans="1:36" s="51" customFormat="1" ht="21" customHeight="1" x14ac:dyDescent="0.15">
      <c r="A41" s="2">
        <v>7025100</v>
      </c>
      <c r="B41" s="46">
        <v>1013</v>
      </c>
      <c r="C41" s="7" t="str">
        <f t="shared" si="3"/>
        <v>PremiumSS6R5only</v>
      </c>
      <c r="D41" s="7" t="str">
        <f t="shared" si="4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聖陽昇る緋洸神 ラー</v>
      </c>
      <c r="I41" s="7" t="str">
        <f>VLOOKUP(B41,[1]characters!$A:$J,10,FALSE)</f>
        <v>PremiumSS</v>
      </c>
      <c r="J41" s="7">
        <f>VLOOKUP(B41,[1]characters!$A:$I,9,FALSE)</f>
        <v>6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26">
        <v>20</v>
      </c>
      <c r="P41" s="27">
        <f t="shared" si="7"/>
        <v>1.4492753623188406E-2</v>
      </c>
      <c r="Q41" s="22">
        <v>1</v>
      </c>
      <c r="R41" s="22">
        <v>0</v>
      </c>
      <c r="S41" s="22">
        <v>0</v>
      </c>
      <c r="T41" s="22">
        <v>0</v>
      </c>
      <c r="U41" s="22">
        <v>0</v>
      </c>
      <c r="V41" s="22">
        <v>1</v>
      </c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</row>
    <row r="42" spans="1:36" s="51" customFormat="1" ht="21" customHeight="1" x14ac:dyDescent="0.15">
      <c r="A42" s="2">
        <v>7025100</v>
      </c>
      <c r="B42" s="46">
        <v>1015</v>
      </c>
      <c r="C42" s="7" t="str">
        <f t="shared" si="3"/>
        <v>PremiumSS6R5only</v>
      </c>
      <c r="D42" s="7" t="str">
        <f t="shared" si="4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繁翠なる蘇聖神 イシス</v>
      </c>
      <c r="I42" s="7" t="str">
        <f>VLOOKUP(B42,[1]characters!$A:$J,10,FALSE)</f>
        <v>PremiumSS</v>
      </c>
      <c r="J42" s="7">
        <f>VLOOKUP(B42,[1]characters!$A:$I,9,FALSE)</f>
        <v>6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26">
        <v>20</v>
      </c>
      <c r="P42" s="27">
        <f t="shared" si="7"/>
        <v>1.4492753623188406E-2</v>
      </c>
      <c r="Q42" s="22">
        <v>1</v>
      </c>
      <c r="R42" s="22">
        <v>0</v>
      </c>
      <c r="S42" s="22">
        <v>0</v>
      </c>
      <c r="T42" s="22">
        <v>0</v>
      </c>
      <c r="U42" s="22">
        <v>0</v>
      </c>
      <c r="V42" s="22">
        <v>1</v>
      </c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</row>
    <row r="43" spans="1:36" s="51" customFormat="1" ht="21" customHeight="1" x14ac:dyDescent="0.15">
      <c r="A43" s="2">
        <v>7025100</v>
      </c>
      <c r="B43" s="46">
        <v>1019</v>
      </c>
      <c r="C43" s="7" t="str">
        <f t="shared" si="3"/>
        <v>PremiumSS6R5only</v>
      </c>
      <c r="D43" s="7" t="str">
        <f t="shared" si="4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愛鈴鳴る寵猫神 バステト</v>
      </c>
      <c r="I43" s="7" t="str">
        <f>VLOOKUP(B43,[1]characters!$A:$J,10,FALSE)</f>
        <v>PremiumSS</v>
      </c>
      <c r="J43" s="7">
        <f>VLOOKUP(B43,[1]characters!$A:$I,9,FALSE)</f>
        <v>6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26">
        <v>20</v>
      </c>
      <c r="P43" s="27">
        <f t="shared" si="7"/>
        <v>1.4492753623188406E-2</v>
      </c>
      <c r="Q43" s="22">
        <v>1</v>
      </c>
      <c r="R43" s="22">
        <v>0</v>
      </c>
      <c r="S43" s="22">
        <v>0</v>
      </c>
      <c r="T43" s="22">
        <v>0</v>
      </c>
      <c r="U43" s="22">
        <v>0</v>
      </c>
      <c r="V43" s="22">
        <v>1</v>
      </c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</row>
    <row r="44" spans="1:36" s="51" customFormat="1" ht="21" customHeight="1" x14ac:dyDescent="0.15">
      <c r="A44" s="2">
        <v>7025100</v>
      </c>
      <c r="B44" s="46">
        <v>1029</v>
      </c>
      <c r="C44" s="7" t="str">
        <f t="shared" si="3"/>
        <v>PremiumSS6R5only</v>
      </c>
      <c r="D44" s="7" t="str">
        <f t="shared" si="4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天賦の軍才 牛若丸</v>
      </c>
      <c r="I44" s="7" t="str">
        <f>VLOOKUP(B44,[1]characters!$A:$J,10,FALSE)</f>
        <v>PremiumSS</v>
      </c>
      <c r="J44" s="7">
        <f>VLOOKUP(B44,[1]characters!$A:$I,9,FALSE)</f>
        <v>6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26">
        <v>20</v>
      </c>
      <c r="P44" s="27">
        <f t="shared" si="7"/>
        <v>1.4492753623188406E-2</v>
      </c>
      <c r="Q44" s="22">
        <v>1</v>
      </c>
      <c r="R44" s="22">
        <v>0</v>
      </c>
      <c r="S44" s="22">
        <v>0</v>
      </c>
      <c r="T44" s="22">
        <v>0</v>
      </c>
      <c r="U44" s="22">
        <v>0</v>
      </c>
      <c r="V44" s="22">
        <v>1</v>
      </c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</row>
    <row r="45" spans="1:36" s="51" customFormat="1" ht="21" customHeight="1" x14ac:dyDescent="0.15">
      <c r="A45" s="2">
        <v>7025100</v>
      </c>
      <c r="B45" s="46">
        <v>1032</v>
      </c>
      <c r="C45" s="7" t="str">
        <f t="shared" si="3"/>
        <v>PremiumSS6R5only</v>
      </c>
      <c r="D45" s="7" t="str">
        <f t="shared" si="4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彩気煥発の創作人 紫式部</v>
      </c>
      <c r="I45" s="7" t="str">
        <f>VLOOKUP(B45,[1]characters!$A:$J,10,FALSE)</f>
        <v>PremiumSS</v>
      </c>
      <c r="J45" s="7">
        <f>VLOOKUP(B45,[1]characters!$A:$I,9,FALSE)</f>
        <v>6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26">
        <v>20</v>
      </c>
      <c r="P45" s="27">
        <f t="shared" si="7"/>
        <v>1.4492753623188406E-2</v>
      </c>
      <c r="Q45" s="22">
        <v>1</v>
      </c>
      <c r="R45" s="22">
        <v>0</v>
      </c>
      <c r="S45" s="22">
        <v>0</v>
      </c>
      <c r="T45" s="22">
        <v>0</v>
      </c>
      <c r="U45" s="22">
        <v>0</v>
      </c>
      <c r="V45" s="22">
        <v>1</v>
      </c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</row>
    <row r="46" spans="1:36" s="51" customFormat="1" ht="21" customHeight="1" x14ac:dyDescent="0.15">
      <c r="A46" s="2">
        <v>7025100</v>
      </c>
      <c r="B46" s="46">
        <v>1034</v>
      </c>
      <c r="C46" s="7" t="str">
        <f t="shared" si="3"/>
        <v>PremiumSS6R5only</v>
      </c>
      <c r="D46" s="7" t="str">
        <f t="shared" si="4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爛漫なる随筆家 清少納言</v>
      </c>
      <c r="I46" s="7" t="str">
        <f>VLOOKUP(B46,[1]characters!$A:$J,10,FALSE)</f>
        <v>PremiumSS</v>
      </c>
      <c r="J46" s="7">
        <f>VLOOKUP(B46,[1]characters!$A:$I,9,FALSE)</f>
        <v>6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26">
        <v>20</v>
      </c>
      <c r="P46" s="27">
        <f t="shared" si="7"/>
        <v>1.4492753623188406E-2</v>
      </c>
      <c r="Q46" s="22">
        <v>1</v>
      </c>
      <c r="R46" s="22">
        <v>0</v>
      </c>
      <c r="S46" s="22">
        <v>0</v>
      </c>
      <c r="T46" s="22">
        <v>0</v>
      </c>
      <c r="U46" s="22">
        <v>0</v>
      </c>
      <c r="V46" s="22">
        <v>1</v>
      </c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</row>
    <row r="47" spans="1:36" s="51" customFormat="1" ht="21" customHeight="1" x14ac:dyDescent="0.15">
      <c r="A47" s="2">
        <v>7025100</v>
      </c>
      <c r="B47" s="46">
        <v>1070</v>
      </c>
      <c r="C47" s="7" t="str">
        <f t="shared" si="3"/>
        <v>PremiumSS6R5only</v>
      </c>
      <c r="D47" s="7" t="str">
        <f t="shared" si="4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駆脳する造愛 イシュタル</v>
      </c>
      <c r="I47" s="7" t="str">
        <f>VLOOKUP(B47,[1]characters!$A:$J,10,FALSE)</f>
        <v>PremiumSS</v>
      </c>
      <c r="J47" s="7">
        <f>VLOOKUP(B47,[1]characters!$A:$I,9,FALSE)</f>
        <v>6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26">
        <v>20</v>
      </c>
      <c r="P47" s="27">
        <f t="shared" si="7"/>
        <v>1.4492753623188406E-2</v>
      </c>
      <c r="Q47" s="22">
        <v>1</v>
      </c>
      <c r="R47" s="22">
        <v>0</v>
      </c>
      <c r="S47" s="22">
        <v>0</v>
      </c>
      <c r="T47" s="22">
        <v>0</v>
      </c>
      <c r="U47" s="22">
        <v>0</v>
      </c>
      <c r="V47" s="22">
        <v>1</v>
      </c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</row>
    <row r="48" spans="1:36" s="51" customFormat="1" ht="21" customHeight="1" x14ac:dyDescent="0.15">
      <c r="A48" s="2">
        <v>7025100</v>
      </c>
      <c r="B48" s="46">
        <v>1073</v>
      </c>
      <c r="C48" s="7" t="str">
        <f t="shared" si="3"/>
        <v>PremiumSS6R5only</v>
      </c>
      <c r="D48" s="7" t="str">
        <f t="shared" si="4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静穏なる獣勇 エンキドゥ</v>
      </c>
      <c r="I48" s="7" t="str">
        <f>VLOOKUP(B48,[1]characters!$A:$J,10,FALSE)</f>
        <v>PremiumSSw</v>
      </c>
      <c r="J48" s="7">
        <f>VLOOKUP(B48,[1]characters!$A:$I,9,FALSE)</f>
        <v>6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26">
        <v>20</v>
      </c>
      <c r="P48" s="27">
        <f t="shared" si="7"/>
        <v>1.4492753623188406E-2</v>
      </c>
      <c r="Q48" s="22">
        <v>1</v>
      </c>
      <c r="R48" s="22">
        <v>0</v>
      </c>
      <c r="S48" s="22">
        <v>0</v>
      </c>
      <c r="T48" s="22">
        <v>0</v>
      </c>
      <c r="U48" s="22">
        <v>0</v>
      </c>
      <c r="V48" s="22">
        <v>1</v>
      </c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</row>
    <row r="49" spans="1:36" s="51" customFormat="1" ht="21" customHeight="1" x14ac:dyDescent="0.15">
      <c r="A49" s="2">
        <v>7025100</v>
      </c>
      <c r="B49" s="46">
        <v>1075</v>
      </c>
      <c r="C49" s="7" t="str">
        <f t="shared" si="3"/>
        <v>PremiumSS6R5only</v>
      </c>
      <c r="D49" s="7" t="str">
        <f t="shared" si="4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虚塔の神王 マルドゥク</v>
      </c>
      <c r="I49" s="7" t="str">
        <f>VLOOKUP(B49,[1]characters!$A:$J,10,FALSE)</f>
        <v>PremiumSS</v>
      </c>
      <c r="J49" s="7">
        <f>VLOOKUP(B49,[1]characters!$A:$I,9,FALSE)</f>
        <v>6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26">
        <v>20</v>
      </c>
      <c r="P49" s="27">
        <f t="shared" si="7"/>
        <v>1.4492753623188406E-2</v>
      </c>
      <c r="Q49" s="22">
        <v>1</v>
      </c>
      <c r="R49" s="22">
        <v>0</v>
      </c>
      <c r="S49" s="22">
        <v>0</v>
      </c>
      <c r="T49" s="22">
        <v>0</v>
      </c>
      <c r="U49" s="22">
        <v>0</v>
      </c>
      <c r="V49" s="22">
        <v>1</v>
      </c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</row>
    <row r="50" spans="1:36" s="51" customFormat="1" ht="21" customHeight="1" x14ac:dyDescent="0.15">
      <c r="A50" s="2">
        <v>7025100</v>
      </c>
      <c r="B50" s="46">
        <v>1101</v>
      </c>
      <c r="C50" s="7" t="str">
        <f t="shared" si="3"/>
        <v>PremiumSS6R5only</v>
      </c>
      <c r="D50" s="7" t="str">
        <f t="shared" si="4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浮世万物の筆刻者 北斎</v>
      </c>
      <c r="I50" s="7" t="str">
        <f>VLOOKUP(B50,[1]characters!$A:$J,10,FALSE)</f>
        <v>PremiumSS</v>
      </c>
      <c r="J50" s="7">
        <f>VLOOKUP(B50,[1]characters!$A:$I,9,FALSE)</f>
        <v>6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26">
        <v>20</v>
      </c>
      <c r="P50" s="27">
        <f t="shared" si="7"/>
        <v>1.4492753623188406E-2</v>
      </c>
      <c r="Q50" s="22">
        <v>1</v>
      </c>
      <c r="R50" s="22">
        <v>0</v>
      </c>
      <c r="S50" s="22">
        <v>0</v>
      </c>
      <c r="T50" s="22">
        <v>0</v>
      </c>
      <c r="U50" s="22">
        <v>0</v>
      </c>
      <c r="V50" s="22">
        <v>1</v>
      </c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</row>
    <row r="51" spans="1:36" s="51" customFormat="1" ht="21" customHeight="1" x14ac:dyDescent="0.15">
      <c r="A51" s="2">
        <v>7025100</v>
      </c>
      <c r="B51" s="46">
        <v>1103</v>
      </c>
      <c r="C51" s="7" t="str">
        <f t="shared" si="3"/>
        <v>PremiumSS6R5only</v>
      </c>
      <c r="D51" s="7" t="str">
        <f t="shared" si="4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舞台裏の鼠展 ドガ</v>
      </c>
      <c r="I51" s="7" t="str">
        <f>VLOOKUP(B51,[1]characters!$A:$J,10,FALSE)</f>
        <v>PremiumSSw</v>
      </c>
      <c r="J51" s="7">
        <f>VLOOKUP(B51,[1]characters!$A:$I,9,FALSE)</f>
        <v>6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26">
        <v>20</v>
      </c>
      <c r="P51" s="27">
        <f t="shared" si="7"/>
        <v>1.4492753623188406E-2</v>
      </c>
      <c r="Q51" s="22">
        <v>1</v>
      </c>
      <c r="R51" s="22">
        <v>0</v>
      </c>
      <c r="S51" s="22">
        <v>0</v>
      </c>
      <c r="T51" s="22">
        <v>0</v>
      </c>
      <c r="U51" s="22">
        <v>0</v>
      </c>
      <c r="V51" s="22">
        <v>1</v>
      </c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</row>
    <row r="52" spans="1:36" s="51" customFormat="1" ht="21" customHeight="1" x14ac:dyDescent="0.15">
      <c r="A52" s="2">
        <v>7025100</v>
      </c>
      <c r="B52" s="46">
        <v>1107</v>
      </c>
      <c r="C52" s="7" t="str">
        <f t="shared" si="3"/>
        <v>PremiumSS6R5only</v>
      </c>
      <c r="D52" s="7" t="str">
        <f t="shared" si="4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天浄の鮮風 ラファエロ</v>
      </c>
      <c r="I52" s="7" t="str">
        <f>VLOOKUP(B52,[1]characters!$A:$J,10,FALSE)</f>
        <v>PremiumSS</v>
      </c>
      <c r="J52" s="7">
        <f>VLOOKUP(B52,[1]characters!$A:$I,9,FALSE)</f>
        <v>6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26">
        <v>20</v>
      </c>
      <c r="P52" s="27">
        <f t="shared" si="7"/>
        <v>1.4492753623188406E-2</v>
      </c>
      <c r="Q52" s="22">
        <v>1</v>
      </c>
      <c r="R52" s="22">
        <v>0</v>
      </c>
      <c r="S52" s="22">
        <v>0</v>
      </c>
      <c r="T52" s="22">
        <v>0</v>
      </c>
      <c r="U52" s="22">
        <v>0</v>
      </c>
      <c r="V52" s="22">
        <v>1</v>
      </c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</row>
    <row r="53" spans="1:36" s="51" customFormat="1" ht="21" customHeight="1" x14ac:dyDescent="0.15">
      <c r="A53" s="2">
        <v>7025100</v>
      </c>
      <c r="B53" s="46">
        <v>1138</v>
      </c>
      <c r="C53" s="7" t="str">
        <f t="shared" si="3"/>
        <v>PremiumSS6R5only</v>
      </c>
      <c r="D53" s="7" t="str">
        <f t="shared" si="4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神算鬼謀の宰相 諸葛亮</v>
      </c>
      <c r="I53" s="7" t="str">
        <f>VLOOKUP(B53,[1]characters!$A:$J,10,FALSE)</f>
        <v>PremiumSSw</v>
      </c>
      <c r="J53" s="7">
        <f>VLOOKUP(B53,[1]characters!$A:$I,9,FALSE)</f>
        <v>6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26">
        <v>20</v>
      </c>
      <c r="P53" s="27">
        <f t="shared" si="7"/>
        <v>1.4492753623188406E-2</v>
      </c>
      <c r="Q53" s="22">
        <v>1</v>
      </c>
      <c r="R53" s="22">
        <v>0</v>
      </c>
      <c r="S53" s="22">
        <v>0</v>
      </c>
      <c r="T53" s="22">
        <v>0</v>
      </c>
      <c r="U53" s="22">
        <v>0</v>
      </c>
      <c r="V53" s="22">
        <v>1</v>
      </c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</row>
    <row r="54" spans="1:36" s="51" customFormat="1" ht="21" customHeight="1" x14ac:dyDescent="0.15">
      <c r="A54" s="2">
        <v>7025100</v>
      </c>
      <c r="B54" s="46">
        <v>1140</v>
      </c>
      <c r="C54" s="7" t="str">
        <f t="shared" si="3"/>
        <v>PremiumSS6R5only</v>
      </c>
      <c r="D54" s="7" t="str">
        <f t="shared" si="4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綱紀粛正の傑璧 趙雲</v>
      </c>
      <c r="I54" s="7" t="str">
        <f>VLOOKUP(B54,[1]characters!$A:$J,10,FALSE)</f>
        <v>PremiumSS</v>
      </c>
      <c r="J54" s="7">
        <f>VLOOKUP(B54,[1]characters!$A:$I,9,FALSE)</f>
        <v>6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26">
        <v>20</v>
      </c>
      <c r="P54" s="27">
        <f t="shared" si="7"/>
        <v>1.4492753623188406E-2</v>
      </c>
      <c r="Q54" s="22">
        <v>1</v>
      </c>
      <c r="R54" s="22">
        <v>0</v>
      </c>
      <c r="S54" s="22">
        <v>0</v>
      </c>
      <c r="T54" s="22">
        <v>0</v>
      </c>
      <c r="U54" s="22">
        <v>0</v>
      </c>
      <c r="V54" s="22">
        <v>1</v>
      </c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</row>
    <row r="55" spans="1:36" s="51" customFormat="1" ht="21" customHeight="1" x14ac:dyDescent="0.15">
      <c r="A55" s="2">
        <v>7025100</v>
      </c>
      <c r="B55" s="46">
        <v>1142</v>
      </c>
      <c r="C55" s="7" t="str">
        <f t="shared" si="3"/>
        <v>PremiumSS6R5only</v>
      </c>
      <c r="D55" s="7" t="str">
        <f t="shared" si="4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蒼明な機鋼士 月英</v>
      </c>
      <c r="I55" s="7" t="str">
        <f>VLOOKUP(B55,[1]characters!$A:$J,10,FALSE)</f>
        <v>PremiumSS</v>
      </c>
      <c r="J55" s="7">
        <f>VLOOKUP(B55,[1]characters!$A:$I,9,FALSE)</f>
        <v>6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26">
        <v>20</v>
      </c>
      <c r="P55" s="27">
        <f t="shared" si="7"/>
        <v>1.4492753623188406E-2</v>
      </c>
      <c r="Q55" s="22">
        <v>1</v>
      </c>
      <c r="R55" s="22">
        <v>0</v>
      </c>
      <c r="S55" s="22">
        <v>0</v>
      </c>
      <c r="T55" s="22">
        <v>0</v>
      </c>
      <c r="U55" s="22">
        <v>0</v>
      </c>
      <c r="V55" s="22">
        <v>1</v>
      </c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</row>
    <row r="56" spans="1:36" s="51" customFormat="1" ht="21" customHeight="1" x14ac:dyDescent="0.15">
      <c r="A56" s="2">
        <v>7025100</v>
      </c>
      <c r="B56" s="46">
        <v>1154</v>
      </c>
      <c r="C56" s="7" t="str">
        <f t="shared" si="3"/>
        <v>PremiumSS6R5only</v>
      </c>
      <c r="D56" s="7" t="str">
        <f t="shared" si="4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幸吹の蓮華粧 ラクシュミー</v>
      </c>
      <c r="I56" s="7" t="str">
        <f>VLOOKUP(B56,[1]characters!$A:$J,10,FALSE)</f>
        <v>PremiumSSw</v>
      </c>
      <c r="J56" s="7">
        <f>VLOOKUP(B56,[1]characters!$A:$I,9,FALSE)</f>
        <v>6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26">
        <v>20</v>
      </c>
      <c r="P56" s="27">
        <f t="shared" si="7"/>
        <v>1.4492753623188406E-2</v>
      </c>
      <c r="Q56" s="22">
        <v>1</v>
      </c>
      <c r="R56" s="22">
        <v>0</v>
      </c>
      <c r="S56" s="22">
        <v>0</v>
      </c>
      <c r="T56" s="22">
        <v>0</v>
      </c>
      <c r="U56" s="22">
        <v>0</v>
      </c>
      <c r="V56" s="22">
        <v>1</v>
      </c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</row>
    <row r="57" spans="1:36" s="51" customFormat="1" ht="21" customHeight="1" x14ac:dyDescent="0.15">
      <c r="A57" s="2">
        <v>7025100</v>
      </c>
      <c r="B57" s="46">
        <v>1156</v>
      </c>
      <c r="C57" s="7" t="str">
        <f t="shared" si="3"/>
        <v>PremiumSS6R5only</v>
      </c>
      <c r="D57" s="7" t="str">
        <f t="shared" si="4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麗逆の武操神 ドゥルガー</v>
      </c>
      <c r="I57" s="7" t="str">
        <f>VLOOKUP(B57,[1]characters!$A:$J,10,FALSE)</f>
        <v>PremiumSS</v>
      </c>
      <c r="J57" s="7">
        <f>VLOOKUP(B57,[1]characters!$A:$I,9,FALSE)</f>
        <v>6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26">
        <v>20</v>
      </c>
      <c r="P57" s="27">
        <f t="shared" si="7"/>
        <v>1.4492753623188406E-2</v>
      </c>
      <c r="Q57" s="22">
        <v>1</v>
      </c>
      <c r="R57" s="22">
        <v>0</v>
      </c>
      <c r="S57" s="22">
        <v>0</v>
      </c>
      <c r="T57" s="22">
        <v>0</v>
      </c>
      <c r="U57" s="22">
        <v>0</v>
      </c>
      <c r="V57" s="22">
        <v>1</v>
      </c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</row>
    <row r="58" spans="1:36" s="51" customFormat="1" ht="21" customHeight="1" x14ac:dyDescent="0.15">
      <c r="A58" s="2">
        <v>7025100</v>
      </c>
      <c r="B58" s="47">
        <v>1158</v>
      </c>
      <c r="C58" s="7" t="str">
        <f t="shared" si="3"/>
        <v>PremiumSS6R5only</v>
      </c>
      <c r="D58" s="7" t="str">
        <f t="shared" si="4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天英の雷霆神 インドラ</v>
      </c>
      <c r="I58" s="7" t="str">
        <f>VLOOKUP(B58,[1]characters!$A:$J,10,FALSE)</f>
        <v>PremiumSS</v>
      </c>
      <c r="J58" s="7">
        <f>VLOOKUP(B58,[1]characters!$A:$I,9,FALSE)</f>
        <v>6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26">
        <v>20</v>
      </c>
      <c r="P58" s="27">
        <f t="shared" si="7"/>
        <v>1.4492753623188406E-2</v>
      </c>
      <c r="Q58" s="22">
        <v>1</v>
      </c>
      <c r="R58" s="22">
        <v>0</v>
      </c>
      <c r="S58" s="22">
        <v>0</v>
      </c>
      <c r="T58" s="22">
        <v>0</v>
      </c>
      <c r="U58" s="22">
        <v>0</v>
      </c>
      <c r="V58" s="22">
        <v>1</v>
      </c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</row>
    <row r="59" spans="1:36" s="51" customFormat="1" ht="21" customHeight="1" x14ac:dyDescent="0.15">
      <c r="A59" s="2">
        <v>7025100</v>
      </c>
      <c r="B59" s="47">
        <v>1209</v>
      </c>
      <c r="C59" s="7" t="str">
        <f t="shared" si="3"/>
        <v>PremiumSS6R5only</v>
      </c>
      <c r="D59" s="7" t="str">
        <f t="shared" si="4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刹那の過罰神 ネメシス</v>
      </c>
      <c r="I59" s="7" t="str">
        <f>VLOOKUP(B59,[1]characters!$A:$J,10,FALSE)</f>
        <v>PremiumSS</v>
      </c>
      <c r="J59" s="7">
        <f>VLOOKUP(B59,[1]characters!$A:$I,9,FALSE)</f>
        <v>6</v>
      </c>
      <c r="K59" s="7" t="str">
        <f>VLOOKUP(B59,[1]characters!$A:$H,8,FALSE)</f>
        <v>red</v>
      </c>
      <c r="L59" s="7" t="str">
        <f>VLOOKUP(B59,[1]characters!$A:$K,11,FALSE)</f>
        <v>hp</v>
      </c>
      <c r="M59" s="7" t="str">
        <f>VLOOKUP(B59,[1]characters!$A:$M,13,FALSE)</f>
        <v>god</v>
      </c>
      <c r="N59" s="7">
        <f>VLOOKUP(B59,[1]characters!$A:$G,7,FALSE)</f>
        <v>0</v>
      </c>
      <c r="O59" s="26">
        <v>20</v>
      </c>
      <c r="P59" s="27">
        <f t="shared" si="7"/>
        <v>1.4492753623188406E-2</v>
      </c>
      <c r="Q59" s="22">
        <v>1</v>
      </c>
      <c r="R59" s="22">
        <v>0</v>
      </c>
      <c r="S59" s="22">
        <v>0</v>
      </c>
      <c r="T59" s="22">
        <v>0</v>
      </c>
      <c r="U59" s="22">
        <v>0</v>
      </c>
      <c r="V59" s="22">
        <v>1</v>
      </c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</row>
    <row r="60" spans="1:36" s="51" customFormat="1" ht="21" customHeight="1" x14ac:dyDescent="0.15">
      <c r="A60" s="2">
        <v>7025100</v>
      </c>
      <c r="B60" s="47">
        <v>1213</v>
      </c>
      <c r="C60" s="7" t="str">
        <f t="shared" si="3"/>
        <v>PremiumSS6R5only</v>
      </c>
      <c r="D60" s="7" t="str">
        <f t="shared" si="4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能洪の永地神 クロノス</v>
      </c>
      <c r="I60" s="7" t="str">
        <f>VLOOKUP(B60,[1]characters!$A:$J,10,FALSE)</f>
        <v>PremiumSS</v>
      </c>
      <c r="J60" s="7">
        <f>VLOOKUP(B60,[1]characters!$A:$I,9,FALSE)</f>
        <v>6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26">
        <v>20</v>
      </c>
      <c r="P60" s="27">
        <f t="shared" si="7"/>
        <v>1.4492753623188406E-2</v>
      </c>
      <c r="Q60" s="22">
        <v>1</v>
      </c>
      <c r="R60" s="22">
        <v>0</v>
      </c>
      <c r="S60" s="22">
        <v>0</v>
      </c>
      <c r="T60" s="22">
        <v>0</v>
      </c>
      <c r="U60" s="22">
        <v>0</v>
      </c>
      <c r="V60" s="22">
        <v>1</v>
      </c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</row>
    <row r="61" spans="1:36" s="51" customFormat="1" ht="21" customHeight="1" x14ac:dyDescent="0.15">
      <c r="A61" s="2">
        <v>7025100</v>
      </c>
      <c r="B61" s="47">
        <v>1215</v>
      </c>
      <c r="C61" s="7" t="str">
        <f t="shared" si="3"/>
        <v>PremiumSS6R5only</v>
      </c>
      <c r="D61" s="7" t="str">
        <f t="shared" si="4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穿潮の雷月神 アルテミス</v>
      </c>
      <c r="I61" s="7" t="str">
        <f>VLOOKUP(B61,[1]characters!$A:$J,10,FALSE)</f>
        <v>PremiumSSw</v>
      </c>
      <c r="J61" s="7">
        <f>VLOOKUP(B61,[1]characters!$A:$I,9,FALSE)</f>
        <v>6</v>
      </c>
      <c r="K61" s="7" t="str">
        <f>VLOOKUP(B61,[1]characters!$A:$H,8,FALSE)</f>
        <v>yellow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>
        <f>VLOOKUP(B61,[1]characters!$A:$G,7,FALSE)</f>
        <v>0</v>
      </c>
      <c r="O61" s="26">
        <v>20</v>
      </c>
      <c r="P61" s="27">
        <f t="shared" si="7"/>
        <v>1.4492753623188406E-2</v>
      </c>
      <c r="Q61" s="22">
        <v>1</v>
      </c>
      <c r="R61" s="22">
        <v>0</v>
      </c>
      <c r="S61" s="22">
        <v>0</v>
      </c>
      <c r="T61" s="22">
        <v>0</v>
      </c>
      <c r="U61" s="22">
        <v>0</v>
      </c>
      <c r="V61" s="22">
        <v>1</v>
      </c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</row>
    <row r="62" spans="1:36" s="51" customFormat="1" ht="21" customHeight="1" x14ac:dyDescent="0.15">
      <c r="A62" s="2">
        <v>7025100</v>
      </c>
      <c r="B62" s="47">
        <v>1227</v>
      </c>
      <c r="C62" s="7" t="str">
        <f t="shared" ref="C62:C64" si="14">D62&amp;J62&amp;E62&amp;F62&amp;G62</f>
        <v>PremiumSS6R5only</v>
      </c>
      <c r="D62" s="7" t="str">
        <f t="shared" ref="D62:D64" si="15">IF(OR(I62="PremiumSS",I62="PremiumSSw"),"PremiumSS",IF(I62="PremiumSSS",I62,IF(I62="PremiumW",IF(J62=5,"premium",I62),"Premium")))</f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欲望の占猟者 トルストイ</v>
      </c>
      <c r="I62" s="7" t="str">
        <f>VLOOKUP(B62,[1]characters!$A:$J,10,FALSE)</f>
        <v>PremiumSS</v>
      </c>
      <c r="J62" s="7">
        <f>VLOOKUP(B62,[1]characters!$A:$I,9,FALSE)</f>
        <v>6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26">
        <v>20</v>
      </c>
      <c r="P62" s="27">
        <f t="shared" si="7"/>
        <v>1.4492753623188406E-2</v>
      </c>
      <c r="Q62" s="22">
        <v>1</v>
      </c>
      <c r="R62" s="22">
        <v>0</v>
      </c>
      <c r="S62" s="22">
        <v>0</v>
      </c>
      <c r="T62" s="22">
        <v>0</v>
      </c>
      <c r="U62" s="22">
        <v>0</v>
      </c>
      <c r="V62" s="22">
        <v>1</v>
      </c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</row>
    <row r="63" spans="1:36" s="51" customFormat="1" ht="21" customHeight="1" x14ac:dyDescent="0.15">
      <c r="A63" s="2">
        <v>7025100</v>
      </c>
      <c r="B63" s="47">
        <v>1229</v>
      </c>
      <c r="C63" s="7" t="str">
        <f t="shared" si="14"/>
        <v>PremiumSS6R5only</v>
      </c>
      <c r="D63" s="7" t="str">
        <f t="shared" si="15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羅生の鬼我 芥川龍之介</v>
      </c>
      <c r="I63" s="7" t="str">
        <f>VLOOKUP(B63,[1]characters!$A:$J,10,FALSE)</f>
        <v>PremiumSSw</v>
      </c>
      <c r="J63" s="7">
        <f>VLOOKUP(B63,[1]characters!$A:$I,9,FALSE)</f>
        <v>6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26">
        <v>20</v>
      </c>
      <c r="P63" s="27">
        <f t="shared" si="7"/>
        <v>1.4492753623188406E-2</v>
      </c>
      <c r="Q63" s="22">
        <v>1</v>
      </c>
      <c r="R63" s="22">
        <v>0</v>
      </c>
      <c r="S63" s="22">
        <v>0</v>
      </c>
      <c r="T63" s="22">
        <v>0</v>
      </c>
      <c r="U63" s="22">
        <v>0</v>
      </c>
      <c r="V63" s="22">
        <v>1</v>
      </c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</row>
    <row r="64" spans="1:36" s="51" customFormat="1" ht="21" customHeight="1" x14ac:dyDescent="0.15">
      <c r="A64" s="2">
        <v>7025100</v>
      </c>
      <c r="B64" s="47">
        <v>1231</v>
      </c>
      <c r="C64" s="7" t="str">
        <f t="shared" si="14"/>
        <v>PremiumSS6R5only</v>
      </c>
      <c r="D64" s="7" t="str">
        <f t="shared" si="15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思索する愛猫 夏目漱石</v>
      </c>
      <c r="I64" s="7" t="str">
        <f>VLOOKUP(B64,[1]characters!$A:$J,10,FALSE)</f>
        <v>PremiumSS</v>
      </c>
      <c r="J64" s="7">
        <f>VLOOKUP(B64,[1]characters!$A:$I,9,FALSE)</f>
        <v>6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26">
        <v>20</v>
      </c>
      <c r="P64" s="27">
        <f t="shared" si="7"/>
        <v>1.4492753623188406E-2</v>
      </c>
      <c r="Q64" s="22">
        <v>1</v>
      </c>
      <c r="R64" s="22">
        <v>0</v>
      </c>
      <c r="S64" s="22">
        <v>0</v>
      </c>
      <c r="T64" s="22">
        <v>0</v>
      </c>
      <c r="U64" s="22">
        <v>0</v>
      </c>
      <c r="V64" s="22">
        <v>1</v>
      </c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</row>
    <row r="65" spans="1:36" s="51" customFormat="1" ht="21" customHeight="1" x14ac:dyDescent="0.15">
      <c r="A65" s="2">
        <v>7025100</v>
      </c>
      <c r="B65" s="47">
        <v>1245</v>
      </c>
      <c r="C65" s="7" t="str">
        <f t="shared" ref="C65:C67" si="16">D65&amp;J65&amp;E65&amp;F65&amp;G65</f>
        <v>PremiumSS6R5only</v>
      </c>
      <c r="D65" s="7" t="str">
        <f t="shared" ref="D65:D67" si="17">IF(OR(I65="PremiumSS",I65="PremiumSSw"),"PremiumSS",IF(I65="PremiumSSS",I65,IF(I65="PremiumW",IF(J65=5,"premium",I65),"Premium")))</f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甲火の特殊忍 猿飛佐助</v>
      </c>
      <c r="I65" s="7" t="str">
        <f>VLOOKUP(B65,[1]characters!$A:$J,10,FALSE)</f>
        <v>PremiumSS</v>
      </c>
      <c r="J65" s="7">
        <f>VLOOKUP(B65,[1]characters!$A:$I,9,FALSE)</f>
        <v>6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26">
        <v>20</v>
      </c>
      <c r="P65" s="27">
        <f t="shared" ref="P65:P67" si="18">O65/SUM(O:O)</f>
        <v>1.4492753623188406E-2</v>
      </c>
      <c r="Q65" s="22">
        <v>1</v>
      </c>
      <c r="R65" s="22">
        <v>0</v>
      </c>
      <c r="S65" s="22">
        <v>0</v>
      </c>
      <c r="T65" s="22">
        <v>0</v>
      </c>
      <c r="U65" s="22">
        <v>0</v>
      </c>
      <c r="V65" s="22">
        <v>1</v>
      </c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</row>
    <row r="66" spans="1:36" s="51" customFormat="1" ht="21" customHeight="1" x14ac:dyDescent="0.15">
      <c r="A66" s="2">
        <v>7025100</v>
      </c>
      <c r="B66" s="47">
        <v>1247</v>
      </c>
      <c r="C66" s="7" t="str">
        <f t="shared" si="16"/>
        <v>PremiumSS6R5only</v>
      </c>
      <c r="D66" s="7" t="str">
        <f t="shared" si="17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潜情のくノ一 望月千代女</v>
      </c>
      <c r="I66" s="7" t="str">
        <f>VLOOKUP(B66,[1]characters!$A:$J,10,FALSE)</f>
        <v>PremiumSS</v>
      </c>
      <c r="J66" s="7">
        <f>VLOOKUP(B66,[1]characters!$A:$I,9,FALSE)</f>
        <v>6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26">
        <v>20</v>
      </c>
      <c r="P66" s="27">
        <f t="shared" si="18"/>
        <v>1.4492753623188406E-2</v>
      </c>
      <c r="Q66" s="22">
        <v>1</v>
      </c>
      <c r="R66" s="22">
        <v>0</v>
      </c>
      <c r="S66" s="22">
        <v>0</v>
      </c>
      <c r="T66" s="22">
        <v>0</v>
      </c>
      <c r="U66" s="22">
        <v>0</v>
      </c>
      <c r="V66" s="22">
        <v>1</v>
      </c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</row>
    <row r="67" spans="1:36" s="51" customFormat="1" ht="21" customHeight="1" x14ac:dyDescent="0.15">
      <c r="A67" s="2">
        <v>7025100</v>
      </c>
      <c r="B67" s="47">
        <v>1251</v>
      </c>
      <c r="C67" s="7" t="str">
        <f t="shared" si="16"/>
        <v>PremiumSS6R5only</v>
      </c>
      <c r="D67" s="7" t="str">
        <f t="shared" si="17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錯槍の英勇 真田幸村</v>
      </c>
      <c r="I67" s="7" t="str">
        <f>VLOOKUP(B67,[1]characters!$A:$J,10,FALSE)</f>
        <v>PremiumSSw</v>
      </c>
      <c r="J67" s="7">
        <f>VLOOKUP(B67,[1]characters!$A:$I,9,FALSE)</f>
        <v>6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26">
        <v>20</v>
      </c>
      <c r="P67" s="27">
        <f t="shared" si="18"/>
        <v>1.4492753623188406E-2</v>
      </c>
      <c r="Q67" s="22">
        <v>1</v>
      </c>
      <c r="R67" s="22">
        <v>0</v>
      </c>
      <c r="S67" s="22">
        <v>0</v>
      </c>
      <c r="T67" s="22">
        <v>0</v>
      </c>
      <c r="U67" s="22">
        <v>0</v>
      </c>
      <c r="V67" s="22">
        <v>1</v>
      </c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</row>
    <row r="68" spans="1:36" s="51" customFormat="1" ht="21" customHeight="1" x14ac:dyDescent="0.15">
      <c r="A68" s="2">
        <v>7025100</v>
      </c>
      <c r="B68" s="47">
        <v>1261</v>
      </c>
      <c r="C68" s="7" t="str">
        <f t="shared" ref="C68:C70" si="19">D68&amp;J68&amp;E68&amp;F68&amp;G68</f>
        <v>PremiumSS6R5only</v>
      </c>
      <c r="D68" s="7" t="str">
        <f t="shared" ref="D68:D70" si="20">IF(OR(I68="PremiumSS",I68="PremiumSSw"),"PremiumSS",IF(I68="PremiumSSS",I68,IF(I68="PremiumW",IF(J68=5,"premium",I68),"Premium")))</f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燃雷の鎚撃 トール</v>
      </c>
      <c r="I68" s="7" t="str">
        <f>VLOOKUP(B68,[1]characters!$A:$J,10,FALSE)</f>
        <v>PremiumSS</v>
      </c>
      <c r="J68" s="7">
        <f>VLOOKUP(B68,[1]characters!$A:$I,9,FALSE)</f>
        <v>6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26">
        <v>20</v>
      </c>
      <c r="P68" s="27">
        <f t="shared" ref="P68:P70" si="21">O68/SUM(O:O)</f>
        <v>1.4492753623188406E-2</v>
      </c>
      <c r="Q68" s="22">
        <v>1</v>
      </c>
      <c r="R68" s="22">
        <v>0</v>
      </c>
      <c r="S68" s="22">
        <v>0</v>
      </c>
      <c r="T68" s="22">
        <v>0</v>
      </c>
      <c r="U68" s="22">
        <v>0</v>
      </c>
      <c r="V68" s="22">
        <v>1</v>
      </c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</row>
    <row r="69" spans="1:36" s="51" customFormat="1" ht="21" customHeight="1" x14ac:dyDescent="0.15">
      <c r="A69" s="2">
        <v>7025100</v>
      </c>
      <c r="B69" s="47">
        <v>1263</v>
      </c>
      <c r="C69" s="7" t="str">
        <f t="shared" si="19"/>
        <v>PremiumSS6R5only</v>
      </c>
      <c r="D69" s="7" t="str">
        <f t="shared" si="20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純朴なる檻理人 イズン</v>
      </c>
      <c r="I69" s="7" t="str">
        <f>VLOOKUP(B69,[1]characters!$A:$J,10,FALSE)</f>
        <v>PremiumSSw</v>
      </c>
      <c r="J69" s="7">
        <f>VLOOKUP(B69,[1]characters!$A:$I,9,FALSE)</f>
        <v>6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26">
        <v>20</v>
      </c>
      <c r="P69" s="27">
        <f t="shared" si="21"/>
        <v>1.4492753623188406E-2</v>
      </c>
      <c r="Q69" s="22">
        <v>1</v>
      </c>
      <c r="R69" s="22">
        <v>0</v>
      </c>
      <c r="S69" s="22">
        <v>0</v>
      </c>
      <c r="T69" s="22">
        <v>0</v>
      </c>
      <c r="U69" s="22">
        <v>0</v>
      </c>
      <c r="V69" s="22">
        <v>1</v>
      </c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</row>
    <row r="70" spans="1:36" s="51" customFormat="1" ht="21" customHeight="1" x14ac:dyDescent="0.15">
      <c r="A70" s="2">
        <v>7025100</v>
      </c>
      <c r="B70" s="47">
        <v>1265</v>
      </c>
      <c r="C70" s="7" t="str">
        <f t="shared" si="19"/>
        <v>PremiumSS6R5only</v>
      </c>
      <c r="D70" s="7" t="str">
        <f t="shared" si="20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静観する世限者 ウルズ</v>
      </c>
      <c r="I70" s="7" t="str">
        <f>VLOOKUP(B70,[1]characters!$A:$J,10,FALSE)</f>
        <v>PremiumSS</v>
      </c>
      <c r="J70" s="7">
        <f>VLOOKUP(B70,[1]characters!$A:$I,9,FALSE)</f>
        <v>6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26">
        <v>20</v>
      </c>
      <c r="P70" s="27">
        <f t="shared" si="21"/>
        <v>1.4492753623188406E-2</v>
      </c>
      <c r="Q70" s="22">
        <v>1</v>
      </c>
      <c r="R70" s="22">
        <v>0</v>
      </c>
      <c r="S70" s="22">
        <v>0</v>
      </c>
      <c r="T70" s="22">
        <v>0</v>
      </c>
      <c r="U70" s="22">
        <v>0</v>
      </c>
      <c r="V70" s="22">
        <v>1</v>
      </c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</row>
    <row r="71" spans="1:36" s="51" customFormat="1" ht="21" customHeight="1" x14ac:dyDescent="0.15">
      <c r="A71" s="46"/>
      <c r="B71" s="47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8"/>
      <c r="P71" s="49"/>
      <c r="Q71" s="50"/>
      <c r="R71" s="50"/>
      <c r="S71" s="50"/>
      <c r="T71" s="50"/>
      <c r="U71" s="50"/>
      <c r="V71" s="50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</row>
    <row r="72" spans="1:36" s="51" customFormat="1" ht="21" customHeight="1" x14ac:dyDescent="0.15">
      <c r="A72" s="46"/>
      <c r="B72" s="47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8"/>
      <c r="P72" s="49"/>
      <c r="Q72" s="50"/>
      <c r="R72" s="50"/>
      <c r="S72" s="50"/>
      <c r="T72" s="50"/>
      <c r="U72" s="50"/>
      <c r="V72" s="50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</row>
    <row r="73" spans="1:36" ht="21" customHeight="1" x14ac:dyDescent="0.15">
      <c r="A73" s="39"/>
      <c r="B73" s="40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41"/>
      <c r="P73" s="42"/>
      <c r="Q73" s="43"/>
      <c r="R73" s="43"/>
      <c r="S73" s="43"/>
      <c r="T73" s="43"/>
      <c r="U73" s="43"/>
      <c r="V73" s="43"/>
    </row>
    <row r="74" spans="1:36" ht="21" customHeight="1" x14ac:dyDescent="0.15">
      <c r="A74" s="39"/>
      <c r="B74" s="40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41"/>
      <c r="P74" s="42"/>
      <c r="Q74" s="43"/>
      <c r="R74" s="43"/>
      <c r="S74" s="43"/>
      <c r="T74" s="43"/>
      <c r="U74" s="43"/>
      <c r="V74" s="43"/>
    </row>
    <row r="75" spans="1:36" ht="21" customHeight="1" x14ac:dyDescent="0.15">
      <c r="A75" s="39"/>
      <c r="B75" s="40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41"/>
      <c r="P75" s="42"/>
      <c r="Q75" s="43"/>
      <c r="R75" s="43"/>
      <c r="S75" s="43"/>
      <c r="T75" s="43"/>
      <c r="U75" s="43"/>
      <c r="V75" s="43"/>
    </row>
    <row r="76" spans="1:36" s="12" customFormat="1" ht="21" customHeight="1" thickBot="1" x14ac:dyDescent="0.2">
      <c r="A76" s="39"/>
      <c r="B76" s="40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41"/>
      <c r="P76" s="42"/>
      <c r="Q76" s="43"/>
      <c r="R76" s="43"/>
      <c r="S76" s="43"/>
      <c r="T76" s="43"/>
      <c r="U76" s="43"/>
      <c r="V76" s="43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</row>
    <row r="77" spans="1:36" ht="21" customHeight="1" x14ac:dyDescent="0.15">
      <c r="A77" s="39"/>
      <c r="B77" s="40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41"/>
      <c r="P77" s="42"/>
      <c r="Q77" s="43"/>
      <c r="R77" s="43"/>
      <c r="S77" s="43"/>
      <c r="T77" s="43"/>
      <c r="U77" s="43"/>
      <c r="V77" s="43"/>
    </row>
    <row r="78" spans="1:36" ht="21" customHeight="1" x14ac:dyDescent="0.15">
      <c r="A78" s="39"/>
      <c r="B78" s="40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41"/>
      <c r="P78" s="42"/>
      <c r="Q78" s="43"/>
      <c r="R78" s="43"/>
      <c r="S78" s="43"/>
      <c r="T78" s="43"/>
      <c r="U78" s="43"/>
      <c r="V78" s="43"/>
    </row>
    <row r="79" spans="1:36" ht="21" customHeight="1" x14ac:dyDescent="0.15">
      <c r="A79" s="39"/>
      <c r="B79" s="40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41"/>
      <c r="P79" s="42"/>
      <c r="Q79" s="43"/>
      <c r="R79" s="43"/>
      <c r="S79" s="43"/>
      <c r="T79" s="43"/>
      <c r="U79" s="43"/>
      <c r="V79" s="43"/>
    </row>
    <row r="80" spans="1:36" ht="21" customHeight="1" x14ac:dyDescent="0.15">
      <c r="A80" s="39"/>
      <c r="B80" s="40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41"/>
      <c r="P80" s="42"/>
      <c r="Q80" s="43"/>
      <c r="R80" s="43"/>
      <c r="S80" s="43"/>
      <c r="T80" s="43"/>
      <c r="U80" s="43"/>
      <c r="V80" s="43"/>
    </row>
    <row r="81" spans="1:22" ht="21" customHeight="1" x14ac:dyDescent="0.15">
      <c r="A81" s="39"/>
      <c r="B81" s="40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41"/>
      <c r="P81" s="42"/>
      <c r="Q81" s="43"/>
      <c r="R81" s="43"/>
      <c r="S81" s="43"/>
      <c r="T81" s="43"/>
      <c r="U81" s="43"/>
      <c r="V81" s="43"/>
    </row>
    <row r="82" spans="1:22" ht="21" customHeight="1" x14ac:dyDescent="0.15">
      <c r="A82" s="39"/>
      <c r="B82" s="40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41"/>
      <c r="P82" s="42"/>
      <c r="Q82" s="43"/>
      <c r="R82" s="43"/>
      <c r="S82" s="43"/>
      <c r="T82" s="43"/>
      <c r="U82" s="43"/>
      <c r="V82" s="43"/>
    </row>
    <row r="83" spans="1:22" ht="21" customHeight="1" x14ac:dyDescent="0.15">
      <c r="A83" s="39"/>
      <c r="B83" s="40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41"/>
      <c r="P83" s="42"/>
      <c r="Q83" s="43"/>
      <c r="R83" s="43"/>
      <c r="S83" s="43"/>
      <c r="T83" s="43"/>
      <c r="U83" s="43"/>
      <c r="V83" s="43"/>
    </row>
    <row r="84" spans="1:22" ht="21" customHeight="1" x14ac:dyDescent="0.15">
      <c r="A84" s="39"/>
      <c r="B84" s="40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41"/>
      <c r="P84" s="42"/>
      <c r="Q84" s="43"/>
      <c r="R84" s="43"/>
      <c r="S84" s="43"/>
      <c r="T84" s="43"/>
      <c r="U84" s="43"/>
      <c r="V84" s="43"/>
    </row>
    <row r="85" spans="1:22" ht="21" customHeight="1" x14ac:dyDescent="0.15">
      <c r="A85" s="39"/>
      <c r="B85" s="40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41"/>
      <c r="P85" s="42"/>
      <c r="Q85" s="43"/>
      <c r="R85" s="43"/>
      <c r="S85" s="43"/>
      <c r="T85" s="43"/>
      <c r="U85" s="43"/>
      <c r="V85" s="43"/>
    </row>
    <row r="86" spans="1:22" ht="21" customHeight="1" x14ac:dyDescent="0.15">
      <c r="A86" s="39"/>
      <c r="B86" s="40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41"/>
      <c r="P86" s="42"/>
      <c r="Q86" s="43"/>
      <c r="R86" s="43"/>
      <c r="S86" s="43"/>
      <c r="T86" s="43"/>
      <c r="U86" s="43"/>
      <c r="V86" s="43"/>
    </row>
    <row r="87" spans="1:22" ht="21" customHeight="1" x14ac:dyDescent="0.15">
      <c r="A87" s="39"/>
      <c r="B87" s="40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41"/>
      <c r="P87" s="42"/>
      <c r="Q87" s="43"/>
      <c r="R87" s="43"/>
      <c r="S87" s="43"/>
      <c r="T87" s="43"/>
      <c r="U87" s="43"/>
      <c r="V87" s="43"/>
    </row>
    <row r="88" spans="1:22" ht="21" customHeight="1" x14ac:dyDescent="0.15">
      <c r="A88" s="39"/>
      <c r="B88" s="40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41"/>
      <c r="P88" s="42"/>
      <c r="Q88" s="43"/>
      <c r="R88" s="43"/>
      <c r="S88" s="43"/>
      <c r="T88" s="43"/>
      <c r="U88" s="43"/>
      <c r="V88" s="43"/>
    </row>
    <row r="89" spans="1:22" ht="21" customHeight="1" x14ac:dyDescent="0.15">
      <c r="A89" s="39"/>
      <c r="B89" s="40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41"/>
      <c r="P89" s="42"/>
      <c r="Q89" s="43"/>
      <c r="R89" s="43"/>
      <c r="S89" s="43"/>
      <c r="T89" s="43"/>
      <c r="U89" s="43"/>
      <c r="V89" s="43"/>
    </row>
    <row r="90" spans="1:22" ht="21" customHeight="1" x14ac:dyDescent="0.15">
      <c r="A90" s="39"/>
      <c r="B90" s="40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41"/>
      <c r="P90" s="42"/>
      <c r="Q90" s="43"/>
      <c r="R90" s="43"/>
      <c r="S90" s="43"/>
      <c r="T90" s="43"/>
      <c r="U90" s="43"/>
      <c r="V90" s="43"/>
    </row>
    <row r="91" spans="1:22" ht="21" customHeight="1" x14ac:dyDescent="0.15">
      <c r="A91" s="39"/>
      <c r="B91" s="40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41"/>
      <c r="P91" s="42"/>
      <c r="Q91" s="43"/>
      <c r="R91" s="43"/>
      <c r="S91" s="43"/>
      <c r="T91" s="43"/>
      <c r="U91" s="43"/>
      <c r="V91" s="43"/>
    </row>
    <row r="92" spans="1:22" ht="21" customHeight="1" x14ac:dyDescent="0.15">
      <c r="A92" s="39"/>
      <c r="B92" s="40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41"/>
      <c r="P92" s="42"/>
      <c r="Q92" s="43"/>
      <c r="R92" s="43"/>
      <c r="S92" s="43"/>
      <c r="T92" s="43"/>
      <c r="U92" s="43"/>
      <c r="V92" s="43"/>
    </row>
    <row r="93" spans="1:22" ht="21" customHeight="1" x14ac:dyDescent="0.15">
      <c r="A93" s="39"/>
      <c r="B93" s="40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41"/>
      <c r="P93" s="42"/>
      <c r="Q93" s="43"/>
      <c r="R93" s="43"/>
      <c r="S93" s="43"/>
      <c r="T93" s="43"/>
      <c r="U93" s="43"/>
      <c r="V93" s="43"/>
    </row>
    <row r="94" spans="1:22" ht="21" customHeight="1" x14ac:dyDescent="0.15">
      <c r="A94" s="39"/>
      <c r="B94" s="40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41"/>
      <c r="P94" s="42"/>
      <c r="Q94" s="43"/>
      <c r="R94" s="43"/>
      <c r="S94" s="43"/>
      <c r="T94" s="43"/>
      <c r="U94" s="43"/>
      <c r="V94" s="43"/>
    </row>
    <row r="95" spans="1:22" ht="21" customHeight="1" x14ac:dyDescent="0.15">
      <c r="A95" s="39"/>
      <c r="B95" s="40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41"/>
      <c r="P95" s="42"/>
      <c r="Q95" s="43"/>
      <c r="R95" s="43"/>
      <c r="S95" s="43"/>
      <c r="T95" s="43"/>
      <c r="U95" s="43"/>
      <c r="V95" s="43"/>
    </row>
    <row r="96" spans="1:22" ht="21" customHeight="1" x14ac:dyDescent="0.15">
      <c r="A96" s="39"/>
      <c r="B96" s="40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41"/>
      <c r="P96" s="42"/>
      <c r="Q96" s="43"/>
      <c r="R96" s="43"/>
      <c r="S96" s="43"/>
      <c r="T96" s="43"/>
      <c r="U96" s="43"/>
      <c r="V96" s="43"/>
    </row>
    <row r="97" spans="1:22" ht="21" customHeight="1" x14ac:dyDescent="0.15">
      <c r="A97" s="39"/>
      <c r="B97" s="40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41"/>
      <c r="P97" s="42"/>
      <c r="Q97" s="43"/>
      <c r="R97" s="43"/>
      <c r="S97" s="43"/>
      <c r="T97" s="43"/>
      <c r="U97" s="43"/>
      <c r="V97" s="43"/>
    </row>
    <row r="98" spans="1:22" ht="21" customHeight="1" x14ac:dyDescent="0.15">
      <c r="A98" s="39"/>
      <c r="B98" s="40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41"/>
      <c r="P98" s="42"/>
      <c r="Q98" s="43"/>
      <c r="R98" s="43"/>
      <c r="S98" s="43"/>
      <c r="T98" s="43"/>
      <c r="U98" s="43"/>
      <c r="V98" s="43"/>
    </row>
    <row r="99" spans="1:22" ht="21" customHeight="1" x14ac:dyDescent="0.15">
      <c r="A99" s="39"/>
      <c r="B99" s="40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41"/>
      <c r="P99" s="42"/>
      <c r="Q99" s="43"/>
      <c r="R99" s="43"/>
      <c r="S99" s="43"/>
      <c r="T99" s="43"/>
      <c r="U99" s="43"/>
      <c r="V99" s="43"/>
    </row>
    <row r="100" spans="1:22" ht="21" customHeight="1" x14ac:dyDescent="0.15">
      <c r="A100" s="39"/>
      <c r="B100" s="40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41"/>
      <c r="P100" s="42"/>
      <c r="Q100" s="43"/>
      <c r="R100" s="43"/>
      <c r="S100" s="43"/>
      <c r="T100" s="43"/>
      <c r="U100" s="43"/>
      <c r="V100" s="43"/>
    </row>
    <row r="101" spans="1:22" ht="21" customHeight="1" x14ac:dyDescent="0.15">
      <c r="A101" s="39"/>
      <c r="B101" s="40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41"/>
      <c r="P101" s="42"/>
      <c r="Q101" s="43"/>
      <c r="R101" s="43"/>
      <c r="S101" s="43"/>
      <c r="T101" s="43"/>
      <c r="U101" s="43"/>
      <c r="V101" s="43"/>
    </row>
    <row r="102" spans="1:22" ht="21" customHeight="1" x14ac:dyDescent="0.15">
      <c r="A102" s="39"/>
      <c r="B102" s="40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41"/>
      <c r="P102" s="42"/>
      <c r="Q102" s="43"/>
      <c r="R102" s="43"/>
      <c r="S102" s="43"/>
      <c r="T102" s="43"/>
      <c r="U102" s="43"/>
      <c r="V102" s="43"/>
    </row>
    <row r="103" spans="1:22" ht="21" customHeight="1" x14ac:dyDescent="0.15">
      <c r="A103" s="39"/>
      <c r="B103" s="40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41"/>
      <c r="P103" s="42"/>
      <c r="Q103" s="43"/>
      <c r="R103" s="43"/>
      <c r="S103" s="43"/>
      <c r="T103" s="43"/>
      <c r="U103" s="43"/>
      <c r="V103" s="43"/>
    </row>
    <row r="104" spans="1:22" ht="21" customHeight="1" x14ac:dyDescent="0.15">
      <c r="A104" s="39"/>
      <c r="B104" s="40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41"/>
      <c r="P104" s="42"/>
      <c r="Q104" s="43"/>
      <c r="R104" s="43"/>
      <c r="S104" s="43"/>
      <c r="T104" s="43"/>
      <c r="U104" s="43"/>
      <c r="V104" s="43"/>
    </row>
    <row r="105" spans="1:22" ht="21" customHeight="1" x14ac:dyDescent="0.15">
      <c r="A105" s="39"/>
      <c r="B105" s="40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41"/>
      <c r="P105" s="42"/>
      <c r="Q105" s="43"/>
      <c r="R105" s="43"/>
      <c r="S105" s="43"/>
      <c r="T105" s="43"/>
      <c r="U105" s="43"/>
      <c r="V105" s="43"/>
    </row>
    <row r="106" spans="1:22" ht="21" customHeight="1" x14ac:dyDescent="0.15">
      <c r="A106" s="39"/>
      <c r="B106" s="40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41"/>
      <c r="P106" s="42"/>
      <c r="Q106" s="43"/>
      <c r="R106" s="43"/>
      <c r="S106" s="43"/>
      <c r="T106" s="43"/>
      <c r="U106" s="43"/>
      <c r="V106" s="43"/>
    </row>
    <row r="107" spans="1:22" ht="21" customHeight="1" x14ac:dyDescent="0.15">
      <c r="A107" s="39"/>
      <c r="B107" s="40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41"/>
      <c r="P107" s="42"/>
      <c r="Q107" s="43"/>
      <c r="R107" s="43"/>
      <c r="S107" s="43"/>
      <c r="T107" s="43"/>
      <c r="U107" s="43"/>
      <c r="V107" s="43"/>
    </row>
    <row r="108" spans="1:22" ht="21" customHeight="1" x14ac:dyDescent="0.15">
      <c r="A108" s="39"/>
      <c r="B108" s="40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41"/>
      <c r="P108" s="42"/>
      <c r="Q108" s="43"/>
      <c r="R108" s="43"/>
      <c r="S108" s="43"/>
      <c r="T108" s="43"/>
      <c r="U108" s="43"/>
      <c r="V108" s="43"/>
    </row>
    <row r="109" spans="1:22" ht="21" customHeight="1" x14ac:dyDescent="0.15">
      <c r="A109" s="39"/>
      <c r="B109" s="40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41"/>
      <c r="P109" s="42"/>
      <c r="Q109" s="43"/>
      <c r="R109" s="43"/>
      <c r="S109" s="43"/>
      <c r="T109" s="43"/>
      <c r="U109" s="43"/>
      <c r="V109" s="43"/>
    </row>
    <row r="110" spans="1:22" ht="21" customHeight="1" x14ac:dyDescent="0.15">
      <c r="A110" s="39"/>
      <c r="B110" s="40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41"/>
      <c r="P110" s="42"/>
      <c r="Q110" s="43"/>
      <c r="R110" s="43"/>
      <c r="S110" s="43"/>
      <c r="T110" s="43"/>
      <c r="U110" s="43"/>
      <c r="V110" s="43"/>
    </row>
    <row r="111" spans="1:22" ht="21" customHeight="1" x14ac:dyDescent="0.15">
      <c r="A111" s="39"/>
      <c r="B111" s="40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41"/>
      <c r="P111" s="42"/>
      <c r="Q111" s="43"/>
      <c r="R111" s="43"/>
      <c r="S111" s="43"/>
      <c r="T111" s="43"/>
      <c r="U111" s="43"/>
      <c r="V111" s="43"/>
    </row>
    <row r="112" spans="1:22" ht="21" customHeight="1" x14ac:dyDescent="0.15">
      <c r="A112" s="39"/>
      <c r="B112" s="40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41"/>
      <c r="P112" s="42"/>
      <c r="Q112" s="43"/>
      <c r="R112" s="43"/>
      <c r="S112" s="43"/>
      <c r="T112" s="43"/>
      <c r="U112" s="43"/>
      <c r="V112" s="43"/>
    </row>
    <row r="113" spans="1:36" ht="21" customHeight="1" x14ac:dyDescent="0.15">
      <c r="A113" s="39"/>
      <c r="B113" s="40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41"/>
      <c r="P113" s="42"/>
      <c r="Q113" s="43"/>
      <c r="R113" s="43"/>
      <c r="S113" s="43"/>
      <c r="T113" s="43"/>
      <c r="U113" s="43"/>
      <c r="V113" s="43"/>
    </row>
    <row r="114" spans="1:36" ht="21" customHeight="1" x14ac:dyDescent="0.15">
      <c r="A114" s="39"/>
      <c r="B114" s="40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41"/>
      <c r="P114" s="42"/>
      <c r="Q114" s="43"/>
      <c r="R114" s="43"/>
      <c r="S114" s="43"/>
      <c r="T114" s="43"/>
      <c r="U114" s="43"/>
      <c r="V114" s="43"/>
    </row>
    <row r="115" spans="1:36" ht="21" customHeight="1" x14ac:dyDescent="0.15">
      <c r="A115" s="39"/>
      <c r="B115" s="40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41"/>
      <c r="P115" s="42"/>
      <c r="Q115" s="43"/>
      <c r="R115" s="43"/>
      <c r="S115" s="43"/>
      <c r="T115" s="43"/>
      <c r="U115" s="43"/>
      <c r="V115" s="43"/>
    </row>
    <row r="116" spans="1:36" ht="21" customHeight="1" x14ac:dyDescent="0.15">
      <c r="A116" s="39"/>
      <c r="B116" s="40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41"/>
      <c r="P116" s="42"/>
      <c r="Q116" s="43"/>
      <c r="R116" s="43"/>
      <c r="S116" s="43"/>
      <c r="T116" s="43"/>
      <c r="U116" s="43"/>
      <c r="V116" s="43"/>
    </row>
    <row r="117" spans="1:36" ht="21" customHeight="1" x14ac:dyDescent="0.15">
      <c r="A117" s="39"/>
      <c r="B117" s="40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41"/>
      <c r="P117" s="42"/>
      <c r="Q117" s="43"/>
      <c r="R117" s="43"/>
      <c r="S117" s="43"/>
      <c r="T117" s="43"/>
      <c r="U117" s="43"/>
      <c r="V117" s="43"/>
    </row>
    <row r="118" spans="1:36" ht="21" customHeight="1" x14ac:dyDescent="0.15">
      <c r="A118" s="39"/>
      <c r="B118" s="40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41"/>
      <c r="P118" s="42"/>
      <c r="Q118" s="43"/>
      <c r="R118" s="43"/>
      <c r="S118" s="43"/>
      <c r="T118" s="43"/>
      <c r="U118" s="43"/>
      <c r="V118" s="43"/>
    </row>
    <row r="119" spans="1:36" ht="21" customHeight="1" x14ac:dyDescent="0.15">
      <c r="A119" s="39"/>
      <c r="B119" s="44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41"/>
      <c r="P119" s="42"/>
      <c r="Q119" s="43"/>
      <c r="R119" s="43"/>
      <c r="S119" s="43"/>
      <c r="T119" s="43"/>
      <c r="U119" s="43"/>
      <c r="V119" s="43"/>
    </row>
    <row r="120" spans="1:36" ht="21" customHeight="1" x14ac:dyDescent="0.15">
      <c r="A120" s="39"/>
      <c r="B120" s="44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41"/>
      <c r="P120" s="42"/>
      <c r="Q120" s="43"/>
      <c r="R120" s="43"/>
      <c r="S120" s="43"/>
      <c r="T120" s="43"/>
      <c r="U120" s="43"/>
      <c r="V120" s="43"/>
    </row>
    <row r="121" spans="1:36" ht="21" customHeight="1" x14ac:dyDescent="0.15">
      <c r="A121" s="39"/>
      <c r="B121" s="44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41"/>
      <c r="P121" s="42"/>
      <c r="Q121" s="43"/>
      <c r="R121" s="43"/>
      <c r="S121" s="43"/>
      <c r="T121" s="43"/>
      <c r="U121" s="43"/>
      <c r="V121" s="43"/>
    </row>
    <row r="122" spans="1:36" ht="21" customHeight="1" x14ac:dyDescent="0.15">
      <c r="A122" s="39"/>
      <c r="B122" s="44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41"/>
      <c r="P122" s="42"/>
      <c r="Q122" s="43"/>
      <c r="R122" s="43"/>
      <c r="S122" s="43"/>
      <c r="T122" s="43"/>
      <c r="U122" s="43"/>
      <c r="V122" s="43"/>
    </row>
    <row r="123" spans="1:36" s="9" customFormat="1" ht="21" customHeight="1" thickBot="1" x14ac:dyDescent="0.2">
      <c r="A123" s="39"/>
      <c r="B123" s="40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41"/>
      <c r="P123" s="42"/>
      <c r="Q123" s="43"/>
      <c r="R123" s="43"/>
      <c r="S123" s="43"/>
      <c r="T123" s="43"/>
      <c r="U123" s="43"/>
      <c r="V123" s="43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</row>
    <row r="124" spans="1:36" ht="21" customHeight="1" x14ac:dyDescent="0.15">
      <c r="A124" s="39"/>
      <c r="B124" s="40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41"/>
      <c r="P124" s="42"/>
      <c r="Q124" s="43"/>
      <c r="R124" s="43"/>
      <c r="S124" s="43"/>
      <c r="T124" s="43"/>
      <c r="U124" s="43"/>
      <c r="V124" s="43"/>
    </row>
    <row r="125" spans="1:36" ht="21" customHeight="1" x14ac:dyDescent="0.15">
      <c r="A125" s="39"/>
      <c r="B125" s="40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41"/>
      <c r="P125" s="42"/>
      <c r="Q125" s="43"/>
      <c r="R125" s="43"/>
      <c r="S125" s="43"/>
      <c r="T125" s="43"/>
      <c r="U125" s="43"/>
      <c r="V125" s="43"/>
    </row>
    <row r="126" spans="1:36" ht="21" customHeight="1" x14ac:dyDescent="0.15">
      <c r="A126" s="39"/>
      <c r="B126" s="40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41"/>
      <c r="P126" s="42"/>
      <c r="Q126" s="43"/>
      <c r="R126" s="43"/>
      <c r="S126" s="43"/>
      <c r="T126" s="43"/>
      <c r="U126" s="43"/>
      <c r="V126" s="43"/>
    </row>
    <row r="127" spans="1:36" ht="21" customHeight="1" x14ac:dyDescent="0.15">
      <c r="A127" s="39"/>
      <c r="B127" s="40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41"/>
      <c r="P127" s="42"/>
      <c r="Q127" s="43"/>
      <c r="R127" s="43"/>
      <c r="S127" s="43"/>
      <c r="T127" s="43"/>
      <c r="U127" s="43"/>
      <c r="V127" s="43"/>
    </row>
    <row r="128" spans="1:36" ht="21" customHeight="1" x14ac:dyDescent="0.15">
      <c r="A128" s="39"/>
      <c r="B128" s="40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41"/>
      <c r="P128" s="42"/>
      <c r="Q128" s="43"/>
      <c r="R128" s="43"/>
      <c r="S128" s="43"/>
      <c r="T128" s="43"/>
      <c r="U128" s="43"/>
      <c r="V128" s="43"/>
    </row>
    <row r="129" spans="1:22" ht="21" customHeight="1" x14ac:dyDescent="0.15">
      <c r="A129" s="39"/>
      <c r="B129" s="40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41"/>
      <c r="P129" s="42"/>
      <c r="Q129" s="43"/>
      <c r="R129" s="43"/>
      <c r="S129" s="43"/>
      <c r="T129" s="43"/>
      <c r="U129" s="43"/>
      <c r="V129" s="43"/>
    </row>
    <row r="130" spans="1:22" ht="21" customHeight="1" x14ac:dyDescent="0.15">
      <c r="A130" s="39"/>
      <c r="B130" s="40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41"/>
      <c r="P130" s="42"/>
      <c r="Q130" s="43"/>
      <c r="R130" s="43"/>
      <c r="S130" s="43"/>
      <c r="T130" s="43"/>
      <c r="U130" s="43"/>
      <c r="V130" s="43"/>
    </row>
    <row r="131" spans="1:22" ht="21" customHeight="1" x14ac:dyDescent="0.15">
      <c r="A131" s="39"/>
      <c r="B131" s="40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41"/>
      <c r="P131" s="42"/>
      <c r="Q131" s="43"/>
      <c r="R131" s="43"/>
      <c r="S131" s="43"/>
      <c r="T131" s="43"/>
      <c r="U131" s="43"/>
      <c r="V131" s="43"/>
    </row>
    <row r="132" spans="1:22" ht="21" customHeight="1" x14ac:dyDescent="0.15">
      <c r="A132" s="39"/>
      <c r="B132" s="40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41"/>
      <c r="P132" s="42"/>
      <c r="Q132" s="43"/>
      <c r="R132" s="43"/>
      <c r="S132" s="43"/>
      <c r="T132" s="43"/>
      <c r="U132" s="43"/>
      <c r="V132" s="43"/>
    </row>
    <row r="133" spans="1:22" ht="21" customHeight="1" x14ac:dyDescent="0.15">
      <c r="A133" s="39"/>
      <c r="B133" s="40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41"/>
      <c r="P133" s="42"/>
      <c r="Q133" s="43"/>
      <c r="R133" s="43"/>
      <c r="S133" s="43"/>
      <c r="T133" s="43"/>
      <c r="U133" s="43"/>
      <c r="V133" s="43"/>
    </row>
    <row r="134" spans="1:22" ht="21" customHeight="1" x14ac:dyDescent="0.15">
      <c r="A134" s="39"/>
      <c r="B134" s="40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41"/>
      <c r="P134" s="42"/>
      <c r="Q134" s="43"/>
      <c r="R134" s="43"/>
      <c r="S134" s="43"/>
      <c r="T134" s="43"/>
      <c r="U134" s="43"/>
      <c r="V134" s="43"/>
    </row>
    <row r="135" spans="1:22" ht="21" customHeight="1" x14ac:dyDescent="0.15">
      <c r="A135" s="39"/>
      <c r="B135" s="40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41"/>
      <c r="P135" s="42"/>
      <c r="Q135" s="43"/>
      <c r="R135" s="43"/>
      <c r="S135" s="43"/>
      <c r="T135" s="43"/>
      <c r="U135" s="43"/>
      <c r="V135" s="43"/>
    </row>
    <row r="136" spans="1:22" ht="21" customHeight="1" x14ac:dyDescent="0.15">
      <c r="A136" s="39"/>
      <c r="B136" s="40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41"/>
      <c r="P136" s="42"/>
      <c r="Q136" s="43"/>
      <c r="R136" s="43"/>
      <c r="S136" s="43"/>
      <c r="T136" s="43"/>
      <c r="U136" s="43"/>
      <c r="V136" s="43"/>
    </row>
    <row r="137" spans="1:22" ht="21" customHeight="1" x14ac:dyDescent="0.15">
      <c r="A137" s="39"/>
      <c r="B137" s="40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41"/>
      <c r="P137" s="42"/>
      <c r="Q137" s="43"/>
      <c r="R137" s="43"/>
      <c r="S137" s="43"/>
      <c r="T137" s="43"/>
      <c r="U137" s="43"/>
      <c r="V137" s="43"/>
    </row>
    <row r="138" spans="1:22" ht="21" customHeight="1" x14ac:dyDescent="0.15">
      <c r="A138" s="39"/>
      <c r="B138" s="40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41"/>
      <c r="P138" s="42"/>
      <c r="Q138" s="43"/>
      <c r="R138" s="43"/>
      <c r="S138" s="43"/>
      <c r="T138" s="43"/>
      <c r="U138" s="43"/>
      <c r="V138" s="43"/>
    </row>
    <row r="139" spans="1:22" ht="21" customHeight="1" x14ac:dyDescent="0.15">
      <c r="A139" s="39"/>
      <c r="B139" s="40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41"/>
      <c r="P139" s="42"/>
      <c r="Q139" s="43"/>
      <c r="R139" s="43"/>
      <c r="S139" s="43"/>
      <c r="T139" s="43"/>
      <c r="U139" s="43"/>
      <c r="V139" s="43"/>
    </row>
    <row r="140" spans="1:22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22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22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22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22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22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22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22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22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22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22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22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22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22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22" ht="21" customHeight="1" x14ac:dyDescent="0.15">
      <c r="A186" s="39"/>
      <c r="B186" s="40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22" ht="21" customHeight="1" x14ac:dyDescent="0.15">
      <c r="A187" s="39"/>
      <c r="B187" s="40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22" ht="21" customHeight="1" x14ac:dyDescent="0.15">
      <c r="A188" s="39"/>
      <c r="B188" s="40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22" ht="21" customHeight="1" x14ac:dyDescent="0.15">
      <c r="A189" s="39"/>
      <c r="B189" s="40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22" ht="21" customHeight="1" x14ac:dyDescent="0.15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22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22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AJ335"/>
  <sheetViews>
    <sheetView showGridLines="0" workbookViewId="0">
      <pane ySplit="1" topLeftCell="A29" activePane="bottomLeft" state="frozen"/>
      <selection activeCell="E6" sqref="E6"/>
      <selection pane="bottomLeft" activeCell="A2" sqref="A2:A3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7025101</v>
      </c>
      <c r="B2" s="6">
        <v>168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7">
        <f>((IF(D2="premium",304,20)))</f>
        <v>304</v>
      </c>
      <c r="P2" s="27">
        <f t="shared" ref="P2:P35" si="1">O2/SUM(O:O)</f>
        <v>4.7352024922118381E-2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7025101</v>
      </c>
      <c r="B3" s="6">
        <v>180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地獄の大門番 ケルベロス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7" si="3">((IF(D3="premium",304,20)))</f>
        <v>304</v>
      </c>
      <c r="P3" s="27">
        <f t="shared" si="1"/>
        <v>4.7352024922118381E-2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7025101</v>
      </c>
      <c r="B4" s="6">
        <v>192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荘厳なる始祖帝 卑弥呼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f t="shared" si="3"/>
        <v>304</v>
      </c>
      <c r="P4" s="27">
        <f t="shared" si="1"/>
        <v>4.7352024922118381E-2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7025101</v>
      </c>
      <c r="B5" s="6">
        <v>204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慟哭の巨焔 プロメテウス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男性</v>
      </c>
      <c r="O5" s="7">
        <f t="shared" si="3"/>
        <v>304</v>
      </c>
      <c r="P5" s="27">
        <f t="shared" si="1"/>
        <v>4.7352024922118381E-2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7025101</v>
      </c>
      <c r="B6" s="6">
        <v>216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百読の死導司書 アズラエル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7">
        <f t="shared" si="3"/>
        <v>304</v>
      </c>
      <c r="P6" s="27">
        <f t="shared" si="1"/>
        <v>4.7352024922118381E-2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7025101</v>
      </c>
      <c r="B7" s="6">
        <v>228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殲滅の掃射砲 アレス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red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男性</v>
      </c>
      <c r="O7" s="7">
        <f t="shared" si="3"/>
        <v>304</v>
      </c>
      <c r="P7" s="27">
        <f t="shared" si="1"/>
        <v>4.7352024922118381E-2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7025101</v>
      </c>
      <c r="B8" s="6">
        <v>240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轟炎の天使 ウリエル・スレイヤー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hp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304</v>
      </c>
      <c r="P8" s="27">
        <f t="shared" si="1"/>
        <v>4.7352024922118381E-2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7025101</v>
      </c>
      <c r="B9" s="6">
        <v>252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強欲の沸騰 マンモン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f t="shared" si="3"/>
        <v>304</v>
      </c>
      <c r="P9" s="27">
        <f t="shared" si="1"/>
        <v>4.7352024922118381E-2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7025101</v>
      </c>
      <c r="B10" s="6">
        <v>321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巌鉄の烈志士 近藤勇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hp</v>
      </c>
      <c r="M10" s="7" t="str">
        <f>VLOOKUP(B10,[1]characters!$A:$M,13,FALSE)</f>
        <v>human</v>
      </c>
      <c r="N10" s="7" t="str">
        <f>VLOOKUP(B10,[1]characters!$A:$G,7,FALSE)</f>
        <v>男性</v>
      </c>
      <c r="O10" s="7">
        <f t="shared" si="3"/>
        <v>20</v>
      </c>
      <c r="P10" s="27">
        <f t="shared" si="1"/>
        <v>3.1152647975077881E-3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7025101</v>
      </c>
      <c r="B11" s="6">
        <v>382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激情の愛炎 バハムート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technical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f t="shared" si="3"/>
        <v>304</v>
      </c>
      <c r="P11" s="27">
        <f t="shared" si="1"/>
        <v>4.7352024922118381E-2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7025101</v>
      </c>
      <c r="B12" s="8">
        <v>391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燕翼の旅人 親指姫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heal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20</v>
      </c>
      <c r="P12" s="27">
        <f t="shared" si="1"/>
        <v>3.1152647975077881E-3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7025101</v>
      </c>
      <c r="B13" s="8">
        <v>402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天災の神狼 フェンリル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red</v>
      </c>
      <c r="L13" s="7" t="str">
        <f>VLOOKUP(B13,[1]characters!$A:$K,11,FALSE)</f>
        <v>attack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f t="shared" si="3"/>
        <v>304</v>
      </c>
      <c r="P13" s="27">
        <f t="shared" si="1"/>
        <v>4.7352024922118381E-2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7025101</v>
      </c>
      <c r="B14" s="6">
        <v>435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曝弾の密偵 D.R.T.H.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7">
        <f t="shared" si="3"/>
        <v>20</v>
      </c>
      <c r="P14" s="27">
        <f t="shared" si="1"/>
        <v>3.1152647975077881E-3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7025101</v>
      </c>
      <c r="B15" s="6">
        <v>464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円熟の弾導 ガウェイン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red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f t="shared" si="3"/>
        <v>304</v>
      </c>
      <c r="P15" s="27">
        <f t="shared" si="1"/>
        <v>4.7352024922118381E-2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7025101</v>
      </c>
      <c r="B16" s="6">
        <v>475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7">
        <f t="shared" si="3"/>
        <v>20</v>
      </c>
      <c r="P16" s="27">
        <f t="shared" si="1"/>
        <v>3.1152647975077881E-3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7025101</v>
      </c>
      <c r="B17" s="6">
        <v>493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跋扈の機脚 ブートレグ・ペロー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hp</v>
      </c>
      <c r="M17" s="7" t="str">
        <f>VLOOKUP(B17,[1]characters!$A:$M,13,FALSE)</f>
        <v>animal</v>
      </c>
      <c r="N17" s="7" t="str">
        <f>VLOOKUP(B17,[1]characters!$A:$G,7,FALSE)</f>
        <v>不明</v>
      </c>
      <c r="O17" s="7">
        <f t="shared" si="3"/>
        <v>20</v>
      </c>
      <c r="P17" s="27">
        <f t="shared" si="1"/>
        <v>3.1152647975077881E-3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7025101</v>
      </c>
      <c r="B18" s="6">
        <v>560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暴骨炎舞の狂賢者 ユノ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女性</v>
      </c>
      <c r="O18" s="7">
        <f t="shared" si="3"/>
        <v>304</v>
      </c>
      <c r="P18" s="27">
        <f t="shared" si="1"/>
        <v>4.7352024922118381E-2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7025101</v>
      </c>
      <c r="B19" s="6">
        <v>587</v>
      </c>
      <c r="C19" s="7" t="str">
        <f t="shared" si="0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原初の煉鋼巨刃 ユミル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red</v>
      </c>
      <c r="L19" s="7" t="str">
        <f>VLOOKUP(B19,[1]characters!$A:$K,11,FALSE)</f>
        <v>hp</v>
      </c>
      <c r="M19" s="7" t="str">
        <f>VLOOKUP(B19,[1]characters!$A:$M,13,FALSE)</f>
        <v>machine</v>
      </c>
      <c r="N19" s="7" t="str">
        <f>VLOOKUP(B19,[1]characters!$A:$G,7,FALSE)</f>
        <v>不明</v>
      </c>
      <c r="O19" s="7">
        <f t="shared" si="3"/>
        <v>20</v>
      </c>
      <c r="P19" s="27">
        <f t="shared" si="1"/>
        <v>3.1152647975077881E-3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7025101</v>
      </c>
      <c r="B20" s="6">
        <v>598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焼燃の情熱 ムスペルヘイム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男性</v>
      </c>
      <c r="O20" s="7">
        <f t="shared" si="3"/>
        <v>304</v>
      </c>
      <c r="P20" s="27">
        <f t="shared" si="1"/>
        <v>4.7352024922118381E-2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7025101</v>
      </c>
      <c r="B21" s="6">
        <v>659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跳梁する化猫 クルミ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attack</v>
      </c>
      <c r="M21" s="7" t="str">
        <f>VLOOKUP(B21,[1]characters!$A:$M,13,FALSE)</f>
        <v>animal</v>
      </c>
      <c r="N21" s="7" t="str">
        <f>VLOOKUP(B21,[1]characters!$A:$G,7,FALSE)</f>
        <v>女性</v>
      </c>
      <c r="O21" s="7">
        <f t="shared" si="3"/>
        <v>20</v>
      </c>
      <c r="P21" s="27">
        <f t="shared" si="1"/>
        <v>3.1152647975077881E-3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7025101</v>
      </c>
      <c r="B22" s="6">
        <v>670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陽天の噴煙 アグニ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hp</v>
      </c>
      <c r="M22" s="7" t="str">
        <f>VLOOKUP(B22,[1]characters!$A:$M,13,FALSE)</f>
        <v>god</v>
      </c>
      <c r="N22" s="7" t="str">
        <f>VLOOKUP(B22,[1]characters!$A:$G,7,FALSE)</f>
        <v>男性</v>
      </c>
      <c r="O22" s="7">
        <f t="shared" si="3"/>
        <v>304</v>
      </c>
      <c r="P22" s="27">
        <f t="shared" si="1"/>
        <v>4.7352024922118381E-2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7025101</v>
      </c>
      <c r="B23" s="6">
        <v>729</v>
      </c>
      <c r="C23" s="7" t="str">
        <f t="shared" si="0"/>
        <v>Premium5R3less</v>
      </c>
      <c r="D23" s="7" t="str">
        <f t="shared" si="2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暗厄の双刀 井伊直虎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7">
        <f t="shared" si="3"/>
        <v>304</v>
      </c>
      <c r="P23" s="27">
        <f t="shared" si="1"/>
        <v>4.7352024922118381E-2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7025101</v>
      </c>
      <c r="B24" s="6">
        <v>742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7">
        <f t="shared" si="3"/>
        <v>20</v>
      </c>
      <c r="P24" s="27">
        <f t="shared" si="1"/>
        <v>3.1152647975077881E-3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7025101</v>
      </c>
      <c r="B25" s="6">
        <v>771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天織羽鶴 ハヅル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7">
        <f t="shared" si="3"/>
        <v>20</v>
      </c>
      <c r="P25" s="27">
        <f t="shared" si="1"/>
        <v>3.1152647975077881E-3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7025101</v>
      </c>
      <c r="B26" s="6">
        <v>848</v>
      </c>
      <c r="C26" s="7" t="str">
        <f t="shared" si="0"/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メタトロン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男性</v>
      </c>
      <c r="O26" s="7">
        <f t="shared" si="3"/>
        <v>20</v>
      </c>
      <c r="P26" s="27">
        <f t="shared" si="1"/>
        <v>3.1152647975077881E-3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7025101</v>
      </c>
      <c r="B27" s="6">
        <v>863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歓揮の楽団長 ブレーメン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red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7">
        <f t="shared" si="3"/>
        <v>304</v>
      </c>
      <c r="P27" s="27">
        <f t="shared" si="1"/>
        <v>4.7352024922118381E-2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7025101</v>
      </c>
      <c r="B28" s="6">
        <v>937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ナポレオン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20</v>
      </c>
      <c r="P28" s="27">
        <f t="shared" si="1"/>
        <v>3.1152647975077881E-3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7025101</v>
      </c>
      <c r="B29" s="6">
        <v>1012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ラー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balance</v>
      </c>
      <c r="M29" s="7" t="str">
        <f>VLOOKUP(B29,[1]characters!$A:$M,13,FALSE)</f>
        <v>god</v>
      </c>
      <c r="N29" s="7" t="str">
        <f>VLOOKUP(B29,[1]characters!$A:$G,7,FALSE)</f>
        <v>男性</v>
      </c>
      <c r="O29" s="7">
        <f t="shared" si="3"/>
        <v>20</v>
      </c>
      <c r="P29" s="27">
        <f t="shared" si="1"/>
        <v>3.1152647975077881E-3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7025101</v>
      </c>
      <c r="B30" s="6">
        <v>1027</v>
      </c>
      <c r="C30" s="7" t="str">
        <f t="shared" si="0"/>
        <v>Premium5R3less</v>
      </c>
      <c r="D30" s="7" t="str">
        <f t="shared" si="2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弾丸多重奏 蝉丸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7">
        <f t="shared" si="3"/>
        <v>304</v>
      </c>
      <c r="P30" s="27">
        <f t="shared" si="1"/>
        <v>4.7352024922118381E-2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7025101</v>
      </c>
      <c r="B31" s="6">
        <v>1068</v>
      </c>
      <c r="C31" s="7" t="str">
        <f t="shared" si="0"/>
        <v>Premium5R3less</v>
      </c>
      <c r="D31" s="7" t="str">
        <f t="shared" si="2"/>
        <v>Premium</v>
      </c>
      <c r="E31" s="7" t="str">
        <f>IF(COUNTIF('R6追加前'!A:A,B31)=0,IF(OR(I31="PremiumSS",I31="PremiumSSw"),"R5only","R3less"),"")</f>
        <v>R3less</v>
      </c>
      <c r="F31" s="7" t="str">
        <f>IF(COUNTIF('R6開放'!A:A,B31)&gt;0,"R6release","")</f>
        <v/>
      </c>
      <c r="G31" s="7"/>
      <c r="H31" s="7" t="str">
        <f>VLOOKUP(B31,[1]characters!$A:$C,3,FALSE)</f>
        <v>想母の羽龍 ウシュムガル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dragon</v>
      </c>
      <c r="N31" s="7" t="str">
        <f>VLOOKUP(B31,[1]characters!$A:$G,7,FALSE)</f>
        <v>男性</v>
      </c>
      <c r="O31" s="7">
        <f t="shared" si="3"/>
        <v>304</v>
      </c>
      <c r="P31" s="27">
        <f t="shared" si="1"/>
        <v>4.7352024922118381E-2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7025101</v>
      </c>
      <c r="B32" s="6">
        <v>1100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北斎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不明</v>
      </c>
      <c r="O32" s="7">
        <f t="shared" si="3"/>
        <v>20</v>
      </c>
      <c r="P32" s="27">
        <f t="shared" si="1"/>
        <v>3.1152647975077881E-3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7025101</v>
      </c>
      <c r="B33" s="6">
        <v>1137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諸葛亮</v>
      </c>
      <c r="I33" s="7" t="str">
        <f>VLOOKUP(B33,[1]characters!$A:$J,10,FALSE)</f>
        <v>PremiumSSw</v>
      </c>
      <c r="J33" s="7">
        <f>VLOOKUP(B33,[1]characters!$A:$I,9,FALSE)</f>
        <v>5</v>
      </c>
      <c r="K33" s="7" t="str">
        <f>VLOOKUP(B33,[1]characters!$A:$H,8,FALSE)</f>
        <v>red</v>
      </c>
      <c r="L33" s="7" t="str">
        <f>VLOOKUP(B33,[1]characters!$A:$K,11,FALSE)</f>
        <v>technical</v>
      </c>
      <c r="M33" s="7" t="str">
        <f>VLOOKUP(B33,[1]characters!$A:$M,13,FALSE)</f>
        <v>samurai</v>
      </c>
      <c r="N33" s="7" t="str">
        <f>VLOOKUP(B33,[1]characters!$A:$G,7,FALSE)</f>
        <v>不明</v>
      </c>
      <c r="O33" s="7">
        <f t="shared" si="3"/>
        <v>20</v>
      </c>
      <c r="P33" s="27">
        <f t="shared" si="1"/>
        <v>3.1152647975077881E-3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7025101</v>
      </c>
      <c r="B34" s="6">
        <v>1152</v>
      </c>
      <c r="C34" s="7" t="str">
        <f t="shared" si="0"/>
        <v>Premium5R3less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衆知の富益神 ガネーシャ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god</v>
      </c>
      <c r="N34" s="7" t="str">
        <f>VLOOKUP(B34,[1]characters!$A:$G,7,FALSE)</f>
        <v>不明</v>
      </c>
      <c r="O34" s="7">
        <f t="shared" si="3"/>
        <v>304</v>
      </c>
      <c r="P34" s="27">
        <f t="shared" si="1"/>
        <v>4.7352024922118381E-2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7025101</v>
      </c>
      <c r="B35" s="6">
        <v>1208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ネメシス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hp</v>
      </c>
      <c r="M35" s="7" t="str">
        <f>VLOOKUP(B35,[1]characters!$A:$M,13,FALSE)</f>
        <v>god</v>
      </c>
      <c r="N35" s="7">
        <f>VLOOKUP(B35,[1]characters!$A:$G,7,FALSE)</f>
        <v>0</v>
      </c>
      <c r="O35" s="7">
        <f t="shared" si="3"/>
        <v>20</v>
      </c>
      <c r="P35" s="27">
        <f t="shared" si="1"/>
        <v>3.1152647975077881E-3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ht="21" customHeight="1" x14ac:dyDescent="0.15">
      <c r="A36" s="2">
        <v>7025101</v>
      </c>
      <c r="B36" s="6">
        <v>1225</v>
      </c>
      <c r="C36" s="7" t="str">
        <f t="shared" ref="C36" si="4">D36&amp;J36&amp;E36&amp;F36&amp;G36</f>
        <v>Premium5R3less</v>
      </c>
      <c r="D36" s="7" t="str">
        <f t="shared" ref="D36" si="5">IF(OR(I36="PremiumSS",I36="PremiumSSw"),"PremiumSS",IF(I36="PremiumSSS",I36,IF(I36="PremiumW",IF(J36=5,"premium",I36),"Premium")))</f>
        <v>Premium</v>
      </c>
      <c r="E36" s="7" t="str">
        <f>IF(COUNTIF('R6追加前'!A:A,B36)=0,IF(OR(I36="PremiumSS",I36="PremiumSSw"),"R5only","R3less"),"")</f>
        <v>R3less</v>
      </c>
      <c r="F36" s="7" t="str">
        <f>IF(COUNTIF('R6開放'!A:A,B36)&gt;0,"R6release","")</f>
        <v/>
      </c>
      <c r="G36" s="7"/>
      <c r="H36" s="7" t="str">
        <f>VLOOKUP(B36,[1]characters!$A:$C,3,FALSE)</f>
        <v>優柔なる風断者 セルバンテス</v>
      </c>
      <c r="I36" s="7" t="str">
        <f>VLOOKUP(B36,[1]characters!$A:$J,10,FALSE)</f>
        <v>PremiumS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>
        <f>VLOOKUP(B36,[1]characters!$A:$G,7,FALSE)</f>
        <v>0</v>
      </c>
      <c r="O36" s="7">
        <f t="shared" si="3"/>
        <v>304</v>
      </c>
      <c r="P36" s="27">
        <f t="shared" ref="P36" si="6">O36/SUM(O:O)</f>
        <v>4.7352024922118381E-2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ht="21" customHeight="1" x14ac:dyDescent="0.15">
      <c r="A37" s="2">
        <v>7025101</v>
      </c>
      <c r="B37" s="6">
        <v>1244</v>
      </c>
      <c r="C37" s="7" t="str">
        <f t="shared" ref="C37" si="7">D37&amp;J37&amp;E37&amp;F37&amp;G37</f>
        <v>PremiumSS5R5only</v>
      </c>
      <c r="D37" s="7" t="str">
        <f t="shared" ref="D37" si="8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猿飛佐助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red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>
        <f>VLOOKUP(B37,[1]characters!$A:$G,7,FALSE)</f>
        <v>0</v>
      </c>
      <c r="O37" s="7">
        <f t="shared" si="3"/>
        <v>20</v>
      </c>
      <c r="P37" s="27">
        <f t="shared" ref="P37" si="9">O37/SUM(O:O)</f>
        <v>3.1152647975077881E-3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ht="21" customHeight="1" x14ac:dyDescent="0.15">
      <c r="A38" s="2">
        <v>7025101</v>
      </c>
      <c r="B38" s="6">
        <v>1260</v>
      </c>
      <c r="C38" s="7" t="str">
        <f t="shared" ref="C38" si="10">D38&amp;J38&amp;E38&amp;F38&amp;G38</f>
        <v>PremiumSS5R5only</v>
      </c>
      <c r="D38" s="7" t="str">
        <f t="shared" ref="D38" si="11">IF(OR(I38="PremiumSS",I38="PremiumSSw"),"PremiumSS",IF(I38="PremiumSSS",I38,IF(I38="PremiumW",IF(J38=5,"premium",I38),"Premium")))</f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トール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god</v>
      </c>
      <c r="N38" s="7">
        <f>VLOOKUP(B38,[1]characters!$A:$G,7,FALSE)</f>
        <v>0</v>
      </c>
      <c r="O38" s="7">
        <f t="shared" ref="O38" si="12">((IF(D38="premium",304,20)))</f>
        <v>20</v>
      </c>
      <c r="P38" s="27">
        <f t="shared" ref="P38" si="13">O38/SUM(O:O)</f>
        <v>3.1152647975077881E-3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ht="21" customHeight="1" x14ac:dyDescent="0.15">
      <c r="A39" s="2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AJ336"/>
  <sheetViews>
    <sheetView showGridLines="0" workbookViewId="0">
      <pane ySplit="1" topLeftCell="A31" activePane="bottomLeft" state="frozen"/>
      <selection activeCell="E6" sqref="E6"/>
      <selection pane="bottomLeft" activeCell="A2" sqref="A2:A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7025102</v>
      </c>
      <c r="B2" s="6">
        <v>174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偽愛の大公爵 フォルネウス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f>IF(D2="Premium",285,22)</f>
        <v>285</v>
      </c>
      <c r="P2" s="27">
        <f t="shared" ref="P2:P38" si="1">O2/SUM(O:O)</f>
        <v>4.3038356991845363E-2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7025102</v>
      </c>
      <c r="B3" s="6">
        <v>186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誇り高き多触姫・クラーケン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heal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8" si="3">IF(D3="Premium",285,22)</f>
        <v>285</v>
      </c>
      <c r="P3" s="27">
        <f t="shared" si="1"/>
        <v>4.3038356991845363E-2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7025102</v>
      </c>
      <c r="B4" s="6">
        <v>201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斬空の大破剣 ジークフリート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男性</v>
      </c>
      <c r="O4" s="7">
        <f t="shared" si="3"/>
        <v>285</v>
      </c>
      <c r="P4" s="27">
        <f t="shared" si="1"/>
        <v>4.3038356991845363E-2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7025102</v>
      </c>
      <c r="B5" s="6">
        <v>210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海底の孤高神 テティス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f t="shared" si="3"/>
        <v>285</v>
      </c>
      <c r="P5" s="27">
        <f t="shared" si="1"/>
        <v>4.3038356991845363E-2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7025102</v>
      </c>
      <c r="B6" s="6">
        <v>222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避光の鉄鎖宰相 ルキフグス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7">
        <f t="shared" si="3"/>
        <v>285</v>
      </c>
      <c r="P6" s="27">
        <f t="shared" si="1"/>
        <v>4.3038356991845363E-2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7025102</v>
      </c>
      <c r="B7" s="6">
        <v>234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精密なる照準 パーシヴァル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human</v>
      </c>
      <c r="N7" s="7" t="str">
        <f>VLOOKUP(B7,[1]characters!$A:$G,7,FALSE)</f>
        <v>女性</v>
      </c>
      <c r="O7" s="7">
        <f t="shared" si="3"/>
        <v>285</v>
      </c>
      <c r="P7" s="27">
        <f t="shared" si="1"/>
        <v>4.3038356991845363E-2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7025102</v>
      </c>
      <c r="B8" s="6">
        <v>246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真癒の天使 ラファエル・メディカ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285</v>
      </c>
      <c r="P8" s="27">
        <f t="shared" si="1"/>
        <v>4.3038356991845363E-2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7025102</v>
      </c>
      <c r="B9" s="6">
        <v>258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色欲の源流 アスモデウス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attack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f t="shared" si="3"/>
        <v>285</v>
      </c>
      <c r="P9" s="27">
        <f t="shared" si="1"/>
        <v>4.3038356991845363E-2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7025102</v>
      </c>
      <c r="B10" s="6">
        <v>325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天賦の凛志士 沖田総司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f t="shared" si="3"/>
        <v>22</v>
      </c>
      <c r="P10" s="27">
        <f t="shared" si="1"/>
        <v>3.3222591362126247E-3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7025102</v>
      </c>
      <c r="B11" s="6">
        <v>386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氾乱の海龍 リヴァイアサン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blue</v>
      </c>
      <c r="L11" s="7" t="str">
        <f>VLOOKUP(B11,[1]characters!$A:$K,11,FALSE)</f>
        <v>balance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f t="shared" si="3"/>
        <v>22</v>
      </c>
      <c r="P11" s="27">
        <f t="shared" si="1"/>
        <v>3.3222591362126247E-3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7025102</v>
      </c>
      <c r="B12" s="8">
        <v>397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禁断の追箱 乙姫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hp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285</v>
      </c>
      <c r="P12" s="27">
        <f t="shared" si="1"/>
        <v>4.3038356991845363E-2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7025102</v>
      </c>
      <c r="B13" s="8">
        <v>407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蠱惑の飛刀 エキドナ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technical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f t="shared" si="3"/>
        <v>285</v>
      </c>
      <c r="P13" s="27">
        <f t="shared" si="1"/>
        <v>4.3038356991845363E-2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7025102</v>
      </c>
      <c r="B14" s="6">
        <v>441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求心の錻装 ブリキロガー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attack</v>
      </c>
      <c r="M14" s="7" t="str">
        <f>VLOOKUP(B14,[1]characters!$A:$M,13,FALSE)</f>
        <v>machine</v>
      </c>
      <c r="N14" s="7" t="str">
        <f>VLOOKUP(B14,[1]characters!$A:$G,7,FALSE)</f>
        <v>不明</v>
      </c>
      <c r="O14" s="7">
        <f t="shared" si="3"/>
        <v>285</v>
      </c>
      <c r="P14" s="27">
        <f t="shared" si="1"/>
        <v>4.3038356991845363E-2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7025102</v>
      </c>
      <c r="B15" s="6">
        <v>468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7">
        <f t="shared" si="3"/>
        <v>22</v>
      </c>
      <c r="P15" s="27">
        <f t="shared" si="1"/>
        <v>3.3222591362126247E-3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7025102</v>
      </c>
      <c r="B16" s="6">
        <v>480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夢幻の愚者フール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technical</v>
      </c>
      <c r="M16" s="7" t="str">
        <f>VLOOKUP(B16,[1]characters!$A:$M,13,FALSE)</f>
        <v>god</v>
      </c>
      <c r="N16" s="7" t="str">
        <f>VLOOKUP(B16,[1]characters!$A:$G,7,FALSE)</f>
        <v>男性</v>
      </c>
      <c r="O16" s="7">
        <f t="shared" si="3"/>
        <v>22</v>
      </c>
      <c r="P16" s="27">
        <f t="shared" si="1"/>
        <v>3.3222591362126247E-3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7025102</v>
      </c>
      <c r="B17" s="6">
        <v>498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自愛の高魔 エスタブ</v>
      </c>
      <c r="I17" s="7" t="str">
        <f>VLOOKUP(B17,[1]characters!$A:$J,10,FALSE)</f>
        <v>PremiumS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attack</v>
      </c>
      <c r="M17" s="7" t="str">
        <f>VLOOKUP(B17,[1]characters!$A:$M,13,FALSE)</f>
        <v>human</v>
      </c>
      <c r="N17" s="7" t="str">
        <f>VLOOKUP(B17,[1]characters!$A:$G,7,FALSE)</f>
        <v>男性</v>
      </c>
      <c r="O17" s="7">
        <f t="shared" si="3"/>
        <v>285</v>
      </c>
      <c r="P17" s="27">
        <f t="shared" si="1"/>
        <v>4.3038356991845363E-2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7025102</v>
      </c>
      <c r="B18" s="6">
        <v>562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月夜砕く蒼狂狼 ローレンス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blue</v>
      </c>
      <c r="L18" s="7" t="str">
        <f>VLOOKUP(B18,[1]characters!$A:$K,11,FALSE)</f>
        <v>attack</v>
      </c>
      <c r="M18" s="7" t="str">
        <f>VLOOKUP(B18,[1]characters!$A:$M,13,FALSE)</f>
        <v>animal</v>
      </c>
      <c r="N18" s="7" t="str">
        <f>VLOOKUP(B18,[1]characters!$A:$G,7,FALSE)</f>
        <v>不明</v>
      </c>
      <c r="O18" s="7">
        <f t="shared" si="3"/>
        <v>285</v>
      </c>
      <c r="P18" s="27">
        <f t="shared" si="1"/>
        <v>4.3038356991845363E-2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7025102</v>
      </c>
      <c r="B19" s="6">
        <v>566</v>
      </c>
      <c r="C19" s="7" t="str">
        <f t="shared" si="0"/>
        <v>premium5R3less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遊歩遊泳プリンセス マーメイド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blue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不明</v>
      </c>
      <c r="O19" s="7">
        <f t="shared" si="3"/>
        <v>285</v>
      </c>
      <c r="P19" s="27">
        <f t="shared" si="1"/>
        <v>4.3038356991845363E-2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7025102</v>
      </c>
      <c r="B20" s="6">
        <v>593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妄執する邪毒龍 ファフニール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f t="shared" si="3"/>
        <v>285</v>
      </c>
      <c r="P20" s="27">
        <f t="shared" si="1"/>
        <v>4.3038356991845363E-2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7025102</v>
      </c>
      <c r="B21" s="6">
        <v>603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掌愛の豊穣女神 フレイヤ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heal</v>
      </c>
      <c r="M21" s="7" t="str">
        <f>VLOOKUP(B21,[1]characters!$A:$M,13,FALSE)</f>
        <v>animal</v>
      </c>
      <c r="N21" s="7" t="str">
        <f>VLOOKUP(B21,[1]characters!$A:$G,7,FALSE)</f>
        <v>女性</v>
      </c>
      <c r="O21" s="7">
        <f t="shared" si="3"/>
        <v>22</v>
      </c>
      <c r="P21" s="27">
        <f t="shared" si="1"/>
        <v>3.3222591362126247E-3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7025102</v>
      </c>
      <c r="B22" s="6">
        <v>664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山掴み国造り ダイダラ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7">
        <f t="shared" si="3"/>
        <v>285</v>
      </c>
      <c r="P22" s="27">
        <f t="shared" si="1"/>
        <v>4.3038356991845363E-2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7025102</v>
      </c>
      <c r="B23" s="6">
        <v>675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芸楽の奔流 サラスヴァティ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balance</v>
      </c>
      <c r="M23" s="7" t="str">
        <f>VLOOKUP(B23,[1]characters!$A:$M,13,FALSE)</f>
        <v>god</v>
      </c>
      <c r="N23" s="7" t="str">
        <f>VLOOKUP(B23,[1]characters!$A:$G,7,FALSE)</f>
        <v>女性</v>
      </c>
      <c r="O23" s="7">
        <f t="shared" si="3"/>
        <v>22</v>
      </c>
      <c r="P23" s="27">
        <f t="shared" si="1"/>
        <v>3.3222591362126247E-3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7025102</v>
      </c>
      <c r="B24" s="6">
        <v>732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上杉謙信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attack</v>
      </c>
      <c r="M24" s="7" t="str">
        <f>VLOOKUP(B24,[1]characters!$A:$M,13,FALSE)</f>
        <v>human</v>
      </c>
      <c r="N24" s="7" t="str">
        <f>VLOOKUP(B24,[1]characters!$A:$G,7,FALSE)</f>
        <v>女性</v>
      </c>
      <c r="O24" s="7">
        <f t="shared" si="3"/>
        <v>22</v>
      </c>
      <c r="P24" s="27">
        <f t="shared" si="1"/>
        <v>3.3222591362126247E-3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7025102</v>
      </c>
      <c r="B25" s="6">
        <v>747</v>
      </c>
      <c r="C25" s="7" t="str">
        <f t="shared" si="0"/>
        <v>Premium5R3less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潔碧の巡励神 ノルン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blue</v>
      </c>
      <c r="L25" s="7" t="str">
        <f>VLOOKUP(B25,[1]characters!$A:$K,11,FALSE)</f>
        <v>balance</v>
      </c>
      <c r="M25" s="7" t="str">
        <f>VLOOKUP(B25,[1]characters!$A:$M,13,FALSE)</f>
        <v>god</v>
      </c>
      <c r="N25" s="7" t="str">
        <f>VLOOKUP(B25,[1]characters!$A:$G,7,FALSE)</f>
        <v>男性</v>
      </c>
      <c r="O25" s="7">
        <f t="shared" si="3"/>
        <v>285</v>
      </c>
      <c r="P25" s="27">
        <f t="shared" si="1"/>
        <v>4.3038356991845363E-2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7025102</v>
      </c>
      <c r="B26" s="6">
        <v>776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水竜底主 ミズチ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heal</v>
      </c>
      <c r="M26" s="7" t="str">
        <f>VLOOKUP(B26,[1]characters!$A:$M,13,FALSE)</f>
        <v>dragon</v>
      </c>
      <c r="N26" s="7" t="str">
        <f>VLOOKUP(B26,[1]characters!$A:$G,7,FALSE)</f>
        <v>不明</v>
      </c>
      <c r="O26" s="7">
        <f t="shared" si="3"/>
        <v>285</v>
      </c>
      <c r="P26" s="27">
        <f t="shared" si="1"/>
        <v>4.3038356991845363E-2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7025102</v>
      </c>
      <c r="B27" s="6">
        <v>853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裂爪の天使 サキエル・ティア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hp</v>
      </c>
      <c r="M27" s="7" t="str">
        <f>VLOOKUP(B27,[1]characters!$A:$M,13,FALSE)</f>
        <v>god</v>
      </c>
      <c r="N27" s="7" t="str">
        <f>VLOOKUP(B27,[1]characters!$A:$G,7,FALSE)</f>
        <v>男性</v>
      </c>
      <c r="O27" s="7">
        <f t="shared" si="3"/>
        <v>285</v>
      </c>
      <c r="P27" s="27">
        <f t="shared" si="1"/>
        <v>4.3038356991845363E-2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7025102</v>
      </c>
      <c r="B28" s="6">
        <v>866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無敗の司令姫 白雪姫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22</v>
      </c>
      <c r="P28" s="27">
        <f t="shared" si="1"/>
        <v>3.3222591362126247E-3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7025102</v>
      </c>
      <c r="B29" s="6">
        <v>941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アントワネット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blue</v>
      </c>
      <c r="L29" s="7" t="str">
        <f>VLOOKUP(B29,[1]characters!$A:$K,11,FALSE)</f>
        <v>technical</v>
      </c>
      <c r="M29" s="7" t="str">
        <f>VLOOKUP(B29,[1]characters!$A:$M,13,FALSE)</f>
        <v>human</v>
      </c>
      <c r="N29" s="7" t="str">
        <f>VLOOKUP(B29,[1]characters!$A:$G,7,FALSE)</f>
        <v>男性</v>
      </c>
      <c r="O29" s="7">
        <f t="shared" si="3"/>
        <v>22</v>
      </c>
      <c r="P29" s="27">
        <f t="shared" si="1"/>
        <v>3.3222591362126247E-3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7025102</v>
      </c>
      <c r="B30" s="6">
        <v>1017</v>
      </c>
      <c r="C30" s="7" t="str">
        <f t="shared" si="0"/>
        <v>Premium5R3less</v>
      </c>
      <c r="D30" s="7" t="str">
        <f t="shared" si="2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命瞳の慈母神 ハトホル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god</v>
      </c>
      <c r="N30" s="7" t="str">
        <f>VLOOKUP(B30,[1]characters!$A:$G,7,FALSE)</f>
        <v>男性</v>
      </c>
      <c r="O30" s="7">
        <f t="shared" si="3"/>
        <v>285</v>
      </c>
      <c r="P30" s="27">
        <f t="shared" si="1"/>
        <v>4.3038356991845363E-2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7025102</v>
      </c>
      <c r="B31" s="6">
        <v>1031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紫式部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blue</v>
      </c>
      <c r="L31" s="7" t="str">
        <f>VLOOKUP(B31,[1]characters!$A:$K,11,FALSE)</f>
        <v>technical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7">
        <f t="shared" si="3"/>
        <v>22</v>
      </c>
      <c r="P31" s="27">
        <f t="shared" si="1"/>
        <v>3.3222591362126247E-3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7025102</v>
      </c>
      <c r="B32" s="6">
        <v>1072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エンキドゥ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男性</v>
      </c>
      <c r="O32" s="7">
        <f t="shared" si="3"/>
        <v>22</v>
      </c>
      <c r="P32" s="27">
        <f t="shared" si="1"/>
        <v>3.3222591362126247E-3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7025102</v>
      </c>
      <c r="B33" s="6">
        <v>1105</v>
      </c>
      <c r="C33" s="7" t="str">
        <f t="shared" si="0"/>
        <v>Premium5R3less</v>
      </c>
      <c r="D33" s="7" t="str">
        <f t="shared" si="2"/>
        <v>Premium</v>
      </c>
      <c r="E33" s="7" t="str">
        <f>IF(COUNTIF('R6追加前'!A:A,B33)=0,IF(OR(I33="PremiumSS",I33="PremiumSSw"),"R5only","R3less"),"")</f>
        <v>R3less</v>
      </c>
      <c r="F33" s="7" t="str">
        <f>IF(COUNTIF('R6開放'!A:A,B33)&gt;0,"R6release","")</f>
        <v/>
      </c>
      <c r="G33" s="7"/>
      <c r="H33" s="7" t="str">
        <f>VLOOKUP(B33,[1]characters!$A:$C,3,FALSE)</f>
        <v>甘美なる背徳 クリムト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technical</v>
      </c>
      <c r="M33" s="7" t="str">
        <f>VLOOKUP(B33,[1]characters!$A:$M,13,FALSE)</f>
        <v>human</v>
      </c>
      <c r="N33" s="7" t="str">
        <f>VLOOKUP(B33,[1]characters!$A:$G,7,FALSE)</f>
        <v>不明</v>
      </c>
      <c r="O33" s="7">
        <f t="shared" si="3"/>
        <v>285</v>
      </c>
      <c r="P33" s="27">
        <f t="shared" si="1"/>
        <v>4.3038356991845363E-2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7025102</v>
      </c>
      <c r="B34" s="6">
        <v>1141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月英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blue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不明</v>
      </c>
      <c r="O34" s="7">
        <f t="shared" si="3"/>
        <v>22</v>
      </c>
      <c r="P34" s="27">
        <f t="shared" si="1"/>
        <v>3.3222591362126247E-3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7025102</v>
      </c>
      <c r="B35" s="6">
        <v>1155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ドゥルガー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不明</v>
      </c>
      <c r="O35" s="7">
        <f t="shared" si="3"/>
        <v>22</v>
      </c>
      <c r="P35" s="27">
        <f t="shared" si="1"/>
        <v>3.3222591362126247E-3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ht="21" customHeight="1" x14ac:dyDescent="0.15">
      <c r="A36" s="2">
        <v>7025102</v>
      </c>
      <c r="B36" s="6">
        <v>1212</v>
      </c>
      <c r="C36" s="7" t="str">
        <f t="shared" ref="C36" si="4">D36&amp;J36&amp;E36&amp;F36&amp;G36</f>
        <v>PremiumSS5R5only</v>
      </c>
      <c r="D36" s="7" t="str">
        <f t="shared" ref="D36" si="5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クロノス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technical</v>
      </c>
      <c r="M36" s="7" t="str">
        <f>VLOOKUP(B36,[1]characters!$A:$M,13,FALSE)</f>
        <v>god</v>
      </c>
      <c r="N36" s="7">
        <f>VLOOKUP(B36,[1]characters!$A:$G,7,FALSE)</f>
        <v>0</v>
      </c>
      <c r="O36" s="7">
        <f t="shared" si="3"/>
        <v>22</v>
      </c>
      <c r="P36" s="27">
        <f t="shared" si="1"/>
        <v>3.3222591362126247E-3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ht="21" customHeight="1" x14ac:dyDescent="0.15">
      <c r="A37" s="2">
        <v>7025102</v>
      </c>
      <c r="B37" s="6">
        <v>1228</v>
      </c>
      <c r="C37" s="7" t="str">
        <f t="shared" ref="C37" si="6">D37&amp;J37&amp;E37&amp;F37&amp;G37</f>
        <v>PremiumSS5R5only</v>
      </c>
      <c r="D37" s="7" t="str">
        <f t="shared" ref="D37" si="7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芥川龍之介</v>
      </c>
      <c r="I37" s="7" t="str">
        <f>VLOOKUP(B37,[1]characters!$A:$J,10,FALSE)</f>
        <v>PremiumSSw</v>
      </c>
      <c r="J37" s="7">
        <f>VLOOKUP(B37,[1]characters!$A:$I,9,FALSE)</f>
        <v>5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>
        <f>VLOOKUP(B37,[1]characters!$A:$G,7,FALSE)</f>
        <v>0</v>
      </c>
      <c r="O37" s="7">
        <f t="shared" si="3"/>
        <v>22</v>
      </c>
      <c r="P37" s="27">
        <f t="shared" si="1"/>
        <v>3.3222591362126247E-3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ht="21" customHeight="1" x14ac:dyDescent="0.15">
      <c r="A38" s="2">
        <v>7025102</v>
      </c>
      <c r="B38" s="6">
        <v>1249</v>
      </c>
      <c r="C38" s="7" t="str">
        <f t="shared" ref="C38" si="8">D38&amp;J38&amp;E38&amp;F38&amp;G38</f>
        <v>Premium5R3less</v>
      </c>
      <c r="D38" s="7" t="str">
        <f t="shared" ref="D38" si="9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>R3less</v>
      </c>
      <c r="F38" s="7" t="str">
        <f>IF(COUNTIF('R6開放'!A:A,B38)&gt;0,"R6release","")</f>
        <v/>
      </c>
      <c r="G38" s="7"/>
      <c r="H38" s="7" t="str">
        <f>VLOOKUP(B38,[1]characters!$A:$C,3,FALSE)</f>
        <v>君臨する姐御様 寧々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blue</v>
      </c>
      <c r="L38" s="7" t="str">
        <f>VLOOKUP(B38,[1]characters!$A:$K,11,FALSE)</f>
        <v>heal</v>
      </c>
      <c r="M38" s="7" t="str">
        <f>VLOOKUP(B38,[1]characters!$A:$M,13,FALSE)</f>
        <v>human</v>
      </c>
      <c r="N38" s="7">
        <f>VLOOKUP(B38,[1]characters!$A:$G,7,FALSE)</f>
        <v>0</v>
      </c>
      <c r="O38" s="7">
        <f t="shared" si="3"/>
        <v>285</v>
      </c>
      <c r="P38" s="27">
        <f t="shared" si="1"/>
        <v>4.3038356991845363E-2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ht="21" customHeight="1" x14ac:dyDescent="0.15">
      <c r="A39" s="2">
        <v>7025102</v>
      </c>
      <c r="B39" s="6">
        <v>1264</v>
      </c>
      <c r="C39" s="7" t="str">
        <f t="shared" ref="C39" si="10">D39&amp;J39&amp;E39&amp;F39&amp;G39</f>
        <v>PremiumSS5R5only</v>
      </c>
      <c r="D39" s="7" t="str">
        <f t="shared" ref="D39" si="11">IF(OR(I39="PremiumSS",I39="PremiumSSw"),"PremiumSS",IF(I39="PremiumSSS",I39,IF(I39="PremiumW",IF(J39=5,"premium",I39),"Premium")))</f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ウルズ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heal</v>
      </c>
      <c r="M39" s="7" t="str">
        <f>VLOOKUP(B39,[1]characters!$A:$M,13,FALSE)</f>
        <v>god</v>
      </c>
      <c r="N39" s="7">
        <f>VLOOKUP(B39,[1]characters!$A:$G,7,FALSE)</f>
        <v>0</v>
      </c>
      <c r="O39" s="7">
        <f t="shared" ref="O39" si="12">IF(D39="Premium",285,22)</f>
        <v>22</v>
      </c>
      <c r="P39" s="27">
        <f t="shared" ref="P39" si="13">O39/SUM(O:O)</f>
        <v>3.3222591362126247E-3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</row>
    <row r="40" spans="1:22" ht="21" customHeight="1" x14ac:dyDescent="0.15">
      <c r="A40" s="2"/>
      <c r="B40" s="6"/>
      <c r="C40" s="7"/>
      <c r="D40" s="7"/>
      <c r="E40" s="7"/>
      <c r="F40" s="54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ht="21" customHeight="1" x14ac:dyDescent="0.15">
      <c r="A41" s="2"/>
      <c r="B41" s="6"/>
      <c r="C41" s="7"/>
      <c r="D41" s="7"/>
      <c r="E41" s="7"/>
      <c r="F41" s="54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ht="21" customHeight="1" x14ac:dyDescent="0.15">
      <c r="A62" s="2"/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ht="21" customHeight="1" x14ac:dyDescent="0.15">
      <c r="A66" s="2"/>
      <c r="B66" s="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</row>
    <row r="67" spans="1:36" s="9" customFormat="1" ht="21" customHeight="1" thickBot="1" x14ac:dyDescent="0.2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ht="21" customHeight="1" x14ac:dyDescent="0.15">
      <c r="A75" s="2"/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2"/>
      <c r="B78" s="4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26"/>
      <c r="P78" s="27"/>
      <c r="Q78" s="22"/>
      <c r="R78" s="22"/>
      <c r="S78" s="22"/>
      <c r="T78" s="22"/>
      <c r="U78" s="22"/>
      <c r="V78" s="22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4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52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s="51" customFormat="1" ht="21" customHeight="1" x14ac:dyDescent="0.15">
      <c r="A140" s="46"/>
      <c r="B140" s="4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8"/>
      <c r="P140" s="49"/>
      <c r="Q140" s="50"/>
      <c r="R140" s="50"/>
      <c r="S140" s="50"/>
      <c r="T140" s="50"/>
      <c r="U140" s="50"/>
      <c r="V140" s="50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ht="21" customHeight="1" x14ac:dyDescent="0.15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</row>
    <row r="144" spans="1:36" s="12" customFormat="1" ht="21" customHeight="1" thickBot="1" x14ac:dyDescent="0.2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</row>
    <row r="145" spans="1:22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0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ht="21" customHeight="1" x14ac:dyDescent="0.15">
      <c r="A190" s="39"/>
      <c r="B190" s="44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</row>
    <row r="191" spans="1:36" s="9" customFormat="1" ht="21" customHeight="1" thickBot="1" x14ac:dyDescent="0.2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  <c r="AJ191" s="45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ht="21" customHeight="1" x14ac:dyDescent="0.15">
      <c r="A272" s="39"/>
      <c r="B272" s="40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  <row r="336" spans="1:22" ht="21" customHeight="1" x14ac:dyDescent="0.15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41"/>
      <c r="P336" s="42"/>
      <c r="Q336" s="43"/>
      <c r="R336" s="43"/>
      <c r="S336" s="43"/>
      <c r="T336" s="43"/>
      <c r="U336" s="43"/>
      <c r="V336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AJ335"/>
  <sheetViews>
    <sheetView showGridLines="0" workbookViewId="0">
      <pane ySplit="1" topLeftCell="A23" activePane="bottomLeft" state="frozen"/>
      <selection activeCell="E6" sqref="E6"/>
      <selection pane="bottomLeft" activeCell="O38" sqref="O3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7025103</v>
      </c>
      <c r="B2" s="6">
        <v>171</v>
      </c>
      <c r="C2" s="7" t="str">
        <f t="shared" ref="C2:C3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精解の預知者 オセ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v>17</v>
      </c>
      <c r="P2" s="27">
        <f t="shared" ref="P2:P37" si="1">O2/SUM(O:O)</f>
        <v>4.9853372434017593E-2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7025103</v>
      </c>
      <c r="B3" s="6">
        <v>183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鈍重な彷徨者 ベヒモス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v>17</v>
      </c>
      <c r="P3" s="27">
        <f t="shared" si="1"/>
        <v>4.9853372434017593E-2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7025103</v>
      </c>
      <c r="B4" s="6">
        <v>195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グランドハンター ロビンフッド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v>17</v>
      </c>
      <c r="P4" s="27">
        <f t="shared" si="1"/>
        <v>4.9853372434017593E-2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7025103</v>
      </c>
      <c r="B5" s="6">
        <v>207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豊穣の麗神・アフロディーテ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v>17</v>
      </c>
      <c r="P5" s="27">
        <f t="shared" si="1"/>
        <v>4.9853372434017593E-2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7025103</v>
      </c>
      <c r="B6" s="6">
        <v>219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覇翼の聖蛇竜 ケツァクアトル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7">
        <v>17</v>
      </c>
      <c r="P6" s="27">
        <f t="shared" si="1"/>
        <v>4.9853372434017593E-2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7025103</v>
      </c>
      <c r="B7" s="6">
        <v>231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必中の咬銃 ヨルムンガンド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technical</v>
      </c>
      <c r="M7" s="7" t="str">
        <f>VLOOKUP(B7,[1]characters!$A:$M,13,FALSE)</f>
        <v>dragon</v>
      </c>
      <c r="N7" s="7" t="str">
        <f>VLOOKUP(B7,[1]characters!$A:$G,7,FALSE)</f>
        <v>女性</v>
      </c>
      <c r="O7" s="7">
        <v>17</v>
      </c>
      <c r="P7" s="27">
        <f t="shared" si="1"/>
        <v>4.9853372434017593E-2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7025103</v>
      </c>
      <c r="B8" s="6">
        <v>243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万花の天使 ガブリエル・ブルーム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v>17</v>
      </c>
      <c r="P8" s="27">
        <f t="shared" si="1"/>
        <v>4.9853372434017593E-2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7025103</v>
      </c>
      <c r="B9" s="6">
        <v>255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怠惰の頂点 ベルフェゴール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green</v>
      </c>
      <c r="L9" s="7" t="str">
        <f>VLOOKUP(B9,[1]characters!$A:$K,11,FALSE)</f>
        <v>technical</v>
      </c>
      <c r="M9" s="7" t="str">
        <f>VLOOKUP(B9,[1]characters!$A:$M,13,FALSE)</f>
        <v>god</v>
      </c>
      <c r="N9" s="7" t="str">
        <f>VLOOKUP(B9,[1]characters!$A:$G,7,FALSE)</f>
        <v>女性</v>
      </c>
      <c r="O9" s="7">
        <v>17</v>
      </c>
      <c r="P9" s="27">
        <f t="shared" si="1"/>
        <v>4.9853372434017593E-2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7025103</v>
      </c>
      <c r="B10" s="6">
        <v>323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流麗の愛志士 土方歳三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attack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v>1</v>
      </c>
      <c r="P10" s="27">
        <f t="shared" si="1"/>
        <v>2.9325513196480938E-3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7025103</v>
      </c>
      <c r="B11" s="6">
        <v>384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破国の呑龍 ヤマタノオロチ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hp</v>
      </c>
      <c r="M11" s="7" t="str">
        <f>VLOOKUP(B11,[1]characters!$A:$M,13,FALSE)</f>
        <v>dragon</v>
      </c>
      <c r="N11" s="7" t="str">
        <f>VLOOKUP(B11,[1]characters!$A:$G,7,FALSE)</f>
        <v>女性</v>
      </c>
      <c r="O11" s="7">
        <v>1</v>
      </c>
      <c r="P11" s="27">
        <f t="shared" si="1"/>
        <v>2.9325513196480938E-3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7025103</v>
      </c>
      <c r="B12" s="8">
        <v>394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影求の悪童 ピーターパン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attack</v>
      </c>
      <c r="M12" s="7" t="str">
        <f>VLOOKUP(B12,[1]characters!$A:$M,13,FALSE)</f>
        <v>human</v>
      </c>
      <c r="N12" s="7" t="str">
        <f>VLOOKUP(B12,[1]characters!$A:$G,7,FALSE)</f>
        <v>男性</v>
      </c>
      <c r="O12" s="7">
        <v>17</v>
      </c>
      <c r="P12" s="27">
        <f t="shared" si="1"/>
        <v>4.9853372434017593E-2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7025103</v>
      </c>
      <c r="B13" s="8">
        <v>404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空襲の神眼 八咫烏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animal</v>
      </c>
      <c r="N13" s="7" t="str">
        <f>VLOOKUP(B13,[1]characters!$A:$G,7,FALSE)</f>
        <v>女性</v>
      </c>
      <c r="O13" s="7">
        <v>1</v>
      </c>
      <c r="P13" s="27">
        <f t="shared" si="1"/>
        <v>2.9325513196480938E-3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7025103</v>
      </c>
      <c r="B14" s="6">
        <v>438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記憶の奪還 カカシ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technical</v>
      </c>
      <c r="M14" s="7" t="str">
        <f>VLOOKUP(B14,[1]characters!$A:$M,13,FALSE)</f>
        <v>human</v>
      </c>
      <c r="N14" s="7" t="str">
        <f>VLOOKUP(B14,[1]characters!$A:$G,7,FALSE)</f>
        <v>男性</v>
      </c>
      <c r="O14" s="7">
        <v>17</v>
      </c>
      <c r="P14" s="27">
        <f t="shared" si="1"/>
        <v>4.9853372434017593E-2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7025103</v>
      </c>
      <c r="B15" s="6">
        <v>466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真断の勇覇 ランスロット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v>1</v>
      </c>
      <c r="P15" s="27">
        <f t="shared" si="1"/>
        <v>2.9325513196480938E-3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7025103</v>
      </c>
      <c r="B16" s="6">
        <v>478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時計仕掛けの愛羽妖精 ファータ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green</v>
      </c>
      <c r="L16" s="7" t="str">
        <f>VLOOKUP(B16,[1]characters!$A:$K,11,FALSE)</f>
        <v>heal</v>
      </c>
      <c r="M16" s="7" t="str">
        <f>VLOOKUP(B16,[1]characters!$A:$M,13,FALSE)</f>
        <v>unknown</v>
      </c>
      <c r="N16" s="7" t="str">
        <f>VLOOKUP(B16,[1]characters!$A:$G,7,FALSE)</f>
        <v>女性</v>
      </c>
      <c r="O16" s="7">
        <v>17</v>
      </c>
      <c r="P16" s="27">
        <f t="shared" si="1"/>
        <v>4.9853372434017593E-2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7025103</v>
      </c>
      <c r="B17" s="6">
        <v>495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鼠災呼ぶ笛音 ハーメルン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男性</v>
      </c>
      <c r="O17" s="7">
        <v>1</v>
      </c>
      <c r="P17" s="27">
        <f t="shared" si="1"/>
        <v>2.9325513196480938E-3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7025103</v>
      </c>
      <c r="B18" s="6">
        <v>561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森翠統べる獣姫 アマラ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green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女性</v>
      </c>
      <c r="O18" s="7">
        <v>17</v>
      </c>
      <c r="P18" s="27">
        <f t="shared" si="1"/>
        <v>4.9853372434017593E-2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7025103</v>
      </c>
      <c r="B19" s="6">
        <v>590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永遠を廻る呪い ニーベルゲン</v>
      </c>
      <c r="I19" s="7" t="str">
        <f>VLOOKUP(B19,[1]characters!$A:$J,10,FALSE)</f>
        <v>PremiumS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unknown</v>
      </c>
      <c r="N19" s="7" t="str">
        <f>VLOOKUP(B19,[1]characters!$A:$G,7,FALSE)</f>
        <v>女性</v>
      </c>
      <c r="O19" s="7">
        <v>17</v>
      </c>
      <c r="P19" s="27">
        <f t="shared" si="1"/>
        <v>4.9853372434017593E-2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7025103</v>
      </c>
      <c r="B20" s="6">
        <v>601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界根蝕む悪食 ニーズヘッグ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green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v>17</v>
      </c>
      <c r="P20" s="27">
        <f t="shared" si="1"/>
        <v>4.9853372434017593E-2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7025103</v>
      </c>
      <c r="B21" s="6">
        <v>661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7">
        <v>1</v>
      </c>
      <c r="P21" s="27">
        <f t="shared" si="1"/>
        <v>2.9325513196480938E-3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7025103</v>
      </c>
      <c r="B22" s="6">
        <v>673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変幻自在の猿王 ハヌマーン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green</v>
      </c>
      <c r="L22" s="7" t="str">
        <f>VLOOKUP(B22,[1]characters!$A:$K,11,FALSE)</f>
        <v>attack</v>
      </c>
      <c r="M22" s="7" t="str">
        <f>VLOOKUP(B22,[1]characters!$A:$M,13,FALSE)</f>
        <v>animal</v>
      </c>
      <c r="N22" s="7" t="str">
        <f>VLOOKUP(B22,[1]characters!$A:$G,7,FALSE)</f>
        <v>男性</v>
      </c>
      <c r="O22" s="7">
        <v>17</v>
      </c>
      <c r="P22" s="27">
        <f t="shared" si="1"/>
        <v>4.9853372434017593E-2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7025103</v>
      </c>
      <c r="B23" s="6">
        <v>731</v>
      </c>
      <c r="C23" s="7" t="str">
        <f t="shared" si="0"/>
        <v>Premium5R3less</v>
      </c>
      <c r="D23" s="7" t="str">
        <f t="shared" si="2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敬虔なる追銃 ガラシャ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heal</v>
      </c>
      <c r="M23" s="7" t="str">
        <f>VLOOKUP(B23,[1]characters!$A:$M,13,FALSE)</f>
        <v>human</v>
      </c>
      <c r="N23" s="7" t="str">
        <f>VLOOKUP(B23,[1]characters!$A:$G,7,FALSE)</f>
        <v>女性</v>
      </c>
      <c r="O23" s="7">
        <v>17</v>
      </c>
      <c r="P23" s="27">
        <f t="shared" si="1"/>
        <v>4.9853372434017593E-2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7025103</v>
      </c>
      <c r="B24" s="6">
        <v>744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ヘルメス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green</v>
      </c>
      <c r="L24" s="7" t="str">
        <f>VLOOKUP(B24,[1]characters!$A:$K,11,FALSE)</f>
        <v>technical</v>
      </c>
      <c r="M24" s="7" t="str">
        <f>VLOOKUP(B24,[1]characters!$A:$M,13,FALSE)</f>
        <v>god</v>
      </c>
      <c r="N24" s="7" t="str">
        <f>VLOOKUP(B24,[1]characters!$A:$G,7,FALSE)</f>
        <v>男性</v>
      </c>
      <c r="O24" s="7">
        <v>1</v>
      </c>
      <c r="P24" s="27">
        <f t="shared" si="1"/>
        <v>2.9325513196480938E-3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7025103</v>
      </c>
      <c r="B25" s="6">
        <v>773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浮跳天兎 イナバ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7">
        <v>1</v>
      </c>
      <c r="P25" s="27">
        <f t="shared" si="1"/>
        <v>2.9325513196480938E-3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7025103</v>
      </c>
      <c r="B26" s="6">
        <v>850</v>
      </c>
      <c r="C26" s="7" t="str">
        <f t="shared" si="0"/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バアル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god</v>
      </c>
      <c r="N26" s="7" t="str">
        <f>VLOOKUP(B26,[1]characters!$A:$G,7,FALSE)</f>
        <v>男性</v>
      </c>
      <c r="O26" s="7">
        <v>1</v>
      </c>
      <c r="P26" s="27">
        <f t="shared" si="1"/>
        <v>2.9325513196480938E-3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7025103</v>
      </c>
      <c r="B27" s="6">
        <v>865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無情の感線 ピノキオ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attack</v>
      </c>
      <c r="M27" s="7" t="str">
        <f>VLOOKUP(B27,[1]characters!$A:$M,13,FALSE)</f>
        <v>machine</v>
      </c>
      <c r="N27" s="7" t="str">
        <f>VLOOKUP(B27,[1]characters!$A:$G,7,FALSE)</f>
        <v>男性</v>
      </c>
      <c r="O27" s="7">
        <v>17</v>
      </c>
      <c r="P27" s="27">
        <f t="shared" si="1"/>
        <v>4.9853372434017593E-2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7025103</v>
      </c>
      <c r="B28" s="6">
        <v>940</v>
      </c>
      <c r="C28" s="7" t="str">
        <f t="shared" si="0"/>
        <v>Premium5R3less</v>
      </c>
      <c r="D28" s="7" t="str">
        <f t="shared" si="2"/>
        <v>Premium</v>
      </c>
      <c r="E28" s="7" t="str">
        <f>IF(COUNTIF('R6追加前'!A:A,B28)=0,IF(OR(I28="PremiumSS",I28="PremiumSSw"),"R5only","R3less"),"")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不壊の大要塞 バスティーユ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green</v>
      </c>
      <c r="L28" s="7" t="str">
        <f>VLOOKUP(B28,[1]characters!$A:$K,11,FALSE)</f>
        <v>hp</v>
      </c>
      <c r="M28" s="7" t="str">
        <f>VLOOKUP(B28,[1]characters!$A:$M,13,FALSE)</f>
        <v>unknown</v>
      </c>
      <c r="N28" s="7" t="str">
        <f>VLOOKUP(B28,[1]characters!$A:$G,7,FALSE)</f>
        <v>男性</v>
      </c>
      <c r="O28" s="7">
        <v>17</v>
      </c>
      <c r="P28" s="27">
        <f t="shared" si="1"/>
        <v>4.9853372434017593E-2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7025103</v>
      </c>
      <c r="B29" s="6">
        <v>1014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イシス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hp</v>
      </c>
      <c r="M29" s="7" t="str">
        <f>VLOOKUP(B29,[1]characters!$A:$M,13,FALSE)</f>
        <v>god</v>
      </c>
      <c r="N29" s="7" t="str">
        <f>VLOOKUP(B29,[1]characters!$A:$G,7,FALSE)</f>
        <v>男性</v>
      </c>
      <c r="O29" s="7">
        <v>1</v>
      </c>
      <c r="P29" s="27">
        <f t="shared" si="1"/>
        <v>2.9325513196480938E-3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7025103</v>
      </c>
      <c r="B30" s="6">
        <v>1028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牛若丸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7">
        <v>1</v>
      </c>
      <c r="P30" s="27">
        <f t="shared" si="1"/>
        <v>2.9325513196480938E-3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7025103</v>
      </c>
      <c r="B31" s="6">
        <v>1069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イシュタル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7">
        <v>1</v>
      </c>
      <c r="P31" s="27">
        <f t="shared" si="1"/>
        <v>2.9325513196480938E-3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7025103</v>
      </c>
      <c r="B32" s="6">
        <v>1102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ドガ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不明</v>
      </c>
      <c r="O32" s="7">
        <v>1</v>
      </c>
      <c r="P32" s="27">
        <f t="shared" si="1"/>
        <v>2.9325513196480938E-3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7025103</v>
      </c>
      <c r="B33" s="6">
        <v>1139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趙雲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samurai</v>
      </c>
      <c r="N33" s="7" t="str">
        <f>VLOOKUP(B33,[1]characters!$A:$G,7,FALSE)</f>
        <v>不明</v>
      </c>
      <c r="O33" s="7">
        <v>1</v>
      </c>
      <c r="P33" s="27">
        <f t="shared" si="1"/>
        <v>2.9325513196480938E-3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7025103</v>
      </c>
      <c r="B34" s="6">
        <v>1153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ラクシュミー</v>
      </c>
      <c r="I34" s="7" t="str">
        <f>VLOOKUP(B34,[1]characters!$A:$J,10,FALSE)</f>
        <v>PremiumSSw</v>
      </c>
      <c r="J34" s="7">
        <f>VLOOKUP(B34,[1]characters!$A:$I,9,FALSE)</f>
        <v>5</v>
      </c>
      <c r="K34" s="7" t="str">
        <f>VLOOKUP(B34,[1]characters!$A:$H,8,FALSE)</f>
        <v>green</v>
      </c>
      <c r="L34" s="7" t="str">
        <f>VLOOKUP(B34,[1]characters!$A:$K,11,FALSE)</f>
        <v>hp</v>
      </c>
      <c r="M34" s="7" t="str">
        <f>VLOOKUP(B34,[1]characters!$A:$M,13,FALSE)</f>
        <v>god</v>
      </c>
      <c r="N34" s="7" t="str">
        <f>VLOOKUP(B34,[1]characters!$A:$G,7,FALSE)</f>
        <v>不明</v>
      </c>
      <c r="O34" s="7">
        <v>1</v>
      </c>
      <c r="P34" s="27">
        <f t="shared" si="1"/>
        <v>2.9325513196480938E-3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7025103</v>
      </c>
      <c r="B35" s="6">
        <v>1211</v>
      </c>
      <c r="C35" s="7" t="str">
        <f t="shared" si="0"/>
        <v>Premium5R3less</v>
      </c>
      <c r="D35" s="7" t="str">
        <f t="shared" si="2"/>
        <v>Premium</v>
      </c>
      <c r="E35" s="7" t="str">
        <f>IF(COUNTIF('R6追加前'!A:A,B35)=0,IF(OR(I35="PremiumSS",I35="PremiumSSw"),"R5only","R3less"),"")</f>
        <v>R3less</v>
      </c>
      <c r="F35" s="7" t="str">
        <f>IF(COUNTIF('R6開放'!A:A,B35)&gt;0,"R6release","")</f>
        <v/>
      </c>
      <c r="G35" s="7"/>
      <c r="H35" s="7" t="str">
        <f>VLOOKUP(B35,[1]characters!$A:$C,3,FALSE)</f>
        <v>奏駆の翻騎 ケンタウロス</v>
      </c>
      <c r="I35" s="7" t="str">
        <f>VLOOKUP(B35,[1]characters!$A:$J,10,FALSE)</f>
        <v>PremiumS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god</v>
      </c>
      <c r="N35" s="7">
        <f>VLOOKUP(B35,[1]characters!$A:$G,7,FALSE)</f>
        <v>0</v>
      </c>
      <c r="O35" s="7">
        <v>17</v>
      </c>
      <c r="P35" s="27">
        <f t="shared" si="1"/>
        <v>4.9853372434017593E-2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s="45" customFormat="1" ht="21" customHeight="1" x14ac:dyDescent="0.15">
      <c r="A36" s="2">
        <v>7025103</v>
      </c>
      <c r="B36" s="6">
        <v>1226</v>
      </c>
      <c r="C36" s="7" t="str">
        <f t="shared" ref="C36" si="3">D36&amp;J36&amp;E36&amp;F36&amp;G36</f>
        <v>PremiumSS5R5only</v>
      </c>
      <c r="D36" s="7" t="str">
        <f t="shared" ref="D36" si="4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トルストイ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green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>
        <f>VLOOKUP(B36,[1]characters!$A:$G,7,FALSE)</f>
        <v>0</v>
      </c>
      <c r="O36" s="7">
        <v>1</v>
      </c>
      <c r="P36" s="27">
        <f t="shared" si="1"/>
        <v>2.9325513196480938E-3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s="45" customFormat="1" ht="21" customHeight="1" x14ac:dyDescent="0.15">
      <c r="A37" s="2">
        <v>7025103</v>
      </c>
      <c r="B37" s="6">
        <v>1246</v>
      </c>
      <c r="C37" s="7" t="str">
        <f t="shared" ref="C37" si="5">D37&amp;J37&amp;E37&amp;F37&amp;G37</f>
        <v>PremiumSS5R5only</v>
      </c>
      <c r="D37" s="7" t="str">
        <f t="shared" ref="D37" si="6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望月千代女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heal</v>
      </c>
      <c r="M37" s="7" t="str">
        <f>VLOOKUP(B37,[1]characters!$A:$M,13,FALSE)</f>
        <v>human</v>
      </c>
      <c r="N37" s="7">
        <f>VLOOKUP(B37,[1]characters!$A:$G,7,FALSE)</f>
        <v>0</v>
      </c>
      <c r="O37" s="7">
        <v>1</v>
      </c>
      <c r="P37" s="27">
        <f t="shared" si="1"/>
        <v>2.9325513196480938E-3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s="45" customFormat="1" ht="21" customHeight="1" x14ac:dyDescent="0.15">
      <c r="A38" s="2">
        <v>7025103</v>
      </c>
      <c r="B38" s="6">
        <v>1262</v>
      </c>
      <c r="C38" s="7" t="str">
        <f t="shared" ref="C38" si="7">D38&amp;J38&amp;E38&amp;F38&amp;G38</f>
        <v>PremiumSS5R5only</v>
      </c>
      <c r="D38" s="7" t="str">
        <f t="shared" ref="D38" si="8">IF(OR(I38="PremiumSS",I38="PremiumSSw"),"PremiumSS",IF(I38="PremiumSSS",I38,IF(I38="PremiumW",IF(J38=5,"premium",I38),"Premium")))</f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イズン</v>
      </c>
      <c r="I38" s="7" t="str">
        <f>VLOOKUP(B38,[1]characters!$A:$J,10,FALSE)</f>
        <v>PremiumSSw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heal</v>
      </c>
      <c r="M38" s="7" t="str">
        <f>VLOOKUP(B38,[1]characters!$A:$M,13,FALSE)</f>
        <v>god</v>
      </c>
      <c r="N38" s="7">
        <f>VLOOKUP(B38,[1]characters!$A:$G,7,FALSE)</f>
        <v>0</v>
      </c>
      <c r="O38" s="7">
        <v>1</v>
      </c>
      <c r="P38" s="27">
        <f t="shared" ref="P38" si="9">O38/SUM(O:O)</f>
        <v>2.9325513196480938E-3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s="45" customFormat="1" ht="21" customHeight="1" x14ac:dyDescent="0.15">
      <c r="A39" s="2"/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26"/>
      <c r="P39" s="27"/>
      <c r="Q39" s="22"/>
      <c r="R39" s="22"/>
      <c r="S39" s="22"/>
      <c r="T39" s="22"/>
      <c r="U39" s="22"/>
      <c r="V39" s="22"/>
    </row>
    <row r="40" spans="1:22" s="45" customFormat="1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s="45" customFormat="1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s="45" customFormat="1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s="45" customFormat="1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AJ335"/>
  <sheetViews>
    <sheetView showGridLines="0" tabSelected="1" workbookViewId="0">
      <pane ySplit="1" topLeftCell="A24" activePane="bottomLeft" state="frozen"/>
      <selection activeCell="E6" sqref="E6"/>
      <selection pane="bottomLeft" activeCell="A2" sqref="A2:A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22" width="13" style="1"/>
    <col min="23" max="36" width="13" style="45"/>
    <col min="37" max="16384" width="13" style="1"/>
  </cols>
  <sheetData>
    <row r="1" spans="1:22" ht="21" customHeight="1" x14ac:dyDescent="0.15">
      <c r="A1" s="13" t="s">
        <v>108</v>
      </c>
      <c r="B1" s="14" t="s">
        <v>109</v>
      </c>
      <c r="C1" s="3" t="s">
        <v>9</v>
      </c>
      <c r="D1" s="3" t="s">
        <v>110</v>
      </c>
      <c r="E1" s="3" t="s">
        <v>106</v>
      </c>
      <c r="F1" s="3" t="s">
        <v>107</v>
      </c>
      <c r="G1" s="3" t="s">
        <v>111</v>
      </c>
      <c r="H1" s="3" t="s">
        <v>112</v>
      </c>
      <c r="I1" s="3" t="s">
        <v>113</v>
      </c>
      <c r="J1" s="3" t="s">
        <v>114</v>
      </c>
      <c r="K1" s="3" t="s">
        <v>115</v>
      </c>
      <c r="L1" s="3" t="s">
        <v>116</v>
      </c>
      <c r="M1" s="3" t="s">
        <v>117</v>
      </c>
      <c r="N1" s="3" t="s">
        <v>20</v>
      </c>
      <c r="O1" s="14" t="s">
        <v>118</v>
      </c>
      <c r="P1" s="3" t="s">
        <v>22</v>
      </c>
      <c r="Q1" s="14" t="s">
        <v>119</v>
      </c>
      <c r="R1" s="21" t="s">
        <v>4</v>
      </c>
      <c r="S1" s="21" t="s">
        <v>5</v>
      </c>
      <c r="T1" s="21" t="s">
        <v>6</v>
      </c>
      <c r="U1" s="21" t="s">
        <v>7</v>
      </c>
      <c r="V1" s="21" t="s">
        <v>8</v>
      </c>
    </row>
    <row r="2" spans="1:22" ht="21" customHeight="1" x14ac:dyDescent="0.15">
      <c r="A2" s="2">
        <v>7025104</v>
      </c>
      <c r="B2" s="6">
        <v>177</v>
      </c>
      <c r="C2" s="7" t="str">
        <f t="shared" ref="C2:C35" si="0">D2&amp;J2&amp;E2&amp;F2&amp;G2</f>
        <v>Premium5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黒魔の異端師 バフォメット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7">
        <f>IF(D2="Premium",18,1)</f>
        <v>18</v>
      </c>
      <c r="P2" s="27">
        <f t="shared" ref="P2:P38" si="1">O2/SUM(O:O)</f>
        <v>4.7619047619047616E-2</v>
      </c>
      <c r="Q2" s="22">
        <v>1</v>
      </c>
      <c r="R2" s="22">
        <v>0</v>
      </c>
      <c r="S2" s="22">
        <v>0</v>
      </c>
      <c r="T2" s="22">
        <v>0</v>
      </c>
      <c r="U2" s="22">
        <v>0</v>
      </c>
      <c r="V2" s="22">
        <v>1</v>
      </c>
    </row>
    <row r="3" spans="1:22" ht="21" customHeight="1" x14ac:dyDescent="0.15">
      <c r="A3" s="2">
        <v>7025104</v>
      </c>
      <c r="B3" s="6">
        <v>189</v>
      </c>
      <c r="C3" s="7" t="str">
        <f t="shared" si="0"/>
        <v>Premium5</v>
      </c>
      <c r="D3" s="7" t="str">
        <f t="shared" ref="D3:D35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迅雷の王禽 ホルス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animal</v>
      </c>
      <c r="N3" s="7" t="str">
        <f>VLOOKUP(B3,[1]characters!$A:$G,7,FALSE)</f>
        <v>女性</v>
      </c>
      <c r="O3" s="7">
        <f t="shared" ref="O3:O38" si="3">IF(D3="Premium",18,1)</f>
        <v>18</v>
      </c>
      <c r="P3" s="27">
        <f t="shared" si="1"/>
        <v>4.7619047619047616E-2</v>
      </c>
      <c r="Q3" s="22">
        <v>1</v>
      </c>
      <c r="R3" s="22">
        <v>0</v>
      </c>
      <c r="S3" s="22">
        <v>0</v>
      </c>
      <c r="T3" s="22">
        <v>0</v>
      </c>
      <c r="U3" s="22">
        <v>0</v>
      </c>
      <c r="V3" s="22">
        <v>1</v>
      </c>
    </row>
    <row r="4" spans="1:22" ht="21" customHeight="1" x14ac:dyDescent="0.15">
      <c r="A4" s="2">
        <v>7025104</v>
      </c>
      <c r="B4" s="6">
        <v>198</v>
      </c>
      <c r="C4" s="7" t="str">
        <f t="shared" si="0"/>
        <v>Premium5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砕骨の剛腕 アキレス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7">
        <f t="shared" si="3"/>
        <v>18</v>
      </c>
      <c r="P4" s="27">
        <f t="shared" si="1"/>
        <v>4.7619047619047616E-2</v>
      </c>
      <c r="Q4" s="22">
        <v>1</v>
      </c>
      <c r="R4" s="22">
        <v>0</v>
      </c>
      <c r="S4" s="22">
        <v>0</v>
      </c>
      <c r="T4" s="22">
        <v>0</v>
      </c>
      <c r="U4" s="22">
        <v>0</v>
      </c>
      <c r="V4" s="22">
        <v>1</v>
      </c>
    </row>
    <row r="5" spans="1:22" ht="21" customHeight="1" x14ac:dyDescent="0.15">
      <c r="A5" s="2">
        <v>7025104</v>
      </c>
      <c r="B5" s="6">
        <v>213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満天の星降神 アストライアー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god</v>
      </c>
      <c r="N5" s="7" t="str">
        <f>VLOOKUP(B5,[1]characters!$A:$G,7,FALSE)</f>
        <v>女性</v>
      </c>
      <c r="O5" s="7">
        <f t="shared" si="3"/>
        <v>18</v>
      </c>
      <c r="P5" s="27">
        <f t="shared" si="1"/>
        <v>4.7619047619047616E-2</v>
      </c>
      <c r="Q5" s="22">
        <v>1</v>
      </c>
      <c r="R5" s="22">
        <v>0</v>
      </c>
      <c r="S5" s="22">
        <v>0</v>
      </c>
      <c r="T5" s="22">
        <v>0</v>
      </c>
      <c r="U5" s="22">
        <v>0</v>
      </c>
      <c r="V5" s="22">
        <v>1</v>
      </c>
    </row>
    <row r="6" spans="1:22" ht="21" customHeight="1" x14ac:dyDescent="0.15">
      <c r="A6" s="2">
        <v>7025104</v>
      </c>
      <c r="B6" s="6">
        <v>225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咆哮の巨獅腕 ヘラクレス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7">
        <f t="shared" si="3"/>
        <v>18</v>
      </c>
      <c r="P6" s="27">
        <f t="shared" si="1"/>
        <v>4.7619047619047616E-2</v>
      </c>
      <c r="Q6" s="22">
        <v>1</v>
      </c>
      <c r="R6" s="22">
        <v>0</v>
      </c>
      <c r="S6" s="22">
        <v>0</v>
      </c>
      <c r="T6" s="22">
        <v>0</v>
      </c>
      <c r="U6" s="22">
        <v>0</v>
      </c>
      <c r="V6" s="22">
        <v>1</v>
      </c>
    </row>
    <row r="7" spans="1:22" ht="21" customHeight="1" x14ac:dyDescent="0.15">
      <c r="A7" s="2">
        <v>7025104</v>
      </c>
      <c r="B7" s="6">
        <v>237</v>
      </c>
      <c r="C7" s="7" t="str">
        <f t="shared" si="0"/>
        <v>Premium5R6release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森羅万象の神母 イザナミ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7">
        <f t="shared" si="3"/>
        <v>18</v>
      </c>
      <c r="P7" s="27">
        <f t="shared" si="1"/>
        <v>4.7619047619047616E-2</v>
      </c>
      <c r="Q7" s="22">
        <v>1</v>
      </c>
      <c r="R7" s="22">
        <v>0</v>
      </c>
      <c r="S7" s="22">
        <v>0</v>
      </c>
      <c r="T7" s="22">
        <v>0</v>
      </c>
      <c r="U7" s="22">
        <v>0</v>
      </c>
      <c r="V7" s="22">
        <v>1</v>
      </c>
    </row>
    <row r="8" spans="1:22" ht="21" customHeight="1" x14ac:dyDescent="0.15">
      <c r="A8" s="2">
        <v>7025104</v>
      </c>
      <c r="B8" s="6">
        <v>249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雷電の天使 ミカエル・ゲイナー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machine</v>
      </c>
      <c r="N8" s="7" t="str">
        <f>VLOOKUP(B8,[1]characters!$A:$G,7,FALSE)</f>
        <v>女性</v>
      </c>
      <c r="O8" s="7">
        <f t="shared" si="3"/>
        <v>18</v>
      </c>
      <c r="P8" s="27">
        <f t="shared" si="1"/>
        <v>4.7619047619047616E-2</v>
      </c>
      <c r="Q8" s="22">
        <v>1</v>
      </c>
      <c r="R8" s="22">
        <v>0</v>
      </c>
      <c r="S8" s="22">
        <v>0</v>
      </c>
      <c r="T8" s="22">
        <v>0</v>
      </c>
      <c r="U8" s="22">
        <v>0</v>
      </c>
      <c r="V8" s="22">
        <v>1</v>
      </c>
    </row>
    <row r="9" spans="1:22" ht="21" customHeight="1" x14ac:dyDescent="0.15">
      <c r="A9" s="2">
        <v>7025104</v>
      </c>
      <c r="B9" s="6">
        <v>261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輪廻の蛇龍 ウロボロス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7">
        <f t="shared" si="3"/>
        <v>18</v>
      </c>
      <c r="P9" s="27">
        <f t="shared" si="1"/>
        <v>4.7619047619047616E-2</v>
      </c>
      <c r="Q9" s="22">
        <v>1</v>
      </c>
      <c r="R9" s="22">
        <v>0</v>
      </c>
      <c r="S9" s="22">
        <v>0</v>
      </c>
      <c r="T9" s="22">
        <v>0</v>
      </c>
      <c r="U9" s="22">
        <v>0</v>
      </c>
      <c r="V9" s="22">
        <v>1</v>
      </c>
    </row>
    <row r="10" spans="1:22" ht="21" customHeight="1" x14ac:dyDescent="0.15">
      <c r="A10" s="2">
        <v>7025104</v>
      </c>
      <c r="B10" s="6">
        <v>327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千殺の妖志士 斎藤一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yellow</v>
      </c>
      <c r="L10" s="7" t="str">
        <f>VLOOKUP(B10,[1]characters!$A:$K,11,FALSE)</f>
        <v>technical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7">
        <f t="shared" si="3"/>
        <v>1</v>
      </c>
      <c r="P10" s="27">
        <f t="shared" si="1"/>
        <v>2.6455026455026454E-3</v>
      </c>
      <c r="Q10" s="22">
        <v>1</v>
      </c>
      <c r="R10" s="22">
        <v>0</v>
      </c>
      <c r="S10" s="22">
        <v>0</v>
      </c>
      <c r="T10" s="22">
        <v>0</v>
      </c>
      <c r="U10" s="22">
        <v>0</v>
      </c>
      <c r="V10" s="22">
        <v>1</v>
      </c>
    </row>
    <row r="11" spans="1:22" ht="21" customHeight="1" x14ac:dyDescent="0.15">
      <c r="A11" s="2">
        <v>7025104</v>
      </c>
      <c r="B11" s="6">
        <v>389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操神の愛姫 スフィンクス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heal</v>
      </c>
      <c r="M11" s="7" t="str">
        <f>VLOOKUP(B11,[1]characters!$A:$M,13,FALSE)</f>
        <v>animal</v>
      </c>
      <c r="N11" s="7" t="str">
        <f>VLOOKUP(B11,[1]characters!$A:$G,7,FALSE)</f>
        <v>女性</v>
      </c>
      <c r="O11" s="7">
        <f t="shared" si="3"/>
        <v>18</v>
      </c>
      <c r="P11" s="27">
        <f t="shared" si="1"/>
        <v>4.7619047619047616E-2</v>
      </c>
      <c r="Q11" s="22">
        <v>1</v>
      </c>
      <c r="R11" s="22">
        <v>0</v>
      </c>
      <c r="S11" s="22">
        <v>0</v>
      </c>
      <c r="T11" s="22">
        <v>0</v>
      </c>
      <c r="U11" s="22">
        <v>0</v>
      </c>
      <c r="V11" s="22">
        <v>1</v>
      </c>
    </row>
    <row r="12" spans="1:22" ht="21" customHeight="1" x14ac:dyDescent="0.15">
      <c r="A12" s="2">
        <v>7025104</v>
      </c>
      <c r="B12" s="8">
        <v>399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信愛の兄妹 ヘンゼル＆グレーテル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7">
        <f t="shared" si="3"/>
        <v>1</v>
      </c>
      <c r="P12" s="27">
        <f t="shared" si="1"/>
        <v>2.6455026455026454E-3</v>
      </c>
      <c r="Q12" s="22">
        <v>1</v>
      </c>
      <c r="R12" s="22">
        <v>0</v>
      </c>
      <c r="S12" s="22">
        <v>0</v>
      </c>
      <c r="T12" s="22">
        <v>0</v>
      </c>
      <c r="U12" s="22">
        <v>0</v>
      </c>
      <c r="V12" s="22">
        <v>1</v>
      </c>
    </row>
    <row r="13" spans="1:22" ht="21" customHeight="1" x14ac:dyDescent="0.15">
      <c r="A13" s="2">
        <v>7025104</v>
      </c>
      <c r="B13" s="8">
        <v>409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天眼の皇貴魔 アスタロト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attack</v>
      </c>
      <c r="M13" s="7" t="str">
        <f>VLOOKUP(B13,[1]characters!$A:$M,13,FALSE)</f>
        <v>god</v>
      </c>
      <c r="N13" s="7" t="str">
        <f>VLOOKUP(B13,[1]characters!$A:$G,7,FALSE)</f>
        <v>男性</v>
      </c>
      <c r="O13" s="7">
        <f t="shared" si="3"/>
        <v>1</v>
      </c>
      <c r="P13" s="27">
        <f t="shared" si="1"/>
        <v>2.6455026455026454E-3</v>
      </c>
      <c r="Q13" s="22">
        <v>1</v>
      </c>
      <c r="R13" s="22">
        <v>0</v>
      </c>
      <c r="S13" s="22">
        <v>0</v>
      </c>
      <c r="T13" s="22">
        <v>0</v>
      </c>
      <c r="U13" s="22">
        <v>0</v>
      </c>
      <c r="V13" s="22">
        <v>1</v>
      </c>
    </row>
    <row r="14" spans="1:22" ht="21" customHeight="1" x14ac:dyDescent="0.15">
      <c r="A14" s="2">
        <v>7025104</v>
      </c>
      <c r="B14" s="6">
        <v>443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勇機結集 ブレイブリー・ライオン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hp</v>
      </c>
      <c r="M14" s="7" t="str">
        <f>VLOOKUP(B14,[1]characters!$A:$M,13,FALSE)</f>
        <v>animal</v>
      </c>
      <c r="N14" s="7" t="str">
        <f>VLOOKUP(B14,[1]characters!$A:$G,7,FALSE)</f>
        <v>不明</v>
      </c>
      <c r="O14" s="7">
        <f t="shared" si="3"/>
        <v>1</v>
      </c>
      <c r="P14" s="27">
        <f t="shared" si="1"/>
        <v>2.6455026455026454E-3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1</v>
      </c>
    </row>
    <row r="15" spans="1:22" ht="21" customHeight="1" x14ac:dyDescent="0.15">
      <c r="A15" s="2">
        <v>7025104</v>
      </c>
      <c r="B15" s="6">
        <v>471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不可避の爆激 トリスタン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human</v>
      </c>
      <c r="N15" s="7" t="str">
        <f>VLOOKUP(B15,[1]characters!$A:$G,7,FALSE)</f>
        <v>男性</v>
      </c>
      <c r="O15" s="7">
        <f t="shared" si="3"/>
        <v>18</v>
      </c>
      <c r="P15" s="27">
        <f t="shared" si="1"/>
        <v>4.7619047619047616E-2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1</v>
      </c>
    </row>
    <row r="16" spans="1:22" ht="21" customHeight="1" x14ac:dyDescent="0.15">
      <c r="A16" s="2">
        <v>7025104</v>
      </c>
      <c r="B16" s="6">
        <v>483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 xml:space="preserve">命経死遂 沢庵宗彭 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hp</v>
      </c>
      <c r="M16" s="7" t="str">
        <f>VLOOKUP(B16,[1]characters!$A:$M,13,FALSE)</f>
        <v>human</v>
      </c>
      <c r="N16" s="7" t="str">
        <f>VLOOKUP(B16,[1]characters!$A:$G,7,FALSE)</f>
        <v>男性</v>
      </c>
      <c r="O16" s="7">
        <f t="shared" si="3"/>
        <v>18</v>
      </c>
      <c r="P16" s="27">
        <f t="shared" si="1"/>
        <v>4.7619047619047616E-2</v>
      </c>
      <c r="Q16" s="22">
        <v>1</v>
      </c>
      <c r="R16" s="22">
        <v>0</v>
      </c>
      <c r="S16" s="22">
        <v>0</v>
      </c>
      <c r="T16" s="22">
        <v>0</v>
      </c>
      <c r="U16" s="22">
        <v>0</v>
      </c>
      <c r="V16" s="22">
        <v>1</v>
      </c>
    </row>
    <row r="17" spans="1:36" ht="21" customHeight="1" x14ac:dyDescent="0.15">
      <c r="A17" s="2">
        <v>7025104</v>
      </c>
      <c r="B17" s="6">
        <v>500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脈動の禁髪 ラプンツェル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7">
        <f t="shared" si="3"/>
        <v>1</v>
      </c>
      <c r="P17" s="27">
        <f t="shared" si="1"/>
        <v>2.6455026455026454E-3</v>
      </c>
      <c r="Q17" s="22">
        <v>1</v>
      </c>
      <c r="R17" s="22">
        <v>0</v>
      </c>
      <c r="S17" s="22">
        <v>0</v>
      </c>
      <c r="T17" s="22">
        <v>0</v>
      </c>
      <c r="U17" s="22">
        <v>0</v>
      </c>
      <c r="V17" s="22">
        <v>1</v>
      </c>
    </row>
    <row r="18" spans="1:36" ht="21" customHeight="1" x14ac:dyDescent="0.15">
      <c r="A18" s="2">
        <v>7025104</v>
      </c>
      <c r="B18" s="6">
        <v>563</v>
      </c>
      <c r="C18" s="7" t="str">
        <f t="shared" si="0"/>
        <v>premium5R3less</v>
      </c>
      <c r="D18" s="7" t="str">
        <f t="shared" si="2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電翔紫閃の雷刃 ハヤト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男性</v>
      </c>
      <c r="O18" s="7">
        <f t="shared" si="3"/>
        <v>18</v>
      </c>
      <c r="P18" s="27">
        <f t="shared" si="1"/>
        <v>4.7619047619047616E-2</v>
      </c>
      <c r="Q18" s="22">
        <v>1</v>
      </c>
      <c r="R18" s="22">
        <v>0</v>
      </c>
      <c r="S18" s="22">
        <v>0</v>
      </c>
      <c r="T18" s="22">
        <v>0</v>
      </c>
      <c r="U18" s="22">
        <v>0</v>
      </c>
      <c r="V18" s="22">
        <v>1</v>
      </c>
    </row>
    <row r="19" spans="1:36" s="12" customFormat="1" ht="21" customHeight="1" thickBot="1" x14ac:dyDescent="0.2">
      <c r="A19" s="2">
        <v>7025104</v>
      </c>
      <c r="B19" s="6">
        <v>567</v>
      </c>
      <c r="C19" s="7" t="str">
        <f t="shared" si="0"/>
        <v>premium5R3less</v>
      </c>
      <c r="D19" s="7" t="str">
        <f t="shared" si="2"/>
        <v>premium</v>
      </c>
      <c r="E19" s="7" t="str">
        <f>IF(COUNTIF('R6追加前'!A:A,B19)=0,IF(OR(I19="PremiumSS",I19="PremiumSSw"),"R5only","R3less"),"")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紅揚の祭狐宴舞 タマモ</v>
      </c>
      <c r="I19" s="7" t="str">
        <f>VLOOKUP(B19,[1]characters!$A:$J,10,FALSE)</f>
        <v>PremiumW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balance</v>
      </c>
      <c r="M19" s="7" t="str">
        <f>VLOOKUP(B19,[1]characters!$A:$M,13,FALSE)</f>
        <v>animal</v>
      </c>
      <c r="N19" s="7" t="str">
        <f>VLOOKUP(B19,[1]characters!$A:$G,7,FALSE)</f>
        <v>不明</v>
      </c>
      <c r="O19" s="7">
        <f t="shared" si="3"/>
        <v>18</v>
      </c>
      <c r="P19" s="27">
        <f t="shared" si="1"/>
        <v>4.7619047619047616E-2</v>
      </c>
      <c r="Q19" s="22">
        <v>1</v>
      </c>
      <c r="R19" s="22">
        <v>0</v>
      </c>
      <c r="S19" s="22">
        <v>0</v>
      </c>
      <c r="T19" s="22">
        <v>0</v>
      </c>
      <c r="U19" s="22">
        <v>0</v>
      </c>
      <c r="V19" s="22">
        <v>1</v>
      </c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</row>
    <row r="20" spans="1:36" ht="21" customHeight="1" x14ac:dyDescent="0.15">
      <c r="A20" s="2">
        <v>7025104</v>
      </c>
      <c r="B20" s="6">
        <v>595</v>
      </c>
      <c r="C20" s="7" t="str">
        <f t="shared" si="0"/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光華なる神域 アルフヘイム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7">
        <f t="shared" si="3"/>
        <v>1</v>
      </c>
      <c r="P20" s="27">
        <f t="shared" si="1"/>
        <v>2.6455026455026454E-3</v>
      </c>
      <c r="Q20" s="22">
        <v>1</v>
      </c>
      <c r="R20" s="22">
        <v>0</v>
      </c>
      <c r="S20" s="22">
        <v>0</v>
      </c>
      <c r="T20" s="22">
        <v>0</v>
      </c>
      <c r="U20" s="22">
        <v>0</v>
      </c>
      <c r="V20" s="22">
        <v>1</v>
      </c>
    </row>
    <row r="21" spans="1:36" ht="21" customHeight="1" x14ac:dyDescent="0.15">
      <c r="A21" s="2">
        <v>7025104</v>
      </c>
      <c r="B21" s="6">
        <v>606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冀望の光芒 バルドル</v>
      </c>
      <c r="I21" s="7" t="str">
        <f>VLOOKUP(B21,[1]characters!$A:$J,10,FALSE)</f>
        <v>PremiumS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heal</v>
      </c>
      <c r="M21" s="7" t="str">
        <f>VLOOKUP(B21,[1]characters!$A:$M,13,FALSE)</f>
        <v>god</v>
      </c>
      <c r="N21" s="7" t="str">
        <f>VLOOKUP(B21,[1]characters!$A:$G,7,FALSE)</f>
        <v>男性</v>
      </c>
      <c r="O21" s="7">
        <f t="shared" si="3"/>
        <v>18</v>
      </c>
      <c r="P21" s="27">
        <f t="shared" si="1"/>
        <v>4.7619047619047616E-2</v>
      </c>
      <c r="Q21" s="22">
        <v>1</v>
      </c>
      <c r="R21" s="22">
        <v>0</v>
      </c>
      <c r="S21" s="22">
        <v>0</v>
      </c>
      <c r="T21" s="22">
        <v>0</v>
      </c>
      <c r="U21" s="22">
        <v>0</v>
      </c>
      <c r="V21" s="22">
        <v>1</v>
      </c>
    </row>
    <row r="22" spans="1:36" ht="21" customHeight="1" x14ac:dyDescent="0.15">
      <c r="A22" s="2">
        <v>7025104</v>
      </c>
      <c r="B22" s="6">
        <v>667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最幸運の妖童 テマリ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unknown</v>
      </c>
      <c r="N22" s="7" t="str">
        <f>VLOOKUP(B22,[1]characters!$A:$G,7,FALSE)</f>
        <v>女性</v>
      </c>
      <c r="O22" s="7">
        <f t="shared" si="3"/>
        <v>18</v>
      </c>
      <c r="P22" s="27">
        <f t="shared" si="1"/>
        <v>4.7619047619047616E-2</v>
      </c>
      <c r="Q22" s="22">
        <v>1</v>
      </c>
      <c r="R22" s="22">
        <v>0</v>
      </c>
      <c r="S22" s="22">
        <v>0</v>
      </c>
      <c r="T22" s="22">
        <v>0</v>
      </c>
      <c r="U22" s="22">
        <v>0</v>
      </c>
      <c r="V22" s="22">
        <v>1</v>
      </c>
    </row>
    <row r="23" spans="1:36" ht="21" customHeight="1" x14ac:dyDescent="0.15">
      <c r="A23" s="2">
        <v>7025104</v>
      </c>
      <c r="B23" s="6">
        <v>677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武遊闊歩 ヴィシュヌ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yellow</v>
      </c>
      <c r="L23" s="7" t="str">
        <f>VLOOKUP(B23,[1]characters!$A:$K,11,FALSE)</f>
        <v>attack</v>
      </c>
      <c r="M23" s="7" t="str">
        <f>VLOOKUP(B23,[1]characters!$A:$M,13,FALSE)</f>
        <v>god</v>
      </c>
      <c r="N23" s="7" t="str">
        <f>VLOOKUP(B23,[1]characters!$A:$G,7,FALSE)</f>
        <v>女性</v>
      </c>
      <c r="O23" s="7">
        <f t="shared" si="3"/>
        <v>1</v>
      </c>
      <c r="P23" s="27">
        <f t="shared" si="1"/>
        <v>2.6455026455026454E-3</v>
      </c>
      <c r="Q23" s="22">
        <v>1</v>
      </c>
      <c r="R23" s="22">
        <v>0</v>
      </c>
      <c r="S23" s="22">
        <v>0</v>
      </c>
      <c r="T23" s="22">
        <v>0</v>
      </c>
      <c r="U23" s="22">
        <v>0</v>
      </c>
      <c r="V23" s="22">
        <v>1</v>
      </c>
    </row>
    <row r="24" spans="1:36" ht="21" customHeight="1" x14ac:dyDescent="0.15">
      <c r="A24" s="2">
        <v>7025104</v>
      </c>
      <c r="B24" s="6">
        <v>734</v>
      </c>
      <c r="C24" s="7" t="str">
        <f t="shared" si="0"/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伊達政宗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男性</v>
      </c>
      <c r="O24" s="7">
        <f t="shared" si="3"/>
        <v>1</v>
      </c>
      <c r="P24" s="27">
        <f t="shared" si="1"/>
        <v>2.6455026455026454E-3</v>
      </c>
      <c r="Q24" s="22">
        <v>1</v>
      </c>
      <c r="R24" s="22">
        <v>0</v>
      </c>
      <c r="S24" s="22">
        <v>0</v>
      </c>
      <c r="T24" s="22">
        <v>0</v>
      </c>
      <c r="U24" s="22">
        <v>0</v>
      </c>
      <c r="V24" s="22">
        <v>1</v>
      </c>
    </row>
    <row r="25" spans="1:36" ht="21" customHeight="1" x14ac:dyDescent="0.15">
      <c r="A25" s="2">
        <v>7025104</v>
      </c>
      <c r="B25" s="6">
        <v>749</v>
      </c>
      <c r="C25" s="7" t="str">
        <f t="shared" si="0"/>
        <v>Premium5R3less</v>
      </c>
      <c r="D25" s="7" t="str">
        <f t="shared" si="2"/>
        <v>Premium</v>
      </c>
      <c r="E25" s="7" t="str">
        <f>IF(COUNTIF('R6追加前'!A:A,B25)=0,IF(OR(I25="PremiumSS",I25="PremiumSSw"),"R5only","R3less"),"")</f>
        <v>R3less</v>
      </c>
      <c r="F25" s="7" t="str">
        <f>IF(COUNTIF('R6開放'!A:A,B25)&gt;0,"R6release","")</f>
        <v/>
      </c>
      <c r="G25" s="7"/>
      <c r="H25" s="7" t="str">
        <f>VLOOKUP(B25,[1]characters!$A:$C,3,FALSE)</f>
        <v>光喜の牧童 パーン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heal</v>
      </c>
      <c r="M25" s="7" t="str">
        <f>VLOOKUP(B25,[1]characters!$A:$M,13,FALSE)</f>
        <v>animal</v>
      </c>
      <c r="N25" s="7" t="str">
        <f>VLOOKUP(B25,[1]characters!$A:$G,7,FALSE)</f>
        <v>男性</v>
      </c>
      <c r="O25" s="7">
        <f t="shared" si="3"/>
        <v>18</v>
      </c>
      <c r="P25" s="27">
        <f t="shared" si="1"/>
        <v>4.7619047619047616E-2</v>
      </c>
      <c r="Q25" s="22">
        <v>1</v>
      </c>
      <c r="R25" s="22">
        <v>0</v>
      </c>
      <c r="S25" s="22">
        <v>0</v>
      </c>
      <c r="T25" s="22">
        <v>0</v>
      </c>
      <c r="U25" s="22">
        <v>0</v>
      </c>
      <c r="V25" s="22">
        <v>1</v>
      </c>
    </row>
    <row r="26" spans="1:36" ht="21" customHeight="1" x14ac:dyDescent="0.15">
      <c r="A26" s="2">
        <v>7025104</v>
      </c>
      <c r="B26" s="6">
        <v>779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頑堅咬亀 ガメック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hp</v>
      </c>
      <c r="M26" s="7" t="str">
        <f>VLOOKUP(B26,[1]characters!$A:$M,13,FALSE)</f>
        <v>animal</v>
      </c>
      <c r="N26" s="7" t="str">
        <f>VLOOKUP(B26,[1]characters!$A:$G,7,FALSE)</f>
        <v>不明</v>
      </c>
      <c r="O26" s="7">
        <f t="shared" si="3"/>
        <v>18</v>
      </c>
      <c r="P26" s="27">
        <f t="shared" si="1"/>
        <v>4.7619047619047616E-2</v>
      </c>
      <c r="Q26" s="22">
        <v>1</v>
      </c>
      <c r="R26" s="22">
        <v>0</v>
      </c>
      <c r="S26" s="22">
        <v>0</v>
      </c>
      <c r="T26" s="22">
        <v>0</v>
      </c>
      <c r="U26" s="22">
        <v>0</v>
      </c>
      <c r="V26" s="22">
        <v>1</v>
      </c>
    </row>
    <row r="27" spans="1:36" ht="21" customHeight="1" x14ac:dyDescent="0.15">
      <c r="A27" s="2">
        <v>7025104</v>
      </c>
      <c r="B27" s="6">
        <v>855</v>
      </c>
      <c r="C27" s="7" t="str">
        <f t="shared" si="0"/>
        <v>Premium5R3less</v>
      </c>
      <c r="D27" s="7" t="str">
        <f t="shared" si="2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豹魔の侠客 フラウロス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animal</v>
      </c>
      <c r="N27" s="7" t="str">
        <f>VLOOKUP(B27,[1]characters!$A:$G,7,FALSE)</f>
        <v>男性</v>
      </c>
      <c r="O27" s="7">
        <f t="shared" si="3"/>
        <v>18</v>
      </c>
      <c r="P27" s="27">
        <f t="shared" si="1"/>
        <v>4.7619047619047616E-2</v>
      </c>
      <c r="Q27" s="22">
        <v>1</v>
      </c>
      <c r="R27" s="22">
        <v>0</v>
      </c>
      <c r="S27" s="22">
        <v>0</v>
      </c>
      <c r="T27" s="22">
        <v>0</v>
      </c>
      <c r="U27" s="22">
        <v>0</v>
      </c>
      <c r="V27" s="22">
        <v>1</v>
      </c>
    </row>
    <row r="28" spans="1:36" ht="21" customHeight="1" x14ac:dyDescent="0.15">
      <c r="A28" s="2">
        <v>7025104</v>
      </c>
      <c r="B28" s="6">
        <v>868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アラジンと殲滅機兵LAMP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hp</v>
      </c>
      <c r="M28" s="7" t="str">
        <f>VLOOKUP(B28,[1]characters!$A:$M,13,FALSE)</f>
        <v>human</v>
      </c>
      <c r="N28" s="7" t="str">
        <f>VLOOKUP(B28,[1]characters!$A:$G,7,FALSE)</f>
        <v>男性</v>
      </c>
      <c r="O28" s="7">
        <f t="shared" si="3"/>
        <v>1</v>
      </c>
      <c r="P28" s="27">
        <f t="shared" si="1"/>
        <v>2.6455026455026454E-3</v>
      </c>
      <c r="Q28" s="22">
        <v>1</v>
      </c>
      <c r="R28" s="22">
        <v>0</v>
      </c>
      <c r="S28" s="22">
        <v>0</v>
      </c>
      <c r="T28" s="22">
        <v>0</v>
      </c>
      <c r="U28" s="22">
        <v>0</v>
      </c>
      <c r="V28" s="22">
        <v>1</v>
      </c>
    </row>
    <row r="29" spans="1:36" ht="21" customHeight="1" x14ac:dyDescent="0.15">
      <c r="A29" s="2">
        <v>7025104</v>
      </c>
      <c r="B29" s="6">
        <v>943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サンソン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human</v>
      </c>
      <c r="N29" s="7" t="str">
        <f>VLOOKUP(B29,[1]characters!$A:$G,7,FALSE)</f>
        <v>男性</v>
      </c>
      <c r="O29" s="7">
        <f t="shared" si="3"/>
        <v>1</v>
      </c>
      <c r="P29" s="27">
        <f t="shared" si="1"/>
        <v>2.6455026455026454E-3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1</v>
      </c>
    </row>
    <row r="30" spans="1:36" ht="21" customHeight="1" x14ac:dyDescent="0.15">
      <c r="A30" s="2">
        <v>7025104</v>
      </c>
      <c r="B30" s="6">
        <v>1018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バステト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7">
        <f t="shared" si="3"/>
        <v>1</v>
      </c>
      <c r="P30" s="27">
        <f t="shared" si="1"/>
        <v>2.6455026455026454E-3</v>
      </c>
      <c r="Q30" s="22">
        <v>1</v>
      </c>
      <c r="R30" s="22">
        <v>0</v>
      </c>
      <c r="S30" s="22">
        <v>0</v>
      </c>
      <c r="T30" s="22">
        <v>0</v>
      </c>
      <c r="U30" s="22">
        <v>0</v>
      </c>
      <c r="V30" s="22">
        <v>1</v>
      </c>
    </row>
    <row r="31" spans="1:36" ht="21" customHeight="1" x14ac:dyDescent="0.15">
      <c r="A31" s="2">
        <v>7025104</v>
      </c>
      <c r="B31" s="6">
        <v>1033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清少納言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7">
        <f t="shared" si="3"/>
        <v>1</v>
      </c>
      <c r="P31" s="27">
        <f t="shared" si="1"/>
        <v>2.6455026455026454E-3</v>
      </c>
      <c r="Q31" s="22">
        <v>1</v>
      </c>
      <c r="R31" s="22">
        <v>0</v>
      </c>
      <c r="S31" s="22">
        <v>0</v>
      </c>
      <c r="T31" s="22">
        <v>0</v>
      </c>
      <c r="U31" s="22">
        <v>0</v>
      </c>
      <c r="V31" s="22">
        <v>1</v>
      </c>
    </row>
    <row r="32" spans="1:36" ht="21" customHeight="1" x14ac:dyDescent="0.15">
      <c r="A32" s="2">
        <v>7025104</v>
      </c>
      <c r="B32" s="6">
        <v>1074</v>
      </c>
      <c r="C32" s="7" t="str">
        <f t="shared" si="0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マルドゥク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yellow</v>
      </c>
      <c r="L32" s="7" t="str">
        <f>VLOOKUP(B32,[1]characters!$A:$K,11,FALSE)</f>
        <v>technical</v>
      </c>
      <c r="M32" s="7" t="str">
        <f>VLOOKUP(B32,[1]characters!$A:$M,13,FALSE)</f>
        <v>god</v>
      </c>
      <c r="N32" s="7" t="str">
        <f>VLOOKUP(B32,[1]characters!$A:$G,7,FALSE)</f>
        <v>男性</v>
      </c>
      <c r="O32" s="7">
        <f t="shared" si="3"/>
        <v>1</v>
      </c>
      <c r="P32" s="27">
        <f t="shared" si="1"/>
        <v>2.6455026455026454E-3</v>
      </c>
      <c r="Q32" s="22">
        <v>1</v>
      </c>
      <c r="R32" s="22">
        <v>0</v>
      </c>
      <c r="S32" s="22">
        <v>0</v>
      </c>
      <c r="T32" s="22">
        <v>0</v>
      </c>
      <c r="U32" s="22">
        <v>0</v>
      </c>
      <c r="V32" s="22">
        <v>1</v>
      </c>
    </row>
    <row r="33" spans="1:22" ht="21" customHeight="1" x14ac:dyDescent="0.15">
      <c r="A33" s="2">
        <v>7025104</v>
      </c>
      <c r="B33" s="6">
        <v>1106</v>
      </c>
      <c r="C33" s="7" t="str">
        <f t="shared" si="0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ラファエロ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human</v>
      </c>
      <c r="N33" s="7" t="str">
        <f>VLOOKUP(B33,[1]characters!$A:$G,7,FALSE)</f>
        <v>不明</v>
      </c>
      <c r="O33" s="7">
        <f t="shared" si="3"/>
        <v>1</v>
      </c>
      <c r="P33" s="27">
        <f t="shared" si="1"/>
        <v>2.6455026455026454E-3</v>
      </c>
      <c r="Q33" s="22">
        <v>1</v>
      </c>
      <c r="R33" s="22">
        <v>0</v>
      </c>
      <c r="S33" s="22">
        <v>0</v>
      </c>
      <c r="T33" s="22">
        <v>0</v>
      </c>
      <c r="U33" s="22">
        <v>0</v>
      </c>
      <c r="V33" s="22">
        <v>1</v>
      </c>
    </row>
    <row r="34" spans="1:22" ht="21" customHeight="1" x14ac:dyDescent="0.15">
      <c r="A34" s="2">
        <v>7025104</v>
      </c>
      <c r="B34" s="6">
        <v>1144</v>
      </c>
      <c r="C34" s="7" t="str">
        <f t="shared" si="0"/>
        <v>Premium5R3less</v>
      </c>
      <c r="D34" s="7" t="str">
        <f t="shared" si="2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白星を射る老将 黄忠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technical</v>
      </c>
      <c r="M34" s="7" t="str">
        <f>VLOOKUP(B34,[1]characters!$A:$M,13,FALSE)</f>
        <v>samurai</v>
      </c>
      <c r="N34" s="7" t="str">
        <f>VLOOKUP(B34,[1]characters!$A:$G,7,FALSE)</f>
        <v>不明</v>
      </c>
      <c r="O34" s="7">
        <f t="shared" si="3"/>
        <v>18</v>
      </c>
      <c r="P34" s="27">
        <f t="shared" si="1"/>
        <v>4.7619047619047616E-2</v>
      </c>
      <c r="Q34" s="22">
        <v>1</v>
      </c>
      <c r="R34" s="22">
        <v>0</v>
      </c>
      <c r="S34" s="22">
        <v>0</v>
      </c>
      <c r="T34" s="22">
        <v>0</v>
      </c>
      <c r="U34" s="22">
        <v>0</v>
      </c>
      <c r="V34" s="22">
        <v>1</v>
      </c>
    </row>
    <row r="35" spans="1:22" ht="21" customHeight="1" x14ac:dyDescent="0.15">
      <c r="A35" s="2">
        <v>7025104</v>
      </c>
      <c r="B35" s="6">
        <v>1157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インドラ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attack</v>
      </c>
      <c r="M35" s="7" t="str">
        <f>VLOOKUP(B35,[1]characters!$A:$M,13,FALSE)</f>
        <v>god</v>
      </c>
      <c r="N35" s="7" t="str">
        <f>VLOOKUP(B35,[1]characters!$A:$G,7,FALSE)</f>
        <v>不明</v>
      </c>
      <c r="O35" s="7">
        <f t="shared" si="3"/>
        <v>1</v>
      </c>
      <c r="P35" s="27">
        <f t="shared" si="1"/>
        <v>2.6455026455026454E-3</v>
      </c>
      <c r="Q35" s="22">
        <v>1</v>
      </c>
      <c r="R35" s="22">
        <v>0</v>
      </c>
      <c r="S35" s="22">
        <v>0</v>
      </c>
      <c r="T35" s="22">
        <v>0</v>
      </c>
      <c r="U35" s="22">
        <v>0</v>
      </c>
      <c r="V35" s="22">
        <v>1</v>
      </c>
    </row>
    <row r="36" spans="1:22" s="45" customFormat="1" ht="21" customHeight="1" x14ac:dyDescent="0.15">
      <c r="A36" s="2">
        <v>7025104</v>
      </c>
      <c r="B36" s="6">
        <v>1214</v>
      </c>
      <c r="C36" s="7" t="str">
        <f t="shared" ref="C36" si="4">D36&amp;J36&amp;E36&amp;F36&amp;G36</f>
        <v>PremiumSS5R5only</v>
      </c>
      <c r="D36" s="7" t="str">
        <f t="shared" ref="D36" si="5">IF(OR(I36="PremiumSS",I36="PremiumSSw"),"PremiumSS",IF(I36="PremiumSSS",I36,IF(I36="PremiumW",IF(J36=5,"premium",I36),"Premium")))</f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アルテミス</v>
      </c>
      <c r="I36" s="7" t="str">
        <f>VLOOKUP(B36,[1]characters!$A:$J,10,FALSE)</f>
        <v>PremiumSSw</v>
      </c>
      <c r="J36" s="7">
        <f>VLOOKUP(B36,[1]characters!$A:$I,9,FALSE)</f>
        <v>5</v>
      </c>
      <c r="K36" s="7" t="str">
        <f>VLOOKUP(B36,[1]characters!$A:$H,8,FALSE)</f>
        <v>yellow</v>
      </c>
      <c r="L36" s="7" t="str">
        <f>VLOOKUP(B36,[1]characters!$A:$K,11,FALSE)</f>
        <v>balance</v>
      </c>
      <c r="M36" s="7" t="str">
        <f>VLOOKUP(B36,[1]characters!$A:$M,13,FALSE)</f>
        <v>god</v>
      </c>
      <c r="N36" s="7">
        <f>VLOOKUP(B36,[1]characters!$A:$G,7,FALSE)</f>
        <v>0</v>
      </c>
      <c r="O36" s="7">
        <f t="shared" si="3"/>
        <v>1</v>
      </c>
      <c r="P36" s="27">
        <f t="shared" si="1"/>
        <v>2.6455026455026454E-3</v>
      </c>
      <c r="Q36" s="22">
        <v>1</v>
      </c>
      <c r="R36" s="22">
        <v>0</v>
      </c>
      <c r="S36" s="22">
        <v>0</v>
      </c>
      <c r="T36" s="22">
        <v>0</v>
      </c>
      <c r="U36" s="22">
        <v>0</v>
      </c>
      <c r="V36" s="22">
        <v>1</v>
      </c>
    </row>
    <row r="37" spans="1:22" s="45" customFormat="1" ht="21" customHeight="1" x14ac:dyDescent="0.15">
      <c r="A37" s="2">
        <v>7025104</v>
      </c>
      <c r="B37" s="6">
        <v>1230</v>
      </c>
      <c r="C37" s="7" t="str">
        <f t="shared" ref="C37" si="6">D37&amp;J37&amp;E37&amp;F37&amp;G37</f>
        <v>PremiumSS5R5only</v>
      </c>
      <c r="D37" s="7" t="str">
        <f t="shared" ref="D37" si="7">IF(OR(I37="PremiumSS",I37="PremiumSSw"),"PremiumSS",IF(I37="PremiumSSS",I37,IF(I37="PremiumW",IF(J37=5,"premium",I37),"Premium")))</f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夏目漱石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heal</v>
      </c>
      <c r="M37" s="7" t="str">
        <f>VLOOKUP(B37,[1]characters!$A:$M,13,FALSE)</f>
        <v>animal</v>
      </c>
      <c r="N37" s="7">
        <f>VLOOKUP(B37,[1]characters!$A:$G,7,FALSE)</f>
        <v>0</v>
      </c>
      <c r="O37" s="7">
        <f t="shared" si="3"/>
        <v>1</v>
      </c>
      <c r="P37" s="27">
        <f t="shared" si="1"/>
        <v>2.6455026455026454E-3</v>
      </c>
      <c r="Q37" s="22">
        <v>1</v>
      </c>
      <c r="R37" s="22">
        <v>0</v>
      </c>
      <c r="S37" s="22">
        <v>0</v>
      </c>
      <c r="T37" s="22">
        <v>0</v>
      </c>
      <c r="U37" s="22">
        <v>0</v>
      </c>
      <c r="V37" s="22">
        <v>1</v>
      </c>
    </row>
    <row r="38" spans="1:22" s="45" customFormat="1" ht="21" customHeight="1" x14ac:dyDescent="0.15">
      <c r="A38" s="2">
        <v>7025104</v>
      </c>
      <c r="B38" s="6">
        <v>1250</v>
      </c>
      <c r="C38" s="7" t="str">
        <f t="shared" ref="C38" si="8">D38&amp;J38&amp;E38&amp;F38&amp;G38</f>
        <v>PremiumSS5R5only</v>
      </c>
      <c r="D38" s="7" t="str">
        <f t="shared" ref="D38" si="9">IF(OR(I38="PremiumSS",I38="PremiumSSw"),"PremiumSS",IF(I38="PremiumSSS",I38,IF(I38="PremiumW",IF(J38=5,"premium",I38),"Premium")))</f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真田幸村</v>
      </c>
      <c r="I38" s="7" t="str">
        <f>VLOOKUP(B38,[1]characters!$A:$J,10,FALSE)</f>
        <v>PremiumSSw</v>
      </c>
      <c r="J38" s="7">
        <f>VLOOKUP(B38,[1]characters!$A:$I,9,FALSE)</f>
        <v>5</v>
      </c>
      <c r="K38" s="7" t="str">
        <f>VLOOKUP(B38,[1]characters!$A:$H,8,FALSE)</f>
        <v>yellow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>
        <f>VLOOKUP(B38,[1]characters!$A:$G,7,FALSE)</f>
        <v>0</v>
      </c>
      <c r="O38" s="7">
        <f t="shared" si="3"/>
        <v>1</v>
      </c>
      <c r="P38" s="27">
        <f t="shared" si="1"/>
        <v>2.6455026455026454E-3</v>
      </c>
      <c r="Q38" s="22">
        <v>1</v>
      </c>
      <c r="R38" s="22">
        <v>0</v>
      </c>
      <c r="S38" s="22">
        <v>0</v>
      </c>
      <c r="T38" s="22">
        <v>0</v>
      </c>
      <c r="U38" s="22">
        <v>0</v>
      </c>
      <c r="V38" s="22">
        <v>1</v>
      </c>
    </row>
    <row r="39" spans="1:22" s="45" customFormat="1" ht="21" customHeight="1" x14ac:dyDescent="0.15">
      <c r="A39" s="2">
        <v>7025104</v>
      </c>
      <c r="B39" s="6">
        <v>1267</v>
      </c>
      <c r="C39" s="7" t="str">
        <f t="shared" ref="C39" si="10">D39&amp;J39&amp;E39&amp;F39&amp;G39</f>
        <v>Premium5R3less</v>
      </c>
      <c r="D39" s="7" t="str">
        <f t="shared" ref="D39" si="11">IF(OR(I39="PremiumSS",I39="PremiumSSw"),"PremiumSS",IF(I39="PremiumSSS",I39,IF(I39="PremiumW",IF(J39=5,"premium",I39),"Premium")))</f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不遜の冥番犬 ガルム</v>
      </c>
      <c r="I39" s="7" t="str">
        <f>VLOOKUP(B39,[1]characters!$A:$J,10,FALSE)</f>
        <v>PremiumS</v>
      </c>
      <c r="J39" s="7">
        <f>VLOOKUP(B39,[1]characters!$A:$I,9,FALSE)</f>
        <v>5</v>
      </c>
      <c r="K39" s="7" t="str">
        <f>VLOOKUP(B39,[1]characters!$A:$H,8,FALSE)</f>
        <v>yellow</v>
      </c>
      <c r="L39" s="7" t="str">
        <f>VLOOKUP(B39,[1]characters!$A:$K,11,FALSE)</f>
        <v>hp</v>
      </c>
      <c r="M39" s="7" t="str">
        <f>VLOOKUP(B39,[1]characters!$A:$M,13,FALSE)</f>
        <v>god</v>
      </c>
      <c r="N39" s="7">
        <f>VLOOKUP(B39,[1]characters!$A:$G,7,FALSE)</f>
        <v>0</v>
      </c>
      <c r="O39" s="7">
        <f t="shared" ref="O39" si="12">IF(D39="Premium",18,1)</f>
        <v>18</v>
      </c>
      <c r="P39" s="27">
        <f t="shared" ref="P39" si="13">O39/SUM(O:O)</f>
        <v>4.7619047619047616E-2</v>
      </c>
      <c r="Q39" s="22">
        <v>1</v>
      </c>
      <c r="R39" s="22">
        <v>0</v>
      </c>
      <c r="S39" s="22">
        <v>0</v>
      </c>
      <c r="T39" s="22">
        <v>0</v>
      </c>
      <c r="U39" s="22">
        <v>0</v>
      </c>
      <c r="V39" s="22">
        <v>1</v>
      </c>
    </row>
    <row r="40" spans="1:22" s="45" customFormat="1" ht="21" customHeight="1" x14ac:dyDescent="0.15">
      <c r="A40" s="2"/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26"/>
      <c r="P40" s="27"/>
      <c r="Q40" s="22"/>
      <c r="R40" s="22"/>
      <c r="S40" s="22"/>
      <c r="T40" s="22"/>
      <c r="U40" s="22"/>
      <c r="V40" s="22"/>
    </row>
    <row r="41" spans="1:22" s="45" customFormat="1" ht="21" customHeight="1" x14ac:dyDescent="0.15">
      <c r="A41" s="2"/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26"/>
      <c r="P41" s="27"/>
      <c r="Q41" s="22"/>
      <c r="R41" s="22"/>
      <c r="S41" s="22"/>
      <c r="T41" s="22"/>
      <c r="U41" s="22"/>
      <c r="V41" s="22"/>
    </row>
    <row r="42" spans="1:22" s="45" customFormat="1" ht="21" customHeight="1" x14ac:dyDescent="0.15">
      <c r="A42" s="2"/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26"/>
      <c r="P42" s="27"/>
      <c r="Q42" s="22"/>
      <c r="R42" s="22"/>
      <c r="S42" s="22"/>
      <c r="T42" s="22"/>
      <c r="U42" s="22"/>
      <c r="V42" s="22"/>
    </row>
    <row r="43" spans="1:22" s="45" customFormat="1" ht="21" customHeight="1" x14ac:dyDescent="0.15">
      <c r="A43" s="2"/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26"/>
      <c r="P43" s="27"/>
      <c r="Q43" s="22"/>
      <c r="R43" s="22"/>
      <c r="S43" s="22"/>
      <c r="T43" s="22"/>
      <c r="U43" s="22"/>
      <c r="V43" s="22"/>
    </row>
    <row r="44" spans="1:22" s="45" customFormat="1" ht="21" customHeight="1" x14ac:dyDescent="0.15">
      <c r="A44" s="2"/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26"/>
      <c r="P44" s="27"/>
      <c r="Q44" s="22"/>
      <c r="R44" s="22"/>
      <c r="S44" s="22"/>
      <c r="T44" s="22"/>
      <c r="U44" s="22"/>
      <c r="V44" s="22"/>
    </row>
    <row r="45" spans="1:22" s="45" customFormat="1" ht="21" customHeight="1" x14ac:dyDescent="0.15">
      <c r="A45" s="2"/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26"/>
      <c r="P45" s="27"/>
      <c r="Q45" s="22"/>
      <c r="R45" s="22"/>
      <c r="S45" s="22"/>
      <c r="T45" s="22"/>
      <c r="U45" s="22"/>
      <c r="V45" s="22"/>
    </row>
    <row r="46" spans="1:22" s="45" customFormat="1" ht="21" customHeight="1" x14ac:dyDescent="0.15">
      <c r="A46" s="2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26"/>
      <c r="P46" s="27"/>
      <c r="Q46" s="22"/>
      <c r="R46" s="22"/>
      <c r="S46" s="22"/>
      <c r="T46" s="22"/>
      <c r="U46" s="22"/>
      <c r="V46" s="22"/>
    </row>
    <row r="47" spans="1:22" s="45" customFormat="1" ht="21" customHeight="1" x14ac:dyDescent="0.15">
      <c r="A47" s="2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26"/>
      <c r="P47" s="27"/>
      <c r="Q47" s="22"/>
      <c r="R47" s="22"/>
      <c r="S47" s="22"/>
      <c r="T47" s="22"/>
      <c r="U47" s="22"/>
      <c r="V47" s="22"/>
    </row>
    <row r="48" spans="1:22" s="45" customFormat="1" ht="21" customHeight="1" x14ac:dyDescent="0.15">
      <c r="A48" s="2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26"/>
      <c r="P48" s="27"/>
      <c r="Q48" s="22"/>
      <c r="R48" s="22"/>
      <c r="S48" s="22"/>
      <c r="T48" s="22"/>
      <c r="U48" s="22"/>
      <c r="V48" s="22"/>
    </row>
    <row r="49" spans="1:22" s="45" customFormat="1" ht="21" customHeight="1" x14ac:dyDescent="0.15">
      <c r="A49" s="2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26"/>
      <c r="P49" s="27"/>
      <c r="Q49" s="22"/>
      <c r="R49" s="22"/>
      <c r="S49" s="22"/>
      <c r="T49" s="22"/>
      <c r="U49" s="22"/>
      <c r="V49" s="22"/>
    </row>
    <row r="50" spans="1:22" s="45" customFormat="1" ht="21" customHeight="1" x14ac:dyDescent="0.15">
      <c r="A50" s="2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26"/>
      <c r="P50" s="27"/>
      <c r="Q50" s="22"/>
      <c r="R50" s="22"/>
      <c r="S50" s="22"/>
      <c r="T50" s="22"/>
      <c r="U50" s="22"/>
      <c r="V50" s="22"/>
    </row>
    <row r="51" spans="1:22" s="45" customFormat="1" ht="21" customHeight="1" x14ac:dyDescent="0.15">
      <c r="A51" s="2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26"/>
      <c r="P51" s="27"/>
      <c r="Q51" s="22"/>
      <c r="R51" s="22"/>
      <c r="S51" s="22"/>
      <c r="T51" s="22"/>
      <c r="U51" s="22"/>
      <c r="V51" s="22"/>
    </row>
    <row r="52" spans="1:22" s="45" customFormat="1" ht="21" customHeight="1" x14ac:dyDescent="0.15">
      <c r="A52" s="2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26"/>
      <c r="P52" s="27"/>
      <c r="Q52" s="22"/>
      <c r="R52" s="22"/>
      <c r="S52" s="22"/>
      <c r="T52" s="22"/>
      <c r="U52" s="22"/>
      <c r="V52" s="22"/>
    </row>
    <row r="53" spans="1:22" s="45" customFormat="1" ht="21" customHeight="1" x14ac:dyDescent="0.15">
      <c r="A53" s="2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26"/>
      <c r="P53" s="27"/>
      <c r="Q53" s="22"/>
      <c r="R53" s="22"/>
      <c r="S53" s="22"/>
      <c r="T53" s="22"/>
      <c r="U53" s="22"/>
      <c r="V53" s="22"/>
    </row>
    <row r="54" spans="1:22" s="45" customFormat="1" ht="21" customHeight="1" x14ac:dyDescent="0.15">
      <c r="A54" s="2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26"/>
      <c r="P54" s="27"/>
      <c r="Q54" s="22"/>
      <c r="R54" s="22"/>
      <c r="S54" s="22"/>
      <c r="T54" s="22"/>
      <c r="U54" s="22"/>
      <c r="V54" s="22"/>
    </row>
    <row r="55" spans="1:22" s="45" customFormat="1" ht="21" customHeight="1" x14ac:dyDescent="0.15">
      <c r="A55" s="2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26"/>
      <c r="P55" s="27"/>
      <c r="Q55" s="22"/>
      <c r="R55" s="22"/>
      <c r="S55" s="22"/>
      <c r="T55" s="22"/>
      <c r="U55" s="22"/>
      <c r="V55" s="22"/>
    </row>
    <row r="56" spans="1:22" s="45" customFormat="1" ht="21" customHeight="1" x14ac:dyDescent="0.15">
      <c r="A56" s="2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26"/>
      <c r="P56" s="27"/>
      <c r="Q56" s="22"/>
      <c r="R56" s="22"/>
      <c r="S56" s="22"/>
      <c r="T56" s="22"/>
      <c r="U56" s="22"/>
      <c r="V56" s="22"/>
    </row>
    <row r="57" spans="1:22" s="45" customFormat="1" ht="21" customHeight="1" x14ac:dyDescent="0.15">
      <c r="A57" s="2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26"/>
      <c r="P57" s="27"/>
      <c r="Q57" s="22"/>
      <c r="R57" s="22"/>
      <c r="S57" s="22"/>
      <c r="T57" s="22"/>
      <c r="U57" s="22"/>
      <c r="V57" s="22"/>
    </row>
    <row r="58" spans="1:22" s="45" customFormat="1" ht="21" customHeight="1" x14ac:dyDescent="0.15">
      <c r="A58" s="2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26"/>
      <c r="P58" s="27"/>
      <c r="Q58" s="22"/>
      <c r="R58" s="22"/>
      <c r="S58" s="22"/>
      <c r="T58" s="22"/>
      <c r="U58" s="22"/>
      <c r="V58" s="22"/>
    </row>
    <row r="59" spans="1:22" s="45" customFormat="1" ht="21" customHeight="1" x14ac:dyDescent="0.15">
      <c r="A59" s="2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26"/>
      <c r="P59" s="27"/>
      <c r="Q59" s="22"/>
      <c r="R59" s="22"/>
      <c r="S59" s="22"/>
      <c r="T59" s="22"/>
      <c r="U59" s="22"/>
      <c r="V59" s="22"/>
    </row>
    <row r="60" spans="1:22" s="45" customFormat="1" ht="21" customHeight="1" x14ac:dyDescent="0.15">
      <c r="A60" s="2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26"/>
      <c r="P60" s="27"/>
      <c r="Q60" s="22"/>
      <c r="R60" s="22"/>
      <c r="S60" s="22"/>
      <c r="T60" s="22"/>
      <c r="U60" s="22"/>
      <c r="V60" s="22"/>
    </row>
    <row r="61" spans="1:22" s="45" customFormat="1" ht="21" customHeight="1" x14ac:dyDescent="0.15">
      <c r="A61" s="2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26"/>
      <c r="P61" s="27"/>
      <c r="Q61" s="22"/>
      <c r="R61" s="22"/>
      <c r="S61" s="22"/>
      <c r="T61" s="22"/>
      <c r="U61" s="22"/>
      <c r="V61" s="22"/>
    </row>
    <row r="62" spans="1:22" s="45" customFormat="1" ht="21" customHeight="1" x14ac:dyDescent="0.15">
      <c r="A62" s="2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26"/>
      <c r="P62" s="27"/>
      <c r="Q62" s="22"/>
      <c r="R62" s="22"/>
      <c r="S62" s="22"/>
      <c r="T62" s="22"/>
      <c r="U62" s="22"/>
      <c r="V62" s="22"/>
    </row>
    <row r="63" spans="1:22" s="45" customFormat="1" ht="21" customHeight="1" x14ac:dyDescent="0.15">
      <c r="A63" s="2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26"/>
      <c r="P63" s="27"/>
      <c r="Q63" s="22"/>
      <c r="R63" s="22"/>
      <c r="S63" s="22"/>
      <c r="T63" s="22"/>
      <c r="U63" s="22"/>
      <c r="V63" s="22"/>
    </row>
    <row r="64" spans="1:22" s="45" customFormat="1" ht="21" customHeight="1" x14ac:dyDescent="0.15">
      <c r="A64" s="2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26"/>
      <c r="P64" s="27"/>
      <c r="Q64" s="22"/>
      <c r="R64" s="22"/>
      <c r="S64" s="22"/>
      <c r="T64" s="22"/>
      <c r="U64" s="22"/>
      <c r="V64" s="22"/>
    </row>
    <row r="65" spans="1:36" ht="21" customHeight="1" x14ac:dyDescent="0.15">
      <c r="A65" s="2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26"/>
      <c r="P65" s="27"/>
      <c r="Q65" s="22"/>
      <c r="R65" s="22"/>
      <c r="S65" s="22"/>
      <c r="T65" s="22"/>
      <c r="U65" s="22"/>
      <c r="V65" s="22"/>
    </row>
    <row r="66" spans="1:36" s="9" customFormat="1" ht="21" customHeight="1" thickBot="1" x14ac:dyDescent="0.2">
      <c r="A66" s="2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26"/>
      <c r="P66" s="27"/>
      <c r="Q66" s="22"/>
      <c r="R66" s="22"/>
      <c r="S66" s="22"/>
      <c r="T66" s="22"/>
      <c r="U66" s="22"/>
      <c r="V66" s="22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</row>
    <row r="67" spans="1:36" ht="21" customHeight="1" x14ac:dyDescent="0.15">
      <c r="A67" s="2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26"/>
      <c r="P67" s="27"/>
      <c r="Q67" s="22"/>
      <c r="R67" s="22"/>
      <c r="S67" s="22"/>
      <c r="T67" s="22"/>
      <c r="U67" s="22"/>
      <c r="V67" s="22"/>
    </row>
    <row r="68" spans="1:36" ht="21" customHeight="1" x14ac:dyDescent="0.15">
      <c r="A68" s="2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26"/>
      <c r="P68" s="27"/>
      <c r="Q68" s="22"/>
      <c r="R68" s="22"/>
      <c r="S68" s="22"/>
      <c r="T68" s="22"/>
      <c r="U68" s="22"/>
      <c r="V68" s="22"/>
    </row>
    <row r="69" spans="1:36" ht="21" customHeight="1" x14ac:dyDescent="0.15">
      <c r="A69" s="2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26"/>
      <c r="P69" s="27"/>
      <c r="Q69" s="22"/>
      <c r="R69" s="22"/>
      <c r="S69" s="22"/>
      <c r="T69" s="22"/>
      <c r="U69" s="22"/>
      <c r="V69" s="22"/>
    </row>
    <row r="70" spans="1:36" ht="21" customHeight="1" x14ac:dyDescent="0.15">
      <c r="A70" s="2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26"/>
      <c r="P70" s="27"/>
      <c r="Q70" s="22"/>
      <c r="R70" s="22"/>
      <c r="S70" s="22"/>
      <c r="T70" s="22"/>
      <c r="U70" s="22"/>
      <c r="V70" s="22"/>
    </row>
    <row r="71" spans="1:36" ht="21" customHeight="1" x14ac:dyDescent="0.15">
      <c r="A71" s="2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26"/>
      <c r="P71" s="27"/>
      <c r="Q71" s="22"/>
      <c r="R71" s="22"/>
      <c r="S71" s="22"/>
      <c r="T71" s="22"/>
      <c r="U71" s="22"/>
      <c r="V71" s="22"/>
    </row>
    <row r="72" spans="1:36" ht="21" customHeight="1" x14ac:dyDescent="0.15">
      <c r="A72" s="2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26"/>
      <c r="P72" s="27"/>
      <c r="Q72" s="22"/>
      <c r="R72" s="22"/>
      <c r="S72" s="22"/>
      <c r="T72" s="22"/>
      <c r="U72" s="22"/>
      <c r="V72" s="22"/>
    </row>
    <row r="73" spans="1:36" ht="21" customHeight="1" x14ac:dyDescent="0.15">
      <c r="A73" s="2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26"/>
      <c r="P73" s="27"/>
      <c r="Q73" s="22"/>
      <c r="R73" s="22"/>
      <c r="S73" s="22"/>
      <c r="T73" s="22"/>
      <c r="U73" s="22"/>
      <c r="V73" s="22"/>
    </row>
    <row r="74" spans="1:36" ht="21" customHeight="1" x14ac:dyDescent="0.15">
      <c r="A74" s="2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26"/>
      <c r="P74" s="27"/>
      <c r="Q74" s="22"/>
      <c r="R74" s="22"/>
      <c r="S74" s="22"/>
      <c r="T74" s="22"/>
      <c r="U74" s="22"/>
      <c r="V74" s="22"/>
    </row>
    <row r="75" spans="1:36" s="51" customFormat="1" ht="21" customHeight="1" x14ac:dyDescent="0.15">
      <c r="A75" s="2"/>
      <c r="B75" s="4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26"/>
      <c r="P75" s="27"/>
      <c r="Q75" s="22"/>
      <c r="R75" s="22"/>
      <c r="S75" s="22"/>
      <c r="T75" s="22"/>
      <c r="U75" s="22"/>
      <c r="V75" s="22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</row>
    <row r="76" spans="1:36" s="51" customFormat="1" ht="21" customHeight="1" x14ac:dyDescent="0.15">
      <c r="A76" s="2"/>
      <c r="B76" s="4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26"/>
      <c r="P76" s="27"/>
      <c r="Q76" s="22"/>
      <c r="R76" s="22"/>
      <c r="S76" s="22"/>
      <c r="T76" s="22"/>
      <c r="U76" s="22"/>
      <c r="V76" s="22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</row>
    <row r="77" spans="1:36" s="51" customFormat="1" ht="21" customHeight="1" x14ac:dyDescent="0.15">
      <c r="A77" s="2"/>
      <c r="B77" s="4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26"/>
      <c r="P77" s="27"/>
      <c r="Q77" s="22"/>
      <c r="R77" s="22"/>
      <c r="S77" s="22"/>
      <c r="T77" s="22"/>
      <c r="U77" s="22"/>
      <c r="V77" s="22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</row>
    <row r="78" spans="1:36" s="51" customFormat="1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8"/>
      <c r="P78" s="49"/>
      <c r="Q78" s="50"/>
      <c r="R78" s="50"/>
      <c r="S78" s="50"/>
      <c r="T78" s="50"/>
      <c r="U78" s="50"/>
      <c r="V78" s="50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</row>
    <row r="79" spans="1:36" s="51" customFormat="1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8"/>
      <c r="P79" s="49"/>
      <c r="Q79" s="50"/>
      <c r="R79" s="50"/>
      <c r="S79" s="50"/>
      <c r="T79" s="50"/>
      <c r="U79" s="50"/>
      <c r="V79" s="50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</row>
    <row r="80" spans="1:36" s="51" customFormat="1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8"/>
      <c r="P80" s="49"/>
      <c r="Q80" s="50"/>
      <c r="R80" s="50"/>
      <c r="S80" s="50"/>
      <c r="T80" s="50"/>
      <c r="U80" s="50"/>
      <c r="V80" s="50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</row>
    <row r="81" spans="1:36" s="51" customFormat="1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8"/>
      <c r="P81" s="49"/>
      <c r="Q81" s="50"/>
      <c r="R81" s="50"/>
      <c r="S81" s="50"/>
      <c r="T81" s="50"/>
      <c r="U81" s="50"/>
      <c r="V81" s="50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</row>
    <row r="82" spans="1:36" s="51" customFormat="1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8"/>
      <c r="P82" s="49"/>
      <c r="Q82" s="50"/>
      <c r="R82" s="50"/>
      <c r="S82" s="50"/>
      <c r="T82" s="50"/>
      <c r="U82" s="50"/>
      <c r="V82" s="50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</row>
    <row r="83" spans="1:36" s="51" customFormat="1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8"/>
      <c r="P83" s="49"/>
      <c r="Q83" s="50"/>
      <c r="R83" s="50"/>
      <c r="S83" s="50"/>
      <c r="T83" s="50"/>
      <c r="U83" s="50"/>
      <c r="V83" s="50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</row>
    <row r="84" spans="1:36" s="51" customFormat="1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8"/>
      <c r="P84" s="49"/>
      <c r="Q84" s="50"/>
      <c r="R84" s="50"/>
      <c r="S84" s="50"/>
      <c r="T84" s="50"/>
      <c r="U84" s="50"/>
      <c r="V84" s="50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</row>
    <row r="85" spans="1:36" s="51" customFormat="1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8"/>
      <c r="P85" s="49"/>
      <c r="Q85" s="50"/>
      <c r="R85" s="50"/>
      <c r="S85" s="50"/>
      <c r="T85" s="50"/>
      <c r="U85" s="50"/>
      <c r="V85" s="50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</row>
    <row r="86" spans="1:36" s="51" customFormat="1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8"/>
      <c r="P86" s="49"/>
      <c r="Q86" s="50"/>
      <c r="R86" s="50"/>
      <c r="S86" s="50"/>
      <c r="T86" s="50"/>
      <c r="U86" s="50"/>
      <c r="V86" s="50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</row>
    <row r="87" spans="1:36" s="51" customFormat="1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8"/>
      <c r="P87" s="49"/>
      <c r="Q87" s="50"/>
      <c r="R87" s="50"/>
      <c r="S87" s="50"/>
      <c r="T87" s="50"/>
      <c r="U87" s="50"/>
      <c r="V87" s="50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</row>
    <row r="88" spans="1:36" s="51" customFormat="1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8"/>
      <c r="P88" s="49"/>
      <c r="Q88" s="50"/>
      <c r="R88" s="50"/>
      <c r="S88" s="50"/>
      <c r="T88" s="50"/>
      <c r="U88" s="50"/>
      <c r="V88" s="50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</row>
    <row r="89" spans="1:36" s="51" customFormat="1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8"/>
      <c r="P89" s="49"/>
      <c r="Q89" s="50"/>
      <c r="R89" s="50"/>
      <c r="S89" s="50"/>
      <c r="T89" s="50"/>
      <c r="U89" s="50"/>
      <c r="V89" s="50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</row>
    <row r="90" spans="1:36" s="51" customFormat="1" ht="21" customHeight="1" x14ac:dyDescent="0.1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8"/>
      <c r="P90" s="49"/>
      <c r="Q90" s="50"/>
      <c r="R90" s="50"/>
      <c r="S90" s="50"/>
      <c r="T90" s="50"/>
      <c r="U90" s="50"/>
      <c r="V90" s="50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</row>
    <row r="91" spans="1:36" s="51" customFormat="1" ht="21" customHeight="1" x14ac:dyDescent="0.1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8"/>
      <c r="P91" s="49"/>
      <c r="Q91" s="50"/>
      <c r="R91" s="50"/>
      <c r="S91" s="50"/>
      <c r="T91" s="50"/>
      <c r="U91" s="50"/>
      <c r="V91" s="50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</row>
    <row r="92" spans="1:36" s="51" customFormat="1" ht="21" customHeight="1" x14ac:dyDescent="0.1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8"/>
      <c r="P92" s="49"/>
      <c r="Q92" s="50"/>
      <c r="R92" s="50"/>
      <c r="S92" s="50"/>
      <c r="T92" s="50"/>
      <c r="U92" s="50"/>
      <c r="V92" s="50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</row>
    <row r="93" spans="1:36" s="51" customFormat="1" ht="21" customHeight="1" x14ac:dyDescent="0.1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8"/>
      <c r="P93" s="49"/>
      <c r="Q93" s="50"/>
      <c r="R93" s="50"/>
      <c r="S93" s="50"/>
      <c r="T93" s="50"/>
      <c r="U93" s="50"/>
      <c r="V93" s="50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</row>
    <row r="94" spans="1:36" s="51" customFormat="1" ht="21" customHeight="1" x14ac:dyDescent="0.1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8"/>
      <c r="P94" s="49"/>
      <c r="Q94" s="50"/>
      <c r="R94" s="50"/>
      <c r="S94" s="50"/>
      <c r="T94" s="50"/>
      <c r="U94" s="50"/>
      <c r="V94" s="50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</row>
    <row r="95" spans="1:36" s="51" customFormat="1" ht="21" customHeight="1" x14ac:dyDescent="0.1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8"/>
      <c r="P95" s="49"/>
      <c r="Q95" s="50"/>
      <c r="R95" s="50"/>
      <c r="S95" s="50"/>
      <c r="T95" s="50"/>
      <c r="U95" s="50"/>
      <c r="V95" s="50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</row>
    <row r="96" spans="1:36" s="51" customFormat="1" ht="21" customHeight="1" x14ac:dyDescent="0.1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8"/>
      <c r="P96" s="49"/>
      <c r="Q96" s="50"/>
      <c r="R96" s="50"/>
      <c r="S96" s="50"/>
      <c r="T96" s="50"/>
      <c r="U96" s="50"/>
      <c r="V96" s="50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</row>
    <row r="97" spans="1:36" s="51" customFormat="1" ht="21" customHeight="1" x14ac:dyDescent="0.1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8"/>
      <c r="P97" s="49"/>
      <c r="Q97" s="50"/>
      <c r="R97" s="50"/>
      <c r="S97" s="50"/>
      <c r="T97" s="50"/>
      <c r="U97" s="50"/>
      <c r="V97" s="50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</row>
    <row r="98" spans="1:36" s="51" customFormat="1" ht="21" customHeight="1" x14ac:dyDescent="0.1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8"/>
      <c r="P98" s="49"/>
      <c r="Q98" s="50"/>
      <c r="R98" s="50"/>
      <c r="S98" s="50"/>
      <c r="T98" s="50"/>
      <c r="U98" s="50"/>
      <c r="V98" s="50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</row>
    <row r="99" spans="1:36" s="51" customFormat="1" ht="21" customHeight="1" x14ac:dyDescent="0.1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8"/>
      <c r="P99" s="49"/>
      <c r="Q99" s="50"/>
      <c r="R99" s="50"/>
      <c r="S99" s="50"/>
      <c r="T99" s="50"/>
      <c r="U99" s="50"/>
      <c r="V99" s="50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</row>
    <row r="100" spans="1:36" s="51" customFormat="1" ht="21" customHeight="1" x14ac:dyDescent="0.1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8"/>
      <c r="P100" s="49"/>
      <c r="Q100" s="50"/>
      <c r="R100" s="50"/>
      <c r="S100" s="50"/>
      <c r="T100" s="50"/>
      <c r="U100" s="50"/>
      <c r="V100" s="50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</row>
    <row r="101" spans="1:36" s="51" customFormat="1" ht="21" customHeight="1" x14ac:dyDescent="0.1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8"/>
      <c r="P101" s="49"/>
      <c r="Q101" s="50"/>
      <c r="R101" s="50"/>
      <c r="S101" s="50"/>
      <c r="T101" s="50"/>
      <c r="U101" s="50"/>
      <c r="V101" s="50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</row>
    <row r="102" spans="1:36" s="51" customFormat="1" ht="21" customHeight="1" x14ac:dyDescent="0.1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8"/>
      <c r="P102" s="49"/>
      <c r="Q102" s="50"/>
      <c r="R102" s="50"/>
      <c r="S102" s="50"/>
      <c r="T102" s="50"/>
      <c r="U102" s="50"/>
      <c r="V102" s="50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</row>
    <row r="103" spans="1:36" s="51" customFormat="1" ht="21" customHeight="1" x14ac:dyDescent="0.1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8"/>
      <c r="P103" s="49"/>
      <c r="Q103" s="50"/>
      <c r="R103" s="50"/>
      <c r="S103" s="50"/>
      <c r="T103" s="50"/>
      <c r="U103" s="50"/>
      <c r="V103" s="50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</row>
    <row r="104" spans="1:36" s="51" customFormat="1" ht="21" customHeight="1" x14ac:dyDescent="0.1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8"/>
      <c r="P104" s="49"/>
      <c r="Q104" s="50"/>
      <c r="R104" s="50"/>
      <c r="S104" s="50"/>
      <c r="T104" s="50"/>
      <c r="U104" s="50"/>
      <c r="V104" s="50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</row>
    <row r="105" spans="1:36" s="51" customFormat="1" ht="21" customHeight="1" x14ac:dyDescent="0.1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8"/>
      <c r="P105" s="49"/>
      <c r="Q105" s="50"/>
      <c r="R105" s="50"/>
      <c r="S105" s="50"/>
      <c r="T105" s="50"/>
      <c r="U105" s="50"/>
      <c r="V105" s="50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</row>
    <row r="106" spans="1:36" s="51" customFormat="1" ht="21" customHeight="1" x14ac:dyDescent="0.1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8"/>
      <c r="P106" s="49"/>
      <c r="Q106" s="50"/>
      <c r="R106" s="50"/>
      <c r="S106" s="50"/>
      <c r="T106" s="50"/>
      <c r="U106" s="50"/>
      <c r="V106" s="50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</row>
    <row r="107" spans="1:36" s="51" customFormat="1" ht="21" customHeight="1" x14ac:dyDescent="0.1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8"/>
      <c r="P107" s="49"/>
      <c r="Q107" s="50"/>
      <c r="R107" s="50"/>
      <c r="S107" s="50"/>
      <c r="T107" s="50"/>
      <c r="U107" s="50"/>
      <c r="V107" s="50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</row>
    <row r="108" spans="1:36" s="51" customFormat="1" ht="21" customHeight="1" x14ac:dyDescent="0.1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8"/>
      <c r="P108" s="49"/>
      <c r="Q108" s="50"/>
      <c r="R108" s="50"/>
      <c r="S108" s="50"/>
      <c r="T108" s="50"/>
      <c r="U108" s="50"/>
      <c r="V108" s="50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</row>
    <row r="109" spans="1:36" s="51" customFormat="1" ht="21" customHeight="1" x14ac:dyDescent="0.1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8"/>
      <c r="P109" s="49"/>
      <c r="Q109" s="50"/>
      <c r="R109" s="50"/>
      <c r="S109" s="50"/>
      <c r="T109" s="50"/>
      <c r="U109" s="50"/>
      <c r="V109" s="50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</row>
    <row r="110" spans="1:36" s="51" customFormat="1" ht="21" customHeight="1" x14ac:dyDescent="0.1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8"/>
      <c r="P110" s="49"/>
      <c r="Q110" s="50"/>
      <c r="R110" s="50"/>
      <c r="S110" s="50"/>
      <c r="T110" s="50"/>
      <c r="U110" s="50"/>
      <c r="V110" s="50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</row>
    <row r="111" spans="1:36" s="51" customFormat="1" ht="21" customHeight="1" x14ac:dyDescent="0.1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8"/>
      <c r="P111" s="49"/>
      <c r="Q111" s="50"/>
      <c r="R111" s="50"/>
      <c r="S111" s="50"/>
      <c r="T111" s="50"/>
      <c r="U111" s="50"/>
      <c r="V111" s="50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</row>
    <row r="112" spans="1:36" s="51" customFormat="1" ht="21" customHeight="1" x14ac:dyDescent="0.1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8"/>
      <c r="P112" s="49"/>
      <c r="Q112" s="50"/>
      <c r="R112" s="50"/>
      <c r="S112" s="50"/>
      <c r="T112" s="50"/>
      <c r="U112" s="50"/>
      <c r="V112" s="50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</row>
    <row r="113" spans="1:36" s="51" customFormat="1" ht="21" customHeight="1" x14ac:dyDescent="0.1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8"/>
      <c r="P113" s="49"/>
      <c r="Q113" s="50"/>
      <c r="R113" s="50"/>
      <c r="S113" s="50"/>
      <c r="T113" s="50"/>
      <c r="U113" s="50"/>
      <c r="V113" s="50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</row>
    <row r="114" spans="1:36" s="51" customFormat="1" ht="21" customHeight="1" x14ac:dyDescent="0.1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8"/>
      <c r="P114" s="49"/>
      <c r="Q114" s="50"/>
      <c r="R114" s="50"/>
      <c r="S114" s="50"/>
      <c r="T114" s="50"/>
      <c r="U114" s="50"/>
      <c r="V114" s="50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</row>
    <row r="115" spans="1:36" s="51" customFormat="1" ht="21" customHeight="1" x14ac:dyDescent="0.1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8"/>
      <c r="P115" s="49"/>
      <c r="Q115" s="50"/>
      <c r="R115" s="50"/>
      <c r="S115" s="50"/>
      <c r="T115" s="50"/>
      <c r="U115" s="50"/>
      <c r="V115" s="50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</row>
    <row r="116" spans="1:36" s="51" customFormat="1" ht="21" customHeight="1" x14ac:dyDescent="0.1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8"/>
      <c r="P116" s="49"/>
      <c r="Q116" s="50"/>
      <c r="R116" s="50"/>
      <c r="S116" s="50"/>
      <c r="T116" s="50"/>
      <c r="U116" s="50"/>
      <c r="V116" s="50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</row>
    <row r="117" spans="1:36" s="51" customFormat="1" ht="21" customHeight="1" x14ac:dyDescent="0.1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8"/>
      <c r="P117" s="49"/>
      <c r="Q117" s="50"/>
      <c r="R117" s="50"/>
      <c r="S117" s="50"/>
      <c r="T117" s="50"/>
      <c r="U117" s="50"/>
      <c r="V117" s="50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</row>
    <row r="118" spans="1:36" s="51" customFormat="1" ht="21" customHeight="1" x14ac:dyDescent="0.1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8"/>
      <c r="P118" s="49"/>
      <c r="Q118" s="50"/>
      <c r="R118" s="50"/>
      <c r="S118" s="50"/>
      <c r="T118" s="50"/>
      <c r="U118" s="50"/>
      <c r="V118" s="50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</row>
    <row r="119" spans="1:36" s="51" customFormat="1" ht="21" customHeight="1" x14ac:dyDescent="0.1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8"/>
      <c r="P119" s="49"/>
      <c r="Q119" s="50"/>
      <c r="R119" s="50"/>
      <c r="S119" s="50"/>
      <c r="T119" s="50"/>
      <c r="U119" s="50"/>
      <c r="V119" s="50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</row>
    <row r="120" spans="1:36" s="51" customFormat="1" ht="21" customHeight="1" x14ac:dyDescent="0.1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8"/>
      <c r="P120" s="49"/>
      <c r="Q120" s="50"/>
      <c r="R120" s="50"/>
      <c r="S120" s="50"/>
      <c r="T120" s="50"/>
      <c r="U120" s="50"/>
      <c r="V120" s="50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</row>
    <row r="121" spans="1:36" s="51" customFormat="1" ht="21" customHeight="1" x14ac:dyDescent="0.1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8"/>
      <c r="P121" s="49"/>
      <c r="Q121" s="50"/>
      <c r="R121" s="50"/>
      <c r="S121" s="50"/>
      <c r="T121" s="50"/>
      <c r="U121" s="50"/>
      <c r="V121" s="50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</row>
    <row r="122" spans="1:36" s="51" customFormat="1" ht="21" customHeight="1" x14ac:dyDescent="0.1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8"/>
      <c r="P122" s="49"/>
      <c r="Q122" s="50"/>
      <c r="R122" s="50"/>
      <c r="S122" s="50"/>
      <c r="T122" s="50"/>
      <c r="U122" s="50"/>
      <c r="V122" s="50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</row>
    <row r="123" spans="1:36" s="51" customFormat="1" ht="21" customHeight="1" x14ac:dyDescent="0.1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8"/>
      <c r="P123" s="49"/>
      <c r="Q123" s="50"/>
      <c r="R123" s="50"/>
      <c r="S123" s="50"/>
      <c r="T123" s="50"/>
      <c r="U123" s="50"/>
      <c r="V123" s="50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</row>
    <row r="124" spans="1:36" s="51" customFormat="1" ht="21" customHeight="1" x14ac:dyDescent="0.1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8"/>
      <c r="P124" s="49"/>
      <c r="Q124" s="50"/>
      <c r="R124" s="50"/>
      <c r="S124" s="50"/>
      <c r="T124" s="50"/>
      <c r="U124" s="50"/>
      <c r="V124" s="50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</row>
    <row r="125" spans="1:36" s="51" customFormat="1" ht="21" customHeight="1" x14ac:dyDescent="0.15">
      <c r="A125" s="46"/>
      <c r="B125" s="4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8"/>
      <c r="P125" s="49"/>
      <c r="Q125" s="50"/>
      <c r="R125" s="50"/>
      <c r="S125" s="50"/>
      <c r="T125" s="50"/>
      <c r="U125" s="50"/>
      <c r="V125" s="50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</row>
    <row r="126" spans="1:36" s="51" customFormat="1" ht="21" customHeight="1" x14ac:dyDescent="0.15">
      <c r="A126" s="46"/>
      <c r="B126" s="4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8"/>
      <c r="P126" s="49"/>
      <c r="Q126" s="50"/>
      <c r="R126" s="50"/>
      <c r="S126" s="50"/>
      <c r="T126" s="50"/>
      <c r="U126" s="50"/>
      <c r="V126" s="50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</row>
    <row r="127" spans="1:36" s="51" customFormat="1" ht="21" customHeight="1" x14ac:dyDescent="0.15">
      <c r="A127" s="46"/>
      <c r="B127" s="4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8"/>
      <c r="P127" s="49"/>
      <c r="Q127" s="50"/>
      <c r="R127" s="50"/>
      <c r="S127" s="50"/>
      <c r="T127" s="50"/>
      <c r="U127" s="50"/>
      <c r="V127" s="50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</row>
    <row r="128" spans="1:36" s="51" customFormat="1" ht="21" customHeight="1" x14ac:dyDescent="0.15">
      <c r="A128" s="46"/>
      <c r="B128" s="4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8"/>
      <c r="P128" s="49"/>
      <c r="Q128" s="50"/>
      <c r="R128" s="50"/>
      <c r="S128" s="50"/>
      <c r="T128" s="50"/>
      <c r="U128" s="50"/>
      <c r="V128" s="50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</row>
    <row r="129" spans="1:36" s="51" customFormat="1" ht="21" customHeight="1" x14ac:dyDescent="0.15">
      <c r="A129" s="46"/>
      <c r="B129" s="4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8"/>
      <c r="P129" s="49"/>
      <c r="Q129" s="50"/>
      <c r="R129" s="50"/>
      <c r="S129" s="50"/>
      <c r="T129" s="50"/>
      <c r="U129" s="50"/>
      <c r="V129" s="50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</row>
    <row r="130" spans="1:36" s="51" customFormat="1" ht="21" customHeight="1" x14ac:dyDescent="0.15">
      <c r="A130" s="46"/>
      <c r="B130" s="4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8"/>
      <c r="P130" s="49"/>
      <c r="Q130" s="50"/>
      <c r="R130" s="50"/>
      <c r="S130" s="50"/>
      <c r="T130" s="50"/>
      <c r="U130" s="50"/>
      <c r="V130" s="50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</row>
    <row r="131" spans="1:36" s="51" customFormat="1" ht="21" customHeight="1" x14ac:dyDescent="0.15">
      <c r="A131" s="46"/>
      <c r="B131" s="4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8"/>
      <c r="P131" s="49"/>
      <c r="Q131" s="50"/>
      <c r="R131" s="50"/>
      <c r="S131" s="50"/>
      <c r="T131" s="50"/>
      <c r="U131" s="50"/>
      <c r="V131" s="50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</row>
    <row r="132" spans="1:36" s="51" customFormat="1" ht="21" customHeight="1" x14ac:dyDescent="0.15">
      <c r="A132" s="46"/>
      <c r="B132" s="4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8"/>
      <c r="P132" s="49"/>
      <c r="Q132" s="50"/>
      <c r="R132" s="50"/>
      <c r="S132" s="50"/>
      <c r="T132" s="50"/>
      <c r="U132" s="50"/>
      <c r="V132" s="50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</row>
    <row r="133" spans="1:36" s="51" customFormat="1" ht="21" customHeight="1" x14ac:dyDescent="0.15">
      <c r="A133" s="46"/>
      <c r="B133" s="4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8"/>
      <c r="P133" s="49"/>
      <c r="Q133" s="50"/>
      <c r="R133" s="50"/>
      <c r="S133" s="50"/>
      <c r="T133" s="50"/>
      <c r="U133" s="50"/>
      <c r="V133" s="50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</row>
    <row r="134" spans="1:36" s="51" customFormat="1" ht="21" customHeight="1" x14ac:dyDescent="0.15">
      <c r="A134" s="46"/>
      <c r="B134" s="4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8"/>
      <c r="P134" s="49"/>
      <c r="Q134" s="50"/>
      <c r="R134" s="50"/>
      <c r="S134" s="50"/>
      <c r="T134" s="50"/>
      <c r="U134" s="50"/>
      <c r="V134" s="50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</row>
    <row r="135" spans="1:36" s="51" customFormat="1" ht="21" customHeight="1" x14ac:dyDescent="0.15">
      <c r="A135" s="46"/>
      <c r="B135" s="4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8"/>
      <c r="P135" s="49"/>
      <c r="Q135" s="50"/>
      <c r="R135" s="50"/>
      <c r="S135" s="50"/>
      <c r="T135" s="50"/>
      <c r="U135" s="50"/>
      <c r="V135" s="50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</row>
    <row r="136" spans="1:36" s="51" customFormat="1" ht="21" customHeight="1" x14ac:dyDescent="0.15">
      <c r="A136" s="46"/>
      <c r="B136" s="52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8"/>
      <c r="P136" s="49"/>
      <c r="Q136" s="50"/>
      <c r="R136" s="50"/>
      <c r="S136" s="50"/>
      <c r="T136" s="50"/>
      <c r="U136" s="50"/>
      <c r="V136" s="50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</row>
    <row r="137" spans="1:36" s="51" customFormat="1" ht="21" customHeight="1" x14ac:dyDescent="0.15">
      <c r="A137" s="46"/>
      <c r="B137" s="52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8"/>
      <c r="P137" s="49"/>
      <c r="Q137" s="50"/>
      <c r="R137" s="50"/>
      <c r="S137" s="50"/>
      <c r="T137" s="50"/>
      <c r="U137" s="50"/>
      <c r="V137" s="50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</row>
    <row r="138" spans="1:36" s="51" customFormat="1" ht="21" customHeight="1" x14ac:dyDescent="0.15">
      <c r="A138" s="46"/>
      <c r="B138" s="4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8"/>
      <c r="P138" s="49"/>
      <c r="Q138" s="50"/>
      <c r="R138" s="50"/>
      <c r="S138" s="50"/>
      <c r="T138" s="50"/>
      <c r="U138" s="50"/>
      <c r="V138" s="50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</row>
    <row r="139" spans="1:36" s="51" customFormat="1" ht="21" customHeight="1" x14ac:dyDescent="0.15">
      <c r="A139" s="46"/>
      <c r="B139" s="4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8"/>
      <c r="P139" s="49"/>
      <c r="Q139" s="50"/>
      <c r="R139" s="50"/>
      <c r="S139" s="50"/>
      <c r="T139" s="50"/>
      <c r="U139" s="50"/>
      <c r="V139" s="50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</row>
    <row r="140" spans="1:36" ht="21" customHeight="1" x14ac:dyDescent="0.15">
      <c r="A140" s="39"/>
      <c r="B140" s="40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41"/>
      <c r="P140" s="42"/>
      <c r="Q140" s="43"/>
      <c r="R140" s="43"/>
      <c r="S140" s="43"/>
      <c r="T140" s="43"/>
      <c r="U140" s="43"/>
      <c r="V140" s="43"/>
    </row>
    <row r="141" spans="1:36" ht="21" customHeight="1" x14ac:dyDescent="0.15">
      <c r="A141" s="39"/>
      <c r="B141" s="40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41"/>
      <c r="P141" s="42"/>
      <c r="Q141" s="43"/>
      <c r="R141" s="43"/>
      <c r="S141" s="43"/>
      <c r="T141" s="43"/>
      <c r="U141" s="43"/>
      <c r="V141" s="43"/>
    </row>
    <row r="142" spans="1:36" ht="21" customHeight="1" x14ac:dyDescent="0.15">
      <c r="A142" s="39"/>
      <c r="B142" s="40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41"/>
      <c r="P142" s="42"/>
      <c r="Q142" s="43"/>
      <c r="R142" s="43"/>
      <c r="S142" s="43"/>
      <c r="T142" s="43"/>
      <c r="U142" s="43"/>
      <c r="V142" s="43"/>
    </row>
    <row r="143" spans="1:36" s="12" customFormat="1" ht="21" customHeight="1" thickBot="1" x14ac:dyDescent="0.2">
      <c r="A143" s="39"/>
      <c r="B143" s="40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41"/>
      <c r="P143" s="42"/>
      <c r="Q143" s="43"/>
      <c r="R143" s="43"/>
      <c r="S143" s="43"/>
      <c r="T143" s="43"/>
      <c r="U143" s="43"/>
      <c r="V143" s="43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</row>
    <row r="144" spans="1:36" ht="21" customHeight="1" x14ac:dyDescent="0.15">
      <c r="A144" s="39"/>
      <c r="B144" s="40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41"/>
      <c r="P144" s="42"/>
      <c r="Q144" s="43"/>
      <c r="R144" s="43"/>
      <c r="S144" s="43"/>
      <c r="T144" s="43"/>
      <c r="U144" s="43"/>
      <c r="V144" s="43"/>
    </row>
    <row r="145" spans="1:22" s="45" customFormat="1" ht="21" customHeight="1" x14ac:dyDescent="0.15">
      <c r="A145" s="39"/>
      <c r="B145" s="40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41"/>
      <c r="P145" s="42"/>
      <c r="Q145" s="43"/>
      <c r="R145" s="43"/>
      <c r="S145" s="43"/>
      <c r="T145" s="43"/>
      <c r="U145" s="43"/>
      <c r="V145" s="43"/>
    </row>
    <row r="146" spans="1:22" s="45" customFormat="1" ht="21" customHeight="1" x14ac:dyDescent="0.15">
      <c r="A146" s="39"/>
      <c r="B146" s="40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41"/>
      <c r="P146" s="42"/>
      <c r="Q146" s="43"/>
      <c r="R146" s="43"/>
      <c r="S146" s="43"/>
      <c r="T146" s="43"/>
      <c r="U146" s="43"/>
      <c r="V146" s="43"/>
    </row>
    <row r="147" spans="1:22" s="45" customFormat="1" ht="21" customHeight="1" x14ac:dyDescent="0.15">
      <c r="A147" s="39"/>
      <c r="B147" s="40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41"/>
      <c r="P147" s="42"/>
      <c r="Q147" s="43"/>
      <c r="R147" s="43"/>
      <c r="S147" s="43"/>
      <c r="T147" s="43"/>
      <c r="U147" s="43"/>
      <c r="V147" s="43"/>
    </row>
    <row r="148" spans="1:22" s="45" customFormat="1" ht="21" customHeight="1" x14ac:dyDescent="0.15">
      <c r="A148" s="39"/>
      <c r="B148" s="40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41"/>
      <c r="P148" s="42"/>
      <c r="Q148" s="43"/>
      <c r="R148" s="43"/>
      <c r="S148" s="43"/>
      <c r="T148" s="43"/>
      <c r="U148" s="43"/>
      <c r="V148" s="43"/>
    </row>
    <row r="149" spans="1:22" s="45" customFormat="1" ht="21" customHeight="1" x14ac:dyDescent="0.15">
      <c r="A149" s="39"/>
      <c r="B149" s="40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41"/>
      <c r="P149" s="42"/>
      <c r="Q149" s="43"/>
      <c r="R149" s="43"/>
      <c r="S149" s="43"/>
      <c r="T149" s="43"/>
      <c r="U149" s="43"/>
      <c r="V149" s="43"/>
    </row>
    <row r="150" spans="1:22" s="45" customFormat="1" ht="21" customHeight="1" x14ac:dyDescent="0.15">
      <c r="A150" s="39"/>
      <c r="B150" s="40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41"/>
      <c r="P150" s="42"/>
      <c r="Q150" s="43"/>
      <c r="R150" s="43"/>
      <c r="S150" s="43"/>
      <c r="T150" s="43"/>
      <c r="U150" s="43"/>
      <c r="V150" s="43"/>
    </row>
    <row r="151" spans="1:22" s="45" customFormat="1" ht="21" customHeight="1" x14ac:dyDescent="0.15">
      <c r="A151" s="39"/>
      <c r="B151" s="40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41"/>
      <c r="P151" s="42"/>
      <c r="Q151" s="43"/>
      <c r="R151" s="43"/>
      <c r="S151" s="43"/>
      <c r="T151" s="43"/>
      <c r="U151" s="43"/>
      <c r="V151" s="43"/>
    </row>
    <row r="152" spans="1:22" s="45" customFormat="1" ht="21" customHeight="1" x14ac:dyDescent="0.15">
      <c r="A152" s="39"/>
      <c r="B152" s="40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41"/>
      <c r="P152" s="42"/>
      <c r="Q152" s="43"/>
      <c r="R152" s="43"/>
      <c r="S152" s="43"/>
      <c r="T152" s="43"/>
      <c r="U152" s="43"/>
      <c r="V152" s="43"/>
    </row>
    <row r="153" spans="1:22" s="45" customFormat="1" ht="21" customHeight="1" x14ac:dyDescent="0.15">
      <c r="A153" s="39"/>
      <c r="B153" s="40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41"/>
      <c r="P153" s="42"/>
      <c r="Q153" s="43"/>
      <c r="R153" s="43"/>
      <c r="S153" s="43"/>
      <c r="T153" s="43"/>
      <c r="U153" s="43"/>
      <c r="V153" s="43"/>
    </row>
    <row r="154" spans="1:22" s="45" customFormat="1" ht="21" customHeight="1" x14ac:dyDescent="0.15">
      <c r="A154" s="39"/>
      <c r="B154" s="40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41"/>
      <c r="P154" s="42"/>
      <c r="Q154" s="43"/>
      <c r="R154" s="43"/>
      <c r="S154" s="43"/>
      <c r="T154" s="43"/>
      <c r="U154" s="43"/>
      <c r="V154" s="43"/>
    </row>
    <row r="155" spans="1:22" s="45" customFormat="1" ht="21" customHeight="1" x14ac:dyDescent="0.15">
      <c r="A155" s="39"/>
      <c r="B155" s="40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41"/>
      <c r="P155" s="42"/>
      <c r="Q155" s="43"/>
      <c r="R155" s="43"/>
      <c r="S155" s="43"/>
      <c r="T155" s="43"/>
      <c r="U155" s="43"/>
      <c r="V155" s="43"/>
    </row>
    <row r="156" spans="1:22" s="45" customFormat="1" ht="21" customHeight="1" x14ac:dyDescent="0.15">
      <c r="A156" s="39"/>
      <c r="B156" s="40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41"/>
      <c r="P156" s="42"/>
      <c r="Q156" s="43"/>
      <c r="R156" s="43"/>
      <c r="S156" s="43"/>
      <c r="T156" s="43"/>
      <c r="U156" s="43"/>
      <c r="V156" s="43"/>
    </row>
    <row r="157" spans="1:22" s="45" customFormat="1" ht="21" customHeight="1" x14ac:dyDescent="0.15">
      <c r="A157" s="39"/>
      <c r="B157" s="40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41"/>
      <c r="P157" s="42"/>
      <c r="Q157" s="43"/>
      <c r="R157" s="43"/>
      <c r="S157" s="43"/>
      <c r="T157" s="43"/>
      <c r="U157" s="43"/>
      <c r="V157" s="43"/>
    </row>
    <row r="158" spans="1:22" s="45" customFormat="1" ht="21" customHeight="1" x14ac:dyDescent="0.15">
      <c r="A158" s="39"/>
      <c r="B158" s="40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41"/>
      <c r="P158" s="42"/>
      <c r="Q158" s="43"/>
      <c r="R158" s="43"/>
      <c r="S158" s="43"/>
      <c r="T158" s="43"/>
      <c r="U158" s="43"/>
      <c r="V158" s="43"/>
    </row>
    <row r="159" spans="1:22" s="45" customFormat="1" ht="21" customHeight="1" x14ac:dyDescent="0.15">
      <c r="A159" s="39"/>
      <c r="B159" s="40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41"/>
      <c r="P159" s="42"/>
      <c r="Q159" s="43"/>
      <c r="R159" s="43"/>
      <c r="S159" s="43"/>
      <c r="T159" s="43"/>
      <c r="U159" s="43"/>
      <c r="V159" s="43"/>
    </row>
    <row r="160" spans="1:22" s="45" customFormat="1" ht="21" customHeight="1" x14ac:dyDescent="0.15">
      <c r="A160" s="39"/>
      <c r="B160" s="40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41"/>
      <c r="P160" s="42"/>
      <c r="Q160" s="43"/>
      <c r="R160" s="43"/>
      <c r="S160" s="43"/>
      <c r="T160" s="43"/>
      <c r="U160" s="43"/>
      <c r="V160" s="43"/>
    </row>
    <row r="161" spans="1:22" s="45" customFormat="1" ht="21" customHeight="1" x14ac:dyDescent="0.15">
      <c r="A161" s="39"/>
      <c r="B161" s="40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41"/>
      <c r="P161" s="42"/>
      <c r="Q161" s="43"/>
      <c r="R161" s="43"/>
      <c r="S161" s="43"/>
      <c r="T161" s="43"/>
      <c r="U161" s="43"/>
      <c r="V161" s="43"/>
    </row>
    <row r="162" spans="1:22" s="45" customFormat="1" ht="21" customHeight="1" x14ac:dyDescent="0.15">
      <c r="A162" s="39"/>
      <c r="B162" s="40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41"/>
      <c r="P162" s="42"/>
      <c r="Q162" s="43"/>
      <c r="R162" s="43"/>
      <c r="S162" s="43"/>
      <c r="T162" s="43"/>
      <c r="U162" s="43"/>
      <c r="V162" s="43"/>
    </row>
    <row r="163" spans="1:22" s="45" customFormat="1" ht="21" customHeight="1" x14ac:dyDescent="0.15">
      <c r="A163" s="39"/>
      <c r="B163" s="40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41"/>
      <c r="P163" s="42"/>
      <c r="Q163" s="43"/>
      <c r="R163" s="43"/>
      <c r="S163" s="43"/>
      <c r="T163" s="43"/>
      <c r="U163" s="43"/>
      <c r="V163" s="43"/>
    </row>
    <row r="164" spans="1:22" s="45" customFormat="1" ht="21" customHeight="1" x14ac:dyDescent="0.15">
      <c r="A164" s="39"/>
      <c r="B164" s="40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41"/>
      <c r="P164" s="42"/>
      <c r="Q164" s="43"/>
      <c r="R164" s="43"/>
      <c r="S164" s="43"/>
      <c r="T164" s="43"/>
      <c r="U164" s="43"/>
      <c r="V164" s="43"/>
    </row>
    <row r="165" spans="1:22" s="45" customFormat="1" ht="21" customHeight="1" x14ac:dyDescent="0.15">
      <c r="A165" s="39"/>
      <c r="B165" s="40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41"/>
      <c r="P165" s="42"/>
      <c r="Q165" s="43"/>
      <c r="R165" s="43"/>
      <c r="S165" s="43"/>
      <c r="T165" s="43"/>
      <c r="U165" s="43"/>
      <c r="V165" s="43"/>
    </row>
    <row r="166" spans="1:22" s="45" customFormat="1" ht="21" customHeight="1" x14ac:dyDescent="0.15">
      <c r="A166" s="39"/>
      <c r="B166" s="40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41"/>
      <c r="P166" s="42"/>
      <c r="Q166" s="43"/>
      <c r="R166" s="43"/>
      <c r="S166" s="43"/>
      <c r="T166" s="43"/>
      <c r="U166" s="43"/>
      <c r="V166" s="43"/>
    </row>
    <row r="167" spans="1:22" s="45" customFormat="1" ht="21" customHeight="1" x14ac:dyDescent="0.15">
      <c r="A167" s="39"/>
      <c r="B167" s="40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41"/>
      <c r="P167" s="42"/>
      <c r="Q167" s="43"/>
      <c r="R167" s="43"/>
      <c r="S167" s="43"/>
      <c r="T167" s="43"/>
      <c r="U167" s="43"/>
      <c r="V167" s="43"/>
    </row>
    <row r="168" spans="1:22" s="45" customFormat="1" ht="21" customHeight="1" x14ac:dyDescent="0.15">
      <c r="A168" s="39"/>
      <c r="B168" s="40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41"/>
      <c r="P168" s="42"/>
      <c r="Q168" s="43"/>
      <c r="R168" s="43"/>
      <c r="S168" s="43"/>
      <c r="T168" s="43"/>
      <c r="U168" s="43"/>
      <c r="V168" s="43"/>
    </row>
    <row r="169" spans="1:22" s="45" customFormat="1" ht="21" customHeight="1" x14ac:dyDescent="0.15">
      <c r="A169" s="39"/>
      <c r="B169" s="40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41"/>
      <c r="P169" s="42"/>
      <c r="Q169" s="43"/>
      <c r="R169" s="43"/>
      <c r="S169" s="43"/>
      <c r="T169" s="43"/>
      <c r="U169" s="43"/>
      <c r="V169" s="43"/>
    </row>
    <row r="170" spans="1:22" s="45" customFormat="1" ht="21" customHeight="1" x14ac:dyDescent="0.15">
      <c r="A170" s="39"/>
      <c r="B170" s="40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41"/>
      <c r="P170" s="42"/>
      <c r="Q170" s="43"/>
      <c r="R170" s="43"/>
      <c r="S170" s="43"/>
      <c r="T170" s="43"/>
      <c r="U170" s="43"/>
      <c r="V170" s="43"/>
    </row>
    <row r="171" spans="1:22" s="45" customFormat="1" ht="21" customHeight="1" x14ac:dyDescent="0.15">
      <c r="A171" s="39"/>
      <c r="B171" s="40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41"/>
      <c r="P171" s="42"/>
      <c r="Q171" s="43"/>
      <c r="R171" s="43"/>
      <c r="S171" s="43"/>
      <c r="T171" s="43"/>
      <c r="U171" s="43"/>
      <c r="V171" s="43"/>
    </row>
    <row r="172" spans="1:22" s="45" customFormat="1" ht="21" customHeight="1" x14ac:dyDescent="0.15">
      <c r="A172" s="39"/>
      <c r="B172" s="40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41"/>
      <c r="P172" s="42"/>
      <c r="Q172" s="43"/>
      <c r="R172" s="43"/>
      <c r="S172" s="43"/>
      <c r="T172" s="43"/>
      <c r="U172" s="43"/>
      <c r="V172" s="43"/>
    </row>
    <row r="173" spans="1:22" s="45" customFormat="1" ht="21" customHeight="1" x14ac:dyDescent="0.15">
      <c r="A173" s="39"/>
      <c r="B173" s="40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41"/>
      <c r="P173" s="42"/>
      <c r="Q173" s="43"/>
      <c r="R173" s="43"/>
      <c r="S173" s="43"/>
      <c r="T173" s="43"/>
      <c r="U173" s="43"/>
      <c r="V173" s="43"/>
    </row>
    <row r="174" spans="1:22" s="45" customFormat="1" ht="21" customHeight="1" x14ac:dyDescent="0.15">
      <c r="A174" s="39"/>
      <c r="B174" s="40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41"/>
      <c r="P174" s="42"/>
      <c r="Q174" s="43"/>
      <c r="R174" s="43"/>
      <c r="S174" s="43"/>
      <c r="T174" s="43"/>
      <c r="U174" s="43"/>
      <c r="V174" s="43"/>
    </row>
    <row r="175" spans="1:22" s="45" customFormat="1" ht="21" customHeight="1" x14ac:dyDescent="0.15">
      <c r="A175" s="39"/>
      <c r="B175" s="40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41"/>
      <c r="P175" s="42"/>
      <c r="Q175" s="43"/>
      <c r="R175" s="43"/>
      <c r="S175" s="43"/>
      <c r="T175" s="43"/>
      <c r="U175" s="43"/>
      <c r="V175" s="43"/>
    </row>
    <row r="176" spans="1:22" s="45" customFormat="1" ht="21" customHeight="1" x14ac:dyDescent="0.15">
      <c r="A176" s="39"/>
      <c r="B176" s="40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41"/>
      <c r="P176" s="42"/>
      <c r="Q176" s="43"/>
      <c r="R176" s="43"/>
      <c r="S176" s="43"/>
      <c r="T176" s="43"/>
      <c r="U176" s="43"/>
      <c r="V176" s="43"/>
    </row>
    <row r="177" spans="1:36" ht="21" customHeight="1" x14ac:dyDescent="0.15">
      <c r="A177" s="39"/>
      <c r="B177" s="40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41"/>
      <c r="P177" s="42"/>
      <c r="Q177" s="43"/>
      <c r="R177" s="43"/>
      <c r="S177" s="43"/>
      <c r="T177" s="43"/>
      <c r="U177" s="43"/>
      <c r="V177" s="43"/>
    </row>
    <row r="178" spans="1:36" ht="21" customHeight="1" x14ac:dyDescent="0.15">
      <c r="A178" s="39"/>
      <c r="B178" s="40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41"/>
      <c r="P178" s="42"/>
      <c r="Q178" s="43"/>
      <c r="R178" s="43"/>
      <c r="S178" s="43"/>
      <c r="T178" s="43"/>
      <c r="U178" s="43"/>
      <c r="V178" s="43"/>
    </row>
    <row r="179" spans="1:36" ht="21" customHeight="1" x14ac:dyDescent="0.15">
      <c r="A179" s="39"/>
      <c r="B179" s="40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41"/>
      <c r="P179" s="42"/>
      <c r="Q179" s="43"/>
      <c r="R179" s="43"/>
      <c r="S179" s="43"/>
      <c r="T179" s="43"/>
      <c r="U179" s="43"/>
      <c r="V179" s="43"/>
    </row>
    <row r="180" spans="1:36" ht="21" customHeight="1" x14ac:dyDescent="0.15">
      <c r="A180" s="39"/>
      <c r="B180" s="40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41"/>
      <c r="P180" s="42"/>
      <c r="Q180" s="43"/>
      <c r="R180" s="43"/>
      <c r="S180" s="43"/>
      <c r="T180" s="43"/>
      <c r="U180" s="43"/>
      <c r="V180" s="43"/>
    </row>
    <row r="181" spans="1:36" ht="21" customHeight="1" x14ac:dyDescent="0.15">
      <c r="A181" s="39"/>
      <c r="B181" s="40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41"/>
      <c r="P181" s="42"/>
      <c r="Q181" s="43"/>
      <c r="R181" s="43"/>
      <c r="S181" s="43"/>
      <c r="T181" s="43"/>
      <c r="U181" s="43"/>
      <c r="V181" s="43"/>
    </row>
    <row r="182" spans="1:36" ht="21" customHeight="1" x14ac:dyDescent="0.15">
      <c r="A182" s="39"/>
      <c r="B182" s="40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41"/>
      <c r="P182" s="42"/>
      <c r="Q182" s="43"/>
      <c r="R182" s="43"/>
      <c r="S182" s="43"/>
      <c r="T182" s="43"/>
      <c r="U182" s="43"/>
      <c r="V182" s="43"/>
    </row>
    <row r="183" spans="1:36" ht="21" customHeight="1" x14ac:dyDescent="0.15">
      <c r="A183" s="39"/>
      <c r="B183" s="40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41"/>
      <c r="P183" s="42"/>
      <c r="Q183" s="43"/>
      <c r="R183" s="43"/>
      <c r="S183" s="43"/>
      <c r="T183" s="43"/>
      <c r="U183" s="43"/>
      <c r="V183" s="43"/>
    </row>
    <row r="184" spans="1:36" ht="21" customHeight="1" x14ac:dyDescent="0.15">
      <c r="A184" s="39"/>
      <c r="B184" s="40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41"/>
      <c r="P184" s="42"/>
      <c r="Q184" s="43"/>
      <c r="R184" s="43"/>
      <c r="S184" s="43"/>
      <c r="T184" s="43"/>
      <c r="U184" s="43"/>
      <c r="V184" s="43"/>
    </row>
    <row r="185" spans="1:36" ht="21" customHeight="1" x14ac:dyDescent="0.15">
      <c r="A185" s="39"/>
      <c r="B185" s="40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41"/>
      <c r="P185" s="42"/>
      <c r="Q185" s="43"/>
      <c r="R185" s="43"/>
      <c r="S185" s="43"/>
      <c r="T185" s="43"/>
      <c r="U185" s="43"/>
      <c r="V185" s="43"/>
    </row>
    <row r="186" spans="1:36" ht="21" customHeight="1" x14ac:dyDescent="0.15">
      <c r="A186" s="39"/>
      <c r="B186" s="44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41"/>
      <c r="P186" s="42"/>
      <c r="Q186" s="43"/>
      <c r="R186" s="43"/>
      <c r="S186" s="43"/>
      <c r="T186" s="43"/>
      <c r="U186" s="43"/>
      <c r="V186" s="43"/>
    </row>
    <row r="187" spans="1:36" ht="21" customHeight="1" x14ac:dyDescent="0.15">
      <c r="A187" s="39"/>
      <c r="B187" s="44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41"/>
      <c r="P187" s="42"/>
      <c r="Q187" s="43"/>
      <c r="R187" s="43"/>
      <c r="S187" s="43"/>
      <c r="T187" s="43"/>
      <c r="U187" s="43"/>
      <c r="V187" s="43"/>
    </row>
    <row r="188" spans="1:36" ht="21" customHeight="1" x14ac:dyDescent="0.15">
      <c r="A188" s="39"/>
      <c r="B188" s="44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41"/>
      <c r="P188" s="42"/>
      <c r="Q188" s="43"/>
      <c r="R188" s="43"/>
      <c r="S188" s="43"/>
      <c r="T188" s="43"/>
      <c r="U188" s="43"/>
      <c r="V188" s="43"/>
    </row>
    <row r="189" spans="1:36" ht="21" customHeight="1" x14ac:dyDescent="0.15">
      <c r="A189" s="39"/>
      <c r="B189" s="44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41"/>
      <c r="P189" s="42"/>
      <c r="Q189" s="43"/>
      <c r="R189" s="43"/>
      <c r="S189" s="43"/>
      <c r="T189" s="43"/>
      <c r="U189" s="43"/>
      <c r="V189" s="43"/>
    </row>
    <row r="190" spans="1:36" s="9" customFormat="1" ht="21" customHeight="1" thickBot="1" x14ac:dyDescent="0.2">
      <c r="A190" s="39"/>
      <c r="B190" s="40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41"/>
      <c r="P190" s="42"/>
      <c r="Q190" s="43"/>
      <c r="R190" s="43"/>
      <c r="S190" s="43"/>
      <c r="T190" s="43"/>
      <c r="U190" s="43"/>
      <c r="V190" s="43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  <c r="AJ190" s="45"/>
    </row>
    <row r="191" spans="1:36" ht="21" customHeight="1" x14ac:dyDescent="0.15">
      <c r="A191" s="39"/>
      <c r="B191" s="40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41"/>
      <c r="P191" s="42"/>
      <c r="Q191" s="43"/>
      <c r="R191" s="43"/>
      <c r="S191" s="43"/>
      <c r="T191" s="43"/>
      <c r="U191" s="43"/>
      <c r="V191" s="43"/>
    </row>
    <row r="192" spans="1:36" ht="21" customHeight="1" x14ac:dyDescent="0.15">
      <c r="A192" s="39"/>
      <c r="B192" s="40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41"/>
      <c r="P192" s="42"/>
      <c r="Q192" s="43"/>
      <c r="R192" s="43"/>
      <c r="S192" s="43"/>
      <c r="T192" s="43"/>
      <c r="U192" s="43"/>
      <c r="V192" s="43"/>
    </row>
    <row r="193" spans="1:22" s="45" customFormat="1" ht="21" customHeight="1" x14ac:dyDescent="0.15">
      <c r="A193" s="39"/>
      <c r="B193" s="40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41"/>
      <c r="P193" s="42"/>
      <c r="Q193" s="43"/>
      <c r="R193" s="43"/>
      <c r="S193" s="43"/>
      <c r="T193" s="43"/>
      <c r="U193" s="43"/>
      <c r="V193" s="43"/>
    </row>
    <row r="194" spans="1:22" s="45" customFormat="1" ht="21" customHeight="1" x14ac:dyDescent="0.15">
      <c r="A194" s="39"/>
      <c r="B194" s="40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41"/>
      <c r="P194" s="42"/>
      <c r="Q194" s="43"/>
      <c r="R194" s="43"/>
      <c r="S194" s="43"/>
      <c r="T194" s="43"/>
      <c r="U194" s="43"/>
      <c r="V194" s="43"/>
    </row>
    <row r="195" spans="1:22" s="45" customFormat="1" ht="21" customHeight="1" x14ac:dyDescent="0.15">
      <c r="A195" s="39"/>
      <c r="B195" s="40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41"/>
      <c r="P195" s="42"/>
      <c r="Q195" s="43"/>
      <c r="R195" s="43"/>
      <c r="S195" s="43"/>
      <c r="T195" s="43"/>
      <c r="U195" s="43"/>
      <c r="V195" s="43"/>
    </row>
    <row r="196" spans="1:22" s="45" customFormat="1" ht="21" customHeight="1" x14ac:dyDescent="0.15">
      <c r="A196" s="39"/>
      <c r="B196" s="40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41"/>
      <c r="P196" s="42"/>
      <c r="Q196" s="43"/>
      <c r="R196" s="43"/>
      <c r="S196" s="43"/>
      <c r="T196" s="43"/>
      <c r="U196" s="43"/>
      <c r="V196" s="43"/>
    </row>
    <row r="197" spans="1:22" s="45" customFormat="1" ht="21" customHeight="1" x14ac:dyDescent="0.15">
      <c r="A197" s="39"/>
      <c r="B197" s="40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41"/>
      <c r="P197" s="42"/>
      <c r="Q197" s="43"/>
      <c r="R197" s="43"/>
      <c r="S197" s="43"/>
      <c r="T197" s="43"/>
      <c r="U197" s="43"/>
      <c r="V197" s="43"/>
    </row>
    <row r="198" spans="1:22" s="45" customFormat="1" ht="21" customHeight="1" x14ac:dyDescent="0.15">
      <c r="A198" s="39"/>
      <c r="B198" s="40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41"/>
      <c r="P198" s="42"/>
      <c r="Q198" s="43"/>
      <c r="R198" s="43"/>
      <c r="S198" s="43"/>
      <c r="T198" s="43"/>
      <c r="U198" s="43"/>
      <c r="V198" s="43"/>
    </row>
    <row r="199" spans="1:22" s="45" customFormat="1" ht="21" customHeight="1" x14ac:dyDescent="0.15">
      <c r="A199" s="39"/>
      <c r="B199" s="40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41"/>
      <c r="P199" s="42"/>
      <c r="Q199" s="43"/>
      <c r="R199" s="43"/>
      <c r="S199" s="43"/>
      <c r="T199" s="43"/>
      <c r="U199" s="43"/>
      <c r="V199" s="43"/>
    </row>
    <row r="200" spans="1:22" s="45" customFormat="1" ht="21" customHeight="1" x14ac:dyDescent="0.15">
      <c r="A200" s="39"/>
      <c r="B200" s="40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41"/>
      <c r="P200" s="42"/>
      <c r="Q200" s="43"/>
      <c r="R200" s="43"/>
      <c r="S200" s="43"/>
      <c r="T200" s="43"/>
      <c r="U200" s="43"/>
      <c r="V200" s="43"/>
    </row>
    <row r="201" spans="1:22" s="45" customFormat="1" ht="21" customHeight="1" x14ac:dyDescent="0.15">
      <c r="A201" s="39"/>
      <c r="B201" s="40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41"/>
      <c r="P201" s="42"/>
      <c r="Q201" s="43"/>
      <c r="R201" s="43"/>
      <c r="S201" s="43"/>
      <c r="T201" s="43"/>
      <c r="U201" s="43"/>
      <c r="V201" s="43"/>
    </row>
    <row r="202" spans="1:22" s="45" customFormat="1" ht="21" customHeight="1" x14ac:dyDescent="0.15">
      <c r="A202" s="39"/>
      <c r="B202" s="40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41"/>
      <c r="P202" s="42"/>
      <c r="Q202" s="43"/>
      <c r="R202" s="43"/>
      <c r="S202" s="43"/>
      <c r="T202" s="43"/>
      <c r="U202" s="43"/>
      <c r="V202" s="43"/>
    </row>
    <row r="203" spans="1:22" s="45" customFormat="1" ht="21" customHeight="1" x14ac:dyDescent="0.15">
      <c r="A203" s="39"/>
      <c r="B203" s="40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41"/>
      <c r="P203" s="42"/>
      <c r="Q203" s="43"/>
      <c r="R203" s="43"/>
      <c r="S203" s="43"/>
      <c r="T203" s="43"/>
      <c r="U203" s="43"/>
      <c r="V203" s="43"/>
    </row>
    <row r="204" spans="1:22" s="45" customFormat="1" ht="21" customHeight="1" x14ac:dyDescent="0.15">
      <c r="A204" s="39"/>
      <c r="B204" s="40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41"/>
      <c r="P204" s="42"/>
      <c r="Q204" s="43"/>
      <c r="R204" s="43"/>
      <c r="S204" s="43"/>
      <c r="T204" s="43"/>
      <c r="U204" s="43"/>
      <c r="V204" s="43"/>
    </row>
    <row r="205" spans="1:22" s="45" customFormat="1" ht="21" customHeight="1" x14ac:dyDescent="0.15">
      <c r="A205" s="39"/>
      <c r="B205" s="40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41"/>
      <c r="P205" s="42"/>
      <c r="Q205" s="43"/>
      <c r="R205" s="43"/>
      <c r="S205" s="43"/>
      <c r="T205" s="43"/>
      <c r="U205" s="43"/>
      <c r="V205" s="43"/>
    </row>
    <row r="206" spans="1:22" s="45" customFormat="1" ht="21" customHeight="1" x14ac:dyDescent="0.15">
      <c r="A206" s="39"/>
      <c r="B206" s="40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41"/>
      <c r="P206" s="42"/>
      <c r="Q206" s="43"/>
      <c r="R206" s="43"/>
      <c r="S206" s="43"/>
      <c r="T206" s="43"/>
      <c r="U206" s="43"/>
      <c r="V206" s="43"/>
    </row>
    <row r="207" spans="1:22" s="45" customFormat="1" ht="21" customHeight="1" x14ac:dyDescent="0.15">
      <c r="A207" s="39"/>
      <c r="B207" s="40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41"/>
      <c r="P207" s="42"/>
      <c r="Q207" s="43"/>
      <c r="R207" s="43"/>
      <c r="S207" s="43"/>
      <c r="T207" s="43"/>
      <c r="U207" s="43"/>
      <c r="V207" s="43"/>
    </row>
    <row r="208" spans="1:22" s="45" customFormat="1" ht="21" customHeight="1" x14ac:dyDescent="0.15">
      <c r="A208" s="39"/>
      <c r="B208" s="40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41"/>
      <c r="P208" s="42"/>
      <c r="Q208" s="43"/>
      <c r="R208" s="43"/>
      <c r="S208" s="43"/>
      <c r="T208" s="43"/>
      <c r="U208" s="43"/>
      <c r="V208" s="43"/>
    </row>
    <row r="209" spans="1:22" s="45" customFormat="1" ht="21" customHeight="1" x14ac:dyDescent="0.15">
      <c r="A209" s="39"/>
      <c r="B209" s="40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41"/>
      <c r="P209" s="42"/>
      <c r="Q209" s="43"/>
      <c r="R209" s="43"/>
      <c r="S209" s="43"/>
      <c r="T209" s="43"/>
      <c r="U209" s="43"/>
      <c r="V209" s="43"/>
    </row>
    <row r="210" spans="1:22" s="45" customFormat="1" ht="21" customHeight="1" x14ac:dyDescent="0.15">
      <c r="A210" s="39"/>
      <c r="B210" s="40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41"/>
      <c r="P210" s="42"/>
      <c r="Q210" s="43"/>
      <c r="R210" s="43"/>
      <c r="S210" s="43"/>
      <c r="T210" s="43"/>
      <c r="U210" s="43"/>
      <c r="V210" s="43"/>
    </row>
    <row r="211" spans="1:22" s="45" customFormat="1" ht="21" customHeight="1" x14ac:dyDescent="0.15">
      <c r="A211" s="39"/>
      <c r="B211" s="40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41"/>
      <c r="P211" s="42"/>
      <c r="Q211" s="43"/>
      <c r="R211" s="43"/>
      <c r="S211" s="43"/>
      <c r="T211" s="43"/>
      <c r="U211" s="43"/>
      <c r="V211" s="43"/>
    </row>
    <row r="212" spans="1:22" s="45" customFormat="1" ht="21" customHeight="1" x14ac:dyDescent="0.15">
      <c r="A212" s="39"/>
      <c r="B212" s="40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41"/>
      <c r="P212" s="42"/>
      <c r="Q212" s="43"/>
      <c r="R212" s="43"/>
      <c r="S212" s="43"/>
      <c r="T212" s="43"/>
      <c r="U212" s="43"/>
      <c r="V212" s="43"/>
    </row>
    <row r="213" spans="1:22" s="45" customFormat="1" ht="21" customHeight="1" x14ac:dyDescent="0.15">
      <c r="A213" s="39"/>
      <c r="B213" s="40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41"/>
      <c r="P213" s="42"/>
      <c r="Q213" s="43"/>
      <c r="R213" s="43"/>
      <c r="S213" s="43"/>
      <c r="T213" s="43"/>
      <c r="U213" s="43"/>
      <c r="V213" s="43"/>
    </row>
    <row r="214" spans="1:22" s="45" customFormat="1" ht="21" customHeight="1" x14ac:dyDescent="0.15">
      <c r="A214" s="39"/>
      <c r="B214" s="40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41"/>
      <c r="P214" s="42"/>
      <c r="Q214" s="43"/>
      <c r="R214" s="43"/>
      <c r="S214" s="43"/>
      <c r="T214" s="43"/>
      <c r="U214" s="43"/>
      <c r="V214" s="43"/>
    </row>
    <row r="215" spans="1:22" s="45" customFormat="1" ht="21" customHeight="1" x14ac:dyDescent="0.15">
      <c r="A215" s="39"/>
      <c r="B215" s="40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41"/>
      <c r="P215" s="42"/>
      <c r="Q215" s="43"/>
      <c r="R215" s="43"/>
      <c r="S215" s="43"/>
      <c r="T215" s="43"/>
      <c r="U215" s="43"/>
      <c r="V215" s="43"/>
    </row>
    <row r="216" spans="1:22" s="45" customFormat="1" ht="21" customHeight="1" x14ac:dyDescent="0.15">
      <c r="A216" s="39"/>
      <c r="B216" s="40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41"/>
      <c r="P216" s="42"/>
      <c r="Q216" s="43"/>
      <c r="R216" s="43"/>
      <c r="S216" s="43"/>
      <c r="T216" s="43"/>
      <c r="U216" s="43"/>
      <c r="V216" s="43"/>
    </row>
    <row r="217" spans="1:22" s="45" customFormat="1" ht="21" customHeight="1" x14ac:dyDescent="0.15">
      <c r="A217" s="39"/>
      <c r="B217" s="40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41"/>
      <c r="P217" s="42"/>
      <c r="Q217" s="43"/>
      <c r="R217" s="43"/>
      <c r="S217" s="43"/>
      <c r="T217" s="43"/>
      <c r="U217" s="43"/>
      <c r="V217" s="43"/>
    </row>
    <row r="218" spans="1:22" s="45" customFormat="1" ht="21" customHeight="1" x14ac:dyDescent="0.15">
      <c r="A218" s="39"/>
      <c r="B218" s="40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41"/>
      <c r="P218" s="42"/>
      <c r="Q218" s="43"/>
      <c r="R218" s="43"/>
      <c r="S218" s="43"/>
      <c r="T218" s="43"/>
      <c r="U218" s="43"/>
      <c r="V218" s="43"/>
    </row>
    <row r="219" spans="1:22" s="45" customFormat="1" ht="21" customHeight="1" x14ac:dyDescent="0.15">
      <c r="A219" s="39"/>
      <c r="B219" s="40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41"/>
      <c r="P219" s="42"/>
      <c r="Q219" s="43"/>
      <c r="R219" s="43"/>
      <c r="S219" s="43"/>
      <c r="T219" s="43"/>
      <c r="U219" s="43"/>
      <c r="V219" s="43"/>
    </row>
    <row r="220" spans="1:22" s="45" customFormat="1" ht="21" customHeight="1" x14ac:dyDescent="0.15">
      <c r="A220" s="39"/>
      <c r="B220" s="40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41"/>
      <c r="P220" s="42"/>
      <c r="Q220" s="43"/>
      <c r="R220" s="43"/>
      <c r="S220" s="43"/>
      <c r="T220" s="43"/>
      <c r="U220" s="43"/>
      <c r="V220" s="43"/>
    </row>
    <row r="221" spans="1:22" s="45" customFormat="1" ht="21" customHeight="1" x14ac:dyDescent="0.15">
      <c r="A221" s="39"/>
      <c r="B221" s="40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41"/>
      <c r="P221" s="42"/>
      <c r="Q221" s="43"/>
      <c r="R221" s="43"/>
      <c r="S221" s="43"/>
      <c r="T221" s="43"/>
      <c r="U221" s="43"/>
      <c r="V221" s="43"/>
    </row>
    <row r="222" spans="1:22" s="45" customFormat="1" ht="21" customHeight="1" x14ac:dyDescent="0.15">
      <c r="A222" s="39"/>
      <c r="B222" s="40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41"/>
      <c r="P222" s="42"/>
      <c r="Q222" s="43"/>
      <c r="R222" s="43"/>
      <c r="S222" s="43"/>
      <c r="T222" s="43"/>
      <c r="U222" s="43"/>
      <c r="V222" s="43"/>
    </row>
    <row r="223" spans="1:22" s="45" customFormat="1" ht="21" customHeight="1" x14ac:dyDescent="0.15">
      <c r="A223" s="39"/>
      <c r="B223" s="40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41"/>
      <c r="P223" s="42"/>
      <c r="Q223" s="43"/>
      <c r="R223" s="43"/>
      <c r="S223" s="43"/>
      <c r="T223" s="43"/>
      <c r="U223" s="43"/>
      <c r="V223" s="43"/>
    </row>
    <row r="224" spans="1:22" s="45" customFormat="1" ht="21" customHeight="1" x14ac:dyDescent="0.15">
      <c r="A224" s="39"/>
      <c r="B224" s="40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41"/>
      <c r="P224" s="42"/>
      <c r="Q224" s="43"/>
      <c r="R224" s="43"/>
      <c r="S224" s="43"/>
      <c r="T224" s="43"/>
      <c r="U224" s="43"/>
      <c r="V224" s="43"/>
    </row>
    <row r="225" spans="1:22" s="45" customFormat="1" ht="21" customHeight="1" x14ac:dyDescent="0.15">
      <c r="A225" s="39"/>
      <c r="B225" s="40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41"/>
      <c r="P225" s="42"/>
      <c r="Q225" s="43"/>
      <c r="R225" s="43"/>
      <c r="S225" s="43"/>
      <c r="T225" s="43"/>
      <c r="U225" s="43"/>
      <c r="V225" s="43"/>
    </row>
    <row r="226" spans="1:22" s="45" customFormat="1" ht="21" customHeight="1" x14ac:dyDescent="0.15">
      <c r="A226" s="39"/>
      <c r="B226" s="40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41"/>
      <c r="P226" s="42"/>
      <c r="Q226" s="43"/>
      <c r="R226" s="43"/>
      <c r="S226" s="43"/>
      <c r="T226" s="43"/>
      <c r="U226" s="43"/>
      <c r="V226" s="43"/>
    </row>
    <row r="227" spans="1:22" s="45" customFormat="1" ht="21" customHeight="1" x14ac:dyDescent="0.15">
      <c r="A227" s="39"/>
      <c r="B227" s="40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41"/>
      <c r="P227" s="42"/>
      <c r="Q227" s="43"/>
      <c r="R227" s="43"/>
      <c r="S227" s="43"/>
      <c r="T227" s="43"/>
      <c r="U227" s="43"/>
      <c r="V227" s="43"/>
    </row>
    <row r="228" spans="1:22" s="45" customFormat="1" ht="21" customHeight="1" x14ac:dyDescent="0.15">
      <c r="A228" s="39"/>
      <c r="B228" s="40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41"/>
      <c r="P228" s="42"/>
      <c r="Q228" s="43"/>
      <c r="R228" s="43"/>
      <c r="S228" s="43"/>
      <c r="T228" s="43"/>
      <c r="U228" s="43"/>
      <c r="V228" s="43"/>
    </row>
    <row r="229" spans="1:22" s="45" customFormat="1" ht="21" customHeight="1" x14ac:dyDescent="0.15">
      <c r="A229" s="39"/>
      <c r="B229" s="40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41"/>
      <c r="P229" s="42"/>
      <c r="Q229" s="43"/>
      <c r="R229" s="43"/>
      <c r="S229" s="43"/>
      <c r="T229" s="43"/>
      <c r="U229" s="43"/>
      <c r="V229" s="43"/>
    </row>
    <row r="230" spans="1:22" s="45" customFormat="1" ht="21" customHeight="1" x14ac:dyDescent="0.15">
      <c r="A230" s="39"/>
      <c r="B230" s="40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41"/>
      <c r="P230" s="42"/>
      <c r="Q230" s="43"/>
      <c r="R230" s="43"/>
      <c r="S230" s="43"/>
      <c r="T230" s="43"/>
      <c r="U230" s="43"/>
      <c r="V230" s="43"/>
    </row>
    <row r="231" spans="1:22" s="45" customFormat="1" ht="21" customHeight="1" x14ac:dyDescent="0.15">
      <c r="A231" s="39"/>
      <c r="B231" s="40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41"/>
      <c r="P231" s="42"/>
      <c r="Q231" s="43"/>
      <c r="R231" s="43"/>
      <c r="S231" s="43"/>
      <c r="T231" s="43"/>
      <c r="U231" s="43"/>
      <c r="V231" s="43"/>
    </row>
    <row r="232" spans="1:22" s="45" customFormat="1" ht="21" customHeight="1" x14ac:dyDescent="0.15">
      <c r="A232" s="39"/>
      <c r="B232" s="40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41"/>
      <c r="P232" s="42"/>
      <c r="Q232" s="43"/>
      <c r="R232" s="43"/>
      <c r="S232" s="43"/>
      <c r="T232" s="43"/>
      <c r="U232" s="43"/>
      <c r="V232" s="43"/>
    </row>
    <row r="233" spans="1:22" s="45" customFormat="1" ht="21" customHeight="1" x14ac:dyDescent="0.15">
      <c r="A233" s="39"/>
      <c r="B233" s="40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41"/>
      <c r="P233" s="42"/>
      <c r="Q233" s="43"/>
      <c r="R233" s="43"/>
      <c r="S233" s="43"/>
      <c r="T233" s="43"/>
      <c r="U233" s="43"/>
      <c r="V233" s="43"/>
    </row>
    <row r="234" spans="1:22" s="45" customFormat="1" ht="21" customHeight="1" x14ac:dyDescent="0.15">
      <c r="A234" s="39"/>
      <c r="B234" s="40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41"/>
      <c r="P234" s="42"/>
      <c r="Q234" s="43"/>
      <c r="R234" s="43"/>
      <c r="S234" s="43"/>
      <c r="T234" s="43"/>
      <c r="U234" s="43"/>
      <c r="V234" s="43"/>
    </row>
    <row r="235" spans="1:22" s="45" customFormat="1" ht="21" customHeight="1" x14ac:dyDescent="0.15">
      <c r="A235" s="39"/>
      <c r="B235" s="40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41"/>
      <c r="P235" s="42"/>
      <c r="Q235" s="43"/>
      <c r="R235" s="43"/>
      <c r="S235" s="43"/>
      <c r="T235" s="43"/>
      <c r="U235" s="43"/>
      <c r="V235" s="43"/>
    </row>
    <row r="236" spans="1:22" s="45" customFormat="1" ht="21" customHeight="1" x14ac:dyDescent="0.15">
      <c r="A236" s="39"/>
      <c r="B236" s="40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41"/>
      <c r="P236" s="42"/>
      <c r="Q236" s="43"/>
      <c r="R236" s="43"/>
      <c r="S236" s="43"/>
      <c r="T236" s="43"/>
      <c r="U236" s="43"/>
      <c r="V236" s="43"/>
    </row>
    <row r="237" spans="1:22" s="45" customFormat="1" ht="21" customHeight="1" x14ac:dyDescent="0.15">
      <c r="A237" s="39"/>
      <c r="B237" s="40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41"/>
      <c r="P237" s="42"/>
      <c r="Q237" s="43"/>
      <c r="R237" s="43"/>
      <c r="S237" s="43"/>
      <c r="T237" s="43"/>
      <c r="U237" s="43"/>
      <c r="V237" s="43"/>
    </row>
    <row r="238" spans="1:22" s="45" customFormat="1" ht="21" customHeight="1" x14ac:dyDescent="0.15">
      <c r="A238" s="39"/>
      <c r="B238" s="40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41"/>
      <c r="P238" s="42"/>
      <c r="Q238" s="43"/>
      <c r="R238" s="43"/>
      <c r="S238" s="43"/>
      <c r="T238" s="43"/>
      <c r="U238" s="43"/>
      <c r="V238" s="43"/>
    </row>
    <row r="239" spans="1:22" s="45" customFormat="1" ht="21" customHeight="1" x14ac:dyDescent="0.15">
      <c r="A239" s="39"/>
      <c r="B239" s="40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41"/>
      <c r="P239" s="42"/>
      <c r="Q239" s="43"/>
      <c r="R239" s="43"/>
      <c r="S239" s="43"/>
      <c r="T239" s="43"/>
      <c r="U239" s="43"/>
      <c r="V239" s="43"/>
    </row>
    <row r="240" spans="1:22" s="45" customFormat="1" ht="21" customHeight="1" x14ac:dyDescent="0.15">
      <c r="A240" s="39"/>
      <c r="B240" s="40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41"/>
      <c r="P240" s="42"/>
      <c r="Q240" s="43"/>
      <c r="R240" s="43"/>
      <c r="S240" s="43"/>
      <c r="T240" s="43"/>
      <c r="U240" s="43"/>
      <c r="V240" s="43"/>
    </row>
    <row r="241" spans="1:22" s="45" customFormat="1" ht="21" customHeight="1" x14ac:dyDescent="0.15">
      <c r="A241" s="39"/>
      <c r="B241" s="40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41"/>
      <c r="P241" s="42"/>
      <c r="Q241" s="43"/>
      <c r="R241" s="43"/>
      <c r="S241" s="43"/>
      <c r="T241" s="43"/>
      <c r="U241" s="43"/>
      <c r="V241" s="43"/>
    </row>
    <row r="242" spans="1:22" s="45" customFormat="1" ht="21" customHeight="1" x14ac:dyDescent="0.15">
      <c r="A242" s="39"/>
      <c r="B242" s="40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41"/>
      <c r="P242" s="42"/>
      <c r="Q242" s="43"/>
      <c r="R242" s="43"/>
      <c r="S242" s="43"/>
      <c r="T242" s="43"/>
      <c r="U242" s="43"/>
      <c r="V242" s="43"/>
    </row>
    <row r="243" spans="1:22" s="45" customFormat="1" ht="21" customHeight="1" x14ac:dyDescent="0.15">
      <c r="A243" s="39"/>
      <c r="B243" s="40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41"/>
      <c r="P243" s="42"/>
      <c r="Q243" s="43"/>
      <c r="R243" s="43"/>
      <c r="S243" s="43"/>
      <c r="T243" s="43"/>
      <c r="U243" s="43"/>
      <c r="V243" s="43"/>
    </row>
    <row r="244" spans="1:22" s="45" customFormat="1" ht="21" customHeight="1" x14ac:dyDescent="0.15">
      <c r="A244" s="39"/>
      <c r="B244" s="40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41"/>
      <c r="P244" s="42"/>
      <c r="Q244" s="43"/>
      <c r="R244" s="43"/>
      <c r="S244" s="43"/>
      <c r="T244" s="43"/>
      <c r="U244" s="43"/>
      <c r="V244" s="43"/>
    </row>
    <row r="245" spans="1:22" s="45" customFormat="1" ht="21" customHeight="1" x14ac:dyDescent="0.15">
      <c r="A245" s="39"/>
      <c r="B245" s="40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41"/>
      <c r="P245" s="42"/>
      <c r="Q245" s="43"/>
      <c r="R245" s="43"/>
      <c r="S245" s="43"/>
      <c r="T245" s="43"/>
      <c r="U245" s="43"/>
      <c r="V245" s="43"/>
    </row>
    <row r="246" spans="1:22" s="45" customFormat="1" ht="21" customHeight="1" x14ac:dyDescent="0.15">
      <c r="A246" s="39"/>
      <c r="B246" s="40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41"/>
      <c r="P246" s="42"/>
      <c r="Q246" s="43"/>
      <c r="R246" s="43"/>
      <c r="S246" s="43"/>
      <c r="T246" s="43"/>
      <c r="U246" s="43"/>
      <c r="V246" s="43"/>
    </row>
    <row r="247" spans="1:22" s="45" customFormat="1" ht="21" customHeight="1" x14ac:dyDescent="0.15">
      <c r="A247" s="39"/>
      <c r="B247" s="40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41"/>
      <c r="P247" s="42"/>
      <c r="Q247" s="43"/>
      <c r="R247" s="43"/>
      <c r="S247" s="43"/>
      <c r="T247" s="43"/>
      <c r="U247" s="43"/>
      <c r="V247" s="43"/>
    </row>
    <row r="248" spans="1:22" s="45" customFormat="1" ht="21" customHeight="1" x14ac:dyDescent="0.15">
      <c r="A248" s="39"/>
      <c r="B248" s="40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41"/>
      <c r="P248" s="42"/>
      <c r="Q248" s="43"/>
      <c r="R248" s="43"/>
      <c r="S248" s="43"/>
      <c r="T248" s="43"/>
      <c r="U248" s="43"/>
      <c r="V248" s="43"/>
    </row>
    <row r="249" spans="1:22" s="45" customFormat="1" ht="21" customHeight="1" x14ac:dyDescent="0.15">
      <c r="A249" s="39"/>
      <c r="B249" s="40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41"/>
      <c r="P249" s="42"/>
      <c r="Q249" s="43"/>
      <c r="R249" s="43"/>
      <c r="S249" s="43"/>
      <c r="T249" s="43"/>
      <c r="U249" s="43"/>
      <c r="V249" s="43"/>
    </row>
    <row r="250" spans="1:22" s="45" customFormat="1" ht="21" customHeight="1" x14ac:dyDescent="0.15">
      <c r="A250" s="39"/>
      <c r="B250" s="40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41"/>
      <c r="P250" s="42"/>
      <c r="Q250" s="43"/>
      <c r="R250" s="43"/>
      <c r="S250" s="43"/>
      <c r="T250" s="43"/>
      <c r="U250" s="43"/>
      <c r="V250" s="43"/>
    </row>
    <row r="251" spans="1:22" s="45" customFormat="1" ht="21" customHeight="1" x14ac:dyDescent="0.15">
      <c r="A251" s="39"/>
      <c r="B251" s="40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41"/>
      <c r="P251" s="42"/>
      <c r="Q251" s="43"/>
      <c r="R251" s="43"/>
      <c r="S251" s="43"/>
      <c r="T251" s="43"/>
      <c r="U251" s="43"/>
      <c r="V251" s="43"/>
    </row>
    <row r="252" spans="1:22" s="45" customFormat="1" ht="21" customHeight="1" x14ac:dyDescent="0.15">
      <c r="A252" s="39"/>
      <c r="B252" s="40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41"/>
      <c r="P252" s="42"/>
      <c r="Q252" s="43"/>
      <c r="R252" s="43"/>
      <c r="S252" s="43"/>
      <c r="T252" s="43"/>
      <c r="U252" s="43"/>
      <c r="V252" s="43"/>
    </row>
    <row r="253" spans="1:22" s="45" customFormat="1" ht="21" customHeight="1" x14ac:dyDescent="0.15">
      <c r="A253" s="39"/>
      <c r="B253" s="40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41"/>
      <c r="P253" s="42"/>
      <c r="Q253" s="43"/>
      <c r="R253" s="43"/>
      <c r="S253" s="43"/>
      <c r="T253" s="43"/>
      <c r="U253" s="43"/>
      <c r="V253" s="43"/>
    </row>
    <row r="254" spans="1:22" s="45" customFormat="1" ht="21" customHeight="1" x14ac:dyDescent="0.15">
      <c r="A254" s="39"/>
      <c r="B254" s="40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41"/>
      <c r="P254" s="42"/>
      <c r="Q254" s="43"/>
      <c r="R254" s="43"/>
      <c r="S254" s="43"/>
      <c r="T254" s="43"/>
      <c r="U254" s="43"/>
      <c r="V254" s="43"/>
    </row>
    <row r="255" spans="1:22" s="45" customFormat="1" ht="21" customHeight="1" x14ac:dyDescent="0.15">
      <c r="A255" s="39"/>
      <c r="B255" s="40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41"/>
      <c r="P255" s="42"/>
      <c r="Q255" s="43"/>
      <c r="R255" s="43"/>
      <c r="S255" s="43"/>
      <c r="T255" s="43"/>
      <c r="U255" s="43"/>
      <c r="V255" s="43"/>
    </row>
    <row r="256" spans="1:22" s="45" customFormat="1" ht="21" customHeight="1" x14ac:dyDescent="0.15">
      <c r="A256" s="39"/>
      <c r="B256" s="40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41"/>
      <c r="P256" s="42"/>
      <c r="Q256" s="43"/>
      <c r="R256" s="43"/>
      <c r="S256" s="43"/>
      <c r="T256" s="43"/>
      <c r="U256" s="43"/>
      <c r="V256" s="43"/>
    </row>
    <row r="257" spans="1:22" s="45" customFormat="1" ht="21" customHeight="1" x14ac:dyDescent="0.15">
      <c r="A257" s="39"/>
      <c r="B257" s="40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41"/>
      <c r="P257" s="42"/>
      <c r="Q257" s="43"/>
      <c r="R257" s="43"/>
      <c r="S257" s="43"/>
      <c r="T257" s="43"/>
      <c r="U257" s="43"/>
      <c r="V257" s="43"/>
    </row>
    <row r="258" spans="1:22" s="45" customFormat="1" ht="21" customHeight="1" x14ac:dyDescent="0.15">
      <c r="A258" s="39"/>
      <c r="B258" s="40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41"/>
      <c r="P258" s="42"/>
      <c r="Q258" s="43"/>
      <c r="R258" s="43"/>
      <c r="S258" s="43"/>
      <c r="T258" s="43"/>
      <c r="U258" s="43"/>
      <c r="V258" s="43"/>
    </row>
    <row r="259" spans="1:22" s="45" customFormat="1" ht="21" customHeight="1" x14ac:dyDescent="0.15">
      <c r="A259" s="39"/>
      <c r="B259" s="40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41"/>
      <c r="P259" s="42"/>
      <c r="Q259" s="43"/>
      <c r="R259" s="43"/>
      <c r="S259" s="43"/>
      <c r="T259" s="43"/>
      <c r="U259" s="43"/>
      <c r="V259" s="43"/>
    </row>
    <row r="260" spans="1:22" s="45" customFormat="1" ht="21" customHeight="1" x14ac:dyDescent="0.15">
      <c r="A260" s="39"/>
      <c r="B260" s="40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41"/>
      <c r="P260" s="42"/>
      <c r="Q260" s="43"/>
      <c r="R260" s="43"/>
      <c r="S260" s="43"/>
      <c r="T260" s="43"/>
      <c r="U260" s="43"/>
      <c r="V260" s="43"/>
    </row>
    <row r="261" spans="1:22" s="45" customFormat="1" ht="21" customHeight="1" x14ac:dyDescent="0.15">
      <c r="A261" s="39"/>
      <c r="B261" s="40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41"/>
      <c r="P261" s="42"/>
      <c r="Q261" s="43"/>
      <c r="R261" s="43"/>
      <c r="S261" s="43"/>
      <c r="T261" s="43"/>
      <c r="U261" s="43"/>
      <c r="V261" s="43"/>
    </row>
    <row r="262" spans="1:22" s="45" customFormat="1" ht="21" customHeight="1" x14ac:dyDescent="0.15">
      <c r="A262" s="39"/>
      <c r="B262" s="40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41"/>
      <c r="P262" s="42"/>
      <c r="Q262" s="43"/>
      <c r="R262" s="43"/>
      <c r="S262" s="43"/>
      <c r="T262" s="43"/>
      <c r="U262" s="43"/>
      <c r="V262" s="43"/>
    </row>
    <row r="263" spans="1:22" s="45" customFormat="1" ht="21" customHeight="1" x14ac:dyDescent="0.15">
      <c r="A263" s="39"/>
      <c r="B263" s="40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41"/>
      <c r="P263" s="42"/>
      <c r="Q263" s="43"/>
      <c r="R263" s="43"/>
      <c r="S263" s="43"/>
      <c r="T263" s="43"/>
      <c r="U263" s="43"/>
      <c r="V263" s="43"/>
    </row>
    <row r="264" spans="1:22" s="45" customFormat="1" ht="21" customHeight="1" x14ac:dyDescent="0.15">
      <c r="A264" s="39"/>
      <c r="B264" s="40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41"/>
      <c r="P264" s="42"/>
      <c r="Q264" s="43"/>
      <c r="R264" s="43"/>
      <c r="S264" s="43"/>
      <c r="T264" s="43"/>
      <c r="U264" s="43"/>
      <c r="V264" s="43"/>
    </row>
    <row r="265" spans="1:22" s="45" customFormat="1" ht="21" customHeight="1" x14ac:dyDescent="0.15">
      <c r="A265" s="39"/>
      <c r="B265" s="40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41"/>
      <c r="P265" s="42"/>
      <c r="Q265" s="43"/>
      <c r="R265" s="43"/>
      <c r="S265" s="43"/>
      <c r="T265" s="43"/>
      <c r="U265" s="43"/>
      <c r="V265" s="43"/>
    </row>
    <row r="266" spans="1:22" s="45" customFormat="1" ht="21" customHeight="1" x14ac:dyDescent="0.15">
      <c r="A266" s="39"/>
      <c r="B266" s="40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41"/>
      <c r="P266" s="42"/>
      <c r="Q266" s="43"/>
      <c r="R266" s="43"/>
      <c r="S266" s="43"/>
      <c r="T266" s="43"/>
      <c r="U266" s="43"/>
      <c r="V266" s="43"/>
    </row>
    <row r="267" spans="1:22" s="45" customFormat="1" ht="21" customHeight="1" x14ac:dyDescent="0.15">
      <c r="A267" s="39"/>
      <c r="B267" s="40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41"/>
      <c r="P267" s="42"/>
      <c r="Q267" s="43"/>
      <c r="R267" s="43"/>
      <c r="S267" s="43"/>
      <c r="T267" s="43"/>
      <c r="U267" s="43"/>
      <c r="V267" s="43"/>
    </row>
    <row r="268" spans="1:22" s="45" customFormat="1" ht="21" customHeight="1" x14ac:dyDescent="0.15">
      <c r="A268" s="39"/>
      <c r="B268" s="40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41"/>
      <c r="P268" s="42"/>
      <c r="Q268" s="43"/>
      <c r="R268" s="43"/>
      <c r="S268" s="43"/>
      <c r="T268" s="43"/>
      <c r="U268" s="43"/>
      <c r="V268" s="43"/>
    </row>
    <row r="269" spans="1:22" s="45" customFormat="1" ht="21" customHeight="1" x14ac:dyDescent="0.15">
      <c r="A269" s="39"/>
      <c r="B269" s="40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41"/>
      <c r="P269" s="42"/>
      <c r="Q269" s="43"/>
      <c r="R269" s="43"/>
      <c r="S269" s="43"/>
      <c r="T269" s="43"/>
      <c r="U269" s="43"/>
      <c r="V269" s="43"/>
    </row>
    <row r="270" spans="1:22" s="45" customFormat="1" ht="21" customHeight="1" x14ac:dyDescent="0.15">
      <c r="A270" s="39"/>
      <c r="B270" s="40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41"/>
      <c r="P270" s="42"/>
      <c r="Q270" s="43"/>
      <c r="R270" s="43"/>
      <c r="S270" s="43"/>
      <c r="T270" s="43"/>
      <c r="U270" s="43"/>
      <c r="V270" s="43"/>
    </row>
    <row r="271" spans="1:22" s="45" customFormat="1" ht="21" customHeight="1" x14ac:dyDescent="0.15">
      <c r="A271" s="39"/>
      <c r="B271" s="40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41"/>
      <c r="P271" s="42"/>
      <c r="Q271" s="43"/>
      <c r="R271" s="43"/>
      <c r="S271" s="43"/>
      <c r="T271" s="43"/>
      <c r="U271" s="43"/>
      <c r="V271" s="43"/>
    </row>
    <row r="272" spans="1:22" s="45" customFormat="1" ht="21" customHeight="1" x14ac:dyDescent="0.1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41"/>
      <c r="P272" s="42"/>
      <c r="Q272" s="43"/>
      <c r="R272" s="43"/>
      <c r="S272" s="43"/>
      <c r="T272" s="43"/>
      <c r="U272" s="43"/>
      <c r="V272" s="43"/>
    </row>
    <row r="273" spans="1:22" s="45" customFormat="1" ht="21" customHeight="1" x14ac:dyDescent="0.1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41"/>
      <c r="P273" s="42"/>
      <c r="Q273" s="43"/>
      <c r="R273" s="43"/>
      <c r="S273" s="43"/>
      <c r="T273" s="43"/>
      <c r="U273" s="43"/>
      <c r="V273" s="43"/>
    </row>
    <row r="274" spans="1:22" s="45" customFormat="1" ht="21" customHeight="1" x14ac:dyDescent="0.1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41"/>
      <c r="P274" s="42"/>
      <c r="Q274" s="43"/>
      <c r="R274" s="43"/>
      <c r="S274" s="43"/>
      <c r="T274" s="43"/>
      <c r="U274" s="43"/>
      <c r="V274" s="43"/>
    </row>
    <row r="275" spans="1:22" s="45" customFormat="1" ht="21" customHeight="1" x14ac:dyDescent="0.1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41"/>
      <c r="P275" s="42"/>
      <c r="Q275" s="43"/>
      <c r="R275" s="43"/>
      <c r="S275" s="43"/>
      <c r="T275" s="43"/>
      <c r="U275" s="43"/>
      <c r="V275" s="43"/>
    </row>
    <row r="276" spans="1:22" s="45" customFormat="1" ht="21" customHeight="1" x14ac:dyDescent="0.1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41"/>
      <c r="P276" s="42"/>
      <c r="Q276" s="43"/>
      <c r="R276" s="43"/>
      <c r="S276" s="43"/>
      <c r="T276" s="43"/>
      <c r="U276" s="43"/>
      <c r="V276" s="43"/>
    </row>
    <row r="277" spans="1:22" s="45" customFormat="1" ht="21" customHeight="1" x14ac:dyDescent="0.1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41"/>
      <c r="P277" s="42"/>
      <c r="Q277" s="43"/>
      <c r="R277" s="43"/>
      <c r="S277" s="43"/>
      <c r="T277" s="43"/>
      <c r="U277" s="43"/>
      <c r="V277" s="43"/>
    </row>
    <row r="278" spans="1:22" s="45" customFormat="1" ht="21" customHeight="1" x14ac:dyDescent="0.1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41"/>
      <c r="P278" s="42"/>
      <c r="Q278" s="43"/>
      <c r="R278" s="43"/>
      <c r="S278" s="43"/>
      <c r="T278" s="43"/>
      <c r="U278" s="43"/>
      <c r="V278" s="43"/>
    </row>
    <row r="279" spans="1:22" s="45" customFormat="1" ht="21" customHeight="1" x14ac:dyDescent="0.1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41"/>
      <c r="P279" s="42"/>
      <c r="Q279" s="43"/>
      <c r="R279" s="43"/>
      <c r="S279" s="43"/>
      <c r="T279" s="43"/>
      <c r="U279" s="43"/>
      <c r="V279" s="43"/>
    </row>
    <row r="280" spans="1:22" s="45" customFormat="1" ht="21" customHeight="1" x14ac:dyDescent="0.1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41"/>
      <c r="P280" s="42"/>
      <c r="Q280" s="43"/>
      <c r="R280" s="43"/>
      <c r="S280" s="43"/>
      <c r="T280" s="43"/>
      <c r="U280" s="43"/>
      <c r="V280" s="43"/>
    </row>
    <row r="281" spans="1:22" s="45" customFormat="1" ht="21" customHeight="1" x14ac:dyDescent="0.1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41"/>
      <c r="P281" s="42"/>
      <c r="Q281" s="43"/>
      <c r="R281" s="43"/>
      <c r="S281" s="43"/>
      <c r="T281" s="43"/>
      <c r="U281" s="43"/>
      <c r="V281" s="43"/>
    </row>
    <row r="282" spans="1:22" s="45" customFormat="1" ht="21" customHeight="1" x14ac:dyDescent="0.1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41"/>
      <c r="P282" s="42"/>
      <c r="Q282" s="43"/>
      <c r="R282" s="43"/>
      <c r="S282" s="43"/>
      <c r="T282" s="43"/>
      <c r="U282" s="43"/>
      <c r="V282" s="43"/>
    </row>
    <row r="283" spans="1:22" s="45" customFormat="1" ht="21" customHeight="1" x14ac:dyDescent="0.1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41"/>
      <c r="P283" s="42"/>
      <c r="Q283" s="43"/>
      <c r="R283" s="43"/>
      <c r="S283" s="43"/>
      <c r="T283" s="43"/>
      <c r="U283" s="43"/>
      <c r="V283" s="43"/>
    </row>
    <row r="284" spans="1:22" s="45" customFormat="1" ht="21" customHeight="1" x14ac:dyDescent="0.1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41"/>
      <c r="P284" s="42"/>
      <c r="Q284" s="43"/>
      <c r="R284" s="43"/>
      <c r="S284" s="43"/>
      <c r="T284" s="43"/>
      <c r="U284" s="43"/>
      <c r="V284" s="43"/>
    </row>
    <row r="285" spans="1:22" s="45" customFormat="1" ht="21" customHeight="1" x14ac:dyDescent="0.1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41"/>
      <c r="P285" s="42"/>
      <c r="Q285" s="43"/>
      <c r="R285" s="43"/>
      <c r="S285" s="43"/>
      <c r="T285" s="43"/>
      <c r="U285" s="43"/>
      <c r="V285" s="43"/>
    </row>
    <row r="286" spans="1:22" s="45" customFormat="1" ht="21" customHeight="1" x14ac:dyDescent="0.1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41"/>
      <c r="P286" s="42"/>
      <c r="Q286" s="43"/>
      <c r="R286" s="43"/>
      <c r="S286" s="43"/>
      <c r="T286" s="43"/>
      <c r="U286" s="43"/>
      <c r="V286" s="43"/>
    </row>
    <row r="287" spans="1:22" s="45" customFormat="1" ht="21" customHeight="1" x14ac:dyDescent="0.1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41"/>
      <c r="P287" s="42"/>
      <c r="Q287" s="43"/>
      <c r="R287" s="43"/>
      <c r="S287" s="43"/>
      <c r="T287" s="43"/>
      <c r="U287" s="43"/>
      <c r="V287" s="43"/>
    </row>
    <row r="288" spans="1:22" s="45" customFormat="1" ht="21" customHeight="1" x14ac:dyDescent="0.1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41"/>
      <c r="P288" s="42"/>
      <c r="Q288" s="43"/>
      <c r="R288" s="43"/>
      <c r="S288" s="43"/>
      <c r="T288" s="43"/>
      <c r="U288" s="43"/>
      <c r="V288" s="43"/>
    </row>
    <row r="289" spans="1:22" s="45" customFormat="1" ht="21" customHeight="1" x14ac:dyDescent="0.1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41"/>
      <c r="P289" s="42"/>
      <c r="Q289" s="43"/>
      <c r="R289" s="43"/>
      <c r="S289" s="43"/>
      <c r="T289" s="43"/>
      <c r="U289" s="43"/>
      <c r="V289" s="43"/>
    </row>
    <row r="290" spans="1:22" s="45" customFormat="1" ht="21" customHeight="1" x14ac:dyDescent="0.1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41"/>
      <c r="P290" s="42"/>
      <c r="Q290" s="43"/>
      <c r="R290" s="43"/>
      <c r="S290" s="43"/>
      <c r="T290" s="43"/>
      <c r="U290" s="43"/>
      <c r="V290" s="43"/>
    </row>
    <row r="291" spans="1:22" s="45" customFormat="1" ht="21" customHeight="1" x14ac:dyDescent="0.1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41"/>
      <c r="P291" s="42"/>
      <c r="Q291" s="43"/>
      <c r="R291" s="43"/>
      <c r="S291" s="43"/>
      <c r="T291" s="43"/>
      <c r="U291" s="43"/>
      <c r="V291" s="43"/>
    </row>
    <row r="292" spans="1:22" s="45" customFormat="1" ht="21" customHeight="1" x14ac:dyDescent="0.1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41"/>
      <c r="P292" s="42"/>
      <c r="Q292" s="43"/>
      <c r="R292" s="43"/>
      <c r="S292" s="43"/>
      <c r="T292" s="43"/>
      <c r="U292" s="43"/>
      <c r="V292" s="43"/>
    </row>
    <row r="293" spans="1:22" s="45" customFormat="1" ht="21" customHeight="1" x14ac:dyDescent="0.1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41"/>
      <c r="P293" s="42"/>
      <c r="Q293" s="43"/>
      <c r="R293" s="43"/>
      <c r="S293" s="43"/>
      <c r="T293" s="43"/>
      <c r="U293" s="43"/>
      <c r="V293" s="43"/>
    </row>
    <row r="294" spans="1:22" s="45" customFormat="1" ht="21" customHeight="1" x14ac:dyDescent="0.1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41"/>
      <c r="P294" s="42"/>
      <c r="Q294" s="43"/>
      <c r="R294" s="43"/>
      <c r="S294" s="43"/>
      <c r="T294" s="43"/>
      <c r="U294" s="43"/>
      <c r="V294" s="43"/>
    </row>
    <row r="295" spans="1:22" s="45" customFormat="1" ht="21" customHeight="1" x14ac:dyDescent="0.1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41"/>
      <c r="P295" s="42"/>
      <c r="Q295" s="43"/>
      <c r="R295" s="43"/>
      <c r="S295" s="43"/>
      <c r="T295" s="43"/>
      <c r="U295" s="43"/>
      <c r="V295" s="43"/>
    </row>
    <row r="296" spans="1:22" s="45" customFormat="1" ht="21" customHeight="1" x14ac:dyDescent="0.1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41"/>
      <c r="P296" s="42"/>
      <c r="Q296" s="43"/>
      <c r="R296" s="43"/>
      <c r="S296" s="43"/>
      <c r="T296" s="43"/>
      <c r="U296" s="43"/>
      <c r="V296" s="43"/>
    </row>
    <row r="297" spans="1:22" s="45" customFormat="1" ht="21" customHeight="1" x14ac:dyDescent="0.1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41"/>
      <c r="P297" s="42"/>
      <c r="Q297" s="43"/>
      <c r="R297" s="43"/>
      <c r="S297" s="43"/>
      <c r="T297" s="43"/>
      <c r="U297" s="43"/>
      <c r="V297" s="43"/>
    </row>
    <row r="298" spans="1:22" s="45" customFormat="1" ht="21" customHeight="1" x14ac:dyDescent="0.1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41"/>
      <c r="P298" s="42"/>
      <c r="Q298" s="43"/>
      <c r="R298" s="43"/>
      <c r="S298" s="43"/>
      <c r="T298" s="43"/>
      <c r="U298" s="43"/>
      <c r="V298" s="43"/>
    </row>
    <row r="299" spans="1:22" s="45" customFormat="1" ht="21" customHeight="1" x14ac:dyDescent="0.1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41"/>
      <c r="P299" s="42"/>
      <c r="Q299" s="43"/>
      <c r="R299" s="43"/>
      <c r="S299" s="43"/>
      <c r="T299" s="43"/>
      <c r="U299" s="43"/>
      <c r="V299" s="43"/>
    </row>
    <row r="300" spans="1:22" s="45" customFormat="1" ht="21" customHeight="1" x14ac:dyDescent="0.1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41"/>
      <c r="P300" s="42"/>
      <c r="Q300" s="43"/>
      <c r="R300" s="43"/>
      <c r="S300" s="43"/>
      <c r="T300" s="43"/>
      <c r="U300" s="43"/>
      <c r="V300" s="43"/>
    </row>
    <row r="301" spans="1:22" s="45" customFormat="1" ht="21" customHeight="1" x14ac:dyDescent="0.1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41"/>
      <c r="P301" s="42"/>
      <c r="Q301" s="43"/>
      <c r="R301" s="43"/>
      <c r="S301" s="43"/>
      <c r="T301" s="43"/>
      <c r="U301" s="43"/>
      <c r="V301" s="43"/>
    </row>
    <row r="302" spans="1:22" s="45" customFormat="1" ht="21" customHeight="1" x14ac:dyDescent="0.1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41"/>
      <c r="P302" s="42"/>
      <c r="Q302" s="43"/>
      <c r="R302" s="43"/>
      <c r="S302" s="43"/>
      <c r="T302" s="43"/>
      <c r="U302" s="43"/>
      <c r="V302" s="43"/>
    </row>
    <row r="303" spans="1:22" s="45" customFormat="1" ht="21" customHeight="1" x14ac:dyDescent="0.1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41"/>
      <c r="P303" s="42"/>
      <c r="Q303" s="43"/>
      <c r="R303" s="43"/>
      <c r="S303" s="43"/>
      <c r="T303" s="43"/>
      <c r="U303" s="43"/>
      <c r="V303" s="43"/>
    </row>
    <row r="304" spans="1:22" s="45" customFormat="1" ht="21" customHeight="1" x14ac:dyDescent="0.1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41"/>
      <c r="P304" s="42"/>
      <c r="Q304" s="43"/>
      <c r="R304" s="43"/>
      <c r="S304" s="43"/>
      <c r="T304" s="43"/>
      <c r="U304" s="43"/>
      <c r="V304" s="43"/>
    </row>
    <row r="305" spans="1:22" s="45" customFormat="1" ht="21" customHeight="1" x14ac:dyDescent="0.1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41"/>
      <c r="P305" s="42"/>
      <c r="Q305" s="43"/>
      <c r="R305" s="43"/>
      <c r="S305" s="43"/>
      <c r="T305" s="43"/>
      <c r="U305" s="43"/>
      <c r="V305" s="43"/>
    </row>
    <row r="306" spans="1:22" s="45" customFormat="1" ht="21" customHeight="1" x14ac:dyDescent="0.1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41"/>
      <c r="P306" s="42"/>
      <c r="Q306" s="43"/>
      <c r="R306" s="43"/>
      <c r="S306" s="43"/>
      <c r="T306" s="43"/>
      <c r="U306" s="43"/>
      <c r="V306" s="43"/>
    </row>
    <row r="307" spans="1:22" s="45" customFormat="1" ht="21" customHeight="1" x14ac:dyDescent="0.1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41"/>
      <c r="P307" s="42"/>
      <c r="Q307" s="43"/>
      <c r="R307" s="43"/>
      <c r="S307" s="43"/>
      <c r="T307" s="43"/>
      <c r="U307" s="43"/>
      <c r="V307" s="43"/>
    </row>
    <row r="308" spans="1:22" s="45" customFormat="1" ht="21" customHeight="1" x14ac:dyDescent="0.1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41"/>
      <c r="P308" s="42"/>
      <c r="Q308" s="43"/>
      <c r="R308" s="43"/>
      <c r="S308" s="43"/>
      <c r="T308" s="43"/>
      <c r="U308" s="43"/>
      <c r="V308" s="43"/>
    </row>
    <row r="309" spans="1:22" s="45" customFormat="1" ht="21" customHeight="1" x14ac:dyDescent="0.1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41"/>
      <c r="P309" s="42"/>
      <c r="Q309" s="43"/>
      <c r="R309" s="43"/>
      <c r="S309" s="43"/>
      <c r="T309" s="43"/>
      <c r="U309" s="43"/>
      <c r="V309" s="43"/>
    </row>
    <row r="310" spans="1:22" s="45" customFormat="1" ht="21" customHeight="1" x14ac:dyDescent="0.1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41"/>
      <c r="P310" s="42"/>
      <c r="Q310" s="43"/>
      <c r="R310" s="43"/>
      <c r="S310" s="43"/>
      <c r="T310" s="43"/>
      <c r="U310" s="43"/>
      <c r="V310" s="43"/>
    </row>
    <row r="311" spans="1:22" s="45" customFormat="1" ht="21" customHeight="1" x14ac:dyDescent="0.1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41"/>
      <c r="P311" s="42"/>
      <c r="Q311" s="43"/>
      <c r="R311" s="43"/>
      <c r="S311" s="43"/>
      <c r="T311" s="43"/>
      <c r="U311" s="43"/>
      <c r="V311" s="43"/>
    </row>
    <row r="312" spans="1:22" s="45" customFormat="1" ht="21" customHeight="1" x14ac:dyDescent="0.1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41"/>
      <c r="P312" s="42"/>
      <c r="Q312" s="43"/>
      <c r="R312" s="43"/>
      <c r="S312" s="43"/>
      <c r="T312" s="43"/>
      <c r="U312" s="43"/>
      <c r="V312" s="43"/>
    </row>
    <row r="313" spans="1:22" s="45" customFormat="1" ht="21" customHeight="1" x14ac:dyDescent="0.1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41"/>
      <c r="P313" s="42"/>
      <c r="Q313" s="43"/>
      <c r="R313" s="43"/>
      <c r="S313" s="43"/>
      <c r="T313" s="43"/>
      <c r="U313" s="43"/>
      <c r="V313" s="43"/>
    </row>
    <row r="314" spans="1:22" s="45" customFormat="1" ht="21" customHeight="1" x14ac:dyDescent="0.1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41"/>
      <c r="P314" s="42"/>
      <c r="Q314" s="43"/>
      <c r="R314" s="43"/>
      <c r="S314" s="43"/>
      <c r="T314" s="43"/>
      <c r="U314" s="43"/>
      <c r="V314" s="43"/>
    </row>
    <row r="315" spans="1:22" s="45" customFormat="1" ht="21" customHeight="1" x14ac:dyDescent="0.1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41"/>
      <c r="P315" s="42"/>
      <c r="Q315" s="43"/>
      <c r="R315" s="43"/>
      <c r="S315" s="43"/>
      <c r="T315" s="43"/>
      <c r="U315" s="43"/>
      <c r="V315" s="43"/>
    </row>
    <row r="316" spans="1:22" s="45" customFormat="1" ht="21" customHeight="1" x14ac:dyDescent="0.1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41"/>
      <c r="P316" s="42"/>
      <c r="Q316" s="43"/>
      <c r="R316" s="43"/>
      <c r="S316" s="43"/>
      <c r="T316" s="43"/>
      <c r="U316" s="43"/>
      <c r="V316" s="43"/>
    </row>
    <row r="317" spans="1:22" s="45" customFormat="1" ht="21" customHeight="1" x14ac:dyDescent="0.1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41"/>
      <c r="P317" s="42"/>
      <c r="Q317" s="43"/>
      <c r="R317" s="43"/>
      <c r="S317" s="43"/>
      <c r="T317" s="43"/>
      <c r="U317" s="43"/>
      <c r="V317" s="43"/>
    </row>
    <row r="318" spans="1:22" s="45" customFormat="1" ht="21" customHeight="1" x14ac:dyDescent="0.1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41"/>
      <c r="P318" s="42"/>
      <c r="Q318" s="43"/>
      <c r="R318" s="43"/>
      <c r="S318" s="43"/>
      <c r="T318" s="43"/>
      <c r="U318" s="43"/>
      <c r="V318" s="43"/>
    </row>
    <row r="319" spans="1:22" s="45" customFormat="1" ht="21" customHeight="1" x14ac:dyDescent="0.1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41"/>
      <c r="P319" s="42"/>
      <c r="Q319" s="43"/>
      <c r="R319" s="43"/>
      <c r="S319" s="43"/>
      <c r="T319" s="43"/>
      <c r="U319" s="43"/>
      <c r="V319" s="43"/>
    </row>
    <row r="320" spans="1:22" s="45" customFormat="1" ht="21" customHeight="1" x14ac:dyDescent="0.1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41"/>
      <c r="P320" s="42"/>
      <c r="Q320" s="43"/>
      <c r="R320" s="43"/>
      <c r="S320" s="43"/>
      <c r="T320" s="43"/>
      <c r="U320" s="43"/>
      <c r="V320" s="43"/>
    </row>
    <row r="321" spans="1:22" s="45" customFormat="1" ht="21" customHeight="1" x14ac:dyDescent="0.1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41"/>
      <c r="P321" s="42"/>
      <c r="Q321" s="43"/>
      <c r="R321" s="43"/>
      <c r="S321" s="43"/>
      <c r="T321" s="43"/>
      <c r="U321" s="43"/>
      <c r="V321" s="43"/>
    </row>
    <row r="322" spans="1:22" s="45" customFormat="1" ht="21" customHeight="1" x14ac:dyDescent="0.1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41"/>
      <c r="P322" s="42"/>
      <c r="Q322" s="43"/>
      <c r="R322" s="43"/>
      <c r="S322" s="43"/>
      <c r="T322" s="43"/>
      <c r="U322" s="43"/>
      <c r="V322" s="43"/>
    </row>
    <row r="323" spans="1:22" s="45" customFormat="1" ht="21" customHeight="1" x14ac:dyDescent="0.15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41"/>
      <c r="P323" s="42"/>
      <c r="Q323" s="43"/>
      <c r="R323" s="43"/>
      <c r="S323" s="43"/>
      <c r="T323" s="43"/>
      <c r="U323" s="43"/>
      <c r="V323" s="43"/>
    </row>
    <row r="324" spans="1:22" s="45" customFormat="1" ht="21" customHeight="1" x14ac:dyDescent="0.15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41"/>
      <c r="P324" s="42"/>
      <c r="Q324" s="43"/>
      <c r="R324" s="43"/>
      <c r="S324" s="43"/>
      <c r="T324" s="43"/>
      <c r="U324" s="43"/>
      <c r="V324" s="43"/>
    </row>
    <row r="325" spans="1:22" s="45" customFormat="1" ht="21" customHeight="1" x14ac:dyDescent="0.15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41"/>
      <c r="P325" s="42"/>
      <c r="Q325" s="43"/>
      <c r="R325" s="43"/>
      <c r="S325" s="43"/>
      <c r="T325" s="43"/>
      <c r="U325" s="43"/>
      <c r="V325" s="43"/>
    </row>
    <row r="326" spans="1:22" s="45" customFormat="1" ht="21" customHeight="1" x14ac:dyDescent="0.15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41"/>
      <c r="P326" s="42"/>
      <c r="Q326" s="43"/>
      <c r="R326" s="43"/>
      <c r="S326" s="43"/>
      <c r="T326" s="43"/>
      <c r="U326" s="43"/>
      <c r="V326" s="43"/>
    </row>
    <row r="327" spans="1:22" s="45" customFormat="1" ht="21" customHeight="1" x14ac:dyDescent="0.15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41"/>
      <c r="P327" s="42"/>
      <c r="Q327" s="43"/>
      <c r="R327" s="43"/>
      <c r="S327" s="43"/>
      <c r="T327" s="43"/>
      <c r="U327" s="43"/>
      <c r="V327" s="43"/>
    </row>
    <row r="328" spans="1:22" s="45" customFormat="1" ht="21" customHeight="1" x14ac:dyDescent="0.15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41"/>
      <c r="P328" s="42"/>
      <c r="Q328" s="43"/>
      <c r="R328" s="43"/>
      <c r="S328" s="43"/>
      <c r="T328" s="43"/>
      <c r="U328" s="43"/>
      <c r="V328" s="43"/>
    </row>
    <row r="329" spans="1:22" s="45" customFormat="1" ht="21" customHeight="1" x14ac:dyDescent="0.15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41"/>
      <c r="P329" s="42"/>
      <c r="Q329" s="43"/>
      <c r="R329" s="43"/>
      <c r="S329" s="43"/>
      <c r="T329" s="43"/>
      <c r="U329" s="43"/>
      <c r="V329" s="43"/>
    </row>
    <row r="330" spans="1:22" s="45" customFormat="1" ht="21" customHeight="1" x14ac:dyDescent="0.15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41"/>
      <c r="P330" s="42"/>
      <c r="Q330" s="43"/>
      <c r="R330" s="43"/>
      <c r="S330" s="43"/>
      <c r="T330" s="43"/>
      <c r="U330" s="43"/>
      <c r="V330" s="43"/>
    </row>
    <row r="331" spans="1:22" s="45" customFormat="1" ht="21" customHeight="1" x14ac:dyDescent="0.15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41"/>
      <c r="P331" s="42"/>
      <c r="Q331" s="43"/>
      <c r="R331" s="43"/>
      <c r="S331" s="43"/>
      <c r="T331" s="43"/>
      <c r="U331" s="43"/>
      <c r="V331" s="43"/>
    </row>
    <row r="332" spans="1:22" s="45" customFormat="1" ht="21" customHeight="1" x14ac:dyDescent="0.15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41"/>
      <c r="P332" s="42"/>
      <c r="Q332" s="43"/>
      <c r="R332" s="43"/>
      <c r="S332" s="43"/>
      <c r="T332" s="43"/>
      <c r="U332" s="43"/>
      <c r="V332" s="43"/>
    </row>
    <row r="333" spans="1:22" s="45" customFormat="1" ht="21" customHeight="1" x14ac:dyDescent="0.15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41"/>
      <c r="P333" s="42"/>
      <c r="Q333" s="43"/>
      <c r="R333" s="43"/>
      <c r="S333" s="43"/>
      <c r="T333" s="43"/>
      <c r="U333" s="43"/>
      <c r="V333" s="43"/>
    </row>
    <row r="334" spans="1:22" s="45" customFormat="1" ht="21" customHeight="1" x14ac:dyDescent="0.15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41"/>
      <c r="P334" s="42"/>
      <c r="Q334" s="43"/>
      <c r="R334" s="43"/>
      <c r="S334" s="43"/>
      <c r="T334" s="43"/>
      <c r="U334" s="43"/>
      <c r="V334" s="43"/>
    </row>
    <row r="335" spans="1:22" s="45" customFormat="1" ht="21" customHeight="1" x14ac:dyDescent="0.15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41"/>
      <c r="P335" s="42"/>
      <c r="Q335" s="43"/>
      <c r="R335" s="43"/>
      <c r="S335" s="43"/>
      <c r="T335" s="43"/>
      <c r="U335" s="43"/>
      <c r="V335" s="43"/>
    </row>
  </sheetData>
  <phoneticPr fontId="1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10</v>
      </c>
      <c r="B1" s="3" t="s">
        <v>11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1">
        <v>668</v>
      </c>
      <c r="B246" s="7" t="str">
        <f>VLOOKUP(A246,[1]characters!$A:$C,3,FALSE)</f>
        <v>アグニ</v>
      </c>
    </row>
    <row r="247" spans="1:2" x14ac:dyDescent="0.15">
      <c r="A247" s="31">
        <v>669</v>
      </c>
      <c r="B247" s="7" t="str">
        <f>VLOOKUP(A247,[1]characters!$A:$C,3,FALSE)</f>
        <v>天地の仲界 アグニ</v>
      </c>
    </row>
    <row r="248" spans="1:2" x14ac:dyDescent="0.15">
      <c r="A248" s="31">
        <v>670</v>
      </c>
      <c r="B248" s="7" t="str">
        <f>VLOOKUP(A248,[1]characters!$A:$C,3,FALSE)</f>
        <v>陽天の噴煙 アグニ</v>
      </c>
    </row>
    <row r="249" spans="1:2" x14ac:dyDescent="0.15">
      <c r="A249" s="31">
        <v>671</v>
      </c>
      <c r="B249" s="7" t="str">
        <f>VLOOKUP(A249,[1]characters!$A:$C,3,FALSE)</f>
        <v>ハヌマーン</v>
      </c>
    </row>
    <row r="250" spans="1:2" x14ac:dyDescent="0.15">
      <c r="A250" s="31">
        <v>672</v>
      </c>
      <c r="B250" s="7" t="str">
        <f>VLOOKUP(A250,[1]characters!$A:$C,3,FALSE)</f>
        <v>西遊韋駄天 ハヌマーン</v>
      </c>
    </row>
    <row r="251" spans="1:2" x14ac:dyDescent="0.15">
      <c r="A251" s="31">
        <v>673</v>
      </c>
      <c r="B251" s="7" t="str">
        <f>VLOOKUP(A251,[1]characters!$A:$C,3,FALSE)</f>
        <v>変幻自在の猿王 ハヌマーン</v>
      </c>
    </row>
    <row r="252" spans="1:2" x14ac:dyDescent="0.15">
      <c r="A252" s="31">
        <v>674</v>
      </c>
      <c r="B252" s="7" t="str">
        <f>VLOOKUP(A252,[1]characters!$A:$C,3,FALSE)</f>
        <v>サラスヴァティ</v>
      </c>
    </row>
    <row r="253" spans="1:2" x14ac:dyDescent="0.15">
      <c r="A253" s="31">
        <v>675</v>
      </c>
      <c r="B253" s="7" t="str">
        <f>VLOOKUP(A253,[1]characters!$A:$C,3,FALSE)</f>
        <v>芸楽の奔流 サラスヴァティ</v>
      </c>
    </row>
    <row r="254" spans="1:2" x14ac:dyDescent="0.15">
      <c r="A254" s="31">
        <v>676</v>
      </c>
      <c r="B254" s="7" t="str">
        <f>VLOOKUP(A254,[1]characters!$A:$C,3,FALSE)</f>
        <v>ヴィシュヌ</v>
      </c>
    </row>
    <row r="255" spans="1:2" x14ac:dyDescent="0.15">
      <c r="A255" s="31">
        <v>677</v>
      </c>
      <c r="B255" s="7" t="str">
        <f>VLOOKUP(A255,[1]characters!$A:$C,3,FALSE)</f>
        <v>武遊闊歩 ヴィシュヌ</v>
      </c>
    </row>
    <row r="256" spans="1:2" x14ac:dyDescent="0.15">
      <c r="A256" s="31">
        <v>770</v>
      </c>
      <c r="B256" s="7" t="str">
        <f>VLOOKUP(A256,[1]characters!$A:$C,3,FALSE)</f>
        <v>ハヅル</v>
      </c>
    </row>
    <row r="257" spans="1:2" x14ac:dyDescent="0.15">
      <c r="A257" s="31">
        <v>771</v>
      </c>
      <c r="B257" s="7" t="str">
        <f>VLOOKUP(A257,[1]characters!$A:$C,3,FALSE)</f>
        <v>天織羽鶴 ハヅル</v>
      </c>
    </row>
    <row r="258" spans="1:2" x14ac:dyDescent="0.15">
      <c r="A258" s="31">
        <v>772</v>
      </c>
      <c r="B258" s="7" t="str">
        <f>VLOOKUP(A258,[1]characters!$A:$C,3,FALSE)</f>
        <v>イナバ</v>
      </c>
    </row>
    <row r="259" spans="1:2" x14ac:dyDescent="0.15">
      <c r="A259" s="31">
        <v>773</v>
      </c>
      <c r="B259" s="7" t="str">
        <f>VLOOKUP(A259,[1]characters!$A:$C,3,FALSE)</f>
        <v>浮跳天兎 イナバ</v>
      </c>
    </row>
    <row r="260" spans="1:2" x14ac:dyDescent="0.15">
      <c r="A260" s="31">
        <v>774</v>
      </c>
      <c r="B260" s="7" t="str">
        <f>VLOOKUP(A260,[1]characters!$A:$C,3,FALSE)</f>
        <v>ミズチ</v>
      </c>
    </row>
    <row r="261" spans="1:2" x14ac:dyDescent="0.15">
      <c r="A261" s="31">
        <v>775</v>
      </c>
      <c r="B261" s="7" t="str">
        <f>VLOOKUP(A261,[1]characters!$A:$C,3,FALSE)</f>
        <v>水底霊竜 ミズチ</v>
      </c>
    </row>
    <row r="262" spans="1:2" x14ac:dyDescent="0.15">
      <c r="A262" s="31">
        <v>776</v>
      </c>
      <c r="B262" s="7" t="str">
        <f>VLOOKUP(A262,[1]characters!$A:$C,3,FALSE)</f>
        <v>水竜底主 ミズチ</v>
      </c>
    </row>
    <row r="263" spans="1:2" x14ac:dyDescent="0.15">
      <c r="A263" s="31">
        <v>777</v>
      </c>
      <c r="B263" s="7" t="str">
        <f>VLOOKUP(A263,[1]characters!$A:$C,3,FALSE)</f>
        <v>ガメック</v>
      </c>
    </row>
    <row r="264" spans="1:2" x14ac:dyDescent="0.15">
      <c r="A264" s="31">
        <v>778</v>
      </c>
      <c r="B264" s="7" t="str">
        <f>VLOOKUP(A264,[1]characters!$A:$C,3,FALSE)</f>
        <v>一亀懸明 ガメック</v>
      </c>
    </row>
    <row r="265" spans="1:2" x14ac:dyDescent="0.15">
      <c r="A265" s="31">
        <v>779</v>
      </c>
      <c r="B265" s="7" t="str">
        <f>VLOOKUP(A265,[1]characters!$A:$C,3,FALSE)</f>
        <v>頑堅咬亀 ガメック</v>
      </c>
    </row>
    <row r="266" spans="1:2" x14ac:dyDescent="0.15">
      <c r="A266" s="31">
        <v>779</v>
      </c>
      <c r="B266" s="7" t="str">
        <f>VLOOKUP(A266,[1]characters!$A:$C,3,FALSE)</f>
        <v>頑堅咬亀 ガメック</v>
      </c>
    </row>
  </sheetData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25" t="s">
        <v>21</v>
      </c>
      <c r="B1" s="25"/>
    </row>
    <row r="2" spans="1:2" x14ac:dyDescent="0.15">
      <c r="A2" s="23" t="s">
        <v>1</v>
      </c>
      <c r="B2" s="24" t="s">
        <v>23</v>
      </c>
    </row>
    <row r="3" spans="1:2" x14ac:dyDescent="0.15">
      <c r="A3" s="6">
        <v>166</v>
      </c>
      <c r="B3" s="24" t="str">
        <f>VLOOKUP(A3,[1]characters!$A:$C,3,FALSE)</f>
        <v>ベリアル</v>
      </c>
    </row>
    <row r="4" spans="1:2" x14ac:dyDescent="0.15">
      <c r="A4" s="6">
        <v>167</v>
      </c>
      <c r="B4" s="24" t="str">
        <f>VLOOKUP(A4,[1]characters!$A:$C,3,FALSE)</f>
        <v>逆徒 ベリアル</v>
      </c>
    </row>
    <row r="5" spans="1:2" x14ac:dyDescent="0.15">
      <c r="A5" s="6">
        <v>168</v>
      </c>
      <c r="B5" s="24" t="str">
        <f>VLOOKUP(A5,[1]characters!$A:$C,3,FALSE)</f>
        <v>猛進の大逆者 ベリアル</v>
      </c>
    </row>
    <row r="6" spans="1:2" x14ac:dyDescent="0.15">
      <c r="A6" s="23">
        <v>169</v>
      </c>
      <c r="B6" s="24" t="str">
        <f>VLOOKUP(A6,[1]characters!$A:$C,3,FALSE)</f>
        <v>オセ</v>
      </c>
    </row>
    <row r="7" spans="1:2" x14ac:dyDescent="0.15">
      <c r="A7" s="23">
        <v>170</v>
      </c>
      <c r="B7" s="24" t="str">
        <f>VLOOKUP(A7,[1]characters!$A:$C,3,FALSE)</f>
        <v>識徒 オセ</v>
      </c>
    </row>
    <row r="8" spans="1:2" x14ac:dyDescent="0.15">
      <c r="A8" s="23">
        <v>171</v>
      </c>
      <c r="B8" s="24" t="str">
        <f>VLOOKUP(A8,[1]characters!$A:$C,3,FALSE)</f>
        <v>精解の預知者 オセ</v>
      </c>
    </row>
    <row r="9" spans="1:2" x14ac:dyDescent="0.15">
      <c r="A9" s="23">
        <v>172</v>
      </c>
      <c r="B9" s="24" t="str">
        <f>VLOOKUP(A9,[1]characters!$A:$C,3,FALSE)</f>
        <v>フォルネウス</v>
      </c>
    </row>
    <row r="10" spans="1:2" x14ac:dyDescent="0.15">
      <c r="A10" s="23">
        <v>173</v>
      </c>
      <c r="B10" s="24" t="str">
        <f>VLOOKUP(A10,[1]characters!$A:$C,3,FALSE)</f>
        <v>公爵 フォルネウス</v>
      </c>
    </row>
    <row r="11" spans="1:2" x14ac:dyDescent="0.15">
      <c r="A11" s="23">
        <v>174</v>
      </c>
      <c r="B11" s="24" t="str">
        <f>VLOOKUP(A11,[1]characters!$A:$C,3,FALSE)</f>
        <v>偽愛の大公爵 フォルネウス</v>
      </c>
    </row>
    <row r="12" spans="1:2" x14ac:dyDescent="0.15">
      <c r="A12" s="23">
        <v>235</v>
      </c>
      <c r="B12" s="24" t="str">
        <f>VLOOKUP(A12,[1]characters!$A:$C,3,FALSE)</f>
        <v>イザナミ</v>
      </c>
    </row>
    <row r="13" spans="1:2" x14ac:dyDescent="0.15">
      <c r="A13" s="23">
        <v>236</v>
      </c>
      <c r="B13" s="24" t="str">
        <f>VLOOKUP(A13,[1]characters!$A:$C,3,FALSE)</f>
        <v>神産 イザナミ</v>
      </c>
    </row>
    <row r="14" spans="1:2" x14ac:dyDescent="0.15">
      <c r="A14" s="23">
        <v>237</v>
      </c>
      <c r="B14" s="24" t="str">
        <f>VLOOKUP(A14,[1]characters!$A:$C,3,FALSE)</f>
        <v>森羅万象の神母 イザナミ</v>
      </c>
    </row>
  </sheetData>
  <phoneticPr fontId="1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tables_7025100</vt:lpstr>
      <vt:lpstr>tables_7025101</vt:lpstr>
      <vt:lpstr>tables_7025102</vt:lpstr>
      <vt:lpstr>tables_7025103</vt:lpstr>
      <vt:lpstr>tables_7025104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2017-01-15T15:47:39Z</dcterms:modified>
</cp:coreProperties>
</file>