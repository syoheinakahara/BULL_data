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900" yWindow="460" windowWidth="24700" windowHeight="14640" tabRatio="943" activeTab="1"/>
  </bookViews>
  <sheets>
    <sheet name="Sheet1" sheetId="107" r:id="rId1"/>
    <sheet name="output" sheetId="103" r:id="rId2"/>
    <sheet name="tables_7300" sheetId="114" r:id="rId3"/>
    <sheet name="tables_7301" sheetId="115" r:id="rId4"/>
    <sheet name="tables_settle_7301" sheetId="116" r:id="rId5"/>
    <sheet name="gacha_bonus_tables" sheetId="98" r:id="rId6"/>
    <sheet name="R6追加前" sheetId="111" r:id="rId7"/>
    <sheet name="R6開放" sheetId="112" r:id="rId8"/>
  </sheets>
  <externalReferences>
    <externalReference r:id="rId9"/>
  </externalReferences>
  <definedNames>
    <definedName name="_xlnm._FilterDatabase" localSheetId="5" hidden="1">gacha_bonus_tables!$A$1:$F$1</definedName>
    <definedName name="_xlnm._FilterDatabase" localSheetId="2" hidden="1">tables_7300!$A$1:$V$4</definedName>
    <definedName name="_xlnm._FilterDatabase" localSheetId="3" hidden="1">tables_7301!$A$1:$V$4</definedName>
    <definedName name="_xlnm._FilterDatabase" localSheetId="4" hidden="1">tables_settle_7301!$A$1:$V$2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2" i="116" l="1"/>
  <c r="N2" i="116"/>
  <c r="M2" i="116"/>
  <c r="L2" i="116"/>
  <c r="K2" i="116"/>
  <c r="J2" i="116"/>
  <c r="I2" i="116"/>
  <c r="H2" i="116"/>
  <c r="F2" i="116"/>
  <c r="E2" i="116"/>
  <c r="D2" i="116"/>
  <c r="C2" i="116"/>
  <c r="P24" i="115"/>
  <c r="N24" i="115"/>
  <c r="M24" i="115"/>
  <c r="L24" i="115"/>
  <c r="K24" i="115"/>
  <c r="J24" i="115"/>
  <c r="I24" i="115"/>
  <c r="H24" i="115"/>
  <c r="F24" i="115"/>
  <c r="E24" i="115"/>
  <c r="D24" i="115"/>
  <c r="C24" i="115"/>
  <c r="P23" i="115"/>
  <c r="N23" i="115"/>
  <c r="M23" i="115"/>
  <c r="L23" i="115"/>
  <c r="K23" i="115"/>
  <c r="J23" i="115"/>
  <c r="I23" i="115"/>
  <c r="H23" i="115"/>
  <c r="F23" i="115"/>
  <c r="E23" i="115"/>
  <c r="D23" i="115"/>
  <c r="C23" i="115"/>
  <c r="P22" i="115"/>
  <c r="N22" i="115"/>
  <c r="M22" i="115"/>
  <c r="L22" i="115"/>
  <c r="K22" i="115"/>
  <c r="J22" i="115"/>
  <c r="I22" i="115"/>
  <c r="H22" i="115"/>
  <c r="F22" i="115"/>
  <c r="E22" i="115"/>
  <c r="D22" i="115"/>
  <c r="C22" i="115"/>
  <c r="P21" i="115"/>
  <c r="N21" i="115"/>
  <c r="M21" i="115"/>
  <c r="L21" i="115"/>
  <c r="K21" i="115"/>
  <c r="J21" i="115"/>
  <c r="I21" i="115"/>
  <c r="H21" i="115"/>
  <c r="F21" i="115"/>
  <c r="E21" i="115"/>
  <c r="D21" i="115"/>
  <c r="C21" i="115"/>
  <c r="P20" i="115"/>
  <c r="N20" i="115"/>
  <c r="M20" i="115"/>
  <c r="L20" i="115"/>
  <c r="K20" i="115"/>
  <c r="J20" i="115"/>
  <c r="I20" i="115"/>
  <c r="H20" i="115"/>
  <c r="F20" i="115"/>
  <c r="E20" i="115"/>
  <c r="D20" i="115"/>
  <c r="C20" i="115"/>
  <c r="P19" i="115"/>
  <c r="N19" i="115"/>
  <c r="M19" i="115"/>
  <c r="L19" i="115"/>
  <c r="K19" i="115"/>
  <c r="J19" i="115"/>
  <c r="I19" i="115"/>
  <c r="H19" i="115"/>
  <c r="F19" i="115"/>
  <c r="E19" i="115"/>
  <c r="D19" i="115"/>
  <c r="C19" i="115"/>
  <c r="P18" i="115"/>
  <c r="N18" i="115"/>
  <c r="M18" i="115"/>
  <c r="L18" i="115"/>
  <c r="K18" i="115"/>
  <c r="J18" i="115"/>
  <c r="I18" i="115"/>
  <c r="H18" i="115"/>
  <c r="F18" i="115"/>
  <c r="E18" i="115"/>
  <c r="D18" i="115"/>
  <c r="C18" i="115"/>
  <c r="P17" i="115"/>
  <c r="N17" i="115"/>
  <c r="M17" i="115"/>
  <c r="L17" i="115"/>
  <c r="K17" i="115"/>
  <c r="J17" i="115"/>
  <c r="I17" i="115"/>
  <c r="H17" i="115"/>
  <c r="F17" i="115"/>
  <c r="E17" i="115"/>
  <c r="D17" i="115"/>
  <c r="C17" i="115"/>
  <c r="P16" i="115"/>
  <c r="N16" i="115"/>
  <c r="M16" i="115"/>
  <c r="L16" i="115"/>
  <c r="K16" i="115"/>
  <c r="J16" i="115"/>
  <c r="I16" i="115"/>
  <c r="H16" i="115"/>
  <c r="F16" i="115"/>
  <c r="E16" i="115"/>
  <c r="D16" i="115"/>
  <c r="C16" i="115"/>
  <c r="P15" i="115"/>
  <c r="N15" i="115"/>
  <c r="M15" i="115"/>
  <c r="L15" i="115"/>
  <c r="K15" i="115"/>
  <c r="J15" i="115"/>
  <c r="I15" i="115"/>
  <c r="H15" i="115"/>
  <c r="F15" i="115"/>
  <c r="E15" i="115"/>
  <c r="D15" i="115"/>
  <c r="C15" i="115"/>
  <c r="P14" i="115"/>
  <c r="N14" i="115"/>
  <c r="M14" i="115"/>
  <c r="L14" i="115"/>
  <c r="K14" i="115"/>
  <c r="J14" i="115"/>
  <c r="I14" i="115"/>
  <c r="H14" i="115"/>
  <c r="F14" i="115"/>
  <c r="E14" i="115"/>
  <c r="D14" i="115"/>
  <c r="C14" i="115"/>
  <c r="P13" i="115"/>
  <c r="N13" i="115"/>
  <c r="M13" i="115"/>
  <c r="L13" i="115"/>
  <c r="K13" i="115"/>
  <c r="J13" i="115"/>
  <c r="I13" i="115"/>
  <c r="H13" i="115"/>
  <c r="F13" i="115"/>
  <c r="E13" i="115"/>
  <c r="D13" i="115"/>
  <c r="C13" i="115"/>
  <c r="P12" i="115"/>
  <c r="N12" i="115"/>
  <c r="M12" i="115"/>
  <c r="L12" i="115"/>
  <c r="K12" i="115"/>
  <c r="J12" i="115"/>
  <c r="I12" i="115"/>
  <c r="H12" i="115"/>
  <c r="F12" i="115"/>
  <c r="E12" i="115"/>
  <c r="D12" i="115"/>
  <c r="C12" i="115"/>
  <c r="P11" i="115"/>
  <c r="N11" i="115"/>
  <c r="M11" i="115"/>
  <c r="L11" i="115"/>
  <c r="K11" i="115"/>
  <c r="J11" i="115"/>
  <c r="I11" i="115"/>
  <c r="H11" i="115"/>
  <c r="F11" i="115"/>
  <c r="E11" i="115"/>
  <c r="D11" i="115"/>
  <c r="C11" i="115"/>
  <c r="P10" i="115"/>
  <c r="N10" i="115"/>
  <c r="M10" i="115"/>
  <c r="L10" i="115"/>
  <c r="K10" i="115"/>
  <c r="J10" i="115"/>
  <c r="I10" i="115"/>
  <c r="H10" i="115"/>
  <c r="F10" i="115"/>
  <c r="E10" i="115"/>
  <c r="D10" i="115"/>
  <c r="C10" i="115"/>
  <c r="P9" i="115"/>
  <c r="N9" i="115"/>
  <c r="M9" i="115"/>
  <c r="L9" i="115"/>
  <c r="K9" i="115"/>
  <c r="J9" i="115"/>
  <c r="I9" i="115"/>
  <c r="H9" i="115"/>
  <c r="F9" i="115"/>
  <c r="E9" i="115"/>
  <c r="D9" i="115"/>
  <c r="C9" i="115"/>
  <c r="P8" i="115"/>
  <c r="N8" i="115"/>
  <c r="M8" i="115"/>
  <c r="L8" i="115"/>
  <c r="K8" i="115"/>
  <c r="J8" i="115"/>
  <c r="I8" i="115"/>
  <c r="H8" i="115"/>
  <c r="F8" i="115"/>
  <c r="E8" i="115"/>
  <c r="D8" i="115"/>
  <c r="C8" i="115"/>
  <c r="P7" i="115"/>
  <c r="N7" i="115"/>
  <c r="M7" i="115"/>
  <c r="L7" i="115"/>
  <c r="K7" i="115"/>
  <c r="J7" i="115"/>
  <c r="I7" i="115"/>
  <c r="H7" i="115"/>
  <c r="F7" i="115"/>
  <c r="E7" i="115"/>
  <c r="D7" i="115"/>
  <c r="C7" i="115"/>
  <c r="P6" i="115"/>
  <c r="N6" i="115"/>
  <c r="M6" i="115"/>
  <c r="L6" i="115"/>
  <c r="K6" i="115"/>
  <c r="J6" i="115"/>
  <c r="I6" i="115"/>
  <c r="H6" i="115"/>
  <c r="F6" i="115"/>
  <c r="E6" i="115"/>
  <c r="D6" i="115"/>
  <c r="C6" i="115"/>
  <c r="P5" i="115"/>
  <c r="N5" i="115"/>
  <c r="M5" i="115"/>
  <c r="L5" i="115"/>
  <c r="K5" i="115"/>
  <c r="J5" i="115"/>
  <c r="I5" i="115"/>
  <c r="H5" i="115"/>
  <c r="F5" i="115"/>
  <c r="E5" i="115"/>
  <c r="D5" i="115"/>
  <c r="C5" i="115"/>
  <c r="P4" i="115"/>
  <c r="N4" i="115"/>
  <c r="M4" i="115"/>
  <c r="L4" i="115"/>
  <c r="K4" i="115"/>
  <c r="J4" i="115"/>
  <c r="I4" i="115"/>
  <c r="H4" i="115"/>
  <c r="F4" i="115"/>
  <c r="E4" i="115"/>
  <c r="D4" i="115"/>
  <c r="C4" i="115"/>
  <c r="P3" i="115"/>
  <c r="N3" i="115"/>
  <c r="M3" i="115"/>
  <c r="L3" i="115"/>
  <c r="K3" i="115"/>
  <c r="J3" i="115"/>
  <c r="I3" i="115"/>
  <c r="H3" i="115"/>
  <c r="F3" i="115"/>
  <c r="E3" i="115"/>
  <c r="D3" i="115"/>
  <c r="C3" i="115"/>
  <c r="P2" i="115"/>
  <c r="N2" i="115"/>
  <c r="M2" i="115"/>
  <c r="L2" i="115"/>
  <c r="K2" i="115"/>
  <c r="J2" i="115"/>
  <c r="I2" i="115"/>
  <c r="H2" i="115"/>
  <c r="F2" i="115"/>
  <c r="E2" i="115"/>
  <c r="D2" i="115"/>
  <c r="C2" i="115"/>
  <c r="P24" i="114"/>
  <c r="N24" i="114"/>
  <c r="M24" i="114"/>
  <c r="L24" i="114"/>
  <c r="K24" i="114"/>
  <c r="J24" i="114"/>
  <c r="I24" i="114"/>
  <c r="H24" i="114"/>
  <c r="F24" i="114"/>
  <c r="E24" i="114"/>
  <c r="D24" i="114"/>
  <c r="C24" i="114"/>
  <c r="P23" i="114"/>
  <c r="N23" i="114"/>
  <c r="M23" i="114"/>
  <c r="L23" i="114"/>
  <c r="K23" i="114"/>
  <c r="J23" i="114"/>
  <c r="I23" i="114"/>
  <c r="H23" i="114"/>
  <c r="F23" i="114"/>
  <c r="E23" i="114"/>
  <c r="D23" i="114"/>
  <c r="C23" i="114"/>
  <c r="P22" i="114"/>
  <c r="N22" i="114"/>
  <c r="M22" i="114"/>
  <c r="L22" i="114"/>
  <c r="K22" i="114"/>
  <c r="J22" i="114"/>
  <c r="I22" i="114"/>
  <c r="H22" i="114"/>
  <c r="F22" i="114"/>
  <c r="E22" i="114"/>
  <c r="D22" i="114"/>
  <c r="C22" i="114"/>
  <c r="P21" i="114"/>
  <c r="N21" i="114"/>
  <c r="M21" i="114"/>
  <c r="L21" i="114"/>
  <c r="K21" i="114"/>
  <c r="J21" i="114"/>
  <c r="I21" i="114"/>
  <c r="H21" i="114"/>
  <c r="F21" i="114"/>
  <c r="E21" i="114"/>
  <c r="D21" i="114"/>
  <c r="C21" i="114"/>
  <c r="P20" i="114"/>
  <c r="N20" i="114"/>
  <c r="M20" i="114"/>
  <c r="L20" i="114"/>
  <c r="K20" i="114"/>
  <c r="J20" i="114"/>
  <c r="I20" i="114"/>
  <c r="H20" i="114"/>
  <c r="F20" i="114"/>
  <c r="E20" i="114"/>
  <c r="D20" i="114"/>
  <c r="C20" i="114"/>
  <c r="P19" i="114"/>
  <c r="N19" i="114"/>
  <c r="M19" i="114"/>
  <c r="L19" i="114"/>
  <c r="K19" i="114"/>
  <c r="J19" i="114"/>
  <c r="I19" i="114"/>
  <c r="H19" i="114"/>
  <c r="F19" i="114"/>
  <c r="E19" i="114"/>
  <c r="D19" i="114"/>
  <c r="C19" i="114"/>
  <c r="I16" i="114"/>
  <c r="D16" i="114"/>
  <c r="J16" i="114"/>
  <c r="E16" i="114"/>
  <c r="F16" i="114"/>
  <c r="C16" i="114"/>
  <c r="H16" i="114"/>
  <c r="K16" i="114"/>
  <c r="L16" i="114"/>
  <c r="M16" i="114"/>
  <c r="N16" i="114"/>
  <c r="P16" i="114"/>
  <c r="I17" i="114"/>
  <c r="D17" i="114"/>
  <c r="J17" i="114"/>
  <c r="E17" i="114"/>
  <c r="F17" i="114"/>
  <c r="C17" i="114"/>
  <c r="H17" i="114"/>
  <c r="K17" i="114"/>
  <c r="L17" i="114"/>
  <c r="M17" i="114"/>
  <c r="N17" i="114"/>
  <c r="P17" i="114"/>
  <c r="I18" i="114"/>
  <c r="D18" i="114"/>
  <c r="J18" i="114"/>
  <c r="E18" i="114"/>
  <c r="F18" i="114"/>
  <c r="C18" i="114"/>
  <c r="H18" i="114"/>
  <c r="K18" i="114"/>
  <c r="L18" i="114"/>
  <c r="M18" i="114"/>
  <c r="N18" i="114"/>
  <c r="P18" i="114"/>
  <c r="P15" i="114"/>
  <c r="N15" i="114"/>
  <c r="M15" i="114"/>
  <c r="L15" i="114"/>
  <c r="K15" i="114"/>
  <c r="J15" i="114"/>
  <c r="I15" i="114"/>
  <c r="H15" i="114"/>
  <c r="F15" i="114"/>
  <c r="E15" i="114"/>
  <c r="D15" i="114"/>
  <c r="C15" i="114"/>
  <c r="P14" i="114"/>
  <c r="N14" i="114"/>
  <c r="M14" i="114"/>
  <c r="L14" i="114"/>
  <c r="K14" i="114"/>
  <c r="J14" i="114"/>
  <c r="I14" i="114"/>
  <c r="H14" i="114"/>
  <c r="F14" i="114"/>
  <c r="E14" i="114"/>
  <c r="D14" i="114"/>
  <c r="C14" i="114"/>
  <c r="P13" i="114"/>
  <c r="N13" i="114"/>
  <c r="M13" i="114"/>
  <c r="L13" i="114"/>
  <c r="K13" i="114"/>
  <c r="J13" i="114"/>
  <c r="I13" i="114"/>
  <c r="H13" i="114"/>
  <c r="F13" i="114"/>
  <c r="E13" i="114"/>
  <c r="D13" i="114"/>
  <c r="C13" i="114"/>
  <c r="P12" i="114"/>
  <c r="N12" i="114"/>
  <c r="M12" i="114"/>
  <c r="L12" i="114"/>
  <c r="K12" i="114"/>
  <c r="J12" i="114"/>
  <c r="I12" i="114"/>
  <c r="H12" i="114"/>
  <c r="F12" i="114"/>
  <c r="E12" i="114"/>
  <c r="D12" i="114"/>
  <c r="C12" i="114"/>
  <c r="P11" i="114"/>
  <c r="N11" i="114"/>
  <c r="M11" i="114"/>
  <c r="L11" i="114"/>
  <c r="K11" i="114"/>
  <c r="J11" i="114"/>
  <c r="I11" i="114"/>
  <c r="H11" i="114"/>
  <c r="F11" i="114"/>
  <c r="E11" i="114"/>
  <c r="D11" i="114"/>
  <c r="C11" i="114"/>
  <c r="P10" i="114"/>
  <c r="N10" i="114"/>
  <c r="M10" i="114"/>
  <c r="L10" i="114"/>
  <c r="K10" i="114"/>
  <c r="J10" i="114"/>
  <c r="I10" i="114"/>
  <c r="H10" i="114"/>
  <c r="F10" i="114"/>
  <c r="E10" i="114"/>
  <c r="D10" i="114"/>
  <c r="C10" i="114"/>
  <c r="P9" i="114"/>
  <c r="N9" i="114"/>
  <c r="M9" i="114"/>
  <c r="L9" i="114"/>
  <c r="K9" i="114"/>
  <c r="J9" i="114"/>
  <c r="I9" i="114"/>
  <c r="H9" i="114"/>
  <c r="F9" i="114"/>
  <c r="E9" i="114"/>
  <c r="D9" i="114"/>
  <c r="C9" i="114"/>
  <c r="P8" i="114"/>
  <c r="N8" i="114"/>
  <c r="M8" i="114"/>
  <c r="L8" i="114"/>
  <c r="K8" i="114"/>
  <c r="J8" i="114"/>
  <c r="I8" i="114"/>
  <c r="H8" i="114"/>
  <c r="F8" i="114"/>
  <c r="E8" i="114"/>
  <c r="D8" i="114"/>
  <c r="C8" i="114"/>
  <c r="I5" i="114"/>
  <c r="D5" i="114"/>
  <c r="J5" i="114"/>
  <c r="E5" i="114"/>
  <c r="F5" i="114"/>
  <c r="C5" i="114"/>
  <c r="H5" i="114"/>
  <c r="K5" i="114"/>
  <c r="L5" i="114"/>
  <c r="M5" i="114"/>
  <c r="N5" i="114"/>
  <c r="P5" i="114"/>
  <c r="I6" i="114"/>
  <c r="D6" i="114"/>
  <c r="J6" i="114"/>
  <c r="E6" i="114"/>
  <c r="F6" i="114"/>
  <c r="C6" i="114"/>
  <c r="H6" i="114"/>
  <c r="K6" i="114"/>
  <c r="L6" i="114"/>
  <c r="M6" i="114"/>
  <c r="N6" i="114"/>
  <c r="P6" i="114"/>
  <c r="I7" i="114"/>
  <c r="D7" i="114"/>
  <c r="J7" i="114"/>
  <c r="E7" i="114"/>
  <c r="F7" i="114"/>
  <c r="C7" i="114"/>
  <c r="H7" i="114"/>
  <c r="K7" i="114"/>
  <c r="L7" i="114"/>
  <c r="M7" i="114"/>
  <c r="N7" i="114"/>
  <c r="P7" i="114"/>
  <c r="E4" i="103"/>
  <c r="E3" i="103"/>
  <c r="J4" i="114"/>
  <c r="I2" i="114"/>
  <c r="D2" i="114"/>
  <c r="J2" i="114"/>
  <c r="E2" i="114"/>
  <c r="F2" i="114"/>
  <c r="C2" i="114"/>
  <c r="I3" i="114"/>
  <c r="D3" i="114"/>
  <c r="J3" i="114"/>
  <c r="E3" i="114"/>
  <c r="F3" i="114"/>
  <c r="C3" i="114"/>
  <c r="I4" i="114"/>
  <c r="D4" i="114"/>
  <c r="E4" i="114"/>
  <c r="F4" i="114"/>
  <c r="C4" i="114"/>
  <c r="P4" i="114"/>
  <c r="N4" i="114"/>
  <c r="M4" i="114"/>
  <c r="L4" i="114"/>
  <c r="K4" i="114"/>
  <c r="H4" i="114"/>
  <c r="P3" i="114"/>
  <c r="N3" i="114"/>
  <c r="M3" i="114"/>
  <c r="L3" i="114"/>
  <c r="K3" i="114"/>
  <c r="H3" i="114"/>
  <c r="P2" i="114"/>
  <c r="N2" i="114"/>
  <c r="M2" i="114"/>
  <c r="L2" i="114"/>
  <c r="K2" i="114"/>
  <c r="H2" i="114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E7" i="103"/>
  <c r="E6" i="103"/>
  <c r="E5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<sst xmlns="http://schemas.openxmlformats.org/spreadsheetml/2006/main" count="177" uniqueCount="86">
  <si>
    <t>character_id</t>
  </si>
  <si>
    <t>character_id</t>
    <phoneticPr fontId="17"/>
  </si>
  <si>
    <t>weight</t>
    <phoneticPr fontId="17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</si>
  <si>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</si>
  <si>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</si>
  <si>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</si>
  <si>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</si>
  <si>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</si>
  <si>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</si>
  <si>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</si>
  <si>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7"/>
  </si>
  <si>
    <t>bonus_table_no</t>
    <phoneticPr fontId="17"/>
  </si>
  <si>
    <t>weight</t>
    <phoneticPr fontId="17"/>
  </si>
  <si>
    <t>gift_id</t>
    <phoneticPr fontId="17"/>
  </si>
  <si>
    <t>gift_id</t>
    <phoneticPr fontId="17"/>
  </si>
  <si>
    <t>gift_type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</si>
  <si>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</si>
  <si>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</si>
  <si>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</si>
  <si>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</si>
  <si>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</si>
  <si>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</si>
  <si>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gift_id</t>
    <phoneticPr fontId="17"/>
  </si>
  <si>
    <t>gift_value</t>
    <phoneticPr fontId="17"/>
  </si>
  <si>
    <t>gift_value</t>
    <phoneticPr fontId="17"/>
  </si>
  <si>
    <t>gift_count</t>
    <phoneticPr fontId="17"/>
  </si>
  <si>
    <t>language</t>
    <phoneticPr fontId="17"/>
  </si>
  <si>
    <t>title</t>
    <phoneticPr fontId="17"/>
  </si>
  <si>
    <t>detail</t>
    <phoneticPr fontId="17"/>
  </si>
  <si>
    <t>message</t>
    <phoneticPr fontId="17"/>
  </si>
  <si>
    <t>gift_type</t>
    <phoneticPr fontId="17"/>
  </si>
  <si>
    <t>備考</t>
    <rPh sb="0" eb="2">
      <t>ビコウ</t>
    </rPh>
    <phoneticPr fontId="17"/>
  </si>
  <si>
    <t>character_id</t>
    <phoneticPr fontId="17"/>
  </si>
  <si>
    <t>name</t>
    <phoneticPr fontId="17"/>
  </si>
  <si>
    <t>drop_label</t>
    <phoneticPr fontId="17"/>
  </si>
  <si>
    <t>rare</t>
    <phoneticPr fontId="17"/>
  </si>
  <si>
    <t>character_type_id</t>
    <phoneticPr fontId="17"/>
  </si>
  <si>
    <t>character_tribe_id</t>
    <phoneticPr fontId="17"/>
  </si>
  <si>
    <t>unit_level</t>
    <phoneticPr fontId="17"/>
  </si>
  <si>
    <t>weight</t>
    <phoneticPr fontId="17"/>
  </si>
  <si>
    <t>接頭語</t>
    <rPh sb="0" eb="3">
      <t>セットウゴ</t>
    </rPh>
    <phoneticPr fontId="50"/>
  </si>
  <si>
    <t>識別子</t>
    <rPh sb="0" eb="3">
      <t>シキベツシ</t>
    </rPh>
    <phoneticPr fontId="50"/>
  </si>
  <si>
    <t>形式</t>
    <rPh sb="0" eb="2">
      <t>ケイシキ</t>
    </rPh>
    <phoneticPr fontId="50"/>
  </si>
  <si>
    <t>出力ファイル名</t>
    <rPh sb="0" eb="2">
      <t>シュツリョク</t>
    </rPh>
    <rPh sb="6" eb="7">
      <t>メイ</t>
    </rPh>
    <phoneticPr fontId="50"/>
  </si>
  <si>
    <t>入力シート名</t>
    <rPh sb="0" eb="2">
      <t>ニュウリョク</t>
    </rPh>
    <rPh sb="5" eb="6">
      <t>メイ</t>
    </rPh>
    <phoneticPr fontId="50"/>
  </si>
  <si>
    <t>出力データ</t>
    <rPh sb="0" eb="2">
      <t>シュツリョク</t>
    </rPh>
    <phoneticPr fontId="50"/>
  </si>
  <si>
    <t>.tmp</t>
    <phoneticPr fontId="50"/>
  </si>
  <si>
    <t>.tmp</t>
    <phoneticPr fontId="50"/>
  </si>
  <si>
    <t>gacha_bonus_tables</t>
    <phoneticPr fontId="50"/>
  </si>
  <si>
    <t>gifts_tmp_</t>
    <phoneticPr fontId="17"/>
  </si>
  <si>
    <t>gifts_i18n_</t>
    <phoneticPr fontId="17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</si>
  <si>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7"/>
  </si>
  <si>
    <t>出力flg</t>
    <rPh sb="0" eb="2">
      <t>シュツリョク</t>
    </rPh>
    <phoneticPr fontId="50"/>
  </si>
  <si>
    <t>color</t>
    <phoneticPr fontId="17"/>
  </si>
  <si>
    <t>skip</t>
    <phoneticPr fontId="17"/>
  </si>
  <si>
    <t>hogehoge</t>
    <phoneticPr fontId="17"/>
  </si>
  <si>
    <t>性別</t>
    <rPh sb="0" eb="2">
      <t>セイベツ</t>
    </rPh>
    <phoneticPr fontId="17"/>
  </si>
  <si>
    <t>ピックアップ確率</t>
    <rPh sb="6" eb="8">
      <t>カクリツ</t>
    </rPh>
    <phoneticPr fontId="17"/>
  </si>
  <si>
    <t>確率</t>
    <rPh sb="0" eb="2">
      <t>カクリツ</t>
    </rPh>
    <phoneticPr fontId="17"/>
  </si>
  <si>
    <t>名前</t>
    <rPh sb="0" eb="2">
      <t>ナマエ</t>
    </rPh>
    <phoneticPr fontId="17"/>
  </si>
  <si>
    <t>テーブルを増やしたい場合</t>
    <rPh sb="5" eb="6">
      <t>フ</t>
    </rPh>
    <rPh sb="10" eb="12">
      <t>バアイ</t>
    </rPh>
    <phoneticPr fontId="17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</si>
  <si>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7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</si>
  <si>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7"/>
  </si>
  <si>
    <t>３．outputシートで２で作ったtablesを指定する</t>
    <rPh sb="14" eb="15">
      <t>ツク</t>
    </rPh>
    <rPh sb="24" eb="26">
      <t>シテイ</t>
    </rPh>
    <phoneticPr fontId="17"/>
  </si>
  <si>
    <t>table_no</t>
    <phoneticPr fontId="17"/>
  </si>
  <si>
    <t>table_no</t>
    <phoneticPr fontId="17"/>
  </si>
  <si>
    <t>skill_level</t>
  </si>
  <si>
    <t>level</t>
  </si>
  <si>
    <t>hp_plus</t>
    <phoneticPr fontId="50"/>
  </si>
  <si>
    <t>attack_plus</t>
    <phoneticPr fontId="50"/>
  </si>
  <si>
    <t>heal_plus</t>
    <phoneticPr fontId="50"/>
  </si>
  <si>
    <t>defense_plus</t>
    <phoneticPr fontId="50"/>
  </si>
  <si>
    <t>level</t>
    <phoneticPr fontId="50"/>
  </si>
  <si>
    <t>skill_level</t>
    <phoneticPr fontId="50"/>
  </si>
  <si>
    <t>bug</t>
    <phoneticPr fontId="50"/>
  </si>
  <si>
    <t>ja</t>
    <phoneticPr fontId="17"/>
  </si>
  <si>
    <t>drop_label2</t>
    <phoneticPr fontId="17"/>
  </si>
  <si>
    <t>color2</t>
    <phoneticPr fontId="17"/>
  </si>
  <si>
    <t>gacha_select_tables_</t>
    <phoneticPr fontId="17"/>
  </si>
  <si>
    <t>R6境界前後</t>
    <rPh sb="2" eb="4">
      <t>キョウカイ</t>
    </rPh>
    <rPh sb="4" eb="6">
      <t>ゼンゴ</t>
    </rPh>
    <phoneticPr fontId="17"/>
  </si>
  <si>
    <t>R6事後開放N,S</t>
    <rPh sb="2" eb="6">
      <t>ジゴカイホウ</t>
    </rPh>
    <phoneticPr fontId="17"/>
  </si>
  <si>
    <t>old</t>
    <phoneticPr fontId="17"/>
  </si>
  <si>
    <t>tables_7300</t>
    <phoneticPr fontId="17"/>
  </si>
  <si>
    <t>gacha_settle_tables_</t>
    <phoneticPr fontId="17"/>
  </si>
  <si>
    <t>tables_settle_7301</t>
    <phoneticPr fontId="17"/>
  </si>
  <si>
    <t>tables_7301</t>
    <phoneticPr fontId="1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</si>
</sst>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53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663">
    <xf numFmtId="0" fontId="0" fillId="0" borderId="0"/>
    <xf numFmtId="0" fontId="16" fillId="0" borderId="0"/>
    <xf numFmtId="0" fontId="20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5" fillId="0" borderId="0"/>
    <xf numFmtId="0" fontId="27" fillId="5" borderId="2" applyNumberFormat="0" applyAlignment="0" applyProtection="0"/>
    <xf numFmtId="0" fontId="28" fillId="6" borderId="0" applyNumberFormat="0" applyBorder="0" applyAlignment="0" applyProtection="0"/>
    <xf numFmtId="0" fontId="29" fillId="7" borderId="3" applyNumberFormat="0" applyAlignment="0" applyProtection="0"/>
    <xf numFmtId="0" fontId="30" fillId="0" borderId="0" applyNumberFormat="0" applyFill="0" applyBorder="0" applyAlignment="0" applyProtection="0"/>
    <xf numFmtId="0" fontId="31" fillId="8" borderId="0" applyNumberFormat="0" applyBorder="0" applyAlignment="0" applyProtection="0"/>
    <xf numFmtId="0" fontId="32" fillId="9" borderId="4" applyNumberFormat="0" applyAlignment="0" applyProtection="0"/>
    <xf numFmtId="0" fontId="33" fillId="0" borderId="0" applyNumberFormat="0" applyFill="0" applyBorder="0" applyAlignment="0" applyProtection="0"/>
    <xf numFmtId="0" fontId="34" fillId="0" borderId="5" applyNumberFormat="0" applyFill="0" applyAlignment="0" applyProtection="0"/>
    <xf numFmtId="0" fontId="35" fillId="0" borderId="6" applyNumberFormat="0" applyFill="0" applyAlignment="0" applyProtection="0"/>
    <xf numFmtId="0" fontId="36" fillId="0" borderId="7" applyNumberFormat="0" applyFill="0" applyAlignment="0" applyProtection="0"/>
    <xf numFmtId="0" fontId="36" fillId="0" borderId="0" applyNumberFormat="0" applyFill="0" applyBorder="0" applyAlignment="0" applyProtection="0"/>
    <xf numFmtId="0" fontId="37" fillId="7" borderId="0" applyNumberFormat="0" applyBorder="0" applyAlignment="0" applyProtection="0"/>
    <xf numFmtId="0" fontId="37" fillId="6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1" borderId="0" applyNumberFormat="0" applyBorder="0" applyAlignment="0" applyProtection="0"/>
    <xf numFmtId="0" fontId="37" fillId="5" borderId="0" applyNumberFormat="0" applyBorder="0" applyAlignment="0" applyProtection="0"/>
    <xf numFmtId="0" fontId="37" fillId="7" borderId="0" applyNumberFormat="0" applyBorder="0" applyAlignment="0" applyProtection="0"/>
    <xf numFmtId="0" fontId="37" fillId="12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3" borderId="0" applyNumberFormat="0" applyBorder="0" applyAlignment="0" applyProtection="0"/>
    <xf numFmtId="0" fontId="37" fillId="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4" borderId="0" applyNumberFormat="0" applyBorder="0" applyAlignment="0" applyProtection="0"/>
    <xf numFmtId="0" fontId="38" fillId="6" borderId="0" applyNumberFormat="0" applyBorder="0" applyAlignment="0" applyProtection="0"/>
    <xf numFmtId="0" fontId="30" fillId="0" borderId="0" applyNumberFormat="0" applyFill="0" applyBorder="0" applyAlignment="0" applyProtection="0"/>
    <xf numFmtId="0" fontId="38" fillId="14" borderId="0" applyNumberFormat="0" applyBorder="0" applyAlignment="0" applyProtection="0"/>
    <xf numFmtId="0" fontId="38" fillId="15" borderId="0" applyNumberFormat="0" applyBorder="0" applyAlignment="0" applyProtection="0"/>
    <xf numFmtId="0" fontId="38" fillId="10" borderId="0" applyNumberFormat="0" applyBorder="0" applyAlignment="0" applyProtection="0"/>
    <xf numFmtId="0" fontId="38" fillId="16" borderId="0" applyNumberFormat="0" applyBorder="0" applyAlignment="0" applyProtection="0"/>
    <xf numFmtId="0" fontId="38" fillId="14" borderId="0" applyNumberFormat="0" applyBorder="0" applyAlignment="0" applyProtection="0"/>
    <xf numFmtId="0" fontId="38" fillId="12" borderId="0" applyNumberFormat="0" applyBorder="0" applyAlignment="0" applyProtection="0"/>
    <xf numFmtId="0" fontId="39" fillId="17" borderId="0" applyNumberFormat="0" applyBorder="0" applyAlignment="0" applyProtection="0"/>
    <xf numFmtId="0" fontId="28" fillId="6" borderId="0" applyNumberFormat="0" applyBorder="0" applyAlignment="0" applyProtection="0"/>
    <xf numFmtId="0" fontId="40" fillId="0" borderId="8" applyNumberFormat="0" applyFill="0" applyAlignment="0" applyProtection="0"/>
    <xf numFmtId="0" fontId="41" fillId="7" borderId="9" applyNumberFormat="0" applyAlignment="0" applyProtection="0"/>
    <xf numFmtId="0" fontId="41" fillId="18" borderId="9" applyNumberFormat="0" applyAlignment="0" applyProtection="0"/>
    <xf numFmtId="0" fontId="29" fillId="6" borderId="3" applyNumberFormat="0" applyAlignment="0" applyProtection="0"/>
    <xf numFmtId="0" fontId="42" fillId="0" borderId="10" applyNumberFormat="0" applyFill="0" applyAlignment="0" applyProtection="0"/>
    <xf numFmtId="0" fontId="43" fillId="18" borderId="3" applyNumberFormat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11" applyNumberFormat="0" applyFill="0" applyAlignment="0" applyProtection="0"/>
    <xf numFmtId="38" fontId="15" fillId="0" borderId="0" applyFont="0" applyFill="0" applyBorder="0" applyAlignment="0" applyProtection="0">
      <alignment vertical="center"/>
    </xf>
    <xf numFmtId="0" fontId="46" fillId="19" borderId="0" applyNumberFormat="0" applyBorder="0" applyAlignment="0" applyProtection="0"/>
    <xf numFmtId="0" fontId="47" fillId="20" borderId="0" applyNumberFormat="0" applyBorder="0" applyAlignment="0" applyProtection="0"/>
    <xf numFmtId="0" fontId="15" fillId="0" borderId="0"/>
    <xf numFmtId="0" fontId="48" fillId="20" borderId="0" applyNumberFormat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0" fillId="0" borderId="0"/>
    <xf numFmtId="0" fontId="51" fillId="0" borderId="0">
      <alignment vertical="center"/>
    </xf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8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9" fontId="52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" fillId="0" borderId="0"/>
  </cellStyleXfs>
  <cellXfs count="46">
    <xf numFmtId="0" fontId="0" fillId="0" borderId="0" xfId="0"/>
    <xf numFmtId="0" fontId="22" fillId="0" borderId="0" xfId="2" applyFont="1" applyAlignment="1">
      <alignment vertical="center"/>
    </xf>
    <xf numFmtId="0" fontId="22" fillId="0" borderId="1" xfId="2" applyFont="1" applyBorder="1" applyAlignment="1">
      <alignment vertical="center"/>
    </xf>
    <xf numFmtId="0" fontId="22" fillId="3" borderId="1" xfId="2" applyFont="1" applyFill="1" applyBorder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2" fillId="4" borderId="1" xfId="2" applyFont="1" applyFill="1" applyBorder="1" applyAlignment="1">
      <alignment vertical="center"/>
    </xf>
    <xf numFmtId="0" fontId="21" fillId="4" borderId="1" xfId="0" applyFont="1" applyFill="1" applyBorder="1" applyAlignment="1">
      <alignment horizontal="right" vertical="center"/>
    </xf>
    <xf numFmtId="0" fontId="22" fillId="3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vertical="center"/>
    </xf>
    <xf numFmtId="0" fontId="21" fillId="4" borderId="12" xfId="0" applyFont="1" applyFill="1" applyBorder="1" applyAlignment="1">
      <alignment horizontal="right" vertical="center"/>
    </xf>
    <xf numFmtId="0" fontId="21" fillId="4" borderId="13" xfId="0" applyFont="1" applyFill="1" applyBorder="1" applyAlignment="1">
      <alignment horizontal="right" vertical="center"/>
    </xf>
    <xf numFmtId="0" fontId="22" fillId="2" borderId="1" xfId="2" applyFont="1" applyFill="1" applyBorder="1" applyAlignment="1">
      <alignment horizontal="left" vertical="center"/>
    </xf>
    <xf numFmtId="0" fontId="49" fillId="21" borderId="1" xfId="0" applyFont="1" applyFill="1" applyBorder="1" applyAlignment="1">
      <alignment horizontal="left" vertical="center"/>
    </xf>
    <xf numFmtId="0" fontId="22" fillId="2" borderId="1" xfId="2" applyFont="1" applyFill="1" applyBorder="1" applyAlignment="1">
      <alignment horizontal="center" vertical="center"/>
    </xf>
    <xf numFmtId="0" fontId="24" fillId="22" borderId="1" xfId="2978" applyFont="1" applyFill="1" applyBorder="1"/>
    <xf numFmtId="0" fontId="10" fillId="22" borderId="1" xfId="2978" applyFill="1" applyBorder="1"/>
    <xf numFmtId="0" fontId="10" fillId="0" borderId="0" xfId="2978"/>
    <xf numFmtId="0" fontId="10" fillId="0" borderId="1" xfId="2978" applyBorder="1"/>
    <xf numFmtId="0" fontId="10" fillId="2" borderId="1" xfId="2978" applyFill="1" applyBorder="1"/>
    <xf numFmtId="0" fontId="14" fillId="2" borderId="1" xfId="19" applyFont="1" applyFill="1" applyBorder="1"/>
    <xf numFmtId="0" fontId="15" fillId="2" borderId="1" xfId="19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2" fillId="2" borderId="1" xfId="19" applyFont="1" applyFill="1" applyBorder="1"/>
    <xf numFmtId="0" fontId="10" fillId="2" borderId="1" xfId="19" applyFont="1" applyFill="1" applyBorder="1"/>
    <xf numFmtId="0" fontId="9" fillId="0" borderId="1" xfId="2978" applyFont="1" applyBorder="1"/>
    <xf numFmtId="0" fontId="24" fillId="22" borderId="1" xfId="0" applyFont="1" applyFill="1" applyBorder="1"/>
    <xf numFmtId="0" fontId="49" fillId="23" borderId="1" xfId="0" applyFont="1" applyFill="1" applyBorder="1" applyAlignment="1">
      <alignment horizontal="center" vertical="center"/>
    </xf>
    <xf numFmtId="0" fontId="49" fillId="3" borderId="1" xfId="0" applyFont="1" applyFill="1" applyBorder="1" applyAlignment="1">
      <alignment vertical="center"/>
    </xf>
    <xf numFmtId="0" fontId="7" fillId="0" borderId="1" xfId="3036" applyFont="1" applyBorder="1"/>
    <xf numFmtId="0" fontId="6" fillId="0" borderId="1" xfId="2978" applyFont="1" applyBorder="1"/>
    <xf numFmtId="0" fontId="0" fillId="0" borderId="1" xfId="0" applyBorder="1"/>
    <xf numFmtId="0" fontId="0" fillId="3" borderId="1" xfId="0" applyFill="1" applyBorder="1"/>
    <xf numFmtId="0" fontId="0" fillId="25" borderId="0" xfId="0" applyFill="1"/>
    <xf numFmtId="0" fontId="0" fillId="26" borderId="1" xfId="0" applyFill="1" applyBorder="1"/>
    <xf numFmtId="176" fontId="0" fillId="26" borderId="1" xfId="3575" applyNumberFormat="1" applyFont="1" applyFill="1" applyBorder="1"/>
    <xf numFmtId="0" fontId="5" fillId="2" borderId="1" xfId="19" applyFont="1" applyFill="1" applyBorder="1"/>
    <xf numFmtId="0" fontId="5" fillId="4" borderId="1" xfId="2978" applyFont="1" applyFill="1" applyBorder="1"/>
    <xf numFmtId="0" fontId="0" fillId="2" borderId="0" xfId="0" applyFill="1"/>
    <xf numFmtId="0" fontId="49" fillId="27" borderId="1" xfId="0" applyFont="1" applyFill="1" applyBorder="1" applyAlignment="1">
      <alignment horizontal="left" vertical="center"/>
    </xf>
    <xf numFmtId="0" fontId="22" fillId="24" borderId="1" xfId="2" applyFont="1" applyFill="1" applyBorder="1" applyAlignment="1">
      <alignment horizontal="left" vertical="center"/>
    </xf>
    <xf numFmtId="0" fontId="21" fillId="24" borderId="1" xfId="0" applyFont="1" applyFill="1" applyBorder="1" applyAlignment="1">
      <alignment horizontal="right" vertical="center"/>
    </xf>
    <xf numFmtId="0" fontId="4" fillId="0" borderId="1" xfId="2978" applyFont="1" applyBorder="1"/>
    <xf numFmtId="0" fontId="3" fillId="0" borderId="1" xfId="3036" applyFont="1" applyBorder="1"/>
    <xf numFmtId="0" fontId="2" fillId="4" borderId="1" xfId="2978" applyFont="1" applyFill="1" applyBorder="1"/>
    <xf numFmtId="0" fontId="2" fillId="0" borderId="1" xfId="2978" applyFont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未定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未定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テスラR6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DropWizN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キグナス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</v>
          </cell>
          <cell r="K1115" t="str">
            <v>technical</v>
          </cell>
          <cell r="L1115" t="str">
            <v>テクニカルタイプ</v>
          </cell>
          <cell r="M1115" t="str">
            <v>animal</v>
          </cell>
        </row>
        <row r="1116">
          <cell r="A1116">
            <v>1115</v>
          </cell>
          <cell r="B1116" t="str">
            <v>ja</v>
          </cell>
          <cell r="C1116" t="str">
            <v>幻夜の純白鳥 キグナス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</v>
          </cell>
          <cell r="K1116" t="str">
            <v>technical</v>
          </cell>
          <cell r="L1116" t="str">
            <v>テクニカルタイプ</v>
          </cell>
          <cell r="M1116" t="str">
            <v>animal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1179</v>
          </cell>
          <cell r="B1146" t="str">
            <v>ja</v>
          </cell>
          <cell r="C1146" t="str">
            <v>厳核なる巨大炉 ハイゼンベルク</v>
          </cell>
          <cell r="D1146" t="str">
            <v>各属性相性良3・黄・R558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green</v>
          </cell>
          <cell r="I1146">
            <v>6</v>
          </cell>
          <cell r="J1146" t="str">
            <v>PremiumSSS</v>
          </cell>
          <cell r="K1146" t="str">
            <v>attack</v>
          </cell>
          <cell r="L1146" t="str">
            <v>攻撃タイプ</v>
          </cell>
          <cell r="M1146" t="str">
            <v>academia</v>
          </cell>
        </row>
        <row r="1147">
          <cell r="A1147">
            <v>1185</v>
          </cell>
          <cell r="B1147" t="str">
            <v>ja</v>
          </cell>
          <cell r="C1147" t="str">
            <v>兆銀河団の星観者 ハーシェル</v>
          </cell>
          <cell r="D1147" t="str">
            <v>超覚醒ハーシェル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6</v>
          </cell>
          <cell r="J1147" t="str">
            <v>PremiumSSS</v>
          </cell>
          <cell r="K1147" t="str">
            <v>heal</v>
          </cell>
          <cell r="L1147" t="str">
            <v>回復タイプ</v>
          </cell>
          <cell r="M1147" t="str">
            <v>academia</v>
          </cell>
        </row>
        <row r="1148">
          <cell r="A1148">
            <v>6001</v>
          </cell>
          <cell r="B1148" t="str">
            <v>ja</v>
          </cell>
          <cell r="C1148" t="str">
            <v>ジェリー</v>
          </cell>
          <cell r="D1148" t="str">
            <v>ノーマルクエスト</v>
          </cell>
          <cell r="E1148" t="str">
            <v>QoH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1</v>
          </cell>
          <cell r="J1148" t="str">
            <v>Drop1T</v>
          </cell>
          <cell r="K1148" t="str">
            <v>ra</v>
          </cell>
          <cell r="L1148" t="str">
            <v>ラグランジュチャレンジ</v>
          </cell>
          <cell r="M1148" t="str">
            <v>unknown</v>
          </cell>
        </row>
        <row r="1149">
          <cell r="A1149">
            <v>6002</v>
          </cell>
          <cell r="B1149" t="str">
            <v>ja</v>
          </cell>
          <cell r="C1149" t="str">
            <v>ヨシタカ</v>
          </cell>
          <cell r="D1149" t="str">
            <v>ノーマルクエスト</v>
          </cell>
          <cell r="E1149" t="str">
            <v>アバター</v>
          </cell>
          <cell r="F1149" t="str">
            <v>世界観</v>
          </cell>
          <cell r="G1149" t="str">
            <v>男性</v>
          </cell>
          <cell r="H1149" t="str">
            <v>red</v>
          </cell>
          <cell r="I1149">
            <v>2</v>
          </cell>
          <cell r="J1149" t="str">
            <v>Drop1N</v>
          </cell>
          <cell r="K1149" t="str">
            <v>ra</v>
          </cell>
          <cell r="L1149" t="str">
            <v>ラグランジュチャレンジ</v>
          </cell>
          <cell r="M1149" t="str">
            <v>human</v>
          </cell>
        </row>
        <row r="1150">
          <cell r="A1150">
            <v>6003</v>
          </cell>
          <cell r="B1150" t="str">
            <v>ja</v>
          </cell>
          <cell r="C1150" t="str">
            <v>朱雀</v>
          </cell>
          <cell r="D1150" t="str">
            <v>リンクガチャ:4神</v>
          </cell>
          <cell r="E1150" t="str">
            <v>守護神</v>
          </cell>
          <cell r="F1150" t="str">
            <v>格好いい</v>
          </cell>
          <cell r="G1150" t="str">
            <v>不明</v>
          </cell>
          <cell r="H1150" t="str">
            <v>red</v>
          </cell>
          <cell r="I1150">
            <v>3</v>
          </cell>
          <cell r="J1150" t="str">
            <v>Drop2N</v>
          </cell>
          <cell r="K1150" t="str">
            <v>ra</v>
          </cell>
          <cell r="L1150" t="str">
            <v>ラグランジュチャレンジ</v>
          </cell>
          <cell r="M1150" t="str">
            <v>animal</v>
          </cell>
        </row>
        <row r="1151">
          <cell r="A1151">
            <v>6004</v>
          </cell>
          <cell r="B1151" t="str">
            <v>ja</v>
          </cell>
          <cell r="C1151" t="str">
            <v>ブレット</v>
          </cell>
          <cell r="D1151" t="str">
            <v>ノーマルクエスト</v>
          </cell>
          <cell r="E1151" t="str">
            <v>アバター</v>
          </cell>
          <cell r="F1151" t="str">
            <v>世界観</v>
          </cell>
          <cell r="G1151" t="str">
            <v>不明</v>
          </cell>
          <cell r="H1151" t="str">
            <v>red</v>
          </cell>
          <cell r="I1151">
            <v>1</v>
          </cell>
          <cell r="J1151" t="str">
            <v>Drop1W</v>
          </cell>
          <cell r="K1151" t="str">
            <v>ra</v>
          </cell>
          <cell r="L1151" t="str">
            <v>ラグランジュチャレンジ</v>
          </cell>
          <cell r="M1151" t="str">
            <v>animal</v>
          </cell>
        </row>
        <row r="1152">
          <cell r="A1152">
            <v>6005</v>
          </cell>
          <cell r="B1152" t="str">
            <v>ja</v>
          </cell>
          <cell r="C1152" t="str">
            <v>孤神 テティス</v>
          </cell>
          <cell r="D1152" t="str">
            <v>初期ガチャ</v>
          </cell>
          <cell r="E1152" t="str">
            <v>管理者</v>
          </cell>
          <cell r="F1152" t="str">
            <v>美しい</v>
          </cell>
          <cell r="G1152" t="str">
            <v>女性</v>
          </cell>
          <cell r="H1152" t="str">
            <v>blue</v>
          </cell>
          <cell r="I1152">
            <v>4</v>
          </cell>
          <cell r="J1152" t="str">
            <v>PremiumN</v>
          </cell>
          <cell r="K1152" t="str">
            <v>ra</v>
          </cell>
          <cell r="L1152" t="str">
            <v>ラグランジュチャレンジ</v>
          </cell>
          <cell r="M1152" t="str">
            <v>god</v>
          </cell>
        </row>
        <row r="1153">
          <cell r="A1153">
            <v>6006</v>
          </cell>
          <cell r="B1153" t="str">
            <v>ja</v>
          </cell>
          <cell r="C1153" t="str">
            <v>海底の孤高神 テティス</v>
          </cell>
          <cell r="D1153" t="str">
            <v>初期ガチャ</v>
          </cell>
          <cell r="E1153" t="str">
            <v>管理者</v>
          </cell>
          <cell r="F1153" t="str">
            <v>美しい</v>
          </cell>
          <cell r="G1153" t="str">
            <v>女性</v>
          </cell>
          <cell r="H1153" t="str">
            <v>blue</v>
          </cell>
          <cell r="I1153">
            <v>5</v>
          </cell>
          <cell r="J1153" t="str">
            <v>PremiumN</v>
          </cell>
          <cell r="K1153" t="str">
            <v>ra</v>
          </cell>
          <cell r="L1153" t="str">
            <v>ラグランジュチャレンジ</v>
          </cell>
          <cell r="M1153" t="str">
            <v>god</v>
          </cell>
        </row>
        <row r="1154">
          <cell r="A1154">
            <v>6007</v>
          </cell>
          <cell r="B1154" t="str">
            <v>ja</v>
          </cell>
          <cell r="C1154" t="str">
            <v>番犬 ケルベロス</v>
          </cell>
          <cell r="D1154" t="str">
            <v>初期ガチャ</v>
          </cell>
          <cell r="E1154" t="str">
            <v>破界者</v>
          </cell>
          <cell r="F1154" t="str">
            <v>可愛い</v>
          </cell>
          <cell r="G1154" t="str">
            <v>女性</v>
          </cell>
          <cell r="H1154" t="str">
            <v>red</v>
          </cell>
          <cell r="I1154">
            <v>4</v>
          </cell>
          <cell r="J1154" t="str">
            <v>PremiumN</v>
          </cell>
          <cell r="K1154" t="str">
            <v>ra</v>
          </cell>
          <cell r="L1154" t="str">
            <v>ラグランジュチャレンジ</v>
          </cell>
          <cell r="M1154" t="str">
            <v>animal</v>
          </cell>
        </row>
        <row r="1155">
          <cell r="A1155">
            <v>6008</v>
          </cell>
          <cell r="B1155" t="str">
            <v>ja</v>
          </cell>
          <cell r="C1155" t="str">
            <v>焔神 プロメテウス</v>
          </cell>
          <cell r="D1155" t="str">
            <v>初期ガチャ</v>
          </cell>
          <cell r="E1155" t="str">
            <v>管理者</v>
          </cell>
          <cell r="F1155" t="str">
            <v>格好いい</v>
          </cell>
          <cell r="G1155" t="str">
            <v>男性</v>
          </cell>
          <cell r="H1155" t="str">
            <v>red</v>
          </cell>
          <cell r="I1155">
            <v>4</v>
          </cell>
          <cell r="J1155" t="str">
            <v>PremiumN</v>
          </cell>
          <cell r="K1155" t="str">
            <v>ra</v>
          </cell>
          <cell r="L1155" t="str">
            <v>ラグランジュチャレンジ</v>
          </cell>
          <cell r="M1155" t="str">
            <v>god</v>
          </cell>
        </row>
        <row r="1156">
          <cell r="A1156">
            <v>6009</v>
          </cell>
          <cell r="B1156" t="str">
            <v>ja</v>
          </cell>
          <cell r="C1156" t="str">
            <v>超越自我 ラグランジュ</v>
          </cell>
          <cell r="D1156" t="str">
            <v>ガチャ:フィーバーフェス02</v>
          </cell>
          <cell r="E1156" t="str">
            <v>執行者</v>
          </cell>
          <cell r="F1156" t="str">
            <v>格好いい</v>
          </cell>
          <cell r="G1156" t="str">
            <v>女性</v>
          </cell>
          <cell r="H1156" t="str">
            <v>red</v>
          </cell>
          <cell r="I1156">
            <v>5</v>
          </cell>
          <cell r="J1156" t="str">
            <v>PremiumSSS</v>
          </cell>
          <cell r="K1156" t="str">
            <v>ra</v>
          </cell>
          <cell r="L1156" t="str">
            <v>ラグランジュチャレンジ</v>
          </cell>
          <cell r="M1156" t="str">
            <v>human</v>
          </cell>
        </row>
        <row r="1157">
          <cell r="A1157">
            <v>6010</v>
          </cell>
          <cell r="B1157" t="str">
            <v>ja</v>
          </cell>
          <cell r="C1157" t="str">
            <v>超越凌駕 ラグランジュ</v>
          </cell>
          <cell r="D1157" t="str">
            <v>ガチャ:フィーバーフェス02</v>
          </cell>
          <cell r="E1157" t="str">
            <v>執行者</v>
          </cell>
          <cell r="F1157" t="str">
            <v>格好いい</v>
          </cell>
          <cell r="G1157" t="str">
            <v>女性</v>
          </cell>
          <cell r="H1157" t="str">
            <v>red</v>
          </cell>
          <cell r="I1157">
            <v>6</v>
          </cell>
          <cell r="J1157" t="str">
            <v>PremiumSSS</v>
          </cell>
          <cell r="K1157" t="str">
            <v>ra</v>
          </cell>
          <cell r="L1157" t="str">
            <v>ラグランジュチャレンジ</v>
          </cell>
          <cell r="M1157" t="str">
            <v>human</v>
          </cell>
        </row>
        <row r="1158">
          <cell r="A1158">
            <v>6011</v>
          </cell>
          <cell r="B1158" t="str">
            <v>ja</v>
          </cell>
          <cell r="C1158" t="str">
            <v>パトドッグリーダー ポチ</v>
          </cell>
          <cell r="D1158" t="str">
            <v>ガチャ:フィーバーフェス02</v>
          </cell>
          <cell r="E1158" t="str">
            <v>執行者</v>
          </cell>
          <cell r="F1158" t="str">
            <v>格好いい</v>
          </cell>
          <cell r="G1158" t="str">
            <v>男性</v>
          </cell>
          <cell r="H1158" t="str">
            <v>blue</v>
          </cell>
          <cell r="I1158">
            <v>2</v>
          </cell>
          <cell r="J1158" t="str">
            <v>Drop1T</v>
          </cell>
          <cell r="K1158" t="str">
            <v>ra002</v>
          </cell>
          <cell r="L1158" t="str">
            <v>ユークリッドチャレンジ</v>
          </cell>
          <cell r="M1158" t="str">
            <v>unknown</v>
          </cell>
        </row>
        <row r="1159">
          <cell r="A1159">
            <v>6012</v>
          </cell>
          <cell r="B1159" t="str">
            <v>ja</v>
          </cell>
          <cell r="C1159" t="str">
            <v>ミミ</v>
          </cell>
          <cell r="D1159" t="str">
            <v>ガチャ:フィーバーフェス02</v>
          </cell>
          <cell r="E1159" t="str">
            <v>執行者</v>
          </cell>
          <cell r="F1159" t="str">
            <v>格好いい</v>
          </cell>
          <cell r="G1159" t="str">
            <v>男性</v>
          </cell>
          <cell r="H1159" t="str">
            <v>yellow</v>
          </cell>
          <cell r="I1159">
            <v>1</v>
          </cell>
          <cell r="J1159" t="str">
            <v>Drop1W</v>
          </cell>
          <cell r="K1159" t="str">
            <v>ra002</v>
          </cell>
          <cell r="L1159" t="str">
            <v>ユークリッドチャレンジ</v>
          </cell>
          <cell r="M1159" t="str">
            <v>animal</v>
          </cell>
        </row>
        <row r="1160">
          <cell r="A1160">
            <v>6013</v>
          </cell>
          <cell r="B1160" t="str">
            <v>ja</v>
          </cell>
          <cell r="C1160" t="str">
            <v>護衛機人 スケアクロウ</v>
          </cell>
          <cell r="D1160" t="str">
            <v>ガチャ:フィーバーフェス02</v>
          </cell>
          <cell r="E1160" t="str">
            <v>執行者</v>
          </cell>
          <cell r="F1160" t="str">
            <v>格好いい</v>
          </cell>
          <cell r="G1160" t="str">
            <v>男性</v>
          </cell>
          <cell r="H1160" t="str">
            <v>blue</v>
          </cell>
          <cell r="I1160">
            <v>2</v>
          </cell>
          <cell r="J1160" t="str">
            <v>Drop1N</v>
          </cell>
          <cell r="K1160" t="str">
            <v>ra002</v>
          </cell>
          <cell r="L1160" t="str">
            <v>ユークリッドチャレンジ</v>
          </cell>
          <cell r="M1160" t="str">
            <v>machine</v>
          </cell>
        </row>
        <row r="1161">
          <cell r="A1161">
            <v>6014</v>
          </cell>
          <cell r="B1161" t="str">
            <v>ja</v>
          </cell>
          <cell r="C1161" t="str">
            <v>月下の人狼 ローレンス</v>
          </cell>
          <cell r="D1161" t="str">
            <v>ガチャ:フィーバーフェス02</v>
          </cell>
          <cell r="E1161" t="str">
            <v>執行者</v>
          </cell>
          <cell r="F1161" t="str">
            <v>格好いい</v>
          </cell>
          <cell r="G1161" t="str">
            <v>男性</v>
          </cell>
          <cell r="H1161" t="str">
            <v>blue</v>
          </cell>
          <cell r="I1161">
            <v>4</v>
          </cell>
          <cell r="J1161" t="str">
            <v>PremiumW</v>
          </cell>
          <cell r="K1161" t="str">
            <v>ra002</v>
          </cell>
          <cell r="L1161" t="str">
            <v>ユークリッドチャレンジ</v>
          </cell>
          <cell r="M1161" t="str">
            <v>animal</v>
          </cell>
        </row>
        <row r="1162">
          <cell r="A1162">
            <v>6015</v>
          </cell>
          <cell r="B1162" t="str">
            <v>ja</v>
          </cell>
          <cell r="C1162" t="str">
            <v>フレイヤ</v>
          </cell>
          <cell r="D1162" t="str">
            <v>ガチャ:フィーバーフェス02</v>
          </cell>
          <cell r="E1162" t="str">
            <v>執行者</v>
          </cell>
          <cell r="F1162" t="str">
            <v>格好いい</v>
          </cell>
          <cell r="G1162" t="str">
            <v>男性</v>
          </cell>
          <cell r="H1162" t="str">
            <v>blue</v>
          </cell>
          <cell r="I1162">
            <v>4</v>
          </cell>
          <cell r="J1162" t="str">
            <v>PremiumSS</v>
          </cell>
          <cell r="K1162" t="str">
            <v>ra002</v>
          </cell>
          <cell r="L1162" t="str">
            <v>ユークリッドチャレンジ</v>
          </cell>
          <cell r="M1162" t="str">
            <v>animal</v>
          </cell>
        </row>
        <row r="1163">
          <cell r="A1163">
            <v>6016</v>
          </cell>
          <cell r="B1163" t="str">
            <v>ja</v>
          </cell>
          <cell r="C1163" t="str">
            <v>根原論理 ユークリッド</v>
          </cell>
          <cell r="D1163" t="str">
            <v>ガチャ:フィーバーフェス02</v>
          </cell>
          <cell r="E1163" t="str">
            <v>執行者</v>
          </cell>
          <cell r="F1163" t="str">
            <v>格好いい</v>
          </cell>
          <cell r="G1163" t="str">
            <v>男性</v>
          </cell>
          <cell r="H1163" t="str">
            <v>blue</v>
          </cell>
          <cell r="I1163">
            <v>5</v>
          </cell>
          <cell r="J1163" t="str">
            <v>PremiumSSS</v>
          </cell>
          <cell r="K1163" t="str">
            <v>ra002</v>
          </cell>
          <cell r="L1163" t="str">
            <v>ユークリッドチャレンジ</v>
          </cell>
          <cell r="M1163" t="str">
            <v>human</v>
          </cell>
        </row>
        <row r="1164">
          <cell r="A1164">
            <v>6017</v>
          </cell>
          <cell r="B1164" t="str">
            <v>ja</v>
          </cell>
          <cell r="C1164" t="str">
            <v>不朽の極論 ユークリッド</v>
          </cell>
          <cell r="D1164" t="str">
            <v>ガチャ:フィーバーフェス02</v>
          </cell>
          <cell r="E1164" t="str">
            <v>執行者</v>
          </cell>
          <cell r="F1164" t="str">
            <v>格好いい</v>
          </cell>
          <cell r="G1164" t="str">
            <v>男性</v>
          </cell>
          <cell r="H1164" t="str">
            <v>blue</v>
          </cell>
          <cell r="I1164">
            <v>6</v>
          </cell>
          <cell r="J1164" t="str">
            <v>PremiumSSS</v>
          </cell>
          <cell r="K1164" t="str">
            <v>ra002</v>
          </cell>
          <cell r="L1164" t="str">
            <v>ユークリッドチャレンジ</v>
          </cell>
          <cell r="M1164" t="str">
            <v>human</v>
          </cell>
        </row>
        <row r="1165">
          <cell r="A1165">
            <v>6018</v>
          </cell>
          <cell r="B1165" t="str">
            <v>ja</v>
          </cell>
          <cell r="C1165" t="str">
            <v>ハヅル</v>
          </cell>
          <cell r="D1165" t="str">
            <v>ガチャ:フィーバーフェス02</v>
          </cell>
          <cell r="E1165" t="str">
            <v>執行者</v>
          </cell>
          <cell r="F1165" t="str">
            <v>格好いい</v>
          </cell>
          <cell r="G1165" t="str">
            <v>男性</v>
          </cell>
          <cell r="H1165" t="str">
            <v>red</v>
          </cell>
          <cell r="I1165">
            <v>4</v>
          </cell>
          <cell r="J1165" t="str">
            <v>PremiumSS</v>
          </cell>
          <cell r="K1165" t="str">
            <v>ra002</v>
          </cell>
          <cell r="L1165" t="str">
            <v>ユークリッドチャレンジ</v>
          </cell>
          <cell r="M1165" t="str">
            <v>animal</v>
          </cell>
        </row>
        <row r="1166">
          <cell r="A1166">
            <v>6019</v>
          </cell>
          <cell r="B1166" t="str">
            <v>ja</v>
          </cell>
          <cell r="C1166" t="str">
            <v>天織羽鶴 ハヅル</v>
          </cell>
          <cell r="D1166" t="str">
            <v>ガチャ:フィーバーフェス02</v>
          </cell>
          <cell r="E1166" t="str">
            <v>執行者</v>
          </cell>
          <cell r="F1166" t="str">
            <v>格好いい</v>
          </cell>
          <cell r="G1166" t="str">
            <v>男性</v>
          </cell>
          <cell r="H1166" t="str">
            <v>red</v>
          </cell>
          <cell r="I1166">
            <v>5</v>
          </cell>
          <cell r="J1166" t="str">
            <v>PremiumSS</v>
          </cell>
          <cell r="K1166" t="str">
            <v>ra002</v>
          </cell>
          <cell r="L1166" t="str">
            <v>ユークリッドチャレンジ</v>
          </cell>
          <cell r="M1166" t="str">
            <v>animal</v>
          </cell>
        </row>
        <row r="1167">
          <cell r="A1167">
            <v>6020</v>
          </cell>
          <cell r="B1167" t="str">
            <v>ja</v>
          </cell>
          <cell r="C1167" t="str">
            <v>ミズチ</v>
          </cell>
          <cell r="D1167" t="str">
            <v>ガチャ:フィーバーフェス02</v>
          </cell>
          <cell r="E1167" t="str">
            <v>執行者</v>
          </cell>
          <cell r="F1167" t="str">
            <v>格好いい</v>
          </cell>
          <cell r="G1167" t="str">
            <v>男性</v>
          </cell>
          <cell r="H1167" t="str">
            <v>blue</v>
          </cell>
          <cell r="I1167">
            <v>4</v>
          </cell>
          <cell r="J1167" t="str">
            <v>PremiumS</v>
          </cell>
          <cell r="K1167" t="str">
            <v>ra002</v>
          </cell>
          <cell r="L1167" t="str">
            <v>ユークリッドチャレンジ</v>
          </cell>
          <cell r="M1167" t="str">
            <v>dragon</v>
          </cell>
        </row>
        <row r="1168">
          <cell r="A1168">
            <v>8001</v>
          </cell>
          <cell r="B1168" t="str">
            <v>ja</v>
          </cell>
          <cell r="C1168" t="str">
            <v>媽祖</v>
          </cell>
          <cell r="D1168" t="str">
            <v>イベント:ミクコラボ01</v>
          </cell>
          <cell r="E1168" t="str">
            <v>執行者</v>
          </cell>
          <cell r="F1168" t="str">
            <v>格好いい</v>
          </cell>
          <cell r="G1168" t="str">
            <v>女性</v>
          </cell>
          <cell r="H1168" t="str">
            <v>yellow</v>
          </cell>
          <cell r="I1168">
            <v>5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8002</v>
          </cell>
          <cell r="B1169" t="str">
            <v>ja</v>
          </cell>
          <cell r="C1169" t="str">
            <v>天后 媽祖</v>
          </cell>
          <cell r="D1169" t="str">
            <v>イベント:ミクコラボ01</v>
          </cell>
          <cell r="E1169" t="str">
            <v>執行者</v>
          </cell>
          <cell r="F1169" t="str">
            <v>格好いい</v>
          </cell>
          <cell r="G1169" t="str">
            <v>女性</v>
          </cell>
          <cell r="H1169" t="str">
            <v>yellow</v>
          </cell>
          <cell r="I1169">
            <v>6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8003</v>
          </cell>
          <cell r="B1170" t="str">
            <v>ja</v>
          </cell>
          <cell r="C1170" t="str">
            <v>蛟龍</v>
          </cell>
          <cell r="D1170" t="str">
            <v>イベント:ミクコラボ01</v>
          </cell>
          <cell r="E1170" t="str">
            <v>執行者</v>
          </cell>
          <cell r="F1170" t="str">
            <v>格好いい</v>
          </cell>
          <cell r="G1170" t="str">
            <v>不明</v>
          </cell>
          <cell r="H1170" t="str">
            <v>blue</v>
          </cell>
          <cell r="I1170">
            <v>5</v>
          </cell>
          <cell r="J1170" t="str">
            <v>DropWizS</v>
          </cell>
          <cell r="K1170" t="str">
            <v>hp</v>
          </cell>
          <cell r="L1170" t="str">
            <v>体力タイプ</v>
          </cell>
          <cell r="M1170" t="str">
            <v>dragon</v>
          </cell>
        </row>
        <row r="1171">
          <cell r="A1171">
            <v>8004</v>
          </cell>
          <cell r="B1171" t="str">
            <v>ja</v>
          </cell>
          <cell r="C1171" t="str">
            <v>深海蛟龍怪‧晏公</v>
          </cell>
          <cell r="D1171" t="str">
            <v>イベント:ミクコラボ01</v>
          </cell>
          <cell r="E1171" t="str">
            <v>執行者</v>
          </cell>
          <cell r="F1171" t="str">
            <v>格好いい</v>
          </cell>
          <cell r="G1171" t="str">
            <v>不明</v>
          </cell>
          <cell r="H1171" t="str">
            <v>blue</v>
          </cell>
          <cell r="I1171">
            <v>6</v>
          </cell>
          <cell r="J1171" t="str">
            <v>DropWizS</v>
          </cell>
          <cell r="K1171" t="str">
            <v>hp</v>
          </cell>
          <cell r="L1171" t="str">
            <v>体力タイプ</v>
          </cell>
          <cell r="M1171" t="str">
            <v>dragon</v>
          </cell>
        </row>
        <row r="1172">
          <cell r="A1172">
            <v>8005</v>
          </cell>
          <cell r="B1172" t="str">
            <v>ja</v>
          </cell>
          <cell r="C1172" t="str">
            <v>三蔵法師</v>
          </cell>
          <cell r="D1172" t="str">
            <v>イベント:ミクコラボ01</v>
          </cell>
          <cell r="E1172" t="str">
            <v>執行者</v>
          </cell>
          <cell r="F1172" t="str">
            <v>格好いい</v>
          </cell>
          <cell r="G1172" t="str">
            <v>不明</v>
          </cell>
          <cell r="H1172" t="str">
            <v>blue</v>
          </cell>
          <cell r="I1172">
            <v>5</v>
          </cell>
          <cell r="J1172" t="str">
            <v>PremiumSS</v>
          </cell>
          <cell r="K1172" t="str">
            <v>balance</v>
          </cell>
          <cell r="L1172" t="str">
            <v>バランスタイプ</v>
          </cell>
          <cell r="M1172" t="str">
            <v>human</v>
          </cell>
        </row>
        <row r="1173">
          <cell r="A1173">
            <v>8006</v>
          </cell>
          <cell r="B1173" t="str">
            <v>ja</v>
          </cell>
          <cell r="C1173" t="str">
            <v>三蔵法師</v>
          </cell>
          <cell r="D1173" t="str">
            <v>イベント:ミクコラボ01</v>
          </cell>
          <cell r="E1173" t="str">
            <v>執行者</v>
          </cell>
          <cell r="F1173" t="str">
            <v>格好いい</v>
          </cell>
          <cell r="G1173" t="str">
            <v>不明</v>
          </cell>
          <cell r="H1173" t="str">
            <v>blue</v>
          </cell>
          <cell r="I1173">
            <v>6</v>
          </cell>
          <cell r="J1173" t="str">
            <v>PremiumSS</v>
          </cell>
          <cell r="K1173" t="str">
            <v>balance</v>
          </cell>
          <cell r="L1173" t="str">
            <v>バランスタイプ</v>
          </cell>
          <cell r="M1173" t="str">
            <v>human</v>
          </cell>
        </row>
        <row r="1174">
          <cell r="A1174">
            <v>8007</v>
          </cell>
          <cell r="B1174" t="str">
            <v>ja</v>
          </cell>
          <cell r="C1174" t="str">
            <v>孫悟空</v>
          </cell>
          <cell r="D1174" t="str">
            <v>イベント:ミクコラボ01</v>
          </cell>
          <cell r="E1174" t="str">
            <v>執行者</v>
          </cell>
          <cell r="F1174" t="str">
            <v>格好いい</v>
          </cell>
          <cell r="G1174" t="str">
            <v>不明</v>
          </cell>
          <cell r="H1174" t="str">
            <v>red</v>
          </cell>
          <cell r="I1174">
            <v>5</v>
          </cell>
          <cell r="J1174" t="str">
            <v>DropWizS</v>
          </cell>
          <cell r="K1174" t="str">
            <v>attack</v>
          </cell>
          <cell r="L1174" t="str">
            <v>攻撃タイプ</v>
          </cell>
          <cell r="M1174" t="str">
            <v>animal</v>
          </cell>
        </row>
        <row r="1175">
          <cell r="A1175">
            <v>8008</v>
          </cell>
          <cell r="B1175" t="str">
            <v>ja</v>
          </cell>
          <cell r="C1175" t="str">
            <v>孫悟空</v>
          </cell>
          <cell r="D1175" t="str">
            <v>イベント:ミクコラボ01</v>
          </cell>
          <cell r="E1175" t="str">
            <v>執行者</v>
          </cell>
          <cell r="F1175" t="str">
            <v>格好いい</v>
          </cell>
          <cell r="G1175" t="str">
            <v>不明</v>
          </cell>
          <cell r="H1175" t="str">
            <v>red</v>
          </cell>
          <cell r="I1175">
            <v>6</v>
          </cell>
          <cell r="J1175" t="str">
            <v>DropWizS</v>
          </cell>
          <cell r="K1175" t="str">
            <v>attack</v>
          </cell>
          <cell r="L1175" t="str">
            <v>攻撃タイプ</v>
          </cell>
          <cell r="M1175" t="str">
            <v>animal</v>
          </cell>
        </row>
        <row r="1176">
          <cell r="A1176">
            <v>8009</v>
          </cell>
          <cell r="B1176" t="str">
            <v>ja</v>
          </cell>
          <cell r="C1176" t="str">
            <v>西王娘娘</v>
          </cell>
          <cell r="D1176" t="str">
            <v>イベント:ミクコラボ01</v>
          </cell>
          <cell r="E1176" t="str">
            <v>執行者</v>
          </cell>
          <cell r="F1176" t="str">
            <v>格好いい</v>
          </cell>
          <cell r="G1176" t="str">
            <v>不明</v>
          </cell>
          <cell r="H1176" t="str">
            <v>green</v>
          </cell>
          <cell r="I1176">
            <v>5</v>
          </cell>
          <cell r="J1176" t="str">
            <v>PremiumSS</v>
          </cell>
          <cell r="K1176" t="str">
            <v>attack</v>
          </cell>
          <cell r="L1176" t="str">
            <v>攻撃タイプ</v>
          </cell>
          <cell r="M1176" t="str">
            <v>god</v>
          </cell>
        </row>
        <row r="1177">
          <cell r="A1177">
            <v>8010</v>
          </cell>
          <cell r="B1177" t="str">
            <v>ja</v>
          </cell>
          <cell r="C1177" t="str">
            <v>西王娘娘</v>
          </cell>
          <cell r="D1177" t="str">
            <v>イベント:ミクコラボ01</v>
          </cell>
          <cell r="E1177" t="str">
            <v>執行者</v>
          </cell>
          <cell r="F1177" t="str">
            <v>格好いい</v>
          </cell>
          <cell r="G1177" t="str">
            <v>不明</v>
          </cell>
          <cell r="H1177" t="str">
            <v>green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8011</v>
          </cell>
          <cell r="B1178" t="str">
            <v>ja</v>
          </cell>
          <cell r="C1178" t="str">
            <v>月下老人</v>
          </cell>
          <cell r="D1178" t="str">
            <v>イベント:ミクコラボ01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yellow</v>
          </cell>
          <cell r="I1178">
            <v>5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god</v>
          </cell>
        </row>
        <row r="1179">
          <cell r="A1179">
            <v>8012</v>
          </cell>
          <cell r="B1179" t="str">
            <v>ja</v>
          </cell>
          <cell r="C1179" t="str">
            <v>良緣祈福 月下老人</v>
          </cell>
          <cell r="D1179" t="str">
            <v>イベント:ミクコラボ01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yellow</v>
          </cell>
          <cell r="I1179">
            <v>6</v>
          </cell>
          <cell r="J1179" t="str">
            <v>DropWizS</v>
          </cell>
          <cell r="K1179" t="str">
            <v>balance</v>
          </cell>
          <cell r="L1179" t="str">
            <v>バランスタイプ</v>
          </cell>
          <cell r="M1179" t="str">
            <v>god</v>
          </cell>
        </row>
        <row r="1180">
          <cell r="A1180">
            <v>8013</v>
          </cell>
          <cell r="B1180" t="str">
            <v>ja</v>
          </cell>
          <cell r="C1180" t="str">
            <v>初音ミクV3</v>
          </cell>
          <cell r="D1180" t="str">
            <v>初音ミクV3</v>
          </cell>
          <cell r="E1180" t="str">
            <v>執行者</v>
          </cell>
          <cell r="F1180" t="str">
            <v>格好いい</v>
          </cell>
          <cell r="G1180" t="str">
            <v>女性</v>
          </cell>
          <cell r="H1180" t="str">
            <v>yellow</v>
          </cell>
          <cell r="I1180">
            <v>4</v>
          </cell>
          <cell r="J1180" t="str">
            <v>DropWizS</v>
          </cell>
          <cell r="K1180" t="str">
            <v>balance</v>
          </cell>
          <cell r="L1180" t="str">
            <v>バランスタイプ</v>
          </cell>
          <cell r="M1180" t="str">
            <v>unknown</v>
          </cell>
        </row>
        <row r="1181">
          <cell r="A1181">
            <v>8014</v>
          </cell>
          <cell r="B1181" t="str">
            <v>ja</v>
          </cell>
          <cell r="C1181" t="str">
            <v>初音ミクV3</v>
          </cell>
          <cell r="D1181" t="str">
            <v>初音ミクV3</v>
          </cell>
          <cell r="E1181" t="str">
            <v>執行者</v>
          </cell>
          <cell r="F1181" t="str">
            <v>格好いい</v>
          </cell>
          <cell r="G1181" t="str">
            <v>女性</v>
          </cell>
          <cell r="H1181" t="str">
            <v>yellow</v>
          </cell>
          <cell r="I1181">
            <v>5</v>
          </cell>
          <cell r="J1181" t="str">
            <v>DropWizS</v>
          </cell>
          <cell r="K1181" t="str">
            <v>balance</v>
          </cell>
          <cell r="L1181" t="str">
            <v>バランスタイプ</v>
          </cell>
          <cell r="M1181" t="str">
            <v>unknown</v>
          </cell>
        </row>
        <row r="1182">
          <cell r="A1182">
            <v>8015</v>
          </cell>
          <cell r="B1182" t="str">
            <v>ja</v>
          </cell>
          <cell r="C1182" t="str">
            <v>初音ミク・アペンド</v>
          </cell>
          <cell r="D1182" t="str">
            <v>初音ミク・アペンド</v>
          </cell>
          <cell r="E1182" t="str">
            <v>執行者</v>
          </cell>
          <cell r="F1182" t="str">
            <v>格好いい</v>
          </cell>
          <cell r="G1182" t="str">
            <v>女性</v>
          </cell>
          <cell r="H1182" t="str">
            <v>green</v>
          </cell>
          <cell r="I1182">
            <v>4</v>
          </cell>
          <cell r="J1182" t="str">
            <v>PremiumSSS</v>
          </cell>
          <cell r="K1182" t="str">
            <v>technical</v>
          </cell>
          <cell r="L1182" t="str">
            <v>テクニカルタイプ</v>
          </cell>
          <cell r="M1182" t="str">
            <v>unknown</v>
          </cell>
        </row>
        <row r="1183">
          <cell r="A1183">
            <v>8016</v>
          </cell>
          <cell r="B1183" t="str">
            <v>ja</v>
          </cell>
          <cell r="C1183" t="str">
            <v>初音ミク・アペンド</v>
          </cell>
          <cell r="D1183" t="str">
            <v>初音ミク・アペンド</v>
          </cell>
          <cell r="E1183" t="str">
            <v>執行者</v>
          </cell>
          <cell r="F1183" t="str">
            <v>格好いい</v>
          </cell>
          <cell r="G1183" t="str">
            <v>女性</v>
          </cell>
          <cell r="H1183" t="str">
            <v>green</v>
          </cell>
          <cell r="I1183">
            <v>5</v>
          </cell>
          <cell r="J1183" t="str">
            <v>PremiumSSS</v>
          </cell>
          <cell r="K1183" t="str">
            <v>technical</v>
          </cell>
          <cell r="L1183" t="str">
            <v>テクニカルタイプ</v>
          </cell>
          <cell r="M1183" t="str">
            <v>unknown</v>
          </cell>
        </row>
        <row r="1184">
          <cell r="A1184">
            <v>8017</v>
          </cell>
          <cell r="B1184" t="str">
            <v>ja</v>
          </cell>
          <cell r="C1184" t="str">
            <v>初音ミク</v>
          </cell>
          <cell r="D1184" t="str">
            <v>初音ミク</v>
          </cell>
          <cell r="E1184" t="str">
            <v>執行者</v>
          </cell>
          <cell r="F1184" t="str">
            <v>格好いい</v>
          </cell>
          <cell r="G1184" t="str">
            <v>女性</v>
          </cell>
          <cell r="H1184" t="str">
            <v>green</v>
          </cell>
          <cell r="I1184">
            <v>4</v>
          </cell>
          <cell r="J1184" t="str">
            <v>PremiumSSS</v>
          </cell>
          <cell r="K1184" t="str">
            <v>balance</v>
          </cell>
          <cell r="L1184" t="str">
            <v>バランスタイプ</v>
          </cell>
          <cell r="M1184" t="str">
            <v>unknown</v>
          </cell>
        </row>
        <row r="1185">
          <cell r="A1185">
            <v>8018</v>
          </cell>
          <cell r="B1185" t="str">
            <v>ja</v>
          </cell>
          <cell r="C1185" t="str">
            <v>初音ミク</v>
          </cell>
          <cell r="D1185" t="str">
            <v>初音ミク</v>
          </cell>
          <cell r="E1185" t="str">
            <v>執行者</v>
          </cell>
          <cell r="F1185" t="str">
            <v>格好いい</v>
          </cell>
          <cell r="G1185" t="str">
            <v>女性</v>
          </cell>
          <cell r="H1185" t="str">
            <v>green</v>
          </cell>
          <cell r="I1185">
            <v>5</v>
          </cell>
          <cell r="J1185" t="str">
            <v>PremiumSSS</v>
          </cell>
          <cell r="K1185" t="str">
            <v>balance</v>
          </cell>
          <cell r="L1185" t="str">
            <v>バランスタイプ</v>
          </cell>
          <cell r="M1185" t="str">
            <v>unknown</v>
          </cell>
        </row>
        <row r="1186">
          <cell r="A1186">
            <v>8019</v>
          </cell>
          <cell r="B1186" t="str">
            <v>ja</v>
          </cell>
          <cell r="C1186" t="str">
            <v>鏡音リン</v>
          </cell>
          <cell r="D1186" t="str">
            <v>鏡音リン</v>
          </cell>
          <cell r="E1186" t="str">
            <v>執行者</v>
          </cell>
          <cell r="F1186" t="str">
            <v>格好いい</v>
          </cell>
          <cell r="G1186" t="str">
            <v>男性</v>
          </cell>
          <cell r="H1186" t="str">
            <v>yellow</v>
          </cell>
          <cell r="I1186">
            <v>4</v>
          </cell>
          <cell r="J1186" t="str">
            <v>PremiumSS</v>
          </cell>
          <cell r="K1186" t="str">
            <v>balance</v>
          </cell>
          <cell r="L1186" t="str">
            <v>バランスタイプ</v>
          </cell>
          <cell r="M1186" t="str">
            <v>unknown</v>
          </cell>
        </row>
        <row r="1187">
          <cell r="A1187">
            <v>8020</v>
          </cell>
          <cell r="B1187" t="str">
            <v>ja</v>
          </cell>
          <cell r="C1187" t="str">
            <v>鏡音リン</v>
          </cell>
          <cell r="D1187" t="str">
            <v>鏡音リン</v>
          </cell>
          <cell r="E1187" t="str">
            <v>執行者</v>
          </cell>
          <cell r="F1187" t="str">
            <v>格好いい</v>
          </cell>
          <cell r="G1187" t="str">
            <v>男性</v>
          </cell>
          <cell r="H1187" t="str">
            <v>yellow</v>
          </cell>
          <cell r="I1187">
            <v>5</v>
          </cell>
          <cell r="J1187" t="str">
            <v>PremiumSS</v>
          </cell>
          <cell r="K1187" t="str">
            <v>balance</v>
          </cell>
          <cell r="L1187" t="str">
            <v>バランスタイプ</v>
          </cell>
          <cell r="M1187" t="str">
            <v>unknown</v>
          </cell>
        </row>
        <row r="1188">
          <cell r="A1188">
            <v>8021</v>
          </cell>
          <cell r="B1188" t="str">
            <v>ja</v>
          </cell>
          <cell r="C1188" t="str">
            <v>鏡音レン</v>
          </cell>
          <cell r="D1188" t="str">
            <v>鏡音レン</v>
          </cell>
          <cell r="E1188" t="str">
            <v>執行者</v>
          </cell>
          <cell r="F1188" t="str">
            <v>格好いい</v>
          </cell>
          <cell r="G1188" t="str">
            <v>女性</v>
          </cell>
          <cell r="H1188" t="str">
            <v>yellow</v>
          </cell>
          <cell r="I1188">
            <v>4</v>
          </cell>
          <cell r="J1188" t="str">
            <v>PremiumSS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8022</v>
          </cell>
          <cell r="B1189" t="str">
            <v>ja</v>
          </cell>
          <cell r="C1189" t="str">
            <v>鏡音レン</v>
          </cell>
          <cell r="D1189" t="str">
            <v>鏡音レン</v>
          </cell>
          <cell r="E1189" t="str">
            <v>執行者</v>
          </cell>
          <cell r="F1189" t="str">
            <v>格好いい</v>
          </cell>
          <cell r="G1189" t="str">
            <v>女性</v>
          </cell>
          <cell r="H1189" t="str">
            <v>yellow</v>
          </cell>
          <cell r="I1189">
            <v>5</v>
          </cell>
          <cell r="J1189" t="str">
            <v>PremiumSS</v>
          </cell>
          <cell r="K1189" t="str">
            <v>heal</v>
          </cell>
          <cell r="L1189" t="str">
            <v>回復タイプ</v>
          </cell>
          <cell r="M1189" t="str">
            <v>unknown</v>
          </cell>
        </row>
        <row r="1190">
          <cell r="A1190">
            <v>8023</v>
          </cell>
          <cell r="B1190" t="str">
            <v>ja</v>
          </cell>
          <cell r="C1190" t="str">
            <v>巡音ルカ</v>
          </cell>
          <cell r="D1190" t="str">
            <v>巡音ルカ</v>
          </cell>
          <cell r="E1190" t="str">
            <v>執行者</v>
          </cell>
          <cell r="F1190" t="str">
            <v>格好いい</v>
          </cell>
          <cell r="G1190" t="str">
            <v>女性</v>
          </cell>
          <cell r="H1190" t="str">
            <v>red</v>
          </cell>
          <cell r="I1190">
            <v>3</v>
          </cell>
          <cell r="J1190" t="str">
            <v>PremiumS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8024</v>
          </cell>
          <cell r="B1191" t="str">
            <v>ja</v>
          </cell>
          <cell r="C1191" t="str">
            <v>巡音ルカ</v>
          </cell>
          <cell r="D1191" t="str">
            <v>巡音ルカ</v>
          </cell>
          <cell r="E1191" t="str">
            <v>執行者</v>
          </cell>
          <cell r="F1191" t="str">
            <v>格好いい</v>
          </cell>
          <cell r="G1191" t="str">
            <v>女性</v>
          </cell>
          <cell r="H1191" t="str">
            <v>red</v>
          </cell>
          <cell r="I1191">
            <v>4</v>
          </cell>
          <cell r="J1191" t="str">
            <v>PremiumS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8025</v>
          </cell>
          <cell r="B1192" t="str">
            <v>ja</v>
          </cell>
          <cell r="C1192" t="str">
            <v>MEIKO</v>
          </cell>
          <cell r="D1192" t="str">
            <v>MEIKO</v>
          </cell>
          <cell r="E1192" t="str">
            <v>執行者</v>
          </cell>
          <cell r="F1192" t="str">
            <v>格好いい</v>
          </cell>
          <cell r="G1192" t="str">
            <v>男性</v>
          </cell>
          <cell r="H1192" t="str">
            <v>red</v>
          </cell>
          <cell r="I1192">
            <v>3</v>
          </cell>
          <cell r="J1192" t="str">
            <v>PremiumS</v>
          </cell>
          <cell r="K1192" t="str">
            <v>hp</v>
          </cell>
          <cell r="L1192" t="str">
            <v>体力タイプ</v>
          </cell>
          <cell r="M1192" t="str">
            <v>unknown</v>
          </cell>
        </row>
        <row r="1193">
          <cell r="A1193">
            <v>8026</v>
          </cell>
          <cell r="B1193" t="str">
            <v>ja</v>
          </cell>
          <cell r="C1193" t="str">
            <v>MEIKO</v>
          </cell>
          <cell r="D1193" t="str">
            <v>MEIKO</v>
          </cell>
          <cell r="E1193" t="str">
            <v>執行者</v>
          </cell>
          <cell r="F1193" t="str">
            <v>格好いい</v>
          </cell>
          <cell r="G1193" t="str">
            <v>男性</v>
          </cell>
          <cell r="H1193" t="str">
            <v>red</v>
          </cell>
          <cell r="I1193">
            <v>4</v>
          </cell>
          <cell r="J1193" t="str">
            <v>PremiumS</v>
          </cell>
          <cell r="K1193" t="str">
            <v>hp</v>
          </cell>
          <cell r="L1193" t="str">
            <v>体力タイプ</v>
          </cell>
          <cell r="M1193" t="str">
            <v>unknown</v>
          </cell>
        </row>
        <row r="1194">
          <cell r="A1194">
            <v>8027</v>
          </cell>
          <cell r="B1194" t="str">
            <v>ja</v>
          </cell>
          <cell r="C1194" t="str">
            <v>KAITO</v>
          </cell>
          <cell r="D1194" t="str">
            <v>KAITO</v>
          </cell>
          <cell r="E1194" t="str">
            <v>執行者</v>
          </cell>
          <cell r="F1194" t="str">
            <v>格好いい</v>
          </cell>
          <cell r="G1194" t="str">
            <v>女性</v>
          </cell>
          <cell r="H1194" t="str">
            <v>blue</v>
          </cell>
          <cell r="I1194">
            <v>3</v>
          </cell>
          <cell r="J1194" t="str">
            <v>PremiumS</v>
          </cell>
          <cell r="K1194" t="str">
            <v>technical</v>
          </cell>
          <cell r="L1194" t="str">
            <v>テクニカルタイプ</v>
          </cell>
          <cell r="M1194" t="str">
            <v>unknown</v>
          </cell>
        </row>
        <row r="1195">
          <cell r="A1195">
            <v>8028</v>
          </cell>
          <cell r="B1195" t="str">
            <v>ja</v>
          </cell>
          <cell r="C1195" t="str">
            <v>KAITO</v>
          </cell>
          <cell r="D1195" t="str">
            <v>KAITO</v>
          </cell>
          <cell r="E1195" t="str">
            <v>執行者</v>
          </cell>
          <cell r="F1195" t="str">
            <v>格好いい</v>
          </cell>
          <cell r="G1195" t="str">
            <v>女性</v>
          </cell>
          <cell r="H1195" t="str">
            <v>blue</v>
          </cell>
          <cell r="I1195">
            <v>4</v>
          </cell>
          <cell r="J1195" t="str">
            <v>PremiumS</v>
          </cell>
          <cell r="K1195" t="str">
            <v>technical</v>
          </cell>
          <cell r="L1195" t="str">
            <v>テクニカルタイプ</v>
          </cell>
          <cell r="M1195" t="str">
            <v>unknown</v>
          </cell>
        </row>
        <row r="1196">
          <cell r="A1196">
            <v>8029</v>
          </cell>
          <cell r="B1196" t="str">
            <v>ja</v>
          </cell>
          <cell r="C1196" t="str">
            <v>Expoミク</v>
          </cell>
          <cell r="D1196" t="str">
            <v>Expoミク</v>
          </cell>
          <cell r="E1196" t="str">
            <v>執行者</v>
          </cell>
          <cell r="F1196" t="str">
            <v>格好いい</v>
          </cell>
          <cell r="G1196" t="str">
            <v>女性</v>
          </cell>
          <cell r="H1196" t="str">
            <v>blue</v>
          </cell>
          <cell r="I1196">
            <v>4</v>
          </cell>
          <cell r="J1196" t="str">
            <v>Drop2N</v>
          </cell>
          <cell r="K1196" t="str">
            <v>heal</v>
          </cell>
          <cell r="L1196" t="str">
            <v>回復タイプ</v>
          </cell>
          <cell r="M1196" t="str">
            <v>unknown</v>
          </cell>
        </row>
        <row r="1197">
          <cell r="A1197">
            <v>8030</v>
          </cell>
          <cell r="B1197" t="str">
            <v>ja</v>
          </cell>
          <cell r="C1197" t="str">
            <v>Expoミク</v>
          </cell>
          <cell r="D1197" t="str">
            <v>Expoミク</v>
          </cell>
          <cell r="E1197" t="str">
            <v>執行者</v>
          </cell>
          <cell r="F1197" t="str">
            <v>格好いい</v>
          </cell>
          <cell r="G1197" t="str">
            <v>女性</v>
          </cell>
          <cell r="H1197" t="str">
            <v>blue</v>
          </cell>
          <cell r="I1197">
            <v>4</v>
          </cell>
          <cell r="J1197" t="str">
            <v>Drop2N</v>
          </cell>
          <cell r="K1197" t="str">
            <v>heal</v>
          </cell>
          <cell r="L1197" t="str">
            <v>回復タイプ</v>
          </cell>
          <cell r="M1197" t="str">
            <v>unknown</v>
          </cell>
        </row>
        <row r="1198">
          <cell r="A1198">
            <v>8031</v>
          </cell>
          <cell r="B1198" t="str">
            <v>ja</v>
          </cell>
          <cell r="C1198" t="str">
            <v>閻羅王</v>
          </cell>
          <cell r="D1198" t="str">
            <v>Expoミク</v>
          </cell>
          <cell r="E1198" t="str">
            <v>執行者</v>
          </cell>
          <cell r="F1198" t="str">
            <v>格好いい</v>
          </cell>
          <cell r="G1198" t="str">
            <v>女性</v>
          </cell>
          <cell r="H1198" t="str">
            <v>red</v>
          </cell>
          <cell r="I1198">
            <v>5</v>
          </cell>
          <cell r="J1198" t="str">
            <v>PremiumSS</v>
          </cell>
          <cell r="K1198" t="str">
            <v>balance</v>
          </cell>
          <cell r="L1198" t="str">
            <v>バランスタイプ</v>
          </cell>
          <cell r="M1198" t="str">
            <v>god</v>
          </cell>
        </row>
        <row r="1199">
          <cell r="A1199">
            <v>8032</v>
          </cell>
          <cell r="B1199" t="str">
            <v>ja</v>
          </cell>
          <cell r="C1199" t="str">
            <v>十殿閻羅王</v>
          </cell>
          <cell r="D1199" t="str">
            <v>Expoミク</v>
          </cell>
          <cell r="E1199" t="str">
            <v>執行者</v>
          </cell>
          <cell r="F1199" t="str">
            <v>格好いい</v>
          </cell>
          <cell r="G1199" t="str">
            <v>女性</v>
          </cell>
          <cell r="H1199" t="str">
            <v>red</v>
          </cell>
          <cell r="I1199">
            <v>6</v>
          </cell>
          <cell r="J1199" t="str">
            <v>PremiumSS</v>
          </cell>
          <cell r="K1199" t="str">
            <v>balance</v>
          </cell>
          <cell r="L1199" t="str">
            <v>バランスタイプ</v>
          </cell>
          <cell r="M1199" t="str">
            <v>god</v>
          </cell>
        </row>
        <row r="1200">
          <cell r="A1200">
            <v>8033</v>
          </cell>
          <cell r="B1200" t="str">
            <v>ja</v>
          </cell>
          <cell r="C1200" t="str">
            <v>牛頭馬面</v>
          </cell>
          <cell r="D1200" t="str">
            <v>Expoミク</v>
          </cell>
          <cell r="E1200" t="str">
            <v>執行者</v>
          </cell>
          <cell r="F1200" t="str">
            <v>格好いい</v>
          </cell>
          <cell r="G1200" t="str">
            <v>女性</v>
          </cell>
          <cell r="H1200" t="str">
            <v>green</v>
          </cell>
          <cell r="I1200">
            <v>5</v>
          </cell>
          <cell r="J1200" t="str">
            <v>DropWizS</v>
          </cell>
          <cell r="K1200" t="str">
            <v>attack</v>
          </cell>
          <cell r="L1200" t="str">
            <v>攻撃タイプ</v>
          </cell>
          <cell r="M1200" t="str">
            <v>god</v>
          </cell>
        </row>
        <row r="1201">
          <cell r="A1201">
            <v>8034</v>
          </cell>
          <cell r="B1201" t="str">
            <v>ja</v>
          </cell>
          <cell r="C1201" t="str">
            <v>牛頭馬面</v>
          </cell>
          <cell r="D1201" t="str">
            <v>Expoミク</v>
          </cell>
          <cell r="E1201" t="str">
            <v>執行者</v>
          </cell>
          <cell r="F1201" t="str">
            <v>格好いい</v>
          </cell>
          <cell r="G1201" t="str">
            <v>女性</v>
          </cell>
          <cell r="H1201" t="str">
            <v>green</v>
          </cell>
          <cell r="I1201">
            <v>6</v>
          </cell>
          <cell r="J1201" t="str">
            <v>DropWizS</v>
          </cell>
          <cell r="K1201" t="str">
            <v>attack</v>
          </cell>
          <cell r="L1201" t="str">
            <v>攻撃タイプ</v>
          </cell>
          <cell r="M1201" t="str">
            <v>god</v>
          </cell>
        </row>
        <row r="1202">
          <cell r="A1202">
            <v>8035</v>
          </cell>
          <cell r="B1202" t="str">
            <v>ja</v>
          </cell>
          <cell r="C1202" t="str">
            <v>嫦娥</v>
          </cell>
          <cell r="D1202" t="str">
            <v>Expoミク</v>
          </cell>
          <cell r="E1202" t="str">
            <v>執行者</v>
          </cell>
          <cell r="F1202" t="str">
            <v>格好いい</v>
          </cell>
          <cell r="G1202" t="str">
            <v>女性</v>
          </cell>
          <cell r="H1202" t="str">
            <v>blue</v>
          </cell>
          <cell r="I1202">
            <v>4</v>
          </cell>
          <cell r="J1202" t="str">
            <v>Drop2N</v>
          </cell>
          <cell r="K1202" t="str">
            <v>heal</v>
          </cell>
          <cell r="L1202" t="str">
            <v>回復タイプ</v>
          </cell>
          <cell r="M1202" t="str">
            <v>unknown</v>
          </cell>
        </row>
        <row r="1203">
          <cell r="A1203">
            <v>8036</v>
          </cell>
          <cell r="B1203" t="str">
            <v>ja</v>
          </cell>
          <cell r="C1203" t="str">
            <v>嫦娥</v>
          </cell>
          <cell r="D1203" t="str">
            <v>Expoミク</v>
          </cell>
          <cell r="E1203" t="str">
            <v>執行者</v>
          </cell>
          <cell r="F1203" t="str">
            <v>格好いい</v>
          </cell>
          <cell r="G1203" t="str">
            <v>女性</v>
          </cell>
          <cell r="H1203" t="str">
            <v>blue</v>
          </cell>
          <cell r="I1203">
            <v>4</v>
          </cell>
          <cell r="J1203" t="str">
            <v>Drop2N</v>
          </cell>
          <cell r="K1203" t="str">
            <v>heal</v>
          </cell>
          <cell r="L1203" t="str">
            <v>回復タイプ</v>
          </cell>
          <cell r="M1203" t="str">
            <v>unknown</v>
          </cell>
        </row>
        <row r="1204">
          <cell r="A1204">
            <v>8037</v>
          </cell>
          <cell r="B1204" t="str">
            <v>ja</v>
          </cell>
          <cell r="C1204" t="str">
            <v>后羿</v>
          </cell>
          <cell r="D1204" t="str">
            <v>Expoミク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blue</v>
          </cell>
          <cell r="I1204">
            <v>4</v>
          </cell>
          <cell r="J1204" t="str">
            <v>Drop2N</v>
          </cell>
          <cell r="K1204" t="str">
            <v>heal</v>
          </cell>
          <cell r="L1204" t="str">
            <v>回復タイプ</v>
          </cell>
          <cell r="M1204" t="str">
            <v>unknown</v>
          </cell>
        </row>
        <row r="1205">
          <cell r="A1205">
            <v>8038</v>
          </cell>
          <cell r="B1205" t="str">
            <v>ja</v>
          </cell>
          <cell r="C1205" t="str">
            <v>后羿</v>
          </cell>
          <cell r="D1205" t="str">
            <v>Expoミク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blue</v>
          </cell>
          <cell r="I1205">
            <v>4</v>
          </cell>
          <cell r="J1205" t="str">
            <v>Drop2N</v>
          </cell>
          <cell r="K1205" t="str">
            <v>heal</v>
          </cell>
          <cell r="L1205" t="str">
            <v>回復タイプ</v>
          </cell>
          <cell r="M1205" t="str">
            <v>unknown</v>
          </cell>
        </row>
        <row r="1206">
          <cell r="A1206">
            <v>8039</v>
          </cell>
          <cell r="B1206" t="str">
            <v>ja</v>
          </cell>
          <cell r="C1206" t="str">
            <v>何仙姑</v>
          </cell>
          <cell r="D1206" t="str">
            <v>Expoミク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blue</v>
          </cell>
          <cell r="I1206">
            <v>4</v>
          </cell>
          <cell r="J1206" t="str">
            <v>Drop2N</v>
          </cell>
          <cell r="K1206" t="str">
            <v>heal</v>
          </cell>
          <cell r="L1206" t="str">
            <v>回復タイプ</v>
          </cell>
          <cell r="M1206" t="str">
            <v>unknown</v>
          </cell>
        </row>
        <row r="1207">
          <cell r="A1207">
            <v>8040</v>
          </cell>
          <cell r="B1207" t="str">
            <v>ja</v>
          </cell>
          <cell r="C1207" t="str">
            <v>何仙姑</v>
          </cell>
          <cell r="D1207" t="str">
            <v>Expoミク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blue</v>
          </cell>
          <cell r="I1207">
            <v>4</v>
          </cell>
          <cell r="J1207" t="str">
            <v>Drop2N</v>
          </cell>
          <cell r="K1207" t="str">
            <v>heal</v>
          </cell>
          <cell r="L1207" t="str">
            <v>回復タイプ</v>
          </cell>
          <cell r="M1207" t="str">
            <v>unknown</v>
          </cell>
        </row>
        <row r="1208">
          <cell r="A1208">
            <v>8041</v>
          </cell>
          <cell r="B1208" t="str">
            <v>ja</v>
          </cell>
          <cell r="C1208" t="str">
            <v>藍采和</v>
          </cell>
          <cell r="D1208" t="str">
            <v>Expoミク</v>
          </cell>
          <cell r="E1208" t="str">
            <v>執行者</v>
          </cell>
          <cell r="F1208" t="str">
            <v>格好いい</v>
          </cell>
          <cell r="G1208" t="str">
            <v>女性</v>
          </cell>
          <cell r="H1208" t="str">
            <v>blue</v>
          </cell>
          <cell r="I1208">
            <v>4</v>
          </cell>
          <cell r="J1208" t="str">
            <v>Drop2N</v>
          </cell>
          <cell r="K1208" t="str">
            <v>heal</v>
          </cell>
          <cell r="L1208" t="str">
            <v>回復タイプ</v>
          </cell>
          <cell r="M1208" t="str">
            <v>unknown</v>
          </cell>
        </row>
        <row r="1209">
          <cell r="A1209">
            <v>8042</v>
          </cell>
          <cell r="B1209" t="str">
            <v>ja</v>
          </cell>
          <cell r="C1209" t="str">
            <v>藍采和</v>
          </cell>
          <cell r="D1209" t="str">
            <v>Expoミク</v>
          </cell>
          <cell r="E1209" t="str">
            <v>執行者</v>
          </cell>
          <cell r="F1209" t="str">
            <v>格好いい</v>
          </cell>
          <cell r="G1209" t="str">
            <v>女性</v>
          </cell>
          <cell r="H1209" t="str">
            <v>blue</v>
          </cell>
          <cell r="I1209">
            <v>4</v>
          </cell>
          <cell r="J1209" t="str">
            <v>Drop2N</v>
          </cell>
          <cell r="K1209" t="str">
            <v>heal</v>
          </cell>
          <cell r="L1209" t="str">
            <v>回復タイプ</v>
          </cell>
          <cell r="M1209" t="str">
            <v>unknown</v>
          </cell>
        </row>
        <row r="1210">
          <cell r="A1210">
            <v>8043</v>
          </cell>
          <cell r="B1210" t="str">
            <v>ja</v>
          </cell>
          <cell r="C1210" t="str">
            <v>サンリオキャラ大集合+アザゼル</v>
          </cell>
          <cell r="D1210" t="str">
            <v>サンリオキャラ大集合+アザゼル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green</v>
          </cell>
          <cell r="I1210">
            <v>5</v>
          </cell>
          <cell r="J1210" t="str">
            <v>DropWizS</v>
          </cell>
          <cell r="K1210" t="str">
            <v>technical</v>
          </cell>
          <cell r="L1210" t="str">
            <v>テクニカルタイプ</v>
          </cell>
          <cell r="M1210" t="str">
            <v>ss</v>
          </cell>
        </row>
        <row r="1211">
          <cell r="A1211">
            <v>8044</v>
          </cell>
          <cell r="B1211" t="str">
            <v>ja</v>
          </cell>
          <cell r="C1211" t="str">
            <v>サンリオキャラ大集合+アザゼル</v>
          </cell>
          <cell r="D1211" t="str">
            <v>サンリオキャラ大集合+アザゼル</v>
          </cell>
          <cell r="E1211" t="str">
            <v>執行者</v>
          </cell>
          <cell r="F1211" t="str">
            <v>格好いい</v>
          </cell>
          <cell r="G1211" t="str">
            <v>女性</v>
          </cell>
          <cell r="H1211" t="str">
            <v>green</v>
          </cell>
          <cell r="I1211">
            <v>6</v>
          </cell>
          <cell r="J1211" t="str">
            <v>DropWizS</v>
          </cell>
          <cell r="K1211" t="str">
            <v>technical</v>
          </cell>
          <cell r="L1211" t="str">
            <v>テクニカルタイプ</v>
          </cell>
          <cell r="M1211" t="str">
            <v>ss</v>
          </cell>
        </row>
        <row r="1212">
          <cell r="A1212">
            <v>8045</v>
          </cell>
          <cell r="B1212" t="str">
            <v>ja</v>
          </cell>
          <cell r="C1212" t="str">
            <v>ニムダ_サンリオキャラ混じり</v>
          </cell>
          <cell r="D1212" t="str">
            <v>ニムダ_サンリオキャラ混じり</v>
          </cell>
          <cell r="E1212" t="str">
            <v>執行者</v>
          </cell>
          <cell r="F1212" t="str">
            <v>格好いい</v>
          </cell>
          <cell r="G1212" t="str">
            <v>女性</v>
          </cell>
          <cell r="H1212" t="str">
            <v>yellow</v>
          </cell>
          <cell r="I1212">
            <v>4</v>
          </cell>
          <cell r="J1212" t="str">
            <v>Drop2N</v>
          </cell>
          <cell r="K1212" t="str">
            <v>technical</v>
          </cell>
          <cell r="L1212" t="str">
            <v>テクニカルタイプ</v>
          </cell>
          <cell r="M1212" t="str">
            <v>ss</v>
          </cell>
        </row>
        <row r="1213">
          <cell r="A1213">
            <v>8046</v>
          </cell>
          <cell r="B1213" t="str">
            <v>ja</v>
          </cell>
          <cell r="C1213" t="str">
            <v>ニムダ_サンリオキャラ混じり</v>
          </cell>
          <cell r="D1213" t="str">
            <v>ニムダ_サンリオキャラ混じり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yellow</v>
          </cell>
          <cell r="I1213">
            <v>5</v>
          </cell>
          <cell r="J1213" t="str">
            <v>Drop2N</v>
          </cell>
          <cell r="K1213" t="str">
            <v>technical</v>
          </cell>
          <cell r="L1213" t="str">
            <v>テクニカルタイプ</v>
          </cell>
          <cell r="M1213" t="str">
            <v>ss</v>
          </cell>
        </row>
        <row r="1214">
          <cell r="A1214">
            <v>8047</v>
          </cell>
          <cell r="B1214" t="str">
            <v>ja</v>
          </cell>
          <cell r="C1214" t="str">
            <v>ハローキティ</v>
          </cell>
          <cell r="D1214" t="str">
            <v>ハローキティ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red</v>
          </cell>
          <cell r="I1214">
            <v>4</v>
          </cell>
          <cell r="J1214" t="str">
            <v>Drop2N</v>
          </cell>
          <cell r="K1214" t="str">
            <v>balance</v>
          </cell>
          <cell r="L1214" t="str">
            <v>バランスタイプ</v>
          </cell>
          <cell r="M1214" t="str">
            <v>ss</v>
          </cell>
        </row>
        <row r="1215">
          <cell r="A1215">
            <v>8048</v>
          </cell>
          <cell r="B1215" t="str">
            <v>ja</v>
          </cell>
          <cell r="C1215" t="str">
            <v>ハローキティ</v>
          </cell>
          <cell r="D1215" t="str">
            <v>ハローキティ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red</v>
          </cell>
          <cell r="I1215">
            <v>5</v>
          </cell>
          <cell r="J1215" t="str">
            <v>Drop2N</v>
          </cell>
          <cell r="K1215" t="str">
            <v>balance</v>
          </cell>
          <cell r="L1215" t="str">
            <v>バランスタイプ</v>
          </cell>
          <cell r="M1215" t="str">
            <v>ss</v>
          </cell>
        </row>
        <row r="1216">
          <cell r="A1216">
            <v>8049</v>
          </cell>
          <cell r="B1216" t="str">
            <v>ja</v>
          </cell>
          <cell r="C1216" t="str">
            <v>KIRIMIちゃん</v>
          </cell>
          <cell r="D1216" t="str">
            <v>KIRIMIちゃん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red</v>
          </cell>
          <cell r="I1216">
            <v>4</v>
          </cell>
          <cell r="J1216" t="str">
            <v>Drop2N</v>
          </cell>
          <cell r="K1216" t="str">
            <v>hp</v>
          </cell>
          <cell r="L1216" t="str">
            <v>体力タイプ</v>
          </cell>
          <cell r="M1216" t="str">
            <v>ss</v>
          </cell>
        </row>
        <row r="1217">
          <cell r="A1217">
            <v>8050</v>
          </cell>
          <cell r="B1217" t="str">
            <v>ja</v>
          </cell>
          <cell r="C1217" t="str">
            <v>KIRIMIちゃん</v>
          </cell>
          <cell r="D1217" t="str">
            <v>KIRIMIちゃん</v>
          </cell>
          <cell r="E1217" t="str">
            <v>執行者</v>
          </cell>
          <cell r="F1217" t="str">
            <v>格好いい</v>
          </cell>
          <cell r="G1217" t="str">
            <v>女性</v>
          </cell>
          <cell r="H1217" t="str">
            <v>red</v>
          </cell>
          <cell r="I1217">
            <v>5</v>
          </cell>
          <cell r="J1217" t="str">
            <v>Drop2N</v>
          </cell>
          <cell r="K1217" t="str">
            <v>hp</v>
          </cell>
          <cell r="L1217" t="str">
            <v>体力タイプ</v>
          </cell>
          <cell r="M1217" t="str">
            <v>ss</v>
          </cell>
        </row>
        <row r="1218">
          <cell r="A1218">
            <v>8051</v>
          </cell>
          <cell r="B1218" t="str">
            <v>ja</v>
          </cell>
          <cell r="C1218" t="str">
            <v>ハローキティのリボン</v>
          </cell>
          <cell r="D1218" t="str">
            <v>ハローキティのリボン</v>
          </cell>
          <cell r="E1218" t="str">
            <v>執行者</v>
          </cell>
          <cell r="F1218" t="str">
            <v>格好いい</v>
          </cell>
          <cell r="G1218" t="str">
            <v>女性</v>
          </cell>
          <cell r="H1218" t="str">
            <v>red</v>
          </cell>
          <cell r="I1218">
            <v>5</v>
          </cell>
          <cell r="J1218" t="str">
            <v>Drop2N</v>
          </cell>
          <cell r="K1218" t="str">
            <v>evolution</v>
          </cell>
          <cell r="L1218" t="str">
            <v>覚醒素材タイプ</v>
          </cell>
          <cell r="M1218" t="str">
            <v>ss</v>
          </cell>
        </row>
        <row r="1219">
          <cell r="A1219">
            <v>8052</v>
          </cell>
          <cell r="B1219" t="str">
            <v>ja</v>
          </cell>
          <cell r="C1219" t="str">
            <v>ママの作ったアップルパイ</v>
          </cell>
          <cell r="D1219" t="str">
            <v>ママの作ったアップルパイ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red</v>
          </cell>
          <cell r="I1219">
            <v>4</v>
          </cell>
          <cell r="J1219" t="str">
            <v>Drop2N</v>
          </cell>
          <cell r="K1219" t="str">
            <v>evolution</v>
          </cell>
          <cell r="L1219" t="str">
            <v>覚醒素材タイプ</v>
          </cell>
          <cell r="M1219" t="str">
            <v>ss</v>
          </cell>
        </row>
        <row r="1220">
          <cell r="A1220">
            <v>8053</v>
          </cell>
          <cell r="B1220" t="str">
            <v>ja</v>
          </cell>
          <cell r="C1220" t="str">
            <v>D.R.T.H__キティコスプレ</v>
          </cell>
          <cell r="D1220" t="str">
            <v>D.R.T.H__キティコスプレ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red</v>
          </cell>
          <cell r="I1220">
            <v>5</v>
          </cell>
          <cell r="J1220" t="str">
            <v>PremiumSS</v>
          </cell>
          <cell r="K1220" t="str">
            <v>balance</v>
          </cell>
          <cell r="L1220" t="str">
            <v>バランスタイプ</v>
          </cell>
          <cell r="M1220" t="str">
            <v>ss</v>
          </cell>
        </row>
        <row r="1221">
          <cell r="A1221">
            <v>8054</v>
          </cell>
          <cell r="B1221" t="str">
            <v>ja</v>
          </cell>
          <cell r="C1221" t="str">
            <v>D.R.T.H__キティコスプレ</v>
          </cell>
          <cell r="D1221" t="str">
            <v>D.R.T.H__キティコスプレ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red</v>
          </cell>
          <cell r="I1221">
            <v>6</v>
          </cell>
          <cell r="J1221" t="str">
            <v>PremiumSS</v>
          </cell>
          <cell r="K1221" t="str">
            <v>balance</v>
          </cell>
          <cell r="L1221" t="str">
            <v>バランスタイプ</v>
          </cell>
          <cell r="M1221" t="str">
            <v>ss</v>
          </cell>
        </row>
        <row r="1222">
          <cell r="A1222">
            <v>8055</v>
          </cell>
          <cell r="B1222" t="str">
            <v>ja</v>
          </cell>
          <cell r="C1222" t="str">
            <v>マイメロディ</v>
          </cell>
          <cell r="D1222" t="str">
            <v>マイメロディ</v>
          </cell>
          <cell r="E1222" t="str">
            <v>執行者</v>
          </cell>
          <cell r="F1222" t="str">
            <v>格好いい</v>
          </cell>
          <cell r="G1222" t="str">
            <v>女性</v>
          </cell>
          <cell r="H1222" t="str">
            <v>red</v>
          </cell>
          <cell r="I1222">
            <v>4</v>
          </cell>
          <cell r="J1222" t="str">
            <v>PremiumS</v>
          </cell>
          <cell r="K1222" t="str">
            <v>attack</v>
          </cell>
          <cell r="L1222" t="str">
            <v>攻撃タイプ</v>
          </cell>
          <cell r="M1222" t="str">
            <v>ss</v>
          </cell>
        </row>
        <row r="1223">
          <cell r="A1223">
            <v>8056</v>
          </cell>
          <cell r="B1223" t="str">
            <v>ja</v>
          </cell>
          <cell r="C1223" t="str">
            <v>マイメロディ</v>
          </cell>
          <cell r="D1223" t="str">
            <v>マイメロディ</v>
          </cell>
          <cell r="E1223" t="str">
            <v>執行者</v>
          </cell>
          <cell r="F1223" t="str">
            <v>格好いい</v>
          </cell>
          <cell r="G1223" t="str">
            <v>女性</v>
          </cell>
          <cell r="H1223" t="str">
            <v>red</v>
          </cell>
          <cell r="I1223">
            <v>5</v>
          </cell>
          <cell r="J1223" t="str">
            <v>PremiumS</v>
          </cell>
          <cell r="K1223" t="str">
            <v>attack</v>
          </cell>
          <cell r="L1223" t="str">
            <v>攻撃タイプ</v>
          </cell>
          <cell r="M1223" t="str">
            <v>ss</v>
          </cell>
        </row>
        <row r="1224">
          <cell r="A1224">
            <v>8057</v>
          </cell>
          <cell r="B1224" t="str">
            <v>ja</v>
          </cell>
          <cell r="C1224" t="str">
            <v>ニーベルゲン_シナモロールコスプレ</v>
          </cell>
          <cell r="D1224" t="str">
            <v>ニーベルゲン_シナモロールコスプレ</v>
          </cell>
          <cell r="E1224" t="str">
            <v>執行者</v>
          </cell>
          <cell r="F1224" t="str">
            <v>格好いい</v>
          </cell>
          <cell r="G1224" t="str">
            <v>女性</v>
          </cell>
          <cell r="H1224" t="str">
            <v>green</v>
          </cell>
          <cell r="I1224">
            <v>4</v>
          </cell>
          <cell r="J1224" t="str">
            <v>PremiumS</v>
          </cell>
          <cell r="K1224" t="str">
            <v>balance</v>
          </cell>
          <cell r="L1224" t="str">
            <v>バランスタイプ</v>
          </cell>
          <cell r="M1224" t="str">
            <v>ss</v>
          </cell>
        </row>
        <row r="1225">
          <cell r="A1225">
            <v>8058</v>
          </cell>
          <cell r="B1225" t="str">
            <v>ja</v>
          </cell>
          <cell r="C1225" t="str">
            <v>ニーベルゲン_シナモロールコスプレ</v>
          </cell>
          <cell r="D1225" t="str">
            <v>ニーベルゲン_シナモロールコスプレ</v>
          </cell>
          <cell r="E1225" t="str">
            <v>執行者</v>
          </cell>
          <cell r="F1225" t="str">
            <v>格好いい</v>
          </cell>
          <cell r="G1225" t="str">
            <v>女性</v>
          </cell>
          <cell r="H1225" t="str">
            <v>green</v>
          </cell>
          <cell r="I1225">
            <v>5</v>
          </cell>
          <cell r="J1225" t="str">
            <v>PremiumS</v>
          </cell>
          <cell r="K1225" t="str">
            <v>balance</v>
          </cell>
          <cell r="L1225" t="str">
            <v>バランスタイプ</v>
          </cell>
          <cell r="M1225" t="str">
            <v>ss</v>
          </cell>
        </row>
        <row r="1226">
          <cell r="A1226">
            <v>8059</v>
          </cell>
          <cell r="B1226" t="str">
            <v>ja</v>
          </cell>
          <cell r="C1226" t="str">
            <v>カカシ_マイメロディコスプレ</v>
          </cell>
          <cell r="D1226" t="str">
            <v>カカシ_マイメロディコスプレ</v>
          </cell>
          <cell r="E1226" t="str">
            <v>執行者</v>
          </cell>
          <cell r="F1226" t="str">
            <v>格好いい</v>
          </cell>
          <cell r="G1226" t="str">
            <v>女性</v>
          </cell>
          <cell r="H1226" t="str">
            <v>green</v>
          </cell>
          <cell r="I1226">
            <v>4</v>
          </cell>
          <cell r="J1226" t="str">
            <v>PremiumS</v>
          </cell>
          <cell r="K1226" t="str">
            <v>technical</v>
          </cell>
          <cell r="L1226" t="str">
            <v>テクニカルタイプ</v>
          </cell>
          <cell r="M1226" t="str">
            <v>ss</v>
          </cell>
        </row>
        <row r="1227">
          <cell r="A1227">
            <v>8060</v>
          </cell>
          <cell r="B1227" t="str">
            <v>ja</v>
          </cell>
          <cell r="C1227" t="str">
            <v>カカシ_マイメロディコスプレ</v>
          </cell>
          <cell r="D1227" t="str">
            <v>カカシ_マイメロディコスプレ</v>
          </cell>
          <cell r="E1227" t="str">
            <v>執行者</v>
          </cell>
          <cell r="F1227" t="str">
            <v>格好いい</v>
          </cell>
          <cell r="G1227" t="str">
            <v>女性</v>
          </cell>
          <cell r="H1227" t="str">
            <v>green</v>
          </cell>
          <cell r="I1227">
            <v>5</v>
          </cell>
          <cell r="J1227" t="str">
            <v>PremiumS</v>
          </cell>
          <cell r="K1227" t="str">
            <v>technical</v>
          </cell>
          <cell r="L1227" t="str">
            <v>テクニカルタイプ</v>
          </cell>
          <cell r="M1227" t="str">
            <v>ss</v>
          </cell>
        </row>
        <row r="1228">
          <cell r="A1228">
            <v>8061</v>
          </cell>
          <cell r="B1228" t="str">
            <v>ja</v>
          </cell>
          <cell r="C1228" t="str">
            <v>ケロケロけろっぴ</v>
          </cell>
          <cell r="D1228" t="str">
            <v>ケロケロけろっぴ</v>
          </cell>
          <cell r="E1228" t="str">
            <v>執行者</v>
          </cell>
          <cell r="F1228" t="str">
            <v>格好いい</v>
          </cell>
          <cell r="G1228" t="str">
            <v>女性</v>
          </cell>
          <cell r="H1228" t="str">
            <v>green</v>
          </cell>
          <cell r="I1228">
            <v>3</v>
          </cell>
          <cell r="J1228" t="str">
            <v>PremiumS</v>
          </cell>
          <cell r="K1228" t="str">
            <v>balance</v>
          </cell>
          <cell r="L1228" t="str">
            <v>バランスタイプ</v>
          </cell>
          <cell r="M1228" t="str">
            <v>ss</v>
          </cell>
        </row>
        <row r="1229">
          <cell r="A1229">
            <v>8062</v>
          </cell>
          <cell r="B1229" t="str">
            <v>ja</v>
          </cell>
          <cell r="C1229" t="str">
            <v>ケロケロけろっぴ</v>
          </cell>
          <cell r="D1229" t="str">
            <v>ケロケロけろっぴ</v>
          </cell>
          <cell r="E1229" t="str">
            <v>執行者</v>
          </cell>
          <cell r="F1229" t="str">
            <v>格好いい</v>
          </cell>
          <cell r="G1229" t="str">
            <v>女性</v>
          </cell>
          <cell r="H1229" t="str">
            <v>green</v>
          </cell>
          <cell r="I1229">
            <v>4</v>
          </cell>
          <cell r="J1229" t="str">
            <v>PremiumS</v>
          </cell>
          <cell r="K1229" t="str">
            <v>balance</v>
          </cell>
          <cell r="L1229" t="str">
            <v>バランスタイプ</v>
          </cell>
          <cell r="M1229" t="str">
            <v>ss</v>
          </cell>
        </row>
        <row r="1230">
          <cell r="A1230">
            <v>8063</v>
          </cell>
          <cell r="B1230" t="str">
            <v>ja</v>
          </cell>
          <cell r="C1230" t="str">
            <v>モルドレッド_ポムポムプリンコスプレ</v>
          </cell>
          <cell r="D1230" t="str">
            <v>モルドレッド_ポムポムプリンコスプレ</v>
          </cell>
          <cell r="E1230" t="str">
            <v>執行者</v>
          </cell>
          <cell r="F1230" t="str">
            <v>格好いい</v>
          </cell>
          <cell r="G1230" t="str">
            <v>女性</v>
          </cell>
          <cell r="H1230" t="str">
            <v>blue</v>
          </cell>
          <cell r="I1230">
            <v>5</v>
          </cell>
          <cell r="J1230" t="str">
            <v>PremiumSS</v>
          </cell>
          <cell r="K1230" t="str">
            <v>heal</v>
          </cell>
          <cell r="L1230" t="str">
            <v>回復タイプ</v>
          </cell>
          <cell r="M1230" t="str">
            <v>ss</v>
          </cell>
        </row>
        <row r="1231">
          <cell r="A1231">
            <v>8064</v>
          </cell>
          <cell r="B1231" t="str">
            <v>ja</v>
          </cell>
          <cell r="C1231" t="str">
            <v>モルドレッド_ポムポムプリンコスプレ</v>
          </cell>
          <cell r="D1231" t="str">
            <v>モルドレッド_ポムポムプリンコスプレ</v>
          </cell>
          <cell r="E1231" t="str">
            <v>執行者</v>
          </cell>
          <cell r="F1231" t="str">
            <v>格好いい</v>
          </cell>
          <cell r="G1231" t="str">
            <v>女性</v>
          </cell>
          <cell r="H1231" t="str">
            <v>blue</v>
          </cell>
          <cell r="I1231">
            <v>6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ss</v>
          </cell>
        </row>
        <row r="1232">
          <cell r="A1232">
            <v>8065</v>
          </cell>
          <cell r="B1232" t="str">
            <v>ja</v>
          </cell>
          <cell r="C1232" t="str">
            <v>クロミ</v>
          </cell>
          <cell r="D1232" t="str">
            <v>クロミ</v>
          </cell>
          <cell r="E1232" t="str">
            <v>執行者</v>
          </cell>
          <cell r="F1232" t="str">
            <v>格好いい</v>
          </cell>
          <cell r="G1232" t="str">
            <v>女性</v>
          </cell>
          <cell r="H1232" t="str">
            <v>blue</v>
          </cell>
          <cell r="I1232">
            <v>3</v>
          </cell>
          <cell r="J1232" t="str">
            <v>PremiumS</v>
          </cell>
          <cell r="K1232" t="str">
            <v>technical</v>
          </cell>
          <cell r="L1232" t="str">
            <v>テクニカルタイプ</v>
          </cell>
          <cell r="M1232" t="str">
            <v>ss</v>
          </cell>
        </row>
        <row r="1233">
          <cell r="A1233">
            <v>8066</v>
          </cell>
          <cell r="B1233" t="str">
            <v>ja</v>
          </cell>
          <cell r="C1233" t="str">
            <v>クロミ</v>
          </cell>
          <cell r="D1233" t="str">
            <v>クロミ</v>
          </cell>
          <cell r="E1233" t="str">
            <v>執行者</v>
          </cell>
          <cell r="F1233" t="str">
            <v>格好いい</v>
          </cell>
          <cell r="G1233" t="str">
            <v>女性</v>
          </cell>
          <cell r="H1233" t="str">
            <v>blue</v>
          </cell>
          <cell r="I1233">
            <v>4</v>
          </cell>
          <cell r="J1233" t="str">
            <v>PremiumS</v>
          </cell>
          <cell r="K1233" t="str">
            <v>technical</v>
          </cell>
          <cell r="L1233" t="str">
            <v>テクニカルタイプ</v>
          </cell>
          <cell r="M1233" t="str">
            <v>ss</v>
          </cell>
        </row>
        <row r="1234">
          <cell r="A1234">
            <v>8067</v>
          </cell>
          <cell r="B1234" t="str">
            <v>ja</v>
          </cell>
          <cell r="C1234" t="str">
            <v>バッドばつ丸</v>
          </cell>
          <cell r="D1234" t="str">
            <v>バッドばつ丸</v>
          </cell>
          <cell r="E1234" t="str">
            <v>執行者</v>
          </cell>
          <cell r="F1234" t="str">
            <v>格好いい</v>
          </cell>
          <cell r="G1234" t="str">
            <v>女性</v>
          </cell>
          <cell r="H1234" t="str">
            <v>blue</v>
          </cell>
          <cell r="I1234">
            <v>3</v>
          </cell>
          <cell r="J1234" t="str">
            <v>PremiumS</v>
          </cell>
          <cell r="K1234" t="str">
            <v>attack</v>
          </cell>
          <cell r="L1234" t="str">
            <v>攻撃タイプ</v>
          </cell>
          <cell r="M1234" t="str">
            <v>ss</v>
          </cell>
        </row>
        <row r="1235">
          <cell r="A1235">
            <v>8068</v>
          </cell>
          <cell r="B1235" t="str">
            <v>ja</v>
          </cell>
          <cell r="C1235" t="str">
            <v>バッドばつ丸</v>
          </cell>
          <cell r="D1235" t="str">
            <v>バッドばつ丸</v>
          </cell>
          <cell r="E1235" t="str">
            <v>執行者</v>
          </cell>
          <cell r="F1235" t="str">
            <v>格好いい</v>
          </cell>
          <cell r="G1235" t="str">
            <v>女性</v>
          </cell>
          <cell r="H1235" t="str">
            <v>blue</v>
          </cell>
          <cell r="I1235">
            <v>4</v>
          </cell>
          <cell r="J1235" t="str">
            <v>PremiumS</v>
          </cell>
          <cell r="K1235" t="str">
            <v>attack</v>
          </cell>
          <cell r="L1235" t="str">
            <v>攻撃タイプ</v>
          </cell>
          <cell r="M1235" t="str">
            <v>ss</v>
          </cell>
        </row>
        <row r="1236">
          <cell r="A1236">
            <v>8069</v>
          </cell>
          <cell r="B1236" t="str">
            <v>ja</v>
          </cell>
          <cell r="C1236" t="str">
            <v>シナモロール</v>
          </cell>
          <cell r="D1236" t="str">
            <v>シナモロール</v>
          </cell>
          <cell r="E1236" t="str">
            <v>執行者</v>
          </cell>
          <cell r="F1236" t="str">
            <v>格好いい</v>
          </cell>
          <cell r="G1236" t="str">
            <v>女性</v>
          </cell>
          <cell r="H1236" t="str">
            <v>yellow</v>
          </cell>
          <cell r="I1236">
            <v>4</v>
          </cell>
          <cell r="J1236" t="str">
            <v>PremiumS</v>
          </cell>
          <cell r="K1236" t="str">
            <v>heal</v>
          </cell>
          <cell r="L1236" t="str">
            <v>回復タイプ</v>
          </cell>
          <cell r="M1236" t="str">
            <v>ss</v>
          </cell>
        </row>
        <row r="1237">
          <cell r="A1237">
            <v>8070</v>
          </cell>
          <cell r="B1237" t="str">
            <v>ja</v>
          </cell>
          <cell r="C1237" t="str">
            <v>シナモロール</v>
          </cell>
          <cell r="D1237" t="str">
            <v>シナモロール</v>
          </cell>
          <cell r="E1237" t="str">
            <v>執行者</v>
          </cell>
          <cell r="F1237" t="str">
            <v>格好いい</v>
          </cell>
          <cell r="G1237" t="str">
            <v>女性</v>
          </cell>
          <cell r="H1237" t="str">
            <v>yellow</v>
          </cell>
          <cell r="I1237">
            <v>5</v>
          </cell>
          <cell r="J1237" t="str">
            <v>PremiumS</v>
          </cell>
          <cell r="K1237" t="str">
            <v>heal</v>
          </cell>
          <cell r="L1237" t="str">
            <v>回復タイプ</v>
          </cell>
          <cell r="M1237" t="str">
            <v>ss</v>
          </cell>
        </row>
        <row r="1238">
          <cell r="A1238">
            <v>8071</v>
          </cell>
          <cell r="B1238" t="str">
            <v>ja</v>
          </cell>
          <cell r="C1238" t="str">
            <v>ポムポムプリン</v>
          </cell>
          <cell r="D1238" t="str">
            <v>ポムポムプリン</v>
          </cell>
          <cell r="E1238" t="str">
            <v>執行者</v>
          </cell>
          <cell r="F1238" t="str">
            <v>格好いい</v>
          </cell>
          <cell r="G1238" t="str">
            <v>女性</v>
          </cell>
          <cell r="H1238" t="str">
            <v>yellow</v>
          </cell>
          <cell r="I1238">
            <v>3</v>
          </cell>
          <cell r="J1238" t="str">
            <v>PremiumS</v>
          </cell>
          <cell r="K1238" t="str">
            <v>hp</v>
          </cell>
          <cell r="L1238" t="str">
            <v>体力タイプ</v>
          </cell>
          <cell r="M1238" t="str">
            <v>ss</v>
          </cell>
        </row>
        <row r="1239">
          <cell r="A1239">
            <v>8072</v>
          </cell>
          <cell r="B1239" t="str">
            <v>ja</v>
          </cell>
          <cell r="C1239" t="str">
            <v>ポムポムプリン</v>
          </cell>
          <cell r="D1239" t="str">
            <v>ポムポムプリン</v>
          </cell>
          <cell r="E1239" t="str">
            <v>執行者</v>
          </cell>
          <cell r="F1239" t="str">
            <v>格好いい</v>
          </cell>
          <cell r="G1239" t="str">
            <v>女性</v>
          </cell>
          <cell r="H1239" t="str">
            <v>yellow</v>
          </cell>
          <cell r="I1239">
            <v>4</v>
          </cell>
          <cell r="J1239" t="str">
            <v>PremiumS</v>
          </cell>
          <cell r="K1239" t="str">
            <v>hp</v>
          </cell>
          <cell r="L1239" t="str">
            <v>体力タイプ</v>
          </cell>
          <cell r="M1239" t="str">
            <v>ss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60</v>
      </c>
    </row>
    <row r="2" spans="1:1" x14ac:dyDescent="0.15">
      <c r="A2" t="s">
        <v>61</v>
      </c>
    </row>
    <row r="3" spans="1:1" x14ac:dyDescent="0.15">
      <c r="A3" t="s">
        <v>62</v>
      </c>
    </row>
    <row r="4" spans="1:1" x14ac:dyDescent="0.15">
      <c r="A4" t="s">
        <v>63</v>
      </c>
    </row>
  </sheetData>
  <phoneticPr fontId="17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7"/>
  <sheetViews>
    <sheetView tabSelected="1" workbookViewId="0">
      <selection activeCell="D25" sqref="D25"/>
    </sheetView>
  </sheetViews>
  <sheetFormatPr baseColWidth="12" defaultRowHeight="15" x14ac:dyDescent="0.15"/>
  <cols>
    <col min="1" max="1" width="13" style="16"/>
    <col min="2" max="2" width="14.796875" style="16" bestFit="1" customWidth="1"/>
    <col min="3" max="4" width="13" style="16"/>
    <col min="5" max="5" width="17.59765625" style="16" bestFit="1" customWidth="1"/>
    <col min="6" max="6" width="22.19921875" style="16" bestFit="1" customWidth="1"/>
    <col min="7" max="16384" width="13" style="16"/>
  </cols>
  <sheetData>
    <row r="1" spans="1:21" x14ac:dyDescent="0.15">
      <c r="A1" s="26" t="s">
        <v>52</v>
      </c>
      <c r="B1" s="14" t="s">
        <v>40</v>
      </c>
      <c r="C1" s="14" t="s">
        <v>41</v>
      </c>
      <c r="D1" s="14" t="s">
        <v>42</v>
      </c>
      <c r="E1" s="14" t="s">
        <v>43</v>
      </c>
      <c r="F1" s="14" t="s">
        <v>44</v>
      </c>
      <c r="G1" s="14" t="s">
        <v>45</v>
      </c>
      <c r="H1" s="14"/>
      <c r="I1" s="14"/>
      <c r="J1" s="14"/>
      <c r="K1" s="14"/>
      <c r="L1" s="15"/>
      <c r="M1" s="15"/>
      <c r="N1" s="15"/>
      <c r="O1" s="15"/>
    </row>
    <row r="2" spans="1:21" x14ac:dyDescent="0.15">
      <c r="A2" s="43" t="s">
        <v>81</v>
      </c>
      <c r="B2" s="42" t="s">
        <v>78</v>
      </c>
      <c r="C2" s="37">
        <v>7300</v>
      </c>
      <c r="D2" s="17" t="s">
        <v>46</v>
      </c>
      <c r="E2" s="15" t="str">
        <f t="shared" ref="E2:E7" si="0">B2&amp;C2&amp;D2</f>
        <v>gacha_select_tables_7300.tmp</v>
      </c>
      <c r="F2" s="44" t="s">
        <v>82</v>
      </c>
      <c r="G2" s="36" t="s">
        <v>65</v>
      </c>
      <c r="H2" s="20" t="s">
        <v>0</v>
      </c>
      <c r="I2" s="20" t="s">
        <v>3</v>
      </c>
      <c r="J2" s="20" t="s">
        <v>4</v>
      </c>
      <c r="K2" s="20" t="s">
        <v>5</v>
      </c>
      <c r="L2" s="20" t="s">
        <v>6</v>
      </c>
      <c r="M2" s="20" t="s">
        <v>7</v>
      </c>
      <c r="N2" s="20" t="s">
        <v>8</v>
      </c>
      <c r="O2" s="20" t="s">
        <v>9</v>
      </c>
    </row>
    <row r="3" spans="1:21" x14ac:dyDescent="0.15">
      <c r="A3" s="43" t="s">
        <v>81</v>
      </c>
      <c r="B3" s="42" t="s">
        <v>78</v>
      </c>
      <c r="C3" s="37">
        <v>7301</v>
      </c>
      <c r="D3" s="17" t="s">
        <v>46</v>
      </c>
      <c r="E3" s="15" t="str">
        <f t="shared" ref="E3" si="1">B3&amp;C3&amp;D3</f>
        <v>gacha_select_tables_7301.tmp</v>
      </c>
      <c r="F3" s="44" t="s">
        <v>85</v>
      </c>
      <c r="G3" s="36" t="s">
        <v>65</v>
      </c>
      <c r="H3" s="20" t="s">
        <v>0</v>
      </c>
      <c r="I3" s="20" t="s">
        <v>3</v>
      </c>
      <c r="J3" s="20" t="s">
        <v>4</v>
      </c>
      <c r="K3" s="20" t="s">
        <v>5</v>
      </c>
      <c r="L3" s="20" t="s">
        <v>6</v>
      </c>
      <c r="M3" s="20" t="s">
        <v>7</v>
      </c>
      <c r="N3" s="20" t="s">
        <v>8</v>
      </c>
      <c r="O3" s="20" t="s">
        <v>9</v>
      </c>
    </row>
    <row r="4" spans="1:21" x14ac:dyDescent="0.15">
      <c r="A4" s="43" t="s">
        <v>81</v>
      </c>
      <c r="B4" s="45" t="s">
        <v>83</v>
      </c>
      <c r="C4" s="37">
        <v>7301</v>
      </c>
      <c r="D4" s="17" t="s">
        <v>46</v>
      </c>
      <c r="E4" s="15" t="str">
        <f>B4&amp;C4&amp;D4</f>
        <v>gacha_settle_tables_7301.tmp</v>
      </c>
      <c r="F4" s="44" t="s">
        <v>84</v>
      </c>
      <c r="G4" s="36" t="s">
        <v>65</v>
      </c>
      <c r="H4" s="20" t="s">
        <v>0</v>
      </c>
      <c r="I4" s="20" t="s">
        <v>3</v>
      </c>
      <c r="J4" s="20" t="s">
        <v>4</v>
      </c>
      <c r="K4" s="20" t="s">
        <v>5</v>
      </c>
      <c r="L4" s="20" t="s">
        <v>6</v>
      </c>
      <c r="M4" s="20" t="s">
        <v>7</v>
      </c>
      <c r="N4" s="20" t="s">
        <v>8</v>
      </c>
      <c r="O4" s="20" t="s">
        <v>9</v>
      </c>
    </row>
    <row r="5" spans="1:21" x14ac:dyDescent="0.15">
      <c r="A5" s="29" t="s">
        <v>54</v>
      </c>
      <c r="B5" s="25" t="s">
        <v>51</v>
      </c>
      <c r="C5" s="30" t="s">
        <v>55</v>
      </c>
      <c r="D5" s="17" t="s">
        <v>47</v>
      </c>
      <c r="E5" s="15" t="str">
        <f t="shared" si="0"/>
        <v>gacha_bonus_tables_hogehoge.tmp</v>
      </c>
      <c r="F5" s="17" t="s">
        <v>48</v>
      </c>
      <c r="G5" s="19" t="s">
        <v>11</v>
      </c>
      <c r="H5" s="21" t="s">
        <v>14</v>
      </c>
      <c r="I5" s="19" t="s">
        <v>12</v>
      </c>
      <c r="J5" s="18"/>
      <c r="K5" s="18"/>
      <c r="L5" s="18"/>
      <c r="M5" s="18"/>
      <c r="N5" s="18"/>
      <c r="O5" s="18"/>
    </row>
    <row r="6" spans="1:21" x14ac:dyDescent="0.15">
      <c r="A6" s="29" t="s">
        <v>54</v>
      </c>
      <c r="B6" s="17" t="s">
        <v>49</v>
      </c>
      <c r="C6" s="30" t="s">
        <v>55</v>
      </c>
      <c r="D6" s="17" t="s">
        <v>47</v>
      </c>
      <c r="E6" s="15" t="str">
        <f t="shared" si="0"/>
        <v>gifts_tmp_hogehoge.tmp</v>
      </c>
      <c r="F6" s="17" t="s">
        <v>48</v>
      </c>
      <c r="G6" s="21" t="s">
        <v>22</v>
      </c>
      <c r="H6" s="22" t="s">
        <v>30</v>
      </c>
      <c r="I6" s="21" t="s">
        <v>23</v>
      </c>
      <c r="J6" s="21" t="s">
        <v>24</v>
      </c>
      <c r="K6" s="21" t="s">
        <v>24</v>
      </c>
      <c r="L6" s="21" t="s">
        <v>25</v>
      </c>
      <c r="M6" s="21" t="s">
        <v>25</v>
      </c>
      <c r="N6" s="21" t="s">
        <v>25</v>
      </c>
      <c r="O6" s="38" t="s">
        <v>7</v>
      </c>
      <c r="P6" s="38" t="s">
        <v>9</v>
      </c>
      <c r="Q6" s="38" t="s">
        <v>6</v>
      </c>
      <c r="R6" s="38" t="s">
        <v>66</v>
      </c>
      <c r="S6" s="38" t="s">
        <v>8</v>
      </c>
      <c r="T6" s="38" t="s">
        <v>67</v>
      </c>
      <c r="U6" s="38" t="s">
        <v>5</v>
      </c>
    </row>
    <row r="7" spans="1:21" x14ac:dyDescent="0.15">
      <c r="A7" s="29" t="s">
        <v>54</v>
      </c>
      <c r="B7" s="17" t="s">
        <v>50</v>
      </c>
      <c r="C7" s="30" t="s">
        <v>55</v>
      </c>
      <c r="D7" s="17" t="s">
        <v>47</v>
      </c>
      <c r="E7" s="15" t="str">
        <f t="shared" si="0"/>
        <v>gifts_i18n_hogehoge.tmp</v>
      </c>
      <c r="F7" s="17" t="s">
        <v>48</v>
      </c>
      <c r="G7" s="21" t="s">
        <v>13</v>
      </c>
      <c r="H7" s="23" t="s">
        <v>26</v>
      </c>
      <c r="I7" s="23" t="s">
        <v>27</v>
      </c>
      <c r="J7" s="23" t="s">
        <v>28</v>
      </c>
      <c r="K7" s="23" t="s">
        <v>29</v>
      </c>
      <c r="L7" s="24"/>
      <c r="M7" s="21"/>
      <c r="N7" s="21"/>
      <c r="O7" s="17"/>
    </row>
  </sheetData>
  <phoneticPr fontId="17"/>
  <pageMargins left="0.7" right="0.7" top="0.75" bottom="0.75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4"/>
  <sheetViews>
    <sheetView showGridLines="0" zoomScale="75" zoomScaleNormal="75" zoomScalePageLayoutView="75" workbookViewId="0">
      <pane ySplit="1" topLeftCell="A2" activePane="bottomLeft" state="frozen"/>
      <selection activeCell="A266" sqref="A266:XFD266"/>
      <selection pane="bottomLeft" activeCell="H4" sqref="H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64</v>
      </c>
      <c r="B1" s="13" t="s">
        <v>32</v>
      </c>
      <c r="C1" s="3" t="s">
        <v>31</v>
      </c>
      <c r="D1" s="3" t="s">
        <v>76</v>
      </c>
      <c r="E1" s="3" t="s">
        <v>79</v>
      </c>
      <c r="F1" s="3" t="s">
        <v>80</v>
      </c>
      <c r="G1" s="3" t="s">
        <v>77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56</v>
      </c>
      <c r="O1" s="13" t="s">
        <v>39</v>
      </c>
      <c r="P1" s="3" t="s">
        <v>58</v>
      </c>
      <c r="Q1" s="13" t="s">
        <v>38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</row>
    <row r="2" spans="1:22" ht="21" customHeight="1" x14ac:dyDescent="0.15">
      <c r="A2" s="2">
        <v>7300010</v>
      </c>
      <c r="B2" s="6">
        <v>1053</v>
      </c>
      <c r="C2" s="7" t="str">
        <f t="shared" ref="C2:C4" si="0">D2&amp;J2&amp;E2&amp;F2&amp;G2</f>
        <v>Premium5R3less</v>
      </c>
      <c r="D2" s="7" t="str">
        <f t="shared" ref="D2:D4" si="1">IF(I2="PremiumSS",I2,IF(I2="PremiumSSS",I2,IF(I2="PremiumW",I2,"Premium")))</f>
        <v>Premium</v>
      </c>
      <c r="E2" s="7" t="str">
        <f>IF(COUNTIF('R6追加前'!A:A,B2)=0,IF(I2="PremiumSS","R5only","R3less"),"")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常夏の眩獣 麒麟</v>
      </c>
      <c r="I2" s="7" t="str">
        <f>VLOOKUP(B2,[1]characters!$A:$J,10,FALSE)</f>
        <v>DropWizS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balance</v>
      </c>
      <c r="M2" s="7" t="str">
        <f>VLOOKUP(B2,[1]characters!$A:$M,13,FALSE)</f>
        <v>god</v>
      </c>
      <c r="N2" s="7" t="str">
        <f>VLOOKUP(B2,[1]characters!$A:$G,7,FALSE)</f>
        <v>男性</v>
      </c>
      <c r="O2" s="34">
        <v>1500</v>
      </c>
      <c r="P2" s="35">
        <f>O2/SUM(O:O)</f>
        <v>0.15</v>
      </c>
      <c r="Q2" s="28">
        <v>1</v>
      </c>
      <c r="R2" s="28">
        <v>0</v>
      </c>
      <c r="S2" s="28">
        <v>0</v>
      </c>
      <c r="T2" s="28">
        <v>0</v>
      </c>
      <c r="U2" s="28">
        <v>0</v>
      </c>
      <c r="V2" s="28">
        <v>1</v>
      </c>
    </row>
    <row r="3" spans="1:22" ht="21" customHeight="1" x14ac:dyDescent="0.15">
      <c r="A3" s="2">
        <v>7300010</v>
      </c>
      <c r="B3" s="6">
        <v>837</v>
      </c>
      <c r="C3" s="7" t="str">
        <f t="shared" si="0"/>
        <v>Premium6R3less</v>
      </c>
      <c r="D3" s="7" t="str">
        <f t="shared" si="1"/>
        <v>Premium</v>
      </c>
      <c r="E3" s="7" t="str">
        <f>IF(COUNTIF('R6追加前'!A:A,B3)=0,IF(I3="PremiumSS","R5only","R3less"),"")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リトルハンプティ</v>
      </c>
      <c r="I3" s="7" t="str">
        <f>VLOOKUP(B3,[1]characters!$A:$J,10,FALSE)</f>
        <v>material</v>
      </c>
      <c r="J3" s="7">
        <f>VLOOKUP(B3,[1]characters!$A:$I,9,FALSE)</f>
        <v>6</v>
      </c>
      <c r="K3" s="7" t="str">
        <f>VLOOKUP(B3,[1]characters!$A:$H,8,FALSE)</f>
        <v>yellow</v>
      </c>
      <c r="L3" s="7" t="str">
        <f>VLOOKUP(B3,[1]characters!$A:$K,11,FALSE)</f>
        <v>evolution</v>
      </c>
      <c r="M3" s="7" t="str">
        <f>VLOOKUP(B3,[1]characters!$A:$M,13,FALSE)</f>
        <v>unknown</v>
      </c>
      <c r="N3" s="7" t="str">
        <f>VLOOKUP(B3,[1]characters!$A:$G,7,FALSE)</f>
        <v>男性</v>
      </c>
      <c r="O3" s="34">
        <v>100</v>
      </c>
      <c r="P3" s="35">
        <f>O3/SUM(O:O)</f>
        <v>0.01</v>
      </c>
      <c r="Q3" s="28">
        <v>1</v>
      </c>
      <c r="R3" s="28">
        <v>0</v>
      </c>
      <c r="S3" s="28">
        <v>0</v>
      </c>
      <c r="T3" s="28">
        <v>0</v>
      </c>
      <c r="U3" s="28">
        <v>0</v>
      </c>
      <c r="V3" s="28">
        <v>1</v>
      </c>
    </row>
    <row r="4" spans="1:22" ht="21" customHeight="1" x14ac:dyDescent="0.15">
      <c r="A4" s="2">
        <v>7300010</v>
      </c>
      <c r="B4" s="6">
        <v>334</v>
      </c>
      <c r="C4" s="7" t="str">
        <f t="shared" si="0"/>
        <v>Premium5R3less</v>
      </c>
      <c r="D4" s="7" t="str">
        <f t="shared" si="1"/>
        <v>Premium</v>
      </c>
      <c r="E4" s="7" t="str">
        <f>IF(COUNTIF('R6追加前'!A:A,B4)=0,IF(I4="PremiumSS","R5only","R3less"),"")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炎のメタルダック</v>
      </c>
      <c r="I4" s="7" t="str">
        <f>VLOOKUP(B4,[1]characters!$A:$J,10,FALSE)</f>
        <v>Material</v>
      </c>
      <c r="J4" s="7">
        <f>VLOOKUP(B4,[1]characters!$A:$I,9,FALSE)</f>
        <v>5</v>
      </c>
      <c r="K4" s="7" t="str">
        <f>VLOOKUP(B4,[1]characters!$A:$H,8,FALSE)</f>
        <v>red</v>
      </c>
      <c r="L4" s="7" t="str">
        <f>VLOOKUP(B4,[1]characters!$A:$K,11,FALSE)</f>
        <v>exp</v>
      </c>
      <c r="M4" s="7" t="str">
        <f>VLOOKUP(B4,[1]characters!$A:$M,13,FALSE)</f>
        <v>unknown</v>
      </c>
      <c r="N4" s="7" t="str">
        <f>VLOOKUP(B4,[1]characters!$A:$G,7,FALSE)</f>
        <v>不明</v>
      </c>
      <c r="O4" s="34">
        <v>500</v>
      </c>
      <c r="P4" s="35">
        <f>O4/SUM(O:O)</f>
        <v>0.05</v>
      </c>
      <c r="Q4" s="28">
        <v>1</v>
      </c>
      <c r="R4" s="28">
        <v>0</v>
      </c>
      <c r="S4" s="28">
        <v>0</v>
      </c>
      <c r="T4" s="28">
        <v>0</v>
      </c>
      <c r="U4" s="28">
        <v>0</v>
      </c>
      <c r="V4" s="28">
        <v>1</v>
      </c>
    </row>
    <row r="5" spans="1:22" ht="21" customHeight="1" x14ac:dyDescent="0.15">
      <c r="A5" s="2">
        <v>7300010</v>
      </c>
      <c r="B5" s="6">
        <v>338</v>
      </c>
      <c r="C5" s="7" t="str">
        <f t="shared" ref="C5:C8" si="2">D5&amp;J5&amp;E5&amp;F5&amp;G5</f>
        <v>Premium5R3less</v>
      </c>
      <c r="D5" s="7" t="str">
        <f t="shared" ref="D5:D8" si="3">IF(I5="PremiumSS",I5,IF(I5="PremiumSSS",I5,IF(I5="PremiumW",I5,"Premium")))</f>
        <v>Premium</v>
      </c>
      <c r="E5" s="7" t="str">
        <f>IF(COUNTIF('R6追加前'!A:A,B5)=0,IF(I5="PremiumSS","R5only","R3less"),"")</f>
        <v>R3less</v>
      </c>
      <c r="F5" s="7" t="str">
        <f>IF(COUNTIF('R6開放'!A:A,B5)&gt;0,"R6release","")</f>
        <v/>
      </c>
      <c r="G5" s="7"/>
      <c r="H5" s="7" t="str">
        <f>VLOOKUP(B5,[1]characters!$A:$C,3,FALSE)</f>
        <v>森のメタルダック</v>
      </c>
      <c r="I5" s="7" t="str">
        <f>VLOOKUP(B5,[1]characters!$A:$J,10,FALSE)</f>
        <v>Material</v>
      </c>
      <c r="J5" s="7">
        <f>VLOOKUP(B5,[1]characters!$A:$I,9,FALSE)</f>
        <v>5</v>
      </c>
      <c r="K5" s="7" t="str">
        <f>VLOOKUP(B5,[1]characters!$A:$H,8,FALSE)</f>
        <v>green</v>
      </c>
      <c r="L5" s="7" t="str">
        <f>VLOOKUP(B5,[1]characters!$A:$K,11,FALSE)</f>
        <v>exp</v>
      </c>
      <c r="M5" s="7" t="str">
        <f>VLOOKUP(B5,[1]characters!$A:$M,13,FALSE)</f>
        <v>unknown</v>
      </c>
      <c r="N5" s="7" t="str">
        <f>VLOOKUP(B5,[1]characters!$A:$G,7,FALSE)</f>
        <v>不明</v>
      </c>
      <c r="O5" s="34">
        <v>500</v>
      </c>
      <c r="P5" s="35">
        <f t="shared" ref="P5:P24" si="4">O5/SUM(O:O)</f>
        <v>0.05</v>
      </c>
      <c r="Q5" s="28">
        <v>1</v>
      </c>
      <c r="R5" s="28">
        <v>0</v>
      </c>
      <c r="S5" s="28">
        <v>0</v>
      </c>
      <c r="T5" s="28">
        <v>0</v>
      </c>
      <c r="U5" s="28">
        <v>0</v>
      </c>
      <c r="V5" s="28">
        <v>1</v>
      </c>
    </row>
    <row r="6" spans="1:22" ht="21" customHeight="1" x14ac:dyDescent="0.15">
      <c r="A6" s="2">
        <v>7300010</v>
      </c>
      <c r="B6" s="6">
        <v>342</v>
      </c>
      <c r="C6" s="7" t="str">
        <f t="shared" si="2"/>
        <v>Premium5R3less</v>
      </c>
      <c r="D6" s="7" t="str">
        <f t="shared" si="3"/>
        <v>Premium</v>
      </c>
      <c r="E6" s="7" t="str">
        <f>IF(COUNTIF('R6追加前'!A:A,B6)=0,IF(I6="PremiumSS","R5only","R3less"),"")</f>
        <v>R3less</v>
      </c>
      <c r="F6" s="7" t="str">
        <f>IF(COUNTIF('R6開放'!A:A,B6)&gt;0,"R6release","")</f>
        <v/>
      </c>
      <c r="G6" s="7"/>
      <c r="H6" s="7" t="str">
        <f>VLOOKUP(B6,[1]characters!$A:$C,3,FALSE)</f>
        <v>水のメタルダック</v>
      </c>
      <c r="I6" s="7" t="str">
        <f>VLOOKUP(B6,[1]characters!$A:$J,10,FALSE)</f>
        <v>Material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exp</v>
      </c>
      <c r="M6" s="7" t="str">
        <f>VLOOKUP(B6,[1]characters!$A:$M,13,FALSE)</f>
        <v>unknown</v>
      </c>
      <c r="N6" s="7" t="str">
        <f>VLOOKUP(B6,[1]characters!$A:$G,7,FALSE)</f>
        <v>不明</v>
      </c>
      <c r="O6" s="34">
        <v>500</v>
      </c>
      <c r="P6" s="35">
        <f t="shared" si="4"/>
        <v>0.05</v>
      </c>
      <c r="Q6" s="28">
        <v>1</v>
      </c>
      <c r="R6" s="28">
        <v>0</v>
      </c>
      <c r="S6" s="28">
        <v>0</v>
      </c>
      <c r="T6" s="28">
        <v>0</v>
      </c>
      <c r="U6" s="28">
        <v>0</v>
      </c>
      <c r="V6" s="28">
        <v>1</v>
      </c>
    </row>
    <row r="7" spans="1:22" ht="21" customHeight="1" x14ac:dyDescent="0.15">
      <c r="A7" s="2">
        <v>7300010</v>
      </c>
      <c r="B7" s="6">
        <v>346</v>
      </c>
      <c r="C7" s="7" t="str">
        <f t="shared" si="2"/>
        <v>Premium5R3less</v>
      </c>
      <c r="D7" s="7" t="str">
        <f t="shared" si="3"/>
        <v>Premium</v>
      </c>
      <c r="E7" s="7" t="str">
        <f>IF(COUNTIF('R6追加前'!A:A,B7)=0,IF(I7="PremiumSS","R5only","R3less"),"")</f>
        <v>R3less</v>
      </c>
      <c r="F7" s="7" t="str">
        <f>IF(COUNTIF('R6開放'!A:A,B7)&gt;0,"R6release","")</f>
        <v/>
      </c>
      <c r="G7" s="7"/>
      <c r="H7" s="7" t="str">
        <f>VLOOKUP(B7,[1]characters!$A:$C,3,FALSE)</f>
        <v>雷のメタルダック</v>
      </c>
      <c r="I7" s="7" t="str">
        <f>VLOOKUP(B7,[1]characters!$A:$J,10,FALSE)</f>
        <v>Material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exp</v>
      </c>
      <c r="M7" s="7" t="str">
        <f>VLOOKUP(B7,[1]characters!$A:$M,13,FALSE)</f>
        <v>unknown</v>
      </c>
      <c r="N7" s="7" t="str">
        <f>VLOOKUP(B7,[1]characters!$A:$G,7,FALSE)</f>
        <v>不明</v>
      </c>
      <c r="O7" s="34">
        <v>500</v>
      </c>
      <c r="P7" s="35">
        <f t="shared" si="4"/>
        <v>0.05</v>
      </c>
      <c r="Q7" s="28">
        <v>1</v>
      </c>
      <c r="R7" s="28">
        <v>0</v>
      </c>
      <c r="S7" s="28">
        <v>0</v>
      </c>
      <c r="T7" s="28">
        <v>0</v>
      </c>
      <c r="U7" s="28">
        <v>0</v>
      </c>
      <c r="V7" s="28">
        <v>1</v>
      </c>
    </row>
    <row r="8" spans="1:22" ht="21" customHeight="1" x14ac:dyDescent="0.15">
      <c r="A8" s="2">
        <v>7300010</v>
      </c>
      <c r="B8" s="6">
        <v>335</v>
      </c>
      <c r="C8" s="7" t="str">
        <f t="shared" si="2"/>
        <v>Premium6R3less</v>
      </c>
      <c r="D8" s="7" t="str">
        <f t="shared" si="3"/>
        <v>Premium</v>
      </c>
      <c r="E8" s="7" t="str">
        <f>IF(COUNTIF('R6追加前'!A:A,B8)=0,IF(I8="PremiumSS","R5only","R3less"),"")</f>
        <v>R3less</v>
      </c>
      <c r="F8" s="7" t="str">
        <f>IF(COUNTIF('R6開放'!A:A,B8)&gt;0,"R6release","")</f>
        <v/>
      </c>
      <c r="G8" s="7"/>
      <c r="H8" s="7" t="str">
        <f>VLOOKUP(B8,[1]characters!$A:$C,3,FALSE)</f>
        <v>炎のメタルジェントル</v>
      </c>
      <c r="I8" s="7" t="str">
        <f>VLOOKUP(B8,[1]characters!$A:$J,10,FALSE)</f>
        <v>Material</v>
      </c>
      <c r="J8" s="7">
        <f>VLOOKUP(B8,[1]characters!$A:$I,9,FALSE)</f>
        <v>6</v>
      </c>
      <c r="K8" s="7" t="str">
        <f>VLOOKUP(B8,[1]characters!$A:$H,8,FALSE)</f>
        <v>red</v>
      </c>
      <c r="L8" s="7" t="str">
        <f>VLOOKUP(B8,[1]characters!$A:$K,11,FALSE)</f>
        <v>exp</v>
      </c>
      <c r="M8" s="7" t="str">
        <f>VLOOKUP(B8,[1]characters!$A:$M,13,FALSE)</f>
        <v>unknown</v>
      </c>
      <c r="N8" s="7" t="str">
        <f>VLOOKUP(B8,[1]characters!$A:$G,7,FALSE)</f>
        <v>不明</v>
      </c>
      <c r="O8" s="34">
        <v>125</v>
      </c>
      <c r="P8" s="35">
        <f>O8/SUM(O:O)</f>
        <v>1.2500000000000001E-2</v>
      </c>
      <c r="Q8" s="28">
        <v>1</v>
      </c>
      <c r="R8" s="28">
        <v>0</v>
      </c>
      <c r="S8" s="28">
        <v>0</v>
      </c>
      <c r="T8" s="28">
        <v>0</v>
      </c>
      <c r="U8" s="28">
        <v>0</v>
      </c>
      <c r="V8" s="28">
        <v>1</v>
      </c>
    </row>
    <row r="9" spans="1:22" ht="21" customHeight="1" x14ac:dyDescent="0.15">
      <c r="A9" s="2">
        <v>7300010</v>
      </c>
      <c r="B9" s="6">
        <v>339</v>
      </c>
      <c r="C9" s="7" t="str">
        <f t="shared" ref="C9:C11" si="5">D9&amp;J9&amp;E9&amp;F9&amp;G9</f>
        <v>Premium6R3less</v>
      </c>
      <c r="D9" s="7" t="str">
        <f t="shared" ref="D9:D11" si="6">IF(I9="PremiumSS",I9,IF(I9="PremiumSSS",I9,IF(I9="PremiumW",I9,"Premium")))</f>
        <v>Premium</v>
      </c>
      <c r="E9" s="7" t="str">
        <f>IF(COUNTIF('R6追加前'!A:A,B9)=0,IF(I9="PremiumSS","R5only","R3less"),"")</f>
        <v>R3less</v>
      </c>
      <c r="F9" s="7" t="str">
        <f>IF(COUNTIF('R6開放'!A:A,B9)&gt;0,"R6release","")</f>
        <v/>
      </c>
      <c r="G9" s="7"/>
      <c r="H9" s="7" t="str">
        <f>VLOOKUP(B9,[1]characters!$A:$C,3,FALSE)</f>
        <v>森のメタルジェントル</v>
      </c>
      <c r="I9" s="7" t="str">
        <f>VLOOKUP(B9,[1]characters!$A:$J,10,FALSE)</f>
        <v>Material</v>
      </c>
      <c r="J9" s="7">
        <f>VLOOKUP(B9,[1]characters!$A:$I,9,FALSE)</f>
        <v>6</v>
      </c>
      <c r="K9" s="7" t="str">
        <f>VLOOKUP(B9,[1]characters!$A:$H,8,FALSE)</f>
        <v>green</v>
      </c>
      <c r="L9" s="7" t="str">
        <f>VLOOKUP(B9,[1]characters!$A:$K,11,FALSE)</f>
        <v>exp</v>
      </c>
      <c r="M9" s="7" t="str">
        <f>VLOOKUP(B9,[1]characters!$A:$M,13,FALSE)</f>
        <v>unknown</v>
      </c>
      <c r="N9" s="7" t="str">
        <f>VLOOKUP(B9,[1]characters!$A:$G,7,FALSE)</f>
        <v>不明</v>
      </c>
      <c r="O9" s="34">
        <v>125</v>
      </c>
      <c r="P9" s="35">
        <f t="shared" si="4"/>
        <v>1.2500000000000001E-2</v>
      </c>
      <c r="Q9" s="28">
        <v>1</v>
      </c>
      <c r="R9" s="28">
        <v>0</v>
      </c>
      <c r="S9" s="28">
        <v>0</v>
      </c>
      <c r="T9" s="28">
        <v>0</v>
      </c>
      <c r="U9" s="28">
        <v>0</v>
      </c>
      <c r="V9" s="28">
        <v>1</v>
      </c>
    </row>
    <row r="10" spans="1:22" ht="21" customHeight="1" x14ac:dyDescent="0.15">
      <c r="A10" s="2">
        <v>7300010</v>
      </c>
      <c r="B10" s="6">
        <v>343</v>
      </c>
      <c r="C10" s="7" t="str">
        <f t="shared" si="5"/>
        <v>Premium6R3less</v>
      </c>
      <c r="D10" s="7" t="str">
        <f t="shared" si="6"/>
        <v>Premium</v>
      </c>
      <c r="E10" s="7" t="str">
        <f>IF(COUNTIF('R6追加前'!A:A,B10)=0,IF(I10="PremiumSS","R5only","R3less"),"")</f>
        <v>R3less</v>
      </c>
      <c r="F10" s="7" t="str">
        <f>IF(COUNTIF('R6開放'!A:A,B10)&gt;0,"R6release","")</f>
        <v/>
      </c>
      <c r="G10" s="7"/>
      <c r="H10" s="7" t="str">
        <f>VLOOKUP(B10,[1]characters!$A:$C,3,FALSE)</f>
        <v>水のメタルジェントル</v>
      </c>
      <c r="I10" s="7" t="str">
        <f>VLOOKUP(B10,[1]characters!$A:$J,10,FALSE)</f>
        <v>Material</v>
      </c>
      <c r="J10" s="7">
        <f>VLOOKUP(B10,[1]characters!$A:$I,9,FALSE)</f>
        <v>6</v>
      </c>
      <c r="K10" s="7" t="str">
        <f>VLOOKUP(B10,[1]characters!$A:$H,8,FALSE)</f>
        <v>blue</v>
      </c>
      <c r="L10" s="7" t="str">
        <f>VLOOKUP(B10,[1]characters!$A:$K,11,FALSE)</f>
        <v>exp</v>
      </c>
      <c r="M10" s="7" t="str">
        <f>VLOOKUP(B10,[1]characters!$A:$M,13,FALSE)</f>
        <v>unknown</v>
      </c>
      <c r="N10" s="7" t="str">
        <f>VLOOKUP(B10,[1]characters!$A:$G,7,FALSE)</f>
        <v>不明</v>
      </c>
      <c r="O10" s="34">
        <v>125</v>
      </c>
      <c r="P10" s="35">
        <f t="shared" si="4"/>
        <v>1.2500000000000001E-2</v>
      </c>
      <c r="Q10" s="28">
        <v>1</v>
      </c>
      <c r="R10" s="28">
        <v>0</v>
      </c>
      <c r="S10" s="28">
        <v>0</v>
      </c>
      <c r="T10" s="28">
        <v>0</v>
      </c>
      <c r="U10" s="28">
        <v>0</v>
      </c>
      <c r="V10" s="28">
        <v>1</v>
      </c>
    </row>
    <row r="11" spans="1:22" ht="21" customHeight="1" x14ac:dyDescent="0.15">
      <c r="A11" s="2">
        <v>7300010</v>
      </c>
      <c r="B11" s="6">
        <v>347</v>
      </c>
      <c r="C11" s="7" t="str">
        <f t="shared" si="5"/>
        <v>Premium6R3less</v>
      </c>
      <c r="D11" s="7" t="str">
        <f t="shared" si="6"/>
        <v>Premium</v>
      </c>
      <c r="E11" s="7" t="str">
        <f>IF(COUNTIF('R6追加前'!A:A,B11)=0,IF(I11="PremiumSS","R5only","R3less"),"")</f>
        <v>R3less</v>
      </c>
      <c r="F11" s="7" t="str">
        <f>IF(COUNTIF('R6開放'!A:A,B11)&gt;0,"R6release","")</f>
        <v/>
      </c>
      <c r="G11" s="7"/>
      <c r="H11" s="7" t="str">
        <f>VLOOKUP(B11,[1]characters!$A:$C,3,FALSE)</f>
        <v>雷のメタルジェントル</v>
      </c>
      <c r="I11" s="7" t="str">
        <f>VLOOKUP(B11,[1]characters!$A:$J,10,FALSE)</f>
        <v>Material</v>
      </c>
      <c r="J11" s="7">
        <f>VLOOKUP(B11,[1]characters!$A:$I,9,FALSE)</f>
        <v>6</v>
      </c>
      <c r="K11" s="7" t="str">
        <f>VLOOKUP(B11,[1]characters!$A:$H,8,FALSE)</f>
        <v>yellow</v>
      </c>
      <c r="L11" s="7" t="str">
        <f>VLOOKUP(B11,[1]characters!$A:$K,11,FALSE)</f>
        <v>exp</v>
      </c>
      <c r="M11" s="7" t="str">
        <f>VLOOKUP(B11,[1]characters!$A:$M,13,FALSE)</f>
        <v>unknown</v>
      </c>
      <c r="N11" s="7" t="str">
        <f>VLOOKUP(B11,[1]characters!$A:$G,7,FALSE)</f>
        <v>不明</v>
      </c>
      <c r="O11" s="34">
        <v>125</v>
      </c>
      <c r="P11" s="35">
        <f t="shared" si="4"/>
        <v>1.2500000000000001E-2</v>
      </c>
      <c r="Q11" s="28">
        <v>1</v>
      </c>
      <c r="R11" s="28">
        <v>0</v>
      </c>
      <c r="S11" s="28">
        <v>0</v>
      </c>
      <c r="T11" s="28">
        <v>0</v>
      </c>
      <c r="U11" s="28">
        <v>0</v>
      </c>
      <c r="V11" s="28">
        <v>1</v>
      </c>
    </row>
    <row r="12" spans="1:22" ht="21" customHeight="1" x14ac:dyDescent="0.15">
      <c r="A12" s="2">
        <v>7300010</v>
      </c>
      <c r="B12" s="6">
        <v>119</v>
      </c>
      <c r="C12" s="7" t="str">
        <f t="shared" ref="C12:C13" si="7">D12&amp;J12&amp;E12&amp;F12&amp;G12</f>
        <v>Premium5R3less</v>
      </c>
      <c r="D12" s="7" t="str">
        <f t="shared" ref="D12:D13" si="8">IF(I12="PremiumSS",I12,IF(I12="PremiumSSS",I12,IF(I12="PremiumW",I12,"Premium")))</f>
        <v>Premium</v>
      </c>
      <c r="E12" s="7" t="str">
        <f>IF(COUNTIF('R6追加前'!A:A,B12)=0,IF(I12="PremiumSS","R5only","R3less"),"")</f>
        <v>R3less</v>
      </c>
      <c r="F12" s="7" t="str">
        <f>IF(COUNTIF('R6開放'!A:A,B12)&gt;0,"R6release","")</f>
        <v/>
      </c>
      <c r="G12" s="7"/>
      <c r="H12" s="7" t="str">
        <f>VLOOKUP(B12,[1]characters!$A:$C,3,FALSE)</f>
        <v>ゴールドダック</v>
      </c>
      <c r="I12" s="7" t="str">
        <f>VLOOKUP(B12,[1]characters!$A:$J,10,FALSE)</f>
        <v>Material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coin</v>
      </c>
      <c r="M12" s="7" t="str">
        <f>VLOOKUP(B12,[1]characters!$A:$M,13,FALSE)</f>
        <v>unknown</v>
      </c>
      <c r="N12" s="7" t="str">
        <f>VLOOKUP(B12,[1]characters!$A:$G,7,FALSE)</f>
        <v>不明</v>
      </c>
      <c r="O12" s="34">
        <v>2100</v>
      </c>
      <c r="P12" s="35">
        <f t="shared" si="4"/>
        <v>0.21</v>
      </c>
      <c r="Q12" s="28">
        <v>1</v>
      </c>
      <c r="R12" s="28">
        <v>0</v>
      </c>
      <c r="S12" s="28">
        <v>0</v>
      </c>
      <c r="T12" s="28">
        <v>0</v>
      </c>
      <c r="U12" s="28">
        <v>0</v>
      </c>
      <c r="V12" s="28">
        <v>1</v>
      </c>
    </row>
    <row r="13" spans="1:22" ht="21" customHeight="1" x14ac:dyDescent="0.15">
      <c r="A13" s="2">
        <v>7300010</v>
      </c>
      <c r="B13" s="6">
        <v>120</v>
      </c>
      <c r="C13" s="7" t="str">
        <f t="shared" si="7"/>
        <v>Premium6R3less</v>
      </c>
      <c r="D13" s="7" t="str">
        <f t="shared" si="8"/>
        <v>Premium</v>
      </c>
      <c r="E13" s="7" t="str">
        <f>IF(COUNTIF('R6追加前'!A:A,B13)=0,IF(I13="PremiumSS","R5only","R3less"),"")</f>
        <v>R3less</v>
      </c>
      <c r="F13" s="7" t="str">
        <f>IF(COUNTIF('R6開放'!A:A,B13)&gt;0,"R6release","")</f>
        <v/>
      </c>
      <c r="G13" s="7"/>
      <c r="H13" s="7" t="str">
        <f>VLOOKUP(B13,[1]characters!$A:$C,3,FALSE)</f>
        <v>ゴールドキング</v>
      </c>
      <c r="I13" s="7" t="str">
        <f>VLOOKUP(B13,[1]characters!$A:$J,10,FALSE)</f>
        <v>Material</v>
      </c>
      <c r="J13" s="7">
        <f>VLOOKUP(B13,[1]characters!$A:$I,9,FALSE)</f>
        <v>6</v>
      </c>
      <c r="K13" s="7" t="str">
        <f>VLOOKUP(B13,[1]characters!$A:$H,8,FALSE)</f>
        <v>yellow</v>
      </c>
      <c r="L13" s="7" t="str">
        <f>VLOOKUP(B13,[1]characters!$A:$K,11,FALSE)</f>
        <v>coin</v>
      </c>
      <c r="M13" s="7" t="str">
        <f>VLOOKUP(B13,[1]characters!$A:$M,13,FALSE)</f>
        <v>unknown</v>
      </c>
      <c r="N13" s="7" t="str">
        <f>VLOOKUP(B13,[1]characters!$A:$G,7,FALSE)</f>
        <v>不明</v>
      </c>
      <c r="O13" s="34">
        <v>500</v>
      </c>
      <c r="P13" s="35">
        <f t="shared" si="4"/>
        <v>0.05</v>
      </c>
      <c r="Q13" s="28">
        <v>1</v>
      </c>
      <c r="R13" s="28">
        <v>0</v>
      </c>
      <c r="S13" s="28">
        <v>0</v>
      </c>
      <c r="T13" s="28">
        <v>0</v>
      </c>
      <c r="U13" s="28">
        <v>0</v>
      </c>
      <c r="V13" s="28">
        <v>1</v>
      </c>
    </row>
    <row r="14" spans="1:22" ht="21" customHeight="1" x14ac:dyDescent="0.15">
      <c r="A14" s="2">
        <v>7300010</v>
      </c>
      <c r="B14" s="6">
        <v>125</v>
      </c>
      <c r="C14" s="7" t="str">
        <f t="shared" ref="C14:C15" si="9">D14&amp;J14&amp;E14&amp;F14&amp;G14</f>
        <v>Premium3R3less</v>
      </c>
      <c r="D14" s="7" t="str">
        <f t="shared" ref="D14:D15" si="10">IF(I14="PremiumSS",I14,IF(I14="PremiumSSS",I14,IF(I14="PremiumW",I14,"Premium")))</f>
        <v>Premium</v>
      </c>
      <c r="E14" s="7" t="str">
        <f>IF(COUNTIF('R6追加前'!A:A,B14)=0,IF(I14="PremiumSS","R5only","R3less"),"")</f>
        <v>R3less</v>
      </c>
      <c r="F14" s="7" t="str">
        <f>IF(COUNTIF('R6開放'!A:A,B14)&gt;0,"R6release","")</f>
        <v/>
      </c>
      <c r="G14" s="7"/>
      <c r="H14" s="7" t="str">
        <f>VLOOKUP(B14,[1]characters!$A:$C,3,FALSE)</f>
        <v>秘術の果実</v>
      </c>
      <c r="I14" s="7" t="str">
        <f>VLOOKUP(B14,[1]characters!$A:$J,10,FALSE)</f>
        <v>Material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skilllevel</v>
      </c>
      <c r="M14" s="7" t="str">
        <f>VLOOKUP(B14,[1]characters!$A:$M,13,FALSE)</f>
        <v>unknown</v>
      </c>
      <c r="N14" s="7" t="str">
        <f>VLOOKUP(B14,[1]characters!$A:$G,7,FALSE)</f>
        <v>不明</v>
      </c>
      <c r="O14" s="34">
        <v>400</v>
      </c>
      <c r="P14" s="35">
        <f t="shared" si="4"/>
        <v>0.04</v>
      </c>
      <c r="Q14" s="28">
        <v>1</v>
      </c>
      <c r="R14" s="28">
        <v>0</v>
      </c>
      <c r="S14" s="28">
        <v>0</v>
      </c>
      <c r="T14" s="28">
        <v>0</v>
      </c>
      <c r="U14" s="28">
        <v>0</v>
      </c>
      <c r="V14" s="28">
        <v>1</v>
      </c>
    </row>
    <row r="15" spans="1:22" ht="21" customHeight="1" x14ac:dyDescent="0.15">
      <c r="A15" s="2">
        <v>7300010</v>
      </c>
      <c r="B15" s="6">
        <v>610</v>
      </c>
      <c r="C15" s="7" t="str">
        <f t="shared" si="9"/>
        <v>Premium4R3less</v>
      </c>
      <c r="D15" s="7" t="str">
        <f t="shared" si="10"/>
        <v>Premium</v>
      </c>
      <c r="E15" s="7" t="str">
        <f>IF(COUNTIF('R6追加前'!A:A,B15)=0,IF(I15="PremiumSS","R5only","R3less"),"")</f>
        <v>R3less</v>
      </c>
      <c r="F15" s="7" t="str">
        <f>IF(COUNTIF('R6開放'!A:A,B15)&gt;0,"R6release","")</f>
        <v/>
      </c>
      <c r="G15" s="7"/>
      <c r="H15" s="7" t="str">
        <f>VLOOKUP(B15,[1]characters!$A:$C,3,FALSE)</f>
        <v>メガ秘術の果実</v>
      </c>
      <c r="I15" s="7" t="str">
        <f>VLOOKUP(B15,[1]characters!$A:$J,10,FALSE)</f>
        <v>Material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skilllevel</v>
      </c>
      <c r="M15" s="7" t="str">
        <f>VLOOKUP(B15,[1]characters!$A:$M,13,FALSE)</f>
        <v>unknown</v>
      </c>
      <c r="N15" s="7" t="str">
        <f>VLOOKUP(B15,[1]characters!$A:$G,7,FALSE)</f>
        <v>不明</v>
      </c>
      <c r="O15" s="34">
        <v>200</v>
      </c>
      <c r="P15" s="35">
        <f t="shared" si="4"/>
        <v>0.02</v>
      </c>
      <c r="Q15" s="28">
        <v>1</v>
      </c>
      <c r="R15" s="28">
        <v>0</v>
      </c>
      <c r="S15" s="28">
        <v>0</v>
      </c>
      <c r="T15" s="28">
        <v>0</v>
      </c>
      <c r="U15" s="28">
        <v>0</v>
      </c>
      <c r="V15" s="28">
        <v>1</v>
      </c>
    </row>
    <row r="16" spans="1:22" ht="21" customHeight="1" x14ac:dyDescent="0.15">
      <c r="A16" s="2">
        <v>7300010</v>
      </c>
      <c r="B16" s="6">
        <v>121</v>
      </c>
      <c r="C16" s="7" t="str">
        <f t="shared" ref="C16:C18" si="11">D16&amp;J16&amp;E16&amp;F16&amp;G16</f>
        <v>Premium3R3less</v>
      </c>
      <c r="D16" s="7" t="str">
        <f t="shared" ref="D16:D18" si="12">IF(I16="PremiumSS",I16,IF(I16="PremiumSSS",I16,IF(I16="PremiumW",I16,"Premium")))</f>
        <v>Premium</v>
      </c>
      <c r="E16" s="7" t="str">
        <f>IF(COUNTIF('R6追加前'!A:A,B16)=0,IF(I16="PremiumSS","R5only","R3less"),"")</f>
        <v>R3less</v>
      </c>
      <c r="F16" s="7" t="str">
        <f>IF(COUNTIF('R6開放'!A:A,B16)&gt;0,"R6release","")</f>
        <v/>
      </c>
      <c r="G16" s="7"/>
      <c r="H16" s="7" t="str">
        <f>VLOOKUP(B16,[1]characters!$A:$C,3,FALSE)</f>
        <v>攻めの果実</v>
      </c>
      <c r="I16" s="7" t="str">
        <f>VLOOKUP(B16,[1]characters!$A:$J,10,FALSE)</f>
        <v>Material</v>
      </c>
      <c r="J16" s="7">
        <f>VLOOKUP(B16,[1]characters!$A:$I,9,FALSE)</f>
        <v>3</v>
      </c>
      <c r="K16" s="7" t="str">
        <f>VLOOKUP(B16,[1]characters!$A:$H,8,FALSE)</f>
        <v>red</v>
      </c>
      <c r="L16" s="7" t="str">
        <f>VLOOKUP(B16,[1]characters!$A:$K,11,FALSE)</f>
        <v>limitbreak</v>
      </c>
      <c r="M16" s="7" t="str">
        <f>VLOOKUP(B16,[1]characters!$A:$M,13,FALSE)</f>
        <v>unknown</v>
      </c>
      <c r="N16" s="7" t="str">
        <f>VLOOKUP(B16,[1]characters!$A:$G,7,FALSE)</f>
        <v>不明</v>
      </c>
      <c r="O16" s="34">
        <v>400</v>
      </c>
      <c r="P16" s="35">
        <f t="shared" si="4"/>
        <v>0.04</v>
      </c>
      <c r="Q16" s="28">
        <v>1</v>
      </c>
      <c r="R16" s="28">
        <v>0</v>
      </c>
      <c r="S16" s="28">
        <v>0</v>
      </c>
      <c r="T16" s="28">
        <v>0</v>
      </c>
      <c r="U16" s="28">
        <v>0</v>
      </c>
      <c r="V16" s="28">
        <v>1</v>
      </c>
    </row>
    <row r="17" spans="1:22" ht="21" customHeight="1" x14ac:dyDescent="0.15">
      <c r="A17" s="2">
        <v>7300010</v>
      </c>
      <c r="B17" s="6">
        <v>122</v>
      </c>
      <c r="C17" s="7" t="str">
        <f t="shared" si="11"/>
        <v>Premium3R3less</v>
      </c>
      <c r="D17" s="7" t="str">
        <f t="shared" si="12"/>
        <v>Premium</v>
      </c>
      <c r="E17" s="7" t="str">
        <f>IF(COUNTIF('R6追加前'!A:A,B17)=0,IF(I17="PremiumSS","R5only","R3less"),"")</f>
        <v>R3less</v>
      </c>
      <c r="F17" s="7" t="str">
        <f>IF(COUNTIF('R6開放'!A:A,B17)&gt;0,"R6release","")</f>
        <v/>
      </c>
      <c r="G17" s="7"/>
      <c r="H17" s="7" t="str">
        <f>VLOOKUP(B17,[1]characters!$A:$C,3,FALSE)</f>
        <v>生命の果実</v>
      </c>
      <c r="I17" s="7" t="str">
        <f>VLOOKUP(B17,[1]characters!$A:$J,10,FALSE)</f>
        <v>Material</v>
      </c>
      <c r="J17" s="7">
        <f>VLOOKUP(B17,[1]characters!$A:$I,9,FALSE)</f>
        <v>3</v>
      </c>
      <c r="K17" s="7" t="str">
        <f>VLOOKUP(B17,[1]characters!$A:$H,8,FALSE)</f>
        <v>green</v>
      </c>
      <c r="L17" s="7" t="str">
        <f>VLOOKUP(B17,[1]characters!$A:$K,11,FALSE)</f>
        <v>limitbreak</v>
      </c>
      <c r="M17" s="7" t="str">
        <f>VLOOKUP(B17,[1]characters!$A:$M,13,FALSE)</f>
        <v>unknown</v>
      </c>
      <c r="N17" s="7" t="str">
        <f>VLOOKUP(B17,[1]characters!$A:$G,7,FALSE)</f>
        <v>不明</v>
      </c>
      <c r="O17" s="34">
        <v>400</v>
      </c>
      <c r="P17" s="35">
        <f t="shared" si="4"/>
        <v>0.04</v>
      </c>
      <c r="Q17" s="28">
        <v>1</v>
      </c>
      <c r="R17" s="28">
        <v>0</v>
      </c>
      <c r="S17" s="28">
        <v>0</v>
      </c>
      <c r="T17" s="28">
        <v>0</v>
      </c>
      <c r="U17" s="28">
        <v>0</v>
      </c>
      <c r="V17" s="28">
        <v>1</v>
      </c>
    </row>
    <row r="18" spans="1:22" ht="21" customHeight="1" x14ac:dyDescent="0.15">
      <c r="A18" s="2">
        <v>7300010</v>
      </c>
      <c r="B18" s="6">
        <v>123</v>
      </c>
      <c r="C18" s="7" t="str">
        <f t="shared" si="11"/>
        <v>Premium3R3less</v>
      </c>
      <c r="D18" s="7" t="str">
        <f t="shared" si="12"/>
        <v>Premium</v>
      </c>
      <c r="E18" s="7" t="str">
        <f>IF(COUNTIF('R6追加前'!A:A,B18)=0,IF(I18="PremiumSS","R5only","R3less"),"")</f>
        <v>R3less</v>
      </c>
      <c r="F18" s="7" t="str">
        <f>IF(COUNTIF('R6開放'!A:A,B18)&gt;0,"R6release","")</f>
        <v/>
      </c>
      <c r="G18" s="7"/>
      <c r="H18" s="7" t="str">
        <f>VLOOKUP(B18,[1]characters!$A:$C,3,FALSE)</f>
        <v>癒しの果実</v>
      </c>
      <c r="I18" s="7" t="str">
        <f>VLOOKUP(B18,[1]characters!$A:$J,10,FALSE)</f>
        <v>Material</v>
      </c>
      <c r="J18" s="7">
        <f>VLOOKUP(B18,[1]characters!$A:$I,9,FALSE)</f>
        <v>3</v>
      </c>
      <c r="K18" s="7" t="str">
        <f>VLOOKUP(B18,[1]characters!$A:$H,8,FALSE)</f>
        <v>blue</v>
      </c>
      <c r="L18" s="7" t="str">
        <f>VLOOKUP(B18,[1]characters!$A:$K,11,FALSE)</f>
        <v>limitbreak</v>
      </c>
      <c r="M18" s="7" t="str">
        <f>VLOOKUP(B18,[1]characters!$A:$M,13,FALSE)</f>
        <v>unknown</v>
      </c>
      <c r="N18" s="7" t="str">
        <f>VLOOKUP(B18,[1]characters!$A:$G,7,FALSE)</f>
        <v>不明</v>
      </c>
      <c r="O18" s="34">
        <v>400</v>
      </c>
      <c r="P18" s="35">
        <f t="shared" si="4"/>
        <v>0.04</v>
      </c>
      <c r="Q18" s="28">
        <v>1</v>
      </c>
      <c r="R18" s="28">
        <v>0</v>
      </c>
      <c r="S18" s="28">
        <v>0</v>
      </c>
      <c r="T18" s="28">
        <v>0</v>
      </c>
      <c r="U18" s="28">
        <v>0</v>
      </c>
      <c r="V18" s="28">
        <v>1</v>
      </c>
    </row>
    <row r="19" spans="1:22" ht="21" customHeight="1" x14ac:dyDescent="0.15">
      <c r="A19" s="2">
        <v>7300010</v>
      </c>
      <c r="B19" s="6">
        <v>607</v>
      </c>
      <c r="C19" s="7" t="str">
        <f t="shared" ref="C19:C21" si="13">D19&amp;J19&amp;E19&amp;F19&amp;G19</f>
        <v>Premium4R3less</v>
      </c>
      <c r="D19" s="7" t="str">
        <f t="shared" ref="D19:D21" si="14">IF(I19="PremiumSS",I19,IF(I19="PremiumSSS",I19,IF(I19="PremiumW",I19,"Premium")))</f>
        <v>Premium</v>
      </c>
      <c r="E19" s="7" t="str">
        <f>IF(COUNTIF('R6追加前'!A:A,B19)=0,IF(I19="PremiumSS","R5only","R3less"),"")</f>
        <v>R3less</v>
      </c>
      <c r="F19" s="7" t="str">
        <f>IF(COUNTIF('R6開放'!A:A,B19)&gt;0,"R6release","")</f>
        <v/>
      </c>
      <c r="G19" s="7"/>
      <c r="H19" s="7" t="str">
        <f>VLOOKUP(B19,[1]characters!$A:$C,3,FALSE)</f>
        <v>メガ攻めの果実</v>
      </c>
      <c r="I19" s="7" t="str">
        <f>VLOOKUP(B19,[1]characters!$A:$J,10,FALSE)</f>
        <v>Material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limitbreak</v>
      </c>
      <c r="M19" s="7" t="str">
        <f>VLOOKUP(B19,[1]characters!$A:$M,13,FALSE)</f>
        <v>unknown</v>
      </c>
      <c r="N19" s="7" t="str">
        <f>VLOOKUP(B19,[1]characters!$A:$G,7,FALSE)</f>
        <v>不明</v>
      </c>
      <c r="O19" s="34">
        <v>400</v>
      </c>
      <c r="P19" s="35">
        <f t="shared" si="4"/>
        <v>0.04</v>
      </c>
      <c r="Q19" s="28">
        <v>1</v>
      </c>
      <c r="R19" s="28">
        <v>0</v>
      </c>
      <c r="S19" s="28">
        <v>0</v>
      </c>
      <c r="T19" s="28">
        <v>0</v>
      </c>
      <c r="U19" s="28">
        <v>0</v>
      </c>
      <c r="V19" s="28">
        <v>1</v>
      </c>
    </row>
    <row r="20" spans="1:22" ht="21" customHeight="1" x14ac:dyDescent="0.15">
      <c r="A20" s="2">
        <v>7300010</v>
      </c>
      <c r="B20" s="6">
        <v>608</v>
      </c>
      <c r="C20" s="7" t="str">
        <f t="shared" si="13"/>
        <v>Premium4R3less</v>
      </c>
      <c r="D20" s="7" t="str">
        <f t="shared" si="14"/>
        <v>Premium</v>
      </c>
      <c r="E20" s="7" t="str">
        <f>IF(COUNTIF('R6追加前'!A:A,B20)=0,IF(I20="PremiumSS","R5only","R3less"),"")</f>
        <v>R3less</v>
      </c>
      <c r="F20" s="7" t="str">
        <f>IF(COUNTIF('R6開放'!A:A,B20)&gt;0,"R6release","")</f>
        <v/>
      </c>
      <c r="G20" s="7"/>
      <c r="H20" s="7" t="str">
        <f>VLOOKUP(B20,[1]characters!$A:$C,3,FALSE)</f>
        <v>メガ生命の果実</v>
      </c>
      <c r="I20" s="7" t="str">
        <f>VLOOKUP(B20,[1]characters!$A:$J,10,FALSE)</f>
        <v>Material</v>
      </c>
      <c r="J20" s="7">
        <f>VLOOKUP(B20,[1]characters!$A:$I,9,FALSE)</f>
        <v>4</v>
      </c>
      <c r="K20" s="7" t="str">
        <f>VLOOKUP(B20,[1]characters!$A:$H,8,FALSE)</f>
        <v>green</v>
      </c>
      <c r="L20" s="7" t="str">
        <f>VLOOKUP(B20,[1]characters!$A:$K,11,FALSE)</f>
        <v>limitbreak</v>
      </c>
      <c r="M20" s="7" t="str">
        <f>VLOOKUP(B20,[1]characters!$A:$M,13,FALSE)</f>
        <v>unknown</v>
      </c>
      <c r="N20" s="7" t="str">
        <f>VLOOKUP(B20,[1]characters!$A:$G,7,FALSE)</f>
        <v>不明</v>
      </c>
      <c r="O20" s="34">
        <v>400</v>
      </c>
      <c r="P20" s="35">
        <f t="shared" si="4"/>
        <v>0.04</v>
      </c>
      <c r="Q20" s="28">
        <v>1</v>
      </c>
      <c r="R20" s="28">
        <v>0</v>
      </c>
      <c r="S20" s="28">
        <v>0</v>
      </c>
      <c r="T20" s="28">
        <v>0</v>
      </c>
      <c r="U20" s="28">
        <v>0</v>
      </c>
      <c r="V20" s="28">
        <v>1</v>
      </c>
    </row>
    <row r="21" spans="1:22" ht="21" customHeight="1" x14ac:dyDescent="0.15">
      <c r="A21" s="2">
        <v>7300010</v>
      </c>
      <c r="B21" s="6">
        <v>609</v>
      </c>
      <c r="C21" s="7" t="str">
        <f t="shared" si="13"/>
        <v>Premium4R3less</v>
      </c>
      <c r="D21" s="7" t="str">
        <f t="shared" si="14"/>
        <v>Premium</v>
      </c>
      <c r="E21" s="7" t="str">
        <f>IF(COUNTIF('R6追加前'!A:A,B21)=0,IF(I21="PremiumSS","R5only","R3less"),"")</f>
        <v>R3less</v>
      </c>
      <c r="F21" s="7" t="str">
        <f>IF(COUNTIF('R6開放'!A:A,B21)&gt;0,"R6release","")</f>
        <v/>
      </c>
      <c r="G21" s="7"/>
      <c r="H21" s="7" t="str">
        <f>VLOOKUP(B21,[1]characters!$A:$C,3,FALSE)</f>
        <v>メガ癒しの果実</v>
      </c>
      <c r="I21" s="7" t="str">
        <f>VLOOKUP(B21,[1]characters!$A:$J,10,FALSE)</f>
        <v>Material</v>
      </c>
      <c r="J21" s="7">
        <f>VLOOKUP(B21,[1]characters!$A:$I,9,FALSE)</f>
        <v>4</v>
      </c>
      <c r="K21" s="7" t="str">
        <f>VLOOKUP(B21,[1]characters!$A:$H,8,FALSE)</f>
        <v>blue</v>
      </c>
      <c r="L21" s="7" t="str">
        <f>VLOOKUP(B21,[1]characters!$A:$K,11,FALSE)</f>
        <v>limitbreak</v>
      </c>
      <c r="M21" s="7" t="str">
        <f>VLOOKUP(B21,[1]characters!$A:$M,13,FALSE)</f>
        <v>unknown</v>
      </c>
      <c r="N21" s="7" t="str">
        <f>VLOOKUP(B21,[1]characters!$A:$G,7,FALSE)</f>
        <v>不明</v>
      </c>
      <c r="O21" s="34">
        <v>400</v>
      </c>
      <c r="P21" s="35">
        <f t="shared" si="4"/>
        <v>0.04</v>
      </c>
      <c r="Q21" s="28">
        <v>1</v>
      </c>
      <c r="R21" s="28">
        <v>0</v>
      </c>
      <c r="S21" s="28">
        <v>0</v>
      </c>
      <c r="T21" s="28">
        <v>0</v>
      </c>
      <c r="U21" s="28">
        <v>0</v>
      </c>
      <c r="V21" s="28">
        <v>1</v>
      </c>
    </row>
    <row r="22" spans="1:22" ht="21" customHeight="1" x14ac:dyDescent="0.15">
      <c r="A22" s="2">
        <v>7300010</v>
      </c>
      <c r="B22" s="6">
        <v>611</v>
      </c>
      <c r="C22" s="7" t="str">
        <f t="shared" ref="C22:C24" si="15">D22&amp;J22&amp;E22&amp;F22&amp;G22</f>
        <v>Premium5R3less</v>
      </c>
      <c r="D22" s="7" t="str">
        <f t="shared" ref="D22:D24" si="16">IF(I22="PremiumSS",I22,IF(I22="PremiumSSS",I22,IF(I22="PremiumW",I22,"Premium")))</f>
        <v>Premium</v>
      </c>
      <c r="E22" s="7" t="str">
        <f>IF(COUNTIF('R6追加前'!A:A,B22)=0,IF(I22="PremiumSS","R5only","R3less"),"")</f>
        <v>R3less</v>
      </c>
      <c r="F22" s="7" t="str">
        <f>IF(COUNTIF('R6開放'!A:A,B22)&gt;0,"R6release","")</f>
        <v/>
      </c>
      <c r="G22" s="7"/>
      <c r="H22" s="7" t="str">
        <f>VLOOKUP(B22,[1]characters!$A:$C,3,FALSE)</f>
        <v>ギガ攻めの果実</v>
      </c>
      <c r="I22" s="7" t="str">
        <f>VLOOKUP(B22,[1]characters!$A:$J,10,FALSE)</f>
        <v>Material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limitbreak</v>
      </c>
      <c r="M22" s="7" t="str">
        <f>VLOOKUP(B22,[1]characters!$A:$M,13,FALSE)</f>
        <v>unknown</v>
      </c>
      <c r="N22" s="7" t="str">
        <f>VLOOKUP(B22,[1]characters!$A:$G,7,FALSE)</f>
        <v>不明</v>
      </c>
      <c r="O22" s="34">
        <v>100</v>
      </c>
      <c r="P22" s="35">
        <f t="shared" si="4"/>
        <v>0.01</v>
      </c>
      <c r="Q22" s="28">
        <v>1</v>
      </c>
      <c r="R22" s="28">
        <v>0</v>
      </c>
      <c r="S22" s="28">
        <v>0</v>
      </c>
      <c r="T22" s="28">
        <v>0</v>
      </c>
      <c r="U22" s="28">
        <v>0</v>
      </c>
      <c r="V22" s="28">
        <v>1</v>
      </c>
    </row>
    <row r="23" spans="1:22" ht="21" customHeight="1" x14ac:dyDescent="0.15">
      <c r="A23" s="2">
        <v>7300010</v>
      </c>
      <c r="B23" s="6">
        <v>612</v>
      </c>
      <c r="C23" s="7" t="str">
        <f t="shared" si="15"/>
        <v>Premium5R3less</v>
      </c>
      <c r="D23" s="7" t="str">
        <f t="shared" si="16"/>
        <v>Premium</v>
      </c>
      <c r="E23" s="7" t="str">
        <f>IF(COUNTIF('R6追加前'!A:A,B23)=0,IF(I23="PremiumSS","R5only","R3less"),"")</f>
        <v>R3less</v>
      </c>
      <c r="F23" s="7" t="str">
        <f>IF(COUNTIF('R6開放'!A:A,B23)&gt;0,"R6release","")</f>
        <v/>
      </c>
      <c r="G23" s="7"/>
      <c r="H23" s="7" t="str">
        <f>VLOOKUP(B23,[1]characters!$A:$C,3,FALSE)</f>
        <v>ギガ生命の果実</v>
      </c>
      <c r="I23" s="7" t="str">
        <f>VLOOKUP(B23,[1]characters!$A:$J,10,FALSE)</f>
        <v>Material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limitbreak</v>
      </c>
      <c r="M23" s="7" t="str">
        <f>VLOOKUP(B23,[1]characters!$A:$M,13,FALSE)</f>
        <v>unknown</v>
      </c>
      <c r="N23" s="7" t="str">
        <f>VLOOKUP(B23,[1]characters!$A:$G,7,FALSE)</f>
        <v>不明</v>
      </c>
      <c r="O23" s="34">
        <v>100</v>
      </c>
      <c r="P23" s="35">
        <f t="shared" si="4"/>
        <v>0.01</v>
      </c>
      <c r="Q23" s="28">
        <v>1</v>
      </c>
      <c r="R23" s="28">
        <v>0</v>
      </c>
      <c r="S23" s="28">
        <v>0</v>
      </c>
      <c r="T23" s="28">
        <v>0</v>
      </c>
      <c r="U23" s="28">
        <v>0</v>
      </c>
      <c r="V23" s="28">
        <v>1</v>
      </c>
    </row>
    <row r="24" spans="1:22" ht="21" customHeight="1" x14ac:dyDescent="0.15">
      <c r="A24" s="2">
        <v>7300010</v>
      </c>
      <c r="B24" s="6">
        <v>613</v>
      </c>
      <c r="C24" s="7" t="str">
        <f t="shared" si="15"/>
        <v>Premium5R3less</v>
      </c>
      <c r="D24" s="7" t="str">
        <f t="shared" si="16"/>
        <v>Premium</v>
      </c>
      <c r="E24" s="7" t="str">
        <f>IF(COUNTIF('R6追加前'!A:A,B24)=0,IF(I24="PremiumSS","R5only","R3less"),"")</f>
        <v>R3less</v>
      </c>
      <c r="F24" s="7" t="str">
        <f>IF(COUNTIF('R6開放'!A:A,B24)&gt;0,"R6release","")</f>
        <v/>
      </c>
      <c r="G24" s="7"/>
      <c r="H24" s="7" t="str">
        <f>VLOOKUP(B24,[1]characters!$A:$C,3,FALSE)</f>
        <v>ギガ癒しの果実</v>
      </c>
      <c r="I24" s="7" t="str">
        <f>VLOOKUP(B24,[1]characters!$A:$J,10,FALSE)</f>
        <v>Material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limitbreak</v>
      </c>
      <c r="M24" s="7" t="str">
        <f>VLOOKUP(B24,[1]characters!$A:$M,13,FALSE)</f>
        <v>unknown</v>
      </c>
      <c r="N24" s="7" t="str">
        <f>VLOOKUP(B24,[1]characters!$A:$G,7,FALSE)</f>
        <v>不明</v>
      </c>
      <c r="O24" s="34">
        <v>100</v>
      </c>
      <c r="P24" s="35">
        <f t="shared" si="4"/>
        <v>0.01</v>
      </c>
      <c r="Q24" s="28">
        <v>1</v>
      </c>
      <c r="R24" s="28">
        <v>0</v>
      </c>
      <c r="S24" s="28">
        <v>0</v>
      </c>
      <c r="T24" s="28">
        <v>0</v>
      </c>
      <c r="U24" s="28">
        <v>0</v>
      </c>
      <c r="V24" s="28">
        <v>1</v>
      </c>
    </row>
  </sheetData>
  <autoFilter ref="A1:V4"/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V24"/>
  <sheetViews>
    <sheetView showGridLines="0" zoomScale="75" zoomScaleNormal="75" zoomScalePageLayoutView="75" workbookViewId="0">
      <pane ySplit="1" topLeftCell="A2" activePane="bottomLeft" state="frozen"/>
      <selection activeCell="A266" sqref="A266:XFD266"/>
      <selection pane="bottomLeft" activeCell="E19" sqref="E1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64</v>
      </c>
      <c r="B1" s="13" t="s">
        <v>1</v>
      </c>
      <c r="C1" s="3" t="s">
        <v>31</v>
      </c>
      <c r="D1" s="3" t="s">
        <v>76</v>
      </c>
      <c r="E1" s="3" t="s">
        <v>79</v>
      </c>
      <c r="F1" s="3" t="s">
        <v>80</v>
      </c>
      <c r="G1" s="3" t="s">
        <v>77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56</v>
      </c>
      <c r="O1" s="13" t="s">
        <v>2</v>
      </c>
      <c r="P1" s="3" t="s">
        <v>58</v>
      </c>
      <c r="Q1" s="13" t="s">
        <v>38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</row>
    <row r="2" spans="1:22" ht="21" customHeight="1" x14ac:dyDescent="0.15">
      <c r="A2" s="2">
        <v>7301100</v>
      </c>
      <c r="B2" s="6">
        <v>1053</v>
      </c>
      <c r="C2" s="7" t="str">
        <f t="shared" ref="C2:C24" si="0">D2&amp;J2&amp;E2&amp;F2&amp;G2</f>
        <v>Premium5R3less</v>
      </c>
      <c r="D2" s="7" t="str">
        <f t="shared" ref="D2:D24" si="1">IF(I2="PremiumSS",I2,IF(I2="PremiumSSS",I2,IF(I2="PremiumW",I2,"Premium")))</f>
        <v>Premium</v>
      </c>
      <c r="E2" s="7" t="str">
        <f>IF(COUNTIF('R6追加前'!A:A,B2)=0,IF(I2="PremiumSS","R5only","R3less"),"")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常夏の眩獣 麒麟</v>
      </c>
      <c r="I2" s="7" t="str">
        <f>VLOOKUP(B2,[1]characters!$A:$J,10,FALSE)</f>
        <v>DropWizS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balance</v>
      </c>
      <c r="M2" s="7" t="str">
        <f>VLOOKUP(B2,[1]characters!$A:$M,13,FALSE)</f>
        <v>god</v>
      </c>
      <c r="N2" s="7" t="str">
        <f>VLOOKUP(B2,[1]characters!$A:$G,7,FALSE)</f>
        <v>男性</v>
      </c>
      <c r="O2" s="34">
        <v>600</v>
      </c>
      <c r="P2" s="35">
        <f>O2/SUM(O:O)</f>
        <v>0.06</v>
      </c>
      <c r="Q2" s="28">
        <v>1</v>
      </c>
      <c r="R2" s="28">
        <v>0</v>
      </c>
      <c r="S2" s="28">
        <v>0</v>
      </c>
      <c r="T2" s="28">
        <v>0</v>
      </c>
      <c r="U2" s="28">
        <v>0</v>
      </c>
      <c r="V2" s="28">
        <v>1</v>
      </c>
    </row>
    <row r="3" spans="1:22" ht="21" customHeight="1" x14ac:dyDescent="0.15">
      <c r="A3" s="2">
        <v>7301100</v>
      </c>
      <c r="B3" s="6">
        <v>837</v>
      </c>
      <c r="C3" s="7" t="str">
        <f t="shared" si="0"/>
        <v>Premium6R3less</v>
      </c>
      <c r="D3" s="7" t="str">
        <f t="shared" si="1"/>
        <v>Premium</v>
      </c>
      <c r="E3" s="7" t="str">
        <f>IF(COUNTIF('R6追加前'!A:A,B3)=0,IF(I3="PremiumSS","R5only","R3less"),"")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リトルハンプティ</v>
      </c>
      <c r="I3" s="7" t="str">
        <f>VLOOKUP(B3,[1]characters!$A:$J,10,FALSE)</f>
        <v>material</v>
      </c>
      <c r="J3" s="7">
        <f>VLOOKUP(B3,[1]characters!$A:$I,9,FALSE)</f>
        <v>6</v>
      </c>
      <c r="K3" s="7" t="str">
        <f>VLOOKUP(B3,[1]characters!$A:$H,8,FALSE)</f>
        <v>yellow</v>
      </c>
      <c r="L3" s="7" t="str">
        <f>VLOOKUP(B3,[1]characters!$A:$K,11,FALSE)</f>
        <v>evolution</v>
      </c>
      <c r="M3" s="7" t="str">
        <f>VLOOKUP(B3,[1]characters!$A:$M,13,FALSE)</f>
        <v>unknown</v>
      </c>
      <c r="N3" s="7" t="str">
        <f>VLOOKUP(B3,[1]characters!$A:$G,7,FALSE)</f>
        <v>男性</v>
      </c>
      <c r="O3" s="34">
        <v>100</v>
      </c>
      <c r="P3" s="35">
        <f>O3/SUM(O:O)</f>
        <v>0.01</v>
      </c>
      <c r="Q3" s="28">
        <v>1</v>
      </c>
      <c r="R3" s="28">
        <v>0</v>
      </c>
      <c r="S3" s="28">
        <v>0</v>
      </c>
      <c r="T3" s="28">
        <v>0</v>
      </c>
      <c r="U3" s="28">
        <v>0</v>
      </c>
      <c r="V3" s="28">
        <v>1</v>
      </c>
    </row>
    <row r="4" spans="1:22" ht="21" customHeight="1" x14ac:dyDescent="0.15">
      <c r="A4" s="2">
        <v>7301100</v>
      </c>
      <c r="B4" s="6">
        <v>334</v>
      </c>
      <c r="C4" s="7" t="str">
        <f t="shared" si="0"/>
        <v>Premium5R3less</v>
      </c>
      <c r="D4" s="7" t="str">
        <f t="shared" si="1"/>
        <v>Premium</v>
      </c>
      <c r="E4" s="7" t="str">
        <f>IF(COUNTIF('R6追加前'!A:A,B4)=0,IF(I4="PremiumSS","R5only","R3less"),"")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炎のメタルダック</v>
      </c>
      <c r="I4" s="7" t="str">
        <f>VLOOKUP(B4,[1]characters!$A:$J,10,FALSE)</f>
        <v>Material</v>
      </c>
      <c r="J4" s="7">
        <f>VLOOKUP(B4,[1]characters!$A:$I,9,FALSE)</f>
        <v>5</v>
      </c>
      <c r="K4" s="7" t="str">
        <f>VLOOKUP(B4,[1]characters!$A:$H,8,FALSE)</f>
        <v>red</v>
      </c>
      <c r="L4" s="7" t="str">
        <f>VLOOKUP(B4,[1]characters!$A:$K,11,FALSE)</f>
        <v>exp</v>
      </c>
      <c r="M4" s="7" t="str">
        <f>VLOOKUP(B4,[1]characters!$A:$M,13,FALSE)</f>
        <v>unknown</v>
      </c>
      <c r="N4" s="7" t="str">
        <f>VLOOKUP(B4,[1]characters!$A:$G,7,FALSE)</f>
        <v>不明</v>
      </c>
      <c r="O4" s="34">
        <v>625</v>
      </c>
      <c r="P4" s="35">
        <f>O4/SUM(O:O)</f>
        <v>6.25E-2</v>
      </c>
      <c r="Q4" s="28">
        <v>1</v>
      </c>
      <c r="R4" s="28">
        <v>0</v>
      </c>
      <c r="S4" s="28">
        <v>0</v>
      </c>
      <c r="T4" s="28">
        <v>0</v>
      </c>
      <c r="U4" s="28">
        <v>0</v>
      </c>
      <c r="V4" s="28">
        <v>1</v>
      </c>
    </row>
    <row r="5" spans="1:22" ht="21" customHeight="1" x14ac:dyDescent="0.15">
      <c r="A5" s="2">
        <v>7301100</v>
      </c>
      <c r="B5" s="6">
        <v>338</v>
      </c>
      <c r="C5" s="7" t="str">
        <f t="shared" si="0"/>
        <v>Premium5R3less</v>
      </c>
      <c r="D5" s="7" t="str">
        <f t="shared" si="1"/>
        <v>Premium</v>
      </c>
      <c r="E5" s="7" t="str">
        <f>IF(COUNTIF('R6追加前'!A:A,B5)=0,IF(I5="PremiumSS","R5only","R3less"),"")</f>
        <v>R3less</v>
      </c>
      <c r="F5" s="7" t="str">
        <f>IF(COUNTIF('R6開放'!A:A,B5)&gt;0,"R6release","")</f>
        <v/>
      </c>
      <c r="G5" s="7"/>
      <c r="H5" s="7" t="str">
        <f>VLOOKUP(B5,[1]characters!$A:$C,3,FALSE)</f>
        <v>森のメタルダック</v>
      </c>
      <c r="I5" s="7" t="str">
        <f>VLOOKUP(B5,[1]characters!$A:$J,10,FALSE)</f>
        <v>Material</v>
      </c>
      <c r="J5" s="7">
        <f>VLOOKUP(B5,[1]characters!$A:$I,9,FALSE)</f>
        <v>5</v>
      </c>
      <c r="K5" s="7" t="str">
        <f>VLOOKUP(B5,[1]characters!$A:$H,8,FALSE)</f>
        <v>green</v>
      </c>
      <c r="L5" s="7" t="str">
        <f>VLOOKUP(B5,[1]characters!$A:$K,11,FALSE)</f>
        <v>exp</v>
      </c>
      <c r="M5" s="7" t="str">
        <f>VLOOKUP(B5,[1]characters!$A:$M,13,FALSE)</f>
        <v>unknown</v>
      </c>
      <c r="N5" s="7" t="str">
        <f>VLOOKUP(B5,[1]characters!$A:$G,7,FALSE)</f>
        <v>不明</v>
      </c>
      <c r="O5" s="34">
        <v>625</v>
      </c>
      <c r="P5" s="35">
        <f t="shared" ref="P5:P24" si="2">O5/SUM(O:O)</f>
        <v>6.25E-2</v>
      </c>
      <c r="Q5" s="28">
        <v>1</v>
      </c>
      <c r="R5" s="28">
        <v>0</v>
      </c>
      <c r="S5" s="28">
        <v>0</v>
      </c>
      <c r="T5" s="28">
        <v>0</v>
      </c>
      <c r="U5" s="28">
        <v>0</v>
      </c>
      <c r="V5" s="28">
        <v>1</v>
      </c>
    </row>
    <row r="6" spans="1:22" ht="21" customHeight="1" x14ac:dyDescent="0.15">
      <c r="A6" s="2">
        <v>7301100</v>
      </c>
      <c r="B6" s="6">
        <v>342</v>
      </c>
      <c r="C6" s="7" t="str">
        <f t="shared" si="0"/>
        <v>Premium5R3less</v>
      </c>
      <c r="D6" s="7" t="str">
        <f t="shared" si="1"/>
        <v>Premium</v>
      </c>
      <c r="E6" s="7" t="str">
        <f>IF(COUNTIF('R6追加前'!A:A,B6)=0,IF(I6="PremiumSS","R5only","R3less"),"")</f>
        <v>R3less</v>
      </c>
      <c r="F6" s="7" t="str">
        <f>IF(COUNTIF('R6開放'!A:A,B6)&gt;0,"R6release","")</f>
        <v/>
      </c>
      <c r="G6" s="7"/>
      <c r="H6" s="7" t="str">
        <f>VLOOKUP(B6,[1]characters!$A:$C,3,FALSE)</f>
        <v>水のメタルダック</v>
      </c>
      <c r="I6" s="7" t="str">
        <f>VLOOKUP(B6,[1]characters!$A:$J,10,FALSE)</f>
        <v>Material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exp</v>
      </c>
      <c r="M6" s="7" t="str">
        <f>VLOOKUP(B6,[1]characters!$A:$M,13,FALSE)</f>
        <v>unknown</v>
      </c>
      <c r="N6" s="7" t="str">
        <f>VLOOKUP(B6,[1]characters!$A:$G,7,FALSE)</f>
        <v>不明</v>
      </c>
      <c r="O6" s="34">
        <v>625</v>
      </c>
      <c r="P6" s="35">
        <f t="shared" si="2"/>
        <v>6.25E-2</v>
      </c>
      <c r="Q6" s="28">
        <v>1</v>
      </c>
      <c r="R6" s="28">
        <v>0</v>
      </c>
      <c r="S6" s="28">
        <v>0</v>
      </c>
      <c r="T6" s="28">
        <v>0</v>
      </c>
      <c r="U6" s="28">
        <v>0</v>
      </c>
      <c r="V6" s="28">
        <v>1</v>
      </c>
    </row>
    <row r="7" spans="1:22" ht="21" customHeight="1" x14ac:dyDescent="0.15">
      <c r="A7" s="2">
        <v>7301100</v>
      </c>
      <c r="B7" s="6">
        <v>346</v>
      </c>
      <c r="C7" s="7" t="str">
        <f t="shared" si="0"/>
        <v>Premium5R3less</v>
      </c>
      <c r="D7" s="7" t="str">
        <f t="shared" si="1"/>
        <v>Premium</v>
      </c>
      <c r="E7" s="7" t="str">
        <f>IF(COUNTIF('R6追加前'!A:A,B7)=0,IF(I7="PremiumSS","R5only","R3less"),"")</f>
        <v>R3less</v>
      </c>
      <c r="F7" s="7" t="str">
        <f>IF(COUNTIF('R6開放'!A:A,B7)&gt;0,"R6release","")</f>
        <v/>
      </c>
      <c r="G7" s="7"/>
      <c r="H7" s="7" t="str">
        <f>VLOOKUP(B7,[1]characters!$A:$C,3,FALSE)</f>
        <v>雷のメタルダック</v>
      </c>
      <c r="I7" s="7" t="str">
        <f>VLOOKUP(B7,[1]characters!$A:$J,10,FALSE)</f>
        <v>Material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exp</v>
      </c>
      <c r="M7" s="7" t="str">
        <f>VLOOKUP(B7,[1]characters!$A:$M,13,FALSE)</f>
        <v>unknown</v>
      </c>
      <c r="N7" s="7" t="str">
        <f>VLOOKUP(B7,[1]characters!$A:$G,7,FALSE)</f>
        <v>不明</v>
      </c>
      <c r="O7" s="34">
        <v>625</v>
      </c>
      <c r="P7" s="35">
        <f t="shared" si="2"/>
        <v>6.25E-2</v>
      </c>
      <c r="Q7" s="28">
        <v>1</v>
      </c>
      <c r="R7" s="28">
        <v>0</v>
      </c>
      <c r="S7" s="28">
        <v>0</v>
      </c>
      <c r="T7" s="28">
        <v>0</v>
      </c>
      <c r="U7" s="28">
        <v>0</v>
      </c>
      <c r="V7" s="28">
        <v>1</v>
      </c>
    </row>
    <row r="8" spans="1:22" ht="21" customHeight="1" x14ac:dyDescent="0.15">
      <c r="A8" s="2">
        <v>7301100</v>
      </c>
      <c r="B8" s="6">
        <v>335</v>
      </c>
      <c r="C8" s="7" t="str">
        <f t="shared" si="0"/>
        <v>Premium6R3less</v>
      </c>
      <c r="D8" s="7" t="str">
        <f t="shared" si="1"/>
        <v>Premium</v>
      </c>
      <c r="E8" s="7" t="str">
        <f>IF(COUNTIF('R6追加前'!A:A,B8)=0,IF(I8="PremiumSS","R5only","R3less"),"")</f>
        <v>R3less</v>
      </c>
      <c r="F8" s="7" t="str">
        <f>IF(COUNTIF('R6開放'!A:A,B8)&gt;0,"R6release","")</f>
        <v/>
      </c>
      <c r="G8" s="7"/>
      <c r="H8" s="7" t="str">
        <f>VLOOKUP(B8,[1]characters!$A:$C,3,FALSE)</f>
        <v>炎のメタルジェントル</v>
      </c>
      <c r="I8" s="7" t="str">
        <f>VLOOKUP(B8,[1]characters!$A:$J,10,FALSE)</f>
        <v>Material</v>
      </c>
      <c r="J8" s="7">
        <f>VLOOKUP(B8,[1]characters!$A:$I,9,FALSE)</f>
        <v>6</v>
      </c>
      <c r="K8" s="7" t="str">
        <f>VLOOKUP(B8,[1]characters!$A:$H,8,FALSE)</f>
        <v>red</v>
      </c>
      <c r="L8" s="7" t="str">
        <f>VLOOKUP(B8,[1]characters!$A:$K,11,FALSE)</f>
        <v>exp</v>
      </c>
      <c r="M8" s="7" t="str">
        <f>VLOOKUP(B8,[1]characters!$A:$M,13,FALSE)</f>
        <v>unknown</v>
      </c>
      <c r="N8" s="7" t="str">
        <f>VLOOKUP(B8,[1]characters!$A:$G,7,FALSE)</f>
        <v>不明</v>
      </c>
      <c r="O8" s="34">
        <v>125</v>
      </c>
      <c r="P8" s="35">
        <f>O8/SUM(O:O)</f>
        <v>1.2500000000000001E-2</v>
      </c>
      <c r="Q8" s="28">
        <v>1</v>
      </c>
      <c r="R8" s="28">
        <v>0</v>
      </c>
      <c r="S8" s="28">
        <v>0</v>
      </c>
      <c r="T8" s="28">
        <v>0</v>
      </c>
      <c r="U8" s="28">
        <v>0</v>
      </c>
      <c r="V8" s="28">
        <v>1</v>
      </c>
    </row>
    <row r="9" spans="1:22" ht="21" customHeight="1" x14ac:dyDescent="0.15">
      <c r="A9" s="2">
        <v>7301100</v>
      </c>
      <c r="B9" s="6">
        <v>339</v>
      </c>
      <c r="C9" s="7" t="str">
        <f t="shared" si="0"/>
        <v>Premium6R3less</v>
      </c>
      <c r="D9" s="7" t="str">
        <f t="shared" si="1"/>
        <v>Premium</v>
      </c>
      <c r="E9" s="7" t="str">
        <f>IF(COUNTIF('R6追加前'!A:A,B9)=0,IF(I9="PremiumSS","R5only","R3less"),"")</f>
        <v>R3less</v>
      </c>
      <c r="F9" s="7" t="str">
        <f>IF(COUNTIF('R6開放'!A:A,B9)&gt;0,"R6release","")</f>
        <v/>
      </c>
      <c r="G9" s="7"/>
      <c r="H9" s="7" t="str">
        <f>VLOOKUP(B9,[1]characters!$A:$C,3,FALSE)</f>
        <v>森のメタルジェントル</v>
      </c>
      <c r="I9" s="7" t="str">
        <f>VLOOKUP(B9,[1]characters!$A:$J,10,FALSE)</f>
        <v>Material</v>
      </c>
      <c r="J9" s="7">
        <f>VLOOKUP(B9,[1]characters!$A:$I,9,FALSE)</f>
        <v>6</v>
      </c>
      <c r="K9" s="7" t="str">
        <f>VLOOKUP(B9,[1]characters!$A:$H,8,FALSE)</f>
        <v>green</v>
      </c>
      <c r="L9" s="7" t="str">
        <f>VLOOKUP(B9,[1]characters!$A:$K,11,FALSE)</f>
        <v>exp</v>
      </c>
      <c r="M9" s="7" t="str">
        <f>VLOOKUP(B9,[1]characters!$A:$M,13,FALSE)</f>
        <v>unknown</v>
      </c>
      <c r="N9" s="7" t="str">
        <f>VLOOKUP(B9,[1]characters!$A:$G,7,FALSE)</f>
        <v>不明</v>
      </c>
      <c r="O9" s="34">
        <v>125</v>
      </c>
      <c r="P9" s="35">
        <f t="shared" si="2"/>
        <v>1.2500000000000001E-2</v>
      </c>
      <c r="Q9" s="28">
        <v>1</v>
      </c>
      <c r="R9" s="28">
        <v>0</v>
      </c>
      <c r="S9" s="28">
        <v>0</v>
      </c>
      <c r="T9" s="28">
        <v>0</v>
      </c>
      <c r="U9" s="28">
        <v>0</v>
      </c>
      <c r="V9" s="28">
        <v>1</v>
      </c>
    </row>
    <row r="10" spans="1:22" ht="21" customHeight="1" x14ac:dyDescent="0.15">
      <c r="A10" s="2">
        <v>7301100</v>
      </c>
      <c r="B10" s="6">
        <v>343</v>
      </c>
      <c r="C10" s="7" t="str">
        <f t="shared" si="0"/>
        <v>Premium6R3less</v>
      </c>
      <c r="D10" s="7" t="str">
        <f t="shared" si="1"/>
        <v>Premium</v>
      </c>
      <c r="E10" s="7" t="str">
        <f>IF(COUNTIF('R6追加前'!A:A,B10)=0,IF(I10="PremiumSS","R5only","R3less"),"")</f>
        <v>R3less</v>
      </c>
      <c r="F10" s="7" t="str">
        <f>IF(COUNTIF('R6開放'!A:A,B10)&gt;0,"R6release","")</f>
        <v/>
      </c>
      <c r="G10" s="7"/>
      <c r="H10" s="7" t="str">
        <f>VLOOKUP(B10,[1]characters!$A:$C,3,FALSE)</f>
        <v>水のメタルジェントル</v>
      </c>
      <c r="I10" s="7" t="str">
        <f>VLOOKUP(B10,[1]characters!$A:$J,10,FALSE)</f>
        <v>Material</v>
      </c>
      <c r="J10" s="7">
        <f>VLOOKUP(B10,[1]characters!$A:$I,9,FALSE)</f>
        <v>6</v>
      </c>
      <c r="K10" s="7" t="str">
        <f>VLOOKUP(B10,[1]characters!$A:$H,8,FALSE)</f>
        <v>blue</v>
      </c>
      <c r="L10" s="7" t="str">
        <f>VLOOKUP(B10,[1]characters!$A:$K,11,FALSE)</f>
        <v>exp</v>
      </c>
      <c r="M10" s="7" t="str">
        <f>VLOOKUP(B10,[1]characters!$A:$M,13,FALSE)</f>
        <v>unknown</v>
      </c>
      <c r="N10" s="7" t="str">
        <f>VLOOKUP(B10,[1]characters!$A:$G,7,FALSE)</f>
        <v>不明</v>
      </c>
      <c r="O10" s="34">
        <v>125</v>
      </c>
      <c r="P10" s="35">
        <f t="shared" si="2"/>
        <v>1.2500000000000001E-2</v>
      </c>
      <c r="Q10" s="28">
        <v>1</v>
      </c>
      <c r="R10" s="28">
        <v>0</v>
      </c>
      <c r="S10" s="28">
        <v>0</v>
      </c>
      <c r="T10" s="28">
        <v>0</v>
      </c>
      <c r="U10" s="28">
        <v>0</v>
      </c>
      <c r="V10" s="28">
        <v>1</v>
      </c>
    </row>
    <row r="11" spans="1:22" ht="21" customHeight="1" x14ac:dyDescent="0.15">
      <c r="A11" s="2">
        <v>7301100</v>
      </c>
      <c r="B11" s="6">
        <v>347</v>
      </c>
      <c r="C11" s="7" t="str">
        <f t="shared" si="0"/>
        <v>Premium6R3less</v>
      </c>
      <c r="D11" s="7" t="str">
        <f t="shared" si="1"/>
        <v>Premium</v>
      </c>
      <c r="E11" s="7" t="str">
        <f>IF(COUNTIF('R6追加前'!A:A,B11)=0,IF(I11="PremiumSS","R5only","R3less"),"")</f>
        <v>R3less</v>
      </c>
      <c r="F11" s="7" t="str">
        <f>IF(COUNTIF('R6開放'!A:A,B11)&gt;0,"R6release","")</f>
        <v/>
      </c>
      <c r="G11" s="7"/>
      <c r="H11" s="7" t="str">
        <f>VLOOKUP(B11,[1]characters!$A:$C,3,FALSE)</f>
        <v>雷のメタルジェントル</v>
      </c>
      <c r="I11" s="7" t="str">
        <f>VLOOKUP(B11,[1]characters!$A:$J,10,FALSE)</f>
        <v>Material</v>
      </c>
      <c r="J11" s="7">
        <f>VLOOKUP(B11,[1]characters!$A:$I,9,FALSE)</f>
        <v>6</v>
      </c>
      <c r="K11" s="7" t="str">
        <f>VLOOKUP(B11,[1]characters!$A:$H,8,FALSE)</f>
        <v>yellow</v>
      </c>
      <c r="L11" s="7" t="str">
        <f>VLOOKUP(B11,[1]characters!$A:$K,11,FALSE)</f>
        <v>exp</v>
      </c>
      <c r="M11" s="7" t="str">
        <f>VLOOKUP(B11,[1]characters!$A:$M,13,FALSE)</f>
        <v>unknown</v>
      </c>
      <c r="N11" s="7" t="str">
        <f>VLOOKUP(B11,[1]characters!$A:$G,7,FALSE)</f>
        <v>不明</v>
      </c>
      <c r="O11" s="34">
        <v>125</v>
      </c>
      <c r="P11" s="35">
        <f t="shared" si="2"/>
        <v>1.2500000000000001E-2</v>
      </c>
      <c r="Q11" s="28">
        <v>1</v>
      </c>
      <c r="R11" s="28">
        <v>0</v>
      </c>
      <c r="S11" s="28">
        <v>0</v>
      </c>
      <c r="T11" s="28">
        <v>0</v>
      </c>
      <c r="U11" s="28">
        <v>0</v>
      </c>
      <c r="V11" s="28">
        <v>1</v>
      </c>
    </row>
    <row r="12" spans="1:22" ht="21" customHeight="1" x14ac:dyDescent="0.15">
      <c r="A12" s="2">
        <v>7301100</v>
      </c>
      <c r="B12" s="6">
        <v>119</v>
      </c>
      <c r="C12" s="7" t="str">
        <f t="shared" si="0"/>
        <v>Premium5R3less</v>
      </c>
      <c r="D12" s="7" t="str">
        <f t="shared" si="1"/>
        <v>Premium</v>
      </c>
      <c r="E12" s="7" t="str">
        <f>IF(COUNTIF('R6追加前'!A:A,B12)=0,IF(I12="PremiumSS","R5only","R3less"),"")</f>
        <v>R3less</v>
      </c>
      <c r="F12" s="7" t="str">
        <f>IF(COUNTIF('R6開放'!A:A,B12)&gt;0,"R6release","")</f>
        <v/>
      </c>
      <c r="G12" s="7"/>
      <c r="H12" s="7" t="str">
        <f>VLOOKUP(B12,[1]characters!$A:$C,3,FALSE)</f>
        <v>ゴールドダック</v>
      </c>
      <c r="I12" s="7" t="str">
        <f>VLOOKUP(B12,[1]characters!$A:$J,10,FALSE)</f>
        <v>Material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coin</v>
      </c>
      <c r="M12" s="7" t="str">
        <f>VLOOKUP(B12,[1]characters!$A:$M,13,FALSE)</f>
        <v>unknown</v>
      </c>
      <c r="N12" s="7" t="str">
        <f>VLOOKUP(B12,[1]characters!$A:$G,7,FALSE)</f>
        <v>不明</v>
      </c>
      <c r="O12" s="34">
        <v>2500</v>
      </c>
      <c r="P12" s="35">
        <f t="shared" si="2"/>
        <v>0.25</v>
      </c>
      <c r="Q12" s="28">
        <v>1</v>
      </c>
      <c r="R12" s="28">
        <v>0</v>
      </c>
      <c r="S12" s="28">
        <v>0</v>
      </c>
      <c r="T12" s="28">
        <v>0</v>
      </c>
      <c r="U12" s="28">
        <v>0</v>
      </c>
      <c r="V12" s="28">
        <v>1</v>
      </c>
    </row>
    <row r="13" spans="1:22" ht="21" customHeight="1" x14ac:dyDescent="0.15">
      <c r="A13" s="2">
        <v>7301100</v>
      </c>
      <c r="B13" s="6">
        <v>120</v>
      </c>
      <c r="C13" s="7" t="str">
        <f t="shared" si="0"/>
        <v>Premium6R3less</v>
      </c>
      <c r="D13" s="7" t="str">
        <f t="shared" si="1"/>
        <v>Premium</v>
      </c>
      <c r="E13" s="7" t="str">
        <f>IF(COUNTIF('R6追加前'!A:A,B13)=0,IF(I13="PremiumSS","R5only","R3less"),"")</f>
        <v>R3less</v>
      </c>
      <c r="F13" s="7" t="str">
        <f>IF(COUNTIF('R6開放'!A:A,B13)&gt;0,"R6release","")</f>
        <v/>
      </c>
      <c r="G13" s="7"/>
      <c r="H13" s="7" t="str">
        <f>VLOOKUP(B13,[1]characters!$A:$C,3,FALSE)</f>
        <v>ゴールドキング</v>
      </c>
      <c r="I13" s="7" t="str">
        <f>VLOOKUP(B13,[1]characters!$A:$J,10,FALSE)</f>
        <v>Material</v>
      </c>
      <c r="J13" s="7">
        <f>VLOOKUP(B13,[1]characters!$A:$I,9,FALSE)</f>
        <v>6</v>
      </c>
      <c r="K13" s="7" t="str">
        <f>VLOOKUP(B13,[1]characters!$A:$H,8,FALSE)</f>
        <v>yellow</v>
      </c>
      <c r="L13" s="7" t="str">
        <f>VLOOKUP(B13,[1]characters!$A:$K,11,FALSE)</f>
        <v>coin</v>
      </c>
      <c r="M13" s="7" t="str">
        <f>VLOOKUP(B13,[1]characters!$A:$M,13,FALSE)</f>
        <v>unknown</v>
      </c>
      <c r="N13" s="7" t="str">
        <f>VLOOKUP(B13,[1]characters!$A:$G,7,FALSE)</f>
        <v>不明</v>
      </c>
      <c r="O13" s="34">
        <v>500</v>
      </c>
      <c r="P13" s="35">
        <f t="shared" si="2"/>
        <v>0.05</v>
      </c>
      <c r="Q13" s="28">
        <v>1</v>
      </c>
      <c r="R13" s="28">
        <v>0</v>
      </c>
      <c r="S13" s="28">
        <v>0</v>
      </c>
      <c r="T13" s="28">
        <v>0</v>
      </c>
      <c r="U13" s="28">
        <v>0</v>
      </c>
      <c r="V13" s="28">
        <v>1</v>
      </c>
    </row>
    <row r="14" spans="1:22" ht="21" customHeight="1" x14ac:dyDescent="0.15">
      <c r="A14" s="2">
        <v>7301100</v>
      </c>
      <c r="B14" s="6">
        <v>125</v>
      </c>
      <c r="C14" s="7" t="str">
        <f t="shared" si="0"/>
        <v>Premium3R3less</v>
      </c>
      <c r="D14" s="7" t="str">
        <f t="shared" si="1"/>
        <v>Premium</v>
      </c>
      <c r="E14" s="7" t="str">
        <f>IF(COUNTIF('R6追加前'!A:A,B14)=0,IF(I14="PremiumSS","R5only","R3less"),"")</f>
        <v>R3less</v>
      </c>
      <c r="F14" s="7" t="str">
        <f>IF(COUNTIF('R6開放'!A:A,B14)&gt;0,"R6release","")</f>
        <v/>
      </c>
      <c r="G14" s="7"/>
      <c r="H14" s="7" t="str">
        <f>VLOOKUP(B14,[1]characters!$A:$C,3,FALSE)</f>
        <v>秘術の果実</v>
      </c>
      <c r="I14" s="7" t="str">
        <f>VLOOKUP(B14,[1]characters!$A:$J,10,FALSE)</f>
        <v>Material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skilllevel</v>
      </c>
      <c r="M14" s="7" t="str">
        <f>VLOOKUP(B14,[1]characters!$A:$M,13,FALSE)</f>
        <v>unknown</v>
      </c>
      <c r="N14" s="7" t="str">
        <f>VLOOKUP(B14,[1]characters!$A:$G,7,FALSE)</f>
        <v>不明</v>
      </c>
      <c r="O14" s="34">
        <v>400</v>
      </c>
      <c r="P14" s="35">
        <f t="shared" si="2"/>
        <v>0.04</v>
      </c>
      <c r="Q14" s="28">
        <v>1</v>
      </c>
      <c r="R14" s="28">
        <v>0</v>
      </c>
      <c r="S14" s="28">
        <v>0</v>
      </c>
      <c r="T14" s="28">
        <v>0</v>
      </c>
      <c r="U14" s="28">
        <v>0</v>
      </c>
      <c r="V14" s="28">
        <v>1</v>
      </c>
    </row>
    <row r="15" spans="1:22" ht="21" customHeight="1" x14ac:dyDescent="0.15">
      <c r="A15" s="2">
        <v>7301100</v>
      </c>
      <c r="B15" s="6">
        <v>610</v>
      </c>
      <c r="C15" s="7" t="str">
        <f t="shared" si="0"/>
        <v>Premium4R3less</v>
      </c>
      <c r="D15" s="7" t="str">
        <f t="shared" si="1"/>
        <v>Premium</v>
      </c>
      <c r="E15" s="7" t="str">
        <f>IF(COUNTIF('R6追加前'!A:A,B15)=0,IF(I15="PremiumSS","R5only","R3less"),"")</f>
        <v>R3less</v>
      </c>
      <c r="F15" s="7" t="str">
        <f>IF(COUNTIF('R6開放'!A:A,B15)&gt;0,"R6release","")</f>
        <v/>
      </c>
      <c r="G15" s="7"/>
      <c r="H15" s="7" t="str">
        <f>VLOOKUP(B15,[1]characters!$A:$C,3,FALSE)</f>
        <v>メガ秘術の果実</v>
      </c>
      <c r="I15" s="7" t="str">
        <f>VLOOKUP(B15,[1]characters!$A:$J,10,FALSE)</f>
        <v>Material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skilllevel</v>
      </c>
      <c r="M15" s="7" t="str">
        <f>VLOOKUP(B15,[1]characters!$A:$M,13,FALSE)</f>
        <v>unknown</v>
      </c>
      <c r="N15" s="7" t="str">
        <f>VLOOKUP(B15,[1]characters!$A:$G,7,FALSE)</f>
        <v>不明</v>
      </c>
      <c r="O15" s="34">
        <v>200</v>
      </c>
      <c r="P15" s="35">
        <f t="shared" si="2"/>
        <v>0.02</v>
      </c>
      <c r="Q15" s="28">
        <v>1</v>
      </c>
      <c r="R15" s="28">
        <v>0</v>
      </c>
      <c r="S15" s="28">
        <v>0</v>
      </c>
      <c r="T15" s="28">
        <v>0</v>
      </c>
      <c r="U15" s="28">
        <v>0</v>
      </c>
      <c r="V15" s="28">
        <v>1</v>
      </c>
    </row>
    <row r="16" spans="1:22" ht="21" customHeight="1" x14ac:dyDescent="0.15">
      <c r="A16" s="2">
        <v>7301100</v>
      </c>
      <c r="B16" s="6">
        <v>121</v>
      </c>
      <c r="C16" s="7" t="str">
        <f t="shared" si="0"/>
        <v>Premium3R3less</v>
      </c>
      <c r="D16" s="7" t="str">
        <f t="shared" si="1"/>
        <v>Premium</v>
      </c>
      <c r="E16" s="7" t="str">
        <f>IF(COUNTIF('R6追加前'!A:A,B16)=0,IF(I16="PremiumSS","R5only","R3less"),"")</f>
        <v>R3less</v>
      </c>
      <c r="F16" s="7" t="str">
        <f>IF(COUNTIF('R6開放'!A:A,B16)&gt;0,"R6release","")</f>
        <v/>
      </c>
      <c r="G16" s="7"/>
      <c r="H16" s="7" t="str">
        <f>VLOOKUP(B16,[1]characters!$A:$C,3,FALSE)</f>
        <v>攻めの果実</v>
      </c>
      <c r="I16" s="7" t="str">
        <f>VLOOKUP(B16,[1]characters!$A:$J,10,FALSE)</f>
        <v>Material</v>
      </c>
      <c r="J16" s="7">
        <f>VLOOKUP(B16,[1]characters!$A:$I,9,FALSE)</f>
        <v>3</v>
      </c>
      <c r="K16" s="7" t="str">
        <f>VLOOKUP(B16,[1]characters!$A:$H,8,FALSE)</f>
        <v>red</v>
      </c>
      <c r="L16" s="7" t="str">
        <f>VLOOKUP(B16,[1]characters!$A:$K,11,FALSE)</f>
        <v>limitbreak</v>
      </c>
      <c r="M16" s="7" t="str">
        <f>VLOOKUP(B16,[1]characters!$A:$M,13,FALSE)</f>
        <v>unknown</v>
      </c>
      <c r="N16" s="7" t="str">
        <f>VLOOKUP(B16,[1]characters!$A:$G,7,FALSE)</f>
        <v>不明</v>
      </c>
      <c r="O16" s="34">
        <v>400</v>
      </c>
      <c r="P16" s="35">
        <f t="shared" si="2"/>
        <v>0.04</v>
      </c>
      <c r="Q16" s="28">
        <v>1</v>
      </c>
      <c r="R16" s="28">
        <v>0</v>
      </c>
      <c r="S16" s="28">
        <v>0</v>
      </c>
      <c r="T16" s="28">
        <v>0</v>
      </c>
      <c r="U16" s="28">
        <v>0</v>
      </c>
      <c r="V16" s="28">
        <v>1</v>
      </c>
    </row>
    <row r="17" spans="1:22" ht="21" customHeight="1" x14ac:dyDescent="0.15">
      <c r="A17" s="2">
        <v>7301100</v>
      </c>
      <c r="B17" s="6">
        <v>122</v>
      </c>
      <c r="C17" s="7" t="str">
        <f t="shared" si="0"/>
        <v>Premium3R3less</v>
      </c>
      <c r="D17" s="7" t="str">
        <f t="shared" si="1"/>
        <v>Premium</v>
      </c>
      <c r="E17" s="7" t="str">
        <f>IF(COUNTIF('R6追加前'!A:A,B17)=0,IF(I17="PremiumSS","R5only","R3less"),"")</f>
        <v>R3less</v>
      </c>
      <c r="F17" s="7" t="str">
        <f>IF(COUNTIF('R6開放'!A:A,B17)&gt;0,"R6release","")</f>
        <v/>
      </c>
      <c r="G17" s="7"/>
      <c r="H17" s="7" t="str">
        <f>VLOOKUP(B17,[1]characters!$A:$C,3,FALSE)</f>
        <v>生命の果実</v>
      </c>
      <c r="I17" s="7" t="str">
        <f>VLOOKUP(B17,[1]characters!$A:$J,10,FALSE)</f>
        <v>Material</v>
      </c>
      <c r="J17" s="7">
        <f>VLOOKUP(B17,[1]characters!$A:$I,9,FALSE)</f>
        <v>3</v>
      </c>
      <c r="K17" s="7" t="str">
        <f>VLOOKUP(B17,[1]characters!$A:$H,8,FALSE)</f>
        <v>green</v>
      </c>
      <c r="L17" s="7" t="str">
        <f>VLOOKUP(B17,[1]characters!$A:$K,11,FALSE)</f>
        <v>limitbreak</v>
      </c>
      <c r="M17" s="7" t="str">
        <f>VLOOKUP(B17,[1]characters!$A:$M,13,FALSE)</f>
        <v>unknown</v>
      </c>
      <c r="N17" s="7" t="str">
        <f>VLOOKUP(B17,[1]characters!$A:$G,7,FALSE)</f>
        <v>不明</v>
      </c>
      <c r="O17" s="34">
        <v>400</v>
      </c>
      <c r="P17" s="35">
        <f t="shared" si="2"/>
        <v>0.04</v>
      </c>
      <c r="Q17" s="28">
        <v>1</v>
      </c>
      <c r="R17" s="28">
        <v>0</v>
      </c>
      <c r="S17" s="28">
        <v>0</v>
      </c>
      <c r="T17" s="28">
        <v>0</v>
      </c>
      <c r="U17" s="28">
        <v>0</v>
      </c>
      <c r="V17" s="28">
        <v>1</v>
      </c>
    </row>
    <row r="18" spans="1:22" ht="21" customHeight="1" x14ac:dyDescent="0.15">
      <c r="A18" s="2">
        <v>7301100</v>
      </c>
      <c r="B18" s="6">
        <v>123</v>
      </c>
      <c r="C18" s="7" t="str">
        <f t="shared" si="0"/>
        <v>Premium3R3less</v>
      </c>
      <c r="D18" s="7" t="str">
        <f t="shared" si="1"/>
        <v>Premium</v>
      </c>
      <c r="E18" s="7" t="str">
        <f>IF(COUNTIF('R6追加前'!A:A,B18)=0,IF(I18="PremiumSS","R5only","R3less"),"")</f>
        <v>R3less</v>
      </c>
      <c r="F18" s="7" t="str">
        <f>IF(COUNTIF('R6開放'!A:A,B18)&gt;0,"R6release","")</f>
        <v/>
      </c>
      <c r="G18" s="7"/>
      <c r="H18" s="7" t="str">
        <f>VLOOKUP(B18,[1]characters!$A:$C,3,FALSE)</f>
        <v>癒しの果実</v>
      </c>
      <c r="I18" s="7" t="str">
        <f>VLOOKUP(B18,[1]characters!$A:$J,10,FALSE)</f>
        <v>Material</v>
      </c>
      <c r="J18" s="7">
        <f>VLOOKUP(B18,[1]characters!$A:$I,9,FALSE)</f>
        <v>3</v>
      </c>
      <c r="K18" s="7" t="str">
        <f>VLOOKUP(B18,[1]characters!$A:$H,8,FALSE)</f>
        <v>blue</v>
      </c>
      <c r="L18" s="7" t="str">
        <f>VLOOKUP(B18,[1]characters!$A:$K,11,FALSE)</f>
        <v>limitbreak</v>
      </c>
      <c r="M18" s="7" t="str">
        <f>VLOOKUP(B18,[1]characters!$A:$M,13,FALSE)</f>
        <v>unknown</v>
      </c>
      <c r="N18" s="7" t="str">
        <f>VLOOKUP(B18,[1]characters!$A:$G,7,FALSE)</f>
        <v>不明</v>
      </c>
      <c r="O18" s="34">
        <v>400</v>
      </c>
      <c r="P18" s="35">
        <f t="shared" si="2"/>
        <v>0.04</v>
      </c>
      <c r="Q18" s="28">
        <v>1</v>
      </c>
      <c r="R18" s="28">
        <v>0</v>
      </c>
      <c r="S18" s="28">
        <v>0</v>
      </c>
      <c r="T18" s="28">
        <v>0</v>
      </c>
      <c r="U18" s="28">
        <v>0</v>
      </c>
      <c r="V18" s="28">
        <v>1</v>
      </c>
    </row>
    <row r="19" spans="1:22" ht="21" customHeight="1" x14ac:dyDescent="0.15">
      <c r="A19" s="2">
        <v>7301100</v>
      </c>
      <c r="B19" s="6">
        <v>607</v>
      </c>
      <c r="C19" s="7" t="str">
        <f t="shared" si="0"/>
        <v>Premium4R3less</v>
      </c>
      <c r="D19" s="7" t="str">
        <f t="shared" si="1"/>
        <v>Premium</v>
      </c>
      <c r="E19" s="7" t="str">
        <f>IF(COUNTIF('R6追加前'!A:A,B19)=0,IF(I19="PremiumSS","R5only","R3less"),"")</f>
        <v>R3less</v>
      </c>
      <c r="F19" s="7" t="str">
        <f>IF(COUNTIF('R6開放'!A:A,B19)&gt;0,"R6release","")</f>
        <v/>
      </c>
      <c r="G19" s="7"/>
      <c r="H19" s="7" t="str">
        <f>VLOOKUP(B19,[1]characters!$A:$C,3,FALSE)</f>
        <v>メガ攻めの果実</v>
      </c>
      <c r="I19" s="7" t="str">
        <f>VLOOKUP(B19,[1]characters!$A:$J,10,FALSE)</f>
        <v>Material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limitbreak</v>
      </c>
      <c r="M19" s="7" t="str">
        <f>VLOOKUP(B19,[1]characters!$A:$M,13,FALSE)</f>
        <v>unknown</v>
      </c>
      <c r="N19" s="7" t="str">
        <f>VLOOKUP(B19,[1]characters!$A:$G,7,FALSE)</f>
        <v>不明</v>
      </c>
      <c r="O19" s="34">
        <v>400</v>
      </c>
      <c r="P19" s="35">
        <f t="shared" si="2"/>
        <v>0.04</v>
      </c>
      <c r="Q19" s="28">
        <v>1</v>
      </c>
      <c r="R19" s="28">
        <v>0</v>
      </c>
      <c r="S19" s="28">
        <v>0</v>
      </c>
      <c r="T19" s="28">
        <v>0</v>
      </c>
      <c r="U19" s="28">
        <v>0</v>
      </c>
      <c r="V19" s="28">
        <v>1</v>
      </c>
    </row>
    <row r="20" spans="1:22" ht="21" customHeight="1" x14ac:dyDescent="0.15">
      <c r="A20" s="2">
        <v>7301100</v>
      </c>
      <c r="B20" s="6">
        <v>608</v>
      </c>
      <c r="C20" s="7" t="str">
        <f t="shared" si="0"/>
        <v>Premium4R3less</v>
      </c>
      <c r="D20" s="7" t="str">
        <f t="shared" si="1"/>
        <v>Premium</v>
      </c>
      <c r="E20" s="7" t="str">
        <f>IF(COUNTIF('R6追加前'!A:A,B20)=0,IF(I20="PremiumSS","R5only","R3less"),"")</f>
        <v>R3less</v>
      </c>
      <c r="F20" s="7" t="str">
        <f>IF(COUNTIF('R6開放'!A:A,B20)&gt;0,"R6release","")</f>
        <v/>
      </c>
      <c r="G20" s="7"/>
      <c r="H20" s="7" t="str">
        <f>VLOOKUP(B20,[1]characters!$A:$C,3,FALSE)</f>
        <v>メガ生命の果実</v>
      </c>
      <c r="I20" s="7" t="str">
        <f>VLOOKUP(B20,[1]characters!$A:$J,10,FALSE)</f>
        <v>Material</v>
      </c>
      <c r="J20" s="7">
        <f>VLOOKUP(B20,[1]characters!$A:$I,9,FALSE)</f>
        <v>4</v>
      </c>
      <c r="K20" s="7" t="str">
        <f>VLOOKUP(B20,[1]characters!$A:$H,8,FALSE)</f>
        <v>green</v>
      </c>
      <c r="L20" s="7" t="str">
        <f>VLOOKUP(B20,[1]characters!$A:$K,11,FALSE)</f>
        <v>limitbreak</v>
      </c>
      <c r="M20" s="7" t="str">
        <f>VLOOKUP(B20,[1]characters!$A:$M,13,FALSE)</f>
        <v>unknown</v>
      </c>
      <c r="N20" s="7" t="str">
        <f>VLOOKUP(B20,[1]characters!$A:$G,7,FALSE)</f>
        <v>不明</v>
      </c>
      <c r="O20" s="34">
        <v>400</v>
      </c>
      <c r="P20" s="35">
        <f t="shared" si="2"/>
        <v>0.04</v>
      </c>
      <c r="Q20" s="28">
        <v>1</v>
      </c>
      <c r="R20" s="28">
        <v>0</v>
      </c>
      <c r="S20" s="28">
        <v>0</v>
      </c>
      <c r="T20" s="28">
        <v>0</v>
      </c>
      <c r="U20" s="28">
        <v>0</v>
      </c>
      <c r="V20" s="28">
        <v>1</v>
      </c>
    </row>
    <row r="21" spans="1:22" ht="21" customHeight="1" x14ac:dyDescent="0.15">
      <c r="A21" s="2">
        <v>7301100</v>
      </c>
      <c r="B21" s="6">
        <v>609</v>
      </c>
      <c r="C21" s="7" t="str">
        <f t="shared" si="0"/>
        <v>Premium4R3less</v>
      </c>
      <c r="D21" s="7" t="str">
        <f t="shared" si="1"/>
        <v>Premium</v>
      </c>
      <c r="E21" s="7" t="str">
        <f>IF(COUNTIF('R6追加前'!A:A,B21)=0,IF(I21="PremiumSS","R5only","R3less"),"")</f>
        <v>R3less</v>
      </c>
      <c r="F21" s="7" t="str">
        <f>IF(COUNTIF('R6開放'!A:A,B21)&gt;0,"R6release","")</f>
        <v/>
      </c>
      <c r="G21" s="7"/>
      <c r="H21" s="7" t="str">
        <f>VLOOKUP(B21,[1]characters!$A:$C,3,FALSE)</f>
        <v>メガ癒しの果実</v>
      </c>
      <c r="I21" s="7" t="str">
        <f>VLOOKUP(B21,[1]characters!$A:$J,10,FALSE)</f>
        <v>Material</v>
      </c>
      <c r="J21" s="7">
        <f>VLOOKUP(B21,[1]characters!$A:$I,9,FALSE)</f>
        <v>4</v>
      </c>
      <c r="K21" s="7" t="str">
        <f>VLOOKUP(B21,[1]characters!$A:$H,8,FALSE)</f>
        <v>blue</v>
      </c>
      <c r="L21" s="7" t="str">
        <f>VLOOKUP(B21,[1]characters!$A:$K,11,FALSE)</f>
        <v>limitbreak</v>
      </c>
      <c r="M21" s="7" t="str">
        <f>VLOOKUP(B21,[1]characters!$A:$M,13,FALSE)</f>
        <v>unknown</v>
      </c>
      <c r="N21" s="7" t="str">
        <f>VLOOKUP(B21,[1]characters!$A:$G,7,FALSE)</f>
        <v>不明</v>
      </c>
      <c r="O21" s="34">
        <v>400</v>
      </c>
      <c r="P21" s="35">
        <f t="shared" si="2"/>
        <v>0.04</v>
      </c>
      <c r="Q21" s="28">
        <v>1</v>
      </c>
      <c r="R21" s="28">
        <v>0</v>
      </c>
      <c r="S21" s="28">
        <v>0</v>
      </c>
      <c r="T21" s="28">
        <v>0</v>
      </c>
      <c r="U21" s="28">
        <v>0</v>
      </c>
      <c r="V21" s="28">
        <v>1</v>
      </c>
    </row>
    <row r="22" spans="1:22" ht="21" customHeight="1" x14ac:dyDescent="0.15">
      <c r="A22" s="2">
        <v>7301100</v>
      </c>
      <c r="B22" s="6">
        <v>611</v>
      </c>
      <c r="C22" s="7" t="str">
        <f t="shared" si="0"/>
        <v>Premium5R3less</v>
      </c>
      <c r="D22" s="7" t="str">
        <f t="shared" si="1"/>
        <v>Premium</v>
      </c>
      <c r="E22" s="7" t="str">
        <f>IF(COUNTIF('R6追加前'!A:A,B22)=0,IF(I22="PremiumSS","R5only","R3less"),"")</f>
        <v>R3less</v>
      </c>
      <c r="F22" s="7" t="str">
        <f>IF(COUNTIF('R6開放'!A:A,B22)&gt;0,"R6release","")</f>
        <v/>
      </c>
      <c r="G22" s="7"/>
      <c r="H22" s="7" t="str">
        <f>VLOOKUP(B22,[1]characters!$A:$C,3,FALSE)</f>
        <v>ギガ攻めの果実</v>
      </c>
      <c r="I22" s="7" t="str">
        <f>VLOOKUP(B22,[1]characters!$A:$J,10,FALSE)</f>
        <v>Material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limitbreak</v>
      </c>
      <c r="M22" s="7" t="str">
        <f>VLOOKUP(B22,[1]characters!$A:$M,13,FALSE)</f>
        <v>unknown</v>
      </c>
      <c r="N22" s="7" t="str">
        <f>VLOOKUP(B22,[1]characters!$A:$G,7,FALSE)</f>
        <v>不明</v>
      </c>
      <c r="O22" s="34">
        <v>100</v>
      </c>
      <c r="P22" s="35">
        <f t="shared" si="2"/>
        <v>0.01</v>
      </c>
      <c r="Q22" s="28">
        <v>1</v>
      </c>
      <c r="R22" s="28">
        <v>0</v>
      </c>
      <c r="S22" s="28">
        <v>0</v>
      </c>
      <c r="T22" s="28">
        <v>0</v>
      </c>
      <c r="U22" s="28">
        <v>0</v>
      </c>
      <c r="V22" s="28">
        <v>1</v>
      </c>
    </row>
    <row r="23" spans="1:22" ht="21" customHeight="1" x14ac:dyDescent="0.15">
      <c r="A23" s="2">
        <v>7301100</v>
      </c>
      <c r="B23" s="6">
        <v>612</v>
      </c>
      <c r="C23" s="7" t="str">
        <f t="shared" si="0"/>
        <v>Premium5R3less</v>
      </c>
      <c r="D23" s="7" t="str">
        <f t="shared" si="1"/>
        <v>Premium</v>
      </c>
      <c r="E23" s="7" t="str">
        <f>IF(COUNTIF('R6追加前'!A:A,B23)=0,IF(I23="PremiumSS","R5only","R3less"),"")</f>
        <v>R3less</v>
      </c>
      <c r="F23" s="7" t="str">
        <f>IF(COUNTIF('R6開放'!A:A,B23)&gt;0,"R6release","")</f>
        <v/>
      </c>
      <c r="G23" s="7"/>
      <c r="H23" s="7" t="str">
        <f>VLOOKUP(B23,[1]characters!$A:$C,3,FALSE)</f>
        <v>ギガ生命の果実</v>
      </c>
      <c r="I23" s="7" t="str">
        <f>VLOOKUP(B23,[1]characters!$A:$J,10,FALSE)</f>
        <v>Material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limitbreak</v>
      </c>
      <c r="M23" s="7" t="str">
        <f>VLOOKUP(B23,[1]characters!$A:$M,13,FALSE)</f>
        <v>unknown</v>
      </c>
      <c r="N23" s="7" t="str">
        <f>VLOOKUP(B23,[1]characters!$A:$G,7,FALSE)</f>
        <v>不明</v>
      </c>
      <c r="O23" s="34">
        <v>100</v>
      </c>
      <c r="P23" s="35">
        <f t="shared" si="2"/>
        <v>0.01</v>
      </c>
      <c r="Q23" s="28">
        <v>1</v>
      </c>
      <c r="R23" s="28">
        <v>0</v>
      </c>
      <c r="S23" s="28">
        <v>0</v>
      </c>
      <c r="T23" s="28">
        <v>0</v>
      </c>
      <c r="U23" s="28">
        <v>0</v>
      </c>
      <c r="V23" s="28">
        <v>1</v>
      </c>
    </row>
    <row r="24" spans="1:22" ht="21" customHeight="1" x14ac:dyDescent="0.15">
      <c r="A24" s="2">
        <v>7301100</v>
      </c>
      <c r="B24" s="6">
        <v>613</v>
      </c>
      <c r="C24" s="7" t="str">
        <f t="shared" si="0"/>
        <v>Premium5R3less</v>
      </c>
      <c r="D24" s="7" t="str">
        <f t="shared" si="1"/>
        <v>Premium</v>
      </c>
      <c r="E24" s="7" t="str">
        <f>IF(COUNTIF('R6追加前'!A:A,B24)=0,IF(I24="PremiumSS","R5only","R3less"),"")</f>
        <v>R3less</v>
      </c>
      <c r="F24" s="7" t="str">
        <f>IF(COUNTIF('R6開放'!A:A,B24)&gt;0,"R6release","")</f>
        <v/>
      </c>
      <c r="G24" s="7"/>
      <c r="H24" s="7" t="str">
        <f>VLOOKUP(B24,[1]characters!$A:$C,3,FALSE)</f>
        <v>ギガ癒しの果実</v>
      </c>
      <c r="I24" s="7" t="str">
        <f>VLOOKUP(B24,[1]characters!$A:$J,10,FALSE)</f>
        <v>Material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limitbreak</v>
      </c>
      <c r="M24" s="7" t="str">
        <f>VLOOKUP(B24,[1]characters!$A:$M,13,FALSE)</f>
        <v>unknown</v>
      </c>
      <c r="N24" s="7" t="str">
        <f>VLOOKUP(B24,[1]characters!$A:$G,7,FALSE)</f>
        <v>不明</v>
      </c>
      <c r="O24" s="34">
        <v>100</v>
      </c>
      <c r="P24" s="35">
        <f t="shared" si="2"/>
        <v>0.01</v>
      </c>
      <c r="Q24" s="28">
        <v>1</v>
      </c>
      <c r="R24" s="28">
        <v>0</v>
      </c>
      <c r="S24" s="28">
        <v>0</v>
      </c>
      <c r="T24" s="28">
        <v>0</v>
      </c>
      <c r="U24" s="28">
        <v>0</v>
      </c>
      <c r="V24" s="28">
        <v>1</v>
      </c>
    </row>
  </sheetData>
  <autoFilter ref="A1:V4"/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>
    <tabColor rgb="FF0000FF"/>
    <outlinePr summaryBelow="0" summaryRight="0"/>
  </sheetPr>
  <dimension ref="A1:V2"/>
  <sheetViews>
    <sheetView showGridLines="0" zoomScale="75" zoomScaleNormal="75" zoomScalePageLayoutView="75" workbookViewId="0">
      <pane ySplit="1" topLeftCell="A2" activePane="bottomLeft" state="frozen"/>
      <selection activeCell="A266" sqref="A266:XFD266"/>
      <selection pane="bottomLeft" activeCell="V3" sqref="V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64</v>
      </c>
      <c r="B1" s="13" t="s">
        <v>1</v>
      </c>
      <c r="C1" s="3" t="s">
        <v>31</v>
      </c>
      <c r="D1" s="3" t="s">
        <v>76</v>
      </c>
      <c r="E1" s="3" t="s">
        <v>79</v>
      </c>
      <c r="F1" s="3" t="s">
        <v>80</v>
      </c>
      <c r="G1" s="3" t="s">
        <v>77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56</v>
      </c>
      <c r="O1" s="13" t="s">
        <v>2</v>
      </c>
      <c r="P1" s="3" t="s">
        <v>58</v>
      </c>
      <c r="Q1" s="13" t="s">
        <v>38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</row>
    <row r="2" spans="1:22" ht="21" customHeight="1" x14ac:dyDescent="0.15">
      <c r="A2" s="2">
        <v>7301100</v>
      </c>
      <c r="B2" s="6">
        <v>1053</v>
      </c>
      <c r="C2" s="7" t="str">
        <f t="shared" ref="C2" si="0">D2&amp;J2&amp;E2&amp;F2&amp;G2</f>
        <v>Premium5R3less</v>
      </c>
      <c r="D2" s="7" t="str">
        <f t="shared" ref="D2" si="1">IF(I2="PremiumSS",I2,IF(I2="PremiumSSS",I2,IF(I2="PremiumW",I2,"Premium")))</f>
        <v>Premium</v>
      </c>
      <c r="E2" s="7" t="str">
        <f>IF(COUNTIF('R6追加前'!A:A,B2)=0,IF(I2="PremiumSS","R5only","R3less"),"")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常夏の眩獣 麒麟</v>
      </c>
      <c r="I2" s="7" t="str">
        <f>VLOOKUP(B2,[1]characters!$A:$J,10,FALSE)</f>
        <v>DropWizS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balance</v>
      </c>
      <c r="M2" s="7" t="str">
        <f>VLOOKUP(B2,[1]characters!$A:$M,13,FALSE)</f>
        <v>god</v>
      </c>
      <c r="N2" s="7" t="str">
        <f>VLOOKUP(B2,[1]characters!$A:$G,7,FALSE)</f>
        <v>男性</v>
      </c>
      <c r="O2" s="34">
        <v>1000</v>
      </c>
      <c r="P2" s="35">
        <f>O2/SUM(O:O)</f>
        <v>1</v>
      </c>
      <c r="Q2" s="28">
        <v>1</v>
      </c>
      <c r="R2" s="28">
        <v>0</v>
      </c>
      <c r="S2" s="28">
        <v>0</v>
      </c>
      <c r="T2" s="28">
        <v>0</v>
      </c>
      <c r="U2" s="28">
        <v>0</v>
      </c>
      <c r="V2" s="28">
        <v>1</v>
      </c>
    </row>
  </sheetData>
  <autoFilter ref="A1:V2"/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H10" sqref="H1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1" t="s">
        <v>10</v>
      </c>
      <c r="B1" s="21" t="s">
        <v>13</v>
      </c>
      <c r="C1" s="12" t="s">
        <v>15</v>
      </c>
      <c r="D1" s="12" t="s">
        <v>16</v>
      </c>
      <c r="E1" s="12" t="s">
        <v>17</v>
      </c>
      <c r="F1" s="11" t="s">
        <v>2</v>
      </c>
      <c r="G1" s="39" t="s">
        <v>68</v>
      </c>
      <c r="H1" s="39" t="s">
        <v>69</v>
      </c>
      <c r="I1" s="40" t="s">
        <v>70</v>
      </c>
      <c r="J1" s="40" t="s">
        <v>71</v>
      </c>
      <c r="K1" s="40" t="s">
        <v>72</v>
      </c>
      <c r="L1" s="40" t="s">
        <v>73</v>
      </c>
      <c r="M1" s="40" t="s">
        <v>74</v>
      </c>
      <c r="N1" s="11" t="s">
        <v>18</v>
      </c>
      <c r="O1" s="11" t="s">
        <v>19</v>
      </c>
      <c r="P1" s="11" t="s">
        <v>20</v>
      </c>
      <c r="Q1" s="11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75</v>
      </c>
    </row>
  </sheetData>
  <autoFilter ref="A1:F1"/>
  <phoneticPr fontId="17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workbookViewId="0">
      <selection activeCell="A272" sqref="A267:XFD272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3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41">
        <v>668</v>
      </c>
      <c r="B246" s="7" t="str">
        <f>VLOOKUP(A246,[1]characters!$A:$C,3,FALSE)</f>
        <v>アグニ</v>
      </c>
    </row>
    <row r="247" spans="1:2" x14ac:dyDescent="0.15">
      <c r="A247" s="41">
        <v>669</v>
      </c>
      <c r="B247" s="7" t="str">
        <f>VLOOKUP(A247,[1]characters!$A:$C,3,FALSE)</f>
        <v>天地の仲界 アグニ</v>
      </c>
    </row>
    <row r="248" spans="1:2" x14ac:dyDescent="0.15">
      <c r="A248" s="41">
        <v>670</v>
      </c>
      <c r="B248" s="7" t="str">
        <f>VLOOKUP(A248,[1]characters!$A:$C,3,FALSE)</f>
        <v>陽天の噴煙 アグニ</v>
      </c>
    </row>
    <row r="249" spans="1:2" x14ac:dyDescent="0.15">
      <c r="A249" s="41">
        <v>671</v>
      </c>
      <c r="B249" s="7" t="str">
        <f>VLOOKUP(A249,[1]characters!$A:$C,3,FALSE)</f>
        <v>ハヌマーン</v>
      </c>
    </row>
    <row r="250" spans="1:2" x14ac:dyDescent="0.15">
      <c r="A250" s="41">
        <v>672</v>
      </c>
      <c r="B250" s="7" t="str">
        <f>VLOOKUP(A250,[1]characters!$A:$C,3,FALSE)</f>
        <v>西遊韋駄天 ハヌマーン</v>
      </c>
    </row>
    <row r="251" spans="1:2" x14ac:dyDescent="0.15">
      <c r="A251" s="41">
        <v>673</v>
      </c>
      <c r="B251" s="7" t="str">
        <f>VLOOKUP(A251,[1]characters!$A:$C,3,FALSE)</f>
        <v>変幻自在の猿王 ハヌマーン</v>
      </c>
    </row>
    <row r="252" spans="1:2" x14ac:dyDescent="0.15">
      <c r="A252" s="41">
        <v>674</v>
      </c>
      <c r="B252" s="7" t="str">
        <f>VLOOKUP(A252,[1]characters!$A:$C,3,FALSE)</f>
        <v>サラスヴァティ</v>
      </c>
    </row>
    <row r="253" spans="1:2" x14ac:dyDescent="0.15">
      <c r="A253" s="41">
        <v>675</v>
      </c>
      <c r="B253" s="7" t="str">
        <f>VLOOKUP(A253,[1]characters!$A:$C,3,FALSE)</f>
        <v>芸楽の奔流 サラスヴァティ</v>
      </c>
    </row>
    <row r="254" spans="1:2" x14ac:dyDescent="0.15">
      <c r="A254" s="41">
        <v>676</v>
      </c>
      <c r="B254" s="7" t="str">
        <f>VLOOKUP(A254,[1]characters!$A:$C,3,FALSE)</f>
        <v>ヴィシュヌ</v>
      </c>
    </row>
    <row r="255" spans="1:2" x14ac:dyDescent="0.15">
      <c r="A255" s="41">
        <v>677</v>
      </c>
      <c r="B255" s="7" t="str">
        <f>VLOOKUP(A255,[1]characters!$A:$C,3,FALSE)</f>
        <v>武遊闊歩 ヴィシュヌ</v>
      </c>
    </row>
    <row r="256" spans="1:2" x14ac:dyDescent="0.15">
      <c r="A256" s="41">
        <v>770</v>
      </c>
      <c r="B256" s="7" t="str">
        <f>VLOOKUP(A256,[1]characters!$A:$C,3,FALSE)</f>
        <v>ハヅル</v>
      </c>
    </row>
    <row r="257" spans="1:2" x14ac:dyDescent="0.15">
      <c r="A257" s="41">
        <v>771</v>
      </c>
      <c r="B257" s="7" t="str">
        <f>VLOOKUP(A257,[1]characters!$A:$C,3,FALSE)</f>
        <v>天織羽鶴 ハヅル</v>
      </c>
    </row>
    <row r="258" spans="1:2" x14ac:dyDescent="0.15">
      <c r="A258" s="41">
        <v>772</v>
      </c>
      <c r="B258" s="7" t="str">
        <f>VLOOKUP(A258,[1]characters!$A:$C,3,FALSE)</f>
        <v>イナバ</v>
      </c>
    </row>
    <row r="259" spans="1:2" x14ac:dyDescent="0.15">
      <c r="A259" s="41">
        <v>773</v>
      </c>
      <c r="B259" s="7" t="str">
        <f>VLOOKUP(A259,[1]characters!$A:$C,3,FALSE)</f>
        <v>浮跳天兎 イナバ</v>
      </c>
    </row>
    <row r="260" spans="1:2" x14ac:dyDescent="0.15">
      <c r="A260" s="41">
        <v>774</v>
      </c>
      <c r="B260" s="7" t="str">
        <f>VLOOKUP(A260,[1]characters!$A:$C,3,FALSE)</f>
        <v>ミズチ</v>
      </c>
    </row>
    <row r="261" spans="1:2" x14ac:dyDescent="0.15">
      <c r="A261" s="41">
        <v>775</v>
      </c>
      <c r="B261" s="7" t="str">
        <f>VLOOKUP(A261,[1]characters!$A:$C,3,FALSE)</f>
        <v>水底霊竜 ミズチ</v>
      </c>
    </row>
    <row r="262" spans="1:2" x14ac:dyDescent="0.15">
      <c r="A262" s="41">
        <v>776</v>
      </c>
      <c r="B262" s="7" t="str">
        <f>VLOOKUP(A262,[1]characters!$A:$C,3,FALSE)</f>
        <v>水竜底主 ミズチ</v>
      </c>
    </row>
    <row r="263" spans="1:2" x14ac:dyDescent="0.15">
      <c r="A263" s="41">
        <v>777</v>
      </c>
      <c r="B263" s="7" t="str">
        <f>VLOOKUP(A263,[1]characters!$A:$C,3,FALSE)</f>
        <v>ガメック</v>
      </c>
    </row>
    <row r="264" spans="1:2" x14ac:dyDescent="0.15">
      <c r="A264" s="41">
        <v>778</v>
      </c>
      <c r="B264" s="7" t="str">
        <f>VLOOKUP(A264,[1]characters!$A:$C,3,FALSE)</f>
        <v>一亀懸明 ガメック</v>
      </c>
    </row>
    <row r="265" spans="1:2" x14ac:dyDescent="0.15">
      <c r="A265" s="41">
        <v>779</v>
      </c>
      <c r="B265" s="7" t="str">
        <f>VLOOKUP(A265,[1]characters!$A:$C,3,FALSE)</f>
        <v>頑堅咬亀 ガメック</v>
      </c>
    </row>
    <row r="266" spans="1:2" x14ac:dyDescent="0.15">
      <c r="A266" s="41">
        <v>779</v>
      </c>
      <c r="B266" s="7" t="str">
        <f>VLOOKUP(A266,[1]characters!$A:$C,3,FALSE)</f>
        <v>頑堅咬亀 ガメック</v>
      </c>
    </row>
  </sheetData>
  <phoneticPr fontId="17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272" sqref="A267:XFD272"/>
    </sheetView>
  </sheetViews>
  <sheetFormatPr baseColWidth="12" defaultRowHeight="14" x14ac:dyDescent="0.15"/>
  <sheetData>
    <row r="1" spans="1:2" x14ac:dyDescent="0.15">
      <c r="A1" s="33" t="s">
        <v>57</v>
      </c>
      <c r="B1" s="33"/>
    </row>
    <row r="2" spans="1:2" x14ac:dyDescent="0.15">
      <c r="A2" s="31" t="s">
        <v>1</v>
      </c>
      <c r="B2" s="32" t="s">
        <v>59</v>
      </c>
    </row>
    <row r="3" spans="1:2" x14ac:dyDescent="0.15">
      <c r="A3" s="6">
        <v>166</v>
      </c>
      <c r="B3" s="32" t="str">
        <f>VLOOKUP(A3,[1]characters!$A:$C,3,FALSE)</f>
        <v>ベリアル</v>
      </c>
    </row>
    <row r="4" spans="1:2" x14ac:dyDescent="0.15">
      <c r="A4" s="6">
        <v>167</v>
      </c>
      <c r="B4" s="32" t="str">
        <f>VLOOKUP(A4,[1]characters!$A:$C,3,FALSE)</f>
        <v>逆徒 ベリアル</v>
      </c>
    </row>
    <row r="5" spans="1:2" x14ac:dyDescent="0.15">
      <c r="A5" s="6">
        <v>168</v>
      </c>
      <c r="B5" s="32" t="str">
        <f>VLOOKUP(A5,[1]characters!$A:$C,3,FALSE)</f>
        <v>猛進の大逆者 ベリアル</v>
      </c>
    </row>
    <row r="6" spans="1:2" x14ac:dyDescent="0.15">
      <c r="A6" s="31">
        <v>169</v>
      </c>
      <c r="B6" s="32" t="str">
        <f>VLOOKUP(A6,[1]characters!$A:$C,3,FALSE)</f>
        <v>オセ</v>
      </c>
    </row>
    <row r="7" spans="1:2" x14ac:dyDescent="0.15">
      <c r="A7" s="31">
        <v>170</v>
      </c>
      <c r="B7" s="32" t="str">
        <f>VLOOKUP(A7,[1]characters!$A:$C,3,FALSE)</f>
        <v>識徒 オセ</v>
      </c>
    </row>
    <row r="8" spans="1:2" x14ac:dyDescent="0.15">
      <c r="A8" s="31">
        <v>171</v>
      </c>
      <c r="B8" s="32" t="str">
        <f>VLOOKUP(A8,[1]characters!$A:$C,3,FALSE)</f>
        <v>精解の預知者 オセ</v>
      </c>
    </row>
    <row r="9" spans="1:2" x14ac:dyDescent="0.15">
      <c r="A9" s="31">
        <v>172</v>
      </c>
      <c r="B9" s="32" t="str">
        <f>VLOOKUP(A9,[1]characters!$A:$C,3,FALSE)</f>
        <v>フォルネウス</v>
      </c>
    </row>
    <row r="10" spans="1:2" x14ac:dyDescent="0.15">
      <c r="A10" s="31">
        <v>173</v>
      </c>
      <c r="B10" s="32" t="str">
        <f>VLOOKUP(A10,[1]characters!$A:$C,3,FALSE)</f>
        <v>公爵 フォルネウス</v>
      </c>
    </row>
    <row r="11" spans="1:2" x14ac:dyDescent="0.15">
      <c r="A11" s="31">
        <v>174</v>
      </c>
      <c r="B11" s="32" t="str">
        <f>VLOOKUP(A11,[1]characters!$A:$C,3,FALSE)</f>
        <v>偽愛の大公爵 フォルネウス</v>
      </c>
    </row>
    <row r="12" spans="1:2" x14ac:dyDescent="0.15">
      <c r="A12" s="31">
        <v>235</v>
      </c>
      <c r="B12" s="32" t="str">
        <f>VLOOKUP(A12,[1]characters!$A:$C,3,FALSE)</f>
        <v>イザナミ</v>
      </c>
    </row>
    <row r="13" spans="1:2" x14ac:dyDescent="0.15">
      <c r="A13" s="31">
        <v>236</v>
      </c>
      <c r="B13" s="32" t="str">
        <f>VLOOKUP(A13,[1]characters!$A:$C,3,FALSE)</f>
        <v>神産 イザナミ</v>
      </c>
    </row>
    <row r="14" spans="1:2" x14ac:dyDescent="0.15">
      <c r="A14" s="31">
        <v>237</v>
      </c>
      <c r="B14" s="32" t="str">
        <f>VLOOKUP(A14,[1]characters!$A:$C,3,FALSE)</f>
        <v>森羅万象の神母 イザナミ</v>
      </c>
    </row>
  </sheetData>
  <phoneticPr fontId="1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Sheet1</vt:lpstr>
      <vt:lpstr>output</vt:lpstr>
      <vt:lpstr>tables_7300</vt:lpstr>
      <vt:lpstr>tables_7301</vt:lpstr>
      <vt:lpstr>tables_settle_7301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2016-09-22T21:03:24Z</dcterms:modified>
</cp:coreProperties>
</file>