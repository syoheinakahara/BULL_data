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10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yoshizawa/Projects/BULL/Repository/BULL_data/master_excel/"/>
    </mc:Choice>
  </mc:AlternateContent>
  <bookViews>
    <workbookView xWindow="0" yWindow="460" windowWidth="25600" windowHeight="13860" tabRatio="740" firstSheet="1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enemy_habitat_S!$B$1:$Y$2</definedName>
    <definedName name="_xlnm._FilterDatabase" localSheetId="2" hidden="1">enemy_habitats!$B$1:$AH$44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8" i="19" l="1"/>
  <c r="G18" i="19"/>
  <c r="D18" i="19"/>
  <c r="C18" i="19"/>
  <c r="F17" i="19"/>
  <c r="G17" i="19"/>
  <c r="D17" i="19"/>
  <c r="C17" i="19"/>
  <c r="F16" i="19"/>
  <c r="G16" i="19"/>
  <c r="D16" i="19"/>
  <c r="C16" i="19"/>
  <c r="F15" i="19"/>
  <c r="G15" i="19"/>
  <c r="D15" i="19"/>
  <c r="C15" i="19"/>
  <c r="F14" i="19"/>
  <c r="G14" i="19"/>
  <c r="D14" i="19"/>
  <c r="C14" i="19"/>
  <c r="F13" i="19"/>
  <c r="G13" i="19"/>
  <c r="D13" i="19"/>
  <c r="C13" i="19"/>
  <c r="F12" i="19"/>
  <c r="G12" i="19"/>
  <c r="D12" i="19"/>
  <c r="C12" i="19"/>
  <c r="F11" i="19"/>
  <c r="G11" i="19"/>
  <c r="D11" i="19"/>
  <c r="C11" i="19"/>
  <c r="F10" i="19"/>
  <c r="G10" i="19"/>
  <c r="D10" i="19"/>
  <c r="C10" i="19"/>
  <c r="F9" i="19"/>
  <c r="G9" i="19"/>
  <c r="D9" i="19"/>
  <c r="C9" i="19"/>
  <c r="F8" i="19"/>
  <c r="G8" i="19"/>
  <c r="D8" i="19"/>
  <c r="C8" i="19"/>
  <c r="F7" i="19"/>
  <c r="G7" i="19"/>
  <c r="D7" i="19"/>
  <c r="C7" i="19"/>
  <c r="F6" i="19"/>
  <c r="G6" i="19"/>
  <c r="D6" i="19"/>
  <c r="C6" i="19"/>
  <c r="F5" i="19"/>
  <c r="G5" i="19"/>
  <c r="D5" i="19"/>
  <c r="C5" i="19"/>
  <c r="F4" i="19"/>
  <c r="G4" i="19"/>
  <c r="D4" i="19"/>
  <c r="C4" i="19"/>
  <c r="F3" i="19"/>
  <c r="G3" i="19"/>
  <c r="D3" i="19"/>
  <c r="C3" i="19"/>
  <c r="F2" i="19"/>
  <c r="G2" i="19"/>
  <c r="D2" i="19"/>
  <c r="C2" i="19"/>
  <c r="B3" i="21"/>
  <c r="C3" i="21"/>
  <c r="D3" i="21"/>
  <c r="F3" i="21"/>
  <c r="G3" i="21"/>
  <c r="I3" i="21"/>
  <c r="J3" i="21"/>
  <c r="B4" i="21"/>
  <c r="C4" i="21"/>
  <c r="D4" i="21"/>
  <c r="F4" i="21"/>
  <c r="G4" i="21"/>
  <c r="I4" i="21"/>
  <c r="J4" i="21"/>
  <c r="B5" i="21"/>
  <c r="C5" i="21"/>
  <c r="D5" i="21"/>
  <c r="F5" i="21"/>
  <c r="G5" i="21"/>
  <c r="I5" i="21"/>
  <c r="J5" i="21"/>
  <c r="B6" i="21"/>
  <c r="C6" i="21"/>
  <c r="D6" i="21"/>
  <c r="F6" i="21"/>
  <c r="G6" i="21"/>
  <c r="I6" i="21"/>
  <c r="J6" i="21"/>
  <c r="B7" i="21"/>
  <c r="C7" i="21"/>
  <c r="D7" i="21"/>
  <c r="F7" i="21"/>
  <c r="G7" i="21"/>
  <c r="I7" i="21"/>
  <c r="J7" i="21"/>
  <c r="B8" i="21"/>
  <c r="C8" i="21"/>
  <c r="D8" i="21"/>
  <c r="F8" i="21"/>
  <c r="G8" i="21"/>
  <c r="I8" i="21"/>
  <c r="J8" i="21"/>
  <c r="B9" i="21"/>
  <c r="C9" i="21"/>
  <c r="D9" i="21"/>
  <c r="F9" i="21"/>
  <c r="G9" i="21"/>
  <c r="I9" i="21"/>
  <c r="J9" i="21"/>
  <c r="B10" i="21"/>
  <c r="C10" i="21"/>
  <c r="D10" i="21"/>
  <c r="F10" i="21"/>
  <c r="G10" i="21"/>
  <c r="I10" i="21"/>
  <c r="J10" i="21"/>
  <c r="B11" i="21"/>
  <c r="C11" i="21"/>
  <c r="D11" i="21"/>
  <c r="F11" i="21"/>
  <c r="G11" i="21"/>
  <c r="I11" i="21"/>
  <c r="J11" i="21"/>
  <c r="B12" i="21"/>
  <c r="C12" i="21"/>
  <c r="D12" i="21"/>
  <c r="F12" i="21"/>
  <c r="G12" i="21"/>
  <c r="I12" i="21"/>
  <c r="J12" i="21"/>
  <c r="B13" i="21"/>
  <c r="C13" i="21"/>
  <c r="D13" i="21"/>
  <c r="F13" i="21"/>
  <c r="G13" i="21"/>
  <c r="I13" i="21"/>
  <c r="J13" i="21"/>
  <c r="B14" i="21"/>
  <c r="C14" i="21"/>
  <c r="D14" i="21"/>
  <c r="F14" i="21"/>
  <c r="G14" i="21"/>
  <c r="I14" i="21"/>
  <c r="J14" i="21"/>
  <c r="B15" i="21"/>
  <c r="C15" i="21"/>
  <c r="D15" i="21"/>
  <c r="F15" i="21"/>
  <c r="G15" i="21"/>
  <c r="I15" i="21"/>
  <c r="J15" i="21"/>
  <c r="B16" i="21"/>
  <c r="C16" i="21"/>
  <c r="D16" i="21"/>
  <c r="F16" i="21"/>
  <c r="G16" i="21"/>
  <c r="I16" i="21"/>
  <c r="J16" i="21"/>
  <c r="B17" i="21"/>
  <c r="C17" i="21"/>
  <c r="D17" i="21"/>
  <c r="F17" i="21"/>
  <c r="G17" i="21"/>
  <c r="I17" i="21"/>
  <c r="J17" i="21"/>
  <c r="B18" i="21"/>
  <c r="C18" i="21"/>
  <c r="D18" i="21"/>
  <c r="F18" i="21"/>
  <c r="G18" i="21"/>
  <c r="I18" i="21"/>
  <c r="J18" i="21"/>
  <c r="AB31" i="1"/>
  <c r="AD31" i="1"/>
  <c r="AG31" i="1"/>
  <c r="AE31" i="1"/>
  <c r="AC31" i="1"/>
  <c r="V31" i="1"/>
  <c r="Q31" i="1"/>
  <c r="P31" i="1"/>
  <c r="O31" i="1"/>
  <c r="N31" i="1"/>
  <c r="M31" i="1"/>
  <c r="H31" i="1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G14" i="2"/>
  <c r="A14" i="2"/>
  <c r="G15" i="2"/>
  <c r="A15" i="2"/>
  <c r="G16" i="2"/>
  <c r="A16" i="2"/>
  <c r="G17" i="2"/>
  <c r="A17" i="2"/>
  <c r="G18" i="2"/>
  <c r="A18" i="2"/>
  <c r="J31" i="1"/>
  <c r="I31" i="1"/>
  <c r="D31" i="1"/>
  <c r="F31" i="1"/>
  <c r="E31" i="1"/>
  <c r="A31" i="1"/>
  <c r="AB30" i="1"/>
  <c r="AD30" i="1"/>
  <c r="AG30" i="1"/>
  <c r="AE30" i="1"/>
  <c r="AC30" i="1"/>
  <c r="V30" i="1"/>
  <c r="Q30" i="1"/>
  <c r="P30" i="1"/>
  <c r="O30" i="1"/>
  <c r="N30" i="1"/>
  <c r="M30" i="1"/>
  <c r="H30" i="1"/>
  <c r="J30" i="1"/>
  <c r="I30" i="1"/>
  <c r="D30" i="1"/>
  <c r="F30" i="1"/>
  <c r="E30" i="1"/>
  <c r="A30" i="1"/>
  <c r="J38" i="11"/>
  <c r="O25" i="9"/>
  <c r="N25" i="9"/>
  <c r="M25" i="9"/>
  <c r="L25" i="9"/>
  <c r="K25" i="9"/>
  <c r="J25" i="9"/>
  <c r="I25" i="9"/>
  <c r="H25" i="9"/>
  <c r="G25" i="9"/>
  <c r="E25" i="9"/>
  <c r="D25" i="9"/>
  <c r="A25" i="9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C34" i="18"/>
  <c r="D34" i="18"/>
  <c r="C33" i="18"/>
  <c r="D33" i="18"/>
  <c r="C32" i="18"/>
  <c r="D32" i="18"/>
  <c r="C31" i="18"/>
  <c r="D31" i="18"/>
  <c r="C30" i="18"/>
  <c r="D30" i="18"/>
  <c r="C29" i="18"/>
  <c r="D29" i="18"/>
  <c r="C28" i="18"/>
  <c r="D28" i="18"/>
  <c r="C27" i="18"/>
  <c r="D27" i="18"/>
  <c r="C26" i="18"/>
  <c r="D26" i="18"/>
  <c r="C25" i="18"/>
  <c r="D25" i="18"/>
  <c r="C24" i="18"/>
  <c r="D24" i="18"/>
  <c r="C23" i="18"/>
  <c r="D23" i="18"/>
  <c r="C22" i="18"/>
  <c r="D22" i="18"/>
  <c r="C21" i="18"/>
  <c r="D21" i="18"/>
  <c r="C20" i="18"/>
  <c r="D20" i="18"/>
  <c r="C19" i="18"/>
  <c r="D1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H44" i="1"/>
  <c r="D44" i="1"/>
  <c r="F44" i="1"/>
  <c r="E44" i="1"/>
  <c r="H43" i="1"/>
  <c r="D43" i="1"/>
  <c r="F43" i="1"/>
  <c r="E43" i="1"/>
  <c r="H42" i="1"/>
  <c r="D42" i="1"/>
  <c r="F42" i="1"/>
  <c r="E42" i="1"/>
  <c r="H41" i="1"/>
  <c r="D41" i="1"/>
  <c r="F41" i="1"/>
  <c r="E41" i="1"/>
  <c r="H40" i="1"/>
  <c r="D40" i="1"/>
  <c r="F40" i="1"/>
  <c r="E40" i="1"/>
  <c r="H39" i="1"/>
  <c r="D39" i="1"/>
  <c r="F39" i="1"/>
  <c r="E39" i="1"/>
  <c r="H38" i="1"/>
  <c r="D38" i="1"/>
  <c r="F38" i="1"/>
  <c r="E38" i="1"/>
  <c r="H37" i="1"/>
  <c r="D37" i="1"/>
  <c r="F37" i="1"/>
  <c r="E37" i="1"/>
  <c r="H36" i="1"/>
  <c r="D36" i="1"/>
  <c r="F36" i="1"/>
  <c r="E36" i="1"/>
  <c r="H35" i="1"/>
  <c r="D35" i="1"/>
  <c r="F35" i="1"/>
  <c r="E35" i="1"/>
  <c r="AB16" i="1"/>
  <c r="AD16" i="1"/>
  <c r="AG16" i="1"/>
  <c r="AE16" i="1"/>
  <c r="AC16" i="1"/>
  <c r="V16" i="1"/>
  <c r="Q16" i="1"/>
  <c r="P16" i="1"/>
  <c r="O16" i="1"/>
  <c r="N16" i="1"/>
  <c r="M16" i="1"/>
  <c r="H16" i="1"/>
  <c r="J16" i="1"/>
  <c r="I16" i="1"/>
  <c r="D16" i="1"/>
  <c r="F16" i="1"/>
  <c r="E16" i="1"/>
  <c r="A16" i="1"/>
  <c r="AB15" i="1"/>
  <c r="AD15" i="1"/>
  <c r="AG15" i="1"/>
  <c r="AE15" i="1"/>
  <c r="AC15" i="1"/>
  <c r="V15" i="1"/>
  <c r="Q15" i="1"/>
  <c r="P15" i="1"/>
  <c r="O15" i="1"/>
  <c r="N15" i="1"/>
  <c r="M15" i="1"/>
  <c r="H15" i="1"/>
  <c r="J15" i="1"/>
  <c r="I15" i="1"/>
  <c r="D15" i="1"/>
  <c r="F15" i="1"/>
  <c r="E15" i="1"/>
  <c r="A15" i="1"/>
  <c r="AB3" i="1"/>
  <c r="AD3" i="1"/>
  <c r="AG3" i="1"/>
  <c r="AE3" i="1"/>
  <c r="AC3" i="1"/>
  <c r="V3" i="1"/>
  <c r="Q3" i="1"/>
  <c r="P3" i="1"/>
  <c r="O3" i="1"/>
  <c r="N3" i="1"/>
  <c r="M3" i="1"/>
  <c r="H3" i="1"/>
  <c r="J3" i="1"/>
  <c r="I3" i="1"/>
  <c r="D3" i="1"/>
  <c r="F3" i="1"/>
  <c r="E3" i="1"/>
  <c r="A3" i="1"/>
  <c r="AB2" i="1"/>
  <c r="AD2" i="1"/>
  <c r="AG2" i="1"/>
  <c r="AE2" i="1"/>
  <c r="AC2" i="1"/>
  <c r="V2" i="1"/>
  <c r="Q2" i="1"/>
  <c r="P2" i="1"/>
  <c r="O2" i="1"/>
  <c r="N2" i="1"/>
  <c r="M2" i="1"/>
  <c r="H2" i="1"/>
  <c r="J2" i="1"/>
  <c r="I2" i="1"/>
  <c r="D2" i="1"/>
  <c r="F2" i="1"/>
  <c r="E2" i="1"/>
  <c r="A2" i="1"/>
  <c r="J27" i="9"/>
  <c r="AB17" i="1"/>
  <c r="AD17" i="1"/>
  <c r="AG17" i="1"/>
  <c r="AE17" i="1"/>
  <c r="AC17" i="1"/>
  <c r="E29" i="9"/>
  <c r="V17" i="1"/>
  <c r="Q17" i="1"/>
  <c r="P17" i="1"/>
  <c r="O17" i="1"/>
  <c r="N17" i="1"/>
  <c r="M17" i="1"/>
  <c r="H17" i="1"/>
  <c r="J17" i="1"/>
  <c r="I17" i="1"/>
  <c r="D17" i="1"/>
  <c r="F17" i="1"/>
  <c r="E17" i="1"/>
  <c r="A17" i="1"/>
  <c r="AB36" i="1"/>
  <c r="AD36" i="1"/>
  <c r="AG36" i="1"/>
  <c r="AB37" i="1"/>
  <c r="AD37" i="1"/>
  <c r="AG37" i="1"/>
  <c r="AB38" i="1"/>
  <c r="AD38" i="1"/>
  <c r="AG38" i="1"/>
  <c r="AB39" i="1"/>
  <c r="AD39" i="1"/>
  <c r="AG39" i="1"/>
  <c r="AB40" i="1"/>
  <c r="AD40" i="1"/>
  <c r="AG40" i="1"/>
  <c r="AB41" i="1"/>
  <c r="AD41" i="1"/>
  <c r="AG41" i="1"/>
  <c r="AB42" i="1"/>
  <c r="AD42" i="1"/>
  <c r="AG42" i="1"/>
  <c r="AB43" i="1"/>
  <c r="AD43" i="1"/>
  <c r="AG43" i="1"/>
  <c r="AB44" i="1"/>
  <c r="AD44" i="1"/>
  <c r="AG44" i="1"/>
  <c r="AA36" i="1"/>
  <c r="AC36" i="1"/>
  <c r="AE36" i="1"/>
  <c r="AA37" i="1"/>
  <c r="AC37" i="1"/>
  <c r="AE37" i="1"/>
  <c r="AA38" i="1"/>
  <c r="AC38" i="1"/>
  <c r="AE38" i="1"/>
  <c r="AA39" i="1"/>
  <c r="AC39" i="1"/>
  <c r="AE39" i="1"/>
  <c r="AA40" i="1"/>
  <c r="AC40" i="1"/>
  <c r="AE40" i="1"/>
  <c r="AA41" i="1"/>
  <c r="AC41" i="1"/>
  <c r="AE41" i="1"/>
  <c r="AA42" i="1"/>
  <c r="AC42" i="1"/>
  <c r="AE42" i="1"/>
  <c r="AA43" i="1"/>
  <c r="AC43" i="1"/>
  <c r="AE43" i="1"/>
  <c r="AA44" i="1"/>
  <c r="AC44" i="1"/>
  <c r="AE44" i="1"/>
  <c r="E24" i="9"/>
  <c r="V35" i="1"/>
  <c r="E27" i="9"/>
  <c r="V36" i="1"/>
  <c r="E28" i="9"/>
  <c r="V37" i="1"/>
  <c r="V38" i="1"/>
  <c r="V39" i="1"/>
  <c r="V40" i="1"/>
  <c r="V41" i="1"/>
  <c r="V42" i="1"/>
  <c r="V43" i="1"/>
  <c r="V44" i="1"/>
  <c r="M35" i="1"/>
  <c r="N35" i="1"/>
  <c r="O35" i="1"/>
  <c r="P35" i="1"/>
  <c r="Q35" i="1"/>
  <c r="M36" i="1"/>
  <c r="N36" i="1"/>
  <c r="O36" i="1"/>
  <c r="P36" i="1"/>
  <c r="Q36" i="1"/>
  <c r="M37" i="1"/>
  <c r="N37" i="1"/>
  <c r="O37" i="1"/>
  <c r="P37" i="1"/>
  <c r="Q37" i="1"/>
  <c r="M38" i="1"/>
  <c r="N38" i="1"/>
  <c r="O38" i="1"/>
  <c r="P38" i="1"/>
  <c r="Q38" i="1"/>
  <c r="M39" i="1"/>
  <c r="N39" i="1"/>
  <c r="O39" i="1"/>
  <c r="P39" i="1"/>
  <c r="Q39" i="1"/>
  <c r="M40" i="1"/>
  <c r="N40" i="1"/>
  <c r="O40" i="1"/>
  <c r="P40" i="1"/>
  <c r="Q40" i="1"/>
  <c r="M41" i="1"/>
  <c r="N41" i="1"/>
  <c r="O41" i="1"/>
  <c r="P41" i="1"/>
  <c r="Q41" i="1"/>
  <c r="M42" i="1"/>
  <c r="N42" i="1"/>
  <c r="O42" i="1"/>
  <c r="P42" i="1"/>
  <c r="Q42" i="1"/>
  <c r="M43" i="1"/>
  <c r="N43" i="1"/>
  <c r="O43" i="1"/>
  <c r="P43" i="1"/>
  <c r="Q43" i="1"/>
  <c r="M44" i="1"/>
  <c r="N44" i="1"/>
  <c r="O44" i="1"/>
  <c r="P44" i="1"/>
  <c r="Q44" i="1"/>
  <c r="AA35" i="1"/>
  <c r="A35" i="1"/>
  <c r="A36" i="1"/>
  <c r="A37" i="1"/>
  <c r="A38" i="1"/>
  <c r="A39" i="1"/>
  <c r="A40" i="1"/>
  <c r="A41" i="1"/>
  <c r="A42" i="1"/>
  <c r="A43" i="1"/>
  <c r="A44" i="1"/>
  <c r="AB35" i="1"/>
  <c r="AD35" i="1"/>
  <c r="AG35" i="1"/>
  <c r="AE35" i="1"/>
  <c r="AC35" i="1"/>
  <c r="G12" i="10"/>
  <c r="H12" i="10"/>
  <c r="I12" i="10"/>
  <c r="J12" i="10"/>
  <c r="K12" i="10"/>
  <c r="L12" i="10"/>
  <c r="M12" i="10"/>
  <c r="M20" i="10"/>
  <c r="M28" i="10"/>
  <c r="N28" i="10"/>
  <c r="Q28" i="10"/>
  <c r="P28" i="10"/>
  <c r="R28" i="10"/>
  <c r="O28" i="10"/>
  <c r="S28" i="10"/>
  <c r="N20" i="10"/>
  <c r="Q20" i="10"/>
  <c r="P20" i="10"/>
  <c r="R20" i="10"/>
  <c r="O20" i="10"/>
  <c r="S20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M19" i="10"/>
  <c r="M27" i="10"/>
  <c r="N27" i="10"/>
  <c r="Q27" i="10"/>
  <c r="P27" i="10"/>
  <c r="R27" i="10"/>
  <c r="O27" i="10"/>
  <c r="S27" i="10"/>
  <c r="N19" i="10"/>
  <c r="Q19" i="10"/>
  <c r="P19" i="10"/>
  <c r="R19" i="10"/>
  <c r="O19" i="10"/>
  <c r="S19" i="10"/>
  <c r="G2" i="9"/>
  <c r="H2" i="9"/>
  <c r="I2" i="9"/>
  <c r="J2" i="9"/>
  <c r="K2" i="9"/>
  <c r="L2" i="9"/>
  <c r="M2" i="9"/>
  <c r="N2" i="9"/>
  <c r="J3" i="11"/>
  <c r="O2" i="9"/>
  <c r="G3" i="9"/>
  <c r="H3" i="9"/>
  <c r="I3" i="9"/>
  <c r="J3" i="9"/>
  <c r="K3" i="9"/>
  <c r="L3" i="9"/>
  <c r="M3" i="9"/>
  <c r="N3" i="9"/>
  <c r="J4" i="11"/>
  <c r="O3" i="9"/>
  <c r="G4" i="9"/>
  <c r="H4" i="9"/>
  <c r="I4" i="9"/>
  <c r="J4" i="9"/>
  <c r="K4" i="9"/>
  <c r="L4" i="9"/>
  <c r="M4" i="9"/>
  <c r="N4" i="9"/>
  <c r="J5" i="11"/>
  <c r="O4" i="9"/>
  <c r="G5" i="9"/>
  <c r="H5" i="9"/>
  <c r="I5" i="9"/>
  <c r="J5" i="9"/>
  <c r="K5" i="9"/>
  <c r="L5" i="9"/>
  <c r="M5" i="9"/>
  <c r="N5" i="9"/>
  <c r="J6" i="11"/>
  <c r="O5" i="9"/>
  <c r="G6" i="9"/>
  <c r="H6" i="9"/>
  <c r="I6" i="9"/>
  <c r="J6" i="9"/>
  <c r="K6" i="9"/>
  <c r="L6" i="9"/>
  <c r="M6" i="9"/>
  <c r="N6" i="9"/>
  <c r="J9" i="11"/>
  <c r="O6" i="9"/>
  <c r="G7" i="9"/>
  <c r="H7" i="9"/>
  <c r="I7" i="9"/>
  <c r="J7" i="9"/>
  <c r="K7" i="9"/>
  <c r="L7" i="9"/>
  <c r="M7" i="9"/>
  <c r="N7" i="9"/>
  <c r="J10" i="11"/>
  <c r="O7" i="9"/>
  <c r="G8" i="9"/>
  <c r="H8" i="9"/>
  <c r="I8" i="9"/>
  <c r="J8" i="9"/>
  <c r="K8" i="9"/>
  <c r="L8" i="9"/>
  <c r="M8" i="9"/>
  <c r="N8" i="9"/>
  <c r="J11" i="11"/>
  <c r="O8" i="9"/>
  <c r="G9" i="9"/>
  <c r="H9" i="9"/>
  <c r="I9" i="9"/>
  <c r="J9" i="9"/>
  <c r="K9" i="9"/>
  <c r="L9" i="9"/>
  <c r="M9" i="9"/>
  <c r="N9" i="9"/>
  <c r="J12" i="11"/>
  <c r="O9" i="9"/>
  <c r="G10" i="9"/>
  <c r="H10" i="9"/>
  <c r="I10" i="9"/>
  <c r="J10" i="9"/>
  <c r="K10" i="9"/>
  <c r="L10" i="9"/>
  <c r="M10" i="9"/>
  <c r="N10" i="9"/>
  <c r="J13" i="11"/>
  <c r="O10" i="9"/>
  <c r="G11" i="9"/>
  <c r="H11" i="9"/>
  <c r="I11" i="9"/>
  <c r="J11" i="9"/>
  <c r="K11" i="9"/>
  <c r="L11" i="9"/>
  <c r="M11" i="9"/>
  <c r="N11" i="9"/>
  <c r="J15" i="11"/>
  <c r="O11" i="9"/>
  <c r="G12" i="9"/>
  <c r="H12" i="9"/>
  <c r="I12" i="9"/>
  <c r="J12" i="9"/>
  <c r="K12" i="9"/>
  <c r="L12" i="9"/>
  <c r="M12" i="9"/>
  <c r="N12" i="9"/>
  <c r="J17" i="11"/>
  <c r="O12" i="9"/>
  <c r="G13" i="9"/>
  <c r="H13" i="9"/>
  <c r="I13" i="9"/>
  <c r="J13" i="9"/>
  <c r="K13" i="9"/>
  <c r="L13" i="9"/>
  <c r="M13" i="9"/>
  <c r="N13" i="9"/>
  <c r="J20" i="11"/>
  <c r="O13" i="9"/>
  <c r="G14" i="9"/>
  <c r="H14" i="9"/>
  <c r="I14" i="9"/>
  <c r="J14" i="9"/>
  <c r="K14" i="9"/>
  <c r="L14" i="9"/>
  <c r="M14" i="9"/>
  <c r="N14" i="9"/>
  <c r="J21" i="11"/>
  <c r="O14" i="9"/>
  <c r="G15" i="9"/>
  <c r="H15" i="9"/>
  <c r="I15" i="9"/>
  <c r="J15" i="9"/>
  <c r="K15" i="9"/>
  <c r="L15" i="9"/>
  <c r="M15" i="9"/>
  <c r="N15" i="9"/>
  <c r="J22" i="11"/>
  <c r="O15" i="9"/>
  <c r="G16" i="9"/>
  <c r="H16" i="9"/>
  <c r="I16" i="9"/>
  <c r="J16" i="9"/>
  <c r="K16" i="9"/>
  <c r="L16" i="9"/>
  <c r="M16" i="9"/>
  <c r="N16" i="9"/>
  <c r="J23" i="11"/>
  <c r="O16" i="9"/>
  <c r="G17" i="9"/>
  <c r="H17" i="9"/>
  <c r="I17" i="9"/>
  <c r="J17" i="9"/>
  <c r="K17" i="9"/>
  <c r="L17" i="9"/>
  <c r="M17" i="9"/>
  <c r="N17" i="9"/>
  <c r="J25" i="11"/>
  <c r="O17" i="9"/>
  <c r="G18" i="9"/>
  <c r="H18" i="9"/>
  <c r="I18" i="9"/>
  <c r="J18" i="9"/>
  <c r="K18" i="9"/>
  <c r="L18" i="9"/>
  <c r="M18" i="9"/>
  <c r="N18" i="9"/>
  <c r="J26" i="11"/>
  <c r="O18" i="9"/>
  <c r="G19" i="9"/>
  <c r="H19" i="9"/>
  <c r="I19" i="9"/>
  <c r="J19" i="9"/>
  <c r="K19" i="9"/>
  <c r="L19" i="9"/>
  <c r="M19" i="9"/>
  <c r="N19" i="9"/>
  <c r="J27" i="11"/>
  <c r="O19" i="9"/>
  <c r="G20" i="9"/>
  <c r="H20" i="9"/>
  <c r="I20" i="9"/>
  <c r="J20" i="9"/>
  <c r="K20" i="9"/>
  <c r="L20" i="9"/>
  <c r="M20" i="9"/>
  <c r="N20" i="9"/>
  <c r="J30" i="11"/>
  <c r="O20" i="9"/>
  <c r="G21" i="9"/>
  <c r="H21" i="9"/>
  <c r="I21" i="9"/>
  <c r="J21" i="9"/>
  <c r="K21" i="9"/>
  <c r="L21" i="9"/>
  <c r="M21" i="9"/>
  <c r="N21" i="9"/>
  <c r="J31" i="11"/>
  <c r="O21" i="9"/>
  <c r="G22" i="9"/>
  <c r="H22" i="9"/>
  <c r="I22" i="9"/>
  <c r="J22" i="9"/>
  <c r="K22" i="9"/>
  <c r="L22" i="9"/>
  <c r="M22" i="9"/>
  <c r="N22" i="9"/>
  <c r="J32" i="11"/>
  <c r="O22" i="9"/>
  <c r="G23" i="9"/>
  <c r="H23" i="9"/>
  <c r="I23" i="9"/>
  <c r="J23" i="9"/>
  <c r="K23" i="9"/>
  <c r="L23" i="9"/>
  <c r="M23" i="9"/>
  <c r="N23" i="9"/>
  <c r="J37" i="11"/>
  <c r="O23" i="9"/>
  <c r="G24" i="9"/>
  <c r="H24" i="9"/>
  <c r="I24" i="9"/>
  <c r="J24" i="9"/>
  <c r="K24" i="9"/>
  <c r="L24" i="9"/>
  <c r="M24" i="9"/>
  <c r="N24" i="9"/>
  <c r="J33" i="11"/>
  <c r="O24" i="9"/>
  <c r="G26" i="9"/>
  <c r="H26" i="9"/>
  <c r="I26" i="9"/>
  <c r="J26" i="9"/>
  <c r="K26" i="9"/>
  <c r="L26" i="9"/>
  <c r="M26" i="9"/>
  <c r="N26" i="9"/>
  <c r="O26" i="9"/>
  <c r="G27" i="9"/>
  <c r="H27" i="9"/>
  <c r="I27" i="9"/>
  <c r="K27" i="9"/>
  <c r="L27" i="9"/>
  <c r="M27" i="9"/>
  <c r="N27" i="9"/>
  <c r="J34" i="11"/>
  <c r="O27" i="9"/>
  <c r="G28" i="9"/>
  <c r="H28" i="9"/>
  <c r="I28" i="9"/>
  <c r="J28" i="9"/>
  <c r="K28" i="9"/>
  <c r="L28" i="9"/>
  <c r="M28" i="9"/>
  <c r="N28" i="9"/>
  <c r="J35" i="11"/>
  <c r="O28" i="9"/>
  <c r="G29" i="9"/>
  <c r="H29" i="9"/>
  <c r="I29" i="9"/>
  <c r="J29" i="9"/>
  <c r="K29" i="9"/>
  <c r="L29" i="9"/>
  <c r="M29" i="9"/>
  <c r="N29" i="9"/>
  <c r="J36" i="11"/>
  <c r="O29" i="9"/>
  <c r="E22" i="9"/>
  <c r="D22" i="9"/>
  <c r="A22" i="9"/>
  <c r="D24" i="9"/>
  <c r="A24" i="9"/>
  <c r="T28" i="10"/>
  <c r="W28" i="10"/>
  <c r="V28" i="10"/>
  <c r="X28" i="10"/>
  <c r="U28" i="10"/>
  <c r="Y28" i="10"/>
  <c r="G28" i="10"/>
  <c r="J28" i="10"/>
  <c r="I28" i="10"/>
  <c r="K28" i="10"/>
  <c r="H28" i="10"/>
  <c r="L28" i="10"/>
  <c r="T27" i="10"/>
  <c r="W27" i="10"/>
  <c r="V27" i="10"/>
  <c r="X27" i="10"/>
  <c r="U27" i="10"/>
  <c r="Y27" i="10"/>
  <c r="G27" i="10"/>
  <c r="J27" i="10"/>
  <c r="I27" i="10"/>
  <c r="K27" i="10"/>
  <c r="H27" i="10"/>
  <c r="L27" i="10"/>
  <c r="AB18" i="1"/>
  <c r="AD18" i="1"/>
  <c r="AG18" i="1"/>
  <c r="AE18" i="1"/>
  <c r="AC18" i="1"/>
  <c r="V18" i="1"/>
  <c r="Q18" i="1"/>
  <c r="P18" i="1"/>
  <c r="O18" i="1"/>
  <c r="N18" i="1"/>
  <c r="M18" i="1"/>
  <c r="H18" i="1"/>
  <c r="J18" i="1"/>
  <c r="I18" i="1"/>
  <c r="D18" i="1"/>
  <c r="F18" i="1"/>
  <c r="E18" i="1"/>
  <c r="A18" i="1"/>
  <c r="H7" i="2"/>
  <c r="E7" i="2"/>
  <c r="D7" i="2"/>
  <c r="H19" i="1"/>
  <c r="H20" i="1"/>
  <c r="H21" i="1"/>
  <c r="H22" i="1"/>
  <c r="H23" i="1"/>
  <c r="H24" i="1"/>
  <c r="H11" i="1"/>
  <c r="H12" i="1"/>
  <c r="H14" i="1"/>
  <c r="H25" i="1"/>
  <c r="H27" i="1"/>
  <c r="H33" i="1"/>
  <c r="H34" i="1"/>
  <c r="H4" i="1"/>
  <c r="H5" i="1"/>
  <c r="H6" i="1"/>
  <c r="H7" i="1"/>
  <c r="H8" i="1"/>
  <c r="H9" i="1"/>
  <c r="H10" i="1"/>
  <c r="H13" i="1"/>
  <c r="H26" i="1"/>
  <c r="H28" i="1"/>
  <c r="H29" i="1"/>
  <c r="H32" i="1"/>
  <c r="B7" i="2"/>
  <c r="H3" i="2"/>
  <c r="E3" i="2"/>
  <c r="D3" i="2"/>
  <c r="B3" i="2"/>
  <c r="AB6" i="1"/>
  <c r="AD6" i="1"/>
  <c r="AG6" i="1"/>
  <c r="AE6" i="1"/>
  <c r="AC6" i="1"/>
  <c r="E3" i="9"/>
  <c r="E26" i="9"/>
  <c r="V6" i="1"/>
  <c r="Q6" i="1"/>
  <c r="P6" i="1"/>
  <c r="O6" i="1"/>
  <c r="N6" i="1"/>
  <c r="M6" i="1"/>
  <c r="J6" i="1"/>
  <c r="I6" i="1"/>
  <c r="D6" i="1"/>
  <c r="F6" i="1"/>
  <c r="E6" i="1"/>
  <c r="A6" i="1"/>
  <c r="G8" i="10"/>
  <c r="H8" i="10"/>
  <c r="I8" i="10"/>
  <c r="J8" i="10"/>
  <c r="K8" i="10"/>
  <c r="L8" i="10"/>
  <c r="M8" i="10"/>
  <c r="M25" i="10"/>
  <c r="N25" i="10"/>
  <c r="Q25" i="10"/>
  <c r="P25" i="10"/>
  <c r="R25" i="10"/>
  <c r="O25" i="10"/>
  <c r="S25" i="10"/>
  <c r="N8" i="10"/>
  <c r="O8" i="10"/>
  <c r="P8" i="10"/>
  <c r="Q8" i="10"/>
  <c r="R8" i="10"/>
  <c r="S8" i="10"/>
  <c r="T8" i="10"/>
  <c r="U8" i="10"/>
  <c r="V8" i="10"/>
  <c r="W8" i="10"/>
  <c r="X8" i="10"/>
  <c r="Y8" i="10"/>
  <c r="G13" i="10"/>
  <c r="H13" i="10"/>
  <c r="I13" i="10"/>
  <c r="J13" i="10"/>
  <c r="K13" i="10"/>
  <c r="L13" i="10"/>
  <c r="M13" i="10"/>
  <c r="M22" i="10"/>
  <c r="N22" i="10"/>
  <c r="Q22" i="10"/>
  <c r="P22" i="10"/>
  <c r="R22" i="10"/>
  <c r="O22" i="10"/>
  <c r="S22" i="10"/>
  <c r="N13" i="10"/>
  <c r="O13" i="10"/>
  <c r="P13" i="10"/>
  <c r="Q13" i="10"/>
  <c r="R13" i="10"/>
  <c r="S13" i="10"/>
  <c r="T13" i="10"/>
  <c r="U13" i="10"/>
  <c r="V13" i="10"/>
  <c r="W13" i="10"/>
  <c r="X13" i="10"/>
  <c r="Y13" i="10"/>
  <c r="J7" i="11"/>
  <c r="J8" i="11"/>
  <c r="J14" i="11"/>
  <c r="J16" i="11"/>
  <c r="J18" i="11"/>
  <c r="J19" i="11"/>
  <c r="J24" i="11"/>
  <c r="J28" i="11"/>
  <c r="J29" i="11"/>
  <c r="A23" i="9"/>
  <c r="D23" i="9"/>
  <c r="E23" i="9"/>
  <c r="A26" i="9"/>
  <c r="D26" i="9"/>
  <c r="A27" i="9"/>
  <c r="D27" i="9"/>
  <c r="A28" i="9"/>
  <c r="D28" i="9"/>
  <c r="A29" i="9"/>
  <c r="D29" i="9"/>
  <c r="A12" i="9"/>
  <c r="D12" i="9"/>
  <c r="E12" i="9"/>
  <c r="A13" i="9"/>
  <c r="D13" i="9"/>
  <c r="E13" i="9"/>
  <c r="A14" i="9"/>
  <c r="D14" i="9"/>
  <c r="E14" i="9"/>
  <c r="A15" i="9"/>
  <c r="D15" i="9"/>
  <c r="E15" i="9"/>
  <c r="A16" i="9"/>
  <c r="D16" i="9"/>
  <c r="E16" i="9"/>
  <c r="A17" i="9"/>
  <c r="D17" i="9"/>
  <c r="E17" i="9"/>
  <c r="A18" i="9"/>
  <c r="D18" i="9"/>
  <c r="E18" i="9"/>
  <c r="A19" i="9"/>
  <c r="D19" i="9"/>
  <c r="E19" i="9"/>
  <c r="A20" i="9"/>
  <c r="D20" i="9"/>
  <c r="E20" i="9"/>
  <c r="A21" i="9"/>
  <c r="D21" i="9"/>
  <c r="E21" i="9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T22" i="10"/>
  <c r="W22" i="10"/>
  <c r="V22" i="10"/>
  <c r="X22" i="10"/>
  <c r="U22" i="10"/>
  <c r="Y22" i="10"/>
  <c r="G22" i="10"/>
  <c r="J22" i="10"/>
  <c r="I22" i="10"/>
  <c r="K22" i="10"/>
  <c r="H22" i="10"/>
  <c r="L22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T19" i="10"/>
  <c r="W19" i="10"/>
  <c r="V19" i="10"/>
  <c r="X19" i="10"/>
  <c r="U19" i="10"/>
  <c r="Y19" i="10"/>
  <c r="G19" i="10"/>
  <c r="J19" i="10"/>
  <c r="I19" i="10"/>
  <c r="K19" i="10"/>
  <c r="H19" i="10"/>
  <c r="L19" i="10"/>
  <c r="M14" i="10"/>
  <c r="T14" i="10"/>
  <c r="W14" i="10"/>
  <c r="V14" i="10"/>
  <c r="X14" i="10"/>
  <c r="U14" i="10"/>
  <c r="Y14" i="10"/>
  <c r="M24" i="10"/>
  <c r="N24" i="10"/>
  <c r="Q24" i="10"/>
  <c r="P24" i="10"/>
  <c r="R24" i="10"/>
  <c r="O24" i="10"/>
  <c r="S2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G6" i="10"/>
  <c r="J6" i="10"/>
  <c r="I6" i="10"/>
  <c r="K6" i="10"/>
  <c r="H6" i="10"/>
  <c r="L6" i="10"/>
  <c r="M10" i="10"/>
  <c r="T10" i="10"/>
  <c r="W10" i="10"/>
  <c r="V10" i="10"/>
  <c r="X10" i="10"/>
  <c r="U10" i="10"/>
  <c r="Y10" i="10"/>
  <c r="M26" i="10"/>
  <c r="N26" i="10"/>
  <c r="Q26" i="10"/>
  <c r="P26" i="10"/>
  <c r="R26" i="10"/>
  <c r="O26" i="10"/>
  <c r="S26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16" i="10"/>
  <c r="N16" i="10"/>
  <c r="Q16" i="10"/>
  <c r="P16" i="10"/>
  <c r="R16" i="10"/>
  <c r="O16" i="10"/>
  <c r="S1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M21" i="10"/>
  <c r="N21" i="10"/>
  <c r="Q21" i="10"/>
  <c r="P21" i="10"/>
  <c r="R21" i="10"/>
  <c r="O21" i="10"/>
  <c r="S21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T16" i="10"/>
  <c r="U16" i="10"/>
  <c r="V16" i="10"/>
  <c r="W16" i="10"/>
  <c r="X16" i="10"/>
  <c r="Y16" i="10"/>
  <c r="G20" i="10"/>
  <c r="H20" i="10"/>
  <c r="I20" i="10"/>
  <c r="J20" i="10"/>
  <c r="K20" i="10"/>
  <c r="L20" i="10"/>
  <c r="T20" i="10"/>
  <c r="U20" i="10"/>
  <c r="V20" i="10"/>
  <c r="W20" i="10"/>
  <c r="X20" i="10"/>
  <c r="Y20" i="10"/>
  <c r="G21" i="10"/>
  <c r="H21" i="10"/>
  <c r="I21" i="10"/>
  <c r="J21" i="10"/>
  <c r="K21" i="10"/>
  <c r="L21" i="10"/>
  <c r="T21" i="10"/>
  <c r="U21" i="10"/>
  <c r="V21" i="10"/>
  <c r="W21" i="10"/>
  <c r="X21" i="10"/>
  <c r="Y21" i="10"/>
  <c r="G24" i="10"/>
  <c r="H24" i="10"/>
  <c r="I24" i="10"/>
  <c r="J24" i="10"/>
  <c r="K24" i="10"/>
  <c r="L24" i="10"/>
  <c r="T24" i="10"/>
  <c r="U24" i="10"/>
  <c r="V24" i="10"/>
  <c r="W24" i="10"/>
  <c r="X24" i="10"/>
  <c r="Y24" i="10"/>
  <c r="G25" i="10"/>
  <c r="H25" i="10"/>
  <c r="I25" i="10"/>
  <c r="J25" i="10"/>
  <c r="K25" i="10"/>
  <c r="L25" i="10"/>
  <c r="T25" i="10"/>
  <c r="U25" i="10"/>
  <c r="V25" i="10"/>
  <c r="W25" i="10"/>
  <c r="X25" i="10"/>
  <c r="Y25" i="10"/>
  <c r="G26" i="10"/>
  <c r="H26" i="10"/>
  <c r="I26" i="10"/>
  <c r="J26" i="10"/>
  <c r="K26" i="10"/>
  <c r="L26" i="10"/>
  <c r="T26" i="10"/>
  <c r="U26" i="10"/>
  <c r="V26" i="10"/>
  <c r="W26" i="10"/>
  <c r="X26" i="10"/>
  <c r="Y26" i="10"/>
  <c r="V4" i="1"/>
  <c r="E2" i="9"/>
  <c r="V5" i="1"/>
  <c r="V7" i="1"/>
  <c r="E4" i="9"/>
  <c r="E5" i="9"/>
  <c r="V8" i="1"/>
  <c r="V9" i="1"/>
  <c r="V10" i="1"/>
  <c r="E6" i="9"/>
  <c r="V11" i="1"/>
  <c r="E8" i="9"/>
  <c r="V12" i="1"/>
  <c r="E7" i="9"/>
  <c r="V13" i="1"/>
  <c r="E11" i="9"/>
  <c r="V14" i="1"/>
  <c r="E9" i="9"/>
  <c r="V19" i="1"/>
  <c r="E10" i="9"/>
  <c r="V20" i="1"/>
  <c r="V21" i="1"/>
  <c r="V22" i="1"/>
  <c r="V23" i="1"/>
  <c r="V24" i="1"/>
  <c r="V25" i="1"/>
  <c r="V26" i="1"/>
  <c r="V27" i="1"/>
  <c r="V28" i="1"/>
  <c r="V29" i="1"/>
  <c r="V32" i="1"/>
  <c r="V33" i="1"/>
  <c r="V34" i="1"/>
  <c r="A2" i="9"/>
  <c r="D2" i="9"/>
  <c r="A3" i="9"/>
  <c r="D3" i="9"/>
  <c r="A4" i="9"/>
  <c r="D4" i="9"/>
  <c r="A5" i="9"/>
  <c r="D5" i="9"/>
  <c r="A6" i="9"/>
  <c r="D6" i="9"/>
  <c r="A7" i="9"/>
  <c r="D7" i="9"/>
  <c r="A8" i="9"/>
  <c r="D8" i="9"/>
  <c r="A9" i="9"/>
  <c r="D9" i="9"/>
  <c r="A10" i="9"/>
  <c r="D10" i="9"/>
  <c r="A11" i="9"/>
  <c r="D11" i="9"/>
  <c r="M3" i="10"/>
  <c r="N3" i="10"/>
  <c r="Q3" i="10"/>
  <c r="P3" i="10"/>
  <c r="R3" i="10"/>
  <c r="O3" i="10"/>
  <c r="S3" i="10"/>
  <c r="M5" i="10"/>
  <c r="N5" i="10"/>
  <c r="Q5" i="10"/>
  <c r="P5" i="10"/>
  <c r="R5" i="10"/>
  <c r="O5" i="10"/>
  <c r="S5" i="10"/>
  <c r="G2" i="10"/>
  <c r="H2" i="10"/>
  <c r="I2" i="10"/>
  <c r="J2" i="10"/>
  <c r="K2" i="10"/>
  <c r="L2" i="10"/>
  <c r="M2" i="10"/>
  <c r="N2" i="10"/>
  <c r="O2" i="10"/>
  <c r="P2" i="10"/>
  <c r="Q2" i="10"/>
  <c r="R2" i="10"/>
  <c r="S2" i="10"/>
  <c r="T2" i="10"/>
  <c r="U2" i="10"/>
  <c r="V2" i="10"/>
  <c r="W2" i="10"/>
  <c r="X2" i="10"/>
  <c r="Y2" i="10"/>
  <c r="G3" i="10"/>
  <c r="H3" i="10"/>
  <c r="I3" i="10"/>
  <c r="J3" i="10"/>
  <c r="K3" i="10"/>
  <c r="L3" i="10"/>
  <c r="T3" i="10"/>
  <c r="U3" i="10"/>
  <c r="V3" i="10"/>
  <c r="W3" i="10"/>
  <c r="X3" i="10"/>
  <c r="Y3" i="10"/>
  <c r="G5" i="10"/>
  <c r="H5" i="10"/>
  <c r="I5" i="10"/>
  <c r="J5" i="10"/>
  <c r="K5" i="10"/>
  <c r="L5" i="10"/>
  <c r="T5" i="10"/>
  <c r="U5" i="10"/>
  <c r="V5" i="10"/>
  <c r="W5" i="10"/>
  <c r="X5" i="10"/>
  <c r="Y5" i="10"/>
  <c r="AB32" i="1"/>
  <c r="AD32" i="1"/>
  <c r="AG32" i="1"/>
  <c r="AE32" i="1"/>
  <c r="AC32" i="1"/>
  <c r="Q32" i="1"/>
  <c r="P32" i="1"/>
  <c r="O32" i="1"/>
  <c r="N32" i="1"/>
  <c r="M32" i="1"/>
  <c r="J32" i="1"/>
  <c r="I32" i="1"/>
  <c r="D32" i="1"/>
  <c r="F32" i="1"/>
  <c r="E32" i="1"/>
  <c r="A32" i="1"/>
  <c r="AB26" i="1"/>
  <c r="AD26" i="1"/>
  <c r="AG26" i="1"/>
  <c r="AE26" i="1"/>
  <c r="AC26" i="1"/>
  <c r="Q26" i="1"/>
  <c r="P26" i="1"/>
  <c r="O26" i="1"/>
  <c r="N26" i="1"/>
  <c r="M26" i="1"/>
  <c r="J26" i="1"/>
  <c r="I26" i="1"/>
  <c r="D26" i="1"/>
  <c r="F26" i="1"/>
  <c r="E26" i="1"/>
  <c r="A26" i="1"/>
  <c r="AB29" i="1"/>
  <c r="AD29" i="1"/>
  <c r="AG29" i="1"/>
  <c r="AE29" i="1"/>
  <c r="AC29" i="1"/>
  <c r="Q29" i="1"/>
  <c r="P29" i="1"/>
  <c r="O29" i="1"/>
  <c r="N29" i="1"/>
  <c r="M29" i="1"/>
  <c r="J29" i="1"/>
  <c r="I29" i="1"/>
  <c r="D29" i="1"/>
  <c r="F29" i="1"/>
  <c r="E29" i="1"/>
  <c r="A29" i="1"/>
  <c r="AB28" i="1"/>
  <c r="AD28" i="1"/>
  <c r="AG28" i="1"/>
  <c r="AE28" i="1"/>
  <c r="AC28" i="1"/>
  <c r="Q28" i="1"/>
  <c r="P28" i="1"/>
  <c r="O28" i="1"/>
  <c r="N28" i="1"/>
  <c r="M28" i="1"/>
  <c r="J28" i="1"/>
  <c r="I28" i="1"/>
  <c r="D28" i="1"/>
  <c r="F28" i="1"/>
  <c r="E28" i="1"/>
  <c r="A28" i="1"/>
  <c r="AB22" i="1"/>
  <c r="AD22" i="1"/>
  <c r="AG22" i="1"/>
  <c r="AE22" i="1"/>
  <c r="AC22" i="1"/>
  <c r="Q22" i="1"/>
  <c r="P22" i="1"/>
  <c r="O22" i="1"/>
  <c r="N22" i="1"/>
  <c r="M22" i="1"/>
  <c r="J22" i="1"/>
  <c r="I22" i="1"/>
  <c r="D22" i="1"/>
  <c r="F22" i="1"/>
  <c r="E22" i="1"/>
  <c r="A22" i="1"/>
  <c r="AB21" i="1"/>
  <c r="AD21" i="1"/>
  <c r="AG21" i="1"/>
  <c r="AE21" i="1"/>
  <c r="AC21" i="1"/>
  <c r="Q21" i="1"/>
  <c r="P21" i="1"/>
  <c r="O21" i="1"/>
  <c r="N21" i="1"/>
  <c r="M21" i="1"/>
  <c r="J21" i="1"/>
  <c r="I21" i="1"/>
  <c r="D21" i="1"/>
  <c r="F21" i="1"/>
  <c r="E21" i="1"/>
  <c r="A21" i="1"/>
  <c r="AB13" i="1"/>
  <c r="AD13" i="1"/>
  <c r="AG13" i="1"/>
  <c r="AE13" i="1"/>
  <c r="AC13" i="1"/>
  <c r="Q13" i="1"/>
  <c r="P13" i="1"/>
  <c r="O13" i="1"/>
  <c r="N13" i="1"/>
  <c r="M13" i="1"/>
  <c r="J13" i="1"/>
  <c r="I13" i="1"/>
  <c r="D13" i="1"/>
  <c r="F13" i="1"/>
  <c r="E13" i="1"/>
  <c r="A13" i="1"/>
  <c r="AB19" i="1"/>
  <c r="AD19" i="1"/>
  <c r="AG19" i="1"/>
  <c r="AE19" i="1"/>
  <c r="AC19" i="1"/>
  <c r="Q19" i="1"/>
  <c r="P19" i="1"/>
  <c r="O19" i="1"/>
  <c r="N19" i="1"/>
  <c r="M19" i="1"/>
  <c r="J19" i="1"/>
  <c r="I19" i="1"/>
  <c r="D19" i="1"/>
  <c r="F19" i="1"/>
  <c r="E19" i="1"/>
  <c r="A19" i="1"/>
  <c r="AB8" i="1"/>
  <c r="AD8" i="1"/>
  <c r="AG8" i="1"/>
  <c r="AE8" i="1"/>
  <c r="AC8" i="1"/>
  <c r="Q8" i="1"/>
  <c r="P8" i="1"/>
  <c r="O8" i="1"/>
  <c r="N8" i="1"/>
  <c r="M8" i="1"/>
  <c r="J8" i="1"/>
  <c r="I8" i="1"/>
  <c r="D8" i="1"/>
  <c r="F8" i="1"/>
  <c r="E8" i="1"/>
  <c r="A8" i="1"/>
  <c r="AB7" i="1"/>
  <c r="AD7" i="1"/>
  <c r="AG7" i="1"/>
  <c r="AE7" i="1"/>
  <c r="AC7" i="1"/>
  <c r="Q7" i="1"/>
  <c r="P7" i="1"/>
  <c r="O7" i="1"/>
  <c r="N7" i="1"/>
  <c r="M7" i="1"/>
  <c r="J7" i="1"/>
  <c r="I7" i="1"/>
  <c r="D7" i="1"/>
  <c r="F7" i="1"/>
  <c r="E7" i="1"/>
  <c r="A7" i="1"/>
  <c r="AB4" i="1"/>
  <c r="AD4" i="1"/>
  <c r="AG4" i="1"/>
  <c r="AE4" i="1"/>
  <c r="AC4" i="1"/>
  <c r="Q4" i="1"/>
  <c r="P4" i="1"/>
  <c r="O4" i="1"/>
  <c r="N4" i="1"/>
  <c r="M4" i="1"/>
  <c r="J4" i="1"/>
  <c r="I4" i="1"/>
  <c r="D4" i="1"/>
  <c r="F4" i="1"/>
  <c r="E4" i="1"/>
  <c r="A4" i="1"/>
  <c r="AB9" i="1"/>
  <c r="AD9" i="1"/>
  <c r="AG9" i="1"/>
  <c r="AE9" i="1"/>
  <c r="AC9" i="1"/>
  <c r="Q9" i="1"/>
  <c r="P9" i="1"/>
  <c r="O9" i="1"/>
  <c r="N9" i="1"/>
  <c r="M9" i="1"/>
  <c r="J9" i="1"/>
  <c r="I9" i="1"/>
  <c r="D9" i="1"/>
  <c r="F9" i="1"/>
  <c r="E9" i="1"/>
  <c r="A9" i="1"/>
  <c r="A11" i="1"/>
  <c r="D11" i="1"/>
  <c r="E11" i="1"/>
  <c r="F11" i="1"/>
  <c r="I11" i="1"/>
  <c r="J11" i="1"/>
  <c r="M11" i="1"/>
  <c r="N11" i="1"/>
  <c r="O11" i="1"/>
  <c r="P11" i="1"/>
  <c r="Q11" i="1"/>
  <c r="AB11" i="1"/>
  <c r="AC11" i="1"/>
  <c r="AD11" i="1"/>
  <c r="AE11" i="1"/>
  <c r="AG11" i="1"/>
  <c r="A12" i="1"/>
  <c r="D12" i="1"/>
  <c r="E12" i="1"/>
  <c r="F12" i="1"/>
  <c r="I12" i="1"/>
  <c r="J12" i="1"/>
  <c r="M12" i="1"/>
  <c r="N12" i="1"/>
  <c r="O12" i="1"/>
  <c r="P12" i="1"/>
  <c r="Q12" i="1"/>
  <c r="AB12" i="1"/>
  <c r="AC12" i="1"/>
  <c r="AD12" i="1"/>
  <c r="AE12" i="1"/>
  <c r="AG12" i="1"/>
  <c r="A14" i="1"/>
  <c r="D14" i="1"/>
  <c r="E14" i="1"/>
  <c r="F14" i="1"/>
  <c r="I14" i="1"/>
  <c r="J14" i="1"/>
  <c r="M14" i="1"/>
  <c r="N14" i="1"/>
  <c r="O14" i="1"/>
  <c r="P14" i="1"/>
  <c r="Q14" i="1"/>
  <c r="AB14" i="1"/>
  <c r="AC14" i="1"/>
  <c r="AD14" i="1"/>
  <c r="AE14" i="1"/>
  <c r="AG14" i="1"/>
  <c r="A20" i="1"/>
  <c r="D20" i="1"/>
  <c r="E20" i="1"/>
  <c r="F20" i="1"/>
  <c r="I20" i="1"/>
  <c r="J20" i="1"/>
  <c r="M20" i="1"/>
  <c r="N20" i="1"/>
  <c r="O20" i="1"/>
  <c r="P20" i="1"/>
  <c r="Q20" i="1"/>
  <c r="AB20" i="1"/>
  <c r="AC20" i="1"/>
  <c r="AD20" i="1"/>
  <c r="AE20" i="1"/>
  <c r="AG20" i="1"/>
  <c r="A23" i="1"/>
  <c r="D23" i="1"/>
  <c r="E23" i="1"/>
  <c r="F23" i="1"/>
  <c r="I23" i="1"/>
  <c r="J23" i="1"/>
  <c r="M23" i="1"/>
  <c r="N23" i="1"/>
  <c r="O23" i="1"/>
  <c r="P23" i="1"/>
  <c r="Q23" i="1"/>
  <c r="AB23" i="1"/>
  <c r="AC23" i="1"/>
  <c r="AD23" i="1"/>
  <c r="AE23" i="1"/>
  <c r="AG23" i="1"/>
  <c r="A24" i="1"/>
  <c r="D24" i="1"/>
  <c r="E24" i="1"/>
  <c r="F24" i="1"/>
  <c r="I24" i="1"/>
  <c r="J24" i="1"/>
  <c r="M24" i="1"/>
  <c r="N24" i="1"/>
  <c r="O24" i="1"/>
  <c r="P24" i="1"/>
  <c r="Q24" i="1"/>
  <c r="AB24" i="1"/>
  <c r="AC24" i="1"/>
  <c r="AD24" i="1"/>
  <c r="AE24" i="1"/>
  <c r="AG24" i="1"/>
  <c r="A25" i="1"/>
  <c r="D25" i="1"/>
  <c r="E25" i="1"/>
  <c r="F25" i="1"/>
  <c r="I25" i="1"/>
  <c r="J25" i="1"/>
  <c r="M25" i="1"/>
  <c r="N25" i="1"/>
  <c r="O25" i="1"/>
  <c r="P25" i="1"/>
  <c r="Q25" i="1"/>
  <c r="AB25" i="1"/>
  <c r="AC25" i="1"/>
  <c r="AD25" i="1"/>
  <c r="AE25" i="1"/>
  <c r="AG25" i="1"/>
  <c r="A27" i="1"/>
  <c r="D27" i="1"/>
  <c r="E27" i="1"/>
  <c r="F27" i="1"/>
  <c r="I27" i="1"/>
  <c r="J27" i="1"/>
  <c r="M27" i="1"/>
  <c r="N27" i="1"/>
  <c r="O27" i="1"/>
  <c r="P27" i="1"/>
  <c r="Q27" i="1"/>
  <c r="AB27" i="1"/>
  <c r="AC27" i="1"/>
  <c r="AD27" i="1"/>
  <c r="AE27" i="1"/>
  <c r="AG27" i="1"/>
  <c r="A33" i="1"/>
  <c r="D33" i="1"/>
  <c r="E33" i="1"/>
  <c r="F33" i="1"/>
  <c r="I33" i="1"/>
  <c r="J33" i="1"/>
  <c r="M33" i="1"/>
  <c r="N33" i="1"/>
  <c r="O33" i="1"/>
  <c r="P33" i="1"/>
  <c r="Q33" i="1"/>
  <c r="AB33" i="1"/>
  <c r="AC33" i="1"/>
  <c r="AD33" i="1"/>
  <c r="AE33" i="1"/>
  <c r="AG33" i="1"/>
  <c r="A34" i="1"/>
  <c r="D34" i="1"/>
  <c r="E34" i="1"/>
  <c r="F34" i="1"/>
  <c r="I34" i="1"/>
  <c r="J34" i="1"/>
  <c r="M34" i="1"/>
  <c r="N34" i="1"/>
  <c r="O34" i="1"/>
  <c r="P34" i="1"/>
  <c r="Q34" i="1"/>
  <c r="AB34" i="1"/>
  <c r="AC34" i="1"/>
  <c r="AD34" i="1"/>
  <c r="AE34" i="1"/>
  <c r="AG34" i="1"/>
  <c r="B4" i="2"/>
  <c r="D4" i="2"/>
  <c r="E4" i="2"/>
  <c r="H4" i="2"/>
  <c r="B5" i="2"/>
  <c r="D5" i="2"/>
  <c r="E5" i="2"/>
  <c r="H5" i="2"/>
  <c r="B6" i="2"/>
  <c r="D6" i="2"/>
  <c r="E6" i="2"/>
  <c r="H6" i="2"/>
  <c r="B8" i="2"/>
  <c r="D8" i="2"/>
  <c r="E8" i="2"/>
  <c r="H8" i="2"/>
  <c r="B9" i="2"/>
  <c r="D9" i="2"/>
  <c r="E9" i="2"/>
  <c r="H9" i="2"/>
  <c r="B10" i="2"/>
  <c r="D10" i="2"/>
  <c r="E10" i="2"/>
  <c r="H10" i="2"/>
  <c r="B11" i="2"/>
  <c r="D11" i="2"/>
  <c r="E11" i="2"/>
  <c r="H11" i="2"/>
  <c r="B12" i="2"/>
  <c r="D12" i="2"/>
  <c r="E12" i="2"/>
  <c r="H12" i="2"/>
  <c r="B13" i="2"/>
  <c r="D13" i="2"/>
  <c r="E13" i="2"/>
  <c r="H13" i="2"/>
  <c r="B14" i="2"/>
  <c r="D14" i="2"/>
  <c r="E14" i="2"/>
  <c r="H14" i="2"/>
  <c r="B15" i="2"/>
  <c r="D15" i="2"/>
  <c r="E15" i="2"/>
  <c r="H15" i="2"/>
  <c r="B16" i="2"/>
  <c r="D16" i="2"/>
  <c r="E16" i="2"/>
  <c r="H16" i="2"/>
  <c r="B17" i="2"/>
  <c r="D17" i="2"/>
  <c r="E17" i="2"/>
  <c r="H17" i="2"/>
  <c r="B18" i="2"/>
  <c r="D18" i="2"/>
  <c r="E18" i="2"/>
  <c r="H18" i="2"/>
  <c r="C12" i="16"/>
  <c r="B2" i="21"/>
  <c r="I2" i="21"/>
  <c r="J2" i="21"/>
  <c r="G2" i="21"/>
  <c r="F2" i="21"/>
  <c r="D2" i="21"/>
  <c r="C2" i="21"/>
  <c r="E12" i="16"/>
  <c r="C10" i="16"/>
  <c r="C11" i="16"/>
  <c r="E11" i="16"/>
  <c r="E10" i="16"/>
  <c r="C4" i="16"/>
  <c r="C5" i="16"/>
  <c r="C6" i="16"/>
  <c r="C7" i="16"/>
  <c r="C8" i="16"/>
  <c r="C9" i="16"/>
  <c r="C3" i="16"/>
  <c r="E9" i="16"/>
  <c r="W2" i="7"/>
  <c r="R2" i="7"/>
  <c r="Q2" i="7"/>
  <c r="P2" i="7"/>
  <c r="O2" i="7"/>
  <c r="N2" i="7"/>
  <c r="AB10" i="1"/>
  <c r="AE10" i="1"/>
  <c r="AD10" i="1"/>
  <c r="AC10" i="1"/>
  <c r="AB5" i="1"/>
  <c r="AE5" i="1"/>
  <c r="AD5" i="1"/>
  <c r="AC5" i="1"/>
  <c r="Q10" i="1"/>
  <c r="P10" i="1"/>
  <c r="O10" i="1"/>
  <c r="N10" i="1"/>
  <c r="M10" i="1"/>
  <c r="Q5" i="1"/>
  <c r="P5" i="1"/>
  <c r="O5" i="1"/>
  <c r="N5" i="1"/>
  <c r="M5" i="1"/>
  <c r="AG5" i="1"/>
  <c r="H2" i="7"/>
  <c r="J2" i="7"/>
  <c r="E8" i="16"/>
  <c r="E7" i="16"/>
  <c r="E6" i="16"/>
  <c r="E5" i="16"/>
  <c r="E4" i="16"/>
  <c r="E3" i="16"/>
  <c r="E2" i="16"/>
  <c r="A10" i="1"/>
  <c r="A5" i="1"/>
  <c r="AG10" i="1"/>
  <c r="J2" i="11"/>
  <c r="J10" i="1"/>
  <c r="I10" i="1"/>
  <c r="D10" i="1"/>
  <c r="F10" i="1"/>
  <c r="E10" i="1"/>
  <c r="A2" i="7"/>
  <c r="I2" i="7"/>
  <c r="D2" i="7"/>
  <c r="F2" i="7"/>
  <c r="E2" i="7"/>
  <c r="J5" i="1"/>
  <c r="I5" i="1"/>
  <c r="D2" i="2"/>
  <c r="E2" i="2"/>
  <c r="H2" i="2"/>
  <c r="D5" i="1"/>
  <c r="E5" i="1"/>
  <c r="F5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<sst xmlns="http://schemas.openxmlformats.org/spreadsheetml/2006/main" count="942" uniqueCount="336">
  <si>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</si>
  <si>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</si>
  <si>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</si>
  <si>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</si>
  <si>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</si>
  <si>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</si>
  <si>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</si>
  <si>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</si>
  <si>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</si>
  <si>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</si>
  <si>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</si>
  <si>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</si>
  <si>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</si>
  <si>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</si>
  <si>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</si>
  <si>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</si>
  <si>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</si>
  <si>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</si>
  <si>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</si>
  <si>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</si>
  <si>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</si>
  <si>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</si>
  <si>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</si>
  <si>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</si>
  <si>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</si>
  <si>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</si>
  <si>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</si>
  <si>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</si>
  <si>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</si>
  <si>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</si>
  <si>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</si>
  <si>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</si>
  <si>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</si>
  <si>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</si>
  <si>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</si>
  <si>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</si>
  <si>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</si>
  <si>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</si>
  <si>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</si>
  <si>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</si>
  <si>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</si>
  <si>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</si>
  <si>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</si>
  <si>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</si>
  <si>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</si>
  <si>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</si>
  <si>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</si>
  <si>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</si>
  <si>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</si>
  <si>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</si>
  <si>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</si>
  <si>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</si>
  <si>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</si>
  <si>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</si>
  <si>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</si>
  <si>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</si>
  <si>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</si>
  <si>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</si>
  <si>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</si>
  <si>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</si>
  <si>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</si>
  <si>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</si>
  <si>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</si>
  <si>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</si>
  <si>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</si>
  <si>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</si>
  <si>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</si>
  <si>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</si>
  <si>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</si>
  <si>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</si>
  <si>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</si>
  <si>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</si>
  <si>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</si>
  <si>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</si>
  <si>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</si>
  <si>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</si>
  <si>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</si>
  <si>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</si>
  <si>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</si>
  <si>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</si>
  <si>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</si>
  <si>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</si>
  <si>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</si>
  <si>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回復</t>
    <rPh sb="0" eb="2">
      <t>カイフク</t>
    </rPh>
    <phoneticPr fontId="5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</si>
  <si>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</si>
  <si>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</si>
  <si>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</si>
  <si>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</si>
  <si>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</si>
  <si>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</si>
  <si>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</si>
  <si>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</si>
  <si>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</si>
  <si>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</si>
  <si>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</si>
  <si>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</si>
  <si>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</si>
  <si>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</si>
  <si>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</si>
  <si>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</si>
  <si>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</si>
  <si>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</si>
  <si>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</si>
  <si>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</si>
  <si>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</si>
  <si>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</si>
  <si>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</si>
  <si>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</si>
  <si>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</si>
  <si>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</si>
  <si>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</si>
  <si>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</si>
  <si>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</si>
  <si>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</si>
  <si>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</si>
  <si>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</si>
  <si>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</si>
  <si>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</si>
  <si>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</si>
  <si>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</si>
  <si>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</si>
  <si>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</si>
  <si>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</si>
  <si>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</si>
  <si>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</si>
  <si>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</si>
  <si>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</si>
  <si>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</si>
  <si>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</si>
  <si>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</si>
  <si>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</si>
  <si>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</si>
  <si>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</si>
  <si>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</si>
  <si>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</si>
  <si>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</si>
  <si>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</si>
  <si>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</si>
  <si>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</si>
  <si>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</si>
  <si>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</si>
  <si>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</si>
  <si>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</si>
  <si>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</si>
  <si>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</si>
  <si>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</si>
  <si>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</si>
  <si>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</si>
  <si>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</si>
  <si>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</si>
  <si>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</si>
  <si>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</si>
  <si>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</si>
  <si>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</si>
  <si>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</si>
  <si>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</si>
  <si>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</si>
  <si>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</si>
  <si>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</si>
  <si>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</si>
  <si>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</si>
  <si>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</si>
  <si>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</si>
  <si>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</si>
  <si>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</si>
  <si>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</si>
  <si>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</si>
  <si>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</si>
  <si>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</si>
  <si>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</si>
  <si>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</si>
  <si>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</si>
  <si>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</si>
  <si>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</si>
  <si>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</si>
  <si>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</si>
  <si>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</si>
  <si>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</si>
  <si>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</si>
  <si>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</si>
  <si>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</si>
  <si>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</si>
  <si>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</si>
  <si>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</si>
  <si>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</si>
  <si>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</si>
  <si>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</si>
  <si>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</si>
  <si>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</si>
  <si>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</si>
  <si>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</si>
  <si>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</si>
  <si>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</si>
  <si>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</si>
  <si>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</si>
  <si>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</si>
  <si>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</si>
  <si>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</si>
  <si>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</si>
  <si>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</si>
  <si>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</si>
  <si>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</si>
  <si>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</si>
  <si>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</si>
  <si>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</si>
  <si>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</si>
  <si>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</si>
  <si>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</si>
  <si>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</si>
  <si>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</si>
  <si>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</si>
  <si>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</si>
  <si>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[effect:change_block, new_block:jammer, target:block_all, count:2, val:0, animation:change_block]</t>
    <phoneticPr fontId="5"/>
  </si>
  <si>
    <t xml:space="preserve">[effect:remove_enhancement, target:unit_all, target_effect:all, target_type:debuff, count:-1, animation:frozen_wave]    </t>
    <phoneticPr fontId="5"/>
  </si>
  <si>
    <t>全ユニットの状態異常を解除してくれた</t>
    <rPh sb="0" eb="1">
      <t>スベ</t>
    </rPh>
    <rPh sb="6" eb="8">
      <t>ジョウタイ</t>
    </rPh>
    <rPh sb="8" eb="10">
      <t>ijou</t>
    </rPh>
    <rPh sb="11" eb="13">
      <t>カイジョ</t>
    </rPh>
    <phoneticPr fontId="5"/>
  </si>
  <si>
    <t>[effect:kamikaze, val:0.5]</t>
    <phoneticPr fontId="5"/>
  </si>
  <si>
    <t>突然弾け飛んだ！</t>
    <rPh sb="0" eb="2">
      <t>トツゼン</t>
    </rPh>
    <rPh sb="2" eb="3">
      <t>ハジ</t>
    </rPh>
    <rPh sb="4" eb="5">
      <t>ト</t>
    </rPh>
    <phoneticPr fontId="5"/>
  </si>
  <si>
    <t>ja</t>
    <phoneticPr fontId="5"/>
  </si>
  <si>
    <t>ja</t>
    <phoneticPr fontId="5"/>
  </si>
  <si>
    <t>[effect:dis_heart, turn:3, animation:enemy_dis_heart]</t>
    <phoneticPr fontId="5"/>
  </si>
  <si>
    <t>[effect:heal, target:enemy_one, val:0.1, animation:enemy_heal]</t>
    <phoneticPr fontId="5"/>
  </si>
  <si>
    <t>[effect:degrade_unit, target:unit_all, turn:3, status:attack, val:0.5, calc:mul]</t>
    <phoneticPr fontId="5"/>
  </si>
  <si>
    <t xml:space="preserve">[effect:hungup, target:unit_all, turn:1, rate:1, animation:hungup01]    </t>
    <phoneticPr fontId="5"/>
  </si>
  <si>
    <t>[effect:critical, val:1.5]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</si>
  <si>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</si>
  <si>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</si>
  <si>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</si>
  <si>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</si>
  <si>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</si>
  <si>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</si>
  <si>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</si>
  <si>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キックフリップ</t>
    <phoneticPr fontId="5"/>
  </si>
  <si>
    <t>2連続攻撃</t>
    <rPh sb="1" eb="5">
      <t>レンゾクコウゲキ</t>
    </rPh>
    <phoneticPr fontId="5"/>
  </si>
  <si>
    <t>2ターン赤パネルが使えない</t>
    <rPh sb="4" eb="5">
      <t>アカ</t>
    </rPh>
    <rPh sb="9" eb="10">
      <t>ツカ</t>
    </rPh>
    <phoneticPr fontId="5"/>
  </si>
  <si>
    <t>塗りつぶしツール</t>
    <rPh sb="0" eb="1">
      <t>ヌ</t>
    </rPh>
    <phoneticPr fontId="5"/>
  </si>
  <si>
    <t>反抗期</t>
    <rPh sb="0" eb="3">
      <t>ハンコウキ</t>
    </rPh>
    <phoneticPr fontId="5"/>
  </si>
  <si>
    <t>ワガママ攻撃</t>
    <rPh sb="4" eb="6">
      <t>コウゲキ</t>
    </rPh>
    <phoneticPr fontId="5"/>
  </si>
  <si>
    <t>[effect:rush, count:2, val:0.6]</t>
    <phoneticPr fontId="5"/>
  </si>
  <si>
    <t>[effect:dis_panel, target:block_red, turn:2, animation:enemy_dis_red],[effect:spread, val:0.26]</t>
    <phoneticPr fontId="5"/>
  </si>
  <si>
    <t>[effect:change_panel_ratio, turn:3, block_type:red, val:0.4, animation:block_incidence04]</t>
    <phoneticPr fontId="5"/>
  </si>
  <si>
    <t>[effect:change_panel_ratio, turn:3, block_type:heal, val:0.1, animation:block_incidence04]</t>
    <phoneticPr fontId="5"/>
  </si>
  <si>
    <t>お邪魔パネルを2つ生成</t>
    <rPh sb="1" eb="11">
      <t>ジャマセイセイ</t>
    </rPh>
    <phoneticPr fontId="5"/>
  </si>
  <si>
    <t>クリティカル！</t>
    <phoneticPr fontId="5"/>
  </si>
  <si>
    <t>×クロスステッチ×</t>
    <phoneticPr fontId="5"/>
  </si>
  <si>
    <t>ハウリング</t>
    <phoneticPr fontId="5"/>
  </si>
  <si>
    <t>デジタルマジック</t>
    <phoneticPr fontId="5"/>
  </si>
  <si>
    <t>金遁の札EX</t>
    <rPh sb="0" eb="1">
      <t>キンイロ</t>
    </rPh>
    <rPh sb="1" eb="2">
      <t>スイトン</t>
    </rPh>
    <rPh sb="3" eb="4">
      <t>フダ</t>
    </rPh>
    <phoneticPr fontId="5"/>
  </si>
  <si>
    <t>ハートパネルを黄色パネルに変換</t>
    <rPh sb="7" eb="9">
      <t>キイロ</t>
    </rPh>
    <rPh sb="13" eb="15">
      <t>ヘンカン</t>
    </rPh>
    <phoneticPr fontId="5"/>
  </si>
  <si>
    <t>[effect:change_block, new_block:block_yellow, target:block_heart, count:6, val:0, animation:change_block]</t>
    <phoneticPr fontId="5"/>
  </si>
  <si>
    <t>クリエ以外にダメージ！</t>
    <rPh sb="3" eb="5">
      <t>イガイ</t>
    </rPh>
    <phoneticPr fontId="5"/>
  </si>
  <si>
    <t xml:space="preserve">[effect:spread, val:0.3],[effect:suicide, val:0.2, target:enemy_yellow]    </t>
    <phoneticPr fontId="5"/>
  </si>
  <si>
    <t>3連続攻撃</t>
    <rPh sb="1" eb="5">
      <t>レンゾクコウゲキ</t>
    </rPh>
    <phoneticPr fontId="5"/>
  </si>
  <si>
    <t>積乱雲チャージ</t>
    <rPh sb="0" eb="3">
      <t>セキランウン</t>
    </rPh>
    <phoneticPr fontId="5"/>
  </si>
  <si>
    <t>おほしさまのチカラ</t>
    <phoneticPr fontId="5"/>
  </si>
  <si>
    <t>若龍の閃光</t>
    <rPh sb="0" eb="1">
      <t>ワカ</t>
    </rPh>
    <rPh sb="1" eb="2">
      <t>リュウ</t>
    </rPh>
    <rPh sb="3" eb="5">
      <t>センコウ</t>
    </rPh>
    <phoneticPr fontId="5"/>
  </si>
  <si>
    <t>[effect:dark, turn:3,target:unit_all]</t>
    <phoneticPr fontId="5"/>
  </si>
  <si>
    <t>ja</t>
    <phoneticPr fontId="5"/>
  </si>
  <si>
    <t>忍び寄る厄</t>
    <rPh sb="0" eb="1">
      <t>シノ</t>
    </rPh>
    <rPh sb="2" eb="3">
      <t>ヨ</t>
    </rPh>
    <rPh sb="4" eb="5">
      <t>ヤク</t>
    </rPh>
    <phoneticPr fontId="5"/>
  </si>
  <si>
    <t>忍び寄る禍</t>
    <rPh sb="0" eb="1">
      <t>シノ</t>
    </rPh>
    <rPh sb="2" eb="3">
      <t>ヨ</t>
    </rPh>
    <rPh sb="4" eb="5">
      <t>ワザワイ</t>
    </rPh>
    <phoneticPr fontId="5"/>
  </si>
  <si>
    <t>全力突進</t>
    <rPh sb="0" eb="2">
      <t>ゼンリョク</t>
    </rPh>
    <rPh sb="2" eb="4">
      <t>トッシン</t>
    </rPh>
    <phoneticPr fontId="5"/>
  </si>
  <si>
    <t>滅びの波動</t>
    <rPh sb="0" eb="1">
      <t>ホロ</t>
    </rPh>
    <rPh sb="3" eb="5">
      <t>ハドウ</t>
    </rPh>
    <phoneticPr fontId="5"/>
  </si>
  <si>
    <t>ホトケノジヒ</t>
    <phoneticPr fontId="5"/>
  </si>
  <si>
    <t>ブツメツクラッシャー</t>
    <phoneticPr fontId="5"/>
  </si>
  <si>
    <t xml:space="preserve">[effect:fix_speed, target:myself, turn:1]    </t>
    <phoneticPr fontId="5"/>
  </si>
  <si>
    <t>[effect:dis_heart, turn:3, animation:enemy_dis_heart]</t>
    <phoneticPr fontId="5"/>
  </si>
  <si>
    <t>ボムストッパー</t>
    <phoneticPr fontId="5"/>
  </si>
  <si>
    <t>エクステンション</t>
    <phoneticPr fontId="5"/>
  </si>
  <si>
    <t>スパムバースト</t>
    <phoneticPr fontId="5"/>
  </si>
  <si>
    <t>[effect:rush, count:3, val:0.35]</t>
    <phoneticPr fontId="5"/>
  </si>
  <si>
    <t>封印の詠</t>
    <rPh sb="0" eb="2">
      <t>フウイン</t>
    </rPh>
    <rPh sb="3" eb="4">
      <t>ウタ</t>
    </rPh>
    <phoneticPr fontId="5"/>
  </si>
  <si>
    <t>old</t>
  </si>
  <si>
    <t>[effect:enemy_counter, target:myself, invoke_condition:unit_all, counter_target:unit_all, turn:3, val:0.2, animation:enemy_counter]</t>
    <phoneticPr fontId="5"/>
  </si>
  <si>
    <t>紅い星</t>
    <rPh sb="0" eb="1">
      <t>アカ</t>
    </rPh>
    <rPh sb="2" eb="3">
      <t>ホシ</t>
    </rPh>
    <phoneticPr fontId="5"/>
  </si>
  <si>
    <t xml:space="preserve">[effect:invalidate_change_block, target:unit_all, block_type01:crack_bomb, turn:4, animation:panel_conversion_off]    </t>
    <phoneticPr fontId="5"/>
  </si>
  <si>
    <t>3ターンパネルの色がわからない</t>
    <rPh sb="8" eb="9">
      <t>イロ</t>
    </rPh>
    <phoneticPr fontId="5"/>
  </si>
  <si>
    <t>3ターン赤パネルの出現率UP</t>
    <rPh sb="4" eb="5">
      <t>アカ</t>
    </rPh>
    <rPh sb="9" eb="12">
      <t>シュツゲンリツ</t>
    </rPh>
    <phoneticPr fontId="5"/>
  </si>
  <si>
    <t>3ターンハートパネルが無効</t>
    <rPh sb="11" eb="13">
      <t>mukou</t>
    </rPh>
    <phoneticPr fontId="5"/>
  </si>
  <si>
    <t>3ターンハートパネルの出現率DOWN</t>
    <rPh sb="11" eb="14">
      <t>シュツゲンリツ</t>
    </rPh>
    <phoneticPr fontId="5"/>
  </si>
  <si>
    <t>1ターン全体スキルバインド</t>
    <rPh sb="4" eb="6">
      <t>ゼンタイ</t>
    </rPh>
    <phoneticPr fontId="5"/>
  </si>
  <si>
    <t>null</t>
    <phoneticPr fontId="5"/>
  </si>
  <si>
    <t>link</t>
    <phoneticPr fontId="5"/>
  </si>
  <si>
    <t>unit</t>
    <phoneticPr fontId="5"/>
  </si>
  <si>
    <t>link</t>
    <phoneticPr fontId="5"/>
  </si>
  <si>
    <t>unit</t>
    <phoneticPr fontId="5"/>
  </si>
  <si>
    <t>null</t>
    <phoneticPr fontId="5"/>
  </si>
  <si>
    <t>2015-03-27 00:00:01</t>
  </si>
  <si>
    <t>2970-01-01 09:00:01</t>
  </si>
  <si>
    <t>2015-03-27 00:00:02</t>
  </si>
  <si>
    <t>2970-01-01 09:00:02</t>
  </si>
  <si>
    <t>ふわふわマカロン♪</t>
    <phoneticPr fontId="5"/>
  </si>
  <si>
    <t>4ターンCパネル生成延長</t>
    <phoneticPr fontId="5"/>
  </si>
  <si>
    <t>4ターンの間スキルでボムに変換できない！</t>
    <rPh sb="5" eb="6">
      <t>アイダ</t>
    </rPh>
    <rPh sb="13" eb="15">
      <t>ヘンカン</t>
    </rPh>
    <phoneticPr fontId="5"/>
  </si>
  <si>
    <t>ドーナツブーメラン</t>
    <phoneticPr fontId="5"/>
  </si>
  <si>
    <t>[effect:critical, val:1.3]</t>
    <phoneticPr fontId="5"/>
  </si>
  <si>
    <t>ロリポップクラッシュ</t>
    <phoneticPr fontId="5"/>
  </si>
  <si>
    <t xml:space="preserve">[effect:crash_condition, target:unit_all, val:2, turn:4, animation:enemy_crash_extend]    </t>
    <phoneticPr fontId="5"/>
  </si>
  <si>
    <t>トニーの2連続攻撃に注意しましょう</t>
    <rPh sb="4" eb="9">
      <t>ニレンゾクコウゲキ</t>
    </rPh>
    <rPh sb="10" eb="12">
      <t>チュウイ</t>
    </rPh>
    <phoneticPr fontId="5"/>
  </si>
  <si>
    <t>タマモは2ターンごとにハートパネルを
黄パネルに変換します</t>
    <rPh sb="19" eb="20">
      <t>キ</t>
    </rPh>
    <rPh sb="24" eb="26">
      <t>ヘンカン</t>
    </rPh>
    <phoneticPr fontId="5"/>
  </si>
  <si>
    <t>コウネンはHPが少なくなると自爆します</t>
    <rPh sb="8" eb="9">
      <t>スク</t>
    </rPh>
    <rPh sb="14" eb="16">
      <t>ジバク</t>
    </rPh>
    <phoneticPr fontId="5"/>
  </si>
  <si>
    <t>バショーはハートパネルを無効化します</t>
    <rPh sb="12" eb="15">
      <t>ムコウカ</t>
    </rPh>
    <phoneticPr fontId="5"/>
  </si>
  <si>
    <t>[effect:degrade_unit, target:unit_all, turn:3, status:heal, val:0.5, calc:mul, animation:degrade_unit_all_heal]</t>
    <phoneticPr fontId="5"/>
  </si>
  <si>
    <t>3ターン攻撃力DOWN</t>
    <rPh sb="4" eb="6">
      <t>コウゲキ</t>
    </rPh>
    <rPh sb="6" eb="7">
      <t>リョク</t>
    </rPh>
    <phoneticPr fontId="5"/>
  </si>
  <si>
    <t>3ターン回復力DOWN</t>
    <rPh sb="4" eb="6">
      <t>カイフク</t>
    </rPh>
    <rPh sb="6" eb="7">
      <t>リョク</t>
    </rPh>
    <phoneticPr fontId="5"/>
  </si>
  <si>
    <t>クリエは全体攻撃を使います
防御力を上げておくと安心です</t>
    <rPh sb="4" eb="8">
      <t>ゼンタイコウゲキ</t>
    </rPh>
    <rPh sb="9" eb="10">
      <t>ツカ</t>
    </rPh>
    <rPh sb="14" eb="16">
      <t>ボウギョ</t>
    </rPh>
    <rPh sb="16" eb="17">
      <t>リョク</t>
    </rPh>
    <rPh sb="18" eb="19">
      <t>ア</t>
    </rPh>
    <rPh sb="24" eb="26">
      <t>アンシン</t>
    </rPh>
    <phoneticPr fontId="5"/>
  </si>
  <si>
    <t>ムゥは回復を使うので
先に倒しましょう</t>
    <rPh sb="3" eb="5">
      <t>カイフク</t>
    </rPh>
    <rPh sb="6" eb="7">
      <t>ツカ</t>
    </rPh>
    <rPh sb="11" eb="12">
      <t>サキ</t>
    </rPh>
    <rPh sb="13" eb="14">
      <t>タオ</t>
    </rPh>
    <phoneticPr fontId="5"/>
  </si>
  <si>
    <t>ニーベルゲンは攻撃力や回復力を
低下するスキルを使います
上書きできるスキルを使いましょう</t>
    <rPh sb="7" eb="10">
      <t>コウゲキリョク</t>
    </rPh>
    <rPh sb="11" eb="14">
      <t>カイフクリョク</t>
    </rPh>
    <rPh sb="16" eb="18">
      <t>テイカ</t>
    </rPh>
    <rPh sb="24" eb="25">
      <t>ツカ</t>
    </rPh>
    <rPh sb="29" eb="31">
      <t>ウワガ</t>
    </rPh>
    <rPh sb="39" eb="40">
      <t>ツカ</t>
    </rPh>
    <phoneticPr fontId="5"/>
  </si>
  <si>
    <t>チハヤは強力な2連続攻撃を使います</t>
    <rPh sb="4" eb="6">
      <t>キョウリョク</t>
    </rPh>
    <rPh sb="7" eb="12">
      <t>ニレンゾクコウゲキ</t>
    </rPh>
    <rPh sb="13" eb="14">
      <t>ツカ</t>
    </rPh>
    <phoneticPr fontId="5"/>
  </si>
  <si>
    <t>コウネンは不利なステータスを
解除してくれることがあります</t>
    <rPh sb="5" eb="7">
      <t>フリ</t>
    </rPh>
    <rPh sb="15" eb="17">
      <t>カイジョ</t>
    </rPh>
    <phoneticPr fontId="5"/>
  </si>
  <si>
    <t>ストールは攻撃力が高いので
早めに倒しましょう</t>
    <rPh sb="5" eb="8">
      <t>コウゲキリョク</t>
    </rPh>
    <rPh sb="9" eb="10">
      <t>タカ</t>
    </rPh>
    <rPh sb="14" eb="15">
      <t>ハヤ</t>
    </rPh>
    <rPh sb="17" eb="18">
      <t>タオ</t>
    </rPh>
    <phoneticPr fontId="5"/>
  </si>
  <si>
    <t>ヘンゼルとグレーテルは連続攻撃や
クリティカル攻撃を使います
注意しましょう</t>
    <rPh sb="11" eb="15">
      <t>レンゾクコウゲキ</t>
    </rPh>
    <rPh sb="23" eb="25">
      <t>コウゲキ</t>
    </rPh>
    <rPh sb="26" eb="27">
      <t>ツカ</t>
    </rPh>
    <rPh sb="31" eb="33">
      <t>チュウイ</t>
    </rPh>
    <phoneticPr fontId="5"/>
  </si>
  <si>
    <t>メタルなアヒルには
一度の攻撃で大ダメージを与えましょう</t>
    <phoneticPr fontId="5"/>
  </si>
  <si>
    <t>complete</t>
  </si>
  <si>
    <t>ja</t>
    <phoneticPr fontId="5"/>
  </si>
  <si>
    <t>NULL</t>
    <phoneticPr fontId="5"/>
  </si>
  <si>
    <t>NULL</t>
    <phoneticPr fontId="5"/>
  </si>
  <si>
    <t>ja</t>
    <phoneticPr fontId="5"/>
  </si>
  <si>
    <t>ja</t>
    <phoneticPr fontId="5"/>
  </si>
  <si>
    <t>NULL</t>
    <phoneticPr fontId="5"/>
  </si>
  <si>
    <t>ja</t>
    <phoneticPr fontId="5"/>
  </si>
  <si>
    <t>次のターンに強力なパネル吸収攻撃</t>
    <rPh sb="0" eb="1">
      <t>ツギ</t>
    </rPh>
    <rPh sb="6" eb="8">
      <t>キョウリョク</t>
    </rPh>
    <phoneticPr fontId="5"/>
  </si>
  <si>
    <t>アルフヘイムはHPが少なくなると
強力なパネル吸収攻撃をします</t>
    <rPh sb="10" eb="11">
      <t>スク</t>
    </rPh>
    <rPh sb="17" eb="19">
      <t>キョウリョク</t>
    </rPh>
    <rPh sb="23" eb="25">
      <t>キュウシュウ</t>
    </rPh>
    <rPh sb="25" eb="27">
      <t>ハカイコウゲキ</t>
    </rPh>
    <phoneticPr fontId="5"/>
  </si>
  <si>
    <t>3ターンの間
攻撃を受けると全体攻撃をする</t>
    <rPh sb="5" eb="6">
      <t>アイダ</t>
    </rPh>
    <rPh sb="7" eb="9">
      <t>コウゲキ</t>
    </rPh>
    <rPh sb="10" eb="11">
      <t>ウ</t>
    </rPh>
    <rPh sb="14" eb="18">
      <t>ゼンタイコウゲキ</t>
    </rPh>
    <phoneticPr fontId="5"/>
  </si>
  <si>
    <t xml:space="preserve">[effect:break_attack_fix, val:100, lowest_val:0, count:-1, block01:block_blue, block02:block_red, block03:block_green, target:unit_all],[effect:fix_speed, target:myself, turn:2] </t>
    <phoneticPr fontId="5"/>
  </si>
  <si>
    <t>赤・青・緑パネルを全て吸収して全体に攻撃</t>
    <rPh sb="9" eb="10">
      <t>スベ</t>
    </rPh>
    <rPh sb="15" eb="17">
      <t>ゼンタイ</t>
    </rPh>
    <rPh sb="18" eb="20">
      <t>コウゲキ</t>
    </rPh>
    <phoneticPr fontId="5"/>
  </si>
  <si>
    <t>敵の連続攻撃には</t>
  </si>
  <si>
    <t>カウンタースキルを持つユニットがいれば
ダメージ回数分の反撃ができます</t>
  </si>
  <si>
    <t>敵のカウンター攻撃には</t>
  </si>
  <si>
    <t>カウンターブレイクスキルを持っていれば
敵のカウンターを解除して攻撃ができます</t>
  </si>
  <si>
    <t>ステータスをスキルで下げられたら</t>
  </si>
  <si>
    <t>ステータスダウンのスキルを受けたら
ステータスアップスキルで上書きしましょう</t>
  </si>
  <si>
    <t>敵のステータスがスキルで上がったら</t>
  </si>
  <si>
    <t>敵のステータスがスキルでアップしたときは
ステータスダウンスキルで上書きしましょう</t>
  </si>
  <si>
    <t>チャレンジタワーのボス</t>
  </si>
  <si>
    <t>チャレンジタワーでのみ登場するボスは
一定確率で獲得することができます</t>
  </si>
  <si>
    <t>限界突破値の引き継ぎ</t>
  </si>
  <si>
    <t>同じユニットを強化で合成すると
限界突破値を引き継げます（覚醒前後も可）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</si>
</sst>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5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0"/>
      <name val="ＭＳ Ｐゴシック"/>
      <family val="3"/>
      <charset val="128"/>
      <scheme val="minor"/>
    </font>
    <font>
      <sz val="12"/>
      <name val="ＭＳ Ｐゴシック"/>
      <family val="3"/>
      <charset val="128"/>
    </font>
    <font>
      <sz val="12"/>
      <color theme="1"/>
      <name val="ＭＳ Ｐゴシック"/>
      <family val="3"/>
      <charset val="128"/>
    </font>
    <font>
      <sz val="12"/>
      <color rgb="FF000000"/>
      <name val="ＭＳ Ｐゴシック"/>
      <family val="3"/>
      <charset val="128"/>
    </font>
  </fonts>
  <fills count="3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/>
        <bgColor indexed="24"/>
      </patternFill>
    </fill>
  </fills>
  <borders count="7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8"/>
      </left>
      <right/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medium">
        <color auto="1"/>
      </top>
      <bottom style="thin">
        <color rgb="FF000000"/>
      </bottom>
      <diagonal/>
    </border>
    <border>
      <left/>
      <right style="thin">
        <color rgb="FF000000"/>
      </right>
      <top style="medium">
        <color auto="1"/>
      </top>
      <bottom style="thin">
        <color rgb="FF000000"/>
      </bottom>
      <diagonal/>
    </border>
    <border>
      <left style="thin">
        <color auto="1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/>
      <bottom style="medium">
        <color auto="1"/>
      </bottom>
      <diagonal/>
    </border>
    <border>
      <left/>
      <right style="thin">
        <color rgb="FF000000"/>
      </right>
      <top/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auto="1"/>
      </left>
      <right style="thin">
        <color indexed="8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/>
      <bottom style="thin">
        <color auto="1"/>
      </bottom>
      <diagonal/>
    </border>
    <border>
      <left/>
      <right style="thin">
        <color rgb="FF000000"/>
      </right>
      <top/>
      <bottom style="thin">
        <color auto="1"/>
      </bottom>
      <diagonal/>
    </border>
    <border>
      <left style="thin">
        <color indexed="8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rgb="FF000000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/>
      <diagonal/>
    </border>
    <border>
      <left style="thin">
        <color indexed="8"/>
      </left>
      <right style="thin">
        <color rgb="FF000000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</borders>
  <cellStyleXfs count="890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2" applyNumberFormat="0" applyAlignment="0" applyProtection="0"/>
    <xf numFmtId="0" fontId="33" fillId="17" borderId="0" applyNumberFormat="0" applyBorder="0" applyAlignment="0" applyProtection="0"/>
    <xf numFmtId="0" fontId="34" fillId="18" borderId="13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8" applyNumberFormat="0" applyFill="0" applyAlignment="0" applyProtection="0"/>
    <xf numFmtId="0" fontId="46" fillId="18" borderId="19" applyNumberFormat="0" applyAlignment="0" applyProtection="0"/>
    <xf numFmtId="0" fontId="46" fillId="29" borderId="19" applyNumberFormat="0" applyAlignment="0" applyProtection="0"/>
    <xf numFmtId="0" fontId="34" fillId="17" borderId="13" applyNumberFormat="0" applyAlignment="0" applyProtection="0"/>
    <xf numFmtId="0" fontId="47" fillId="0" borderId="20" applyNumberFormat="0" applyFill="0" applyAlignment="0" applyProtection="0"/>
    <xf numFmtId="0" fontId="48" fillId="29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4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6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8" xfId="0" applyFont="1" applyFill="1" applyBorder="1" applyAlignment="1">
      <alignment vertical="center"/>
    </xf>
    <xf numFmtId="0" fontId="6" fillId="5" borderId="6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6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6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9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6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6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6" xfId="0" applyFont="1" applyFill="1" applyBorder="1" applyAlignment="1">
      <alignment horizontal="center" vertical="center"/>
    </xf>
    <xf numFmtId="0" fontId="16" fillId="3" borderId="6" xfId="0" applyFont="1" applyFill="1" applyBorder="1" applyAlignment="1">
      <alignment horizontal="center" vertical="center"/>
    </xf>
    <xf numFmtId="0" fontId="11" fillId="6" borderId="6" xfId="0" applyFont="1" applyFill="1" applyBorder="1" applyAlignment="1">
      <alignment horizontal="center" vertical="center"/>
    </xf>
    <xf numFmtId="0" fontId="11" fillId="3" borderId="6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6" xfId="0" applyFont="1" applyFill="1" applyBorder="1" applyAlignment="1">
      <alignment horizontal="left" vertical="center"/>
    </xf>
    <xf numFmtId="0" fontId="16" fillId="0" borderId="6" xfId="0" applyFont="1" applyFill="1" applyBorder="1" applyAlignment="1">
      <alignment vertical="center"/>
    </xf>
    <xf numFmtId="0" fontId="16" fillId="3" borderId="6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6" xfId="0" applyFont="1" applyFill="1" applyBorder="1" applyAlignment="1">
      <alignment horizontal="left" vertical="center"/>
    </xf>
    <xf numFmtId="0" fontId="16" fillId="0" borderId="6" xfId="0" applyFont="1" applyFill="1" applyBorder="1" applyAlignment="1">
      <alignment horizontal="left" vertical="center" wrapText="1"/>
    </xf>
    <xf numFmtId="14" fontId="16" fillId="0" borderId="6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6" xfId="0" applyFont="1" applyFill="1" applyBorder="1"/>
    <xf numFmtId="0" fontId="0" fillId="11" borderId="6" xfId="0" applyFill="1" applyBorder="1"/>
    <xf numFmtId="0" fontId="0" fillId="0" borderId="6" xfId="0" applyBorder="1"/>
    <xf numFmtId="0" fontId="0" fillId="6" borderId="6" xfId="0" applyFill="1" applyBorder="1"/>
    <xf numFmtId="0" fontId="26" fillId="12" borderId="6" xfId="0" applyFont="1" applyFill="1" applyBorder="1"/>
    <xf numFmtId="0" fontId="13" fillId="11" borderId="6" xfId="434" applyFont="1" applyFill="1" applyBorder="1" applyAlignment="1"/>
    <xf numFmtId="0" fontId="24" fillId="0" borderId="6" xfId="434" applyBorder="1" applyAlignment="1"/>
    <xf numFmtId="0" fontId="0" fillId="13" borderId="6" xfId="0" applyFill="1" applyBorder="1"/>
    <xf numFmtId="0" fontId="16" fillId="3" borderId="6" xfId="0" applyFont="1" applyFill="1" applyBorder="1" applyAlignment="1">
      <alignment horizontal="left" vertical="center" wrapText="1"/>
    </xf>
    <xf numFmtId="0" fontId="16" fillId="6" borderId="6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6" xfId="615" applyFont="1" applyFill="1" applyBorder="1"/>
    <xf numFmtId="0" fontId="0" fillId="0" borderId="6" xfId="615" applyFont="1" applyBorder="1"/>
    <xf numFmtId="0" fontId="2" fillId="11" borderId="6" xfId="615" applyFill="1" applyBorder="1"/>
    <xf numFmtId="0" fontId="4" fillId="0" borderId="6" xfId="0" applyFont="1" applyBorder="1" applyAlignment="1">
      <alignment vertical="center"/>
    </xf>
    <xf numFmtId="0" fontId="6" fillId="5" borderId="10" xfId="0" applyFont="1" applyFill="1" applyBorder="1" applyAlignment="1">
      <alignment vertical="center"/>
    </xf>
    <xf numFmtId="0" fontId="0" fillId="3" borderId="6" xfId="0" applyFill="1" applyBorder="1"/>
    <xf numFmtId="0" fontId="16" fillId="3" borderId="6" xfId="614" applyFont="1" applyFill="1" applyBorder="1" applyAlignment="1">
      <alignment horizontal="left"/>
    </xf>
    <xf numFmtId="0" fontId="16" fillId="6" borderId="6" xfId="0" applyFont="1" applyFill="1" applyBorder="1" applyAlignment="1">
      <alignment horizontal="center"/>
    </xf>
    <xf numFmtId="56" fontId="16" fillId="6" borderId="6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6" xfId="0" applyFont="1" applyFill="1" applyBorder="1" applyAlignment="1">
      <alignment horizontal="center"/>
    </xf>
    <xf numFmtId="0" fontId="16" fillId="3" borderId="6" xfId="0" applyFont="1" applyFill="1" applyBorder="1" applyAlignment="1">
      <alignment horizontal="center"/>
    </xf>
    <xf numFmtId="0" fontId="16" fillId="14" borderId="6" xfId="0" applyFont="1" applyFill="1" applyBorder="1" applyAlignment="1">
      <alignment horizontal="center"/>
    </xf>
    <xf numFmtId="0" fontId="16" fillId="15" borderId="6" xfId="0" applyFont="1" applyFill="1" applyBorder="1" applyAlignment="1">
      <alignment horizontal="center"/>
    </xf>
    <xf numFmtId="0" fontId="0" fillId="15" borderId="6" xfId="0" applyFill="1" applyBorder="1"/>
    <xf numFmtId="0" fontId="27" fillId="0" borderId="6" xfId="0" applyFont="1" applyFill="1" applyBorder="1"/>
    <xf numFmtId="0" fontId="28" fillId="0" borderId="6" xfId="0" applyFont="1" applyFill="1" applyBorder="1"/>
    <xf numFmtId="0" fontId="29" fillId="3" borderId="11" xfId="0" applyFont="1" applyFill="1" applyBorder="1" applyAlignment="1">
      <alignment vertical="center"/>
    </xf>
    <xf numFmtId="0" fontId="30" fillId="0" borderId="6" xfId="0" applyFont="1" applyFill="1" applyBorder="1"/>
    <xf numFmtId="0" fontId="29" fillId="0" borderId="11" xfId="0" applyFont="1" applyFill="1" applyBorder="1" applyAlignment="1">
      <alignment vertical="center"/>
    </xf>
    <xf numFmtId="0" fontId="30" fillId="14" borderId="6" xfId="0" applyFont="1" applyFill="1" applyBorder="1"/>
    <xf numFmtId="0" fontId="31" fillId="0" borderId="6" xfId="0" applyFont="1" applyFill="1" applyBorder="1"/>
    <xf numFmtId="38" fontId="16" fillId="0" borderId="6" xfId="628" applyFont="1" applyFill="1" applyBorder="1" applyAlignment="1"/>
    <xf numFmtId="0" fontId="27" fillId="0" borderId="0" xfId="0" applyFont="1" applyFill="1"/>
    <xf numFmtId="0" fontId="16" fillId="30" borderId="6" xfId="0" applyFont="1" applyFill="1" applyBorder="1" applyAlignment="1">
      <alignment horizontal="center"/>
    </xf>
    <xf numFmtId="0" fontId="30" fillId="30" borderId="6" xfId="0" applyFont="1" applyFill="1" applyBorder="1"/>
    <xf numFmtId="0" fontId="16" fillId="13" borderId="6" xfId="0" applyFont="1" applyFill="1" applyBorder="1" applyAlignment="1">
      <alignment horizontal="center"/>
    </xf>
    <xf numFmtId="56" fontId="16" fillId="14" borderId="6" xfId="0" applyNumberFormat="1" applyFont="1" applyFill="1" applyBorder="1" applyAlignment="1">
      <alignment horizontal="center"/>
    </xf>
    <xf numFmtId="0" fontId="16" fillId="6" borderId="6" xfId="11" applyFont="1" applyFill="1" applyBorder="1" applyAlignment="1">
      <alignment horizontal="left"/>
    </xf>
    <xf numFmtId="0" fontId="2" fillId="6" borderId="0" xfId="615" applyFill="1"/>
    <xf numFmtId="0" fontId="4" fillId="0" borderId="6" xfId="0" applyFont="1" applyFill="1" applyBorder="1" applyAlignment="1">
      <alignment vertical="center"/>
    </xf>
    <xf numFmtId="0" fontId="4" fillId="0" borderId="6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right" vertical="center"/>
    </xf>
    <xf numFmtId="0" fontId="4" fillId="31" borderId="6" xfId="0" applyFont="1" applyFill="1" applyBorder="1" applyAlignment="1">
      <alignment horizontal="center" vertical="center"/>
    </xf>
    <xf numFmtId="0" fontId="4" fillId="6" borderId="6" xfId="0" applyFont="1" applyFill="1" applyBorder="1" applyAlignment="1">
      <alignment horizontal="center" vertical="center"/>
    </xf>
    <xf numFmtId="0" fontId="4" fillId="32" borderId="6" xfId="0" applyFont="1" applyFill="1" applyBorder="1" applyAlignment="1">
      <alignment horizontal="center" vertical="center"/>
    </xf>
    <xf numFmtId="0" fontId="4" fillId="33" borderId="6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1" fillId="0" borderId="22" xfId="0" applyFont="1" applyBorder="1" applyAlignment="1">
      <alignment vertical="center"/>
    </xf>
    <xf numFmtId="0" fontId="11" fillId="0" borderId="23" xfId="0" applyFont="1" applyBorder="1" applyAlignment="1">
      <alignment vertical="center"/>
    </xf>
    <xf numFmtId="0" fontId="11" fillId="0" borderId="24" xfId="0" applyFont="1" applyBorder="1" applyAlignment="1">
      <alignment vertical="center"/>
    </xf>
    <xf numFmtId="0" fontId="11" fillId="0" borderId="25" xfId="0" applyFont="1" applyBorder="1" applyAlignment="1">
      <alignment vertical="center"/>
    </xf>
    <xf numFmtId="0" fontId="11" fillId="0" borderId="6" xfId="0" applyFont="1" applyBorder="1" applyAlignment="1">
      <alignment vertical="center"/>
    </xf>
    <xf numFmtId="0" fontId="4" fillId="3" borderId="6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left" vertical="center"/>
    </xf>
    <xf numFmtId="0" fontId="4" fillId="6" borderId="2" xfId="0" applyFont="1" applyFill="1" applyBorder="1" applyAlignment="1">
      <alignment horizontal="left" vertical="center"/>
    </xf>
    <xf numFmtId="0" fontId="4" fillId="3" borderId="26" xfId="0" applyFont="1" applyFill="1" applyBorder="1" applyAlignment="1">
      <alignment horizontal="left" vertical="center"/>
    </xf>
    <xf numFmtId="0" fontId="4" fillId="3" borderId="27" xfId="0" applyFont="1" applyFill="1" applyBorder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4" fillId="3" borderId="11" xfId="0" applyFont="1" applyFill="1" applyBorder="1" applyAlignment="1">
      <alignment horizontal="center" vertical="center"/>
    </xf>
    <xf numFmtId="0" fontId="4" fillId="31" borderId="11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4" fillId="0" borderId="11" xfId="0" applyFont="1" applyBorder="1" applyAlignment="1">
      <alignment horizontal="center" vertical="center"/>
    </xf>
    <xf numFmtId="0" fontId="8" fillId="0" borderId="28" xfId="0" applyFont="1" applyBorder="1" applyAlignment="1">
      <alignment vertical="center"/>
    </xf>
    <xf numFmtId="177" fontId="8" fillId="0" borderId="28" xfId="0" applyNumberFormat="1" applyFont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4" fillId="0" borderId="11" xfId="0" applyFont="1" applyFill="1" applyBorder="1" applyAlignment="1">
      <alignment vertical="center"/>
    </xf>
    <xf numFmtId="0" fontId="4" fillId="0" borderId="29" xfId="0" applyFont="1" applyBorder="1" applyAlignment="1">
      <alignment vertical="center"/>
    </xf>
    <xf numFmtId="0" fontId="4" fillId="0" borderId="11" xfId="0" applyFont="1" applyBorder="1" applyAlignment="1">
      <alignment vertical="center"/>
    </xf>
    <xf numFmtId="0" fontId="12" fillId="7" borderId="30" xfId="0" applyFont="1" applyFill="1" applyBorder="1" applyAlignment="1">
      <alignment vertical="center"/>
    </xf>
    <xf numFmtId="176" fontId="4" fillId="0" borderId="31" xfId="0" applyNumberFormat="1" applyFont="1" applyFill="1" applyBorder="1" applyAlignment="1">
      <alignment horizontal="right" vertical="center"/>
    </xf>
    <xf numFmtId="0" fontId="4" fillId="31" borderId="32" xfId="0" applyFont="1" applyFill="1" applyBorder="1" applyAlignment="1">
      <alignment horizontal="center" vertical="center"/>
    </xf>
    <xf numFmtId="0" fontId="4" fillId="3" borderId="32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vertical="center"/>
    </xf>
    <xf numFmtId="0" fontId="6" fillId="0" borderId="32" xfId="0" applyFont="1" applyFill="1" applyBorder="1" applyAlignment="1">
      <alignment vertical="center"/>
    </xf>
    <xf numFmtId="0" fontId="4" fillId="0" borderId="32" xfId="0" applyFont="1" applyBorder="1" applyAlignment="1">
      <alignment horizontal="center" vertical="center"/>
    </xf>
    <xf numFmtId="0" fontId="6" fillId="5" borderId="33" xfId="0" applyFont="1" applyFill="1" applyBorder="1" applyAlignment="1">
      <alignment vertical="center"/>
    </xf>
    <xf numFmtId="0" fontId="8" fillId="0" borderId="34" xfId="0" applyFont="1" applyBorder="1" applyAlignment="1">
      <alignment vertical="center"/>
    </xf>
    <xf numFmtId="177" fontId="8" fillId="0" borderId="34" xfId="0" applyNumberFormat="1" applyFont="1" applyBorder="1" applyAlignment="1">
      <alignment vertical="center"/>
    </xf>
    <xf numFmtId="0" fontId="11" fillId="0" borderId="35" xfId="0" applyFont="1" applyBorder="1" applyAlignment="1">
      <alignment vertical="center"/>
    </xf>
    <xf numFmtId="0" fontId="11" fillId="0" borderId="36" xfId="0" applyFont="1" applyBorder="1" applyAlignment="1">
      <alignment vertical="center"/>
    </xf>
    <xf numFmtId="0" fontId="4" fillId="3" borderId="32" xfId="0" applyFont="1" applyFill="1" applyBorder="1" applyAlignment="1">
      <alignment vertical="center"/>
    </xf>
    <xf numFmtId="0" fontId="4" fillId="0" borderId="32" xfId="0" applyFont="1" applyFill="1" applyBorder="1" applyAlignment="1">
      <alignment vertical="center"/>
    </xf>
    <xf numFmtId="0" fontId="4" fillId="0" borderId="37" xfId="0" applyFont="1" applyBorder="1" applyAlignment="1">
      <alignment vertical="center"/>
    </xf>
    <xf numFmtId="0" fontId="4" fillId="0" borderId="32" xfId="0" applyFont="1" applyBorder="1" applyAlignment="1">
      <alignment vertical="center"/>
    </xf>
    <xf numFmtId="0" fontId="4" fillId="0" borderId="38" xfId="0" applyFont="1" applyBorder="1" applyAlignment="1">
      <alignment vertical="center"/>
    </xf>
    <xf numFmtId="0" fontId="12" fillId="7" borderId="39" xfId="0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12" fillId="7" borderId="40" xfId="0" applyFont="1" applyFill="1" applyBorder="1" applyAlignment="1">
      <alignment vertical="center"/>
    </xf>
    <xf numFmtId="176" fontId="4" fillId="0" borderId="41" xfId="0" applyNumberFormat="1" applyFont="1" applyFill="1" applyBorder="1" applyAlignment="1">
      <alignment horizontal="right" vertical="center"/>
    </xf>
    <xf numFmtId="0" fontId="4" fillId="31" borderId="42" xfId="0" applyFont="1" applyFill="1" applyBorder="1" applyAlignment="1">
      <alignment horizontal="center" vertical="center"/>
    </xf>
    <xf numFmtId="0" fontId="4" fillId="3" borderId="42" xfId="0" applyFont="1" applyFill="1" applyBorder="1" applyAlignment="1">
      <alignment horizontal="center" vertical="center"/>
    </xf>
    <xf numFmtId="0" fontId="6" fillId="5" borderId="41" xfId="0" applyFont="1" applyFill="1" applyBorder="1" applyAlignment="1">
      <alignment vertical="center"/>
    </xf>
    <xf numFmtId="0" fontId="6" fillId="0" borderId="42" xfId="0" applyFont="1" applyFill="1" applyBorder="1" applyAlignment="1">
      <alignment vertical="center"/>
    </xf>
    <xf numFmtId="0" fontId="4" fillId="0" borderId="42" xfId="0" applyFont="1" applyBorder="1" applyAlignment="1">
      <alignment horizontal="center" vertical="center"/>
    </xf>
    <xf numFmtId="0" fontId="6" fillId="5" borderId="43" xfId="0" applyFont="1" applyFill="1" applyBorder="1" applyAlignment="1">
      <alignment vertical="center"/>
    </xf>
    <xf numFmtId="0" fontId="8" fillId="0" borderId="44" xfId="0" applyFont="1" applyBorder="1" applyAlignment="1">
      <alignment vertical="center"/>
    </xf>
    <xf numFmtId="177" fontId="8" fillId="0" borderId="44" xfId="0" applyNumberFormat="1" applyFont="1" applyBorder="1" applyAlignment="1">
      <alignment vertical="center"/>
    </xf>
    <xf numFmtId="0" fontId="11" fillId="0" borderId="45" xfId="0" applyFont="1" applyBorder="1" applyAlignment="1">
      <alignment vertical="center"/>
    </xf>
    <xf numFmtId="0" fontId="11" fillId="0" borderId="46" xfId="0" applyFont="1" applyBorder="1" applyAlignment="1">
      <alignment vertical="center"/>
    </xf>
    <xf numFmtId="0" fontId="4" fillId="3" borderId="42" xfId="0" applyFont="1" applyFill="1" applyBorder="1" applyAlignment="1">
      <alignment vertical="center"/>
    </xf>
    <xf numFmtId="0" fontId="4" fillId="0" borderId="42" xfId="0" applyFont="1" applyFill="1" applyBorder="1" applyAlignment="1">
      <alignment vertical="center"/>
    </xf>
    <xf numFmtId="0" fontId="4" fillId="0" borderId="47" xfId="0" applyFont="1" applyBorder="1" applyAlignment="1">
      <alignment vertical="center"/>
    </xf>
    <xf numFmtId="0" fontId="4" fillId="0" borderId="42" xfId="0" applyFont="1" applyBorder="1" applyAlignment="1">
      <alignment vertical="center"/>
    </xf>
    <xf numFmtId="0" fontId="4" fillId="0" borderId="48" xfId="0" applyFont="1" applyBorder="1" applyAlignment="1">
      <alignment vertical="center"/>
    </xf>
    <xf numFmtId="0" fontId="4" fillId="32" borderId="11" xfId="0" applyFont="1" applyFill="1" applyBorder="1" applyAlignment="1">
      <alignment horizontal="center" vertical="center"/>
    </xf>
    <xf numFmtId="0" fontId="4" fillId="6" borderId="32" xfId="0" applyFont="1" applyFill="1" applyBorder="1" applyAlignment="1">
      <alignment horizontal="center" vertical="center"/>
    </xf>
    <xf numFmtId="0" fontId="4" fillId="6" borderId="42" xfId="0" applyFont="1" applyFill="1" applyBorder="1" applyAlignment="1">
      <alignment horizontal="center" vertical="center"/>
    </xf>
    <xf numFmtId="0" fontId="4" fillId="0" borderId="49" xfId="0" applyFont="1" applyBorder="1" applyAlignment="1">
      <alignment horizontal="center" vertical="center"/>
    </xf>
    <xf numFmtId="176" fontId="4" fillId="0" borderId="50" xfId="0" applyNumberFormat="1" applyFont="1" applyFill="1" applyBorder="1" applyAlignment="1">
      <alignment horizontal="right" vertical="center"/>
    </xf>
    <xf numFmtId="0" fontId="4" fillId="32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6" fillId="5" borderId="50" xfId="0" applyFont="1" applyFill="1" applyBorder="1" applyAlignment="1">
      <alignment vertical="center"/>
    </xf>
    <xf numFmtId="0" fontId="4" fillId="33" borderId="2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6" fillId="5" borderId="51" xfId="0" applyFont="1" applyFill="1" applyBorder="1" applyAlignment="1">
      <alignment vertical="center"/>
    </xf>
    <xf numFmtId="0" fontId="8" fillId="0" borderId="52" xfId="0" applyFont="1" applyBorder="1" applyAlignment="1">
      <alignment vertical="center"/>
    </xf>
    <xf numFmtId="177" fontId="8" fillId="0" borderId="52" xfId="0" applyNumberFormat="1" applyFont="1" applyBorder="1" applyAlignment="1">
      <alignment vertical="center"/>
    </xf>
    <xf numFmtId="0" fontId="11" fillId="0" borderId="53" xfId="0" applyFont="1" applyBorder="1" applyAlignment="1">
      <alignment vertical="center"/>
    </xf>
    <xf numFmtId="0" fontId="11" fillId="0" borderId="54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4" fillId="0" borderId="55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32" xfId="0" applyFont="1" applyFill="1" applyBorder="1" applyAlignment="1">
      <alignment horizontal="center" vertical="center"/>
    </xf>
    <xf numFmtId="0" fontId="4" fillId="0" borderId="42" xfId="0" applyFont="1" applyFill="1" applyBorder="1" applyAlignment="1">
      <alignment horizontal="center" vertical="center"/>
    </xf>
    <xf numFmtId="0" fontId="11" fillId="0" borderId="56" xfId="0" applyFont="1" applyBorder="1" applyAlignment="1">
      <alignment vertical="center"/>
    </xf>
    <xf numFmtId="177" fontId="11" fillId="0" borderId="57" xfId="0" applyNumberFormat="1" applyFont="1" applyBorder="1" applyAlignment="1">
      <alignment vertical="center"/>
    </xf>
    <xf numFmtId="0" fontId="11" fillId="0" borderId="58" xfId="0" applyFont="1" applyBorder="1" applyAlignment="1">
      <alignment vertical="center"/>
    </xf>
    <xf numFmtId="177" fontId="11" fillId="0" borderId="59" xfId="0" applyNumberFormat="1" applyFont="1" applyBorder="1" applyAlignment="1">
      <alignment vertical="center"/>
    </xf>
    <xf numFmtId="0" fontId="6" fillId="5" borderId="4" xfId="0" applyFont="1" applyFill="1" applyBorder="1" applyAlignment="1">
      <alignment vertical="center"/>
    </xf>
    <xf numFmtId="0" fontId="6" fillId="5" borderId="60" xfId="0" applyFont="1" applyFill="1" applyBorder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horizontal="left" vertical="center"/>
    </xf>
    <xf numFmtId="0" fontId="16" fillId="6" borderId="9" xfId="0" applyFont="1" applyFill="1" applyBorder="1" applyAlignment="1">
      <alignment horizontal="center" vertical="center"/>
    </xf>
    <xf numFmtId="0" fontId="16" fillId="0" borderId="9" xfId="0" applyFont="1" applyFill="1" applyBorder="1" applyAlignment="1">
      <alignment horizontal="left" vertical="center" wrapText="1"/>
    </xf>
    <xf numFmtId="0" fontId="51" fillId="0" borderId="6" xfId="0" applyFont="1" applyFill="1" applyBorder="1" applyAlignment="1">
      <alignment vertical="center"/>
    </xf>
    <xf numFmtId="0" fontId="16" fillId="0" borderId="0" xfId="0" applyFont="1" applyFill="1" applyBorder="1" applyAlignment="1">
      <alignment vertical="center"/>
    </xf>
    <xf numFmtId="0" fontId="16" fillId="33" borderId="6" xfId="0" applyFont="1" applyFill="1" applyBorder="1" applyAlignment="1">
      <alignment vertical="center"/>
    </xf>
    <xf numFmtId="0" fontId="4" fillId="33" borderId="4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4" fillId="0" borderId="11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vertical="center"/>
    </xf>
    <xf numFmtId="0" fontId="12" fillId="7" borderId="38" xfId="0" applyFont="1" applyFill="1" applyBorder="1" applyAlignment="1">
      <alignment vertical="center"/>
    </xf>
    <xf numFmtId="0" fontId="6" fillId="5" borderId="32" xfId="0" applyFont="1" applyFill="1" applyBorder="1" applyAlignment="1">
      <alignment vertical="center"/>
    </xf>
    <xf numFmtId="0" fontId="6" fillId="3" borderId="32" xfId="0" applyFont="1" applyFill="1" applyBorder="1" applyAlignment="1">
      <alignment vertical="center"/>
    </xf>
    <xf numFmtId="0" fontId="6" fillId="0" borderId="61" xfId="0" applyFont="1" applyFill="1" applyBorder="1" applyAlignment="1">
      <alignment vertical="center"/>
    </xf>
    <xf numFmtId="0" fontId="12" fillId="7" borderId="0" xfId="0" applyFont="1" applyFill="1" applyBorder="1" applyAlignment="1">
      <alignment vertical="center"/>
    </xf>
    <xf numFmtId="0" fontId="6" fillId="0" borderId="62" xfId="0" applyFont="1" applyFill="1" applyBorder="1" applyAlignment="1">
      <alignment vertical="center"/>
    </xf>
    <xf numFmtId="0" fontId="12" fillId="7" borderId="48" xfId="0" applyFont="1" applyFill="1" applyBorder="1" applyAlignment="1">
      <alignment vertical="center"/>
    </xf>
    <xf numFmtId="0" fontId="6" fillId="5" borderId="42" xfId="0" applyFont="1" applyFill="1" applyBorder="1" applyAlignment="1">
      <alignment vertical="center"/>
    </xf>
    <xf numFmtId="0" fontId="6" fillId="3" borderId="42" xfId="0" applyFont="1" applyFill="1" applyBorder="1" applyAlignment="1">
      <alignment vertical="center"/>
    </xf>
    <xf numFmtId="0" fontId="6" fillId="0" borderId="63" xfId="0" applyFont="1" applyFill="1" applyBorder="1" applyAlignment="1">
      <alignment vertical="center"/>
    </xf>
    <xf numFmtId="0" fontId="6" fillId="5" borderId="2" xfId="0" applyFont="1" applyFill="1" applyBorder="1" applyAlignment="1">
      <alignment vertical="center"/>
    </xf>
    <xf numFmtId="0" fontId="4" fillId="0" borderId="2" xfId="0" applyFont="1" applyFill="1" applyBorder="1" applyAlignment="1">
      <alignment horizontal="center" vertical="center"/>
    </xf>
    <xf numFmtId="0" fontId="6" fillId="0" borderId="64" xfId="0" applyFont="1" applyFill="1" applyBorder="1" applyAlignment="1">
      <alignment vertical="center"/>
    </xf>
    <xf numFmtId="0" fontId="6" fillId="0" borderId="65" xfId="0" applyFont="1" applyFill="1" applyBorder="1" applyAlignment="1">
      <alignment vertical="center"/>
    </xf>
    <xf numFmtId="177" fontId="8" fillId="0" borderId="6" xfId="0" applyNumberFormat="1" applyFont="1" applyBorder="1" applyAlignment="1">
      <alignment vertical="center"/>
    </xf>
    <xf numFmtId="0" fontId="8" fillId="0" borderId="6" xfId="0" applyFont="1" applyBorder="1" applyAlignment="1">
      <alignment vertical="center"/>
    </xf>
    <xf numFmtId="0" fontId="6" fillId="5" borderId="52" xfId="0" applyFont="1" applyFill="1" applyBorder="1" applyAlignment="1">
      <alignment vertical="center"/>
    </xf>
    <xf numFmtId="0" fontId="6" fillId="5" borderId="66" xfId="0" applyFont="1" applyFill="1" applyBorder="1" applyAlignment="1">
      <alignment vertical="center"/>
    </xf>
    <xf numFmtId="176" fontId="4" fillId="0" borderId="6" xfId="0" applyNumberFormat="1" applyFont="1" applyFill="1" applyBorder="1" applyAlignment="1">
      <alignment horizontal="right" vertical="center"/>
    </xf>
    <xf numFmtId="0" fontId="12" fillId="7" borderId="67" xfId="0" applyFont="1" applyFill="1" applyBorder="1" applyAlignment="1">
      <alignment vertical="center"/>
    </xf>
    <xf numFmtId="176" fontId="4" fillId="0" borderId="32" xfId="0" applyNumberFormat="1" applyFont="1" applyFill="1" applyBorder="1" applyAlignment="1">
      <alignment horizontal="right" vertical="center"/>
    </xf>
    <xf numFmtId="0" fontId="8" fillId="0" borderId="32" xfId="0" applyFont="1" applyBorder="1" applyAlignment="1">
      <alignment vertical="center"/>
    </xf>
    <xf numFmtId="177" fontId="8" fillId="0" borderId="32" xfId="0" applyNumberFormat="1" applyFont="1" applyBorder="1" applyAlignment="1">
      <alignment vertical="center"/>
    </xf>
    <xf numFmtId="0" fontId="12" fillId="7" borderId="68" xfId="0" applyFont="1" applyFill="1" applyBorder="1" applyAlignment="1">
      <alignment vertical="center"/>
    </xf>
    <xf numFmtId="0" fontId="12" fillId="7" borderId="69" xfId="0" applyFont="1" applyFill="1" applyBorder="1" applyAlignment="1">
      <alignment vertical="center"/>
    </xf>
    <xf numFmtId="176" fontId="4" fillId="0" borderId="42" xfId="0" applyNumberFormat="1" applyFont="1" applyFill="1" applyBorder="1" applyAlignment="1">
      <alignment horizontal="right" vertical="center"/>
    </xf>
    <xf numFmtId="0" fontId="8" fillId="0" borderId="42" xfId="0" applyFont="1" applyBorder="1" applyAlignment="1">
      <alignment vertical="center"/>
    </xf>
    <xf numFmtId="177" fontId="8" fillId="0" borderId="42" xfId="0" applyNumberFormat="1" applyFont="1" applyBorder="1" applyAlignment="1">
      <alignment vertical="center"/>
    </xf>
    <xf numFmtId="177" fontId="11" fillId="0" borderId="70" xfId="0" applyNumberFormat="1" applyFont="1" applyBorder="1" applyAlignment="1">
      <alignment vertical="center"/>
    </xf>
    <xf numFmtId="0" fontId="16" fillId="13" borderId="9" xfId="0" applyFont="1" applyFill="1" applyBorder="1" applyAlignment="1">
      <alignment horizontal="left" vertical="center" wrapText="1"/>
    </xf>
    <xf numFmtId="0" fontId="6" fillId="5" borderId="28" xfId="0" applyFont="1" applyFill="1" applyBorder="1" applyAlignment="1">
      <alignment vertical="center"/>
    </xf>
    <xf numFmtId="0" fontId="6" fillId="5" borderId="71" xfId="0" applyFont="1" applyFill="1" applyBorder="1" applyAlignment="1">
      <alignment vertical="center"/>
    </xf>
    <xf numFmtId="0" fontId="12" fillId="7" borderId="6" xfId="0" applyFont="1" applyFill="1" applyBorder="1" applyAlignment="1">
      <alignment vertical="center"/>
    </xf>
    <xf numFmtId="0" fontId="8" fillId="0" borderId="11" xfId="0" applyFont="1" applyBorder="1" applyAlignment="1">
      <alignment vertical="center"/>
    </xf>
    <xf numFmtId="177" fontId="8" fillId="0" borderId="11" xfId="0" applyNumberFormat="1" applyFont="1" applyBorder="1" applyAlignment="1">
      <alignment vertical="center"/>
    </xf>
    <xf numFmtId="0" fontId="8" fillId="0" borderId="72" xfId="0" applyFont="1" applyBorder="1" applyAlignment="1">
      <alignment vertical="center"/>
    </xf>
    <xf numFmtId="0" fontId="27" fillId="34" borderId="6" xfId="0" applyFont="1" applyFill="1" applyBorder="1"/>
    <xf numFmtId="0" fontId="0" fillId="34" borderId="6" xfId="0" applyFill="1" applyBorder="1"/>
    <xf numFmtId="0" fontId="6" fillId="35" borderId="6" xfId="0" applyFont="1" applyFill="1" applyBorder="1" applyAlignment="1">
      <alignment vertical="center"/>
    </xf>
    <xf numFmtId="0" fontId="0" fillId="34" borderId="0" xfId="0" applyFill="1"/>
    <xf numFmtId="0" fontId="52" fillId="33" borderId="6" xfId="0" applyFont="1" applyFill="1" applyBorder="1" applyAlignment="1">
      <alignment horizontal="center"/>
    </xf>
    <xf numFmtId="0" fontId="53" fillId="33" borderId="6" xfId="0" applyFont="1" applyFill="1" applyBorder="1" applyAlignment="1">
      <alignment horizontal="center" vertical="center"/>
    </xf>
    <xf numFmtId="0" fontId="54" fillId="33" borderId="6" xfId="0" applyFont="1" applyFill="1" applyBorder="1" applyAlignment="1">
      <alignment horizontal="center" vertical="center"/>
    </xf>
    <xf numFmtId="0" fontId="53" fillId="33" borderId="6" xfId="0" applyFont="1" applyFill="1" applyBorder="1" applyAlignment="1">
      <alignment horizontal="center"/>
    </xf>
    <xf numFmtId="38" fontId="16" fillId="0" borderId="6" xfId="628" applyFont="1" applyFill="1" applyBorder="1" applyAlignment="1">
      <alignment wrapText="1"/>
    </xf>
    <xf numFmtId="0" fontId="11" fillId="0" borderId="11" xfId="0" applyFont="1" applyBorder="1" applyAlignment="1">
      <alignment vertical="center"/>
    </xf>
    <xf numFmtId="0" fontId="31" fillId="14" borderId="6" xfId="0" applyFont="1" applyFill="1" applyBorder="1"/>
    <xf numFmtId="38" fontId="16" fillId="14" borderId="6" xfId="628" applyFont="1" applyFill="1" applyBorder="1" applyAlignment="1"/>
  </cellXfs>
  <cellStyles count="890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11210</v>
          </cell>
        </row>
        <row r="67">
          <cell r="A67">
            <v>11211</v>
          </cell>
        </row>
        <row r="68">
          <cell r="A68">
            <v>11212</v>
          </cell>
        </row>
        <row r="69">
          <cell r="A69">
            <v>11213</v>
          </cell>
        </row>
        <row r="70">
          <cell r="A70">
            <v>11214</v>
          </cell>
        </row>
        <row r="71">
          <cell r="A71">
            <v>11215</v>
          </cell>
        </row>
        <row r="72">
          <cell r="A72">
            <v>11216</v>
          </cell>
        </row>
        <row r="73">
          <cell r="A73">
            <v>11217</v>
          </cell>
        </row>
        <row r="74">
          <cell r="A74">
            <v>11218</v>
          </cell>
        </row>
        <row r="75">
          <cell r="A75">
            <v>11219</v>
          </cell>
        </row>
        <row r="76">
          <cell r="A76">
            <v>11220</v>
          </cell>
        </row>
        <row r="77">
          <cell r="A77">
            <v>11221</v>
          </cell>
        </row>
        <row r="78">
          <cell r="A78">
            <v>11224</v>
          </cell>
        </row>
        <row r="79">
          <cell r="A79">
            <v>11225</v>
          </cell>
        </row>
        <row r="80">
          <cell r="A80">
            <v>12001</v>
          </cell>
        </row>
        <row r="81">
          <cell r="A81">
            <v>12002</v>
          </cell>
        </row>
        <row r="82">
          <cell r="A82">
            <v>12003</v>
          </cell>
        </row>
        <row r="83">
          <cell r="A83">
            <v>12004</v>
          </cell>
        </row>
        <row r="84">
          <cell r="A84">
            <v>13001</v>
          </cell>
        </row>
        <row r="85">
          <cell r="A85">
            <v>14001</v>
          </cell>
        </row>
        <row r="86">
          <cell r="A86">
            <v>14002</v>
          </cell>
        </row>
        <row r="87">
          <cell r="A87">
            <v>14003</v>
          </cell>
        </row>
        <row r="88">
          <cell r="A88">
            <v>14004</v>
          </cell>
        </row>
        <row r="89">
          <cell r="A89">
            <v>14005</v>
          </cell>
        </row>
        <row r="90">
          <cell r="A90">
            <v>14006</v>
          </cell>
        </row>
        <row r="91">
          <cell r="A91">
            <v>15027</v>
          </cell>
        </row>
        <row r="92">
          <cell r="A92">
            <v>15028</v>
          </cell>
        </row>
        <row r="93">
          <cell r="A93">
            <v>15029</v>
          </cell>
        </row>
        <row r="94">
          <cell r="A94">
            <v>15030</v>
          </cell>
        </row>
        <row r="95">
          <cell r="A95">
            <v>15031</v>
          </cell>
        </row>
        <row r="96">
          <cell r="A96">
            <v>20001</v>
          </cell>
        </row>
        <row r="97">
          <cell r="A97">
            <v>20002</v>
          </cell>
        </row>
        <row r="98">
          <cell r="A98">
            <v>20003</v>
          </cell>
        </row>
        <row r="99">
          <cell r="A99">
            <v>20004</v>
          </cell>
        </row>
        <row r="100">
          <cell r="A100">
            <v>20005</v>
          </cell>
        </row>
        <row r="101">
          <cell r="A101">
            <v>20006</v>
          </cell>
        </row>
        <row r="102">
          <cell r="A102">
            <v>20007</v>
          </cell>
        </row>
        <row r="103">
          <cell r="A103">
            <v>20008</v>
          </cell>
        </row>
        <row r="104">
          <cell r="A104">
            <v>20009</v>
          </cell>
        </row>
        <row r="105">
          <cell r="A105">
            <v>20010</v>
          </cell>
        </row>
        <row r="106">
          <cell r="A106">
            <v>20011</v>
          </cell>
        </row>
        <row r="107">
          <cell r="A107">
            <v>20012</v>
          </cell>
        </row>
        <row r="108">
          <cell r="A108">
            <v>20013</v>
          </cell>
        </row>
        <row r="109">
          <cell r="A109">
            <v>20014</v>
          </cell>
        </row>
        <row r="110">
          <cell r="A110">
            <v>20015</v>
          </cell>
        </row>
        <row r="111">
          <cell r="A111">
            <v>20016</v>
          </cell>
        </row>
        <row r="112">
          <cell r="A112">
            <v>20017</v>
          </cell>
        </row>
        <row r="113">
          <cell r="A113">
            <v>30001</v>
          </cell>
        </row>
        <row r="114">
          <cell r="A114">
            <v>30002</v>
          </cell>
        </row>
        <row r="115">
          <cell r="A115">
            <v>30003</v>
          </cell>
        </row>
        <row r="116">
          <cell r="A116">
            <v>30004</v>
          </cell>
        </row>
        <row r="117">
          <cell r="A117">
            <v>30005</v>
          </cell>
        </row>
        <row r="118">
          <cell r="A118">
            <v>30006</v>
          </cell>
        </row>
        <row r="119">
          <cell r="A119">
            <v>30007</v>
          </cell>
        </row>
        <row r="120">
          <cell r="A120">
            <v>30008</v>
          </cell>
        </row>
        <row r="121">
          <cell r="A121">
            <v>30009</v>
          </cell>
        </row>
        <row r="122">
          <cell r="A122">
            <v>30010</v>
          </cell>
        </row>
        <row r="123">
          <cell r="A123">
            <v>30011</v>
          </cell>
        </row>
        <row r="124">
          <cell r="A124">
            <v>30012</v>
          </cell>
        </row>
        <row r="125">
          <cell r="A125">
            <v>30013</v>
          </cell>
        </row>
        <row r="126">
          <cell r="A126">
            <v>30014</v>
          </cell>
        </row>
        <row r="127">
          <cell r="A127">
            <v>30015</v>
          </cell>
        </row>
        <row r="128">
          <cell r="A128">
            <v>30016</v>
          </cell>
        </row>
        <row r="129">
          <cell r="A129">
            <v>30017</v>
          </cell>
        </row>
        <row r="130">
          <cell r="A130">
            <v>30018</v>
          </cell>
        </row>
        <row r="131">
          <cell r="A131">
            <v>30019</v>
          </cell>
        </row>
        <row r="132">
          <cell r="A132">
            <v>30020</v>
          </cell>
        </row>
        <row r="133">
          <cell r="A133">
            <v>30021</v>
          </cell>
        </row>
        <row r="134">
          <cell r="A134">
            <v>30022</v>
          </cell>
        </row>
        <row r="135">
          <cell r="A135">
            <v>30023</v>
          </cell>
        </row>
        <row r="136">
          <cell r="A136">
            <v>30024</v>
          </cell>
        </row>
        <row r="137">
          <cell r="A137">
            <v>30025</v>
          </cell>
        </row>
        <row r="138">
          <cell r="A138">
            <v>30026</v>
          </cell>
        </row>
        <row r="139">
          <cell r="A139">
            <v>30027</v>
          </cell>
        </row>
        <row r="140">
          <cell r="A140">
            <v>30028</v>
          </cell>
        </row>
        <row r="141">
          <cell r="A141">
            <v>30029</v>
          </cell>
        </row>
        <row r="142">
          <cell r="A142">
            <v>30030</v>
          </cell>
        </row>
        <row r="143">
          <cell r="A143">
            <v>30031</v>
          </cell>
        </row>
        <row r="144">
          <cell r="A144">
            <v>30032</v>
          </cell>
        </row>
        <row r="145">
          <cell r="A145">
            <v>30033</v>
          </cell>
        </row>
        <row r="146">
          <cell r="A146">
            <v>30034</v>
          </cell>
        </row>
        <row r="147">
          <cell r="A147">
            <v>30035</v>
          </cell>
        </row>
        <row r="148">
          <cell r="A148">
            <v>30036</v>
          </cell>
        </row>
        <row r="149">
          <cell r="A149">
            <v>30037</v>
          </cell>
        </row>
        <row r="150">
          <cell r="A150">
            <v>39001</v>
          </cell>
        </row>
        <row r="151">
          <cell r="A151">
            <v>39002</v>
          </cell>
        </row>
        <row r="152">
          <cell r="A152">
            <v>39003</v>
          </cell>
        </row>
        <row r="153">
          <cell r="A153">
            <v>39004</v>
          </cell>
        </row>
        <row r="154">
          <cell r="A154">
            <v>39005</v>
          </cell>
        </row>
        <row r="155">
          <cell r="A155">
            <v>39006</v>
          </cell>
        </row>
        <row r="156">
          <cell r="A156">
            <v>40001</v>
          </cell>
        </row>
        <row r="157">
          <cell r="A157">
            <v>40002</v>
          </cell>
        </row>
        <row r="158">
          <cell r="A158">
            <v>40003</v>
          </cell>
        </row>
        <row r="159">
          <cell r="A159">
            <v>40004</v>
          </cell>
        </row>
        <row r="160">
          <cell r="A160">
            <v>40005</v>
          </cell>
        </row>
        <row r="161">
          <cell r="A161">
            <v>40006</v>
          </cell>
        </row>
        <row r="162">
          <cell r="A162">
            <v>40007</v>
          </cell>
        </row>
        <row r="163">
          <cell r="A163">
            <v>40008</v>
          </cell>
        </row>
        <row r="164">
          <cell r="A164">
            <v>40009</v>
          </cell>
        </row>
        <row r="165">
          <cell r="A165">
            <v>40010</v>
          </cell>
        </row>
        <row r="166">
          <cell r="A166">
            <v>40011</v>
          </cell>
        </row>
        <row r="167">
          <cell r="A167">
            <v>40012</v>
          </cell>
        </row>
        <row r="168">
          <cell r="A168">
            <v>40013</v>
          </cell>
        </row>
        <row r="169">
          <cell r="A169">
            <v>40014</v>
          </cell>
        </row>
        <row r="170">
          <cell r="A170">
            <v>40015</v>
          </cell>
        </row>
        <row r="171">
          <cell r="A171">
            <v>40016</v>
          </cell>
        </row>
        <row r="172">
          <cell r="A172">
            <v>40017</v>
          </cell>
        </row>
        <row r="173">
          <cell r="A173">
            <v>40018</v>
          </cell>
        </row>
        <row r="174">
          <cell r="A174">
            <v>40019</v>
          </cell>
        </row>
        <row r="175">
          <cell r="A175">
            <v>40020</v>
          </cell>
        </row>
        <row r="176">
          <cell r="A176">
            <v>40021</v>
          </cell>
        </row>
        <row r="177">
          <cell r="A177">
            <v>48001</v>
          </cell>
        </row>
        <row r="178">
          <cell r="A178">
            <v>48002</v>
          </cell>
        </row>
        <row r="179">
          <cell r="A179">
            <v>41001</v>
          </cell>
        </row>
        <row r="180">
          <cell r="A180">
            <v>41002</v>
          </cell>
        </row>
        <row r="181">
          <cell r="A181">
            <v>41003</v>
          </cell>
        </row>
        <row r="182">
          <cell r="A182">
            <v>41004</v>
          </cell>
        </row>
        <row r="183">
          <cell r="A183">
            <v>41005</v>
          </cell>
        </row>
        <row r="184">
          <cell r="A184">
            <v>41006</v>
          </cell>
        </row>
        <row r="185">
          <cell r="A185">
            <v>41007</v>
          </cell>
        </row>
        <row r="186">
          <cell r="A186">
            <v>41008</v>
          </cell>
        </row>
        <row r="187">
          <cell r="A187">
            <v>41009</v>
          </cell>
        </row>
        <row r="188">
          <cell r="A188">
            <v>41010</v>
          </cell>
        </row>
        <row r="189">
          <cell r="A189">
            <v>49001</v>
          </cell>
        </row>
        <row r="190">
          <cell r="A190">
            <v>49002</v>
          </cell>
        </row>
        <row r="191">
          <cell r="A191">
            <v>49003</v>
          </cell>
        </row>
        <row r="192">
          <cell r="A192">
            <v>49004</v>
          </cell>
        </row>
        <row r="193">
          <cell r="A193">
            <v>49005</v>
          </cell>
        </row>
        <row r="194">
          <cell r="A194">
            <v>49006</v>
          </cell>
        </row>
        <row r="195">
          <cell r="A195">
            <v>50001</v>
          </cell>
        </row>
        <row r="196">
          <cell r="A196">
            <v>50002</v>
          </cell>
        </row>
        <row r="197">
          <cell r="A197">
            <v>50003</v>
          </cell>
        </row>
        <row r="198">
          <cell r="A198">
            <v>50004</v>
          </cell>
        </row>
        <row r="199">
          <cell r="A199">
            <v>50005</v>
          </cell>
        </row>
        <row r="200">
          <cell r="A200">
            <v>51001</v>
          </cell>
        </row>
        <row r="201">
          <cell r="A201">
            <v>51002</v>
          </cell>
        </row>
        <row r="202">
          <cell r="A202">
            <v>60001</v>
          </cell>
        </row>
        <row r="203">
          <cell r="A203">
            <v>60002</v>
          </cell>
        </row>
        <row r="204">
          <cell r="A204">
            <v>60003</v>
          </cell>
        </row>
        <row r="205">
          <cell r="A205">
            <v>60004</v>
          </cell>
        </row>
        <row r="206">
          <cell r="A206">
            <v>60005</v>
          </cell>
        </row>
        <row r="207">
          <cell r="A207">
            <v>60006</v>
          </cell>
        </row>
        <row r="208">
          <cell r="A208">
            <v>60007</v>
          </cell>
        </row>
        <row r="209">
          <cell r="A209">
            <v>60010</v>
          </cell>
        </row>
        <row r="210">
          <cell r="A210">
            <v>60011</v>
          </cell>
        </row>
        <row r="211">
          <cell r="A211">
            <v>65535</v>
          </cell>
        </row>
        <row r="212">
          <cell r="A212">
            <v>60021</v>
          </cell>
        </row>
        <row r="213">
          <cell r="A213">
            <v>60022</v>
          </cell>
        </row>
        <row r="214">
          <cell r="A214">
            <v>60023</v>
          </cell>
        </row>
        <row r="215">
          <cell r="A215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11101_1</v>
          </cell>
        </row>
        <row r="224">
          <cell r="A224" t="str">
            <v>11101_2</v>
          </cell>
        </row>
        <row r="225">
          <cell r="A225" t="str">
            <v>11101_3</v>
          </cell>
        </row>
        <row r="226">
          <cell r="A226" t="str">
            <v>11101_4</v>
          </cell>
        </row>
        <row r="227">
          <cell r="A227" t="str">
            <v>11101_10</v>
          </cell>
        </row>
        <row r="228">
          <cell r="A228" t="str">
            <v>11102_1</v>
          </cell>
        </row>
        <row r="229">
          <cell r="A229" t="str">
            <v>11102_2</v>
          </cell>
        </row>
        <row r="230">
          <cell r="A230" t="str">
            <v>11102_3</v>
          </cell>
        </row>
        <row r="231">
          <cell r="A231" t="str">
            <v>11102_4</v>
          </cell>
        </row>
        <row r="232">
          <cell r="A232" t="str">
            <v>11102_10</v>
          </cell>
        </row>
        <row r="233">
          <cell r="A233" t="str">
            <v>11103_1</v>
          </cell>
        </row>
        <row r="234">
          <cell r="A234" t="str">
            <v>11103_2</v>
          </cell>
        </row>
        <row r="235">
          <cell r="A235" t="str">
            <v>11103_3</v>
          </cell>
        </row>
        <row r="236">
          <cell r="A236" t="str">
            <v>11103_4</v>
          </cell>
        </row>
        <row r="237">
          <cell r="A237" t="str">
            <v>11103_10</v>
          </cell>
        </row>
        <row r="238">
          <cell r="A238" t="str">
            <v>11104_1</v>
          </cell>
        </row>
        <row r="239">
          <cell r="A239" t="str">
            <v>11104_2</v>
          </cell>
        </row>
        <row r="240">
          <cell r="A240" t="str">
            <v>11104_3</v>
          </cell>
        </row>
        <row r="241">
          <cell r="A241" t="str">
            <v>11104_4</v>
          </cell>
        </row>
        <row r="242">
          <cell r="A242" t="str">
            <v>11104_10</v>
          </cell>
        </row>
        <row r="243">
          <cell r="A243" t="str">
            <v>11105_1</v>
          </cell>
        </row>
        <row r="244">
          <cell r="A244" t="str">
            <v>11105_2</v>
          </cell>
        </row>
        <row r="245">
          <cell r="A245" t="str">
            <v>11105_3</v>
          </cell>
        </row>
        <row r="246">
          <cell r="A246" t="str">
            <v>11105_4</v>
          </cell>
        </row>
        <row r="247">
          <cell r="A247" t="str">
            <v>11106_1</v>
          </cell>
        </row>
        <row r="248">
          <cell r="A248" t="str">
            <v>11106_2</v>
          </cell>
        </row>
        <row r="249">
          <cell r="A249" t="str">
            <v>11106_3</v>
          </cell>
        </row>
        <row r="250">
          <cell r="A250" t="str">
            <v>11206_1</v>
          </cell>
        </row>
        <row r="251">
          <cell r="A251" t="str">
            <v>11206_2</v>
          </cell>
        </row>
        <row r="252">
          <cell r="A252" t="str">
            <v>11206_3</v>
          </cell>
        </row>
        <row r="253">
          <cell r="A253" t="str">
            <v>11016_1</v>
          </cell>
        </row>
        <row r="254">
          <cell r="A254" t="str">
            <v>11207_1</v>
          </cell>
        </row>
        <row r="255">
          <cell r="A255" t="str">
            <v>11207_2</v>
          </cell>
        </row>
        <row r="256">
          <cell r="A256" t="str">
            <v>11208_1</v>
          </cell>
        </row>
        <row r="257">
          <cell r="A257" t="str">
            <v>11208_2</v>
          </cell>
        </row>
        <row r="258">
          <cell r="A258" t="str">
            <v>11209_1</v>
          </cell>
        </row>
        <row r="259">
          <cell r="A259" t="str">
            <v>11209_2</v>
          </cell>
        </row>
        <row r="260">
          <cell r="A260" t="str">
            <v>11212_1</v>
          </cell>
        </row>
        <row r="261">
          <cell r="A261" t="str">
            <v>11213_1</v>
          </cell>
        </row>
        <row r="262">
          <cell r="A262" t="str">
            <v>11214_1</v>
          </cell>
        </row>
        <row r="263">
          <cell r="A263" t="str">
            <v>11214_2</v>
          </cell>
        </row>
        <row r="264">
          <cell r="A264" t="str">
            <v>11214_3</v>
          </cell>
        </row>
        <row r="265">
          <cell r="A265" t="str">
            <v>11215_1</v>
          </cell>
        </row>
        <row r="266">
          <cell r="A266" t="str">
            <v>11216_1</v>
          </cell>
        </row>
        <row r="267">
          <cell r="A267" t="str">
            <v>11217_1</v>
          </cell>
        </row>
        <row r="268">
          <cell r="A268" t="str">
            <v>11218_1</v>
          </cell>
        </row>
        <row r="269">
          <cell r="A269" t="str">
            <v>11219_1</v>
          </cell>
        </row>
        <row r="270">
          <cell r="A270" t="str">
            <v>11220_1</v>
          </cell>
        </row>
        <row r="271">
          <cell r="A271" t="str">
            <v>11221_1</v>
          </cell>
        </row>
        <row r="272">
          <cell r="A272" t="str">
            <v>11224_1</v>
          </cell>
        </row>
        <row r="273">
          <cell r="A273" t="str">
            <v>11225_1</v>
          </cell>
        </row>
        <row r="274">
          <cell r="A274" t="str">
            <v>12001_1</v>
          </cell>
        </row>
        <row r="275">
          <cell r="A275" t="str">
            <v>12001_2</v>
          </cell>
        </row>
        <row r="276">
          <cell r="A276" t="str">
            <v>12001_3</v>
          </cell>
        </row>
        <row r="277">
          <cell r="A277" t="str">
            <v>12002_1</v>
          </cell>
        </row>
        <row r="278">
          <cell r="A278" t="str">
            <v>12002_2</v>
          </cell>
        </row>
        <row r="279">
          <cell r="A279" t="str">
            <v>12003_1</v>
          </cell>
        </row>
        <row r="280">
          <cell r="A280" t="str">
            <v>12003_2</v>
          </cell>
        </row>
        <row r="281">
          <cell r="A281" t="str">
            <v>12003_3</v>
          </cell>
        </row>
        <row r="282">
          <cell r="A282" t="str">
            <v>12003_4</v>
          </cell>
        </row>
        <row r="283">
          <cell r="A283" t="str">
            <v>12004_1</v>
          </cell>
        </row>
        <row r="284">
          <cell r="A284" t="str">
            <v>13001_1</v>
          </cell>
        </row>
        <row r="285">
          <cell r="A285" t="str">
            <v>13001_2</v>
          </cell>
        </row>
        <row r="286">
          <cell r="A286" t="str">
            <v>13001_3</v>
          </cell>
        </row>
        <row r="287">
          <cell r="A287" t="str">
            <v>13001_4</v>
          </cell>
        </row>
        <row r="288">
          <cell r="A288" t="str">
            <v>13001_5</v>
          </cell>
        </row>
        <row r="289">
          <cell r="A289" t="str">
            <v>13001_6</v>
          </cell>
        </row>
        <row r="290">
          <cell r="A290" t="str">
            <v>13001_7</v>
          </cell>
        </row>
        <row r="291">
          <cell r="A291" t="str">
            <v>13001_8</v>
          </cell>
        </row>
        <row r="292">
          <cell r="A292" t="str">
            <v>13001_9</v>
          </cell>
        </row>
        <row r="293">
          <cell r="A293" t="str">
            <v>13001_10</v>
          </cell>
        </row>
        <row r="294">
          <cell r="A294" t="str">
            <v>13001_11</v>
          </cell>
        </row>
        <row r="295">
          <cell r="A295" t="str">
            <v>13001_12</v>
          </cell>
        </row>
        <row r="296">
          <cell r="A296" t="str">
            <v>13001_13</v>
          </cell>
        </row>
        <row r="297">
          <cell r="A297" t="str">
            <v>13001_14</v>
          </cell>
        </row>
        <row r="298">
          <cell r="A298" t="str">
            <v>13001_15</v>
          </cell>
        </row>
        <row r="299">
          <cell r="A299" t="str">
            <v>13001_16</v>
          </cell>
        </row>
        <row r="300">
          <cell r="A300" t="str">
            <v>13001_17</v>
          </cell>
        </row>
        <row r="301">
          <cell r="A301" t="str">
            <v>13001_18</v>
          </cell>
        </row>
        <row r="302">
          <cell r="A302" t="str">
            <v>13001_19</v>
          </cell>
        </row>
        <row r="303">
          <cell r="A303" t="str">
            <v>13001_20</v>
          </cell>
        </row>
        <row r="304">
          <cell r="A304" t="str">
            <v>13001_21</v>
          </cell>
        </row>
        <row r="305">
          <cell r="A305" t="str">
            <v>13001_22</v>
          </cell>
        </row>
        <row r="306">
          <cell r="A306" t="str">
            <v>13001_23</v>
          </cell>
        </row>
        <row r="307">
          <cell r="A307" t="str">
            <v>13001_24</v>
          </cell>
        </row>
        <row r="308">
          <cell r="A308" t="str">
            <v>13001_25</v>
          </cell>
        </row>
        <row r="309">
          <cell r="A309" t="str">
            <v>14001_1</v>
          </cell>
        </row>
        <row r="310">
          <cell r="A310" t="str">
            <v>14001_2</v>
          </cell>
        </row>
        <row r="311">
          <cell r="A311" t="str">
            <v>14001_3</v>
          </cell>
        </row>
        <row r="312">
          <cell r="A312" t="str">
            <v>14001_4</v>
          </cell>
        </row>
        <row r="313">
          <cell r="A313" t="str">
            <v>14001_5</v>
          </cell>
        </row>
        <row r="314">
          <cell r="A314" t="str">
            <v>14001_6</v>
          </cell>
        </row>
        <row r="315">
          <cell r="A315" t="str">
            <v>14001_7</v>
          </cell>
        </row>
        <row r="316">
          <cell r="A316" t="str">
            <v>14001_8</v>
          </cell>
        </row>
        <row r="317">
          <cell r="A317" t="str">
            <v>14002_1</v>
          </cell>
        </row>
        <row r="318">
          <cell r="A318" t="str">
            <v>14002_2</v>
          </cell>
        </row>
        <row r="319">
          <cell r="A319" t="str">
            <v>14003_1</v>
          </cell>
        </row>
        <row r="320">
          <cell r="A320" t="str">
            <v>14003_2</v>
          </cell>
        </row>
        <row r="321">
          <cell r="A321" t="str">
            <v>14003_3</v>
          </cell>
        </row>
        <row r="322">
          <cell r="A322" t="str">
            <v>14003_4</v>
          </cell>
        </row>
        <row r="323">
          <cell r="A323" t="str">
            <v>14004_1</v>
          </cell>
        </row>
        <row r="324">
          <cell r="A324" t="str">
            <v>14004_2</v>
          </cell>
        </row>
        <row r="325">
          <cell r="A325" t="str">
            <v>14004_3</v>
          </cell>
        </row>
        <row r="326">
          <cell r="A326" t="str">
            <v>14004_4</v>
          </cell>
        </row>
        <row r="327">
          <cell r="A327" t="str">
            <v>14005_1</v>
          </cell>
        </row>
        <row r="328">
          <cell r="A328" t="str">
            <v>14006_1</v>
          </cell>
        </row>
        <row r="329">
          <cell r="A329" t="str">
            <v>15027_1</v>
          </cell>
        </row>
        <row r="330">
          <cell r="A330" t="str">
            <v>15027_2</v>
          </cell>
        </row>
        <row r="331">
          <cell r="A331" t="str">
            <v>15027_3</v>
          </cell>
        </row>
        <row r="332">
          <cell r="A332" t="str">
            <v>15027_4</v>
          </cell>
        </row>
        <row r="333">
          <cell r="A333" t="str">
            <v>15028_1</v>
          </cell>
        </row>
        <row r="334">
          <cell r="A334" t="str">
            <v>15028_2</v>
          </cell>
        </row>
        <row r="335">
          <cell r="A335" t="str">
            <v>15028_3</v>
          </cell>
        </row>
        <row r="336">
          <cell r="A336" t="str">
            <v>15028_4</v>
          </cell>
        </row>
        <row r="337">
          <cell r="A337" t="str">
            <v>15029_1</v>
          </cell>
        </row>
        <row r="338">
          <cell r="A338" t="str">
            <v>15029_2</v>
          </cell>
        </row>
        <row r="339">
          <cell r="A339" t="str">
            <v>15029_3</v>
          </cell>
        </row>
        <row r="340">
          <cell r="A340" t="str">
            <v>15029_4</v>
          </cell>
        </row>
        <row r="341">
          <cell r="A341" t="str">
            <v>15030_1</v>
          </cell>
        </row>
        <row r="342">
          <cell r="A342" t="str">
            <v>15030_2</v>
          </cell>
        </row>
        <row r="343">
          <cell r="A343" t="str">
            <v>15030_3</v>
          </cell>
        </row>
        <row r="344">
          <cell r="A344" t="str">
            <v>15030_4</v>
          </cell>
        </row>
        <row r="345">
          <cell r="A345" t="str">
            <v>15031_1</v>
          </cell>
        </row>
        <row r="346">
          <cell r="A346" t="str">
            <v>15031_2</v>
          </cell>
        </row>
        <row r="347">
          <cell r="A347" t="str">
            <v>15031_3</v>
          </cell>
        </row>
        <row r="348">
          <cell r="A348" t="str">
            <v>15031_4</v>
          </cell>
        </row>
        <row r="349">
          <cell r="A349" t="str">
            <v>20001_1</v>
          </cell>
        </row>
        <row r="350">
          <cell r="A350" t="str">
            <v>20001_2</v>
          </cell>
        </row>
        <row r="351">
          <cell r="A351" t="str">
            <v>20001_3</v>
          </cell>
        </row>
        <row r="352">
          <cell r="A352" t="str">
            <v>20002_1</v>
          </cell>
        </row>
        <row r="353">
          <cell r="A353" t="str">
            <v>20002_2</v>
          </cell>
        </row>
        <row r="354">
          <cell r="A354" t="str">
            <v>20002_3</v>
          </cell>
        </row>
        <row r="355">
          <cell r="A355" t="str">
            <v>20003_1</v>
          </cell>
        </row>
        <row r="356">
          <cell r="A356" t="str">
            <v>20003_2</v>
          </cell>
        </row>
        <row r="357">
          <cell r="A357" t="str">
            <v>20003_3</v>
          </cell>
        </row>
        <row r="358">
          <cell r="A358" t="str">
            <v>20004_1</v>
          </cell>
        </row>
        <row r="359">
          <cell r="A359" t="str">
            <v>20004_2</v>
          </cell>
        </row>
        <row r="360">
          <cell r="A360" t="str">
            <v>20004_3</v>
          </cell>
        </row>
        <row r="361">
          <cell r="A361" t="str">
            <v>20005_1</v>
          </cell>
        </row>
        <row r="362">
          <cell r="A362" t="str">
            <v>20005_2</v>
          </cell>
        </row>
        <row r="363">
          <cell r="A363" t="str">
            <v>20005_3</v>
          </cell>
        </row>
        <row r="364">
          <cell r="A364" t="str">
            <v>20006_1</v>
          </cell>
        </row>
        <row r="365">
          <cell r="A365" t="str">
            <v>20006_2</v>
          </cell>
        </row>
        <row r="366">
          <cell r="A366" t="str">
            <v>20006_3</v>
          </cell>
        </row>
        <row r="367">
          <cell r="A367" t="str">
            <v>20007_1</v>
          </cell>
        </row>
        <row r="368">
          <cell r="A368" t="str">
            <v>20007_2</v>
          </cell>
        </row>
        <row r="369">
          <cell r="A369" t="str">
            <v>20007_3</v>
          </cell>
        </row>
        <row r="370">
          <cell r="A370" t="str">
            <v>20008_1</v>
          </cell>
        </row>
        <row r="371">
          <cell r="A371" t="str">
            <v>20008_2</v>
          </cell>
        </row>
        <row r="372">
          <cell r="A372" t="str">
            <v>20008_3</v>
          </cell>
        </row>
        <row r="373">
          <cell r="A373" t="str">
            <v>20009_1</v>
          </cell>
        </row>
        <row r="374">
          <cell r="A374" t="str">
            <v>20009_2</v>
          </cell>
        </row>
        <row r="375">
          <cell r="A375" t="str">
            <v>20009_3</v>
          </cell>
        </row>
        <row r="376">
          <cell r="A376" t="str">
            <v>20010_1</v>
          </cell>
        </row>
        <row r="377">
          <cell r="A377" t="str">
            <v>20010_2</v>
          </cell>
        </row>
        <row r="378">
          <cell r="A378" t="str">
            <v>20010_3</v>
          </cell>
        </row>
        <row r="379">
          <cell r="A379" t="str">
            <v>20011_1</v>
          </cell>
        </row>
        <row r="380">
          <cell r="A380" t="str">
            <v>20011_2</v>
          </cell>
        </row>
        <row r="381">
          <cell r="A381" t="str">
            <v>20011_3</v>
          </cell>
        </row>
        <row r="382">
          <cell r="A382" t="str">
            <v>20012_1</v>
          </cell>
        </row>
        <row r="383">
          <cell r="A383" t="str">
            <v>20012_2</v>
          </cell>
        </row>
        <row r="384">
          <cell r="A384" t="str">
            <v>20012_3</v>
          </cell>
        </row>
        <row r="385">
          <cell r="A385" t="str">
            <v>20013_1</v>
          </cell>
        </row>
        <row r="386">
          <cell r="A386" t="str">
            <v>20013_2</v>
          </cell>
        </row>
        <row r="387">
          <cell r="A387" t="str">
            <v>20013_3</v>
          </cell>
        </row>
        <row r="388">
          <cell r="A388" t="str">
            <v>20014_1</v>
          </cell>
        </row>
        <row r="389">
          <cell r="A389" t="str">
            <v>20014_2</v>
          </cell>
        </row>
        <row r="390">
          <cell r="A390" t="str">
            <v>20014_3</v>
          </cell>
        </row>
        <row r="391">
          <cell r="A391" t="str">
            <v>20015_1</v>
          </cell>
        </row>
        <row r="392">
          <cell r="A392" t="str">
            <v>20015_2</v>
          </cell>
        </row>
        <row r="393">
          <cell r="A393" t="str">
            <v>20015_3</v>
          </cell>
        </row>
        <row r="394">
          <cell r="A394" t="str">
            <v>20016_1</v>
          </cell>
        </row>
        <row r="395">
          <cell r="A395" t="str">
            <v>20016_2</v>
          </cell>
        </row>
        <row r="396">
          <cell r="A396" t="str">
            <v>20016_3</v>
          </cell>
        </row>
        <row r="397">
          <cell r="A397" t="str">
            <v>20017_1</v>
          </cell>
        </row>
        <row r="398">
          <cell r="A398" t="str">
            <v>20017_2</v>
          </cell>
        </row>
        <row r="399">
          <cell r="A399" t="str">
            <v>20017_3</v>
          </cell>
        </row>
        <row r="400">
          <cell r="A400" t="str">
            <v>30001_1</v>
          </cell>
        </row>
        <row r="401">
          <cell r="A401" t="str">
            <v>30001_2</v>
          </cell>
        </row>
        <row r="402">
          <cell r="A402" t="str">
            <v>30001_3</v>
          </cell>
        </row>
        <row r="403">
          <cell r="A403" t="str">
            <v>30002_1</v>
          </cell>
        </row>
        <row r="404">
          <cell r="A404" t="str">
            <v>30002_2</v>
          </cell>
        </row>
        <row r="405">
          <cell r="A405" t="str">
            <v>30002_3</v>
          </cell>
        </row>
        <row r="406">
          <cell r="A406" t="str">
            <v>30003_1</v>
          </cell>
        </row>
        <row r="407">
          <cell r="A407" t="str">
            <v>30003_2</v>
          </cell>
        </row>
        <row r="408">
          <cell r="A408" t="str">
            <v>30003_3</v>
          </cell>
        </row>
        <row r="409">
          <cell r="A409" t="str">
            <v>30004_1</v>
          </cell>
        </row>
        <row r="410">
          <cell r="A410" t="str">
            <v>30004_2</v>
          </cell>
        </row>
        <row r="411">
          <cell r="A411" t="str">
            <v>30004_3</v>
          </cell>
        </row>
        <row r="412">
          <cell r="A412" t="str">
            <v>30005_1</v>
          </cell>
        </row>
        <row r="413">
          <cell r="A413" t="str">
            <v>30005_2</v>
          </cell>
        </row>
        <row r="414">
          <cell r="A414" t="str">
            <v>30005_3</v>
          </cell>
        </row>
        <row r="415">
          <cell r="A415" t="str">
            <v>30006_1</v>
          </cell>
        </row>
        <row r="416">
          <cell r="A416" t="str">
            <v>30006_2</v>
          </cell>
        </row>
        <row r="417">
          <cell r="A417" t="str">
            <v>30006_3</v>
          </cell>
        </row>
        <row r="418">
          <cell r="A418" t="str">
            <v>30007_1</v>
          </cell>
        </row>
        <row r="419">
          <cell r="A419" t="str">
            <v>30007_2</v>
          </cell>
        </row>
        <row r="420">
          <cell r="A420" t="str">
            <v>30007_3</v>
          </cell>
        </row>
        <row r="421">
          <cell r="A421" t="str">
            <v>30008_1</v>
          </cell>
        </row>
        <row r="422">
          <cell r="A422" t="str">
            <v>30008_2</v>
          </cell>
        </row>
        <row r="423">
          <cell r="A423" t="str">
            <v>30008_3</v>
          </cell>
        </row>
        <row r="424">
          <cell r="A424" t="str">
            <v>30009_3</v>
          </cell>
        </row>
        <row r="425">
          <cell r="A425" t="str">
            <v>30009_1</v>
          </cell>
        </row>
        <row r="426">
          <cell r="A426" t="str">
            <v>30009_2</v>
          </cell>
        </row>
        <row r="427">
          <cell r="A427" t="str">
            <v>30010_1</v>
          </cell>
        </row>
        <row r="428">
          <cell r="A428" t="str">
            <v>30010_2</v>
          </cell>
        </row>
        <row r="429">
          <cell r="A429" t="str">
            <v>30010_3</v>
          </cell>
        </row>
        <row r="430">
          <cell r="A430" t="str">
            <v>30011_1</v>
          </cell>
        </row>
        <row r="431">
          <cell r="A431" t="str">
            <v>30011_2</v>
          </cell>
        </row>
        <row r="432">
          <cell r="A432" t="str">
            <v>30011_3</v>
          </cell>
        </row>
        <row r="433">
          <cell r="A433" t="str">
            <v>30012_1</v>
          </cell>
        </row>
        <row r="434">
          <cell r="A434" t="str">
            <v>30012_2</v>
          </cell>
        </row>
        <row r="435">
          <cell r="A435" t="str">
            <v>30012_3</v>
          </cell>
        </row>
        <row r="436">
          <cell r="A436" t="str">
            <v>30013_1</v>
          </cell>
        </row>
        <row r="437">
          <cell r="A437" t="str">
            <v>30013_2</v>
          </cell>
        </row>
        <row r="438">
          <cell r="A438" t="str">
            <v>30014_1</v>
          </cell>
        </row>
        <row r="439">
          <cell r="A439" t="str">
            <v>30014_2</v>
          </cell>
        </row>
        <row r="440">
          <cell r="A440" t="str">
            <v>30015_1</v>
          </cell>
        </row>
        <row r="441">
          <cell r="A441" t="str">
            <v>30015_2</v>
          </cell>
        </row>
        <row r="442">
          <cell r="A442" t="str">
            <v>30016_1</v>
          </cell>
        </row>
        <row r="443">
          <cell r="A443" t="str">
            <v>30016_2</v>
          </cell>
        </row>
        <row r="444">
          <cell r="A444" t="str">
            <v>30017_1</v>
          </cell>
        </row>
        <row r="445">
          <cell r="A445" t="str">
            <v>30017_2</v>
          </cell>
        </row>
        <row r="446">
          <cell r="A446" t="str">
            <v>30018_1</v>
          </cell>
        </row>
        <row r="447">
          <cell r="A447" t="str">
            <v>30018_2</v>
          </cell>
        </row>
        <row r="448">
          <cell r="A448" t="str">
            <v>30019_1</v>
          </cell>
        </row>
        <row r="449">
          <cell r="A449" t="str">
            <v>30019_2</v>
          </cell>
        </row>
        <row r="450">
          <cell r="A450" t="str">
            <v>30020_1</v>
          </cell>
        </row>
        <row r="451">
          <cell r="A451" t="str">
            <v>30020_2</v>
          </cell>
        </row>
        <row r="452">
          <cell r="A452" t="str">
            <v>30021_1</v>
          </cell>
        </row>
        <row r="453">
          <cell r="A453" t="str">
            <v>30021_2</v>
          </cell>
        </row>
        <row r="454">
          <cell r="A454" t="str">
            <v>30021_3</v>
          </cell>
        </row>
        <row r="455">
          <cell r="A455" t="str">
            <v>30022_1</v>
          </cell>
        </row>
        <row r="456">
          <cell r="A456" t="str">
            <v>30022_2</v>
          </cell>
        </row>
        <row r="457">
          <cell r="A457" t="str">
            <v>30023_1</v>
          </cell>
        </row>
        <row r="458">
          <cell r="A458" t="str">
            <v>30023_2</v>
          </cell>
        </row>
        <row r="459">
          <cell r="A459" t="str">
            <v>30023_3</v>
          </cell>
        </row>
        <row r="460">
          <cell r="A460" t="str">
            <v>30024_1</v>
          </cell>
        </row>
        <row r="461">
          <cell r="A461" t="str">
            <v>30024_2</v>
          </cell>
        </row>
        <row r="462">
          <cell r="A462" t="str">
            <v>30024_3</v>
          </cell>
        </row>
        <row r="463">
          <cell r="A463" t="str">
            <v>30025_1</v>
          </cell>
        </row>
        <row r="464">
          <cell r="A464" t="str">
            <v>30025_2</v>
          </cell>
        </row>
        <row r="465">
          <cell r="A465" t="str">
            <v>30025_3</v>
          </cell>
        </row>
        <row r="466">
          <cell r="A466" t="str">
            <v>30026_1</v>
          </cell>
        </row>
        <row r="467">
          <cell r="A467" t="str">
            <v>30026_2</v>
          </cell>
        </row>
        <row r="468">
          <cell r="A468" t="str">
            <v>30026_3</v>
          </cell>
        </row>
        <row r="469">
          <cell r="A469" t="str">
            <v>30027_1</v>
          </cell>
        </row>
        <row r="470">
          <cell r="A470" t="str">
            <v>30027_2</v>
          </cell>
        </row>
        <row r="471">
          <cell r="A471" t="str">
            <v>30027_3</v>
          </cell>
        </row>
        <row r="472">
          <cell r="A472" t="str">
            <v>30028_1</v>
          </cell>
        </row>
        <row r="473">
          <cell r="A473" t="str">
            <v>30028_2</v>
          </cell>
        </row>
        <row r="474">
          <cell r="A474" t="str">
            <v>30028_3</v>
          </cell>
        </row>
        <row r="475">
          <cell r="A475" t="str">
            <v>30029_1</v>
          </cell>
        </row>
        <row r="476">
          <cell r="A476" t="str">
            <v>30029_2</v>
          </cell>
        </row>
        <row r="477">
          <cell r="A477" t="str">
            <v>30029_3</v>
          </cell>
        </row>
        <row r="478">
          <cell r="A478" t="str">
            <v>30030_1</v>
          </cell>
        </row>
        <row r="479">
          <cell r="A479" t="str">
            <v>30030_2</v>
          </cell>
        </row>
        <row r="480">
          <cell r="A480" t="str">
            <v>30030_3</v>
          </cell>
        </row>
        <row r="481">
          <cell r="A481" t="str">
            <v>30031_1</v>
          </cell>
        </row>
        <row r="482">
          <cell r="A482" t="str">
            <v>30031_2</v>
          </cell>
        </row>
        <row r="483">
          <cell r="A483" t="str">
            <v>30031_3</v>
          </cell>
        </row>
        <row r="484">
          <cell r="A484" t="str">
            <v>30032_1</v>
          </cell>
        </row>
        <row r="485">
          <cell r="A485" t="str">
            <v>30032_2</v>
          </cell>
        </row>
        <row r="486">
          <cell r="A486" t="str">
            <v>30032_3</v>
          </cell>
        </row>
        <row r="487">
          <cell r="A487" t="str">
            <v>30033_1</v>
          </cell>
        </row>
        <row r="488">
          <cell r="A488" t="str">
            <v>30033_2</v>
          </cell>
        </row>
        <row r="489">
          <cell r="A489" t="str">
            <v>30033_3</v>
          </cell>
        </row>
        <row r="490">
          <cell r="A490" t="str">
            <v>30034_1</v>
          </cell>
        </row>
        <row r="491">
          <cell r="A491" t="str">
            <v>30034_2</v>
          </cell>
        </row>
        <row r="492">
          <cell r="A492" t="str">
            <v>30034_3</v>
          </cell>
        </row>
        <row r="493">
          <cell r="A493" t="str">
            <v>30035_1</v>
          </cell>
        </row>
        <row r="494">
          <cell r="A494" t="str">
            <v>30035_2</v>
          </cell>
        </row>
        <row r="495">
          <cell r="A495" t="str">
            <v>30035_3</v>
          </cell>
        </row>
        <row r="496">
          <cell r="A496" t="str">
            <v>30036_1</v>
          </cell>
        </row>
        <row r="497">
          <cell r="A497" t="str">
            <v>30036_2</v>
          </cell>
        </row>
        <row r="498">
          <cell r="A498" t="str">
            <v>30036_3</v>
          </cell>
        </row>
        <row r="499">
          <cell r="A499" t="str">
            <v>30037_1</v>
          </cell>
        </row>
        <row r="500">
          <cell r="A500" t="str">
            <v>30037_2</v>
          </cell>
        </row>
        <row r="501">
          <cell r="A501" t="str">
            <v>30037_3</v>
          </cell>
        </row>
        <row r="502">
          <cell r="A502" t="str">
            <v>39001_1</v>
          </cell>
        </row>
        <row r="503">
          <cell r="A503" t="str">
            <v>39001_2</v>
          </cell>
        </row>
        <row r="504">
          <cell r="A504" t="str">
            <v>39001_3</v>
          </cell>
        </row>
        <row r="505">
          <cell r="A505" t="str">
            <v>39001_4</v>
          </cell>
        </row>
        <row r="506">
          <cell r="A506" t="str">
            <v>39001_5</v>
          </cell>
        </row>
        <row r="507">
          <cell r="A507" t="str">
            <v>39002_1</v>
          </cell>
        </row>
        <row r="508">
          <cell r="A508" t="str">
            <v>39002_2</v>
          </cell>
        </row>
        <row r="509">
          <cell r="A509" t="str">
            <v>39002_3</v>
          </cell>
        </row>
        <row r="510">
          <cell r="A510" t="str">
            <v>39002_4</v>
          </cell>
        </row>
        <row r="511">
          <cell r="A511" t="str">
            <v>39003_1</v>
          </cell>
        </row>
        <row r="512">
          <cell r="A512" t="str">
            <v>39003_2</v>
          </cell>
        </row>
        <row r="513">
          <cell r="A513" t="str">
            <v>39003_3</v>
          </cell>
        </row>
        <row r="514">
          <cell r="A514" t="str">
            <v>39003_4</v>
          </cell>
        </row>
        <row r="515">
          <cell r="A515" t="str">
            <v>39004_1</v>
          </cell>
        </row>
        <row r="516">
          <cell r="A516" t="str">
            <v>39004_2</v>
          </cell>
        </row>
        <row r="517">
          <cell r="A517" t="str">
            <v>39004_3</v>
          </cell>
        </row>
        <row r="518">
          <cell r="A518" t="str">
            <v>39004_4</v>
          </cell>
        </row>
        <row r="519">
          <cell r="A519" t="str">
            <v>39005_1</v>
          </cell>
        </row>
        <row r="520">
          <cell r="A520" t="str">
            <v>39005_2</v>
          </cell>
        </row>
        <row r="521">
          <cell r="A521" t="str">
            <v>39005_3</v>
          </cell>
        </row>
        <row r="522">
          <cell r="A522" t="str">
            <v>39005_4</v>
          </cell>
        </row>
        <row r="523">
          <cell r="A523" t="str">
            <v>39005_5</v>
          </cell>
        </row>
        <row r="524">
          <cell r="A524" t="str">
            <v>39006_1</v>
          </cell>
        </row>
        <row r="525">
          <cell r="A525" t="str">
            <v>39006_2</v>
          </cell>
        </row>
        <row r="526">
          <cell r="A526" t="str">
            <v>39006_3</v>
          </cell>
        </row>
        <row r="527">
          <cell r="A527" t="str">
            <v>39006_4</v>
          </cell>
        </row>
        <row r="528">
          <cell r="A528" t="str">
            <v>40001_1</v>
          </cell>
        </row>
        <row r="529">
          <cell r="A529" t="str">
            <v>40002_1</v>
          </cell>
        </row>
        <row r="530">
          <cell r="A530" t="str">
            <v>40002_2</v>
          </cell>
        </row>
        <row r="531">
          <cell r="A531" t="str">
            <v>40002_3</v>
          </cell>
        </row>
        <row r="532">
          <cell r="A532" t="str">
            <v>40003_1</v>
          </cell>
        </row>
        <row r="533">
          <cell r="A533" t="str">
            <v>40004_1</v>
          </cell>
        </row>
        <row r="534">
          <cell r="A534" t="str">
            <v>40005_1</v>
          </cell>
        </row>
        <row r="535">
          <cell r="A535" t="str">
            <v>40006_1</v>
          </cell>
        </row>
        <row r="536">
          <cell r="A536" t="str">
            <v>40007_1</v>
          </cell>
        </row>
        <row r="537">
          <cell r="A537" t="str">
            <v>40008_1</v>
          </cell>
        </row>
        <row r="538">
          <cell r="A538" t="str">
            <v>40009_1</v>
          </cell>
        </row>
        <row r="539">
          <cell r="A539" t="str">
            <v>40010_1</v>
          </cell>
        </row>
        <row r="540">
          <cell r="A540" t="str">
            <v>40011_1</v>
          </cell>
        </row>
        <row r="541">
          <cell r="A541" t="str">
            <v>40012_1</v>
          </cell>
        </row>
        <row r="542">
          <cell r="A542" t="str">
            <v>40013_1</v>
          </cell>
        </row>
        <row r="543">
          <cell r="A543" t="str">
            <v>40014_1</v>
          </cell>
        </row>
        <row r="544">
          <cell r="A544" t="str">
            <v>40015_1</v>
          </cell>
        </row>
        <row r="545">
          <cell r="A545" t="str">
            <v>40016_1</v>
          </cell>
        </row>
        <row r="546">
          <cell r="A546" t="str">
            <v>40016_2</v>
          </cell>
        </row>
        <row r="547">
          <cell r="A547" t="str">
            <v>40017_1</v>
          </cell>
        </row>
        <row r="548">
          <cell r="A548" t="str">
            <v>40017_2</v>
          </cell>
        </row>
        <row r="549">
          <cell r="A549" t="str">
            <v>40017_3</v>
          </cell>
        </row>
        <row r="550">
          <cell r="A550" t="str">
            <v>40018_1</v>
          </cell>
        </row>
        <row r="551">
          <cell r="A551" t="str">
            <v>40018_2</v>
          </cell>
        </row>
        <row r="552">
          <cell r="A552" t="str">
            <v>40018_3</v>
          </cell>
        </row>
        <row r="553">
          <cell r="A553" t="str">
            <v>40019_1</v>
          </cell>
        </row>
        <row r="554">
          <cell r="A554" t="str">
            <v>40019_2</v>
          </cell>
        </row>
        <row r="555">
          <cell r="A555" t="str">
            <v>40019_3</v>
          </cell>
        </row>
        <row r="556">
          <cell r="A556" t="str">
            <v>40020_1</v>
          </cell>
        </row>
        <row r="557">
          <cell r="A557" t="str">
            <v>40020_2</v>
          </cell>
        </row>
        <row r="558">
          <cell r="A558" t="str">
            <v>40021_1</v>
          </cell>
        </row>
        <row r="559">
          <cell r="A559" t="str">
            <v>40021_2</v>
          </cell>
        </row>
        <row r="560">
          <cell r="A560" t="str">
            <v>48001_1</v>
          </cell>
        </row>
        <row r="561">
          <cell r="A561" t="str">
            <v>48002_1</v>
          </cell>
        </row>
        <row r="562">
          <cell r="A562" t="str">
            <v>48002_2</v>
          </cell>
        </row>
        <row r="563">
          <cell r="A563" t="str">
            <v>48002_3</v>
          </cell>
        </row>
        <row r="564">
          <cell r="A564" t="str">
            <v>41001_1</v>
          </cell>
        </row>
        <row r="565">
          <cell r="A565" t="str">
            <v>41001_2</v>
          </cell>
        </row>
        <row r="566">
          <cell r="A566" t="str">
            <v>41001_3</v>
          </cell>
        </row>
        <row r="567">
          <cell r="A567" t="str">
            <v>41002_1</v>
          </cell>
        </row>
        <row r="568">
          <cell r="A568" t="str">
            <v>41002_2</v>
          </cell>
        </row>
        <row r="569">
          <cell r="A569" t="str">
            <v>41002_3</v>
          </cell>
        </row>
        <row r="570">
          <cell r="A570" t="str">
            <v>41003_1</v>
          </cell>
        </row>
        <row r="571">
          <cell r="A571" t="str">
            <v>41003_2</v>
          </cell>
        </row>
        <row r="572">
          <cell r="A572" t="str">
            <v>41003_3</v>
          </cell>
        </row>
        <row r="573">
          <cell r="A573" t="str">
            <v>41004_1</v>
          </cell>
        </row>
        <row r="574">
          <cell r="A574" t="str">
            <v>41004_2</v>
          </cell>
        </row>
        <row r="575">
          <cell r="A575" t="str">
            <v>41004_3</v>
          </cell>
        </row>
        <row r="576">
          <cell r="A576" t="str">
            <v>41005_1</v>
          </cell>
        </row>
        <row r="577">
          <cell r="A577" t="str">
            <v>41005_2</v>
          </cell>
        </row>
        <row r="578">
          <cell r="A578" t="str">
            <v>41005_3</v>
          </cell>
        </row>
        <row r="579">
          <cell r="A579" t="str">
            <v>41006_1</v>
          </cell>
        </row>
        <row r="580">
          <cell r="A580" t="str">
            <v>41006_2</v>
          </cell>
        </row>
        <row r="581">
          <cell r="A581" t="str">
            <v>41006_3</v>
          </cell>
        </row>
        <row r="582">
          <cell r="A582" t="str">
            <v>41007_1</v>
          </cell>
        </row>
        <row r="583">
          <cell r="A583" t="str">
            <v>41007_2</v>
          </cell>
        </row>
        <row r="584">
          <cell r="A584" t="str">
            <v>41007_3</v>
          </cell>
        </row>
        <row r="585">
          <cell r="A585" t="str">
            <v>41008_1</v>
          </cell>
        </row>
        <row r="586">
          <cell r="A586" t="str">
            <v>41008_2</v>
          </cell>
        </row>
        <row r="587">
          <cell r="A587" t="str">
            <v>41008_3</v>
          </cell>
        </row>
        <row r="588">
          <cell r="A588" t="str">
            <v>41009_1</v>
          </cell>
        </row>
        <row r="589">
          <cell r="A589" t="str">
            <v>41009_2</v>
          </cell>
        </row>
        <row r="590">
          <cell r="A590" t="str">
            <v>41009_3</v>
          </cell>
        </row>
        <row r="591">
          <cell r="A591" t="str">
            <v>41010_1</v>
          </cell>
        </row>
        <row r="592">
          <cell r="A592" t="str">
            <v>41010_2</v>
          </cell>
        </row>
        <row r="593">
          <cell r="A593" t="str">
            <v>41010_3</v>
          </cell>
        </row>
        <row r="594">
          <cell r="A594" t="str">
            <v>49001_1</v>
          </cell>
        </row>
        <row r="595">
          <cell r="A595" t="str">
            <v>49002_1</v>
          </cell>
        </row>
        <row r="596">
          <cell r="A596" t="str">
            <v>49002_2</v>
          </cell>
        </row>
        <row r="597">
          <cell r="A597" t="str">
            <v>49003_1</v>
          </cell>
        </row>
        <row r="598">
          <cell r="A598" t="str">
            <v>49003_2</v>
          </cell>
        </row>
        <row r="599">
          <cell r="A599" t="str">
            <v>49004_1</v>
          </cell>
        </row>
        <row r="600">
          <cell r="A600" t="str">
            <v>49004_2</v>
          </cell>
        </row>
        <row r="601">
          <cell r="A601" t="str">
            <v>49004_3</v>
          </cell>
        </row>
        <row r="602">
          <cell r="A602" t="str">
            <v>49005_1</v>
          </cell>
        </row>
        <row r="603">
          <cell r="A603" t="str">
            <v>49006_1</v>
          </cell>
        </row>
        <row r="604">
          <cell r="A604" t="str">
            <v>50001_1</v>
          </cell>
        </row>
        <row r="605">
          <cell r="A605" t="str">
            <v>50002_1</v>
          </cell>
        </row>
        <row r="606">
          <cell r="A606" t="str">
            <v>50003_1</v>
          </cell>
        </row>
        <row r="607">
          <cell r="A607" t="str">
            <v>50004_1</v>
          </cell>
        </row>
        <row r="608">
          <cell r="A608" t="str">
            <v>50005_1</v>
          </cell>
        </row>
        <row r="609">
          <cell r="A609" t="str">
            <v>51001_1</v>
          </cell>
        </row>
        <row r="610">
          <cell r="A610" t="str">
            <v>51002_1</v>
          </cell>
        </row>
        <row r="611">
          <cell r="A611" t="str">
            <v>60001_1</v>
          </cell>
        </row>
        <row r="612">
          <cell r="A612" t="str">
            <v>60002_1</v>
          </cell>
        </row>
        <row r="613">
          <cell r="A613" t="str">
            <v>60002_2</v>
          </cell>
        </row>
        <row r="614">
          <cell r="A614" t="str">
            <v>60003_1</v>
          </cell>
        </row>
        <row r="615">
          <cell r="A615" t="str">
            <v>60003_2</v>
          </cell>
        </row>
        <row r="616">
          <cell r="A616" t="str">
            <v>60003_3</v>
          </cell>
        </row>
        <row r="617">
          <cell r="A617" t="str">
            <v>60004_1</v>
          </cell>
        </row>
        <row r="618">
          <cell r="A618" t="str">
            <v>60005_1</v>
          </cell>
        </row>
        <row r="619">
          <cell r="A619" t="str">
            <v>60006_1</v>
          </cell>
        </row>
        <row r="620">
          <cell r="A620" t="str">
            <v>60006_2</v>
          </cell>
        </row>
        <row r="621">
          <cell r="A621" t="str">
            <v>60006_3</v>
          </cell>
        </row>
        <row r="622">
          <cell r="A622" t="str">
            <v>60007_1</v>
          </cell>
        </row>
        <row r="623">
          <cell r="A623" t="str">
            <v>60007_2</v>
          </cell>
        </row>
        <row r="624">
          <cell r="A624" t="str">
            <v>60007_3</v>
          </cell>
        </row>
        <row r="625">
          <cell r="A625" t="str">
            <v>60010_1</v>
          </cell>
        </row>
        <row r="626">
          <cell r="A626" t="str">
            <v>60011_1</v>
          </cell>
        </row>
        <row r="627">
          <cell r="A627" t="str">
            <v>65535_1</v>
          </cell>
        </row>
        <row r="628">
          <cell r="A628" t="str">
            <v>65535_2</v>
          </cell>
        </row>
        <row r="629">
          <cell r="A629" t="str">
            <v>65535_3</v>
          </cell>
        </row>
        <row r="630">
          <cell r="A630" t="str">
            <v>65535_4</v>
          </cell>
        </row>
        <row r="631">
          <cell r="A631" t="str">
            <v>65535_5</v>
          </cell>
        </row>
        <row r="632">
          <cell r="A632" t="str">
            <v>65535_6</v>
          </cell>
        </row>
        <row r="633">
          <cell r="A633" t="str">
            <v>65535_7</v>
          </cell>
        </row>
        <row r="634">
          <cell r="A634" t="str">
            <v>65535_8</v>
          </cell>
        </row>
        <row r="635">
          <cell r="A635" t="str">
            <v>60021_3</v>
          </cell>
        </row>
        <row r="636">
          <cell r="A636" t="str">
            <v>60022_3</v>
          </cell>
        </row>
        <row r="637">
          <cell r="A637" t="str">
            <v>60023_3</v>
          </cell>
        </row>
        <row r="638">
          <cell r="A638" t="str">
            <v>60024_3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6001</v>
          </cell>
        </row>
        <row r="1061">
          <cell r="A1061">
            <v>6002</v>
          </cell>
        </row>
        <row r="1062">
          <cell r="A1062">
            <v>6003</v>
          </cell>
        </row>
        <row r="1063">
          <cell r="A1063">
            <v>6004</v>
          </cell>
        </row>
        <row r="1064">
          <cell r="A1064">
            <v>6005</v>
          </cell>
        </row>
        <row r="1065">
          <cell r="A1065">
            <v>6006</v>
          </cell>
        </row>
        <row r="1066">
          <cell r="A1066">
            <v>6007</v>
          </cell>
        </row>
        <row r="1067">
          <cell r="A1067">
            <v>6008</v>
          </cell>
        </row>
        <row r="1068">
          <cell r="A1068">
            <v>6009</v>
          </cell>
        </row>
        <row r="1069">
          <cell r="A1069">
            <v>6010</v>
          </cell>
        </row>
        <row r="1070">
          <cell r="A1070">
            <v>6011</v>
          </cell>
        </row>
        <row r="1071">
          <cell r="A1071">
            <v>6012</v>
          </cell>
        </row>
        <row r="1072">
          <cell r="A1072">
            <v>6013</v>
          </cell>
        </row>
        <row r="1073">
          <cell r="A1073">
            <v>6014</v>
          </cell>
        </row>
        <row r="1074">
          <cell r="A1074">
            <v>6015</v>
          </cell>
        </row>
        <row r="1075">
          <cell r="A1075">
            <v>6016</v>
          </cell>
        </row>
        <row r="1076">
          <cell r="A1076">
            <v>6017</v>
          </cell>
        </row>
        <row r="1077">
          <cell r="A1077">
            <v>6018</v>
          </cell>
        </row>
        <row r="1078">
          <cell r="A1078">
            <v>6019</v>
          </cell>
        </row>
        <row r="1079">
          <cell r="A1079">
            <v>6020</v>
          </cell>
        </row>
        <row r="1080">
          <cell r="A1080">
            <v>8001</v>
          </cell>
        </row>
        <row r="1081">
          <cell r="A1081">
            <v>8002</v>
          </cell>
        </row>
        <row r="1082">
          <cell r="A1082">
            <v>8003</v>
          </cell>
        </row>
        <row r="1083">
          <cell r="A1083">
            <v>8004</v>
          </cell>
        </row>
        <row r="1084">
          <cell r="A1084">
            <v>8005</v>
          </cell>
        </row>
        <row r="1085">
          <cell r="A1085">
            <v>8006</v>
          </cell>
        </row>
        <row r="1086">
          <cell r="A1086">
            <v>8007</v>
          </cell>
        </row>
        <row r="1087">
          <cell r="A1087">
            <v>8008</v>
          </cell>
        </row>
        <row r="1088">
          <cell r="A1088">
            <v>8009</v>
          </cell>
        </row>
        <row r="1089">
          <cell r="A1089">
            <v>8010</v>
          </cell>
        </row>
        <row r="1090">
          <cell r="A1090">
            <v>8011</v>
          </cell>
        </row>
        <row r="1091">
          <cell r="A1091">
            <v>8012</v>
          </cell>
        </row>
        <row r="1092">
          <cell r="A1092">
            <v>8013</v>
          </cell>
        </row>
        <row r="1093">
          <cell r="A1093">
            <v>8014</v>
          </cell>
        </row>
        <row r="1094">
          <cell r="A1094">
            <v>8015</v>
          </cell>
        </row>
        <row r="1095">
          <cell r="A1095">
            <v>8016</v>
          </cell>
        </row>
        <row r="1096">
          <cell r="A1096">
            <v>8017</v>
          </cell>
        </row>
        <row r="1097">
          <cell r="A1097">
            <v>8018</v>
          </cell>
        </row>
        <row r="1098">
          <cell r="A1098">
            <v>8019</v>
          </cell>
        </row>
        <row r="1099">
          <cell r="A1099">
            <v>8020</v>
          </cell>
        </row>
        <row r="1100">
          <cell r="A1100">
            <v>8021</v>
          </cell>
        </row>
        <row r="1101">
          <cell r="A1101">
            <v>8022</v>
          </cell>
        </row>
        <row r="1102">
          <cell r="A1102">
            <v>8023</v>
          </cell>
        </row>
        <row r="1103">
          <cell r="A1103">
            <v>8024</v>
          </cell>
        </row>
        <row r="1104">
          <cell r="A1104">
            <v>8025</v>
          </cell>
        </row>
        <row r="1105">
          <cell r="A1105">
            <v>8026</v>
          </cell>
        </row>
        <row r="1106">
          <cell r="A1106">
            <v>8027</v>
          </cell>
        </row>
        <row r="1107">
          <cell r="A1107">
            <v>8028</v>
          </cell>
        </row>
        <row r="1108">
          <cell r="A1108">
            <v>8029</v>
          </cell>
        </row>
        <row r="1109">
          <cell r="A1109">
            <v>8030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6001</v>
          </cell>
        </row>
        <row r="1061">
          <cell r="A1061">
            <v>6002</v>
          </cell>
        </row>
        <row r="1062">
          <cell r="A1062">
            <v>6003</v>
          </cell>
        </row>
        <row r="1063">
          <cell r="A1063">
            <v>6004</v>
          </cell>
        </row>
        <row r="1064">
          <cell r="A1064">
            <v>6005</v>
          </cell>
        </row>
        <row r="1065">
          <cell r="A1065">
            <v>6006</v>
          </cell>
        </row>
        <row r="1066">
          <cell r="A1066">
            <v>6007</v>
          </cell>
        </row>
        <row r="1067">
          <cell r="A1067">
            <v>6008</v>
          </cell>
        </row>
        <row r="1068">
          <cell r="A1068">
            <v>6009</v>
          </cell>
        </row>
        <row r="1069">
          <cell r="A1069">
            <v>6010</v>
          </cell>
        </row>
        <row r="1070">
          <cell r="A1070">
            <v>6011</v>
          </cell>
        </row>
        <row r="1071">
          <cell r="A1071">
            <v>6012</v>
          </cell>
        </row>
        <row r="1072">
          <cell r="A1072">
            <v>6013</v>
          </cell>
        </row>
        <row r="1073">
          <cell r="A1073">
            <v>6014</v>
          </cell>
        </row>
        <row r="1074">
          <cell r="A1074">
            <v>6015</v>
          </cell>
        </row>
        <row r="1075">
          <cell r="A1075">
            <v>6016</v>
          </cell>
        </row>
        <row r="1076">
          <cell r="A1076">
            <v>6017</v>
          </cell>
        </row>
        <row r="1077">
          <cell r="A1077">
            <v>6018</v>
          </cell>
        </row>
        <row r="1078">
          <cell r="A1078">
            <v>6019</v>
          </cell>
        </row>
        <row r="1079">
          <cell r="A1079">
            <v>6020</v>
          </cell>
        </row>
        <row r="1080">
          <cell r="A1080">
            <v>8001</v>
          </cell>
        </row>
        <row r="1081">
          <cell r="A1081">
            <v>8002</v>
          </cell>
        </row>
        <row r="1082">
          <cell r="A1082">
            <v>8003</v>
          </cell>
        </row>
        <row r="1083">
          <cell r="A1083">
            <v>8004</v>
          </cell>
        </row>
        <row r="1084">
          <cell r="A1084">
            <v>8005</v>
          </cell>
        </row>
        <row r="1085">
          <cell r="A1085">
            <v>8006</v>
          </cell>
        </row>
        <row r="1086">
          <cell r="A1086">
            <v>8007</v>
          </cell>
        </row>
        <row r="1087">
          <cell r="A1087">
            <v>8008</v>
          </cell>
        </row>
        <row r="1088">
          <cell r="A1088">
            <v>8009</v>
          </cell>
        </row>
        <row r="1089">
          <cell r="A1089">
            <v>8010</v>
          </cell>
        </row>
        <row r="1090">
          <cell r="A1090">
            <v>8011</v>
          </cell>
        </row>
        <row r="1091">
          <cell r="A1091">
            <v>8012</v>
          </cell>
        </row>
        <row r="1092">
          <cell r="A1092">
            <v>8013</v>
          </cell>
        </row>
        <row r="1093">
          <cell r="A1093">
            <v>8014</v>
          </cell>
        </row>
        <row r="1094">
          <cell r="A1094">
            <v>8015</v>
          </cell>
        </row>
        <row r="1095">
          <cell r="A1095">
            <v>8016</v>
          </cell>
        </row>
        <row r="1096">
          <cell r="A1096">
            <v>8017</v>
          </cell>
        </row>
        <row r="1097">
          <cell r="A1097">
            <v>8018</v>
          </cell>
        </row>
        <row r="1098">
          <cell r="A1098">
            <v>8019</v>
          </cell>
        </row>
        <row r="1099">
          <cell r="A1099">
            <v>8020</v>
          </cell>
        </row>
        <row r="1100">
          <cell r="A1100">
            <v>8021</v>
          </cell>
        </row>
        <row r="1101">
          <cell r="A1101">
            <v>8022</v>
          </cell>
        </row>
        <row r="1102">
          <cell r="A1102">
            <v>8023</v>
          </cell>
        </row>
        <row r="1103">
          <cell r="A1103">
            <v>8024</v>
          </cell>
        </row>
        <row r="1104">
          <cell r="A1104">
            <v>8025</v>
          </cell>
        </row>
        <row r="1105">
          <cell r="A1105">
            <v>8026</v>
          </cell>
        </row>
        <row r="1106">
          <cell r="A1106">
            <v>8027</v>
          </cell>
        </row>
        <row r="1107">
          <cell r="A1107">
            <v>8028</v>
          </cell>
        </row>
        <row r="1108">
          <cell r="A1108">
            <v>8029</v>
          </cell>
        </row>
        <row r="1109">
          <cell r="A1109">
            <v>8030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B19" sqref="B19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3" t="s">
        <v>131</v>
      </c>
      <c r="B1" s="48" t="s">
        <v>101</v>
      </c>
      <c r="C1" s="48" t="s">
        <v>102</v>
      </c>
      <c r="D1" s="48" t="s">
        <v>103</v>
      </c>
      <c r="E1" s="48" t="s">
        <v>104</v>
      </c>
      <c r="F1" s="48" t="s">
        <v>105</v>
      </c>
      <c r="G1" s="48" t="s">
        <v>106</v>
      </c>
      <c r="H1" s="48"/>
      <c r="I1" s="48"/>
      <c r="J1" s="48"/>
      <c r="K1" s="48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</row>
    <row r="2" spans="1:30" x14ac:dyDescent="0.15">
      <c r="A2" s="54" t="s">
        <v>270</v>
      </c>
      <c r="B2" s="50" t="s">
        <v>107</v>
      </c>
      <c r="C2" s="55">
        <v>15029</v>
      </c>
      <c r="D2" s="50" t="s">
        <v>108</v>
      </c>
      <c r="E2" s="49" t="str">
        <f>B2&amp;C2&amp;D2</f>
        <v>floors_15029.tmp</v>
      </c>
      <c r="F2" s="50" t="s">
        <v>109</v>
      </c>
      <c r="G2" s="51" t="s">
        <v>0</v>
      </c>
      <c r="H2" s="51" t="s">
        <v>1</v>
      </c>
      <c r="I2" s="51" t="s">
        <v>13</v>
      </c>
      <c r="J2" s="51" t="s">
        <v>14</v>
      </c>
      <c r="K2" s="51" t="s">
        <v>15</v>
      </c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</row>
    <row r="3" spans="1:30" x14ac:dyDescent="0.15">
      <c r="A3" s="54" t="s">
        <v>270</v>
      </c>
      <c r="B3" s="50" t="s">
        <v>110</v>
      </c>
      <c r="C3" s="55">
        <f>C$2</f>
        <v>15029</v>
      </c>
      <c r="D3" s="50" t="s">
        <v>108</v>
      </c>
      <c r="E3" s="49" t="str">
        <f>B3&amp;C3&amp;D3</f>
        <v>enemy_habitats_15029.tmp</v>
      </c>
      <c r="F3" s="50" t="s">
        <v>111</v>
      </c>
      <c r="G3" s="51" t="s">
        <v>0</v>
      </c>
      <c r="H3" s="51" t="s">
        <v>1</v>
      </c>
      <c r="I3" s="51" t="s">
        <v>13</v>
      </c>
      <c r="J3" s="51" t="s">
        <v>2</v>
      </c>
      <c r="K3" s="51" t="s">
        <v>3</v>
      </c>
      <c r="L3" s="51" t="s">
        <v>47</v>
      </c>
      <c r="M3" s="51" t="s">
        <v>49</v>
      </c>
      <c r="N3" s="51" t="s">
        <v>51</v>
      </c>
      <c r="O3" s="51" t="s">
        <v>22</v>
      </c>
      <c r="P3" s="51" t="s">
        <v>5</v>
      </c>
      <c r="Q3" s="51" t="s">
        <v>6</v>
      </c>
      <c r="R3" s="51" t="s">
        <v>7</v>
      </c>
      <c r="S3" s="51" t="s">
        <v>8</v>
      </c>
      <c r="T3" s="51" t="s">
        <v>9</v>
      </c>
      <c r="U3" s="51" t="s">
        <v>10</v>
      </c>
      <c r="V3" s="51" t="s">
        <v>11</v>
      </c>
      <c r="W3" s="51" t="s">
        <v>12</v>
      </c>
      <c r="X3" s="51" t="s">
        <v>37</v>
      </c>
      <c r="Y3" s="51" t="s">
        <v>39</v>
      </c>
      <c r="Z3" s="51" t="s">
        <v>41</v>
      </c>
      <c r="AA3" s="51" t="s">
        <v>43</v>
      </c>
      <c r="AB3" s="51" t="s">
        <v>45</v>
      </c>
      <c r="AC3" s="51" t="s">
        <v>53</v>
      </c>
      <c r="AD3" s="51" t="s">
        <v>179</v>
      </c>
    </row>
    <row r="4" spans="1:30" x14ac:dyDescent="0.15">
      <c r="A4" s="54" t="s">
        <v>270</v>
      </c>
      <c r="B4" s="50" t="s">
        <v>112</v>
      </c>
      <c r="C4" s="55">
        <f t="shared" ref="C4:C12" si="0">C$2</f>
        <v>15029</v>
      </c>
      <c r="D4" s="50" t="s">
        <v>108</v>
      </c>
      <c r="E4" s="49" t="str">
        <f>B4&amp;C4&amp;D4</f>
        <v>enemy_habitat_S_15029.tmp</v>
      </c>
      <c r="F4" s="50" t="s">
        <v>113</v>
      </c>
      <c r="G4" s="51" t="s">
        <v>0</v>
      </c>
      <c r="H4" s="51" t="s">
        <v>1</v>
      </c>
      <c r="I4" s="51" t="s">
        <v>13</v>
      </c>
      <c r="J4" s="51" t="s">
        <v>53</v>
      </c>
      <c r="K4" s="51" t="s">
        <v>54</v>
      </c>
      <c r="L4" s="51" t="s">
        <v>55</v>
      </c>
      <c r="M4" s="51" t="s">
        <v>56</v>
      </c>
      <c r="N4" s="51" t="s">
        <v>57</v>
      </c>
      <c r="O4" s="51" t="s">
        <v>58</v>
      </c>
      <c r="P4" s="51" t="s">
        <v>48</v>
      </c>
      <c r="Q4" s="51" t="s">
        <v>50</v>
      </c>
      <c r="R4" s="51" t="s">
        <v>52</v>
      </c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</row>
    <row r="5" spans="1:30" x14ac:dyDescent="0.15">
      <c r="A5" s="54" t="s">
        <v>270</v>
      </c>
      <c r="B5" s="50" t="s">
        <v>114</v>
      </c>
      <c r="C5" s="55">
        <f t="shared" si="0"/>
        <v>15029</v>
      </c>
      <c r="D5" s="50" t="s">
        <v>108</v>
      </c>
      <c r="E5" s="49" t="str">
        <f>B5&amp;C5&amp;D5</f>
        <v>enemy_skill_sets_15029.tmp</v>
      </c>
      <c r="F5" s="50" t="s">
        <v>115</v>
      </c>
      <c r="G5" s="52" t="s">
        <v>22</v>
      </c>
      <c r="H5" s="52" t="s">
        <v>100</v>
      </c>
      <c r="I5" s="52" t="s">
        <v>95</v>
      </c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</row>
    <row r="6" spans="1:30" x14ac:dyDescent="0.15">
      <c r="A6" s="54" t="s">
        <v>270</v>
      </c>
      <c r="B6" s="50" t="s">
        <v>116</v>
      </c>
      <c r="C6" s="55">
        <f t="shared" si="0"/>
        <v>15029</v>
      </c>
      <c r="D6" s="50" t="s">
        <v>117</v>
      </c>
      <c r="E6" s="49" t="str">
        <f t="shared" ref="E6:E10" si="1">B6&amp;C6&amp;D6</f>
        <v>enemy_skills_tmp_15029.tmp</v>
      </c>
      <c r="F6" s="50" t="s">
        <v>91</v>
      </c>
      <c r="G6" s="51" t="s">
        <v>78</v>
      </c>
      <c r="H6" s="51" t="s">
        <v>79</v>
      </c>
      <c r="I6" s="51" t="s">
        <v>80</v>
      </c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</row>
    <row r="7" spans="1:30" x14ac:dyDescent="0.15">
      <c r="A7" s="54" t="s">
        <v>270</v>
      </c>
      <c r="B7" s="50" t="s">
        <v>118</v>
      </c>
      <c r="C7" s="55">
        <f t="shared" si="0"/>
        <v>15029</v>
      </c>
      <c r="D7" s="50" t="s">
        <v>108</v>
      </c>
      <c r="E7" s="49" t="str">
        <f>B7&amp;C7&amp;D7</f>
        <v>enemy_skills_i18n_15029.tmp</v>
      </c>
      <c r="F7" s="50" t="s">
        <v>119</v>
      </c>
      <c r="G7" s="51" t="s">
        <v>78</v>
      </c>
      <c r="H7" s="51" t="s">
        <v>92</v>
      </c>
      <c r="I7" s="51" t="s">
        <v>93</v>
      </c>
      <c r="J7" s="51" t="s">
        <v>94</v>
      </c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</row>
    <row r="8" spans="1:30" x14ac:dyDescent="0.15">
      <c r="A8" s="54" t="s">
        <v>270</v>
      </c>
      <c r="B8" s="50" t="s">
        <v>120</v>
      </c>
      <c r="C8" s="55">
        <f t="shared" si="0"/>
        <v>15029</v>
      </c>
      <c r="D8" s="50" t="s">
        <v>121</v>
      </c>
      <c r="E8" s="49" t="str">
        <f t="shared" si="1"/>
        <v>enemy_skill_triggers_15029.tmp</v>
      </c>
      <c r="F8" s="50" t="s">
        <v>122</v>
      </c>
      <c r="G8" s="51" t="s">
        <v>95</v>
      </c>
      <c r="H8" s="51" t="s">
        <v>96</v>
      </c>
      <c r="I8" s="51" t="s">
        <v>97</v>
      </c>
      <c r="J8" s="51" t="s">
        <v>98</v>
      </c>
      <c r="K8" s="51" t="s">
        <v>123</v>
      </c>
      <c r="L8" s="51" t="s">
        <v>99</v>
      </c>
      <c r="M8" s="51" t="s">
        <v>124</v>
      </c>
      <c r="N8" s="51" t="s">
        <v>125</v>
      </c>
      <c r="O8" s="51" t="s">
        <v>126</v>
      </c>
      <c r="P8" s="51" t="s">
        <v>66</v>
      </c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/>
    </row>
    <row r="9" spans="1:30" x14ac:dyDescent="0.15">
      <c r="A9" s="54" t="s">
        <v>270</v>
      </c>
      <c r="B9" s="60" t="s">
        <v>178</v>
      </c>
      <c r="C9" s="55">
        <f t="shared" si="0"/>
        <v>15029</v>
      </c>
      <c r="D9" s="60" t="s">
        <v>172</v>
      </c>
      <c r="E9" s="61" t="str">
        <f t="shared" si="1"/>
        <v>stage_bug_bonuses_15029.tmp</v>
      </c>
      <c r="F9" s="60" t="s">
        <v>173</v>
      </c>
      <c r="G9" s="57" t="s">
        <v>151</v>
      </c>
      <c r="H9" s="57" t="s">
        <v>174</v>
      </c>
      <c r="I9" s="57" t="s">
        <v>175</v>
      </c>
      <c r="J9" s="59" t="s">
        <v>176</v>
      </c>
      <c r="K9" s="57" t="s">
        <v>177</v>
      </c>
      <c r="L9" s="57" t="s">
        <v>157</v>
      </c>
      <c r="M9" s="57" t="s">
        <v>158</v>
      </c>
      <c r="N9" s="57" t="s">
        <v>159</v>
      </c>
      <c r="O9" s="57" t="s">
        <v>160</v>
      </c>
      <c r="P9" s="57" t="s">
        <v>161</v>
      </c>
      <c r="Q9" s="57" t="s">
        <v>162</v>
      </c>
      <c r="R9" s="57" t="s">
        <v>163</v>
      </c>
      <c r="S9" s="57" t="s">
        <v>164</v>
      </c>
      <c r="T9" s="57" t="s">
        <v>165</v>
      </c>
      <c r="U9" s="57" t="s">
        <v>166</v>
      </c>
      <c r="V9" s="57" t="s">
        <v>167</v>
      </c>
      <c r="W9" s="57" t="s">
        <v>168</v>
      </c>
    </row>
    <row r="10" spans="1:30" s="69" customFormat="1" x14ac:dyDescent="0.15">
      <c r="A10" s="54" t="s">
        <v>270</v>
      </c>
      <c r="B10" s="60" t="s">
        <v>201</v>
      </c>
      <c r="C10" s="55">
        <f>C$2</f>
        <v>15029</v>
      </c>
      <c r="D10" s="60" t="s">
        <v>181</v>
      </c>
      <c r="E10" s="61" t="str">
        <f t="shared" si="1"/>
        <v>stage_hints_data_c_15029.tmp</v>
      </c>
      <c r="F10" s="60" t="s">
        <v>209</v>
      </c>
      <c r="G10" s="66" t="s">
        <v>182</v>
      </c>
      <c r="H10" s="66" t="s">
        <v>174</v>
      </c>
      <c r="I10" s="67" t="s">
        <v>183</v>
      </c>
      <c r="J10" s="59" t="s">
        <v>184</v>
      </c>
      <c r="K10" s="68" t="s">
        <v>185</v>
      </c>
    </row>
    <row r="11" spans="1:30" s="69" customFormat="1" x14ac:dyDescent="0.15">
      <c r="A11" s="54" t="s">
        <v>270</v>
      </c>
      <c r="B11" s="60" t="s">
        <v>202</v>
      </c>
      <c r="C11" s="55">
        <f t="shared" si="0"/>
        <v>15029</v>
      </c>
      <c r="D11" s="60" t="s">
        <v>172</v>
      </c>
      <c r="E11" s="61" t="str">
        <f t="shared" ref="E11:E12" si="2">B11&amp;C11&amp;D11</f>
        <v>stage_hints_data_f_15029.tmp</v>
      </c>
      <c r="F11" s="60" t="s">
        <v>210</v>
      </c>
      <c r="G11" s="66" t="s">
        <v>182</v>
      </c>
      <c r="H11" s="66" t="s">
        <v>174</v>
      </c>
      <c r="I11" s="67" t="s">
        <v>183</v>
      </c>
      <c r="J11" s="59" t="s">
        <v>184</v>
      </c>
      <c r="K11" s="68" t="s">
        <v>185</v>
      </c>
    </row>
    <row r="12" spans="1:30" s="69" customFormat="1" x14ac:dyDescent="0.15">
      <c r="A12" s="54" t="s">
        <v>270</v>
      </c>
      <c r="B12" s="60" t="s">
        <v>203</v>
      </c>
      <c r="C12" s="55">
        <f t="shared" si="0"/>
        <v>15029</v>
      </c>
      <c r="D12" s="60" t="s">
        <v>172</v>
      </c>
      <c r="E12" s="61" t="str">
        <f t="shared" si="2"/>
        <v>stage_hints_i18n_15029.tmp</v>
      </c>
      <c r="F12" s="60" t="s">
        <v>211</v>
      </c>
      <c r="G12" s="67" t="s">
        <v>204</v>
      </c>
      <c r="H12" s="88" t="s">
        <v>205</v>
      </c>
      <c r="I12" s="66" t="s">
        <v>206</v>
      </c>
      <c r="J12" s="89" t="s">
        <v>207</v>
      </c>
      <c r="K12" s="68" t="s">
        <v>208</v>
      </c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8"/>
  <sheetViews>
    <sheetView showGridLines="0" zoomScale="125" zoomScaleNormal="125" zoomScalePageLayoutView="125" workbookViewId="0">
      <pane ySplit="1" topLeftCell="A2" activePane="bottomLeft" state="frozen"/>
      <selection activeCell="V2" sqref="V2:X34"/>
      <selection pane="bottomLeft" activeCell="C2" sqref="C2"/>
    </sheetView>
  </sheetViews>
  <sheetFormatPr baseColWidth="12" defaultColWidth="13" defaultRowHeight="21" customHeight="1" outlineLevelCol="1" x14ac:dyDescent="0.15"/>
  <cols>
    <col min="1" max="1" width="8.83203125" style="15" bestFit="1" customWidth="1"/>
    <col min="2" max="2" width="5" style="15" bestFit="1" customWidth="1"/>
    <col min="3" max="3" width="7.1640625" style="2" bestFit="1" customWidth="1"/>
    <col min="4" max="5" width="10.33203125" style="2" customWidth="1" outlineLevel="1"/>
    <col min="6" max="6" width="7" style="2" bestFit="1" customWidth="1"/>
    <col min="7" max="7" width="8.83203125" style="15" customWidth="1" outlineLevel="1"/>
    <col min="8" max="8" width="16.1640625" style="2" customWidth="1" outlineLevel="1"/>
    <col min="9" max="9" width="6.5" style="2" bestFit="1" customWidth="1"/>
    <col min="10" max="10" width="11" style="2" bestFit="1" customWidth="1"/>
    <col min="11" max="11" width="11.33203125" style="2" bestFit="1" customWidth="1"/>
    <col min="12" max="16384" width="13" style="2"/>
  </cols>
  <sheetData>
    <row r="1" spans="1:11" ht="21" customHeight="1" thickBot="1" x14ac:dyDescent="0.2">
      <c r="A1" s="12" t="s">
        <v>30</v>
      </c>
      <c r="B1" s="12" t="s">
        <v>36</v>
      </c>
      <c r="C1" s="191" t="s">
        <v>0</v>
      </c>
      <c r="D1" s="161" t="s">
        <v>18</v>
      </c>
      <c r="E1" s="161" t="s">
        <v>33</v>
      </c>
      <c r="F1" s="191" t="s">
        <v>1</v>
      </c>
      <c r="G1" s="192" t="s">
        <v>32</v>
      </c>
      <c r="H1" s="161" t="s">
        <v>34</v>
      </c>
      <c r="I1" s="191" t="s">
        <v>13</v>
      </c>
      <c r="J1" s="191" t="s">
        <v>14</v>
      </c>
      <c r="K1" s="191" t="s">
        <v>15</v>
      </c>
    </row>
    <row r="2" spans="1:11" ht="21" customHeight="1" x14ac:dyDescent="0.15">
      <c r="A2" s="119" t="str">
        <f>G2&amp;"-"&amp;I2</f>
        <v>15029_1-1</v>
      </c>
      <c r="B2" s="196" t="str">
        <f>IF(COUNTIF(enemy_habitats!$H:$H,A2),"OK","NG")</f>
        <v>OK</v>
      </c>
      <c r="C2" s="132">
        <v>15029</v>
      </c>
      <c r="D2" s="197" t="str">
        <f ca="1">VLOOKUP($C2,OFFSET([2]quests!$A$1,0,0,COUNTA([2]quests!$A:$A),MATCH(D$1,[2]quests!$1:$1,0)-MATCH($C$1,[2]quests!$1:$1,0)+1),MATCH(D$1,[2]quests!$1:$1,0)-MATCH($C$1,[2]quests!$1:$1,0)+1,FALSE)</f>
        <v>29. 雪の望郷</v>
      </c>
      <c r="E2" s="197" t="str">
        <f ca="1">VLOOKUP($C2,OFFSET([2]quests!$A$1,0,0,COUNTA([2]quests!$A:$A),MATCH(E$1,[2]quests!$1:$1,0)-MATCH($C$1,[2]quests!$1:$1,0)+1),MATCH(E$1,[2]quests!$1:$1,0)-MATCH($C$1,[2]quests!$1:$1,0)+1,FALSE)</f>
        <v>緑黄DL6</v>
      </c>
      <c r="F2" s="175">
        <v>1</v>
      </c>
      <c r="G2" s="198" t="str">
        <f>C2&amp;"_"&amp;F2</f>
        <v>15029_1</v>
      </c>
      <c r="H2" s="122" t="str">
        <f ca="1">VLOOKUP($G2,OFFSET([2]stages!$A$1,0,0,COUNTA([2]stages!$A:$A),MATCH(H$1,[2]stages!$2:$2,0)-MATCH($G$1,[2]stages!$2:$2,0)+1),MATCH(H$1,[2]stages!$2:$2,0)-MATCH($G$1,[2]stages!$2:$2,0)+1,FALSE)</f>
        <v>29-1. 雪の中のケモノたち</v>
      </c>
      <c r="I2" s="175">
        <v>1</v>
      </c>
      <c r="J2" s="124">
        <v>50</v>
      </c>
      <c r="K2" s="199">
        <v>50</v>
      </c>
    </row>
    <row r="3" spans="1:11" ht="21" customHeight="1" x14ac:dyDescent="0.15">
      <c r="A3" s="136" t="str">
        <f t="shared" ref="A3" si="0">G3&amp;"-"&amp;I3</f>
        <v>15029_1-2</v>
      </c>
      <c r="B3" s="200" t="str">
        <f>IF(COUNTIF(enemy_habitats!$H:$H,A3),"OK","NG")</f>
        <v>OK</v>
      </c>
      <c r="C3" s="90">
        <v>15029</v>
      </c>
      <c r="D3" s="14" t="str">
        <f ca="1">VLOOKUP($C3,OFFSET([2]quests!$A$1,0,0,COUNTA([2]quests!$A:$A),MATCH(D$1,[2]quests!$1:$1,0)-MATCH($C$1,[2]quests!$1:$1,0)+1),MATCH(D$1,[2]quests!$1:$1,0)-MATCH($C$1,[2]quests!$1:$1,0)+1,FALSE)</f>
        <v>29. 雪の望郷</v>
      </c>
      <c r="E3" s="14" t="str">
        <f ca="1">VLOOKUP($C3,OFFSET([2]quests!$A$1,0,0,COUNTA([2]quests!$A:$A),MATCH(E$1,[2]quests!$1:$1,0)-MATCH($C$1,[2]quests!$1:$1,0)+1),MATCH(E$1,[2]quests!$1:$1,0)-MATCH($C$1,[2]quests!$1:$1,0)+1,FALSE)</f>
        <v>緑黄DL6</v>
      </c>
      <c r="F3" s="91">
        <v>1</v>
      </c>
      <c r="G3" s="17" t="str">
        <f t="shared" ref="G3" si="1">C3&amp;"_"&amp;F3</f>
        <v>15029_1</v>
      </c>
      <c r="H3" s="11" t="str">
        <f ca="1">VLOOKUP($G3,OFFSET([2]stages!$A$1,0,0,COUNTA([2]stages!$A:$A),MATCH(H$1,[2]stages!$2:$2,0)-MATCH($G$1,[2]stages!$2:$2,0)+1),MATCH(H$1,[2]stages!$2:$2,0)-MATCH($G$1,[2]stages!$2:$2,0)+1,FALSE)</f>
        <v>29-1. 雪の中のケモノたち</v>
      </c>
      <c r="I3" s="91">
        <v>2</v>
      </c>
      <c r="J3" s="31">
        <v>45</v>
      </c>
      <c r="K3" s="201">
        <v>45</v>
      </c>
    </row>
    <row r="4" spans="1:11" ht="21" customHeight="1" x14ac:dyDescent="0.15">
      <c r="A4" s="136" t="str">
        <f t="shared" ref="A4:A18" si="2">G4&amp;"-"&amp;I4</f>
        <v>15029_1-3</v>
      </c>
      <c r="B4" s="200" t="str">
        <f>IF(COUNTIF(enemy_habitats!$H:$H,A4),"OK","NG")</f>
        <v>OK</v>
      </c>
      <c r="C4" s="90">
        <v>15029</v>
      </c>
      <c r="D4" s="14" t="str">
        <f ca="1">VLOOKUP($C4,OFFSET([2]quests!$A$1,0,0,COUNTA([2]quests!$A:$A),MATCH(D$1,[2]quests!$1:$1,0)-MATCH($C$1,[2]quests!$1:$1,0)+1),MATCH(D$1,[2]quests!$1:$1,0)-MATCH($C$1,[2]quests!$1:$1,0)+1,FALSE)</f>
        <v>29. 雪の望郷</v>
      </c>
      <c r="E4" s="14" t="str">
        <f ca="1">VLOOKUP($C4,OFFSET([2]quests!$A$1,0,0,COUNTA([2]quests!$A:$A),MATCH(E$1,[2]quests!$1:$1,0)-MATCH($C$1,[2]quests!$1:$1,0)+1),MATCH(E$1,[2]quests!$1:$1,0)-MATCH($C$1,[2]quests!$1:$1,0)+1,FALSE)</f>
        <v>緑黄DL6</v>
      </c>
      <c r="F4" s="91">
        <v>1</v>
      </c>
      <c r="G4" s="17" t="str">
        <f t="shared" ref="G4:G18" si="3">C4&amp;"_"&amp;F4</f>
        <v>15029_1</v>
      </c>
      <c r="H4" s="11" t="str">
        <f ca="1">VLOOKUP($G4,OFFSET([2]stages!$A$1,0,0,COUNTA([2]stages!$A:$A),MATCH(H$1,[2]stages!$2:$2,0)-MATCH($G$1,[2]stages!$2:$2,0)+1),MATCH(H$1,[2]stages!$2:$2,0)-MATCH($G$1,[2]stages!$2:$2,0)+1,FALSE)</f>
        <v>29-1. 雪の中のケモノたち</v>
      </c>
      <c r="I4" s="91">
        <v>3</v>
      </c>
      <c r="J4" s="31">
        <v>45</v>
      </c>
      <c r="K4" s="201">
        <v>45</v>
      </c>
    </row>
    <row r="5" spans="1:11" ht="21" customHeight="1" thickBot="1" x14ac:dyDescent="0.2">
      <c r="A5" s="138" t="str">
        <f t="shared" si="2"/>
        <v>15029_1-4</v>
      </c>
      <c r="B5" s="202" t="str">
        <f>IF(COUNTIF(enemy_habitats!$H:$H,A5),"OK","NG")</f>
        <v>OK</v>
      </c>
      <c r="C5" s="151">
        <v>15029</v>
      </c>
      <c r="D5" s="203" t="str">
        <f ca="1">VLOOKUP($C5,OFFSET([2]quests!$A$1,0,0,COUNTA([2]quests!$A:$A),MATCH(D$1,[2]quests!$1:$1,0)-MATCH($C$1,[2]quests!$1:$1,0)+1),MATCH(D$1,[2]quests!$1:$1,0)-MATCH($C$1,[2]quests!$1:$1,0)+1,FALSE)</f>
        <v>29. 雪の望郷</v>
      </c>
      <c r="E5" s="203" t="str">
        <f ca="1">VLOOKUP($C5,OFFSET([2]quests!$A$1,0,0,COUNTA([2]quests!$A:$A),MATCH(E$1,[2]quests!$1:$1,0)-MATCH($C$1,[2]quests!$1:$1,0)+1),MATCH(E$1,[2]quests!$1:$1,0)-MATCH($C$1,[2]quests!$1:$1,0)+1,FALSE)</f>
        <v>緑黄DL6</v>
      </c>
      <c r="F5" s="176">
        <v>1</v>
      </c>
      <c r="G5" s="204" t="str">
        <f t="shared" si="3"/>
        <v>15029_1</v>
      </c>
      <c r="H5" s="141" t="str">
        <f ca="1">VLOOKUP($G5,OFFSET([2]stages!$A$1,0,0,COUNTA([2]stages!$A:$A),MATCH(H$1,[2]stages!$2:$2,0)-MATCH($G$1,[2]stages!$2:$2,0)+1),MATCH(H$1,[2]stages!$2:$2,0)-MATCH($G$1,[2]stages!$2:$2,0)+1,FALSE)</f>
        <v>29-1. 雪の中のケモノたち</v>
      </c>
      <c r="I5" s="176">
        <v>4</v>
      </c>
      <c r="J5" s="143">
        <v>60</v>
      </c>
      <c r="K5" s="205">
        <v>60</v>
      </c>
    </row>
    <row r="6" spans="1:11" ht="21" customHeight="1" x14ac:dyDescent="0.15">
      <c r="A6" s="136" t="str">
        <f t="shared" si="2"/>
        <v>15029_2-1</v>
      </c>
      <c r="B6" s="200" t="str">
        <f>IF(COUNTIF(enemy_habitats!$H:$H,A6),"OK","NG")</f>
        <v>OK</v>
      </c>
      <c r="C6" s="116">
        <v>15029</v>
      </c>
      <c r="D6" s="193" t="str">
        <f ca="1">VLOOKUP($C6,OFFSET([2]quests!$A$1,0,0,COUNTA([2]quests!$A:$A),MATCH(D$1,[2]quests!$1:$1,0)-MATCH($C$1,[2]quests!$1:$1,0)+1),MATCH(D$1,[2]quests!$1:$1,0)-MATCH($C$1,[2]quests!$1:$1,0)+1,FALSE)</f>
        <v>29. 雪の望郷</v>
      </c>
      <c r="E6" s="193" t="str">
        <f ca="1">VLOOKUP($C6,OFFSET([2]quests!$A$1,0,0,COUNTA([2]quests!$A:$A),MATCH(E$1,[2]quests!$1:$1,0)-MATCH($C$1,[2]quests!$1:$1,0)+1),MATCH(E$1,[2]quests!$1:$1,0)-MATCH($C$1,[2]quests!$1:$1,0)+1,FALSE)</f>
        <v>緑黄DL6</v>
      </c>
      <c r="F6" s="194">
        <v>2</v>
      </c>
      <c r="G6" s="195" t="str">
        <f t="shared" si="3"/>
        <v>15029_2</v>
      </c>
      <c r="H6" s="109" t="str">
        <f ca="1">VLOOKUP($G6,OFFSET([2]stages!$A$1,0,0,COUNTA([2]stages!$A:$A),MATCH(H$1,[2]stages!$2:$2,0)-MATCH($G$1,[2]stages!$2:$2,0)+1),MATCH(H$1,[2]stages!$2:$2,0)-MATCH($G$1,[2]stages!$2:$2,0)+1,FALSE)</f>
        <v>29-2. ねこみみマフラー</v>
      </c>
      <c r="I6" s="194">
        <v>1</v>
      </c>
      <c r="J6" s="111">
        <v>45</v>
      </c>
      <c r="K6" s="208">
        <v>45</v>
      </c>
    </row>
    <row r="7" spans="1:11" ht="21" customHeight="1" x14ac:dyDescent="0.15">
      <c r="A7" s="136" t="str">
        <f t="shared" ref="A7" si="4">G7&amp;"-"&amp;I7</f>
        <v>15029_2-2</v>
      </c>
      <c r="B7" s="200" t="str">
        <f>IF(COUNTIF(enemy_habitats!$H:$H,A7),"OK","NG")</f>
        <v>OK</v>
      </c>
      <c r="C7" s="90">
        <v>15029</v>
      </c>
      <c r="D7" s="14" t="str">
        <f ca="1">VLOOKUP($C7,OFFSET([2]quests!$A$1,0,0,COUNTA([2]quests!$A:$A),MATCH(D$1,[2]quests!$1:$1,0)-MATCH($C$1,[2]quests!$1:$1,0)+1),MATCH(D$1,[2]quests!$1:$1,0)-MATCH($C$1,[2]quests!$1:$1,0)+1,FALSE)</f>
        <v>29. 雪の望郷</v>
      </c>
      <c r="E7" s="14" t="str">
        <f ca="1">VLOOKUP($C7,OFFSET([2]quests!$A$1,0,0,COUNTA([2]quests!$A:$A),MATCH(E$1,[2]quests!$1:$1,0)-MATCH($C$1,[2]quests!$1:$1,0)+1),MATCH(E$1,[2]quests!$1:$1,0)-MATCH($C$1,[2]quests!$1:$1,0)+1,FALSE)</f>
        <v>緑黄DL6</v>
      </c>
      <c r="F7" s="91">
        <v>2</v>
      </c>
      <c r="G7" s="17" t="str">
        <f t="shared" ref="G7" si="5">C7&amp;"_"&amp;F7</f>
        <v>15029_2</v>
      </c>
      <c r="H7" s="11" t="str">
        <f ca="1">VLOOKUP($G7,OFFSET([2]stages!$A$1,0,0,COUNTA([2]stages!$A:$A),MATCH(H$1,[2]stages!$2:$2,0)-MATCH($G$1,[2]stages!$2:$2,0)+1),MATCH(H$1,[2]stages!$2:$2,0)-MATCH($G$1,[2]stages!$2:$2,0)+1,FALSE)</f>
        <v>29-2. ねこみみマフラー</v>
      </c>
      <c r="I7" s="91">
        <v>2</v>
      </c>
      <c r="J7" s="31">
        <v>60</v>
      </c>
      <c r="K7" s="201">
        <v>60</v>
      </c>
    </row>
    <row r="8" spans="1:11" ht="21" customHeight="1" x14ac:dyDescent="0.15">
      <c r="A8" s="136" t="str">
        <f t="shared" si="2"/>
        <v>15029_2-3</v>
      </c>
      <c r="B8" s="200" t="str">
        <f>IF(COUNTIF(enemy_habitats!$H:$H,A8),"OK","NG")</f>
        <v>OK</v>
      </c>
      <c r="C8" s="90">
        <v>15029</v>
      </c>
      <c r="D8" s="14" t="str">
        <f ca="1">VLOOKUP($C8,OFFSET([2]quests!$A$1,0,0,COUNTA([2]quests!$A:$A),MATCH(D$1,[2]quests!$1:$1,0)-MATCH($C$1,[2]quests!$1:$1,0)+1),MATCH(D$1,[2]quests!$1:$1,0)-MATCH($C$1,[2]quests!$1:$1,0)+1,FALSE)</f>
        <v>29. 雪の望郷</v>
      </c>
      <c r="E8" s="14" t="str">
        <f ca="1">VLOOKUP($C8,OFFSET([2]quests!$A$1,0,0,COUNTA([2]quests!$A:$A),MATCH(E$1,[2]quests!$1:$1,0)-MATCH($C$1,[2]quests!$1:$1,0)+1),MATCH(E$1,[2]quests!$1:$1,0)-MATCH($C$1,[2]quests!$1:$1,0)+1,FALSE)</f>
        <v>緑黄DL6</v>
      </c>
      <c r="F8" s="91">
        <v>2</v>
      </c>
      <c r="G8" s="17" t="str">
        <f t="shared" si="3"/>
        <v>15029_2</v>
      </c>
      <c r="H8" s="11" t="str">
        <f ca="1">VLOOKUP($G8,OFFSET([2]stages!$A$1,0,0,COUNTA([2]stages!$A:$A),MATCH(H$1,[2]stages!$2:$2,0)-MATCH($G$1,[2]stages!$2:$2,0)+1),MATCH(H$1,[2]stages!$2:$2,0)-MATCH($G$1,[2]stages!$2:$2,0)+1,FALSE)</f>
        <v>29-2. ねこみみマフラー</v>
      </c>
      <c r="I8" s="91">
        <v>3</v>
      </c>
      <c r="J8" s="31">
        <v>50</v>
      </c>
      <c r="K8" s="201">
        <v>50</v>
      </c>
    </row>
    <row r="9" spans="1:11" ht="21" customHeight="1" thickBot="1" x14ac:dyDescent="0.2">
      <c r="A9" s="136" t="str">
        <f t="shared" si="2"/>
        <v>15029_2-4</v>
      </c>
      <c r="B9" s="200" t="str">
        <f>IF(COUNTIF(enemy_habitats!$H:$H,A9),"OK","NG")</f>
        <v>OK</v>
      </c>
      <c r="C9" s="172">
        <v>15029</v>
      </c>
      <c r="D9" s="206" t="str">
        <f ca="1">VLOOKUP($C9,OFFSET([2]quests!$A$1,0,0,COUNTA([2]quests!$A:$A),MATCH(D$1,[2]quests!$1:$1,0)-MATCH($C$1,[2]quests!$1:$1,0)+1),MATCH(D$1,[2]quests!$1:$1,0)-MATCH($C$1,[2]quests!$1:$1,0)+1,FALSE)</f>
        <v>29. 雪の望郷</v>
      </c>
      <c r="E9" s="206" t="str">
        <f ca="1">VLOOKUP($C9,OFFSET([2]quests!$A$1,0,0,COUNTA([2]quests!$A:$A),MATCH(E$1,[2]quests!$1:$1,0)-MATCH($C$1,[2]quests!$1:$1,0)+1),MATCH(E$1,[2]quests!$1:$1,0)-MATCH($C$1,[2]quests!$1:$1,0)+1,FALSE)</f>
        <v>緑黄DL6</v>
      </c>
      <c r="F9" s="207">
        <v>2</v>
      </c>
      <c r="G9" s="192" t="str">
        <f t="shared" si="3"/>
        <v>15029_2</v>
      </c>
      <c r="H9" s="161" t="str">
        <f ca="1">VLOOKUP($G9,OFFSET([2]stages!$A$1,0,0,COUNTA([2]stages!$A:$A),MATCH(H$1,[2]stages!$2:$2,0)-MATCH($G$1,[2]stages!$2:$2,0)+1),MATCH(H$1,[2]stages!$2:$2,0)-MATCH($G$1,[2]stages!$2:$2,0)+1,FALSE)</f>
        <v>29-2. ねこみみマフラー</v>
      </c>
      <c r="I9" s="207">
        <v>4</v>
      </c>
      <c r="J9" s="164">
        <v>60</v>
      </c>
      <c r="K9" s="209">
        <v>60</v>
      </c>
    </row>
    <row r="10" spans="1:11" ht="21" customHeight="1" x14ac:dyDescent="0.15">
      <c r="A10" s="119" t="str">
        <f t="shared" si="2"/>
        <v>15029_3-1</v>
      </c>
      <c r="B10" s="196" t="str">
        <f>IF(COUNTIF(enemy_habitats!$H:$H,A10),"OK","NG")</f>
        <v>OK</v>
      </c>
      <c r="C10" s="132">
        <v>15029</v>
      </c>
      <c r="D10" s="197" t="str">
        <f ca="1">VLOOKUP($C10,OFFSET([2]quests!$A$1,0,0,COUNTA([2]quests!$A:$A),MATCH(D$1,[2]quests!$1:$1,0)-MATCH($C$1,[2]quests!$1:$1,0)+1),MATCH(D$1,[2]quests!$1:$1,0)-MATCH($C$1,[2]quests!$1:$1,0)+1,FALSE)</f>
        <v>29. 雪の望郷</v>
      </c>
      <c r="E10" s="197" t="str">
        <f ca="1">VLOOKUP($C10,OFFSET([2]quests!$A$1,0,0,COUNTA([2]quests!$A:$A),MATCH(E$1,[2]quests!$1:$1,0)-MATCH($C$1,[2]quests!$1:$1,0)+1),MATCH(E$1,[2]quests!$1:$1,0)-MATCH($C$1,[2]quests!$1:$1,0)+1,FALSE)</f>
        <v>緑黄DL6</v>
      </c>
      <c r="F10" s="175">
        <v>3</v>
      </c>
      <c r="G10" s="198" t="str">
        <f t="shared" si="3"/>
        <v>15029_3</v>
      </c>
      <c r="H10" s="122" t="str">
        <f ca="1">VLOOKUP($G10,OFFSET([2]stages!$A$1,0,0,COUNTA([2]stages!$A:$A),MATCH(H$1,[2]stages!$2:$2,0)-MATCH($G$1,[2]stages!$2:$2,0)+1),MATCH(H$1,[2]stages!$2:$2,0)-MATCH($G$1,[2]stages!$2:$2,0)+1,FALSE)</f>
        <v>29-3. 仕立屋と兄妹</v>
      </c>
      <c r="I10" s="175">
        <v>1</v>
      </c>
      <c r="J10" s="124">
        <v>30</v>
      </c>
      <c r="K10" s="199">
        <v>30</v>
      </c>
    </row>
    <row r="11" spans="1:11" ht="21" customHeight="1" x14ac:dyDescent="0.15">
      <c r="A11" s="136" t="str">
        <f t="shared" si="2"/>
        <v>15029_3-2</v>
      </c>
      <c r="B11" s="200" t="str">
        <f>IF(COUNTIF(enemy_habitats!$H:$H,A11),"OK","NG")</f>
        <v>OK</v>
      </c>
      <c r="C11" s="90">
        <v>15029</v>
      </c>
      <c r="D11" s="14" t="str">
        <f ca="1">VLOOKUP($C11,OFFSET([2]quests!$A$1,0,0,COUNTA([2]quests!$A:$A),MATCH(D$1,[2]quests!$1:$1,0)-MATCH($C$1,[2]quests!$1:$1,0)+1),MATCH(D$1,[2]quests!$1:$1,0)-MATCH($C$1,[2]quests!$1:$1,0)+1,FALSE)</f>
        <v>29. 雪の望郷</v>
      </c>
      <c r="E11" s="14" t="str">
        <f ca="1">VLOOKUP($C11,OFFSET([2]quests!$A$1,0,0,COUNTA([2]quests!$A:$A),MATCH(E$1,[2]quests!$1:$1,0)-MATCH($C$1,[2]quests!$1:$1,0)+1),MATCH(E$1,[2]quests!$1:$1,0)-MATCH($C$1,[2]quests!$1:$1,0)+1,FALSE)</f>
        <v>緑黄DL6</v>
      </c>
      <c r="F11" s="91">
        <v>3</v>
      </c>
      <c r="G11" s="17" t="str">
        <f t="shared" si="3"/>
        <v>15029_3</v>
      </c>
      <c r="H11" s="11" t="str">
        <f ca="1">VLOOKUP($G11,OFFSET([2]stages!$A$1,0,0,COUNTA([2]stages!$A:$A),MATCH(H$1,[2]stages!$2:$2,0)-MATCH($G$1,[2]stages!$2:$2,0)+1),MATCH(H$1,[2]stages!$2:$2,0)-MATCH($G$1,[2]stages!$2:$2,0)+1,FALSE)</f>
        <v>29-3. 仕立屋と兄妹</v>
      </c>
      <c r="I11" s="91">
        <v>2</v>
      </c>
      <c r="J11" s="31">
        <v>45</v>
      </c>
      <c r="K11" s="201">
        <v>45</v>
      </c>
    </row>
    <row r="12" spans="1:11" ht="21" customHeight="1" x14ac:dyDescent="0.15">
      <c r="A12" s="136" t="str">
        <f t="shared" si="2"/>
        <v>15029_3-3</v>
      </c>
      <c r="B12" s="200" t="str">
        <f>IF(COUNTIF(enemy_habitats!$H:$H,A12),"OK","NG")</f>
        <v>OK</v>
      </c>
      <c r="C12" s="90">
        <v>15029</v>
      </c>
      <c r="D12" s="14" t="str">
        <f ca="1">VLOOKUP($C12,OFFSET([2]quests!$A$1,0,0,COUNTA([2]quests!$A:$A),MATCH(D$1,[2]quests!$1:$1,0)-MATCH($C$1,[2]quests!$1:$1,0)+1),MATCH(D$1,[2]quests!$1:$1,0)-MATCH($C$1,[2]quests!$1:$1,0)+1,FALSE)</f>
        <v>29. 雪の望郷</v>
      </c>
      <c r="E12" s="14" t="str">
        <f ca="1">VLOOKUP($C12,OFFSET([2]quests!$A$1,0,0,COUNTA([2]quests!$A:$A),MATCH(E$1,[2]quests!$1:$1,0)-MATCH($C$1,[2]quests!$1:$1,0)+1),MATCH(E$1,[2]quests!$1:$1,0)-MATCH($C$1,[2]quests!$1:$1,0)+1,FALSE)</f>
        <v>緑黄DL6</v>
      </c>
      <c r="F12" s="91">
        <v>3</v>
      </c>
      <c r="G12" s="17" t="str">
        <f t="shared" si="3"/>
        <v>15029_3</v>
      </c>
      <c r="H12" s="11" t="str">
        <f ca="1">VLOOKUP($G12,OFFSET([2]stages!$A$1,0,0,COUNTA([2]stages!$A:$A),MATCH(H$1,[2]stages!$2:$2,0)-MATCH($G$1,[2]stages!$2:$2,0)+1),MATCH(H$1,[2]stages!$2:$2,0)-MATCH($G$1,[2]stages!$2:$2,0)+1,FALSE)</f>
        <v>29-3. 仕立屋と兄妹</v>
      </c>
      <c r="I12" s="91">
        <v>3</v>
      </c>
      <c r="J12" s="31">
        <v>55</v>
      </c>
      <c r="K12" s="201">
        <v>55</v>
      </c>
    </row>
    <row r="13" spans="1:11" ht="21" customHeight="1" thickBot="1" x14ac:dyDescent="0.2">
      <c r="A13" s="138" t="str">
        <f t="shared" si="2"/>
        <v>15029_3-4</v>
      </c>
      <c r="B13" s="202" t="str">
        <f>IF(COUNTIF(enemy_habitats!$H:$H,A13),"OK","NG")</f>
        <v>OK</v>
      </c>
      <c r="C13" s="151">
        <v>15029</v>
      </c>
      <c r="D13" s="203" t="str">
        <f ca="1">VLOOKUP($C13,OFFSET([2]quests!$A$1,0,0,COUNTA([2]quests!$A:$A),MATCH(D$1,[2]quests!$1:$1,0)-MATCH($C$1,[2]quests!$1:$1,0)+1),MATCH(D$1,[2]quests!$1:$1,0)-MATCH($C$1,[2]quests!$1:$1,0)+1,FALSE)</f>
        <v>29. 雪の望郷</v>
      </c>
      <c r="E13" s="203" t="str">
        <f ca="1">VLOOKUP($C13,OFFSET([2]quests!$A$1,0,0,COUNTA([2]quests!$A:$A),MATCH(E$1,[2]quests!$1:$1,0)-MATCH($C$1,[2]quests!$1:$1,0)+1),MATCH(E$1,[2]quests!$1:$1,0)-MATCH($C$1,[2]quests!$1:$1,0)+1,FALSE)</f>
        <v>緑黄DL6</v>
      </c>
      <c r="F13" s="176">
        <v>3</v>
      </c>
      <c r="G13" s="204" t="str">
        <f t="shared" si="3"/>
        <v>15029_3</v>
      </c>
      <c r="H13" s="141" t="str">
        <f ca="1">VLOOKUP($G13,OFFSET([2]stages!$A$1,0,0,COUNTA([2]stages!$A:$A),MATCH(H$1,[2]stages!$2:$2,0)-MATCH($G$1,[2]stages!$2:$2,0)+1),MATCH(H$1,[2]stages!$2:$2,0)-MATCH($G$1,[2]stages!$2:$2,0)+1,FALSE)</f>
        <v>29-3. 仕立屋と兄妹</v>
      </c>
      <c r="I13" s="176">
        <v>4</v>
      </c>
      <c r="J13" s="143">
        <v>60</v>
      </c>
      <c r="K13" s="205">
        <v>60</v>
      </c>
    </row>
    <row r="14" spans="1:11" ht="21" customHeight="1" x14ac:dyDescent="0.15">
      <c r="A14" s="136" t="str">
        <f t="shared" si="2"/>
        <v>15029_4-1</v>
      </c>
      <c r="B14" s="200" t="str">
        <f>IF(COUNTIF(enemy_habitats!$H:$H,A14),"OK","NG")</f>
        <v>OK</v>
      </c>
      <c r="C14" s="116">
        <v>15029</v>
      </c>
      <c r="D14" s="193" t="str">
        <f ca="1">VLOOKUP($C14,OFFSET([2]quests!$A$1,0,0,COUNTA([2]quests!$A:$A),MATCH(D$1,[2]quests!$1:$1,0)-MATCH($C$1,[2]quests!$1:$1,0)+1),MATCH(D$1,[2]quests!$1:$1,0)-MATCH($C$1,[2]quests!$1:$1,0)+1,FALSE)</f>
        <v>29. 雪の望郷</v>
      </c>
      <c r="E14" s="193" t="str">
        <f ca="1">VLOOKUP($C14,OFFSET([2]quests!$A$1,0,0,COUNTA([2]quests!$A:$A),MATCH(E$1,[2]quests!$1:$1,0)-MATCH($C$1,[2]quests!$1:$1,0)+1),MATCH(E$1,[2]quests!$1:$1,0)-MATCH($C$1,[2]quests!$1:$1,0)+1,FALSE)</f>
        <v>緑黄DL6</v>
      </c>
      <c r="F14" s="194">
        <v>4</v>
      </c>
      <c r="G14" s="195" t="str">
        <f t="shared" si="3"/>
        <v>15029_4</v>
      </c>
      <c r="H14" s="109" t="str">
        <f ca="1">VLOOKUP($G14,OFFSET([2]stages!$A$1,0,0,COUNTA([2]stages!$A:$A),MATCH(H$1,[2]stages!$2:$2,0)-MATCH($G$1,[2]stages!$2:$2,0)+1),MATCH(H$1,[2]stages!$2:$2,0)-MATCH($G$1,[2]stages!$2:$2,0)+1,FALSE)</f>
        <v>29-4. 【1回のみ】ボーナスステージ</v>
      </c>
      <c r="I14" s="194">
        <v>1</v>
      </c>
      <c r="J14" s="111">
        <v>60</v>
      </c>
      <c r="K14" s="208">
        <v>60</v>
      </c>
    </row>
    <row r="15" spans="1:11" ht="21" customHeight="1" x14ac:dyDescent="0.15">
      <c r="A15" s="136" t="str">
        <f t="shared" si="2"/>
        <v>15029_4-2</v>
      </c>
      <c r="B15" s="200" t="str">
        <f>IF(COUNTIF(enemy_habitats!$H:$H,A15),"OK","NG")</f>
        <v>OK</v>
      </c>
      <c r="C15" s="90">
        <v>15029</v>
      </c>
      <c r="D15" s="14" t="str">
        <f ca="1">VLOOKUP($C15,OFFSET([2]quests!$A$1,0,0,COUNTA([2]quests!$A:$A),MATCH(D$1,[2]quests!$1:$1,0)-MATCH($C$1,[2]quests!$1:$1,0)+1),MATCH(D$1,[2]quests!$1:$1,0)-MATCH($C$1,[2]quests!$1:$1,0)+1,FALSE)</f>
        <v>29. 雪の望郷</v>
      </c>
      <c r="E15" s="14" t="str">
        <f ca="1">VLOOKUP($C15,OFFSET([2]quests!$A$1,0,0,COUNTA([2]quests!$A:$A),MATCH(E$1,[2]quests!$1:$1,0)-MATCH($C$1,[2]quests!$1:$1,0)+1),MATCH(E$1,[2]quests!$1:$1,0)-MATCH($C$1,[2]quests!$1:$1,0)+1,FALSE)</f>
        <v>緑黄DL6</v>
      </c>
      <c r="F15" s="91">
        <v>4</v>
      </c>
      <c r="G15" s="17" t="str">
        <f t="shared" si="3"/>
        <v>15029_4</v>
      </c>
      <c r="H15" s="11" t="str">
        <f ca="1">VLOOKUP($G15,OFFSET([2]stages!$A$1,0,0,COUNTA([2]stages!$A:$A),MATCH(H$1,[2]stages!$2:$2,0)-MATCH($G$1,[2]stages!$2:$2,0)+1),MATCH(H$1,[2]stages!$2:$2,0)-MATCH($G$1,[2]stages!$2:$2,0)+1,FALSE)</f>
        <v>29-4. 【1回のみ】ボーナスステージ</v>
      </c>
      <c r="I15" s="91">
        <v>2</v>
      </c>
      <c r="J15" s="31">
        <v>60</v>
      </c>
      <c r="K15" s="201">
        <v>60</v>
      </c>
    </row>
    <row r="16" spans="1:11" ht="21" customHeight="1" x14ac:dyDescent="0.15">
      <c r="A16" s="136" t="str">
        <f t="shared" si="2"/>
        <v>15029_4-3</v>
      </c>
      <c r="B16" s="200" t="str">
        <f>IF(COUNTIF(enemy_habitats!$H:$H,A16),"OK","NG")</f>
        <v>OK</v>
      </c>
      <c r="C16" s="90">
        <v>15029</v>
      </c>
      <c r="D16" s="14" t="str">
        <f ca="1">VLOOKUP($C16,OFFSET([2]quests!$A$1,0,0,COUNTA([2]quests!$A:$A),MATCH(D$1,[2]quests!$1:$1,0)-MATCH($C$1,[2]quests!$1:$1,0)+1),MATCH(D$1,[2]quests!$1:$1,0)-MATCH($C$1,[2]quests!$1:$1,0)+1,FALSE)</f>
        <v>29. 雪の望郷</v>
      </c>
      <c r="E16" s="14" t="str">
        <f ca="1">VLOOKUP($C16,OFFSET([2]quests!$A$1,0,0,COUNTA([2]quests!$A:$A),MATCH(E$1,[2]quests!$1:$1,0)-MATCH($C$1,[2]quests!$1:$1,0)+1),MATCH(E$1,[2]quests!$1:$1,0)-MATCH($C$1,[2]quests!$1:$1,0)+1,FALSE)</f>
        <v>緑黄DL6</v>
      </c>
      <c r="F16" s="91">
        <v>4</v>
      </c>
      <c r="G16" s="17" t="str">
        <f t="shared" si="3"/>
        <v>15029_4</v>
      </c>
      <c r="H16" s="11" t="str">
        <f ca="1">VLOOKUP($G16,OFFSET([2]stages!$A$1,0,0,COUNTA([2]stages!$A:$A),MATCH(H$1,[2]stages!$2:$2,0)-MATCH($G$1,[2]stages!$2:$2,0)+1),MATCH(H$1,[2]stages!$2:$2,0)-MATCH($G$1,[2]stages!$2:$2,0)+1,FALSE)</f>
        <v>29-4. 【1回のみ】ボーナスステージ</v>
      </c>
      <c r="I16" s="91">
        <v>3</v>
      </c>
      <c r="J16" s="31">
        <v>60</v>
      </c>
      <c r="K16" s="201">
        <v>60</v>
      </c>
    </row>
    <row r="17" spans="1:11" ht="21" customHeight="1" x14ac:dyDescent="0.15">
      <c r="A17" s="136" t="str">
        <f t="shared" si="2"/>
        <v>15029_4-4</v>
      </c>
      <c r="B17" s="200" t="str">
        <f>IF(COUNTIF(enemy_habitats!$H:$H,A17),"OK","NG")</f>
        <v>OK</v>
      </c>
      <c r="C17" s="90">
        <v>15029</v>
      </c>
      <c r="D17" s="14" t="str">
        <f ca="1">VLOOKUP($C17,OFFSET([2]quests!$A$1,0,0,COUNTA([2]quests!$A:$A),MATCH(D$1,[2]quests!$1:$1,0)-MATCH($C$1,[2]quests!$1:$1,0)+1),MATCH(D$1,[2]quests!$1:$1,0)-MATCH($C$1,[2]quests!$1:$1,0)+1,FALSE)</f>
        <v>29. 雪の望郷</v>
      </c>
      <c r="E17" s="14" t="str">
        <f ca="1">VLOOKUP($C17,OFFSET([2]quests!$A$1,0,0,COUNTA([2]quests!$A:$A),MATCH(E$1,[2]quests!$1:$1,0)-MATCH($C$1,[2]quests!$1:$1,0)+1),MATCH(E$1,[2]quests!$1:$1,0)-MATCH($C$1,[2]quests!$1:$1,0)+1,FALSE)</f>
        <v>緑黄DL6</v>
      </c>
      <c r="F17" s="91">
        <v>4</v>
      </c>
      <c r="G17" s="17" t="str">
        <f t="shared" si="3"/>
        <v>15029_4</v>
      </c>
      <c r="H17" s="11" t="str">
        <f ca="1">VLOOKUP($G17,OFFSET([2]stages!$A$1,0,0,COUNTA([2]stages!$A:$A),MATCH(H$1,[2]stages!$2:$2,0)-MATCH($G$1,[2]stages!$2:$2,0)+1),MATCH(H$1,[2]stages!$2:$2,0)-MATCH($G$1,[2]stages!$2:$2,0)+1,FALSE)</f>
        <v>29-4. 【1回のみ】ボーナスステージ</v>
      </c>
      <c r="I17" s="91">
        <v>4</v>
      </c>
      <c r="J17" s="31">
        <v>60</v>
      </c>
      <c r="K17" s="201">
        <v>60</v>
      </c>
    </row>
    <row r="18" spans="1:11" ht="21" customHeight="1" thickBot="1" x14ac:dyDescent="0.2">
      <c r="A18" s="138" t="str">
        <f t="shared" si="2"/>
        <v>15029_4-5</v>
      </c>
      <c r="B18" s="202" t="str">
        <f>IF(COUNTIF(enemy_habitats!$H:$H,A18),"OK","NG")</f>
        <v>OK</v>
      </c>
      <c r="C18" s="151">
        <v>15029</v>
      </c>
      <c r="D18" s="203" t="str">
        <f ca="1">VLOOKUP($C18,OFFSET([2]quests!$A$1,0,0,COUNTA([2]quests!$A:$A),MATCH(D$1,[2]quests!$1:$1,0)-MATCH($C$1,[2]quests!$1:$1,0)+1),MATCH(D$1,[2]quests!$1:$1,0)-MATCH($C$1,[2]quests!$1:$1,0)+1,FALSE)</f>
        <v>29. 雪の望郷</v>
      </c>
      <c r="E18" s="203" t="str">
        <f ca="1">VLOOKUP($C18,OFFSET([2]quests!$A$1,0,0,COUNTA([2]quests!$A:$A),MATCH(E$1,[2]quests!$1:$1,0)-MATCH($C$1,[2]quests!$1:$1,0)+1),MATCH(E$1,[2]quests!$1:$1,0)-MATCH($C$1,[2]quests!$1:$1,0)+1,FALSE)</f>
        <v>緑黄DL6</v>
      </c>
      <c r="F18" s="176">
        <v>4</v>
      </c>
      <c r="G18" s="204" t="str">
        <f t="shared" si="3"/>
        <v>15029_4</v>
      </c>
      <c r="H18" s="141" t="str">
        <f ca="1">VLOOKUP($G18,OFFSET([2]stages!$A$1,0,0,COUNTA([2]stages!$A:$A),MATCH(H$1,[2]stages!$2:$2,0)-MATCH($G$1,[2]stages!$2:$2,0)+1),MATCH(H$1,[2]stages!$2:$2,0)-MATCH($G$1,[2]stages!$2:$2,0)+1,FALSE)</f>
        <v>29-4. 【1回のみ】ボーナスステージ</v>
      </c>
      <c r="I18" s="176">
        <v>5</v>
      </c>
      <c r="J18" s="143">
        <v>60</v>
      </c>
      <c r="K18" s="205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44"/>
  <sheetViews>
    <sheetView showGridLines="0" tabSelected="1" workbookViewId="0">
      <pane xSplit="17" ySplit="1" topLeftCell="AA2" activePane="bottomRight" state="frozen"/>
      <selection pane="topRight" activeCell="N1" sqref="N1"/>
      <selection pane="bottomLeft" activeCell="A2" sqref="A2"/>
      <selection pane="bottomRight"/>
    </sheetView>
  </sheetViews>
  <sheetFormatPr baseColWidth="12" defaultColWidth="13" defaultRowHeight="21" customHeight="1" outlineLevelCol="1" x14ac:dyDescent="0.15"/>
  <cols>
    <col min="1" max="1" width="15.83203125" style="15" bestFit="1" customWidth="1"/>
    <col min="2" max="2" width="10.83203125" style="2" bestFit="1" customWidth="1"/>
    <col min="3" max="3" width="10.6640625" style="2" bestFit="1" customWidth="1" collapsed="1"/>
    <col min="4" max="4" width="13" style="10" hidden="1" customWidth="1" outlineLevel="1"/>
    <col min="5" max="5" width="5.33203125" style="2" hidden="1" customWidth="1" outlineLevel="1"/>
    <col min="6" max="6" width="16.1640625" style="2" hidden="1" customWidth="1" outlineLevel="1"/>
    <col min="7" max="7" width="10" style="2" bestFit="1" customWidth="1" collapsed="1"/>
    <col min="8" max="10" width="12.33203125" style="2" hidden="1" customWidth="1" outlineLevel="1"/>
    <col min="11" max="11" width="12.33203125" style="2" customWidth="1"/>
    <col min="12" max="12" width="13.5" style="7" bestFit="1" customWidth="1"/>
    <col min="13" max="13" width="16" style="2" customWidth="1" outlineLevel="1"/>
    <col min="14" max="14" width="8.6640625" style="2" customWidth="1" outlineLevel="1"/>
    <col min="15" max="15" width="12" style="2" customWidth="1" outlineLevel="1"/>
    <col min="16" max="16" width="21" style="2" customWidth="1" outlineLevel="1"/>
    <col min="17" max="17" width="8" style="2" customWidth="1" outlineLevel="1"/>
    <col min="18" max="18" width="8.33203125" style="2" bestFit="1" customWidth="1"/>
    <col min="19" max="19" width="14.83203125" style="2" bestFit="1" customWidth="1"/>
    <col min="20" max="20" width="17.5" style="2" bestFit="1" customWidth="1"/>
    <col min="21" max="21" width="18.33203125" style="2" bestFit="1" customWidth="1"/>
    <col min="22" max="22" width="10" style="2" customWidth="1"/>
    <col min="23" max="23" width="12.1640625" style="2" customWidth="1" outlineLevel="1"/>
    <col min="24" max="24" width="11.33203125" style="2" bestFit="1" customWidth="1"/>
    <col min="25" max="25" width="11.6640625" style="2" bestFit="1" customWidth="1"/>
    <col min="26" max="26" width="10.6640625" style="2" bestFit="1" customWidth="1"/>
    <col min="27" max="27" width="9.33203125" style="2" bestFit="1" customWidth="1"/>
    <col min="28" max="28" width="13" style="2" bestFit="1" customWidth="1"/>
    <col min="29" max="29" width="9.5" style="9" customWidth="1" outlineLevel="1"/>
    <col min="30" max="30" width="8" style="10" bestFit="1" customWidth="1" outlineLevel="1"/>
    <col min="31" max="31" width="12" style="10" bestFit="1" customWidth="1" outlineLevel="1"/>
    <col min="32" max="32" width="15" style="8" bestFit="1" customWidth="1" collapsed="1"/>
    <col min="33" max="34" width="14.83203125" style="2" bestFit="1" customWidth="1"/>
    <col min="35" max="35" width="6.6640625" style="2" bestFit="1" customWidth="1"/>
    <col min="36" max="36" width="9.33203125" style="2" bestFit="1" customWidth="1"/>
    <col min="37" max="37" width="10.33203125" style="2" bestFit="1" customWidth="1"/>
    <col min="38" max="38" width="7.6640625" style="2" bestFit="1" customWidth="1"/>
    <col min="39" max="39" width="4" style="2" bestFit="1" customWidth="1"/>
    <col min="40" max="16384" width="13" style="2"/>
  </cols>
  <sheetData>
    <row r="1" spans="1:40" s="28" customFormat="1" ht="21" customHeight="1" x14ac:dyDescent="0.15">
      <c r="A1" s="21" t="s">
        <v>29</v>
      </c>
      <c r="B1" s="27" t="s">
        <v>0</v>
      </c>
      <c r="C1" s="27" t="s">
        <v>1</v>
      </c>
      <c r="D1" s="104" t="s">
        <v>28</v>
      </c>
      <c r="E1" s="104" t="s">
        <v>20</v>
      </c>
      <c r="F1" s="104" t="s">
        <v>20</v>
      </c>
      <c r="G1" s="27" t="s">
        <v>19</v>
      </c>
      <c r="H1" s="104" t="s">
        <v>35</v>
      </c>
      <c r="I1" s="104" t="s">
        <v>14</v>
      </c>
      <c r="J1" s="104" t="s">
        <v>15</v>
      </c>
      <c r="K1" s="105" t="s">
        <v>53</v>
      </c>
      <c r="L1" s="105" t="s">
        <v>2</v>
      </c>
      <c r="M1" s="106" t="s">
        <v>21</v>
      </c>
      <c r="N1" s="104" t="s">
        <v>24</v>
      </c>
      <c r="O1" s="104" t="s">
        <v>23</v>
      </c>
      <c r="P1" s="107" t="s">
        <v>26</v>
      </c>
      <c r="Q1" s="104" t="s">
        <v>25</v>
      </c>
      <c r="R1" s="27" t="s">
        <v>3</v>
      </c>
      <c r="S1" s="27" t="s">
        <v>48</v>
      </c>
      <c r="T1" s="27" t="s">
        <v>50</v>
      </c>
      <c r="U1" s="27" t="s">
        <v>52</v>
      </c>
      <c r="V1" s="104" t="s">
        <v>31</v>
      </c>
      <c r="W1" s="27" t="s">
        <v>4</v>
      </c>
      <c r="X1" s="27" t="s">
        <v>5</v>
      </c>
      <c r="Y1" s="27" t="s">
        <v>6</v>
      </c>
      <c r="Z1" s="27" t="s">
        <v>7</v>
      </c>
      <c r="AA1" s="27" t="s">
        <v>8</v>
      </c>
      <c r="AB1" s="27" t="s">
        <v>9</v>
      </c>
      <c r="AC1" s="108" t="s">
        <v>16</v>
      </c>
      <c r="AD1" s="108" t="s">
        <v>17</v>
      </c>
      <c r="AE1" s="108" t="s">
        <v>27</v>
      </c>
      <c r="AF1" s="27" t="s">
        <v>10</v>
      </c>
      <c r="AG1" s="27" t="s">
        <v>11</v>
      </c>
      <c r="AH1" s="27" t="s">
        <v>12</v>
      </c>
      <c r="AI1" s="27" t="s">
        <v>38</v>
      </c>
      <c r="AJ1" s="27" t="s">
        <v>40</v>
      </c>
      <c r="AK1" s="27" t="s">
        <v>42</v>
      </c>
      <c r="AL1" s="27" t="s">
        <v>44</v>
      </c>
      <c r="AM1" s="27" t="s">
        <v>46</v>
      </c>
      <c r="AN1" s="105" t="s">
        <v>180</v>
      </c>
    </row>
    <row r="2" spans="1:40" s="62" customFormat="1" ht="21" customHeight="1" x14ac:dyDescent="0.15">
      <c r="A2" s="228" t="str">
        <f t="shared" ref="A2:A3" si="0">B2&amp;"_"&amp;C2&amp;"-"&amp;G2&amp;"/"&amp;L2&amp;"&lt;lv"&amp;R2&amp;"&gt;s"&amp;AA2</f>
        <v>15029_1-1/350&lt;lv70&gt;s2</v>
      </c>
      <c r="B2" s="214">
        <v>15029</v>
      </c>
      <c r="C2" s="93">
        <v>1</v>
      </c>
      <c r="D2" s="11" t="str">
        <f t="shared" ref="D2:D3" si="1">B2&amp;"_"&amp;C2</f>
        <v>15029_1</v>
      </c>
      <c r="E2" s="14" t="str">
        <f ca="1">VLOOKUP($B2,OFFSET([2]quests!$A$1,0,0,COUNTA([2]quests!$A:$A),MATCH(E$1,[2]quests!$1:$1,0)-MATCH($B$1,[2]quests!$1:$1,0)+1),MATCH(E$1,[2]quests!$1:$1,0)-MATCH($B$1,[2]quests!$1:$1,0)+1,FALSE)</f>
        <v>29. 雪の望郷</v>
      </c>
      <c r="F2" s="14" t="str">
        <f ca="1">VLOOKUP($D2,OFFSET([2]stages!$A$1,0,0,COUNTA([2]stages!$A:$A),MATCH(F$1,[2]stages!$2:$2,0)-MATCH($D$1,[2]stages!$2:$2,0)+1),MATCH(F$1,[2]stages!$2:$2,0)-MATCH($D$1,[2]stages!$2:$2,0)+1,FALSE)</f>
        <v>29-1. 雪の中のケモノたち</v>
      </c>
      <c r="G2" s="93">
        <v>1</v>
      </c>
      <c r="H2" s="11" t="str">
        <f t="shared" ref="H2:H3" si="2">B2&amp;"_"&amp;C2&amp;"-"&amp;G2</f>
        <v>15029_1-1</v>
      </c>
      <c r="I2" s="14">
        <f ca="1">VLOOKUP($H2,OFFSET(floors!$A$1,0,0,COUNTA(floors!$A:$A),MATCH(I$1,floors!$1:$1,0)-MATCH($H$1,floors!$1:$1,0)+1),MATCH(I$1,floors!$1:$1,0)-MATCH($H$1,floors!$1:$1,0)+1,FALSE)</f>
        <v>50</v>
      </c>
      <c r="J2" s="14">
        <f ca="1">VLOOKUP($H2,OFFSET(floors!$A$1,0,0,COUNTA(floors!$A:$A),MATCH(J$1,floors!$1:$1,0)-MATCH($H$1,floors!$1:$1,0)+1),MATCH(J$1,floors!$1:$1,0)-MATCH($H$1,floors!$1:$1,0)+1,FALSE)</f>
        <v>50</v>
      </c>
      <c r="K2" s="31" t="s">
        <v>89</v>
      </c>
      <c r="L2" s="97">
        <v>350</v>
      </c>
      <c r="M2" s="14" t="str">
        <f ca="1">VLOOKUP($L2,OFFSET([3]enemies!$A$1,0,0,COUNTA([3]enemies!$A:$A),MATCH(M$1,[3]enemies!$1:$1,0)-MATCH($L$1,[3]enemies!$1:$1,0)+1),MATCH(M$1,[3]enemies!$1:$1,0)-MATCH($L$1,[3]enemies!$1:$1,0)+1,FALSE)</f>
        <v>森のケロケロ</v>
      </c>
      <c r="N2" s="14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4" t="str">
        <f ca="1">VLOOKUP($L2,OFFSET([4]characters!$A$1,0,0,COUNTA([4]characters!$A:$A),MATCH(O$1,[4]characters!$1:$1,0)-MATCH($L$1,[4]characters!$1:$1,0)+1),MATCH(O$1,[4]characters!$1:$1,0)-MATCH($L$1,[4]characters!$1:$1,0)+1,FALSE)</f>
        <v>Material</v>
      </c>
      <c r="P2" s="14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4">
        <f ca="1">VLOOKUP($L2,OFFSET([3]enemies!$A$1,0,0,COUNTA([3]enemies!$A:$A),MATCH(Q$1,[3]enemies!$1:$1,0)-MATCH($L$1,[3]enemies!$1:$1,0)+1),MATCH(Q$1,[3]enemies!$1:$1,0)-MATCH($L$1,[3]enemies!$1:$1,0)+1,FALSE)</f>
        <v>15</v>
      </c>
      <c r="R2" s="211">
        <v>70</v>
      </c>
      <c r="S2" s="210">
        <v>1</v>
      </c>
      <c r="T2" s="210">
        <v>1</v>
      </c>
      <c r="U2" s="211">
        <v>0</v>
      </c>
      <c r="V2" s="14" t="e">
        <f ca="1">VLOOKUP($W2,OFFSET(enemy_skill_sets!$B$1,0,0,COUNTA(enemy_skill_sets!$B:$B),MATCH(M$1,enemy_skill_sets!$1:$1,0)-MATCH($W$1,enemy_skill_sets!$1:$1,0)+2),MATCH(M$1,enemy_skill_sets!$1:$1,0)-MATCH($W$1,enemy_skill_sets!$1:$1,0)+2,FALSE)</f>
        <v>#N/A</v>
      </c>
      <c r="W2" s="14">
        <v>0</v>
      </c>
      <c r="X2" s="102">
        <v>0</v>
      </c>
      <c r="Y2" s="102">
        <v>30</v>
      </c>
      <c r="Z2" s="102">
        <v>1</v>
      </c>
      <c r="AA2" s="14">
        <v>2</v>
      </c>
      <c r="AB2" s="103">
        <f t="shared" ref="AB2:AB3" si="3">L2</f>
        <v>350</v>
      </c>
      <c r="AC2" s="1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森のケロケロ</v>
      </c>
      <c r="AD2" s="14">
        <f ca="1">VLOOKUP($AB2,OFFSET([4]characters!$A$1,0,0,COUNTA([4]characters!$A:$A),MATCH(AD$1,[4]characters!$1:$1,0)-MATCH("character_id",[4]characters!$1:$1,0)+1),MATCH(AD$1,[4]characters!$1:$1,0)-MATCH("character_id",[4]characters!$1:$1,0)+1,FALSE)</f>
        <v>2</v>
      </c>
      <c r="AE2" s="1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" s="90">
        <v>10</v>
      </c>
      <c r="AG2" s="103">
        <f t="shared" ref="AG2:AG3" ca="1" si="4">AD2</f>
        <v>2</v>
      </c>
      <c r="AH2" s="62">
        <v>20</v>
      </c>
      <c r="AI2" s="90">
        <v>0</v>
      </c>
      <c r="AJ2" s="90">
        <v>0</v>
      </c>
      <c r="AK2" s="90">
        <v>0</v>
      </c>
      <c r="AL2" s="90">
        <v>0</v>
      </c>
      <c r="AM2" s="90">
        <v>1</v>
      </c>
      <c r="AN2" s="62">
        <v>1</v>
      </c>
    </row>
    <row r="3" spans="1:40" s="62" customFormat="1" ht="21" customHeight="1" x14ac:dyDescent="0.15">
      <c r="A3" s="228" t="str">
        <f t="shared" si="0"/>
        <v>15029_1-1/354&lt;lv70&gt;s2</v>
      </c>
      <c r="B3" s="214">
        <v>15029</v>
      </c>
      <c r="C3" s="93">
        <v>1</v>
      </c>
      <c r="D3" s="11" t="str">
        <f t="shared" si="1"/>
        <v>15029_1</v>
      </c>
      <c r="E3" s="14" t="str">
        <f ca="1">VLOOKUP($B3,OFFSET([2]quests!$A$1,0,0,COUNTA([2]quests!$A:$A),MATCH(E$1,[2]quests!$1:$1,0)-MATCH($B$1,[2]quests!$1:$1,0)+1),MATCH(E$1,[2]quests!$1:$1,0)-MATCH($B$1,[2]quests!$1:$1,0)+1,FALSE)</f>
        <v>29. 雪の望郷</v>
      </c>
      <c r="F3" s="14" t="str">
        <f ca="1">VLOOKUP($D3,OFFSET([2]stages!$A$1,0,0,COUNTA([2]stages!$A:$A),MATCH(F$1,[2]stages!$2:$2,0)-MATCH($D$1,[2]stages!$2:$2,0)+1),MATCH(F$1,[2]stages!$2:$2,0)-MATCH($D$1,[2]stages!$2:$2,0)+1,FALSE)</f>
        <v>29-1. 雪の中のケモノたち</v>
      </c>
      <c r="G3" s="93">
        <v>1</v>
      </c>
      <c r="H3" s="11" t="str">
        <f t="shared" si="2"/>
        <v>15029_1-1</v>
      </c>
      <c r="I3" s="14">
        <f ca="1">VLOOKUP($H3,OFFSET(floors!$A$1,0,0,COUNTA(floors!$A:$A),MATCH(I$1,floors!$1:$1,0)-MATCH($H$1,floors!$1:$1,0)+1),MATCH(I$1,floors!$1:$1,0)-MATCH($H$1,floors!$1:$1,0)+1,FALSE)</f>
        <v>50</v>
      </c>
      <c r="J3" s="14">
        <f ca="1">VLOOKUP($H3,OFFSET(floors!$A$1,0,0,COUNTA(floors!$A:$A),MATCH(J$1,floors!$1:$1,0)-MATCH($H$1,floors!$1:$1,0)+1),MATCH(J$1,floors!$1:$1,0)-MATCH($H$1,floors!$1:$1,0)+1,FALSE)</f>
        <v>50</v>
      </c>
      <c r="K3" s="31" t="s">
        <v>90</v>
      </c>
      <c r="L3" s="97">
        <v>354</v>
      </c>
      <c r="M3" s="14" t="str">
        <f ca="1">VLOOKUP($L3,OFFSET([3]enemies!$A$1,0,0,COUNTA([3]enemies!$A:$A),MATCH(M$1,[3]enemies!$1:$1,0)-MATCH($L$1,[3]enemies!$1:$1,0)+1),MATCH(M$1,[3]enemies!$1:$1,0)-MATCH($L$1,[3]enemies!$1:$1,0)+1,FALSE)</f>
        <v>雷のケロケロ</v>
      </c>
      <c r="N3" s="14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4" t="str">
        <f ca="1">VLOOKUP($L3,OFFSET([4]characters!$A$1,0,0,COUNTA([4]characters!$A:$A),MATCH(O$1,[4]characters!$1:$1,0)-MATCH($L$1,[4]characters!$1:$1,0)+1),MATCH(O$1,[4]characters!$1:$1,0)-MATCH($L$1,[4]characters!$1:$1,0)+1,FALSE)</f>
        <v>Material</v>
      </c>
      <c r="P3" s="14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4">
        <f ca="1">VLOOKUP($L3,OFFSET([3]enemies!$A$1,0,0,COUNTA([3]enemies!$A:$A),MATCH(Q$1,[3]enemies!$1:$1,0)-MATCH($L$1,[3]enemies!$1:$1,0)+1),MATCH(Q$1,[3]enemies!$1:$1,0)-MATCH($L$1,[3]enemies!$1:$1,0)+1,FALSE)</f>
        <v>15</v>
      </c>
      <c r="R3" s="211">
        <v>70</v>
      </c>
      <c r="S3" s="210">
        <v>1</v>
      </c>
      <c r="T3" s="210">
        <v>1</v>
      </c>
      <c r="U3" s="211">
        <v>0</v>
      </c>
      <c r="V3" s="14" t="e">
        <f ca="1">VLOOKUP($W3,OFFSET(enemy_skill_sets!$B$1,0,0,COUNTA(enemy_skill_sets!$B:$B),MATCH(M$1,enemy_skill_sets!$1:$1,0)-MATCH($W$1,enemy_skill_sets!$1:$1,0)+2),MATCH(M$1,enemy_skill_sets!$1:$1,0)-MATCH($W$1,enemy_skill_sets!$1:$1,0)+2,FALSE)</f>
        <v>#N/A</v>
      </c>
      <c r="W3" s="14">
        <v>0</v>
      </c>
      <c r="X3" s="102">
        <v>0</v>
      </c>
      <c r="Y3" s="102">
        <v>30</v>
      </c>
      <c r="Z3" s="102">
        <v>1</v>
      </c>
      <c r="AA3" s="14">
        <v>2</v>
      </c>
      <c r="AB3" s="103">
        <f t="shared" si="3"/>
        <v>354</v>
      </c>
      <c r="AC3" s="1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雷のケロケロ</v>
      </c>
      <c r="AD3" s="14">
        <f ca="1">VLOOKUP($AB3,OFFSET([4]characters!$A$1,0,0,COUNTA([4]characters!$A:$A),MATCH(AD$1,[4]characters!$1:$1,0)-MATCH("character_id",[4]characters!$1:$1,0)+1),MATCH(AD$1,[4]characters!$1:$1,0)-MATCH("character_id",[4]characters!$1:$1,0)+1,FALSE)</f>
        <v>2</v>
      </c>
      <c r="AE3" s="1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" s="90">
        <v>10</v>
      </c>
      <c r="AG3" s="103">
        <f t="shared" ca="1" si="4"/>
        <v>2</v>
      </c>
      <c r="AH3" s="62">
        <v>20</v>
      </c>
      <c r="AI3" s="90">
        <v>0</v>
      </c>
      <c r="AJ3" s="90">
        <v>0</v>
      </c>
      <c r="AK3" s="90">
        <v>0</v>
      </c>
      <c r="AL3" s="90">
        <v>0</v>
      </c>
      <c r="AM3" s="90">
        <v>1</v>
      </c>
      <c r="AN3" s="62">
        <v>1</v>
      </c>
    </row>
    <row r="4" spans="1:40" s="137" customFormat="1" ht="21" customHeight="1" x14ac:dyDescent="0.15">
      <c r="A4" s="136" t="str">
        <f t="shared" ref="A4:A10" si="5">B4&amp;"_"&amp;C4&amp;"-"&amp;G4&amp;"/"&amp;L4&amp;"&lt;lv"&amp;R4&amp;"&gt;s"&amp;AA4</f>
        <v>15029_1-1/24&lt;lv70&gt;s1</v>
      </c>
      <c r="B4" s="92">
        <v>15029</v>
      </c>
      <c r="C4" s="110">
        <v>1</v>
      </c>
      <c r="D4" s="109" t="str">
        <f t="shared" ref="D4:D10" si="6">B4&amp;"_"&amp;C4</f>
        <v>15029_1</v>
      </c>
      <c r="E4" s="3" t="str">
        <f ca="1">VLOOKUP($B4,OFFSET([2]quests!$A$1,0,0,COUNTA([2]quests!$A:$A),MATCH(E$1,[2]quests!$1:$1,0)-MATCH($B$1,[2]quests!$1:$1,0)+1),MATCH(E$1,[2]quests!$1:$1,0)-MATCH($B$1,[2]quests!$1:$1,0)+1,FALSE)</f>
        <v>29. 雪の望郷</v>
      </c>
      <c r="F4" s="3" t="str">
        <f ca="1">VLOOKUP($D4,OFFSET([2]stages!$A$1,0,0,COUNTA([2]stages!$A:$A),MATCH(F$1,[2]stages!$2:$2,0)-MATCH($D$1,[2]stages!$2:$2,0)+1),MATCH(F$1,[2]stages!$2:$2,0)-MATCH($D$1,[2]stages!$2:$2,0)+1,FALSE)</f>
        <v>29-1. 雪の中のケモノたち</v>
      </c>
      <c r="G4" s="110">
        <v>1</v>
      </c>
      <c r="H4" s="109" t="str">
        <f t="shared" ref="H4:H10" si="7">B4&amp;"_"&amp;C4&amp;"-"&amp;G4</f>
        <v>15029_1-1</v>
      </c>
      <c r="I4" s="3">
        <f ca="1">VLOOKUP($H4,OFFSET(floors!$A$1,0,0,COUNTA(floors!$A:$A),MATCH(I$1,floors!$1:$1,0)-MATCH($H$1,floors!$1:$1,0)+1),MATCH(I$1,floors!$1:$1,0)-MATCH($H$1,floors!$1:$1,0)+1,FALSE)</f>
        <v>50</v>
      </c>
      <c r="J4" s="3">
        <f ca="1">VLOOKUP($H4,OFFSET(floors!$A$1,0,0,COUNTA(floors!$A:$A),MATCH(J$1,floors!$1:$1,0)-MATCH($H$1,floors!$1:$1,0)+1),MATCH(J$1,floors!$1:$1,0)-MATCH($H$1,floors!$1:$1,0)+1,FALSE)</f>
        <v>50</v>
      </c>
      <c r="K4" s="111" t="s">
        <v>89</v>
      </c>
      <c r="L4" s="112">
        <v>24</v>
      </c>
      <c r="M4" s="13" t="str">
        <f ca="1">VLOOKUP($L4,OFFSET([3]enemies!$A$1,0,0,COUNTA([3]enemies!$A:$A),MATCH(M$1,[3]enemies!$1:$1,0)-MATCH($L$1,[3]enemies!$1:$1,0)+1),MATCH(M$1,[3]enemies!$1:$1,0)-MATCH($L$1,[3]enemies!$1:$1,0)+1,FALSE)</f>
        <v>天翔のミール</v>
      </c>
      <c r="N4" s="13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3" t="str">
        <f ca="1">VLOOKUP($L4,OFFSET([4]characters!$A$1,0,0,COUNTA([4]characters!$A:$A),MATCH(O$1,[4]characters!$1:$1,0)-MATCH($L$1,[4]characters!$1:$1,0)+1),MATCH(O$1,[4]characters!$1:$1,0)-MATCH($L$1,[4]characters!$1:$1,0)+1,FALSE)</f>
        <v>Drop1N</v>
      </c>
      <c r="P4" s="13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3">
        <f ca="1">VLOOKUP($L4,OFFSET([3]enemies!$A$1,0,0,COUNTA([3]enemies!$A:$A),MATCH(Q$1,[3]enemies!$1:$1,0)-MATCH($L$1,[3]enemies!$1:$1,0)+1),MATCH(Q$1,[3]enemies!$1:$1,0)-MATCH($L$1,[3]enemies!$1:$1,0)+1,FALSE)</f>
        <v>15</v>
      </c>
      <c r="R4" s="113">
        <v>70</v>
      </c>
      <c r="S4" s="114">
        <v>2</v>
      </c>
      <c r="T4" s="114">
        <v>1</v>
      </c>
      <c r="U4" s="113">
        <v>0</v>
      </c>
      <c r="V4" s="226" t="e">
        <f ca="1">VLOOKUP($W4,OFFSET(enemy_skill_sets!$B$1,0,0,COUNTA(enemy_skill_sets!$B:$B),MATCH(M$1,enemy_skill_sets!$1:$1,0)-MATCH($W$1,enemy_skill_sets!$1:$1,0)+2),MATCH(M$1,enemy_skill_sets!$1:$1,0)-MATCH($W$1,enemy_skill_sets!$1:$1,0)+2,FALSE)</f>
        <v>#N/A</v>
      </c>
      <c r="W4" s="227">
        <v>0</v>
      </c>
      <c r="X4" s="100">
        <v>1</v>
      </c>
      <c r="Y4" s="101">
        <v>100</v>
      </c>
      <c r="Z4" s="101">
        <v>0</v>
      </c>
      <c r="AA4" s="13">
        <v>1</v>
      </c>
      <c r="AB4" s="115">
        <f t="shared" ref="AB4:AB10" si="8">L4</f>
        <v>24</v>
      </c>
      <c r="AC4" s="3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天翔のミール</v>
      </c>
      <c r="AD4" s="3">
        <f ca="1">VLOOKUP($AB4,OFFSET([4]characters!$A$1,0,0,COUNTA([4]characters!$A:$A),MATCH(AD$1,[4]characters!$1:$1,0)-MATCH("character_id",[4]characters!$1:$1,0)+1),MATCH(AD$1,[4]characters!$1:$1,0)-MATCH("character_id",[4]characters!$1:$1,0)+1,FALSE)</f>
        <v>2</v>
      </c>
      <c r="AE4" s="3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Drop1N</v>
      </c>
      <c r="AF4" s="116">
        <v>1</v>
      </c>
      <c r="AG4" s="115">
        <f t="shared" ref="AG4:AG10" ca="1" si="9">AD4</f>
        <v>2</v>
      </c>
      <c r="AH4" s="117">
        <v>20</v>
      </c>
      <c r="AI4" s="116">
        <v>0</v>
      </c>
      <c r="AJ4" s="116">
        <v>0</v>
      </c>
      <c r="AK4" s="116">
        <v>0</v>
      </c>
      <c r="AL4" s="116">
        <v>0</v>
      </c>
      <c r="AM4" s="116">
        <v>1</v>
      </c>
      <c r="AN4" s="118">
        <v>1</v>
      </c>
    </row>
    <row r="5" spans="1:40" s="137" customFormat="1" ht="21" customHeight="1" x14ac:dyDescent="0.15">
      <c r="A5" s="136" t="str">
        <f t="shared" si="5"/>
        <v>15029_1-1/64&lt;lv70&gt;s2</v>
      </c>
      <c r="B5" s="92">
        <v>15029</v>
      </c>
      <c r="C5" s="93">
        <v>1</v>
      </c>
      <c r="D5" s="11" t="str">
        <f t="shared" si="6"/>
        <v>15029_1</v>
      </c>
      <c r="E5" s="3" t="str">
        <f ca="1">VLOOKUP($B5,OFFSET([2]quests!$A$1,0,0,COUNTA([2]quests!$A:$A),MATCH(E$1,[2]quests!$1:$1,0)-MATCH($B$1,[2]quests!$1:$1,0)+1),MATCH(E$1,[2]quests!$1:$1,0)-MATCH($B$1,[2]quests!$1:$1,0)+1,FALSE)</f>
        <v>29. 雪の望郷</v>
      </c>
      <c r="F5" s="3" t="str">
        <f ca="1">VLOOKUP($D5,OFFSET([2]stages!$A$1,0,0,COUNTA([2]stages!$A:$A),MATCH(F$1,[2]stages!$2:$2,0)-MATCH($D$1,[2]stages!$2:$2,0)+1),MATCH(F$1,[2]stages!$2:$2,0)-MATCH($D$1,[2]stages!$2:$2,0)+1,FALSE)</f>
        <v>29-1. 雪の中のケモノたち</v>
      </c>
      <c r="G5" s="93">
        <v>1</v>
      </c>
      <c r="H5" s="11" t="str">
        <f t="shared" si="7"/>
        <v>15029_1-1</v>
      </c>
      <c r="I5" s="3">
        <f ca="1">VLOOKUP($H5,OFFSET(floors!$A$1,0,0,COUNTA(floors!$A:$A),MATCH(I$1,floors!$1:$1,0)-MATCH($H$1,floors!$1:$1,0)+1),MATCH(I$1,floors!$1:$1,0)-MATCH($H$1,floors!$1:$1,0)+1,FALSE)</f>
        <v>50</v>
      </c>
      <c r="J5" s="3">
        <f ca="1">VLOOKUP($H5,OFFSET(floors!$A$1,0,0,COUNTA(floors!$A:$A),MATCH(J$1,floors!$1:$1,0)-MATCH($H$1,floors!$1:$1,0)+1),MATCH(J$1,floors!$1:$1,0)-MATCH($H$1,floors!$1:$1,0)+1,FALSE)</f>
        <v>50</v>
      </c>
      <c r="K5" s="31" t="s">
        <v>90</v>
      </c>
      <c r="L5" s="97">
        <v>64</v>
      </c>
      <c r="M5" s="13" t="str">
        <f ca="1">VLOOKUP($L5,OFFSET([3]enemies!$A$1,0,0,COUNTA([3]enemies!$A:$A),MATCH(M$1,[3]enemies!$1:$1,0)-MATCH($L$1,[3]enemies!$1:$1,0)+1),MATCH(M$1,[3]enemies!$1:$1,0)-MATCH($L$1,[3]enemies!$1:$1,0)+1,FALSE)</f>
        <v>フレイムエッジ トニー</v>
      </c>
      <c r="N5" s="13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3" t="str">
        <f ca="1">VLOOKUP($L5,OFFSET([4]characters!$A$1,0,0,COUNTA([4]characters!$A:$A),MATCH(O$1,[4]characters!$1:$1,0)-MATCH($L$1,[4]characters!$1:$1,0)+1),MATCH(O$1,[4]characters!$1:$1,0)-MATCH($L$1,[4]characters!$1:$1,0)+1,FALSE)</f>
        <v>Drop1N</v>
      </c>
      <c r="P5" s="13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3">
        <f ca="1">VLOOKUP($L5,OFFSET([3]enemies!$A$1,0,0,COUNTA([3]enemies!$A:$A),MATCH(Q$1,[3]enemies!$1:$1,0)-MATCH($L$1,[3]enemies!$1:$1,0)+1),MATCH(Q$1,[3]enemies!$1:$1,0)-MATCH($L$1,[3]enemies!$1:$1,0)+1,FALSE)</f>
        <v>20</v>
      </c>
      <c r="R5" s="4">
        <v>70</v>
      </c>
      <c r="S5" s="19">
        <v>2</v>
      </c>
      <c r="T5" s="19">
        <v>1</v>
      </c>
      <c r="U5" s="4">
        <v>0</v>
      </c>
      <c r="V5" s="181" t="str">
        <f ca="1">VLOOKUP($W5,OFFSET(enemy_skill_sets!$B$1,0,0,COUNTA(enemy_skill_sets!$B:$B),MATCH(M$1,enemy_skill_sets!$1:$1,0)-MATCH($W$1,enemy_skill_sets!$1:$1,0)+2),MATCH(M$1,enemy_skill_sets!$1:$1,0)-MATCH($W$1,enemy_skill_sets!$1:$1,0)+2,FALSE)</f>
        <v>2連続攻撃</v>
      </c>
      <c r="W5" s="182">
        <v>15029002</v>
      </c>
      <c r="X5" s="98">
        <v>0</v>
      </c>
      <c r="Y5" s="99">
        <v>100</v>
      </c>
      <c r="Z5" s="99">
        <v>2</v>
      </c>
      <c r="AA5" s="13">
        <v>2</v>
      </c>
      <c r="AB5" s="103">
        <f t="shared" si="8"/>
        <v>64</v>
      </c>
      <c r="AC5" s="3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フレイムエッジ トニー</v>
      </c>
      <c r="AD5" s="3">
        <f ca="1">VLOOKUP($AB5,OFFSET([4]characters!$A$1,0,0,COUNTA([4]characters!$A:$A),MATCH(AD$1,[4]characters!$1:$1,0)-MATCH("character_id",[4]characters!$1:$1,0)+1),MATCH(AD$1,[4]characters!$1:$1,0)-MATCH("character_id",[4]characters!$1:$1,0)+1,FALSE)</f>
        <v>3</v>
      </c>
      <c r="AE5" s="3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Drop1N</v>
      </c>
      <c r="AF5" s="90">
        <v>1</v>
      </c>
      <c r="AG5" s="103">
        <f t="shared" ca="1" si="9"/>
        <v>3</v>
      </c>
      <c r="AH5" s="6">
        <v>20</v>
      </c>
      <c r="AI5" s="90">
        <v>0</v>
      </c>
      <c r="AJ5" s="90">
        <v>0</v>
      </c>
      <c r="AK5" s="90">
        <v>0</v>
      </c>
      <c r="AL5" s="90">
        <v>0</v>
      </c>
      <c r="AM5" s="90">
        <v>1</v>
      </c>
      <c r="AN5" s="62">
        <v>1</v>
      </c>
    </row>
    <row r="6" spans="1:40" s="137" customFormat="1" ht="21" customHeight="1" x14ac:dyDescent="0.15">
      <c r="A6" s="136" t="str">
        <f t="shared" ref="A6" si="10">B6&amp;"_"&amp;C6&amp;"-"&amp;G6&amp;"/"&amp;L6&amp;"&lt;lv"&amp;R6&amp;"&gt;s"&amp;AA6</f>
        <v>15029_1-2/141&lt;lv70&gt;s2</v>
      </c>
      <c r="B6" s="92">
        <v>15029</v>
      </c>
      <c r="C6" s="93">
        <v>1</v>
      </c>
      <c r="D6" s="11" t="str">
        <f t="shared" ref="D6" si="11">B6&amp;"_"&amp;C6</f>
        <v>15029_1</v>
      </c>
      <c r="E6" s="3" t="str">
        <f ca="1">VLOOKUP($B6,OFFSET([2]quests!$A$1,0,0,COUNTA([2]quests!$A:$A),MATCH(E$1,[2]quests!$1:$1,0)-MATCH($B$1,[2]quests!$1:$1,0)+1),MATCH(E$1,[2]quests!$1:$1,0)-MATCH($B$1,[2]quests!$1:$1,0)+1,FALSE)</f>
        <v>29. 雪の望郷</v>
      </c>
      <c r="F6" s="3" t="str">
        <f ca="1">VLOOKUP($D6,OFFSET([2]stages!$A$1,0,0,COUNTA([2]stages!$A:$A),MATCH(F$1,[2]stages!$2:$2,0)-MATCH($D$1,[2]stages!$2:$2,0)+1),MATCH(F$1,[2]stages!$2:$2,0)-MATCH($D$1,[2]stages!$2:$2,0)+1,FALSE)</f>
        <v>29-1. 雪の中のケモノたち</v>
      </c>
      <c r="G6" s="94">
        <v>2</v>
      </c>
      <c r="H6" s="11" t="str">
        <f t="shared" ref="H6" si="12">B6&amp;"_"&amp;C6&amp;"-"&amp;G6</f>
        <v>15029_1-2</v>
      </c>
      <c r="I6" s="3">
        <f ca="1">VLOOKUP($H6,OFFSET(floors!$A$1,0,0,COUNTA(floors!$A:$A),MATCH(I$1,floors!$1:$1,0)-MATCH($H$1,floors!$1:$1,0)+1),MATCH(I$1,floors!$1:$1,0)-MATCH($H$1,floors!$1:$1,0)+1,FALSE)</f>
        <v>45</v>
      </c>
      <c r="J6" s="3">
        <f ca="1">VLOOKUP($H6,OFFSET(floors!$A$1,0,0,COUNTA(floors!$A:$A),MATCH(J$1,floors!$1:$1,0)-MATCH($H$1,floors!$1:$1,0)+1),MATCH(J$1,floors!$1:$1,0)-MATCH($H$1,floors!$1:$1,0)+1,FALSE)</f>
        <v>45</v>
      </c>
      <c r="K6" s="31" t="s">
        <v>89</v>
      </c>
      <c r="L6" s="97">
        <v>141</v>
      </c>
      <c r="M6" s="13" t="str">
        <f ca="1">VLOOKUP($L6,OFFSET([3]enemies!$A$1,0,0,COUNTA([3]enemies!$A:$A),MATCH(M$1,[3]enemies!$1:$1,0)-MATCH($L$1,[3]enemies!$1:$1,0)+1),MATCH(M$1,[3]enemies!$1:$1,0)-MATCH($L$1,[3]enemies!$1:$1,0)+1,FALSE)</f>
        <v>妖狐演舞 タマモ</v>
      </c>
      <c r="N6" s="13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13" t="str">
        <f ca="1">VLOOKUP($L6,OFFSET([4]characters!$A$1,0,0,COUNTA([4]characters!$A:$A),MATCH(O$1,[4]characters!$1:$1,0)-MATCH($L$1,[4]characters!$1:$1,0)+1),MATCH(O$1,[4]characters!$1:$1,0)-MATCH($L$1,[4]characters!$1:$1,0)+1,FALSE)</f>
        <v>PremiumW</v>
      </c>
      <c r="P6" s="13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3">
        <f ca="1">VLOOKUP($L6,OFFSET([3]enemies!$A$1,0,0,COUNTA([3]enemies!$A:$A),MATCH(Q$1,[3]enemies!$1:$1,0)-MATCH($L$1,[3]enemies!$1:$1,0)+1),MATCH(Q$1,[3]enemies!$1:$1,0)-MATCH($L$1,[3]enemies!$1:$1,0)+1,FALSE)</f>
        <v>30</v>
      </c>
      <c r="R6" s="4">
        <v>70</v>
      </c>
      <c r="S6" s="19">
        <v>1.8</v>
      </c>
      <c r="T6" s="19">
        <v>1.8</v>
      </c>
      <c r="U6" s="4">
        <v>0</v>
      </c>
      <c r="V6" s="181" t="str">
        <f ca="1">VLOOKUP($W6,OFFSET(enemy_skill_sets!$B$1,0,0,COUNTA(enemy_skill_sets!$B:$B),MATCH(M$1,enemy_skill_sets!$1:$1,0)-MATCH($W$1,enemy_skill_sets!$1:$1,0)+2),MATCH(M$1,enemy_skill_sets!$1:$1,0)-MATCH($W$1,enemy_skill_sets!$1:$1,0)+2,FALSE)</f>
        <v>ハートパネルを黄色パネルに変換</v>
      </c>
      <c r="W6" s="182">
        <v>15029026</v>
      </c>
      <c r="X6" s="100">
        <v>1</v>
      </c>
      <c r="Y6" s="101">
        <v>100</v>
      </c>
      <c r="Z6" s="101">
        <v>0</v>
      </c>
      <c r="AA6" s="13">
        <v>2</v>
      </c>
      <c r="AB6" s="103">
        <f t="shared" ref="AB6" si="13">L6</f>
        <v>141</v>
      </c>
      <c r="AC6" s="3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妖狐演舞 タマモ</v>
      </c>
      <c r="AD6" s="3">
        <f ca="1">VLOOKUP($AB6,OFFSET([4]characters!$A$1,0,0,COUNTA([4]characters!$A:$A),MATCH(AD$1,[4]characters!$1:$1,0)-MATCH("character_id",[4]characters!$1:$1,0)+1),MATCH(AD$1,[4]characters!$1:$1,0)-MATCH("character_id",[4]characters!$1:$1,0)+1,FALSE)</f>
        <v>4</v>
      </c>
      <c r="AE6" s="3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6" s="90">
        <v>1</v>
      </c>
      <c r="AG6" s="103">
        <f t="shared" ref="AG6" ca="1" si="14">AD6</f>
        <v>4</v>
      </c>
      <c r="AH6" s="6">
        <v>0</v>
      </c>
      <c r="AI6" s="90">
        <v>0</v>
      </c>
      <c r="AJ6" s="90">
        <v>0</v>
      </c>
      <c r="AK6" s="90">
        <v>0</v>
      </c>
      <c r="AL6" s="90">
        <v>0</v>
      </c>
      <c r="AM6" s="90">
        <v>1</v>
      </c>
      <c r="AN6" s="62">
        <v>1</v>
      </c>
    </row>
    <row r="7" spans="1:40" s="137" customFormat="1" ht="21" customHeight="1" x14ac:dyDescent="0.15">
      <c r="A7" s="136" t="str">
        <f t="shared" si="5"/>
        <v>15029_1-3/412&lt;lv70&gt;s2</v>
      </c>
      <c r="B7" s="92">
        <v>15029</v>
      </c>
      <c r="C7" s="93">
        <v>1</v>
      </c>
      <c r="D7" s="11" t="str">
        <f t="shared" si="6"/>
        <v>15029_1</v>
      </c>
      <c r="E7" s="3" t="str">
        <f ca="1">VLOOKUP($B7,OFFSET([2]quests!$A$1,0,0,COUNTA([2]quests!$A:$A),MATCH(E$1,[2]quests!$1:$1,0)-MATCH($B$1,[2]quests!$1:$1,0)+1),MATCH(E$1,[2]quests!$1:$1,0)-MATCH($B$1,[2]quests!$1:$1,0)+1,FALSE)</f>
        <v>29. 雪の望郷</v>
      </c>
      <c r="F7" s="3" t="str">
        <f ca="1">VLOOKUP($D7,OFFSET([2]stages!$A$1,0,0,COUNTA([2]stages!$A:$A),MATCH(F$1,[2]stages!$2:$2,0)-MATCH($D$1,[2]stages!$2:$2,0)+1),MATCH(F$1,[2]stages!$2:$2,0)-MATCH($D$1,[2]stages!$2:$2,0)+1,FALSE)</f>
        <v>29-1. 雪の中のケモノたち</v>
      </c>
      <c r="G7" s="95">
        <v>3</v>
      </c>
      <c r="H7" s="11" t="str">
        <f t="shared" si="7"/>
        <v>15029_1-3</v>
      </c>
      <c r="I7" s="3">
        <f ca="1">VLOOKUP($H7,OFFSET(floors!$A$1,0,0,COUNTA(floors!$A:$A),MATCH(I$1,floors!$1:$1,0)-MATCH($H$1,floors!$1:$1,0)+1),MATCH(I$1,floors!$1:$1,0)-MATCH($H$1,floors!$1:$1,0)+1,FALSE)</f>
        <v>45</v>
      </c>
      <c r="J7" s="3">
        <f ca="1">VLOOKUP($H7,OFFSET(floors!$A$1,0,0,COUNTA(floors!$A:$A),MATCH(J$1,floors!$1:$1,0)-MATCH($H$1,floors!$1:$1,0)+1),MATCH(J$1,floors!$1:$1,0)-MATCH($H$1,floors!$1:$1,0)+1,FALSE)</f>
        <v>45</v>
      </c>
      <c r="K7" s="31" t="s">
        <v>89</v>
      </c>
      <c r="L7" s="97">
        <v>412</v>
      </c>
      <c r="M7" s="13" t="str">
        <f ca="1">VLOOKUP($L7,OFFSET([3]enemies!$A$1,0,0,COUNTA([3]enemies!$A:$A),MATCH(M$1,[3]enemies!$1:$1,0)-MATCH($L$1,[3]enemies!$1:$1,0)+1),MATCH(M$1,[3]enemies!$1:$1,0)-MATCH($L$1,[3]enemies!$1:$1,0)+1,FALSE)</f>
        <v>コウネン</v>
      </c>
      <c r="N7" s="13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3" t="str">
        <f ca="1">VLOOKUP($L7,OFFSET([4]characters!$A$1,0,0,COUNTA([4]characters!$A:$A),MATCH(O$1,[4]characters!$1:$1,0)-MATCH($L$1,[4]characters!$1:$1,0)+1),MATCH(O$1,[4]characters!$1:$1,0)-MATCH($L$1,[4]characters!$1:$1,0)+1,FALSE)</f>
        <v>Drop1S</v>
      </c>
      <c r="P7" s="13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13">
        <f ca="1">VLOOKUP($L7,OFFSET([3]enemies!$A$1,0,0,COUNTA([3]enemies!$A:$A),MATCH(Q$1,[3]enemies!$1:$1,0)-MATCH($L$1,[3]enemies!$1:$1,0)+1),MATCH(Q$1,[3]enemies!$1:$1,0)-MATCH($L$1,[3]enemies!$1:$1,0)+1,FALSE)</f>
        <v>15</v>
      </c>
      <c r="R7" s="4">
        <v>70</v>
      </c>
      <c r="S7" s="19">
        <v>2</v>
      </c>
      <c r="T7" s="19">
        <v>1</v>
      </c>
      <c r="U7" s="4">
        <v>0</v>
      </c>
      <c r="V7" s="181" t="str">
        <f ca="1">VLOOKUP($W7,OFFSET(enemy_skill_sets!$B$1,0,0,COUNTA(enemy_skill_sets!$B:$B),MATCH(M$1,enemy_skill_sets!$1:$1,0)-MATCH($W$1,enemy_skill_sets!$1:$1,0)+2),MATCH(M$1,enemy_skill_sets!$1:$1,0)-MATCH($W$1,enemy_skill_sets!$1:$1,0)+2,FALSE)</f>
        <v>全ユニットの状態異常を解除してくれた</v>
      </c>
      <c r="W7" s="182">
        <v>15029003</v>
      </c>
      <c r="X7" s="100">
        <v>1</v>
      </c>
      <c r="Y7" s="101">
        <v>100</v>
      </c>
      <c r="Z7" s="101">
        <v>0</v>
      </c>
      <c r="AA7" s="13">
        <v>2</v>
      </c>
      <c r="AB7" s="103">
        <f t="shared" si="8"/>
        <v>412</v>
      </c>
      <c r="AC7" s="3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コウネン</v>
      </c>
      <c r="AD7" s="3">
        <f ca="1">VLOOKUP($AB7,OFFSET([4]characters!$A$1,0,0,COUNTA([4]characters!$A:$A),MATCH(AD$1,[4]characters!$1:$1,0)-MATCH("character_id",[4]characters!$1:$1,0)+1),MATCH(AD$1,[4]characters!$1:$1,0)-MATCH("character_id",[4]characters!$1:$1,0)+1,FALSE)</f>
        <v>2</v>
      </c>
      <c r="AE7" s="3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Drop1S</v>
      </c>
      <c r="AF7" s="90">
        <v>1</v>
      </c>
      <c r="AG7" s="103">
        <f t="shared" ca="1" si="9"/>
        <v>2</v>
      </c>
      <c r="AH7" s="6">
        <v>20</v>
      </c>
      <c r="AI7" s="90">
        <v>0</v>
      </c>
      <c r="AJ7" s="90">
        <v>0</v>
      </c>
      <c r="AK7" s="90">
        <v>0</v>
      </c>
      <c r="AL7" s="90">
        <v>0</v>
      </c>
      <c r="AM7" s="90">
        <v>1</v>
      </c>
      <c r="AN7" s="62">
        <v>1</v>
      </c>
    </row>
    <row r="8" spans="1:40" s="137" customFormat="1" ht="21" customHeight="1" x14ac:dyDescent="0.15">
      <c r="A8" s="136" t="str">
        <f t="shared" si="5"/>
        <v>15029_1-3/12&lt;lv70&gt;s2</v>
      </c>
      <c r="B8" s="92">
        <v>15029</v>
      </c>
      <c r="C8" s="93">
        <v>1</v>
      </c>
      <c r="D8" s="11" t="str">
        <f t="shared" si="6"/>
        <v>15029_1</v>
      </c>
      <c r="E8" s="3" t="str">
        <f ca="1">VLOOKUP($B8,OFFSET([2]quests!$A$1,0,0,COUNTA([2]quests!$A:$A),MATCH(E$1,[2]quests!$1:$1,0)-MATCH($B$1,[2]quests!$1:$1,0)+1),MATCH(E$1,[2]quests!$1:$1,0)-MATCH($B$1,[2]quests!$1:$1,0)+1,FALSE)</f>
        <v>29. 雪の望郷</v>
      </c>
      <c r="F8" s="3" t="str">
        <f ca="1">VLOOKUP($D8,OFFSET([2]stages!$A$1,0,0,COUNTA([2]stages!$A:$A),MATCH(F$1,[2]stages!$2:$2,0)-MATCH($D$1,[2]stages!$2:$2,0)+1),MATCH(F$1,[2]stages!$2:$2,0)-MATCH($D$1,[2]stages!$2:$2,0)+1,FALSE)</f>
        <v>29-1. 雪の中のケモノたち</v>
      </c>
      <c r="G8" s="95">
        <v>3</v>
      </c>
      <c r="H8" s="11" t="str">
        <f t="shared" si="7"/>
        <v>15029_1-3</v>
      </c>
      <c r="I8" s="3">
        <f ca="1">VLOOKUP($H8,OFFSET(floors!$A$1,0,0,COUNTA(floors!$A:$A),MATCH(I$1,floors!$1:$1,0)-MATCH($H$1,floors!$1:$1,0)+1),MATCH(I$1,floors!$1:$1,0)-MATCH($H$1,floors!$1:$1,0)+1,FALSE)</f>
        <v>45</v>
      </c>
      <c r="J8" s="3">
        <f ca="1">VLOOKUP($H8,OFFSET(floors!$A$1,0,0,COUNTA(floors!$A:$A),MATCH(J$1,floors!$1:$1,0)-MATCH($H$1,floors!$1:$1,0)+1),MATCH(J$1,floors!$1:$1,0)-MATCH($H$1,floors!$1:$1,0)+1,FALSE)</f>
        <v>45</v>
      </c>
      <c r="K8" s="31" t="s">
        <v>89</v>
      </c>
      <c r="L8" s="97">
        <v>12</v>
      </c>
      <c r="M8" s="13" t="str">
        <f ca="1">VLOOKUP($L8,OFFSET([3]enemies!$A$1,0,0,COUNTA([3]enemies!$A:$A),MATCH(M$1,[3]enemies!$1:$1,0)-MATCH($L$1,[3]enemies!$1:$1,0)+1),MATCH(M$1,[3]enemies!$1:$1,0)-MATCH($L$1,[3]enemies!$1:$1,0)+1,FALSE)</f>
        <v>癒しのグラフィティ マグリット</v>
      </c>
      <c r="N8" s="13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13" t="str">
        <f ca="1">VLOOKUP($L8,OFFSET([4]characters!$A$1,0,0,COUNTA([4]characters!$A:$A),MATCH(O$1,[4]characters!$1:$1,0)-MATCH($L$1,[4]characters!$1:$1,0)+1),MATCH(O$1,[4]characters!$1:$1,0)-MATCH($L$1,[4]characters!$1:$1,0)+1,FALSE)</f>
        <v>Drop1W</v>
      </c>
      <c r="P8" s="13" t="str">
        <f ca="1">VLOOKUP($L8,OFFSET([3]enemies!$A$1,0,0,COUNTA([3]enemies!$A:$A),MATCH(P$1,[3]enemies!$1:$1,0)-MATCH($L$1,[3]enemies!$1:$1,0)+1),MATCH(P$1,[3]enemies!$1:$1,0)-MATCH($L$1,[3]enemies!$1:$1,0)+1,FALSE)</f>
        <v>animal</v>
      </c>
      <c r="Q8" s="13">
        <f ca="1">VLOOKUP($L8,OFFSET([3]enemies!$A$1,0,0,COUNTA([3]enemies!$A:$A),MATCH(Q$1,[3]enemies!$1:$1,0)-MATCH($L$1,[3]enemies!$1:$1,0)+1),MATCH(Q$1,[3]enemies!$1:$1,0)-MATCH($L$1,[3]enemies!$1:$1,0)+1,FALSE)</f>
        <v>15</v>
      </c>
      <c r="R8" s="4">
        <v>70</v>
      </c>
      <c r="S8" s="19">
        <v>2</v>
      </c>
      <c r="T8" s="19">
        <v>1</v>
      </c>
      <c r="U8" s="4">
        <v>0</v>
      </c>
      <c r="V8" s="181" t="str">
        <f ca="1">VLOOKUP($W8,OFFSET(enemy_skill_sets!$B$1,0,0,COUNTA(enemy_skill_sets!$B:$B),MATCH(M$1,enemy_skill_sets!$1:$1,0)-MATCH($W$1,enemy_skill_sets!$1:$1,0)+2),MATCH(M$1,enemy_skill_sets!$1:$1,0)-MATCH($W$1,enemy_skill_sets!$1:$1,0)+2,FALSE)</f>
        <v>3ターンパネルの色がわからない</v>
      </c>
      <c r="W8" s="182">
        <v>15029004</v>
      </c>
      <c r="X8" s="100">
        <v>0</v>
      </c>
      <c r="Y8" s="101">
        <v>100</v>
      </c>
      <c r="Z8" s="101">
        <v>2</v>
      </c>
      <c r="AA8" s="13">
        <v>2</v>
      </c>
      <c r="AB8" s="103">
        <f t="shared" si="8"/>
        <v>12</v>
      </c>
      <c r="AC8" s="3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癒しのグラフィティ マグリット</v>
      </c>
      <c r="AD8" s="3">
        <f ca="1">VLOOKUP($AB8,OFFSET([4]characters!$A$1,0,0,COUNTA([4]characters!$A:$A),MATCH(AD$1,[4]characters!$1:$1,0)-MATCH("character_id",[4]characters!$1:$1,0)+1),MATCH(AD$1,[4]characters!$1:$1,0)-MATCH("character_id",[4]characters!$1:$1,0)+1,FALSE)</f>
        <v>2</v>
      </c>
      <c r="AE8" s="3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Drop1W</v>
      </c>
      <c r="AF8" s="90">
        <v>1</v>
      </c>
      <c r="AG8" s="103">
        <f t="shared" ca="1" si="9"/>
        <v>2</v>
      </c>
      <c r="AH8" s="6">
        <v>20</v>
      </c>
      <c r="AI8" s="90">
        <v>0</v>
      </c>
      <c r="AJ8" s="90">
        <v>0</v>
      </c>
      <c r="AK8" s="90">
        <v>0</v>
      </c>
      <c r="AL8" s="90">
        <v>0</v>
      </c>
      <c r="AM8" s="90">
        <v>1</v>
      </c>
      <c r="AN8" s="62">
        <v>1</v>
      </c>
    </row>
    <row r="9" spans="1:40" s="137" customFormat="1" ht="21" customHeight="1" x14ac:dyDescent="0.15">
      <c r="A9" s="136" t="str">
        <f t="shared" si="5"/>
        <v>15029_1-3/350&lt;lv50&gt;s2</v>
      </c>
      <c r="B9" s="92">
        <v>15029</v>
      </c>
      <c r="C9" s="93">
        <v>1</v>
      </c>
      <c r="D9" s="11" t="str">
        <f t="shared" si="6"/>
        <v>15029_1</v>
      </c>
      <c r="E9" s="3" t="str">
        <f ca="1">VLOOKUP($B9,OFFSET([2]quests!$A$1,0,0,COUNTA([2]quests!$A:$A),MATCH(E$1,[2]quests!$1:$1,0)-MATCH($B$1,[2]quests!$1:$1,0)+1),MATCH(E$1,[2]quests!$1:$1,0)-MATCH($B$1,[2]quests!$1:$1,0)+1,FALSE)</f>
        <v>29. 雪の望郷</v>
      </c>
      <c r="F9" s="3" t="str">
        <f ca="1">VLOOKUP($D9,OFFSET([2]stages!$A$1,0,0,COUNTA([2]stages!$A:$A),MATCH(F$1,[2]stages!$2:$2,0)-MATCH($D$1,[2]stages!$2:$2,0)+1),MATCH(F$1,[2]stages!$2:$2,0)-MATCH($D$1,[2]stages!$2:$2,0)+1,FALSE)</f>
        <v>29-1. 雪の中のケモノたち</v>
      </c>
      <c r="G9" s="95">
        <v>3</v>
      </c>
      <c r="H9" s="11" t="str">
        <f t="shared" si="7"/>
        <v>15029_1-3</v>
      </c>
      <c r="I9" s="3">
        <f ca="1">VLOOKUP($H9,OFFSET(floors!$A$1,0,0,COUNTA(floors!$A:$A),MATCH(I$1,floors!$1:$1,0)-MATCH($H$1,floors!$1:$1,0)+1),MATCH(I$1,floors!$1:$1,0)-MATCH($H$1,floors!$1:$1,0)+1,FALSE)</f>
        <v>45</v>
      </c>
      <c r="J9" s="3">
        <f ca="1">VLOOKUP($H9,OFFSET(floors!$A$1,0,0,COUNTA(floors!$A:$A),MATCH(J$1,floors!$1:$1,0)-MATCH($H$1,floors!$1:$1,0)+1),MATCH(J$1,floors!$1:$1,0)-MATCH($H$1,floors!$1:$1,0)+1,FALSE)</f>
        <v>45</v>
      </c>
      <c r="K9" s="31" t="s">
        <v>89</v>
      </c>
      <c r="L9" s="97">
        <v>350</v>
      </c>
      <c r="M9" s="13" t="str">
        <f ca="1">VLOOKUP($L9,OFFSET([3]enemies!$A$1,0,0,COUNTA([3]enemies!$A:$A),MATCH(M$1,[3]enemies!$1:$1,0)-MATCH($L$1,[3]enemies!$1:$1,0)+1),MATCH(M$1,[3]enemies!$1:$1,0)-MATCH($L$1,[3]enemies!$1:$1,0)+1,FALSE)</f>
        <v>森のケロケロ</v>
      </c>
      <c r="N9" s="13" t="str">
        <f ca="1">VLOOKUP($L9,OFFSET([3]enemies!$A$1,0,0,COUNTA([3]enemies!$A:$A),MATCH(N$1,[3]enemies!$1:$1,0)-MATCH($L$1,[3]enemies!$1:$1,0)+1),MATCH(N$1,[3]enemies!$1:$1,0)-MATCH($L$1,[3]enemies!$1:$1,0)+1,FALSE)</f>
        <v>green</v>
      </c>
      <c r="O9" s="13" t="str">
        <f ca="1">VLOOKUP($L9,OFFSET([4]characters!$A$1,0,0,COUNTA([4]characters!$A:$A),MATCH(O$1,[4]characters!$1:$1,0)-MATCH($L$1,[4]characters!$1:$1,0)+1),MATCH(O$1,[4]characters!$1:$1,0)-MATCH($L$1,[4]characters!$1:$1,0)+1,FALSE)</f>
        <v>Material</v>
      </c>
      <c r="P9" s="13" t="str">
        <f ca="1">VLOOKUP($L9,OFFSET([3]enemies!$A$1,0,0,COUNTA([3]enemies!$A:$A),MATCH(P$1,[3]enemies!$1:$1,0)-MATCH($L$1,[3]enemies!$1:$1,0)+1),MATCH(P$1,[3]enemies!$1:$1,0)-MATCH($L$1,[3]enemies!$1:$1,0)+1,FALSE)</f>
        <v>unknown</v>
      </c>
      <c r="Q9" s="13">
        <f ca="1">VLOOKUP($L9,OFFSET([3]enemies!$A$1,0,0,COUNTA([3]enemies!$A:$A),MATCH(Q$1,[3]enemies!$1:$1,0)-MATCH($L$1,[3]enemies!$1:$1,0)+1),MATCH(Q$1,[3]enemies!$1:$1,0)-MATCH($L$1,[3]enemies!$1:$1,0)+1,FALSE)</f>
        <v>15</v>
      </c>
      <c r="R9" s="4">
        <v>50</v>
      </c>
      <c r="S9" s="19">
        <v>1</v>
      </c>
      <c r="T9" s="19">
        <v>1</v>
      </c>
      <c r="U9" s="4">
        <v>0</v>
      </c>
      <c r="V9" s="181" t="e">
        <f ca="1">VLOOKUP($W9,OFFSET(enemy_skill_sets!$B$1,0,0,COUNTA(enemy_skill_sets!$B:$B),MATCH(M$1,enemy_skill_sets!$1:$1,0)-MATCH($W$1,enemy_skill_sets!$1:$1,0)+2),MATCH(M$1,enemy_skill_sets!$1:$1,0)-MATCH($W$1,enemy_skill_sets!$1:$1,0)+2,FALSE)</f>
        <v>#N/A</v>
      </c>
      <c r="W9" s="182">
        <v>0</v>
      </c>
      <c r="X9" s="100">
        <v>0</v>
      </c>
      <c r="Y9" s="101">
        <v>30</v>
      </c>
      <c r="Z9" s="101">
        <v>1</v>
      </c>
      <c r="AA9" s="13">
        <v>2</v>
      </c>
      <c r="AB9" s="103">
        <f t="shared" si="8"/>
        <v>350</v>
      </c>
      <c r="AC9" s="3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森のケロケロ</v>
      </c>
      <c r="AD9" s="3">
        <f ca="1">VLOOKUP($AB9,OFFSET([4]characters!$A$1,0,0,COUNTA([4]characters!$A:$A),MATCH(AD$1,[4]characters!$1:$1,0)-MATCH("character_id",[4]characters!$1:$1,0)+1),MATCH(AD$1,[4]characters!$1:$1,0)-MATCH("character_id",[4]characters!$1:$1,0)+1,FALSE)</f>
        <v>2</v>
      </c>
      <c r="AE9" s="3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9" s="90">
        <v>10</v>
      </c>
      <c r="AG9" s="103">
        <f t="shared" ca="1" si="9"/>
        <v>2</v>
      </c>
      <c r="AH9" s="6">
        <v>100</v>
      </c>
      <c r="AI9" s="90">
        <v>0</v>
      </c>
      <c r="AJ9" s="90">
        <v>0</v>
      </c>
      <c r="AK9" s="90">
        <v>0</v>
      </c>
      <c r="AL9" s="90">
        <v>0</v>
      </c>
      <c r="AM9" s="90">
        <v>1</v>
      </c>
      <c r="AN9" s="62">
        <v>1</v>
      </c>
    </row>
    <row r="10" spans="1:40" s="137" customFormat="1" ht="21" customHeight="1" x14ac:dyDescent="0.15">
      <c r="A10" s="136" t="str">
        <f t="shared" si="5"/>
        <v>15029_1-3/354&lt;lv50&gt;s2</v>
      </c>
      <c r="B10" s="92">
        <v>15029</v>
      </c>
      <c r="C10" s="93">
        <v>1</v>
      </c>
      <c r="D10" s="11" t="str">
        <f t="shared" si="6"/>
        <v>15029_1</v>
      </c>
      <c r="E10" s="3" t="str">
        <f ca="1">VLOOKUP($B10,OFFSET([2]quests!$A$1,0,0,COUNTA([2]quests!$A:$A),MATCH(E$1,[2]quests!$1:$1,0)-MATCH($B$1,[2]quests!$1:$1,0)+1),MATCH(E$1,[2]quests!$1:$1,0)-MATCH($B$1,[2]quests!$1:$1,0)+1,FALSE)</f>
        <v>29. 雪の望郷</v>
      </c>
      <c r="F10" s="3" t="str">
        <f ca="1">VLOOKUP($D10,OFFSET([2]stages!$A$1,0,0,COUNTA([2]stages!$A:$A),MATCH(F$1,[2]stages!$2:$2,0)-MATCH($D$1,[2]stages!$2:$2,0)+1),MATCH(F$1,[2]stages!$2:$2,0)-MATCH($D$1,[2]stages!$2:$2,0)+1,FALSE)</f>
        <v>29-1. 雪の中のケモノたち</v>
      </c>
      <c r="G10" s="95">
        <v>3</v>
      </c>
      <c r="H10" s="11" t="str">
        <f t="shared" si="7"/>
        <v>15029_1-3</v>
      </c>
      <c r="I10" s="3">
        <f ca="1">VLOOKUP($H10,OFFSET(floors!$A$1,0,0,COUNTA(floors!$A:$A),MATCH(I$1,floors!$1:$1,0)-MATCH($H$1,floors!$1:$1,0)+1),MATCH(I$1,floors!$1:$1,0)-MATCH($H$1,floors!$1:$1,0)+1,FALSE)</f>
        <v>45</v>
      </c>
      <c r="J10" s="3">
        <f ca="1">VLOOKUP($H10,OFFSET(floors!$A$1,0,0,COUNTA(floors!$A:$A),MATCH(J$1,floors!$1:$1,0)-MATCH($H$1,floors!$1:$1,0)+1),MATCH(J$1,floors!$1:$1,0)-MATCH($H$1,floors!$1:$1,0)+1,FALSE)</f>
        <v>45</v>
      </c>
      <c r="K10" s="31" t="s">
        <v>90</v>
      </c>
      <c r="L10" s="97">
        <v>354</v>
      </c>
      <c r="M10" s="13" t="str">
        <f ca="1">VLOOKUP($L10,OFFSET([3]enemies!$A$1,0,0,COUNTA([3]enemies!$A:$A),MATCH(M$1,[3]enemies!$1:$1,0)-MATCH($L$1,[3]enemies!$1:$1,0)+1),MATCH(M$1,[3]enemies!$1:$1,0)-MATCH($L$1,[3]enemies!$1:$1,0)+1,FALSE)</f>
        <v>雷のケロケロ</v>
      </c>
      <c r="N10" s="13" t="str">
        <f ca="1">VLOOKUP($L10,OFFSET([3]enemies!$A$1,0,0,COUNTA([3]enemies!$A:$A),MATCH(N$1,[3]enemies!$1:$1,0)-MATCH($L$1,[3]enemies!$1:$1,0)+1),MATCH(N$1,[3]enemies!$1:$1,0)-MATCH($L$1,[3]enemies!$1:$1,0)+1,FALSE)</f>
        <v>yellow</v>
      </c>
      <c r="O10" s="13" t="str">
        <f ca="1">VLOOKUP($L10,OFFSET([4]characters!$A$1,0,0,COUNTA([4]characters!$A:$A),MATCH(O$1,[4]characters!$1:$1,0)-MATCH($L$1,[4]characters!$1:$1,0)+1),MATCH(O$1,[4]characters!$1:$1,0)-MATCH($L$1,[4]characters!$1:$1,0)+1,FALSE)</f>
        <v>Material</v>
      </c>
      <c r="P10" s="13" t="str">
        <f ca="1">VLOOKUP($L10,OFFSET([3]enemies!$A$1,0,0,COUNTA([3]enemies!$A:$A),MATCH(P$1,[3]enemies!$1:$1,0)-MATCH($L$1,[3]enemies!$1:$1,0)+1),MATCH(P$1,[3]enemies!$1:$1,0)-MATCH($L$1,[3]enemies!$1:$1,0)+1,FALSE)</f>
        <v>unknown</v>
      </c>
      <c r="Q10" s="13">
        <f ca="1">VLOOKUP($L10,OFFSET([3]enemies!$A$1,0,0,COUNTA([3]enemies!$A:$A),MATCH(Q$1,[3]enemies!$1:$1,0)-MATCH($L$1,[3]enemies!$1:$1,0)+1),MATCH(Q$1,[3]enemies!$1:$1,0)-MATCH($L$1,[3]enemies!$1:$1,0)+1,FALSE)</f>
        <v>15</v>
      </c>
      <c r="R10" s="4">
        <v>50</v>
      </c>
      <c r="S10" s="19">
        <v>1</v>
      </c>
      <c r="T10" s="19">
        <v>1</v>
      </c>
      <c r="U10" s="4">
        <v>0</v>
      </c>
      <c r="V10" s="181" t="e">
        <f ca="1">VLOOKUP($W10,OFFSET(enemy_skill_sets!$B$1,0,0,COUNTA(enemy_skill_sets!$B:$B),MATCH(M$1,enemy_skill_sets!$1:$1,0)-MATCH($W$1,enemy_skill_sets!$1:$1,0)+2),MATCH(M$1,enemy_skill_sets!$1:$1,0)-MATCH($W$1,enemy_skill_sets!$1:$1,0)+2,FALSE)</f>
        <v>#N/A</v>
      </c>
      <c r="W10" s="182">
        <v>0</v>
      </c>
      <c r="X10" s="100">
        <v>0</v>
      </c>
      <c r="Y10" s="101">
        <v>30</v>
      </c>
      <c r="Z10" s="101">
        <v>1</v>
      </c>
      <c r="AA10" s="13">
        <v>2</v>
      </c>
      <c r="AB10" s="103">
        <f t="shared" si="8"/>
        <v>354</v>
      </c>
      <c r="AC10" s="3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雷のケロケロ</v>
      </c>
      <c r="AD10" s="3">
        <f ca="1">VLOOKUP($AB10,OFFSET([4]characters!$A$1,0,0,COUNTA([4]characters!$A:$A),MATCH(AD$1,[4]characters!$1:$1,0)-MATCH("character_id",[4]characters!$1:$1,0)+1),MATCH(AD$1,[4]characters!$1:$1,0)-MATCH("character_id",[4]characters!$1:$1,0)+1,FALSE)</f>
        <v>2</v>
      </c>
      <c r="AE10" s="3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0" s="90">
        <v>10</v>
      </c>
      <c r="AG10" s="103">
        <f t="shared" ca="1" si="9"/>
        <v>2</v>
      </c>
      <c r="AH10" s="6">
        <v>100</v>
      </c>
      <c r="AI10" s="90">
        <v>0</v>
      </c>
      <c r="AJ10" s="90">
        <v>0</v>
      </c>
      <c r="AK10" s="90">
        <v>0</v>
      </c>
      <c r="AL10" s="90">
        <v>0</v>
      </c>
      <c r="AM10" s="90">
        <v>1</v>
      </c>
      <c r="AN10" s="62">
        <v>1</v>
      </c>
    </row>
    <row r="11" spans="1:40" s="137" customFormat="1" ht="21" customHeight="1" x14ac:dyDescent="0.15">
      <c r="A11" s="136" t="str">
        <f t="shared" ref="A11:A44" si="15">B11&amp;"_"&amp;C11&amp;"-"&amp;G11&amp;"/"&amp;L11&amp;"&lt;lv"&amp;R11&amp;"&gt;s"&amp;AA11</f>
        <v>15029_1-4/362&lt;lv70&gt;s1</v>
      </c>
      <c r="B11" s="92">
        <v>15029</v>
      </c>
      <c r="C11" s="93">
        <v>1</v>
      </c>
      <c r="D11" s="11" t="str">
        <f t="shared" ref="D11:D44" si="16">B11&amp;"_"&amp;C11</f>
        <v>15029_1</v>
      </c>
      <c r="E11" s="3" t="str">
        <f ca="1">VLOOKUP($B11,OFFSET([2]quests!$A$1,0,0,COUNTA([2]quests!$A:$A),MATCH(E$1,[2]quests!$1:$1,0)-MATCH($B$1,[2]quests!$1:$1,0)+1),MATCH(E$1,[2]quests!$1:$1,0)-MATCH($B$1,[2]quests!$1:$1,0)+1,FALSE)</f>
        <v>29. 雪の望郷</v>
      </c>
      <c r="F11" s="3" t="str">
        <f ca="1">VLOOKUP($D11,OFFSET([2]stages!$A$1,0,0,COUNTA([2]stages!$A:$A),MATCH(F$1,[2]stages!$2:$2,0)-MATCH($D$1,[2]stages!$2:$2,0)+1),MATCH(F$1,[2]stages!$2:$2,0)-MATCH($D$1,[2]stages!$2:$2,0)+1,FALSE)</f>
        <v>29-1. 雪の中のケモノたち</v>
      </c>
      <c r="G11" s="96">
        <v>4</v>
      </c>
      <c r="H11" s="11" t="str">
        <f t="shared" ref="H11:H44" si="17">B11&amp;"_"&amp;C11&amp;"-"&amp;G11</f>
        <v>15029_1-4</v>
      </c>
      <c r="I11" s="3">
        <f ca="1">VLOOKUP($H11,OFFSET(floors!$A$1,0,0,COUNTA(floors!$A:$A),MATCH(I$1,floors!$1:$1,0)-MATCH($H$1,floors!$1:$1,0)+1),MATCH(I$1,floors!$1:$1,0)-MATCH($H$1,floors!$1:$1,0)+1,FALSE)</f>
        <v>60</v>
      </c>
      <c r="J11" s="3">
        <f ca="1">VLOOKUP($H11,OFFSET(floors!$A$1,0,0,COUNTA(floors!$A:$A),MATCH(J$1,floors!$1:$1,0)-MATCH($H$1,floors!$1:$1,0)+1),MATCH(J$1,floors!$1:$1,0)-MATCH($H$1,floors!$1:$1,0)+1,FALSE)</f>
        <v>60</v>
      </c>
      <c r="K11" s="31" t="s">
        <v>90</v>
      </c>
      <c r="L11" s="97">
        <v>362</v>
      </c>
      <c r="M11" s="13" t="str">
        <f ca="1">VLOOKUP($L11,OFFSET([3]enemies!$A$1,0,0,COUNTA([3]enemies!$A:$A),MATCH(M$1,[3]enemies!$1:$1,0)-MATCH($L$1,[3]enemies!$1:$1,0)+1),MATCH(M$1,[3]enemies!$1:$1,0)-MATCH($L$1,[3]enemies!$1:$1,0)+1,FALSE)</f>
        <v>ゆらら</v>
      </c>
      <c r="N11" s="13" t="str">
        <f ca="1">VLOOKUP($L11,OFFSET([3]enemies!$A$1,0,0,COUNTA([3]enemies!$A:$A),MATCH(N$1,[3]enemies!$1:$1,0)-MATCH($L$1,[3]enemies!$1:$1,0)+1),MATCH(N$1,[3]enemies!$1:$1,0)-MATCH($L$1,[3]enemies!$1:$1,0)+1,FALSE)</f>
        <v>green</v>
      </c>
      <c r="O11" s="13" t="str">
        <f ca="1">VLOOKUP($L11,OFFSET([4]characters!$A$1,0,0,COUNTA([4]characters!$A:$A),MATCH(O$1,[4]characters!$1:$1,0)-MATCH($L$1,[4]characters!$1:$1,0)+1),MATCH(O$1,[4]characters!$1:$1,0)-MATCH($L$1,[4]characters!$1:$1,0)+1,FALSE)</f>
        <v>Drop1S</v>
      </c>
      <c r="P11" s="13" t="str">
        <f ca="1">VLOOKUP($L11,OFFSET([3]enemies!$A$1,0,0,COUNTA([3]enemies!$A:$A),MATCH(P$1,[3]enemies!$1:$1,0)-MATCH($L$1,[3]enemies!$1:$1,0)+1),MATCH(P$1,[3]enemies!$1:$1,0)-MATCH($L$1,[3]enemies!$1:$1,0)+1,FALSE)</f>
        <v>animal</v>
      </c>
      <c r="Q11" s="13">
        <f ca="1">VLOOKUP($L11,OFFSET([3]enemies!$A$1,0,0,COUNTA([3]enemies!$A:$A),MATCH(Q$1,[3]enemies!$1:$1,0)-MATCH($L$1,[3]enemies!$1:$1,0)+1),MATCH(Q$1,[3]enemies!$1:$1,0)-MATCH($L$1,[3]enemies!$1:$1,0)+1,FALSE)</f>
        <v>15</v>
      </c>
      <c r="R11" s="4">
        <v>70</v>
      </c>
      <c r="S11" s="19">
        <v>3</v>
      </c>
      <c r="T11" s="19">
        <v>1</v>
      </c>
      <c r="U11" s="4">
        <v>0</v>
      </c>
      <c r="V11" s="181" t="str">
        <f ca="1">VLOOKUP($W11,OFFSET(enemy_skill_sets!$B$1,0,0,COUNTA(enemy_skill_sets!$B:$B),MATCH(M$1,enemy_skill_sets!$1:$1,0)-MATCH($W$1,enemy_skill_sets!$1:$1,0)+2),MATCH(M$1,enemy_skill_sets!$1:$1,0)-MATCH($W$1,enemy_skill_sets!$1:$1,0)+2,FALSE)</f>
        <v>2ターン赤パネルが使えない</v>
      </c>
      <c r="W11" s="182">
        <v>15029007</v>
      </c>
      <c r="X11" s="100">
        <v>2</v>
      </c>
      <c r="Y11" s="101">
        <v>100</v>
      </c>
      <c r="Z11" s="101">
        <v>2</v>
      </c>
      <c r="AA11" s="13">
        <v>1</v>
      </c>
      <c r="AB11" s="103">
        <f t="shared" ref="AB11:AB35" si="18">L11</f>
        <v>362</v>
      </c>
      <c r="AC11" s="3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ゆらら</v>
      </c>
      <c r="AD11" s="3">
        <f ca="1">VLOOKUP($AB11,OFFSET([4]characters!$A$1,0,0,COUNTA([4]characters!$A:$A),MATCH(AD$1,[4]characters!$1:$1,0)-MATCH("character_id",[4]characters!$1:$1,0)+1),MATCH(AD$1,[4]characters!$1:$1,0)-MATCH("character_id",[4]characters!$1:$1,0)+1,FALSE)</f>
        <v>2</v>
      </c>
      <c r="AE11" s="3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Drop1S</v>
      </c>
      <c r="AF11" s="90">
        <v>1</v>
      </c>
      <c r="AG11" s="103">
        <f t="shared" ref="AG11:AG44" ca="1" si="19">AD11</f>
        <v>2</v>
      </c>
      <c r="AH11" s="6">
        <v>0</v>
      </c>
      <c r="AI11" s="90">
        <v>0</v>
      </c>
      <c r="AJ11" s="90">
        <v>0</v>
      </c>
      <c r="AK11" s="90">
        <v>0</v>
      </c>
      <c r="AL11" s="90">
        <v>0</v>
      </c>
      <c r="AM11" s="90">
        <v>1</v>
      </c>
      <c r="AN11" s="62">
        <v>1</v>
      </c>
    </row>
    <row r="12" spans="1:40" s="154" customFormat="1" ht="21" customHeight="1" thickBot="1" x14ac:dyDescent="0.2">
      <c r="A12" s="138" t="str">
        <f t="shared" si="15"/>
        <v>15029_1-4/594&lt;lv65&gt;s2</v>
      </c>
      <c r="B12" s="139">
        <v>15029</v>
      </c>
      <c r="C12" s="140">
        <v>1</v>
      </c>
      <c r="D12" s="141" t="str">
        <f t="shared" si="16"/>
        <v>15029_1</v>
      </c>
      <c r="E12" s="142" t="str">
        <f ca="1">VLOOKUP($B12,OFFSET([2]quests!$A$1,0,0,COUNTA([2]quests!$A:$A),MATCH(E$1,[2]quests!$1:$1,0)-MATCH($B$1,[2]quests!$1:$1,0)+1),MATCH(E$1,[2]quests!$1:$1,0)-MATCH($B$1,[2]quests!$1:$1,0)+1,FALSE)</f>
        <v>29. 雪の望郷</v>
      </c>
      <c r="F12" s="142" t="str">
        <f ca="1">VLOOKUP($D12,OFFSET([2]stages!$A$1,0,0,COUNTA([2]stages!$A:$A),MATCH(F$1,[2]stages!$2:$2,0)-MATCH($D$1,[2]stages!$2:$2,0)+1),MATCH(F$1,[2]stages!$2:$2,0)-MATCH($D$1,[2]stages!$2:$2,0)+1,FALSE)</f>
        <v>29-1. 雪の中のケモノたち</v>
      </c>
      <c r="G12" s="190">
        <v>4</v>
      </c>
      <c r="H12" s="141" t="str">
        <f t="shared" si="17"/>
        <v>15029_1-4</v>
      </c>
      <c r="I12" s="142">
        <f ca="1">VLOOKUP($H12,OFFSET(floors!$A$1,0,0,COUNTA(floors!$A:$A),MATCH(I$1,floors!$1:$1,0)-MATCH($H$1,floors!$1:$1,0)+1),MATCH(I$1,floors!$1:$1,0)-MATCH($H$1,floors!$1:$1,0)+1,FALSE)</f>
        <v>60</v>
      </c>
      <c r="J12" s="142">
        <f ca="1">VLOOKUP($H12,OFFSET(floors!$A$1,0,0,COUNTA(floors!$A:$A),MATCH(J$1,floors!$1:$1,0)-MATCH($H$1,floors!$1:$1,0)+1),MATCH(J$1,floors!$1:$1,0)-MATCH($H$1,floors!$1:$1,0)+1,FALSE)</f>
        <v>60</v>
      </c>
      <c r="K12" s="143" t="s">
        <v>90</v>
      </c>
      <c r="L12" s="144">
        <v>594</v>
      </c>
      <c r="M12" s="145" t="str">
        <f ca="1">VLOOKUP($L12,OFFSET([3]enemies!$A$1,0,0,COUNTA([3]enemies!$A:$A),MATCH(M$1,[3]enemies!$1:$1,0)-MATCH($L$1,[3]enemies!$1:$1,0)+1),MATCH(M$1,[3]enemies!$1:$1,0)-MATCH($L$1,[3]enemies!$1:$1,0)+1,FALSE)</f>
        <v>アルフヘイム</v>
      </c>
      <c r="N12" s="145" t="str">
        <f ca="1">VLOOKUP($L12,OFFSET([3]enemies!$A$1,0,0,COUNTA([3]enemies!$A:$A),MATCH(N$1,[3]enemies!$1:$1,0)-MATCH($L$1,[3]enemies!$1:$1,0)+1),MATCH(N$1,[3]enemies!$1:$1,0)-MATCH($L$1,[3]enemies!$1:$1,0)+1,FALSE)</f>
        <v>yellow</v>
      </c>
      <c r="O12" s="145" t="str">
        <f ca="1">VLOOKUP($L12,OFFSET([4]characters!$A$1,0,0,COUNTA([4]characters!$A:$A),MATCH(O$1,[4]characters!$1:$1,0)-MATCH($L$1,[4]characters!$1:$1,0)+1),MATCH(O$1,[4]characters!$1:$1,0)-MATCH($L$1,[4]characters!$1:$1,0)+1,FALSE)</f>
        <v>PremiumSS</v>
      </c>
      <c r="P12" s="145" t="str">
        <f ca="1">VLOOKUP($L12,OFFSET([3]enemies!$A$1,0,0,COUNTA([3]enemies!$A:$A),MATCH(P$1,[3]enemies!$1:$1,0)-MATCH($L$1,[3]enemies!$1:$1,0)+1),MATCH(P$1,[3]enemies!$1:$1,0)-MATCH($L$1,[3]enemies!$1:$1,0)+1,FALSE)</f>
        <v>dragon</v>
      </c>
      <c r="Q12" s="145">
        <f ca="1">VLOOKUP($L12,OFFSET([3]enemies!$A$1,0,0,COUNTA([3]enemies!$A:$A),MATCH(Q$1,[3]enemies!$1:$1,0)-MATCH($L$1,[3]enemies!$1:$1,0)+1),MATCH(Q$1,[3]enemies!$1:$1,0)-MATCH($L$1,[3]enemies!$1:$1,0)+1,FALSE)</f>
        <v>30</v>
      </c>
      <c r="R12" s="146">
        <v>65</v>
      </c>
      <c r="S12" s="147">
        <v>1.9</v>
      </c>
      <c r="T12" s="147">
        <v>0.6</v>
      </c>
      <c r="U12" s="146">
        <v>0</v>
      </c>
      <c r="V12" s="181" t="str">
        <f ca="1">VLOOKUP($W12,OFFSET(enemy_skill_sets!$B$1,0,0,COUNTA(enemy_skill_sets!$B:$B),MATCH(M$1,enemy_skill_sets!$1:$1,0)-MATCH($W$1,enemy_skill_sets!$1:$1,0)+2),MATCH(M$1,enemy_skill_sets!$1:$1,0)-MATCH($W$1,enemy_skill_sets!$1:$1,0)+2,FALSE)</f>
        <v>3ターン赤パネルの出現率UP</v>
      </c>
      <c r="W12" s="182">
        <v>15029008</v>
      </c>
      <c r="X12" s="148">
        <v>1</v>
      </c>
      <c r="Y12" s="149">
        <v>100</v>
      </c>
      <c r="Z12" s="149">
        <v>1</v>
      </c>
      <c r="AA12" s="145">
        <v>2</v>
      </c>
      <c r="AB12" s="150">
        <f t="shared" si="18"/>
        <v>594</v>
      </c>
      <c r="AC12" s="142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アルフヘイム</v>
      </c>
      <c r="AD12" s="142">
        <f ca="1">VLOOKUP($AB12,OFFSET([4]characters!$A$1,0,0,COUNTA([4]characters!$A:$A),MATCH(AD$1,[4]characters!$1:$1,0)-MATCH("character_id",[4]characters!$1:$1,0)+1),MATCH(AD$1,[4]characters!$1:$1,0)-MATCH("character_id",[4]characters!$1:$1,0)+1,FALSE)</f>
        <v>4</v>
      </c>
      <c r="AE12" s="142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12" s="151">
        <v>1</v>
      </c>
      <c r="AG12" s="150">
        <f t="shared" ca="1" si="19"/>
        <v>4</v>
      </c>
      <c r="AH12" s="152">
        <v>0</v>
      </c>
      <c r="AI12" s="151">
        <v>0</v>
      </c>
      <c r="AJ12" s="151">
        <v>0</v>
      </c>
      <c r="AK12" s="151">
        <v>0</v>
      </c>
      <c r="AL12" s="151">
        <v>0</v>
      </c>
      <c r="AM12" s="151">
        <v>1</v>
      </c>
      <c r="AN12" s="153">
        <v>1</v>
      </c>
    </row>
    <row r="13" spans="1:40" s="135" customFormat="1" ht="21" customHeight="1" x14ac:dyDescent="0.15">
      <c r="A13" s="119" t="str">
        <f t="shared" ref="A13" si="20">B13&amp;"_"&amp;C13&amp;"-"&amp;G13&amp;"/"&amp;L13&amp;"&lt;lv"&amp;R13&amp;"&gt;s"&amp;AA13</f>
        <v>15029_2-1/32&lt;lv70&gt;s2</v>
      </c>
      <c r="B13" s="120">
        <v>15029</v>
      </c>
      <c r="C13" s="156">
        <v>2</v>
      </c>
      <c r="D13" s="122" t="str">
        <f t="shared" ref="D13" si="21">B13&amp;"_"&amp;C13</f>
        <v>15029_2</v>
      </c>
      <c r="E13" s="123" t="str">
        <f ca="1">VLOOKUP($B13,OFFSET([2]quests!$A$1,0,0,COUNTA([2]quests!$A:$A),MATCH(E$1,[2]quests!$1:$1,0)-MATCH($B$1,[2]quests!$1:$1,0)+1),MATCH(E$1,[2]quests!$1:$1,0)-MATCH($B$1,[2]quests!$1:$1,0)+1,FALSE)</f>
        <v>29. 雪の望郷</v>
      </c>
      <c r="F13" s="123" t="str">
        <f ca="1">VLOOKUP($D13,OFFSET([2]stages!$A$1,0,0,COUNTA([2]stages!$A:$A),MATCH(F$1,[2]stages!$2:$2,0)-MATCH($D$1,[2]stages!$2:$2,0)+1),MATCH(F$1,[2]stages!$2:$2,0)-MATCH($D$1,[2]stages!$2:$2,0)+1,FALSE)</f>
        <v>29-2. ねこみみマフラー</v>
      </c>
      <c r="G13" s="121">
        <v>1</v>
      </c>
      <c r="H13" s="122" t="str">
        <f t="shared" ref="H13" si="22">B13&amp;"_"&amp;C13&amp;"-"&amp;G13</f>
        <v>15029_2-1</v>
      </c>
      <c r="I13" s="123">
        <f ca="1">VLOOKUP($H13,OFFSET(floors!$A$1,0,0,COUNTA(floors!$A:$A),MATCH(I$1,floors!$1:$1,0)-MATCH($H$1,floors!$1:$1,0)+1),MATCH(I$1,floors!$1:$1,0)-MATCH($H$1,floors!$1:$1,0)+1,FALSE)</f>
        <v>45</v>
      </c>
      <c r="J13" s="123">
        <f ca="1">VLOOKUP($H13,OFFSET(floors!$A$1,0,0,COUNTA(floors!$A:$A),MATCH(J$1,floors!$1:$1,0)-MATCH($H$1,floors!$1:$1,0)+1),MATCH(J$1,floors!$1:$1,0)-MATCH($H$1,floors!$1:$1,0)+1,FALSE)</f>
        <v>45</v>
      </c>
      <c r="K13" s="124" t="s">
        <v>89</v>
      </c>
      <c r="L13" s="125">
        <v>32</v>
      </c>
      <c r="M13" s="126" t="str">
        <f ca="1">VLOOKUP($L13,OFFSET([3]enemies!$A$1,0,0,COUNTA([3]enemies!$A:$A),MATCH(M$1,[3]enemies!$1:$1,0)-MATCH($L$1,[3]enemies!$1:$1,0)+1),MATCH(M$1,[3]enemies!$1:$1,0)-MATCH($L$1,[3]enemies!$1:$1,0)+1,FALSE)</f>
        <v>沈黙のジャミング マービー</v>
      </c>
      <c r="N13" s="126" t="str">
        <f ca="1">VLOOKUP($L13,OFFSET([3]enemies!$A$1,0,0,COUNTA([3]enemies!$A:$A),MATCH(N$1,[3]enemies!$1:$1,0)-MATCH($L$1,[3]enemies!$1:$1,0)+1),MATCH(N$1,[3]enemies!$1:$1,0)-MATCH($L$1,[3]enemies!$1:$1,0)+1,FALSE)</f>
        <v>yellow</v>
      </c>
      <c r="O13" s="126" t="str">
        <f ca="1">VLOOKUP($L13,OFFSET([4]characters!$A$1,0,0,COUNTA([4]characters!$A:$A),MATCH(O$1,[4]characters!$1:$1,0)-MATCH($L$1,[4]characters!$1:$1,0)+1),MATCH(O$1,[4]characters!$1:$1,0)-MATCH($L$1,[4]characters!$1:$1,0)+1,FALSE)</f>
        <v>Drop1N</v>
      </c>
      <c r="P13" s="126" t="str">
        <f ca="1">VLOOKUP($L13,OFFSET([3]enemies!$A$1,0,0,COUNTA([3]enemies!$A:$A),MATCH(P$1,[3]enemies!$1:$1,0)-MATCH($L$1,[3]enemies!$1:$1,0)+1),MATCH(P$1,[3]enemies!$1:$1,0)-MATCH($L$1,[3]enemies!$1:$1,0)+1,FALSE)</f>
        <v>machine</v>
      </c>
      <c r="Q13" s="126">
        <f ca="1">VLOOKUP($L13,OFFSET([3]enemies!$A$1,0,0,COUNTA([3]enemies!$A:$A),MATCH(Q$1,[3]enemies!$1:$1,0)-MATCH($L$1,[3]enemies!$1:$1,0)+1),MATCH(Q$1,[3]enemies!$1:$1,0)-MATCH($L$1,[3]enemies!$1:$1,0)+1,FALSE)</f>
        <v>15</v>
      </c>
      <c r="R13" s="127">
        <v>70</v>
      </c>
      <c r="S13" s="128">
        <v>2</v>
      </c>
      <c r="T13" s="128">
        <v>0.8</v>
      </c>
      <c r="U13" s="127">
        <v>0</v>
      </c>
      <c r="V13" s="181" t="e">
        <f ca="1">VLOOKUP($W13,OFFSET(enemy_skill_sets!$B$1,0,0,COUNTA(enemy_skill_sets!$B:$B),MATCH(M$1,enemy_skill_sets!$1:$1,0)-MATCH($W$1,enemy_skill_sets!$1:$1,0)+2),MATCH(M$1,enemy_skill_sets!$1:$1,0)-MATCH($W$1,enemy_skill_sets!$1:$1,0)+2,FALSE)</f>
        <v>#N/A</v>
      </c>
      <c r="W13" s="182">
        <v>0</v>
      </c>
      <c r="X13" s="129">
        <v>1</v>
      </c>
      <c r="Y13" s="130">
        <v>100</v>
      </c>
      <c r="Z13" s="130">
        <v>0</v>
      </c>
      <c r="AA13" s="126">
        <v>2</v>
      </c>
      <c r="AB13" s="131">
        <f t="shared" ref="AB13" si="23">L13</f>
        <v>32</v>
      </c>
      <c r="AC13" s="123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沈黙のジャミング マービー</v>
      </c>
      <c r="AD13" s="123">
        <f ca="1">VLOOKUP($AB13,OFFSET([4]characters!$A$1,0,0,COUNTA([4]characters!$A:$A),MATCH(AD$1,[4]characters!$1:$1,0)-MATCH("character_id",[4]characters!$1:$1,0)+1),MATCH(AD$1,[4]characters!$1:$1,0)-MATCH("character_id",[4]characters!$1:$1,0)+1,FALSE)</f>
        <v>2</v>
      </c>
      <c r="AE13" s="123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Drop1N</v>
      </c>
      <c r="AF13" s="132">
        <v>1</v>
      </c>
      <c r="AG13" s="131">
        <f t="shared" ref="AG13" ca="1" si="24">AD13</f>
        <v>2</v>
      </c>
      <c r="AH13" s="133">
        <v>20</v>
      </c>
      <c r="AI13" s="132">
        <v>0</v>
      </c>
      <c r="AJ13" s="132">
        <v>0</v>
      </c>
      <c r="AK13" s="132">
        <v>0</v>
      </c>
      <c r="AL13" s="132">
        <v>0</v>
      </c>
      <c r="AM13" s="132">
        <v>1</v>
      </c>
      <c r="AN13" s="134">
        <v>1</v>
      </c>
    </row>
    <row r="14" spans="1:40" s="137" customFormat="1" ht="21" customHeight="1" x14ac:dyDescent="0.15">
      <c r="A14" s="136" t="str">
        <f t="shared" si="15"/>
        <v>15029_2-1/372&lt;lv70&gt;s2</v>
      </c>
      <c r="B14" s="92">
        <v>15029</v>
      </c>
      <c r="C14" s="94">
        <v>2</v>
      </c>
      <c r="D14" s="11" t="str">
        <f t="shared" si="16"/>
        <v>15029_2</v>
      </c>
      <c r="E14" s="3" t="str">
        <f ca="1">VLOOKUP($B14,OFFSET([2]quests!$A$1,0,0,COUNTA([2]quests!$A:$A),MATCH(E$1,[2]quests!$1:$1,0)-MATCH($B$1,[2]quests!$1:$1,0)+1),MATCH(E$1,[2]quests!$1:$1,0)-MATCH($B$1,[2]quests!$1:$1,0)+1,FALSE)</f>
        <v>29. 雪の望郷</v>
      </c>
      <c r="F14" s="3" t="str">
        <f ca="1">VLOOKUP($D14,OFFSET([2]stages!$A$1,0,0,COUNTA([2]stages!$A:$A),MATCH(F$1,[2]stages!$2:$2,0)-MATCH($D$1,[2]stages!$2:$2,0)+1),MATCH(F$1,[2]stages!$2:$2,0)-MATCH($D$1,[2]stages!$2:$2,0)+1,FALSE)</f>
        <v>29-2. ねこみみマフラー</v>
      </c>
      <c r="G14" s="93">
        <v>1</v>
      </c>
      <c r="H14" s="11" t="str">
        <f t="shared" si="17"/>
        <v>15029_2-1</v>
      </c>
      <c r="I14" s="3">
        <f ca="1">VLOOKUP($H14,OFFSET(floors!$A$1,0,0,COUNTA(floors!$A:$A),MATCH(I$1,floors!$1:$1,0)-MATCH($H$1,floors!$1:$1,0)+1),MATCH(I$1,floors!$1:$1,0)-MATCH($H$1,floors!$1:$1,0)+1,FALSE)</f>
        <v>45</v>
      </c>
      <c r="J14" s="3">
        <f ca="1">VLOOKUP($H14,OFFSET(floors!$A$1,0,0,COUNTA(floors!$A:$A),MATCH(J$1,floors!$1:$1,0)-MATCH($H$1,floors!$1:$1,0)+1),MATCH(J$1,floors!$1:$1,0)-MATCH($H$1,floors!$1:$1,0)+1,FALSE)</f>
        <v>45</v>
      </c>
      <c r="K14" s="31" t="s">
        <v>90</v>
      </c>
      <c r="L14" s="158">
        <v>372</v>
      </c>
      <c r="M14" s="13" t="str">
        <f ca="1">VLOOKUP($L14,OFFSET([3]enemies!$A$1,0,0,COUNTA([3]enemies!$A:$A),MATCH(M$1,[3]enemies!$1:$1,0)-MATCH($L$1,[3]enemies!$1:$1,0)+1),MATCH(M$1,[3]enemies!$1:$1,0)-MATCH($L$1,[3]enemies!$1:$1,0)+1,FALSE)</f>
        <v>バショー</v>
      </c>
      <c r="N14" s="13" t="str">
        <f ca="1">VLOOKUP($L14,OFFSET([3]enemies!$A$1,0,0,COUNTA([3]enemies!$A:$A),MATCH(N$1,[3]enemies!$1:$1,0)-MATCH($L$1,[3]enemies!$1:$1,0)+1),MATCH(N$1,[3]enemies!$1:$1,0)-MATCH($L$1,[3]enemies!$1:$1,0)+1,FALSE)</f>
        <v>green</v>
      </c>
      <c r="O14" s="13" t="str">
        <f ca="1">VLOOKUP($L14,OFFSET([4]characters!$A$1,0,0,COUNTA([4]characters!$A:$A),MATCH(O$1,[4]characters!$1:$1,0)-MATCH($L$1,[4]characters!$1:$1,0)+1),MATCH(O$1,[4]characters!$1:$1,0)-MATCH($L$1,[4]characters!$1:$1,0)+1,FALSE)</f>
        <v>Drop1S</v>
      </c>
      <c r="P14" s="13" t="str">
        <f ca="1">VLOOKUP($L14,OFFSET([3]enemies!$A$1,0,0,COUNTA([3]enemies!$A:$A),MATCH(P$1,[3]enemies!$1:$1,0)-MATCH($L$1,[3]enemies!$1:$1,0)+1),MATCH(P$1,[3]enemies!$1:$1,0)-MATCH($L$1,[3]enemies!$1:$1,0)+1,FALSE)</f>
        <v>unknown</v>
      </c>
      <c r="Q14" s="13">
        <f ca="1">VLOOKUP($L14,OFFSET([3]enemies!$A$1,0,0,COUNTA([3]enemies!$A:$A),MATCH(Q$1,[3]enemies!$1:$1,0)-MATCH($L$1,[3]enemies!$1:$1,0)+1),MATCH(Q$1,[3]enemies!$1:$1,0)-MATCH($L$1,[3]enemies!$1:$1,0)+1,FALSE)</f>
        <v>15</v>
      </c>
      <c r="R14" s="4">
        <v>70</v>
      </c>
      <c r="S14" s="19">
        <v>2</v>
      </c>
      <c r="T14" s="19">
        <v>1</v>
      </c>
      <c r="U14" s="4">
        <v>0</v>
      </c>
      <c r="V14" s="181" t="str">
        <f ca="1">VLOOKUP($W14,OFFSET(enemy_skill_sets!$B$1,0,0,COUNTA(enemy_skill_sets!$B:$B),MATCH(M$1,enemy_skill_sets!$1:$1,0)-MATCH($W$1,enemy_skill_sets!$1:$1,0)+2),MATCH(M$1,enemy_skill_sets!$1:$1,0)-MATCH($W$1,enemy_skill_sets!$1:$1,0)+2,FALSE)</f>
        <v>3ターンハートパネルが無効</v>
      </c>
      <c r="W14" s="182">
        <v>15029010</v>
      </c>
      <c r="X14" s="100">
        <v>0</v>
      </c>
      <c r="Y14" s="101">
        <v>100</v>
      </c>
      <c r="Z14" s="101">
        <v>2</v>
      </c>
      <c r="AA14" s="13">
        <v>2</v>
      </c>
      <c r="AB14" s="103">
        <f t="shared" si="18"/>
        <v>372</v>
      </c>
      <c r="AC14" s="3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バショー</v>
      </c>
      <c r="AD14" s="3">
        <f ca="1">VLOOKUP($AB14,OFFSET([4]characters!$A$1,0,0,COUNTA([4]characters!$A:$A),MATCH(AD$1,[4]characters!$1:$1,0)-MATCH("character_id",[4]characters!$1:$1,0)+1),MATCH(AD$1,[4]characters!$1:$1,0)-MATCH("character_id",[4]characters!$1:$1,0)+1,FALSE)</f>
        <v>2</v>
      </c>
      <c r="AE14" s="3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Drop1S</v>
      </c>
      <c r="AF14" s="90">
        <v>1</v>
      </c>
      <c r="AG14" s="103">
        <f t="shared" ca="1" si="19"/>
        <v>2</v>
      </c>
      <c r="AH14" s="6">
        <v>20</v>
      </c>
      <c r="AI14" s="90">
        <v>0</v>
      </c>
      <c r="AJ14" s="90">
        <v>0</v>
      </c>
      <c r="AK14" s="90">
        <v>0</v>
      </c>
      <c r="AL14" s="90">
        <v>0</v>
      </c>
      <c r="AM14" s="90">
        <v>1</v>
      </c>
      <c r="AN14" s="62">
        <v>1</v>
      </c>
    </row>
    <row r="15" spans="1:40" s="137" customFormat="1" ht="21" customHeight="1" x14ac:dyDescent="0.15">
      <c r="A15" s="136" t="str">
        <f>B15&amp;"_"&amp;C15&amp;"-"&amp;G15&amp;"/"&amp;L15&amp;"&lt;lv"&amp;R15&amp;"&gt;s"&amp;AA15</f>
        <v>15029_2-1/350&lt;lv50&gt;s2</v>
      </c>
      <c r="B15" s="92">
        <v>15029</v>
      </c>
      <c r="C15" s="94">
        <v>2</v>
      </c>
      <c r="D15" s="11" t="str">
        <f>B15&amp;"_"&amp;C15</f>
        <v>15029_2</v>
      </c>
      <c r="E15" s="3" t="str">
        <f ca="1">VLOOKUP($B15,OFFSET([2]quests!$A$1,0,0,COUNTA([2]quests!$A:$A),MATCH(E$1,[2]quests!$1:$1,0)-MATCH($B$1,[2]quests!$1:$1,0)+1),MATCH(E$1,[2]quests!$1:$1,0)-MATCH($B$1,[2]quests!$1:$1,0)+1,FALSE)</f>
        <v>29. 雪の望郷</v>
      </c>
      <c r="F15" s="3" t="str">
        <f ca="1">VLOOKUP($D15,OFFSET([2]stages!$A$1,0,0,COUNTA([2]stages!$A:$A),MATCH(F$1,[2]stages!$2:$2,0)-MATCH($D$1,[2]stages!$2:$2,0)+1),MATCH(F$1,[2]stages!$2:$2,0)-MATCH($D$1,[2]stages!$2:$2,0)+1,FALSE)</f>
        <v>29-2. ねこみみマフラー</v>
      </c>
      <c r="G15" s="93">
        <v>1</v>
      </c>
      <c r="H15" s="11" t="str">
        <f>B15&amp;"_"&amp;C15&amp;"-"&amp;G15</f>
        <v>15029_2-1</v>
      </c>
      <c r="I15" s="3">
        <f ca="1">VLOOKUP($H15,OFFSET(floors!$A$1,0,0,COUNTA(floors!$A:$A),MATCH(I$1,floors!$1:$1,0)-MATCH($H$1,floors!$1:$1,0)+1),MATCH(I$1,floors!$1:$1,0)-MATCH($H$1,floors!$1:$1,0)+1,FALSE)</f>
        <v>45</v>
      </c>
      <c r="J15" s="3">
        <f ca="1">VLOOKUP($H15,OFFSET(floors!$A$1,0,0,COUNTA(floors!$A:$A),MATCH(J$1,floors!$1:$1,0)-MATCH($H$1,floors!$1:$1,0)+1),MATCH(J$1,floors!$1:$1,0)-MATCH($H$1,floors!$1:$1,0)+1,FALSE)</f>
        <v>45</v>
      </c>
      <c r="K15" s="31" t="s">
        <v>89</v>
      </c>
      <c r="L15" s="97">
        <v>350</v>
      </c>
      <c r="M15" s="13" t="str">
        <f ca="1">VLOOKUP($L15,OFFSET([3]enemies!$A$1,0,0,COUNTA([3]enemies!$A:$A),MATCH(M$1,[3]enemies!$1:$1,0)-MATCH($L$1,[3]enemies!$1:$1,0)+1),MATCH(M$1,[3]enemies!$1:$1,0)-MATCH($L$1,[3]enemies!$1:$1,0)+1,FALSE)</f>
        <v>森のケロケロ</v>
      </c>
      <c r="N15" s="13" t="str">
        <f ca="1">VLOOKUP($L15,OFFSET([3]enemies!$A$1,0,0,COUNTA([3]enemies!$A:$A),MATCH(N$1,[3]enemies!$1:$1,0)-MATCH($L$1,[3]enemies!$1:$1,0)+1),MATCH(N$1,[3]enemies!$1:$1,0)-MATCH($L$1,[3]enemies!$1:$1,0)+1,FALSE)</f>
        <v>green</v>
      </c>
      <c r="O15" s="13" t="str">
        <f ca="1">VLOOKUP($L15,OFFSET([4]characters!$A$1,0,0,COUNTA([4]characters!$A:$A),MATCH(O$1,[4]characters!$1:$1,0)-MATCH($L$1,[4]characters!$1:$1,0)+1),MATCH(O$1,[4]characters!$1:$1,0)-MATCH($L$1,[4]characters!$1:$1,0)+1,FALSE)</f>
        <v>Material</v>
      </c>
      <c r="P15" s="13" t="str">
        <f ca="1">VLOOKUP($L15,OFFSET([3]enemies!$A$1,0,0,COUNTA([3]enemies!$A:$A),MATCH(P$1,[3]enemies!$1:$1,0)-MATCH($L$1,[3]enemies!$1:$1,0)+1),MATCH(P$1,[3]enemies!$1:$1,0)-MATCH($L$1,[3]enemies!$1:$1,0)+1,FALSE)</f>
        <v>unknown</v>
      </c>
      <c r="Q15" s="13">
        <f ca="1">VLOOKUP($L15,OFFSET([3]enemies!$A$1,0,0,COUNTA([3]enemies!$A:$A),MATCH(Q$1,[3]enemies!$1:$1,0)-MATCH($L$1,[3]enemies!$1:$1,0)+1),MATCH(Q$1,[3]enemies!$1:$1,0)-MATCH($L$1,[3]enemies!$1:$1,0)+1,FALSE)</f>
        <v>15</v>
      </c>
      <c r="R15" s="4">
        <v>50</v>
      </c>
      <c r="S15" s="19">
        <v>1</v>
      </c>
      <c r="T15" s="19">
        <v>1</v>
      </c>
      <c r="U15" s="4">
        <v>0</v>
      </c>
      <c r="V15" s="181" t="e">
        <f ca="1">VLOOKUP($W15,OFFSET(enemy_skill_sets!$B$1,0,0,COUNTA(enemy_skill_sets!$B:$B),MATCH(M$1,enemy_skill_sets!$1:$1,0)-MATCH($W$1,enemy_skill_sets!$1:$1,0)+2),MATCH(M$1,enemy_skill_sets!$1:$1,0)-MATCH($W$1,enemy_skill_sets!$1:$1,0)+2,FALSE)</f>
        <v>#N/A</v>
      </c>
      <c r="W15" s="182">
        <v>0</v>
      </c>
      <c r="X15" s="100">
        <v>0</v>
      </c>
      <c r="Y15" s="101">
        <v>30</v>
      </c>
      <c r="Z15" s="101">
        <v>1</v>
      </c>
      <c r="AA15" s="13">
        <v>2</v>
      </c>
      <c r="AB15" s="103">
        <f>L15</f>
        <v>350</v>
      </c>
      <c r="AC15" s="3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森のケロケロ</v>
      </c>
      <c r="AD15" s="3">
        <f ca="1">VLOOKUP($AB15,OFFSET([4]characters!$A$1,0,0,COUNTA([4]characters!$A:$A),MATCH(AD$1,[4]characters!$1:$1,0)-MATCH("character_id",[4]characters!$1:$1,0)+1),MATCH(AD$1,[4]characters!$1:$1,0)-MATCH("character_id",[4]characters!$1:$1,0)+1,FALSE)</f>
        <v>2</v>
      </c>
      <c r="AE15" s="3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5" s="90">
        <v>10</v>
      </c>
      <c r="AG15" s="103">
        <f ca="1">AD15</f>
        <v>2</v>
      </c>
      <c r="AH15" s="6">
        <v>100</v>
      </c>
      <c r="AI15" s="90">
        <v>0</v>
      </c>
      <c r="AJ15" s="90">
        <v>0</v>
      </c>
      <c r="AK15" s="90">
        <v>0</v>
      </c>
      <c r="AL15" s="90">
        <v>0</v>
      </c>
      <c r="AM15" s="90">
        <v>1</v>
      </c>
      <c r="AN15" s="62">
        <v>1</v>
      </c>
    </row>
    <row r="16" spans="1:40" s="137" customFormat="1" ht="21" customHeight="1" x14ac:dyDescent="0.15">
      <c r="A16" s="136" t="str">
        <f>B16&amp;"_"&amp;C16&amp;"-"&amp;G16&amp;"/"&amp;L16&amp;"&lt;lv"&amp;R16&amp;"&gt;s"&amp;AA16</f>
        <v>15029_2-1/354&lt;lv50&gt;s2</v>
      </c>
      <c r="B16" s="92">
        <v>15029</v>
      </c>
      <c r="C16" s="94">
        <v>2</v>
      </c>
      <c r="D16" s="11" t="str">
        <f>B16&amp;"_"&amp;C16</f>
        <v>15029_2</v>
      </c>
      <c r="E16" s="3" t="str">
        <f ca="1">VLOOKUP($B16,OFFSET([2]quests!$A$1,0,0,COUNTA([2]quests!$A:$A),MATCH(E$1,[2]quests!$1:$1,0)-MATCH($B$1,[2]quests!$1:$1,0)+1),MATCH(E$1,[2]quests!$1:$1,0)-MATCH($B$1,[2]quests!$1:$1,0)+1,FALSE)</f>
        <v>29. 雪の望郷</v>
      </c>
      <c r="F16" s="3" t="str">
        <f ca="1">VLOOKUP($D16,OFFSET([2]stages!$A$1,0,0,COUNTA([2]stages!$A:$A),MATCH(F$1,[2]stages!$2:$2,0)-MATCH($D$1,[2]stages!$2:$2,0)+1),MATCH(F$1,[2]stages!$2:$2,0)-MATCH($D$1,[2]stages!$2:$2,0)+1,FALSE)</f>
        <v>29-2. ねこみみマフラー</v>
      </c>
      <c r="G16" s="93">
        <v>1</v>
      </c>
      <c r="H16" s="11" t="str">
        <f>B16&amp;"_"&amp;C16&amp;"-"&amp;G16</f>
        <v>15029_2-1</v>
      </c>
      <c r="I16" s="3">
        <f ca="1">VLOOKUP($H16,OFFSET(floors!$A$1,0,0,COUNTA(floors!$A:$A),MATCH(I$1,floors!$1:$1,0)-MATCH($H$1,floors!$1:$1,0)+1),MATCH(I$1,floors!$1:$1,0)-MATCH($H$1,floors!$1:$1,0)+1,FALSE)</f>
        <v>45</v>
      </c>
      <c r="J16" s="3">
        <f ca="1">VLOOKUP($H16,OFFSET(floors!$A$1,0,0,COUNTA(floors!$A:$A),MATCH(J$1,floors!$1:$1,0)-MATCH($H$1,floors!$1:$1,0)+1),MATCH(J$1,floors!$1:$1,0)-MATCH($H$1,floors!$1:$1,0)+1,FALSE)</f>
        <v>45</v>
      </c>
      <c r="K16" s="31" t="s">
        <v>89</v>
      </c>
      <c r="L16" s="97">
        <v>354</v>
      </c>
      <c r="M16" s="13" t="str">
        <f ca="1">VLOOKUP($L16,OFFSET([3]enemies!$A$1,0,0,COUNTA([3]enemies!$A:$A),MATCH(M$1,[3]enemies!$1:$1,0)-MATCH($L$1,[3]enemies!$1:$1,0)+1),MATCH(M$1,[3]enemies!$1:$1,0)-MATCH($L$1,[3]enemies!$1:$1,0)+1,FALSE)</f>
        <v>雷のケロケロ</v>
      </c>
      <c r="N16" s="13" t="str">
        <f ca="1">VLOOKUP($L16,OFFSET([3]enemies!$A$1,0,0,COUNTA([3]enemies!$A:$A),MATCH(N$1,[3]enemies!$1:$1,0)-MATCH($L$1,[3]enemies!$1:$1,0)+1),MATCH(N$1,[3]enemies!$1:$1,0)-MATCH($L$1,[3]enemies!$1:$1,0)+1,FALSE)</f>
        <v>yellow</v>
      </c>
      <c r="O16" s="13" t="str">
        <f ca="1">VLOOKUP($L16,OFFSET([4]characters!$A$1,0,0,COUNTA([4]characters!$A:$A),MATCH(O$1,[4]characters!$1:$1,0)-MATCH($L$1,[4]characters!$1:$1,0)+1),MATCH(O$1,[4]characters!$1:$1,0)-MATCH($L$1,[4]characters!$1:$1,0)+1,FALSE)</f>
        <v>Material</v>
      </c>
      <c r="P16" s="13" t="str">
        <f ca="1">VLOOKUP($L16,OFFSET([3]enemies!$A$1,0,0,COUNTA([3]enemies!$A:$A),MATCH(P$1,[3]enemies!$1:$1,0)-MATCH($L$1,[3]enemies!$1:$1,0)+1),MATCH(P$1,[3]enemies!$1:$1,0)-MATCH($L$1,[3]enemies!$1:$1,0)+1,FALSE)</f>
        <v>unknown</v>
      </c>
      <c r="Q16" s="13">
        <f ca="1">VLOOKUP($L16,OFFSET([3]enemies!$A$1,0,0,COUNTA([3]enemies!$A:$A),MATCH(Q$1,[3]enemies!$1:$1,0)-MATCH($L$1,[3]enemies!$1:$1,0)+1),MATCH(Q$1,[3]enemies!$1:$1,0)-MATCH($L$1,[3]enemies!$1:$1,0)+1,FALSE)</f>
        <v>15</v>
      </c>
      <c r="R16" s="4">
        <v>50</v>
      </c>
      <c r="S16" s="19">
        <v>1</v>
      </c>
      <c r="T16" s="19">
        <v>1</v>
      </c>
      <c r="U16" s="4">
        <v>0</v>
      </c>
      <c r="V16" s="181" t="e">
        <f ca="1">VLOOKUP($W16,OFFSET(enemy_skill_sets!$B$1,0,0,COUNTA(enemy_skill_sets!$B:$B),MATCH(M$1,enemy_skill_sets!$1:$1,0)-MATCH($W$1,enemy_skill_sets!$1:$1,0)+2),MATCH(M$1,enemy_skill_sets!$1:$1,0)-MATCH($W$1,enemy_skill_sets!$1:$1,0)+2,FALSE)</f>
        <v>#N/A</v>
      </c>
      <c r="W16" s="182">
        <v>0</v>
      </c>
      <c r="X16" s="100">
        <v>0</v>
      </c>
      <c r="Y16" s="101">
        <v>30</v>
      </c>
      <c r="Z16" s="101">
        <v>1</v>
      </c>
      <c r="AA16" s="13">
        <v>2</v>
      </c>
      <c r="AB16" s="103">
        <f>L16</f>
        <v>354</v>
      </c>
      <c r="AC16" s="3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雷のケロケロ</v>
      </c>
      <c r="AD16" s="3">
        <f ca="1">VLOOKUP($AB16,OFFSET([4]characters!$A$1,0,0,COUNTA([4]characters!$A:$A),MATCH(AD$1,[4]characters!$1:$1,0)-MATCH("character_id",[4]characters!$1:$1,0)+1),MATCH(AD$1,[4]characters!$1:$1,0)-MATCH("character_id",[4]characters!$1:$1,0)+1,FALSE)</f>
        <v>2</v>
      </c>
      <c r="AE16" s="3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6" s="90">
        <v>10</v>
      </c>
      <c r="AG16" s="103">
        <f ca="1">AD16</f>
        <v>2</v>
      </c>
      <c r="AH16" s="6">
        <v>100</v>
      </c>
      <c r="AI16" s="90">
        <v>0</v>
      </c>
      <c r="AJ16" s="90">
        <v>0</v>
      </c>
      <c r="AK16" s="90">
        <v>0</v>
      </c>
      <c r="AL16" s="90">
        <v>0</v>
      </c>
      <c r="AM16" s="90">
        <v>1</v>
      </c>
      <c r="AN16" s="62">
        <v>1</v>
      </c>
    </row>
    <row r="17" spans="1:40" s="137" customFormat="1" ht="21" customHeight="1" x14ac:dyDescent="0.15">
      <c r="A17" s="136" t="str">
        <f t="shared" ref="A17" si="25">B17&amp;"_"&amp;C17&amp;"-"&amp;G17&amp;"/"&amp;L17&amp;"&lt;lv"&amp;R17&amp;"&gt;s"&amp;AA17</f>
        <v>15029_2-2/7&lt;lv70&gt;s2</v>
      </c>
      <c r="B17" s="92">
        <v>15029</v>
      </c>
      <c r="C17" s="94">
        <v>2</v>
      </c>
      <c r="D17" s="11" t="str">
        <f t="shared" ref="D17" si="26">B17&amp;"_"&amp;C17</f>
        <v>15029_2</v>
      </c>
      <c r="E17" s="3" t="str">
        <f ca="1">VLOOKUP($B17,OFFSET([2]quests!$A$1,0,0,COUNTA([2]quests!$A:$A),MATCH(E$1,[2]quests!$1:$1,0)-MATCH($B$1,[2]quests!$1:$1,0)+1),MATCH(E$1,[2]quests!$1:$1,0)-MATCH($B$1,[2]quests!$1:$1,0)+1,FALSE)</f>
        <v>29. 雪の望郷</v>
      </c>
      <c r="F17" s="3" t="str">
        <f ca="1">VLOOKUP($D17,OFFSET([2]stages!$A$1,0,0,COUNTA([2]stages!$A:$A),MATCH(F$1,[2]stages!$2:$2,0)-MATCH($D$1,[2]stages!$2:$2,0)+1),MATCH(F$1,[2]stages!$2:$2,0)-MATCH($D$1,[2]stages!$2:$2,0)+1,FALSE)</f>
        <v>29-2. ねこみみマフラー</v>
      </c>
      <c r="G17" s="94">
        <v>2</v>
      </c>
      <c r="H17" s="11" t="str">
        <f t="shared" ref="H17" si="27">B17&amp;"_"&amp;C17&amp;"-"&amp;G17</f>
        <v>15029_2-2</v>
      </c>
      <c r="I17" s="3">
        <f ca="1">VLOOKUP($H17,OFFSET(floors!$A$1,0,0,COUNTA(floors!$A:$A),MATCH(I$1,floors!$1:$1,0)-MATCH($H$1,floors!$1:$1,0)+1),MATCH(I$1,floors!$1:$1,0)-MATCH($H$1,floors!$1:$1,0)+1,FALSE)</f>
        <v>60</v>
      </c>
      <c r="J17" s="3">
        <f ca="1">VLOOKUP($H17,OFFSET(floors!$A$1,0,0,COUNTA(floors!$A:$A),MATCH(J$1,floors!$1:$1,0)-MATCH($H$1,floors!$1:$1,0)+1),MATCH(J$1,floors!$1:$1,0)-MATCH($H$1,floors!$1:$1,0)+1,FALSE)</f>
        <v>60</v>
      </c>
      <c r="K17" s="31" t="s">
        <v>89</v>
      </c>
      <c r="L17" s="112">
        <v>7</v>
      </c>
      <c r="M17" s="13" t="str">
        <f ca="1">VLOOKUP($L17,OFFSET([3]enemies!$A$1,0,0,COUNTA([3]enemies!$A:$A),MATCH(M$1,[3]enemies!$1:$1,0)-MATCH($L$1,[3]enemies!$1:$1,0)+1),MATCH(M$1,[3]enemies!$1:$1,0)-MATCH($L$1,[3]enemies!$1:$1,0)+1,FALSE)</f>
        <v>エレキポット</v>
      </c>
      <c r="N17" s="13" t="str">
        <f ca="1">VLOOKUP($L17,OFFSET([3]enemies!$A$1,0,0,COUNTA([3]enemies!$A:$A),MATCH(N$1,[3]enemies!$1:$1,0)-MATCH($L$1,[3]enemies!$1:$1,0)+1),MATCH(N$1,[3]enemies!$1:$1,0)-MATCH($L$1,[3]enemies!$1:$1,0)+1,FALSE)</f>
        <v>yellow</v>
      </c>
      <c r="O17" s="13" t="str">
        <f ca="1">VLOOKUP($L17,OFFSET([4]characters!$A$1,0,0,COUNTA([4]characters!$A:$A),MATCH(O$1,[4]characters!$1:$1,0)-MATCH($L$1,[4]characters!$1:$1,0)+1),MATCH(O$1,[4]characters!$1:$1,0)-MATCH($L$1,[4]characters!$1:$1,0)+1,FALSE)</f>
        <v>Drop1T</v>
      </c>
      <c r="P17" s="13" t="str">
        <f ca="1">VLOOKUP($L17,OFFSET([3]enemies!$A$1,0,0,COUNTA([3]enemies!$A:$A),MATCH(P$1,[3]enemies!$1:$1,0)-MATCH($L$1,[3]enemies!$1:$1,0)+1),MATCH(P$1,[3]enemies!$1:$1,0)-MATCH($L$1,[3]enemies!$1:$1,0)+1,FALSE)</f>
        <v>unknown</v>
      </c>
      <c r="Q17" s="13">
        <f ca="1">VLOOKUP($L17,OFFSET([3]enemies!$A$1,0,0,COUNTA([3]enemies!$A:$A),MATCH(Q$1,[3]enemies!$1:$1,0)-MATCH($L$1,[3]enemies!$1:$1,0)+1),MATCH(Q$1,[3]enemies!$1:$1,0)-MATCH($L$1,[3]enemies!$1:$1,0)+1,FALSE)</f>
        <v>15</v>
      </c>
      <c r="R17" s="4">
        <v>70</v>
      </c>
      <c r="S17" s="19">
        <v>1.8</v>
      </c>
      <c r="T17" s="19">
        <v>1</v>
      </c>
      <c r="U17" s="4">
        <v>0</v>
      </c>
      <c r="V17" s="181" t="e">
        <f ca="1">VLOOKUP($W17,OFFSET(enemy_skill_sets!$B$1,0,0,COUNTA(enemy_skill_sets!$B:$B),MATCH(M$1,enemy_skill_sets!$1:$1,0)-MATCH($W$1,enemy_skill_sets!$1:$1,0)+2),MATCH(M$1,enemy_skill_sets!$1:$1,0)-MATCH($W$1,enemy_skill_sets!$1:$1,0)+2,FALSE)</f>
        <v>#N/A</v>
      </c>
      <c r="W17" s="182">
        <v>0</v>
      </c>
      <c r="X17" s="100">
        <v>2</v>
      </c>
      <c r="Y17" s="101">
        <v>100</v>
      </c>
      <c r="Z17" s="101">
        <v>0</v>
      </c>
      <c r="AA17" s="13">
        <v>2</v>
      </c>
      <c r="AB17" s="103">
        <f t="shared" ref="AB17" si="28">L17</f>
        <v>7</v>
      </c>
      <c r="AC17" s="3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エレキポット</v>
      </c>
      <c r="AD17" s="3">
        <f ca="1">VLOOKUP($AB17,OFFSET([4]characters!$A$1,0,0,COUNTA([4]characters!$A:$A),MATCH(AD$1,[4]characters!$1:$1,0)-MATCH("character_id",[4]characters!$1:$1,0)+1),MATCH(AD$1,[4]characters!$1:$1,0)-MATCH("character_id",[4]characters!$1:$1,0)+1,FALSE)</f>
        <v>1</v>
      </c>
      <c r="AE17" s="3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Drop1T</v>
      </c>
      <c r="AF17" s="90">
        <v>1</v>
      </c>
      <c r="AG17" s="103">
        <f t="shared" ref="AG17" ca="1" si="29">AD17</f>
        <v>1</v>
      </c>
      <c r="AH17" s="6">
        <v>0</v>
      </c>
      <c r="AI17" s="90">
        <v>0</v>
      </c>
      <c r="AJ17" s="90">
        <v>0</v>
      </c>
      <c r="AK17" s="90">
        <v>0</v>
      </c>
      <c r="AL17" s="90">
        <v>0</v>
      </c>
      <c r="AM17" s="90">
        <v>1</v>
      </c>
      <c r="AN17" s="62">
        <v>1</v>
      </c>
    </row>
    <row r="18" spans="1:40" s="137" customFormat="1" ht="21" customHeight="1" x14ac:dyDescent="0.15">
      <c r="A18" s="136" t="str">
        <f t="shared" si="15"/>
        <v>15029_2-2/161&lt;lv70&gt;s2</v>
      </c>
      <c r="B18" s="92">
        <v>15029</v>
      </c>
      <c r="C18" s="94">
        <v>2</v>
      </c>
      <c r="D18" s="11" t="str">
        <f t="shared" si="16"/>
        <v>15029_2</v>
      </c>
      <c r="E18" s="3" t="str">
        <f ca="1">VLOOKUP($B18,OFFSET([2]quests!$A$1,0,0,COUNTA([2]quests!$A:$A),MATCH(E$1,[2]quests!$1:$1,0)-MATCH($B$1,[2]quests!$1:$1,0)+1),MATCH(E$1,[2]quests!$1:$1,0)-MATCH($B$1,[2]quests!$1:$1,0)+1,FALSE)</f>
        <v>29. 雪の望郷</v>
      </c>
      <c r="F18" s="3" t="str">
        <f ca="1">VLOOKUP($D18,OFFSET([2]stages!$A$1,0,0,COUNTA([2]stages!$A:$A),MATCH(F$1,[2]stages!$2:$2,0)-MATCH($D$1,[2]stages!$2:$2,0)+1),MATCH(F$1,[2]stages!$2:$2,0)-MATCH($D$1,[2]stages!$2:$2,0)+1,FALSE)</f>
        <v>29-2. ねこみみマフラー</v>
      </c>
      <c r="G18" s="94">
        <v>2</v>
      </c>
      <c r="H18" s="11" t="str">
        <f t="shared" si="17"/>
        <v>15029_2-2</v>
      </c>
      <c r="I18" s="3">
        <f ca="1">VLOOKUP($H18,OFFSET(floors!$A$1,0,0,COUNTA(floors!$A:$A),MATCH(I$1,floors!$1:$1,0)-MATCH($H$1,floors!$1:$1,0)+1),MATCH(I$1,floors!$1:$1,0)-MATCH($H$1,floors!$1:$1,0)+1,FALSE)</f>
        <v>60</v>
      </c>
      <c r="J18" s="3">
        <f ca="1">VLOOKUP($H18,OFFSET(floors!$A$1,0,0,COUNTA(floors!$A:$A),MATCH(J$1,floors!$1:$1,0)-MATCH($H$1,floors!$1:$1,0)+1),MATCH(J$1,floors!$1:$1,0)-MATCH($H$1,floors!$1:$1,0)+1,FALSE)</f>
        <v>60</v>
      </c>
      <c r="K18" s="31" t="s">
        <v>89</v>
      </c>
      <c r="L18" s="112">
        <v>161</v>
      </c>
      <c r="M18" s="13" t="str">
        <f ca="1">VLOOKUP($L18,OFFSET([3]enemies!$A$1,0,0,COUNTA([3]enemies!$A:$A),MATCH(M$1,[3]enemies!$1:$1,0)-MATCH($L$1,[3]enemies!$1:$1,0)+1),MATCH(M$1,[3]enemies!$1:$1,0)-MATCH($L$1,[3]enemies!$1:$1,0)+1,FALSE)</f>
        <v>咆哮の先導者 クリエ</v>
      </c>
      <c r="N18" s="13" t="str">
        <f ca="1">VLOOKUP($L18,OFFSET([3]enemies!$A$1,0,0,COUNTA([3]enemies!$A:$A),MATCH(N$1,[3]enemies!$1:$1,0)-MATCH($L$1,[3]enemies!$1:$1,0)+1),MATCH(N$1,[3]enemies!$1:$1,0)-MATCH($L$1,[3]enemies!$1:$1,0)+1,FALSE)</f>
        <v>green</v>
      </c>
      <c r="O18" s="13" t="str">
        <f ca="1">VLOOKUP($L18,OFFSET([4]characters!$A$1,0,0,COUNTA([4]characters!$A:$A),MATCH(O$1,[4]characters!$1:$1,0)-MATCH($L$1,[4]characters!$1:$1,0)+1),MATCH(O$1,[4]characters!$1:$1,0)-MATCH($L$1,[4]characters!$1:$1,0)+1,FALSE)</f>
        <v>PremiumW</v>
      </c>
      <c r="P18" s="13" t="str">
        <f ca="1">VLOOKUP($L18,OFFSET([3]enemies!$A$1,0,0,COUNTA([3]enemies!$A:$A),MATCH(P$1,[3]enemies!$1:$1,0)-MATCH($L$1,[3]enemies!$1:$1,0)+1),MATCH(P$1,[3]enemies!$1:$1,0)-MATCH($L$1,[3]enemies!$1:$1,0)+1,FALSE)</f>
        <v>human</v>
      </c>
      <c r="Q18" s="13">
        <f ca="1">VLOOKUP($L18,OFFSET([3]enemies!$A$1,0,0,COUNTA([3]enemies!$A:$A),MATCH(Q$1,[3]enemies!$1:$1,0)-MATCH($L$1,[3]enemies!$1:$1,0)+1),MATCH(Q$1,[3]enemies!$1:$1,0)-MATCH($L$1,[3]enemies!$1:$1,0)+1,FALSE)</f>
        <v>30</v>
      </c>
      <c r="R18" s="4">
        <v>70</v>
      </c>
      <c r="S18" s="19">
        <v>1.8</v>
      </c>
      <c r="T18" s="19">
        <v>1</v>
      </c>
      <c r="U18" s="4">
        <v>0</v>
      </c>
      <c r="V18" s="181" t="str">
        <f ca="1">VLOOKUP($W18,OFFSET(enemy_skill_sets!$B$1,0,0,COUNTA(enemy_skill_sets!$B:$B),MATCH(M$1,enemy_skill_sets!$1:$1,0)-MATCH($W$1,enemy_skill_sets!$1:$1,0)+2),MATCH(M$1,enemy_skill_sets!$1:$1,0)-MATCH($W$1,enemy_skill_sets!$1:$1,0)+2,FALSE)</f>
        <v>クリエ以外にダメージ！</v>
      </c>
      <c r="W18" s="182">
        <v>15029028</v>
      </c>
      <c r="X18" s="100">
        <v>1</v>
      </c>
      <c r="Y18" s="101">
        <v>100</v>
      </c>
      <c r="Z18" s="101">
        <v>1</v>
      </c>
      <c r="AA18" s="13">
        <v>2</v>
      </c>
      <c r="AB18" s="103">
        <f t="shared" si="18"/>
        <v>161</v>
      </c>
      <c r="AC18" s="3" t="str">
        <f ca="1">VLOOKUP($AB18,OFFSET([4]characters!$A$1,0,0,COUNTA([4]characters!$A:$A),MATCH(AC$1,[4]characters!$1:$1,0)-MATCH("character_id",[4]characters!$1:$1,0)+1),MATCH(AC$1,[4]characters!$1:$1,0)-MATCH("character_id",[4]characters!$1:$1,0)+1,FALSE)</f>
        <v>咆哮の先導者 クリエ</v>
      </c>
      <c r="AD18" s="3">
        <f ca="1">VLOOKUP($AB18,OFFSET([4]characters!$A$1,0,0,COUNTA([4]characters!$A:$A),MATCH(AD$1,[4]characters!$1:$1,0)-MATCH("character_id",[4]characters!$1:$1,0)+1),MATCH(AD$1,[4]characters!$1:$1,0)-MATCH("character_id",[4]characters!$1:$1,0)+1,FALSE)</f>
        <v>4</v>
      </c>
      <c r="AE18" s="3" t="str">
        <f ca="1">VLOOKUP($AB18,OFFSET([4]characters!$A$1,0,0,COUNTA([4]characters!$A:$A),MATCH(AE$1,[4]characters!$1:$1,0)-MATCH("character_id",[4]characters!$1:$1,0)+1),MATCH(AE$1,[4]characters!$1:$1,0)-MATCH("character_id",[4]characters!$1:$1,0)+1,FALSE)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18" s="90">
        <v>1</v>
      </c>
      <c r="AG18" s="103">
        <f t="shared" ca="1" si="19"/>
        <v>4</v>
      </c>
      <c r="AH18" s="6">
        <v>0</v>
      </c>
      <c r="AI18" s="90">
        <v>0</v>
      </c>
      <c r="AJ18" s="90">
        <v>0</v>
      </c>
      <c r="AK18" s="90">
        <v>0</v>
      </c>
      <c r="AL18" s="90">
        <v>0</v>
      </c>
      <c r="AM18" s="90">
        <v>1</v>
      </c>
      <c r="AN18" s="62">
        <v>1</v>
      </c>
    </row>
    <row r="19" spans="1:40" s="137" customFormat="1" ht="21" customHeight="1" x14ac:dyDescent="0.15">
      <c r="A19" s="136" t="str">
        <f t="shared" ref="A19" si="30">B19&amp;"_"&amp;C19&amp;"-"&amp;G19&amp;"/"&amp;L19&amp;"&lt;lv"&amp;R19&amp;"&gt;s"&amp;AA19</f>
        <v>15029_2-3/20&lt;lv70&gt;s2</v>
      </c>
      <c r="B19" s="92">
        <v>15029</v>
      </c>
      <c r="C19" s="94">
        <v>2</v>
      </c>
      <c r="D19" s="11" t="str">
        <f t="shared" ref="D19" si="31">B19&amp;"_"&amp;C19</f>
        <v>15029_2</v>
      </c>
      <c r="E19" s="3" t="str">
        <f ca="1">VLOOKUP($B19,OFFSET([2]quests!$A$1,0,0,COUNTA([2]quests!$A:$A),MATCH(E$1,[2]quests!$1:$1,0)-MATCH($B$1,[2]quests!$1:$1,0)+1),MATCH(E$1,[2]quests!$1:$1,0)-MATCH($B$1,[2]quests!$1:$1,0)+1,FALSE)</f>
        <v>29. 雪の望郷</v>
      </c>
      <c r="F19" s="3" t="str">
        <f ca="1">VLOOKUP($D19,OFFSET([2]stages!$A$1,0,0,COUNTA([2]stages!$A:$A),MATCH(F$1,[2]stages!$2:$2,0)-MATCH($D$1,[2]stages!$2:$2,0)+1),MATCH(F$1,[2]stages!$2:$2,0)-MATCH($D$1,[2]stages!$2:$2,0)+1,FALSE)</f>
        <v>29-2. ねこみみマフラー</v>
      </c>
      <c r="G19" s="95">
        <v>3</v>
      </c>
      <c r="H19" s="11" t="str">
        <f t="shared" ref="H19" si="32">B19&amp;"_"&amp;C19&amp;"-"&amp;G19</f>
        <v>15029_2-3</v>
      </c>
      <c r="I19" s="3">
        <f ca="1">VLOOKUP($H19,OFFSET(floors!$A$1,0,0,COUNTA(floors!$A:$A),MATCH(I$1,floors!$1:$1,0)-MATCH($H$1,floors!$1:$1,0)+1),MATCH(I$1,floors!$1:$1,0)-MATCH($H$1,floors!$1:$1,0)+1,FALSE)</f>
        <v>50</v>
      </c>
      <c r="J19" s="3">
        <f ca="1">VLOOKUP($H19,OFFSET(floors!$A$1,0,0,COUNTA(floors!$A:$A),MATCH(J$1,floors!$1:$1,0)-MATCH($H$1,floors!$1:$1,0)+1),MATCH(J$1,floors!$1:$1,0)-MATCH($H$1,floors!$1:$1,0)+1,FALSE)</f>
        <v>50</v>
      </c>
      <c r="K19" s="31" t="s">
        <v>89</v>
      </c>
      <c r="L19" s="112">
        <v>20</v>
      </c>
      <c r="M19" s="13" t="str">
        <f ca="1">VLOOKUP($L19,OFFSET([3]enemies!$A$1,0,0,COUNTA([3]enemies!$A:$A),MATCH(M$1,[3]enemies!$1:$1,0)-MATCH($L$1,[3]enemies!$1:$1,0)+1),MATCH(M$1,[3]enemies!$1:$1,0)-MATCH($L$1,[3]enemies!$1:$1,0)+1,FALSE)</f>
        <v>電子妖精 ティンク</v>
      </c>
      <c r="N19" s="13" t="str">
        <f ca="1">VLOOKUP($L19,OFFSET([3]enemies!$A$1,0,0,COUNTA([3]enemies!$A:$A),MATCH(N$1,[3]enemies!$1:$1,0)-MATCH($L$1,[3]enemies!$1:$1,0)+1),MATCH(N$1,[3]enemies!$1:$1,0)-MATCH($L$1,[3]enemies!$1:$1,0)+1,FALSE)</f>
        <v>yellow</v>
      </c>
      <c r="O19" s="13" t="str">
        <f ca="1">VLOOKUP($L19,OFFSET([4]characters!$A$1,0,0,COUNTA([4]characters!$A:$A),MATCH(O$1,[4]characters!$1:$1,0)-MATCH($L$1,[4]characters!$1:$1,0)+1),MATCH(O$1,[4]characters!$1:$1,0)-MATCH($L$1,[4]characters!$1:$1,0)+1,FALSE)</f>
        <v>Drop1W</v>
      </c>
      <c r="P19" s="13" t="str">
        <f ca="1">VLOOKUP($L19,OFFSET([3]enemies!$A$1,0,0,COUNTA([3]enemies!$A:$A),MATCH(P$1,[3]enemies!$1:$1,0)-MATCH($L$1,[3]enemies!$1:$1,0)+1),MATCH(P$1,[3]enemies!$1:$1,0)-MATCH($L$1,[3]enemies!$1:$1,0)+1,FALSE)</f>
        <v>human</v>
      </c>
      <c r="Q19" s="13">
        <f ca="1">VLOOKUP($L19,OFFSET([3]enemies!$A$1,0,0,COUNTA([3]enemies!$A:$A),MATCH(Q$1,[3]enemies!$1:$1,0)-MATCH($L$1,[3]enemies!$1:$1,0)+1),MATCH(Q$1,[3]enemies!$1:$1,0)-MATCH($L$1,[3]enemies!$1:$1,0)+1,FALSE)</f>
        <v>15</v>
      </c>
      <c r="R19" s="4">
        <v>70</v>
      </c>
      <c r="S19" s="19">
        <v>2</v>
      </c>
      <c r="T19" s="19">
        <v>1</v>
      </c>
      <c r="U19" s="4">
        <v>0</v>
      </c>
      <c r="V19" s="181" t="e">
        <f ca="1">VLOOKUP($W19,OFFSET(enemy_skill_sets!$B$1,0,0,COUNTA(enemy_skill_sets!$B:$B),MATCH(M$1,enemy_skill_sets!$1:$1,0)-MATCH($W$1,enemy_skill_sets!$1:$1,0)+2),MATCH(M$1,enemy_skill_sets!$1:$1,0)-MATCH($W$1,enemy_skill_sets!$1:$1,0)+2,FALSE)</f>
        <v>#N/A</v>
      </c>
      <c r="W19" s="182">
        <v>0</v>
      </c>
      <c r="X19" s="100">
        <v>1</v>
      </c>
      <c r="Y19" s="101">
        <v>100</v>
      </c>
      <c r="Z19" s="101">
        <v>0</v>
      </c>
      <c r="AA19" s="13">
        <v>2</v>
      </c>
      <c r="AB19" s="103">
        <f t="shared" ref="AB19" si="33">L19</f>
        <v>20</v>
      </c>
      <c r="AC19" s="3" t="str">
        <f ca="1">VLOOKUP($AB19,OFFSET([4]characters!$A$1,0,0,COUNTA([4]characters!$A:$A),MATCH(AC$1,[4]characters!$1:$1,0)-MATCH("character_id",[4]characters!$1:$1,0)+1),MATCH(AC$1,[4]characters!$1:$1,0)-MATCH("character_id",[4]characters!$1:$1,0)+1,FALSE)</f>
        <v>電子妖精 ティンク</v>
      </c>
      <c r="AD19" s="3">
        <f ca="1">VLOOKUP($AB19,OFFSET([4]characters!$A$1,0,0,COUNTA([4]characters!$A:$A),MATCH(AD$1,[4]characters!$1:$1,0)-MATCH("character_id",[4]characters!$1:$1,0)+1),MATCH(AD$1,[4]characters!$1:$1,0)-MATCH("character_id",[4]characters!$1:$1,0)+1,FALSE)</f>
        <v>2</v>
      </c>
      <c r="AE19" s="3" t="str">
        <f ca="1">VLOOKUP($AB19,OFFSET([4]characters!$A$1,0,0,COUNTA([4]characters!$A:$A),MATCH(AE$1,[4]characters!$1:$1,0)-MATCH("character_id",[4]characters!$1:$1,0)+1),MATCH(AE$1,[4]characters!$1:$1,0)-MATCH("character_id",[4]characters!$1:$1,0)+1,FALSE)</f>
        <v>Drop1W</v>
      </c>
      <c r="AF19" s="90">
        <v>1</v>
      </c>
      <c r="AG19" s="103">
        <f t="shared" ref="AG19" ca="1" si="34">AD19</f>
        <v>2</v>
      </c>
      <c r="AH19" s="6">
        <v>20</v>
      </c>
      <c r="AI19" s="90">
        <v>0</v>
      </c>
      <c r="AJ19" s="90">
        <v>0</v>
      </c>
      <c r="AK19" s="90">
        <v>0</v>
      </c>
      <c r="AL19" s="90">
        <v>0</v>
      </c>
      <c r="AM19" s="90">
        <v>1</v>
      </c>
      <c r="AN19" s="62">
        <v>1</v>
      </c>
    </row>
    <row r="20" spans="1:40" s="137" customFormat="1" ht="21" customHeight="1" x14ac:dyDescent="0.15">
      <c r="A20" s="136" t="str">
        <f t="shared" si="15"/>
        <v>15029_2-3/44&lt;lv70&gt;s2</v>
      </c>
      <c r="B20" s="92">
        <v>15029</v>
      </c>
      <c r="C20" s="94">
        <v>2</v>
      </c>
      <c r="D20" s="11" t="str">
        <f t="shared" si="16"/>
        <v>15029_2</v>
      </c>
      <c r="E20" s="3" t="str">
        <f ca="1">VLOOKUP($B20,OFFSET([2]quests!$A$1,0,0,COUNTA([2]quests!$A:$A),MATCH(E$1,[2]quests!$1:$1,0)-MATCH($B$1,[2]quests!$1:$1,0)+1),MATCH(E$1,[2]quests!$1:$1,0)-MATCH($B$1,[2]quests!$1:$1,0)+1,FALSE)</f>
        <v>29. 雪の望郷</v>
      </c>
      <c r="F20" s="3" t="str">
        <f ca="1">VLOOKUP($D20,OFFSET([2]stages!$A$1,0,0,COUNTA([2]stages!$A:$A),MATCH(F$1,[2]stages!$2:$2,0)-MATCH($D$1,[2]stages!$2:$2,0)+1),MATCH(F$1,[2]stages!$2:$2,0)-MATCH($D$1,[2]stages!$2:$2,0)+1,FALSE)</f>
        <v>29-2. ねこみみマフラー</v>
      </c>
      <c r="G20" s="95">
        <v>3</v>
      </c>
      <c r="H20" s="11" t="str">
        <f t="shared" si="17"/>
        <v>15029_2-3</v>
      </c>
      <c r="I20" s="3">
        <f ca="1">VLOOKUP($H20,OFFSET(floors!$A$1,0,0,COUNTA(floors!$A:$A),MATCH(I$1,floors!$1:$1,0)-MATCH($H$1,floors!$1:$1,0)+1),MATCH(I$1,floors!$1:$1,0)-MATCH($H$1,floors!$1:$1,0)+1,FALSE)</f>
        <v>50</v>
      </c>
      <c r="J20" s="3">
        <f ca="1">VLOOKUP($H20,OFFSET(floors!$A$1,0,0,COUNTA(floors!$A:$A),MATCH(J$1,floors!$1:$1,0)-MATCH($H$1,floors!$1:$1,0)+1),MATCH(J$1,floors!$1:$1,0)-MATCH($H$1,floors!$1:$1,0)+1,FALSE)</f>
        <v>50</v>
      </c>
      <c r="K20" s="31" t="s">
        <v>90</v>
      </c>
      <c r="L20" s="97">
        <v>44</v>
      </c>
      <c r="M20" s="13" t="str">
        <f ca="1">VLOOKUP($L20,OFFSET([3]enemies!$A$1,0,0,COUNTA([3]enemies!$A:$A),MATCH(M$1,[3]enemies!$1:$1,0)-MATCH($L$1,[3]enemies!$1:$1,0)+1),MATCH(M$1,[3]enemies!$1:$1,0)-MATCH($L$1,[3]enemies!$1:$1,0)+1,FALSE)</f>
        <v>遠い星からやってきたムゥ</v>
      </c>
      <c r="N20" s="13" t="str">
        <f ca="1">VLOOKUP($L20,OFFSET([3]enemies!$A$1,0,0,COUNTA([3]enemies!$A:$A),MATCH(N$1,[3]enemies!$1:$1,0)-MATCH($L$1,[3]enemies!$1:$1,0)+1),MATCH(N$1,[3]enemies!$1:$1,0)-MATCH($L$1,[3]enemies!$1:$1,0)+1,FALSE)</f>
        <v>green</v>
      </c>
      <c r="O20" s="13" t="str">
        <f ca="1">VLOOKUP($L20,OFFSET([4]characters!$A$1,0,0,COUNTA([4]characters!$A:$A),MATCH(O$1,[4]characters!$1:$1,0)-MATCH($L$1,[4]characters!$1:$1,0)+1),MATCH(O$1,[4]characters!$1:$1,0)-MATCH($L$1,[4]characters!$1:$1,0)+1,FALSE)</f>
        <v>Drop1N</v>
      </c>
      <c r="P20" s="13" t="str">
        <f ca="1">VLOOKUP($L20,OFFSET([3]enemies!$A$1,0,0,COUNTA([3]enemies!$A:$A),MATCH(P$1,[3]enemies!$1:$1,0)-MATCH($L$1,[3]enemies!$1:$1,0)+1),MATCH(P$1,[3]enemies!$1:$1,0)-MATCH($L$1,[3]enemies!$1:$1,0)+1,FALSE)</f>
        <v>dragon</v>
      </c>
      <c r="Q20" s="13">
        <f ca="1">VLOOKUP($L20,OFFSET([3]enemies!$A$1,0,0,COUNTA([3]enemies!$A:$A),MATCH(Q$1,[3]enemies!$1:$1,0)-MATCH($L$1,[3]enemies!$1:$1,0)+1),MATCH(Q$1,[3]enemies!$1:$1,0)-MATCH($L$1,[3]enemies!$1:$1,0)+1,FALSE)</f>
        <v>20</v>
      </c>
      <c r="R20" s="4">
        <v>70</v>
      </c>
      <c r="S20" s="19">
        <v>2</v>
      </c>
      <c r="T20" s="19">
        <v>0.9</v>
      </c>
      <c r="U20" s="4">
        <v>0</v>
      </c>
      <c r="V20" s="181" t="str">
        <f ca="1">VLOOKUP($W20,OFFSET(enemy_skill_sets!$B$1,0,0,COUNTA(enemy_skill_sets!$B:$B),MATCH(M$1,enemy_skill_sets!$1:$1,0)-MATCH($W$1,enemy_skill_sets!$1:$1,0)+2),MATCH(M$1,enemy_skill_sets!$1:$1,0)-MATCH($W$1,enemy_skill_sets!$1:$1,0)+2,FALSE)</f>
        <v>回復</v>
      </c>
      <c r="W20" s="182">
        <v>15029012</v>
      </c>
      <c r="X20" s="100">
        <v>0</v>
      </c>
      <c r="Y20" s="101">
        <v>100</v>
      </c>
      <c r="Z20" s="101">
        <v>2</v>
      </c>
      <c r="AA20" s="13">
        <v>2</v>
      </c>
      <c r="AB20" s="103">
        <f t="shared" si="18"/>
        <v>44</v>
      </c>
      <c r="AC20" s="3" t="str">
        <f ca="1">VLOOKUP($AB20,OFFSET([4]characters!$A$1,0,0,COUNTA([4]characters!$A:$A),MATCH(AC$1,[4]characters!$1:$1,0)-MATCH("character_id",[4]characters!$1:$1,0)+1),MATCH(AC$1,[4]characters!$1:$1,0)-MATCH("character_id",[4]characters!$1:$1,0)+1,FALSE)</f>
        <v>遠い星からやってきたムゥ</v>
      </c>
      <c r="AD20" s="3">
        <f ca="1">VLOOKUP($AB20,OFFSET([4]characters!$A$1,0,0,COUNTA([4]characters!$A:$A),MATCH(AD$1,[4]characters!$1:$1,0)-MATCH("character_id",[4]characters!$1:$1,0)+1),MATCH(AD$1,[4]characters!$1:$1,0)-MATCH("character_id",[4]characters!$1:$1,0)+1,FALSE)</f>
        <v>3</v>
      </c>
      <c r="AE20" s="3" t="str">
        <f ca="1">VLOOKUP($AB20,OFFSET([4]characters!$A$1,0,0,COUNTA([4]characters!$A:$A),MATCH(AE$1,[4]characters!$1:$1,0)-MATCH("character_id",[4]characters!$1:$1,0)+1),MATCH(AE$1,[4]characters!$1:$1,0)-MATCH("character_id",[4]characters!$1:$1,0)+1,FALSE)</f>
        <v>Drop1N</v>
      </c>
      <c r="AF20" s="90">
        <v>1</v>
      </c>
      <c r="AG20" s="103">
        <f t="shared" ca="1" si="19"/>
        <v>3</v>
      </c>
      <c r="AH20" s="6">
        <v>20</v>
      </c>
      <c r="AI20" s="90">
        <v>0</v>
      </c>
      <c r="AJ20" s="90">
        <v>0</v>
      </c>
      <c r="AK20" s="90">
        <v>0</v>
      </c>
      <c r="AL20" s="90">
        <v>0</v>
      </c>
      <c r="AM20" s="90">
        <v>1</v>
      </c>
      <c r="AN20" s="62">
        <v>1</v>
      </c>
    </row>
    <row r="21" spans="1:40" s="137" customFormat="1" ht="21" customHeight="1" x14ac:dyDescent="0.15">
      <c r="A21" s="136" t="str">
        <f>B21&amp;"_"&amp;C21&amp;"-"&amp;G21&amp;"/"&amp;L21&amp;"&lt;lv"&amp;R21&amp;"&gt;s"&amp;AA21</f>
        <v>15029_2-3/350&lt;lv50&gt;s2</v>
      </c>
      <c r="B21" s="92">
        <v>15029</v>
      </c>
      <c r="C21" s="94">
        <v>2</v>
      </c>
      <c r="D21" s="11" t="str">
        <f>B21&amp;"_"&amp;C21</f>
        <v>15029_2</v>
      </c>
      <c r="E21" s="3" t="str">
        <f ca="1">VLOOKUP($B21,OFFSET([2]quests!$A$1,0,0,COUNTA([2]quests!$A:$A),MATCH(E$1,[2]quests!$1:$1,0)-MATCH($B$1,[2]quests!$1:$1,0)+1),MATCH(E$1,[2]quests!$1:$1,0)-MATCH($B$1,[2]quests!$1:$1,0)+1,FALSE)</f>
        <v>29. 雪の望郷</v>
      </c>
      <c r="F21" s="3" t="str">
        <f ca="1">VLOOKUP($D21,OFFSET([2]stages!$A$1,0,0,COUNTA([2]stages!$A:$A),MATCH(F$1,[2]stages!$2:$2,0)-MATCH($D$1,[2]stages!$2:$2,0)+1),MATCH(F$1,[2]stages!$2:$2,0)-MATCH($D$1,[2]stages!$2:$2,0)+1,FALSE)</f>
        <v>29-2. ねこみみマフラー</v>
      </c>
      <c r="G21" s="95">
        <v>3</v>
      </c>
      <c r="H21" s="11" t="str">
        <f>B21&amp;"_"&amp;C21&amp;"-"&amp;G21</f>
        <v>15029_2-3</v>
      </c>
      <c r="I21" s="3">
        <f ca="1">VLOOKUP($H21,OFFSET(floors!$A$1,0,0,COUNTA(floors!$A:$A),MATCH(I$1,floors!$1:$1,0)-MATCH($H$1,floors!$1:$1,0)+1),MATCH(I$1,floors!$1:$1,0)-MATCH($H$1,floors!$1:$1,0)+1,FALSE)</f>
        <v>50</v>
      </c>
      <c r="J21" s="3">
        <f ca="1">VLOOKUP($H21,OFFSET(floors!$A$1,0,0,COUNTA(floors!$A:$A),MATCH(J$1,floors!$1:$1,0)-MATCH($H$1,floors!$1:$1,0)+1),MATCH(J$1,floors!$1:$1,0)-MATCH($H$1,floors!$1:$1,0)+1,FALSE)</f>
        <v>50</v>
      </c>
      <c r="K21" s="31" t="s">
        <v>89</v>
      </c>
      <c r="L21" s="97">
        <v>350</v>
      </c>
      <c r="M21" s="13" t="str">
        <f ca="1">VLOOKUP($L21,OFFSET([3]enemies!$A$1,0,0,COUNTA([3]enemies!$A:$A),MATCH(M$1,[3]enemies!$1:$1,0)-MATCH($L$1,[3]enemies!$1:$1,0)+1),MATCH(M$1,[3]enemies!$1:$1,0)-MATCH($L$1,[3]enemies!$1:$1,0)+1,FALSE)</f>
        <v>森のケロケロ</v>
      </c>
      <c r="N21" s="13" t="str">
        <f ca="1">VLOOKUP($L21,OFFSET([3]enemies!$A$1,0,0,COUNTA([3]enemies!$A:$A),MATCH(N$1,[3]enemies!$1:$1,0)-MATCH($L$1,[3]enemies!$1:$1,0)+1),MATCH(N$1,[3]enemies!$1:$1,0)-MATCH($L$1,[3]enemies!$1:$1,0)+1,FALSE)</f>
        <v>green</v>
      </c>
      <c r="O21" s="13" t="str">
        <f ca="1">VLOOKUP($L21,OFFSET([4]characters!$A$1,0,0,COUNTA([4]characters!$A:$A),MATCH(O$1,[4]characters!$1:$1,0)-MATCH($L$1,[4]characters!$1:$1,0)+1),MATCH(O$1,[4]characters!$1:$1,0)-MATCH($L$1,[4]characters!$1:$1,0)+1,FALSE)</f>
        <v>Material</v>
      </c>
      <c r="P21" s="13" t="str">
        <f ca="1">VLOOKUP($L21,OFFSET([3]enemies!$A$1,0,0,COUNTA([3]enemies!$A:$A),MATCH(P$1,[3]enemies!$1:$1,0)-MATCH($L$1,[3]enemies!$1:$1,0)+1),MATCH(P$1,[3]enemies!$1:$1,0)-MATCH($L$1,[3]enemies!$1:$1,0)+1,FALSE)</f>
        <v>unknown</v>
      </c>
      <c r="Q21" s="13">
        <f ca="1">VLOOKUP($L21,OFFSET([3]enemies!$A$1,0,0,COUNTA([3]enemies!$A:$A),MATCH(Q$1,[3]enemies!$1:$1,0)-MATCH($L$1,[3]enemies!$1:$1,0)+1),MATCH(Q$1,[3]enemies!$1:$1,0)-MATCH($L$1,[3]enemies!$1:$1,0)+1,FALSE)</f>
        <v>15</v>
      </c>
      <c r="R21" s="4">
        <v>50</v>
      </c>
      <c r="S21" s="19">
        <v>1</v>
      </c>
      <c r="T21" s="19">
        <v>1</v>
      </c>
      <c r="U21" s="4">
        <v>0</v>
      </c>
      <c r="V21" s="181" t="e">
        <f ca="1">VLOOKUP($W21,OFFSET(enemy_skill_sets!$B$1,0,0,COUNTA(enemy_skill_sets!$B:$B),MATCH(M$1,enemy_skill_sets!$1:$1,0)-MATCH($W$1,enemy_skill_sets!$1:$1,0)+2),MATCH(M$1,enemy_skill_sets!$1:$1,0)-MATCH($W$1,enemy_skill_sets!$1:$1,0)+2,FALSE)</f>
        <v>#N/A</v>
      </c>
      <c r="W21" s="182">
        <v>0</v>
      </c>
      <c r="X21" s="100">
        <v>0</v>
      </c>
      <c r="Y21" s="101">
        <v>30</v>
      </c>
      <c r="Z21" s="101">
        <v>1</v>
      </c>
      <c r="AA21" s="13">
        <v>2</v>
      </c>
      <c r="AB21" s="103">
        <f>L21</f>
        <v>350</v>
      </c>
      <c r="AC21" s="3" t="str">
        <f ca="1">VLOOKUP($AB21,OFFSET([4]characters!$A$1,0,0,COUNTA([4]characters!$A:$A),MATCH(AC$1,[4]characters!$1:$1,0)-MATCH("character_id",[4]characters!$1:$1,0)+1),MATCH(AC$1,[4]characters!$1:$1,0)-MATCH("character_id",[4]characters!$1:$1,0)+1,FALSE)</f>
        <v>森のケロケロ</v>
      </c>
      <c r="AD21" s="3">
        <f ca="1">VLOOKUP($AB21,OFFSET([4]characters!$A$1,0,0,COUNTA([4]characters!$A:$A),MATCH(AD$1,[4]characters!$1:$1,0)-MATCH("character_id",[4]characters!$1:$1,0)+1),MATCH(AD$1,[4]characters!$1:$1,0)-MATCH("character_id",[4]characters!$1:$1,0)+1,FALSE)</f>
        <v>2</v>
      </c>
      <c r="AE21" s="3" t="str">
        <f ca="1">VLOOKUP($AB21,OFFSET([4]characters!$A$1,0,0,COUNTA([4]characters!$A:$A),MATCH(AE$1,[4]characters!$1:$1,0)-MATCH("character_id",[4]characters!$1:$1,0)+1),MATCH(AE$1,[4]characters!$1:$1,0)-MATCH("character_id",[4]characters!$1:$1,0)+1,FALSE)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1" s="90">
        <v>10</v>
      </c>
      <c r="AG21" s="103">
        <f ca="1">AD21</f>
        <v>2</v>
      </c>
      <c r="AH21" s="6">
        <v>20</v>
      </c>
      <c r="AI21" s="90">
        <v>0</v>
      </c>
      <c r="AJ21" s="90">
        <v>0</v>
      </c>
      <c r="AK21" s="90">
        <v>0</v>
      </c>
      <c r="AL21" s="90">
        <v>0</v>
      </c>
      <c r="AM21" s="90">
        <v>1</v>
      </c>
      <c r="AN21" s="62">
        <v>1</v>
      </c>
    </row>
    <row r="22" spans="1:40" s="137" customFormat="1" ht="21" customHeight="1" x14ac:dyDescent="0.15">
      <c r="A22" s="136" t="str">
        <f>B22&amp;"_"&amp;C22&amp;"-"&amp;G22&amp;"/"&amp;L22&amp;"&lt;lv"&amp;R22&amp;"&gt;s"&amp;AA22</f>
        <v>15029_2-3/354&lt;lv50&gt;s2</v>
      </c>
      <c r="B22" s="92">
        <v>15029</v>
      </c>
      <c r="C22" s="94">
        <v>2</v>
      </c>
      <c r="D22" s="11" t="str">
        <f>B22&amp;"_"&amp;C22</f>
        <v>15029_2</v>
      </c>
      <c r="E22" s="3" t="str">
        <f ca="1">VLOOKUP($B22,OFFSET([2]quests!$A$1,0,0,COUNTA([2]quests!$A:$A),MATCH(E$1,[2]quests!$1:$1,0)-MATCH($B$1,[2]quests!$1:$1,0)+1),MATCH(E$1,[2]quests!$1:$1,0)-MATCH($B$1,[2]quests!$1:$1,0)+1,FALSE)</f>
        <v>29. 雪の望郷</v>
      </c>
      <c r="F22" s="3" t="str">
        <f ca="1">VLOOKUP($D22,OFFSET([2]stages!$A$1,0,0,COUNTA([2]stages!$A:$A),MATCH(F$1,[2]stages!$2:$2,0)-MATCH($D$1,[2]stages!$2:$2,0)+1),MATCH(F$1,[2]stages!$2:$2,0)-MATCH($D$1,[2]stages!$2:$2,0)+1,FALSE)</f>
        <v>29-2. ねこみみマフラー</v>
      </c>
      <c r="G22" s="95">
        <v>3</v>
      </c>
      <c r="H22" s="11" t="str">
        <f>B22&amp;"_"&amp;C22&amp;"-"&amp;G22</f>
        <v>15029_2-3</v>
      </c>
      <c r="I22" s="3">
        <f ca="1">VLOOKUP($H22,OFFSET(floors!$A$1,0,0,COUNTA(floors!$A:$A),MATCH(I$1,floors!$1:$1,0)-MATCH($H$1,floors!$1:$1,0)+1),MATCH(I$1,floors!$1:$1,0)-MATCH($H$1,floors!$1:$1,0)+1,FALSE)</f>
        <v>50</v>
      </c>
      <c r="J22" s="3">
        <f ca="1">VLOOKUP($H22,OFFSET(floors!$A$1,0,0,COUNTA(floors!$A:$A),MATCH(J$1,floors!$1:$1,0)-MATCH($H$1,floors!$1:$1,0)+1),MATCH(J$1,floors!$1:$1,0)-MATCH($H$1,floors!$1:$1,0)+1,FALSE)</f>
        <v>50</v>
      </c>
      <c r="K22" s="31" t="s">
        <v>89</v>
      </c>
      <c r="L22" s="97">
        <v>354</v>
      </c>
      <c r="M22" s="13" t="str">
        <f ca="1">VLOOKUP($L22,OFFSET([3]enemies!$A$1,0,0,COUNTA([3]enemies!$A:$A),MATCH(M$1,[3]enemies!$1:$1,0)-MATCH($L$1,[3]enemies!$1:$1,0)+1),MATCH(M$1,[3]enemies!$1:$1,0)-MATCH($L$1,[3]enemies!$1:$1,0)+1,FALSE)</f>
        <v>雷のケロケロ</v>
      </c>
      <c r="N22" s="13" t="str">
        <f ca="1">VLOOKUP($L22,OFFSET([3]enemies!$A$1,0,0,COUNTA([3]enemies!$A:$A),MATCH(N$1,[3]enemies!$1:$1,0)-MATCH($L$1,[3]enemies!$1:$1,0)+1),MATCH(N$1,[3]enemies!$1:$1,0)-MATCH($L$1,[3]enemies!$1:$1,0)+1,FALSE)</f>
        <v>yellow</v>
      </c>
      <c r="O22" s="13" t="str">
        <f ca="1">VLOOKUP($L22,OFFSET([4]characters!$A$1,0,0,COUNTA([4]characters!$A:$A),MATCH(O$1,[4]characters!$1:$1,0)-MATCH($L$1,[4]characters!$1:$1,0)+1),MATCH(O$1,[4]characters!$1:$1,0)-MATCH($L$1,[4]characters!$1:$1,0)+1,FALSE)</f>
        <v>Material</v>
      </c>
      <c r="P22" s="13" t="str">
        <f ca="1">VLOOKUP($L22,OFFSET([3]enemies!$A$1,0,0,COUNTA([3]enemies!$A:$A),MATCH(P$1,[3]enemies!$1:$1,0)-MATCH($L$1,[3]enemies!$1:$1,0)+1),MATCH(P$1,[3]enemies!$1:$1,0)-MATCH($L$1,[3]enemies!$1:$1,0)+1,FALSE)</f>
        <v>unknown</v>
      </c>
      <c r="Q22" s="13">
        <f ca="1">VLOOKUP($L22,OFFSET([3]enemies!$A$1,0,0,COUNTA([3]enemies!$A:$A),MATCH(Q$1,[3]enemies!$1:$1,0)-MATCH($L$1,[3]enemies!$1:$1,0)+1),MATCH(Q$1,[3]enemies!$1:$1,0)-MATCH($L$1,[3]enemies!$1:$1,0)+1,FALSE)</f>
        <v>15</v>
      </c>
      <c r="R22" s="4">
        <v>50</v>
      </c>
      <c r="S22" s="19">
        <v>1</v>
      </c>
      <c r="T22" s="19">
        <v>1</v>
      </c>
      <c r="U22" s="4">
        <v>0</v>
      </c>
      <c r="V22" s="181" t="e">
        <f ca="1">VLOOKUP($W22,OFFSET(enemy_skill_sets!$B$1,0,0,COUNTA(enemy_skill_sets!$B:$B),MATCH(M$1,enemy_skill_sets!$1:$1,0)-MATCH($W$1,enemy_skill_sets!$1:$1,0)+2),MATCH(M$1,enemy_skill_sets!$1:$1,0)-MATCH($W$1,enemy_skill_sets!$1:$1,0)+2,FALSE)</f>
        <v>#N/A</v>
      </c>
      <c r="W22" s="182">
        <v>0</v>
      </c>
      <c r="X22" s="100">
        <v>0</v>
      </c>
      <c r="Y22" s="101">
        <v>30</v>
      </c>
      <c r="Z22" s="101">
        <v>1</v>
      </c>
      <c r="AA22" s="13">
        <v>2</v>
      </c>
      <c r="AB22" s="103">
        <f>L22</f>
        <v>354</v>
      </c>
      <c r="AC22" s="3" t="str">
        <f ca="1">VLOOKUP($AB22,OFFSET([4]characters!$A$1,0,0,COUNTA([4]characters!$A:$A),MATCH(AC$1,[4]characters!$1:$1,0)-MATCH("character_id",[4]characters!$1:$1,0)+1),MATCH(AC$1,[4]characters!$1:$1,0)-MATCH("character_id",[4]characters!$1:$1,0)+1,FALSE)</f>
        <v>雷のケロケロ</v>
      </c>
      <c r="AD22" s="3">
        <f ca="1">VLOOKUP($AB22,OFFSET([4]characters!$A$1,0,0,COUNTA([4]characters!$A:$A),MATCH(AD$1,[4]characters!$1:$1,0)-MATCH("character_id",[4]characters!$1:$1,0)+1),MATCH(AD$1,[4]characters!$1:$1,0)-MATCH("character_id",[4]characters!$1:$1,0)+1,FALSE)</f>
        <v>2</v>
      </c>
      <c r="AE22" s="3" t="str">
        <f ca="1">VLOOKUP($AB22,OFFSET([4]characters!$A$1,0,0,COUNTA([4]characters!$A:$A),MATCH(AE$1,[4]characters!$1:$1,0)-MATCH("character_id",[4]characters!$1:$1,0)+1),MATCH(AE$1,[4]characters!$1:$1,0)-MATCH("character_id",[4]characters!$1:$1,0)+1,FALSE)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2" s="90">
        <v>10</v>
      </c>
      <c r="AG22" s="103">
        <f ca="1">AD22</f>
        <v>2</v>
      </c>
      <c r="AH22" s="6">
        <v>20</v>
      </c>
      <c r="AI22" s="90">
        <v>0</v>
      </c>
      <c r="AJ22" s="90">
        <v>0</v>
      </c>
      <c r="AK22" s="90">
        <v>0</v>
      </c>
      <c r="AL22" s="90">
        <v>0</v>
      </c>
      <c r="AM22" s="90">
        <v>1</v>
      </c>
      <c r="AN22" s="62">
        <v>1</v>
      </c>
    </row>
    <row r="23" spans="1:40" s="137" customFormat="1" ht="21" customHeight="1" x14ac:dyDescent="0.15">
      <c r="A23" s="136" t="str">
        <f t="shared" si="15"/>
        <v>15029_2-4/589&lt;lv68&gt;s2</v>
      </c>
      <c r="B23" s="92">
        <v>15029</v>
      </c>
      <c r="C23" s="94">
        <v>2</v>
      </c>
      <c r="D23" s="11" t="str">
        <f t="shared" si="16"/>
        <v>15029_2</v>
      </c>
      <c r="E23" s="3" t="str">
        <f ca="1">VLOOKUP($B23,OFFSET([2]quests!$A$1,0,0,COUNTA([2]quests!$A:$A),MATCH(E$1,[2]quests!$1:$1,0)-MATCH($B$1,[2]quests!$1:$1,0)+1),MATCH(E$1,[2]quests!$1:$1,0)-MATCH($B$1,[2]quests!$1:$1,0)+1,FALSE)</f>
        <v>29. 雪の望郷</v>
      </c>
      <c r="F23" s="3" t="str">
        <f ca="1">VLOOKUP($D23,OFFSET([2]stages!$A$1,0,0,COUNTA([2]stages!$A:$A),MATCH(F$1,[2]stages!$2:$2,0)-MATCH($D$1,[2]stages!$2:$2,0)+1),MATCH(F$1,[2]stages!$2:$2,0)-MATCH($D$1,[2]stages!$2:$2,0)+1,FALSE)</f>
        <v>29-2. ねこみみマフラー</v>
      </c>
      <c r="G23" s="96">
        <v>4</v>
      </c>
      <c r="H23" s="11" t="str">
        <f t="shared" si="17"/>
        <v>15029_2-4</v>
      </c>
      <c r="I23" s="3">
        <f ca="1">VLOOKUP($H23,OFFSET(floors!$A$1,0,0,COUNTA(floors!$A:$A),MATCH(I$1,floors!$1:$1,0)-MATCH($H$1,floors!$1:$1,0)+1),MATCH(I$1,floors!$1:$1,0)-MATCH($H$1,floors!$1:$1,0)+1,FALSE)</f>
        <v>60</v>
      </c>
      <c r="J23" s="3">
        <f ca="1">VLOOKUP($H23,OFFSET(floors!$A$1,0,0,COUNTA(floors!$A:$A),MATCH(J$1,floors!$1:$1,0)-MATCH($H$1,floors!$1:$1,0)+1),MATCH(J$1,floors!$1:$1,0)-MATCH($H$1,floors!$1:$1,0)+1,FALSE)</f>
        <v>60</v>
      </c>
      <c r="K23" s="31" t="s">
        <v>90</v>
      </c>
      <c r="L23" s="97">
        <v>589</v>
      </c>
      <c r="M23" s="13" t="str">
        <f ca="1">VLOOKUP($L23,OFFSET([3]enemies!$A$1,0,0,COUNTA([3]enemies!$A:$A),MATCH(M$1,[3]enemies!$1:$1,0)-MATCH($L$1,[3]enemies!$1:$1,0)+1),MATCH(M$1,[3]enemies!$1:$1,0)-MATCH($L$1,[3]enemies!$1:$1,0)+1,FALSE)</f>
        <v>不幸の円環 ニーベルゲン</v>
      </c>
      <c r="N23" s="13" t="str">
        <f ca="1">VLOOKUP($L23,OFFSET([3]enemies!$A$1,0,0,COUNTA([3]enemies!$A:$A),MATCH(N$1,[3]enemies!$1:$1,0)-MATCH($L$1,[3]enemies!$1:$1,0)+1),MATCH(N$1,[3]enemies!$1:$1,0)-MATCH($L$1,[3]enemies!$1:$1,0)+1,FALSE)</f>
        <v>green</v>
      </c>
      <c r="O23" s="13" t="str">
        <f ca="1">VLOOKUP($L23,OFFSET([4]characters!$A$1,0,0,COUNTA([4]characters!$A:$A),MATCH(O$1,[4]characters!$1:$1,0)-MATCH($L$1,[4]characters!$1:$1,0)+1),MATCH(O$1,[4]characters!$1:$1,0)-MATCH($L$1,[4]characters!$1:$1,0)+1,FALSE)</f>
        <v>PremiumS</v>
      </c>
      <c r="P23" s="13" t="str">
        <f ca="1">VLOOKUP($L23,OFFSET([3]enemies!$A$1,0,0,COUNTA([3]enemies!$A:$A),MATCH(P$1,[3]enemies!$1:$1,0)-MATCH($L$1,[3]enemies!$1:$1,0)+1),MATCH(P$1,[3]enemies!$1:$1,0)-MATCH($L$1,[3]enemies!$1:$1,0)+1,FALSE)</f>
        <v>unknown</v>
      </c>
      <c r="Q23" s="13">
        <f ca="1">VLOOKUP($L23,OFFSET([3]enemies!$A$1,0,0,COUNTA([3]enemies!$A:$A),MATCH(Q$1,[3]enemies!$1:$1,0)-MATCH($L$1,[3]enemies!$1:$1,0)+1),MATCH(Q$1,[3]enemies!$1:$1,0)-MATCH($L$1,[3]enemies!$1:$1,0)+1,FALSE)</f>
        <v>30</v>
      </c>
      <c r="R23" s="4">
        <v>68</v>
      </c>
      <c r="S23" s="19">
        <v>1.5</v>
      </c>
      <c r="T23" s="19">
        <v>0.9</v>
      </c>
      <c r="U23" s="4">
        <v>0</v>
      </c>
      <c r="V23" s="181" t="str">
        <f ca="1">VLOOKUP($W23,OFFSET(enemy_skill_sets!$B$1,0,0,COUNTA(enemy_skill_sets!$B:$B),MATCH(M$1,enemy_skill_sets!$1:$1,0)-MATCH($W$1,enemy_skill_sets!$1:$1,0)+2),MATCH(M$1,enemy_skill_sets!$1:$1,0)-MATCH($W$1,enemy_skill_sets!$1:$1,0)+2,FALSE)</f>
        <v>3ターンハートパネルの出現率DOWN</v>
      </c>
      <c r="W23" s="182">
        <v>15029015</v>
      </c>
      <c r="X23" s="100">
        <v>1</v>
      </c>
      <c r="Y23" s="101">
        <v>100</v>
      </c>
      <c r="Z23" s="101">
        <v>1</v>
      </c>
      <c r="AA23" s="13">
        <v>2</v>
      </c>
      <c r="AB23" s="103">
        <f t="shared" si="18"/>
        <v>589</v>
      </c>
      <c r="AC23" s="3" t="str">
        <f ca="1">VLOOKUP($AB23,OFFSET([4]characters!$A$1,0,0,COUNTA([4]characters!$A:$A),MATCH(AC$1,[4]characters!$1:$1,0)-MATCH("character_id",[4]characters!$1:$1,0)+1),MATCH(AC$1,[4]characters!$1:$1,0)-MATCH("character_id",[4]characters!$1:$1,0)+1,FALSE)</f>
        <v>不幸の円環 ニーベルゲン</v>
      </c>
      <c r="AD23" s="3">
        <f ca="1">VLOOKUP($AB23,OFFSET([4]characters!$A$1,0,0,COUNTA([4]characters!$A:$A),MATCH(AD$1,[4]characters!$1:$1,0)-MATCH("character_id",[4]characters!$1:$1,0)+1),MATCH(AD$1,[4]characters!$1:$1,0)-MATCH("character_id",[4]characters!$1:$1,0)+1,FALSE)</f>
        <v>4</v>
      </c>
      <c r="AE23" s="3" t="str">
        <f ca="1">VLOOKUP($AB23,OFFSET([4]characters!$A$1,0,0,COUNTA([4]characters!$A:$A),MATCH(AE$1,[4]characters!$1:$1,0)-MATCH("character_id",[4]characters!$1:$1,0)+1),MATCH(AE$1,[4]characters!$1:$1,0)-MATCH("character_id",[4]characters!$1:$1,0)+1,FALSE)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23" s="90">
        <v>1</v>
      </c>
      <c r="AG23" s="103">
        <f t="shared" ca="1" si="19"/>
        <v>4</v>
      </c>
      <c r="AH23" s="6">
        <v>0</v>
      </c>
      <c r="AI23" s="90">
        <v>0</v>
      </c>
      <c r="AJ23" s="90">
        <v>0</v>
      </c>
      <c r="AK23" s="90">
        <v>0</v>
      </c>
      <c r="AL23" s="90">
        <v>0</v>
      </c>
      <c r="AM23" s="90">
        <v>1</v>
      </c>
      <c r="AN23" s="62">
        <v>1</v>
      </c>
    </row>
    <row r="24" spans="1:40" s="154" customFormat="1" ht="21" customHeight="1" thickBot="1" x14ac:dyDescent="0.2">
      <c r="A24" s="138" t="str">
        <f t="shared" si="15"/>
        <v>15029_2-4/76&lt;lv70&gt;s1</v>
      </c>
      <c r="B24" s="139">
        <v>15029</v>
      </c>
      <c r="C24" s="157">
        <v>2</v>
      </c>
      <c r="D24" s="141" t="str">
        <f t="shared" si="16"/>
        <v>15029_2</v>
      </c>
      <c r="E24" s="142" t="str">
        <f ca="1">VLOOKUP($B24,OFFSET([2]quests!$A$1,0,0,COUNTA([2]quests!$A:$A),MATCH(E$1,[2]quests!$1:$1,0)-MATCH($B$1,[2]quests!$1:$1,0)+1),MATCH(E$1,[2]quests!$1:$1,0)-MATCH($B$1,[2]quests!$1:$1,0)+1,FALSE)</f>
        <v>29. 雪の望郷</v>
      </c>
      <c r="F24" s="142" t="str">
        <f ca="1">VLOOKUP($D24,OFFSET([2]stages!$A$1,0,0,COUNTA([2]stages!$A:$A),MATCH(F$1,[2]stages!$2:$2,0)-MATCH($D$1,[2]stages!$2:$2,0)+1),MATCH(F$1,[2]stages!$2:$2,0)-MATCH($D$1,[2]stages!$2:$2,0)+1,FALSE)</f>
        <v>29-2. ねこみみマフラー</v>
      </c>
      <c r="G24" s="190">
        <v>4</v>
      </c>
      <c r="H24" s="141" t="str">
        <f t="shared" si="17"/>
        <v>15029_2-4</v>
      </c>
      <c r="I24" s="142">
        <f ca="1">VLOOKUP($H24,OFFSET(floors!$A$1,0,0,COUNTA(floors!$A:$A),MATCH(I$1,floors!$1:$1,0)-MATCH($H$1,floors!$1:$1,0)+1),MATCH(I$1,floors!$1:$1,0)-MATCH($H$1,floors!$1:$1,0)+1,FALSE)</f>
        <v>60</v>
      </c>
      <c r="J24" s="142">
        <f ca="1">VLOOKUP($H24,OFFSET(floors!$A$1,0,0,COUNTA(floors!$A:$A),MATCH(J$1,floors!$1:$1,0)-MATCH($H$1,floors!$1:$1,0)+1),MATCH(J$1,floors!$1:$1,0)-MATCH($H$1,floors!$1:$1,0)+1,FALSE)</f>
        <v>60</v>
      </c>
      <c r="K24" s="143" t="s">
        <v>90</v>
      </c>
      <c r="L24" s="144">
        <v>76</v>
      </c>
      <c r="M24" s="145" t="str">
        <f ca="1">VLOOKUP($L24,OFFSET([3]enemies!$A$1,0,0,COUNTA([3]enemies!$A:$A),MATCH(M$1,[3]enemies!$1:$1,0)-MATCH($L$1,[3]enemies!$1:$1,0)+1),MATCH(M$1,[3]enemies!$1:$1,0)-MATCH($L$1,[3]enemies!$1:$1,0)+1,FALSE)</f>
        <v>閃速の伝令者 サンダーバード</v>
      </c>
      <c r="N24" s="145" t="str">
        <f ca="1">VLOOKUP($L24,OFFSET([3]enemies!$A$1,0,0,COUNTA([3]enemies!$A:$A),MATCH(N$1,[3]enemies!$1:$1,0)-MATCH($L$1,[3]enemies!$1:$1,0)+1),MATCH(N$1,[3]enemies!$1:$1,0)-MATCH($L$1,[3]enemies!$1:$1,0)+1,FALSE)</f>
        <v>yellow</v>
      </c>
      <c r="O24" s="145" t="str">
        <f ca="1">VLOOKUP($L24,OFFSET([4]characters!$A$1,0,0,COUNTA([4]characters!$A:$A),MATCH(O$1,[4]characters!$1:$1,0)-MATCH($L$1,[4]characters!$1:$1,0)+1),MATCH(O$1,[4]characters!$1:$1,0)-MATCH($L$1,[4]characters!$1:$1,0)+1,FALSE)</f>
        <v>Drop1S</v>
      </c>
      <c r="P24" s="145" t="str">
        <f ca="1">VLOOKUP($L24,OFFSET([3]enemies!$A$1,0,0,COUNTA([3]enemies!$A:$A),MATCH(P$1,[3]enemies!$1:$1,0)-MATCH($L$1,[3]enemies!$1:$1,0)+1),MATCH(P$1,[3]enemies!$1:$1,0)-MATCH($L$1,[3]enemies!$1:$1,0)+1,FALSE)</f>
        <v>animal</v>
      </c>
      <c r="Q24" s="145">
        <f ca="1">VLOOKUP($L24,OFFSET([3]enemies!$A$1,0,0,COUNTA([3]enemies!$A:$A),MATCH(Q$1,[3]enemies!$1:$1,0)-MATCH($L$1,[3]enemies!$1:$1,0)+1),MATCH(Q$1,[3]enemies!$1:$1,0)-MATCH($L$1,[3]enemies!$1:$1,0)+1,FALSE)</f>
        <v>30</v>
      </c>
      <c r="R24" s="146">
        <v>70</v>
      </c>
      <c r="S24" s="147">
        <v>2</v>
      </c>
      <c r="T24" s="147">
        <v>0.9</v>
      </c>
      <c r="U24" s="146">
        <v>0</v>
      </c>
      <c r="V24" s="181" t="str">
        <f ca="1">VLOOKUP($W24,OFFSET(enemy_skill_sets!$B$1,0,0,COUNTA(enemy_skill_sets!$B:$B),MATCH(M$1,enemy_skill_sets!$1:$1,0)-MATCH($W$1,enemy_skill_sets!$1:$1,0)+2),MATCH(M$1,enemy_skill_sets!$1:$1,0)-MATCH($W$1,enemy_skill_sets!$1:$1,0)+2,FALSE)</f>
        <v>お邪魔パネルを2つ生成</v>
      </c>
      <c r="W24" s="182">
        <v>15029016</v>
      </c>
      <c r="X24" s="148">
        <v>1</v>
      </c>
      <c r="Y24" s="149">
        <v>100</v>
      </c>
      <c r="Z24" s="149">
        <v>0</v>
      </c>
      <c r="AA24" s="145">
        <v>1</v>
      </c>
      <c r="AB24" s="150">
        <f t="shared" si="18"/>
        <v>76</v>
      </c>
      <c r="AC24" s="142" t="str">
        <f ca="1">VLOOKUP($AB24,OFFSET([4]characters!$A$1,0,0,COUNTA([4]characters!$A:$A),MATCH(AC$1,[4]characters!$1:$1,0)-MATCH("character_id",[4]characters!$1:$1,0)+1),MATCH(AC$1,[4]characters!$1:$1,0)-MATCH("character_id",[4]characters!$1:$1,0)+1,FALSE)</f>
        <v>閃速の伝令者 サンダーバード</v>
      </c>
      <c r="AD24" s="142">
        <f ca="1">VLOOKUP($AB24,OFFSET([4]characters!$A$1,0,0,COUNTA([4]characters!$A:$A),MATCH(AD$1,[4]characters!$1:$1,0)-MATCH("character_id",[4]characters!$1:$1,0)+1),MATCH(AD$1,[4]characters!$1:$1,0)-MATCH("character_id",[4]characters!$1:$1,0)+1,FALSE)</f>
        <v>4</v>
      </c>
      <c r="AE24" s="142" t="str">
        <f ca="1">VLOOKUP($AB24,OFFSET([4]characters!$A$1,0,0,COUNTA([4]characters!$A:$A),MATCH(AE$1,[4]characters!$1:$1,0)-MATCH("character_id",[4]characters!$1:$1,0)+1),MATCH(AE$1,[4]characters!$1:$1,0)-MATCH("character_id",[4]characters!$1:$1,0)+1,FALSE)</f>
        <v>Drop1S</v>
      </c>
      <c r="AF24" s="151">
        <v>1</v>
      </c>
      <c r="AG24" s="150">
        <f t="shared" ca="1" si="19"/>
        <v>4</v>
      </c>
      <c r="AH24" s="152">
        <v>0</v>
      </c>
      <c r="AI24" s="151">
        <v>0</v>
      </c>
      <c r="AJ24" s="151">
        <v>0</v>
      </c>
      <c r="AK24" s="151">
        <v>0</v>
      </c>
      <c r="AL24" s="151">
        <v>0</v>
      </c>
      <c r="AM24" s="151">
        <v>1</v>
      </c>
      <c r="AN24" s="153">
        <v>1</v>
      </c>
    </row>
    <row r="25" spans="1:40" ht="21" customHeight="1" x14ac:dyDescent="0.15">
      <c r="A25" s="12" t="str">
        <f t="shared" si="15"/>
        <v>15029_3-1/137&lt;lv70&gt;s2</v>
      </c>
      <c r="B25" s="92">
        <v>15029</v>
      </c>
      <c r="C25" s="155">
        <v>3</v>
      </c>
      <c r="D25" s="109" t="str">
        <f t="shared" si="16"/>
        <v>15029_3</v>
      </c>
      <c r="E25" s="3" t="str">
        <f ca="1">VLOOKUP($B25,OFFSET([2]quests!$A$1,0,0,COUNTA([2]quests!$A:$A),MATCH(E$1,[2]quests!$1:$1,0)-MATCH($B$1,[2]quests!$1:$1,0)+1),MATCH(E$1,[2]quests!$1:$1,0)-MATCH($B$1,[2]quests!$1:$1,0)+1,FALSE)</f>
        <v>29. 雪の望郷</v>
      </c>
      <c r="F25" s="3" t="str">
        <f ca="1">VLOOKUP($D25,OFFSET([2]stages!$A$1,0,0,COUNTA([2]stages!$A:$A),MATCH(F$1,[2]stages!$2:$2,0)-MATCH($D$1,[2]stages!$2:$2,0)+1),MATCH(F$1,[2]stages!$2:$2,0)-MATCH($D$1,[2]stages!$2:$2,0)+1,FALSE)</f>
        <v>29-3. 仕立屋と兄妹</v>
      </c>
      <c r="G25" s="110">
        <v>1</v>
      </c>
      <c r="H25" s="109" t="str">
        <f t="shared" si="17"/>
        <v>15029_3-1</v>
      </c>
      <c r="I25" s="3">
        <f ca="1">VLOOKUP($H25,OFFSET(floors!$A$1,0,0,COUNTA(floors!$A:$A),MATCH(I$1,floors!$1:$1,0)-MATCH($H$1,floors!$1:$1,0)+1),MATCH(I$1,floors!$1:$1,0)-MATCH($H$1,floors!$1:$1,0)+1,FALSE)</f>
        <v>30</v>
      </c>
      <c r="J25" s="3">
        <f ca="1">VLOOKUP($H25,OFFSET(floors!$A$1,0,0,COUNTA(floors!$A:$A),MATCH(J$1,floors!$1:$1,0)-MATCH($H$1,floors!$1:$1,0)+1),MATCH(J$1,floors!$1:$1,0)-MATCH($H$1,floors!$1:$1,0)+1,FALSE)</f>
        <v>30</v>
      </c>
      <c r="K25" s="111" t="s">
        <v>90</v>
      </c>
      <c r="L25" s="112">
        <v>137</v>
      </c>
      <c r="M25" s="13" t="str">
        <f ca="1">VLOOKUP($L25,OFFSET([3]enemies!$A$1,0,0,COUNTA([3]enemies!$A:$A),MATCH(M$1,[3]enemies!$1:$1,0)-MATCH($L$1,[3]enemies!$1:$1,0)+1),MATCH(M$1,[3]enemies!$1:$1,0)-MATCH($L$1,[3]enemies!$1:$1,0)+1,FALSE)</f>
        <v>清福の仕立屋 チハヤ</v>
      </c>
      <c r="N25" s="13" t="str">
        <f ca="1">VLOOKUP($L25,OFFSET([3]enemies!$A$1,0,0,COUNTA([3]enemies!$A:$A),MATCH(N$1,[3]enemies!$1:$1,0)-MATCH($L$1,[3]enemies!$1:$1,0)+1),MATCH(N$1,[3]enemies!$1:$1,0)-MATCH($L$1,[3]enemies!$1:$1,0)+1,FALSE)</f>
        <v>green</v>
      </c>
      <c r="O25" s="13" t="str">
        <f ca="1">VLOOKUP($L25,OFFSET([4]characters!$A$1,0,0,COUNTA([4]characters!$A:$A),MATCH(O$1,[4]characters!$1:$1,0)-MATCH($L$1,[4]characters!$1:$1,0)+1),MATCH(O$1,[4]characters!$1:$1,0)-MATCH($L$1,[4]characters!$1:$1,0)+1,FALSE)</f>
        <v>PremiumW</v>
      </c>
      <c r="P25" s="13" t="str">
        <f ca="1">VLOOKUP($L25,OFFSET([3]enemies!$A$1,0,0,COUNTA([3]enemies!$A:$A),MATCH(P$1,[3]enemies!$1:$1,0)-MATCH($L$1,[3]enemies!$1:$1,0)+1),MATCH(P$1,[3]enemies!$1:$1,0)-MATCH($L$1,[3]enemies!$1:$1,0)+1,FALSE)</f>
        <v>human</v>
      </c>
      <c r="Q25" s="13">
        <f ca="1">VLOOKUP($L25,OFFSET([3]enemies!$A$1,0,0,COUNTA([3]enemies!$A:$A),MATCH(Q$1,[3]enemies!$1:$1,0)-MATCH($L$1,[3]enemies!$1:$1,0)+1),MATCH(Q$1,[3]enemies!$1:$1,0)-MATCH($L$1,[3]enemies!$1:$1,0)+1,FALSE)</f>
        <v>30</v>
      </c>
      <c r="R25" s="113">
        <v>70</v>
      </c>
      <c r="S25" s="114">
        <v>1.8</v>
      </c>
      <c r="T25" s="114">
        <v>0.7</v>
      </c>
      <c r="U25" s="113">
        <v>0</v>
      </c>
      <c r="V25" s="181" t="str">
        <f ca="1">VLOOKUP($W25,OFFSET(enemy_skill_sets!$B$1,0,0,COUNTA(enemy_skill_sets!$B:$B),MATCH(M$1,enemy_skill_sets!$1:$1,0)-MATCH($W$1,enemy_skill_sets!$1:$1,0)+2),MATCH(M$1,enemy_skill_sets!$1:$1,0)-MATCH($W$1,enemy_skill_sets!$1:$1,0)+2,FALSE)</f>
        <v>2連続攻撃</v>
      </c>
      <c r="W25" s="182">
        <v>15029027</v>
      </c>
      <c r="X25" s="100">
        <v>0</v>
      </c>
      <c r="Y25" s="101">
        <v>100</v>
      </c>
      <c r="Z25" s="101">
        <v>2</v>
      </c>
      <c r="AA25" s="13">
        <v>2</v>
      </c>
      <c r="AB25" s="115">
        <f t="shared" si="18"/>
        <v>137</v>
      </c>
      <c r="AC25" s="3" t="str">
        <f ca="1">VLOOKUP($AB25,OFFSET([4]characters!$A$1,0,0,COUNTA([4]characters!$A:$A),MATCH(AC$1,[4]characters!$1:$1,0)-MATCH("character_id",[4]characters!$1:$1,0)+1),MATCH(AC$1,[4]characters!$1:$1,0)-MATCH("character_id",[4]characters!$1:$1,0)+1,FALSE)</f>
        <v>清福の仕立屋 チハヤ</v>
      </c>
      <c r="AD25" s="3">
        <f ca="1">VLOOKUP($AB25,OFFSET([4]characters!$A$1,0,0,COUNTA([4]characters!$A:$A),MATCH(AD$1,[4]characters!$1:$1,0)-MATCH("character_id",[4]characters!$1:$1,0)+1),MATCH(AD$1,[4]characters!$1:$1,0)-MATCH("character_id",[4]characters!$1:$1,0)+1,FALSE)</f>
        <v>4</v>
      </c>
      <c r="AE25" s="3" t="str">
        <f ca="1">VLOOKUP($AB25,OFFSET([4]characters!$A$1,0,0,COUNTA([4]characters!$A:$A),MATCH(AE$1,[4]characters!$1:$1,0)-MATCH("character_id",[4]characters!$1:$1,0)+1),MATCH(AE$1,[4]characters!$1:$1,0)-MATCH("character_id",[4]characters!$1:$1,0)+1,FALSE)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25" s="116">
        <v>1</v>
      </c>
      <c r="AG25" s="115">
        <f t="shared" ca="1" si="19"/>
        <v>4</v>
      </c>
      <c r="AH25" s="117">
        <v>0</v>
      </c>
      <c r="AI25" s="116">
        <v>0</v>
      </c>
      <c r="AJ25" s="116">
        <v>0</v>
      </c>
      <c r="AK25" s="116">
        <v>0</v>
      </c>
      <c r="AL25" s="116">
        <v>0</v>
      </c>
      <c r="AM25" s="116">
        <v>1</v>
      </c>
      <c r="AN25" s="118">
        <v>1</v>
      </c>
    </row>
    <row r="26" spans="1:40" ht="21" customHeight="1" x14ac:dyDescent="0.15">
      <c r="A26" s="12" t="str">
        <f t="shared" ref="A26" si="35">B26&amp;"_"&amp;C26&amp;"-"&amp;G26&amp;"/"&amp;L26&amp;"&lt;lv"&amp;R26&amp;"&gt;s"&amp;AA26</f>
        <v>15029_3-2/412&lt;lv70&gt;s2</v>
      </c>
      <c r="B26" s="92">
        <v>15029</v>
      </c>
      <c r="C26" s="95">
        <v>3</v>
      </c>
      <c r="D26" s="1" t="str">
        <f t="shared" ref="D26" si="36">B26&amp;"_"&amp;C26</f>
        <v>15029_3</v>
      </c>
      <c r="E26" s="3" t="str">
        <f ca="1">VLOOKUP($B26,OFFSET([2]quests!$A$1,0,0,COUNTA([2]quests!$A:$A),MATCH(E$1,[2]quests!$1:$1,0)-MATCH($B$1,[2]quests!$1:$1,0)+1),MATCH(E$1,[2]quests!$1:$1,0)-MATCH($B$1,[2]quests!$1:$1,0)+1,FALSE)</f>
        <v>29. 雪の望郷</v>
      </c>
      <c r="F26" s="3" t="str">
        <f ca="1">VLOOKUP($D26,OFFSET([2]stages!$A$1,0,0,COUNTA([2]stages!$A:$A),MATCH(F$1,[2]stages!$2:$2,0)-MATCH($D$1,[2]stages!$2:$2,0)+1),MATCH(F$1,[2]stages!$2:$2,0)-MATCH($D$1,[2]stages!$2:$2,0)+1,FALSE)</f>
        <v>29-3. 仕立屋と兄妹</v>
      </c>
      <c r="G26" s="94">
        <v>2</v>
      </c>
      <c r="H26" s="11" t="str">
        <f t="shared" ref="H26" si="37">B26&amp;"_"&amp;C26&amp;"-"&amp;G26</f>
        <v>15029_3-2</v>
      </c>
      <c r="I26" s="3">
        <f ca="1">VLOOKUP($H26,OFFSET(floors!$A$1,0,0,COUNTA(floors!$A:$A),MATCH(I$1,floors!$1:$1,0)-MATCH($H$1,floors!$1:$1,0)+1),MATCH(I$1,floors!$1:$1,0)-MATCH($H$1,floors!$1:$1,0)+1,FALSE)</f>
        <v>45</v>
      </c>
      <c r="J26" s="3">
        <f ca="1">VLOOKUP($H26,OFFSET(floors!$A$1,0,0,COUNTA(floors!$A:$A),MATCH(J$1,floors!$1:$1,0)-MATCH($H$1,floors!$1:$1,0)+1),MATCH(J$1,floors!$1:$1,0)-MATCH($H$1,floors!$1:$1,0)+1,FALSE)</f>
        <v>45</v>
      </c>
      <c r="K26" s="31" t="s">
        <v>89</v>
      </c>
      <c r="L26" s="97">
        <v>412</v>
      </c>
      <c r="M26" s="13" t="str">
        <f ca="1">VLOOKUP($L26,OFFSET([3]enemies!$A$1,0,0,COUNTA([3]enemies!$A:$A),MATCH(M$1,[3]enemies!$1:$1,0)-MATCH($L$1,[3]enemies!$1:$1,0)+1),MATCH(M$1,[3]enemies!$1:$1,0)-MATCH($L$1,[3]enemies!$1:$1,0)+1,FALSE)</f>
        <v>コウネン</v>
      </c>
      <c r="N26" s="13" t="str">
        <f ca="1">VLOOKUP($L26,OFFSET([3]enemies!$A$1,0,0,COUNTA([3]enemies!$A:$A),MATCH(N$1,[3]enemies!$1:$1,0)-MATCH($L$1,[3]enemies!$1:$1,0)+1),MATCH(N$1,[3]enemies!$1:$1,0)-MATCH($L$1,[3]enemies!$1:$1,0)+1,FALSE)</f>
        <v>yellow</v>
      </c>
      <c r="O26" s="13" t="str">
        <f ca="1">VLOOKUP($L26,OFFSET([4]characters!$A$1,0,0,COUNTA([4]characters!$A:$A),MATCH(O$1,[4]characters!$1:$1,0)-MATCH($L$1,[4]characters!$1:$1,0)+1),MATCH(O$1,[4]characters!$1:$1,0)-MATCH($L$1,[4]characters!$1:$1,0)+1,FALSE)</f>
        <v>Drop1S</v>
      </c>
      <c r="P26" s="13" t="str">
        <f ca="1">VLOOKUP($L26,OFFSET([3]enemies!$A$1,0,0,COUNTA([3]enemies!$A:$A),MATCH(P$1,[3]enemies!$1:$1,0)-MATCH($L$1,[3]enemies!$1:$1,0)+1),MATCH(P$1,[3]enemies!$1:$1,0)-MATCH($L$1,[3]enemies!$1:$1,0)+1,FALSE)</f>
        <v>unknown</v>
      </c>
      <c r="Q26" s="13">
        <f ca="1">VLOOKUP($L26,OFFSET([3]enemies!$A$1,0,0,COUNTA([3]enemies!$A:$A),MATCH(Q$1,[3]enemies!$1:$1,0)-MATCH($L$1,[3]enemies!$1:$1,0)+1),MATCH(Q$1,[3]enemies!$1:$1,0)-MATCH($L$1,[3]enemies!$1:$1,0)+1,FALSE)</f>
        <v>15</v>
      </c>
      <c r="R26" s="4">
        <v>70</v>
      </c>
      <c r="S26" s="19">
        <v>2</v>
      </c>
      <c r="T26" s="19">
        <v>1</v>
      </c>
      <c r="U26" s="4">
        <v>0</v>
      </c>
      <c r="V26" s="181" t="str">
        <f ca="1">VLOOKUP($W26,OFFSET(enemy_skill_sets!$B$1,0,0,COUNTA(enemy_skill_sets!$B:$B),MATCH(M$1,enemy_skill_sets!$1:$1,0)-MATCH($W$1,enemy_skill_sets!$1:$1,0)+2),MATCH(M$1,enemy_skill_sets!$1:$1,0)-MATCH($W$1,enemy_skill_sets!$1:$1,0)+2,FALSE)</f>
        <v>全ユニットの状態異常を解除してくれた</v>
      </c>
      <c r="W26" s="182">
        <v>15029018</v>
      </c>
      <c r="X26" s="100">
        <v>1</v>
      </c>
      <c r="Y26" s="101">
        <v>100</v>
      </c>
      <c r="Z26" s="101">
        <v>0</v>
      </c>
      <c r="AA26" s="13">
        <v>2</v>
      </c>
      <c r="AB26" s="18">
        <f t="shared" ref="AB26" si="38">L26</f>
        <v>412</v>
      </c>
      <c r="AC26" s="3" t="str">
        <f ca="1">VLOOKUP($AB26,OFFSET([4]characters!$A$1,0,0,COUNTA([4]characters!$A:$A),MATCH(AC$1,[4]characters!$1:$1,0)-MATCH("character_id",[4]characters!$1:$1,0)+1),MATCH(AC$1,[4]characters!$1:$1,0)-MATCH("character_id",[4]characters!$1:$1,0)+1,FALSE)</f>
        <v>コウネン</v>
      </c>
      <c r="AD26" s="3">
        <f ca="1">VLOOKUP($AB26,OFFSET([4]characters!$A$1,0,0,COUNTA([4]characters!$A:$A),MATCH(AD$1,[4]characters!$1:$1,0)-MATCH("character_id",[4]characters!$1:$1,0)+1),MATCH(AD$1,[4]characters!$1:$1,0)-MATCH("character_id",[4]characters!$1:$1,0)+1,FALSE)</f>
        <v>2</v>
      </c>
      <c r="AE26" s="3" t="str">
        <f ca="1">VLOOKUP($AB26,OFFSET([4]characters!$A$1,0,0,COUNTA([4]characters!$A:$A),MATCH(AE$1,[4]characters!$1:$1,0)-MATCH("character_id",[4]characters!$1:$1,0)+1),MATCH(AE$1,[4]characters!$1:$1,0)-MATCH("character_id",[4]characters!$1:$1,0)+1,FALSE)</f>
        <v>Drop1S</v>
      </c>
      <c r="AF26" s="5">
        <v>1</v>
      </c>
      <c r="AG26" s="18">
        <f t="shared" ref="AG26" ca="1" si="39">AD26</f>
        <v>2</v>
      </c>
      <c r="AH26" s="6">
        <v>20</v>
      </c>
      <c r="AI26" s="90">
        <v>0</v>
      </c>
      <c r="AJ26" s="90">
        <v>0</v>
      </c>
      <c r="AK26" s="90">
        <v>0</v>
      </c>
      <c r="AL26" s="90">
        <v>0</v>
      </c>
      <c r="AM26" s="90">
        <v>1</v>
      </c>
      <c r="AN26" s="62">
        <v>1</v>
      </c>
    </row>
    <row r="27" spans="1:40" ht="21" customHeight="1" x14ac:dyDescent="0.15">
      <c r="A27" s="12" t="str">
        <f t="shared" si="15"/>
        <v>15029_3-2/372&lt;lv70&gt;s2</v>
      </c>
      <c r="B27" s="92">
        <v>15029</v>
      </c>
      <c r="C27" s="95">
        <v>3</v>
      </c>
      <c r="D27" s="1" t="str">
        <f t="shared" si="16"/>
        <v>15029_3</v>
      </c>
      <c r="E27" s="3" t="str">
        <f ca="1">VLOOKUP($B27,OFFSET([2]quests!$A$1,0,0,COUNTA([2]quests!$A:$A),MATCH(E$1,[2]quests!$1:$1,0)-MATCH($B$1,[2]quests!$1:$1,0)+1),MATCH(E$1,[2]quests!$1:$1,0)-MATCH($B$1,[2]quests!$1:$1,0)+1,FALSE)</f>
        <v>29. 雪の望郷</v>
      </c>
      <c r="F27" s="3" t="str">
        <f ca="1">VLOOKUP($D27,OFFSET([2]stages!$A$1,0,0,COUNTA([2]stages!$A:$A),MATCH(F$1,[2]stages!$2:$2,0)-MATCH($D$1,[2]stages!$2:$2,0)+1),MATCH(F$1,[2]stages!$2:$2,0)-MATCH($D$1,[2]stages!$2:$2,0)+1,FALSE)</f>
        <v>29-3. 仕立屋と兄妹</v>
      </c>
      <c r="G27" s="94">
        <v>2</v>
      </c>
      <c r="H27" s="11" t="str">
        <f t="shared" si="17"/>
        <v>15029_3-2</v>
      </c>
      <c r="I27" s="3">
        <f ca="1">VLOOKUP($H27,OFFSET(floors!$A$1,0,0,COUNTA(floors!$A:$A),MATCH(I$1,floors!$1:$1,0)-MATCH($H$1,floors!$1:$1,0)+1),MATCH(I$1,floors!$1:$1,0)-MATCH($H$1,floors!$1:$1,0)+1,FALSE)</f>
        <v>45</v>
      </c>
      <c r="J27" s="3">
        <f ca="1">VLOOKUP($H27,OFFSET(floors!$A$1,0,0,COUNTA(floors!$A:$A),MATCH(J$1,floors!$1:$1,0)-MATCH($H$1,floors!$1:$1,0)+1),MATCH(J$1,floors!$1:$1,0)-MATCH($H$1,floors!$1:$1,0)+1,FALSE)</f>
        <v>45</v>
      </c>
      <c r="K27" s="31" t="s">
        <v>90</v>
      </c>
      <c r="L27" s="97">
        <v>372</v>
      </c>
      <c r="M27" s="13" t="str">
        <f ca="1">VLOOKUP($L27,OFFSET([3]enemies!$A$1,0,0,COUNTA([3]enemies!$A:$A),MATCH(M$1,[3]enemies!$1:$1,0)-MATCH($L$1,[3]enemies!$1:$1,0)+1),MATCH(M$1,[3]enemies!$1:$1,0)-MATCH($L$1,[3]enemies!$1:$1,0)+1,FALSE)</f>
        <v>バショー</v>
      </c>
      <c r="N27" s="13" t="str">
        <f ca="1">VLOOKUP($L27,OFFSET([3]enemies!$A$1,0,0,COUNTA([3]enemies!$A:$A),MATCH(N$1,[3]enemies!$1:$1,0)-MATCH($L$1,[3]enemies!$1:$1,0)+1),MATCH(N$1,[3]enemies!$1:$1,0)-MATCH($L$1,[3]enemies!$1:$1,0)+1,FALSE)</f>
        <v>green</v>
      </c>
      <c r="O27" s="13" t="str">
        <f ca="1">VLOOKUP($L27,OFFSET([4]characters!$A$1,0,0,COUNTA([4]characters!$A:$A),MATCH(O$1,[4]characters!$1:$1,0)-MATCH($L$1,[4]characters!$1:$1,0)+1),MATCH(O$1,[4]characters!$1:$1,0)-MATCH($L$1,[4]characters!$1:$1,0)+1,FALSE)</f>
        <v>Drop1S</v>
      </c>
      <c r="P27" s="13" t="str">
        <f ca="1">VLOOKUP($L27,OFFSET([3]enemies!$A$1,0,0,COUNTA([3]enemies!$A:$A),MATCH(P$1,[3]enemies!$1:$1,0)-MATCH($L$1,[3]enemies!$1:$1,0)+1),MATCH(P$1,[3]enemies!$1:$1,0)-MATCH($L$1,[3]enemies!$1:$1,0)+1,FALSE)</f>
        <v>unknown</v>
      </c>
      <c r="Q27" s="13">
        <f ca="1">VLOOKUP($L27,OFFSET([3]enemies!$A$1,0,0,COUNTA([3]enemies!$A:$A),MATCH(Q$1,[3]enemies!$1:$1,0)-MATCH($L$1,[3]enemies!$1:$1,0)+1),MATCH(Q$1,[3]enemies!$1:$1,0)-MATCH($L$1,[3]enemies!$1:$1,0)+1,FALSE)</f>
        <v>15</v>
      </c>
      <c r="R27" s="4">
        <v>70</v>
      </c>
      <c r="S27" s="19">
        <v>2</v>
      </c>
      <c r="T27" s="19">
        <v>1</v>
      </c>
      <c r="U27" s="4">
        <v>0</v>
      </c>
      <c r="V27" s="181" t="str">
        <f ca="1">VLOOKUP($W27,OFFSET(enemy_skill_sets!$B$1,0,0,COUNTA(enemy_skill_sets!$B:$B),MATCH(M$1,enemy_skill_sets!$1:$1,0)-MATCH($W$1,enemy_skill_sets!$1:$1,0)+2),MATCH(M$1,enemy_skill_sets!$1:$1,0)-MATCH($W$1,enemy_skill_sets!$1:$1,0)+2,FALSE)</f>
        <v>3ターンハートパネルが無効</v>
      </c>
      <c r="W27" s="182">
        <v>15029019</v>
      </c>
      <c r="X27" s="100">
        <v>0</v>
      </c>
      <c r="Y27" s="101">
        <v>100</v>
      </c>
      <c r="Z27" s="101">
        <v>2</v>
      </c>
      <c r="AA27" s="13">
        <v>2</v>
      </c>
      <c r="AB27" s="18">
        <f t="shared" si="18"/>
        <v>372</v>
      </c>
      <c r="AC27" s="3" t="str">
        <f ca="1">VLOOKUP($AB27,OFFSET([4]characters!$A$1,0,0,COUNTA([4]characters!$A:$A),MATCH(AC$1,[4]characters!$1:$1,0)-MATCH("character_id",[4]characters!$1:$1,0)+1),MATCH(AC$1,[4]characters!$1:$1,0)-MATCH("character_id",[4]characters!$1:$1,0)+1,FALSE)</f>
        <v>バショー</v>
      </c>
      <c r="AD27" s="3">
        <f ca="1">VLOOKUP($AB27,OFFSET([4]characters!$A$1,0,0,COUNTA([4]characters!$A:$A),MATCH(AD$1,[4]characters!$1:$1,0)-MATCH("character_id",[4]characters!$1:$1,0)+1),MATCH(AD$1,[4]characters!$1:$1,0)-MATCH("character_id",[4]characters!$1:$1,0)+1,FALSE)</f>
        <v>2</v>
      </c>
      <c r="AE27" s="3" t="str">
        <f ca="1">VLOOKUP($AB27,OFFSET([4]characters!$A$1,0,0,COUNTA([4]characters!$A:$A),MATCH(AE$1,[4]characters!$1:$1,0)-MATCH("character_id",[4]characters!$1:$1,0)+1),MATCH(AE$1,[4]characters!$1:$1,0)-MATCH("character_id",[4]characters!$1:$1,0)+1,FALSE)</f>
        <v>Drop1S</v>
      </c>
      <c r="AF27" s="5">
        <v>1</v>
      </c>
      <c r="AG27" s="18">
        <f t="shared" ca="1" si="19"/>
        <v>2</v>
      </c>
      <c r="AH27" s="6">
        <v>20</v>
      </c>
      <c r="AI27" s="90">
        <v>0</v>
      </c>
      <c r="AJ27" s="90">
        <v>0</v>
      </c>
      <c r="AK27" s="90">
        <v>0</v>
      </c>
      <c r="AL27" s="90">
        <v>0</v>
      </c>
      <c r="AM27" s="90">
        <v>1</v>
      </c>
      <c r="AN27" s="62">
        <v>1</v>
      </c>
    </row>
    <row r="28" spans="1:40" s="137" customFormat="1" ht="21" customHeight="1" x14ac:dyDescent="0.15">
      <c r="A28" s="136" t="str">
        <f>B28&amp;"_"&amp;C28&amp;"-"&amp;G28&amp;"/"&amp;L28&amp;"&lt;lv"&amp;R28&amp;"&gt;s"&amp;AA28</f>
        <v>15029_3-2/350&lt;lv50&gt;s2</v>
      </c>
      <c r="B28" s="92">
        <v>15029</v>
      </c>
      <c r="C28" s="95">
        <v>3</v>
      </c>
      <c r="D28" s="11" t="str">
        <f>B28&amp;"_"&amp;C28</f>
        <v>15029_3</v>
      </c>
      <c r="E28" s="3" t="str">
        <f ca="1">VLOOKUP($B28,OFFSET([2]quests!$A$1,0,0,COUNTA([2]quests!$A:$A),MATCH(E$1,[2]quests!$1:$1,0)-MATCH($B$1,[2]quests!$1:$1,0)+1),MATCH(E$1,[2]quests!$1:$1,0)-MATCH($B$1,[2]quests!$1:$1,0)+1,FALSE)</f>
        <v>29. 雪の望郷</v>
      </c>
      <c r="F28" s="3" t="str">
        <f ca="1">VLOOKUP($D28,OFFSET([2]stages!$A$1,0,0,COUNTA([2]stages!$A:$A),MATCH(F$1,[2]stages!$2:$2,0)-MATCH($D$1,[2]stages!$2:$2,0)+1),MATCH(F$1,[2]stages!$2:$2,0)-MATCH($D$1,[2]stages!$2:$2,0)+1,FALSE)</f>
        <v>29-3. 仕立屋と兄妹</v>
      </c>
      <c r="G28" s="94">
        <v>2</v>
      </c>
      <c r="H28" s="11" t="str">
        <f>B28&amp;"_"&amp;C28&amp;"-"&amp;G28</f>
        <v>15029_3-2</v>
      </c>
      <c r="I28" s="3">
        <f ca="1">VLOOKUP($H28,OFFSET(floors!$A$1,0,0,COUNTA(floors!$A:$A),MATCH(I$1,floors!$1:$1,0)-MATCH($H$1,floors!$1:$1,0)+1),MATCH(I$1,floors!$1:$1,0)-MATCH($H$1,floors!$1:$1,0)+1,FALSE)</f>
        <v>45</v>
      </c>
      <c r="J28" s="3">
        <f ca="1">VLOOKUP($H28,OFFSET(floors!$A$1,0,0,COUNTA(floors!$A:$A),MATCH(J$1,floors!$1:$1,0)-MATCH($H$1,floors!$1:$1,0)+1),MATCH(J$1,floors!$1:$1,0)-MATCH($H$1,floors!$1:$1,0)+1,FALSE)</f>
        <v>45</v>
      </c>
      <c r="K28" s="31" t="s">
        <v>89</v>
      </c>
      <c r="L28" s="97">
        <v>350</v>
      </c>
      <c r="M28" s="13" t="str">
        <f ca="1">VLOOKUP($L28,OFFSET([3]enemies!$A$1,0,0,COUNTA([3]enemies!$A:$A),MATCH(M$1,[3]enemies!$1:$1,0)-MATCH($L$1,[3]enemies!$1:$1,0)+1),MATCH(M$1,[3]enemies!$1:$1,0)-MATCH($L$1,[3]enemies!$1:$1,0)+1,FALSE)</f>
        <v>森のケロケロ</v>
      </c>
      <c r="N28" s="13" t="str">
        <f ca="1">VLOOKUP($L28,OFFSET([3]enemies!$A$1,0,0,COUNTA([3]enemies!$A:$A),MATCH(N$1,[3]enemies!$1:$1,0)-MATCH($L$1,[3]enemies!$1:$1,0)+1),MATCH(N$1,[3]enemies!$1:$1,0)-MATCH($L$1,[3]enemies!$1:$1,0)+1,FALSE)</f>
        <v>green</v>
      </c>
      <c r="O28" s="13" t="str">
        <f ca="1">VLOOKUP($L28,OFFSET([4]characters!$A$1,0,0,COUNTA([4]characters!$A:$A),MATCH(O$1,[4]characters!$1:$1,0)-MATCH($L$1,[4]characters!$1:$1,0)+1),MATCH(O$1,[4]characters!$1:$1,0)-MATCH($L$1,[4]characters!$1:$1,0)+1,FALSE)</f>
        <v>Material</v>
      </c>
      <c r="P28" s="13" t="str">
        <f ca="1">VLOOKUP($L28,OFFSET([3]enemies!$A$1,0,0,COUNTA([3]enemies!$A:$A),MATCH(P$1,[3]enemies!$1:$1,0)-MATCH($L$1,[3]enemies!$1:$1,0)+1),MATCH(P$1,[3]enemies!$1:$1,0)-MATCH($L$1,[3]enemies!$1:$1,0)+1,FALSE)</f>
        <v>unknown</v>
      </c>
      <c r="Q28" s="13">
        <f ca="1">VLOOKUP($L28,OFFSET([3]enemies!$A$1,0,0,COUNTA([3]enemies!$A:$A),MATCH(Q$1,[3]enemies!$1:$1,0)-MATCH($L$1,[3]enemies!$1:$1,0)+1),MATCH(Q$1,[3]enemies!$1:$1,0)-MATCH($L$1,[3]enemies!$1:$1,0)+1,FALSE)</f>
        <v>15</v>
      </c>
      <c r="R28" s="177">
        <v>50</v>
      </c>
      <c r="S28" s="178">
        <v>1</v>
      </c>
      <c r="T28" s="19">
        <v>1</v>
      </c>
      <c r="U28" s="4">
        <v>0</v>
      </c>
      <c r="V28" s="181" t="e">
        <f ca="1">VLOOKUP($W28,OFFSET(enemy_skill_sets!$B$1,0,0,COUNTA(enemy_skill_sets!$B:$B),MATCH(M$1,enemy_skill_sets!$1:$1,0)-MATCH($W$1,enemy_skill_sets!$1:$1,0)+2),MATCH(M$1,enemy_skill_sets!$1:$1,0)-MATCH($W$1,enemy_skill_sets!$1:$1,0)+2,FALSE)</f>
        <v>#N/A</v>
      </c>
      <c r="W28" s="182">
        <v>0</v>
      </c>
      <c r="X28" s="100">
        <v>0</v>
      </c>
      <c r="Y28" s="101">
        <v>30</v>
      </c>
      <c r="Z28" s="101">
        <v>1</v>
      </c>
      <c r="AA28" s="13">
        <v>2</v>
      </c>
      <c r="AB28" s="103">
        <f>L28</f>
        <v>350</v>
      </c>
      <c r="AC28" s="3" t="str">
        <f ca="1">VLOOKUP($AB28,OFFSET([4]characters!$A$1,0,0,COUNTA([4]characters!$A:$A),MATCH(AC$1,[4]characters!$1:$1,0)-MATCH("character_id",[4]characters!$1:$1,0)+1),MATCH(AC$1,[4]characters!$1:$1,0)-MATCH("character_id",[4]characters!$1:$1,0)+1,FALSE)</f>
        <v>森のケロケロ</v>
      </c>
      <c r="AD28" s="3">
        <f ca="1">VLOOKUP($AB28,OFFSET([4]characters!$A$1,0,0,COUNTA([4]characters!$A:$A),MATCH(AD$1,[4]characters!$1:$1,0)-MATCH("character_id",[4]characters!$1:$1,0)+1),MATCH(AD$1,[4]characters!$1:$1,0)-MATCH("character_id",[4]characters!$1:$1,0)+1,FALSE)</f>
        <v>2</v>
      </c>
      <c r="AE28" s="3" t="str">
        <f ca="1">VLOOKUP($AB28,OFFSET([4]characters!$A$1,0,0,COUNTA([4]characters!$A:$A),MATCH(AE$1,[4]characters!$1:$1,0)-MATCH("character_id",[4]characters!$1:$1,0)+1),MATCH(AE$1,[4]characters!$1:$1,0)-MATCH("character_id",[4]characters!$1:$1,0)+1,FALSE)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8" s="90">
        <v>10</v>
      </c>
      <c r="AG28" s="103">
        <f ca="1">AD28</f>
        <v>2</v>
      </c>
      <c r="AH28" s="6">
        <v>100</v>
      </c>
      <c r="AI28" s="90">
        <v>0</v>
      </c>
      <c r="AJ28" s="90">
        <v>0</v>
      </c>
      <c r="AK28" s="90">
        <v>0</v>
      </c>
      <c r="AL28" s="90">
        <v>0</v>
      </c>
      <c r="AM28" s="90">
        <v>1</v>
      </c>
      <c r="AN28" s="62">
        <v>1</v>
      </c>
    </row>
    <row r="29" spans="1:40" s="137" customFormat="1" ht="21" customHeight="1" x14ac:dyDescent="0.15">
      <c r="A29" s="136" t="str">
        <f>B29&amp;"_"&amp;C29&amp;"-"&amp;G29&amp;"/"&amp;L29&amp;"&lt;lv"&amp;R29&amp;"&gt;s"&amp;AA29</f>
        <v>15029_3-2/354&lt;lv50&gt;s2</v>
      </c>
      <c r="B29" s="92">
        <v>15029</v>
      </c>
      <c r="C29" s="95">
        <v>3</v>
      </c>
      <c r="D29" s="11" t="str">
        <f>B29&amp;"_"&amp;C29</f>
        <v>15029_3</v>
      </c>
      <c r="E29" s="3" t="str">
        <f ca="1">VLOOKUP($B29,OFFSET([2]quests!$A$1,0,0,COUNTA([2]quests!$A:$A),MATCH(E$1,[2]quests!$1:$1,0)-MATCH($B$1,[2]quests!$1:$1,0)+1),MATCH(E$1,[2]quests!$1:$1,0)-MATCH($B$1,[2]quests!$1:$1,0)+1,FALSE)</f>
        <v>29. 雪の望郷</v>
      </c>
      <c r="F29" s="3" t="str">
        <f ca="1">VLOOKUP($D29,OFFSET([2]stages!$A$1,0,0,COUNTA([2]stages!$A:$A),MATCH(F$1,[2]stages!$2:$2,0)-MATCH($D$1,[2]stages!$2:$2,0)+1),MATCH(F$1,[2]stages!$2:$2,0)-MATCH($D$1,[2]stages!$2:$2,0)+1,FALSE)</f>
        <v>29-3. 仕立屋と兄妹</v>
      </c>
      <c r="G29" s="94">
        <v>2</v>
      </c>
      <c r="H29" s="11" t="str">
        <f>B29&amp;"_"&amp;C29&amp;"-"&amp;G29</f>
        <v>15029_3-2</v>
      </c>
      <c r="I29" s="3">
        <f ca="1">VLOOKUP($H29,OFFSET(floors!$A$1,0,0,COUNTA(floors!$A:$A),MATCH(I$1,floors!$1:$1,0)-MATCH($H$1,floors!$1:$1,0)+1),MATCH(I$1,floors!$1:$1,0)-MATCH($H$1,floors!$1:$1,0)+1,FALSE)</f>
        <v>45</v>
      </c>
      <c r="J29" s="3">
        <f ca="1">VLOOKUP($H29,OFFSET(floors!$A$1,0,0,COUNTA(floors!$A:$A),MATCH(J$1,floors!$1:$1,0)-MATCH($H$1,floors!$1:$1,0)+1),MATCH(J$1,floors!$1:$1,0)-MATCH($H$1,floors!$1:$1,0)+1,FALSE)</f>
        <v>45</v>
      </c>
      <c r="K29" s="31" t="s">
        <v>89</v>
      </c>
      <c r="L29" s="97">
        <v>354</v>
      </c>
      <c r="M29" s="13" t="str">
        <f ca="1">VLOOKUP($L29,OFFSET([3]enemies!$A$1,0,0,COUNTA([3]enemies!$A:$A),MATCH(M$1,[3]enemies!$1:$1,0)-MATCH($L$1,[3]enemies!$1:$1,0)+1),MATCH(M$1,[3]enemies!$1:$1,0)-MATCH($L$1,[3]enemies!$1:$1,0)+1,FALSE)</f>
        <v>雷のケロケロ</v>
      </c>
      <c r="N29" s="13" t="str">
        <f ca="1">VLOOKUP($L29,OFFSET([3]enemies!$A$1,0,0,COUNTA([3]enemies!$A:$A),MATCH(N$1,[3]enemies!$1:$1,0)-MATCH($L$1,[3]enemies!$1:$1,0)+1),MATCH(N$1,[3]enemies!$1:$1,0)-MATCH($L$1,[3]enemies!$1:$1,0)+1,FALSE)</f>
        <v>yellow</v>
      </c>
      <c r="O29" s="13" t="str">
        <f ca="1">VLOOKUP($L29,OFFSET([4]characters!$A$1,0,0,COUNTA([4]characters!$A:$A),MATCH(O$1,[4]characters!$1:$1,0)-MATCH($L$1,[4]characters!$1:$1,0)+1),MATCH(O$1,[4]characters!$1:$1,0)-MATCH($L$1,[4]characters!$1:$1,0)+1,FALSE)</f>
        <v>Material</v>
      </c>
      <c r="P29" s="13" t="str">
        <f ca="1">VLOOKUP($L29,OFFSET([3]enemies!$A$1,0,0,COUNTA([3]enemies!$A:$A),MATCH(P$1,[3]enemies!$1:$1,0)-MATCH($L$1,[3]enemies!$1:$1,0)+1),MATCH(P$1,[3]enemies!$1:$1,0)-MATCH($L$1,[3]enemies!$1:$1,0)+1,FALSE)</f>
        <v>unknown</v>
      </c>
      <c r="Q29" s="13">
        <f ca="1">VLOOKUP($L29,OFFSET([3]enemies!$A$1,0,0,COUNTA([3]enemies!$A:$A),MATCH(Q$1,[3]enemies!$1:$1,0)-MATCH($L$1,[3]enemies!$1:$1,0)+1),MATCH(Q$1,[3]enemies!$1:$1,0)-MATCH($L$1,[3]enemies!$1:$1,0)+1,FALSE)</f>
        <v>15</v>
      </c>
      <c r="R29" s="179">
        <v>50</v>
      </c>
      <c r="S29" s="180">
        <v>1</v>
      </c>
      <c r="T29" s="19">
        <v>1</v>
      </c>
      <c r="U29" s="4">
        <v>0</v>
      </c>
      <c r="V29" s="181" t="e">
        <f ca="1">VLOOKUP($W29,OFFSET(enemy_skill_sets!$B$1,0,0,COUNTA(enemy_skill_sets!$B:$B),MATCH(M$1,enemy_skill_sets!$1:$1,0)-MATCH($W$1,enemy_skill_sets!$1:$1,0)+2),MATCH(M$1,enemy_skill_sets!$1:$1,0)-MATCH($W$1,enemy_skill_sets!$1:$1,0)+2,FALSE)</f>
        <v>#N/A</v>
      </c>
      <c r="W29" s="182">
        <v>0</v>
      </c>
      <c r="X29" s="100">
        <v>0</v>
      </c>
      <c r="Y29" s="101">
        <v>30</v>
      </c>
      <c r="Z29" s="101">
        <v>1</v>
      </c>
      <c r="AA29" s="13">
        <v>2</v>
      </c>
      <c r="AB29" s="103">
        <f>L29</f>
        <v>354</v>
      </c>
      <c r="AC29" s="3" t="str">
        <f ca="1">VLOOKUP($AB29,OFFSET([4]characters!$A$1,0,0,COUNTA([4]characters!$A:$A),MATCH(AC$1,[4]characters!$1:$1,0)-MATCH("character_id",[4]characters!$1:$1,0)+1),MATCH(AC$1,[4]characters!$1:$1,0)-MATCH("character_id",[4]characters!$1:$1,0)+1,FALSE)</f>
        <v>雷のケロケロ</v>
      </c>
      <c r="AD29" s="3">
        <f ca="1">VLOOKUP($AB29,OFFSET([4]characters!$A$1,0,0,COUNTA([4]characters!$A:$A),MATCH(AD$1,[4]characters!$1:$1,0)-MATCH("character_id",[4]characters!$1:$1,0)+1),MATCH(AD$1,[4]characters!$1:$1,0)-MATCH("character_id",[4]characters!$1:$1,0)+1,FALSE)</f>
        <v>2</v>
      </c>
      <c r="AE29" s="3" t="str">
        <f ca="1">VLOOKUP($AB29,OFFSET([4]characters!$A$1,0,0,COUNTA([4]characters!$A:$A),MATCH(AE$1,[4]characters!$1:$1,0)-MATCH("character_id",[4]characters!$1:$1,0)+1),MATCH(AE$1,[4]characters!$1:$1,0)-MATCH("character_id",[4]characters!$1:$1,0)+1,FALSE)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9" s="90">
        <v>10</v>
      </c>
      <c r="AG29" s="103">
        <f ca="1">AD29</f>
        <v>2</v>
      </c>
      <c r="AH29" s="6">
        <v>100</v>
      </c>
      <c r="AI29" s="90">
        <v>0</v>
      </c>
      <c r="AJ29" s="90">
        <v>0</v>
      </c>
      <c r="AK29" s="90">
        <v>0</v>
      </c>
      <c r="AL29" s="90">
        <v>0</v>
      </c>
      <c r="AM29" s="90">
        <v>1</v>
      </c>
      <c r="AN29" s="62">
        <v>1</v>
      </c>
    </row>
    <row r="30" spans="1:40" s="137" customFormat="1" ht="21" customHeight="1" x14ac:dyDescent="0.15">
      <c r="A30" s="136" t="str">
        <f>B30&amp;"_"&amp;C30&amp;"-"&amp;G30&amp;"/"&amp;L30&amp;"&lt;lv"&amp;R30&amp;"&gt;s"&amp;AA30</f>
        <v>15029_3-3/350&lt;lv50&gt;s2</v>
      </c>
      <c r="B30" s="92">
        <v>15029</v>
      </c>
      <c r="C30" s="95">
        <v>3</v>
      </c>
      <c r="D30" s="11" t="str">
        <f>B30&amp;"_"&amp;C30</f>
        <v>15029_3</v>
      </c>
      <c r="E30" s="3" t="str">
        <f ca="1">VLOOKUP($B30,OFFSET([2]quests!$A$1,0,0,COUNTA([2]quests!$A:$A),MATCH(E$1,[2]quests!$1:$1,0)-MATCH($B$1,[2]quests!$1:$1,0)+1),MATCH(E$1,[2]quests!$1:$1,0)-MATCH($B$1,[2]quests!$1:$1,0)+1,FALSE)</f>
        <v>29. 雪の望郷</v>
      </c>
      <c r="F30" s="3" t="str">
        <f ca="1">VLOOKUP($D30,OFFSET([2]stages!$A$1,0,0,COUNTA([2]stages!$A:$A),MATCH(F$1,[2]stages!$2:$2,0)-MATCH($D$1,[2]stages!$2:$2,0)+1),MATCH(F$1,[2]stages!$2:$2,0)-MATCH($D$1,[2]stages!$2:$2,0)+1,FALSE)</f>
        <v>29-3. 仕立屋と兄妹</v>
      </c>
      <c r="G30" s="95">
        <v>3</v>
      </c>
      <c r="H30" s="11" t="str">
        <f>B30&amp;"_"&amp;C30&amp;"-"&amp;G30</f>
        <v>15029_3-3</v>
      </c>
      <c r="I30" s="3">
        <f ca="1">VLOOKUP($H30,OFFSET(floors!$A$1,0,0,COUNTA(floors!$A:$A),MATCH(I$1,floors!$1:$1,0)-MATCH($H$1,floors!$1:$1,0)+1),MATCH(I$1,floors!$1:$1,0)-MATCH($H$1,floors!$1:$1,0)+1,FALSE)</f>
        <v>55</v>
      </c>
      <c r="J30" s="3">
        <f ca="1">VLOOKUP($H30,OFFSET(floors!$A$1,0,0,COUNTA(floors!$A:$A),MATCH(J$1,floors!$1:$1,0)-MATCH($H$1,floors!$1:$1,0)+1),MATCH(J$1,floors!$1:$1,0)-MATCH($H$1,floors!$1:$1,0)+1,FALSE)</f>
        <v>55</v>
      </c>
      <c r="K30" s="31" t="s">
        <v>89</v>
      </c>
      <c r="L30" s="97">
        <v>350</v>
      </c>
      <c r="M30" s="13" t="str">
        <f ca="1">VLOOKUP($L30,OFFSET([3]enemies!$A$1,0,0,COUNTA([3]enemies!$A:$A),MATCH(M$1,[3]enemies!$1:$1,0)-MATCH($L$1,[3]enemies!$1:$1,0)+1),MATCH(M$1,[3]enemies!$1:$1,0)-MATCH($L$1,[3]enemies!$1:$1,0)+1,FALSE)</f>
        <v>森のケロケロ</v>
      </c>
      <c r="N30" s="13" t="str">
        <f ca="1">VLOOKUP($L30,OFFSET([3]enemies!$A$1,0,0,COUNTA([3]enemies!$A:$A),MATCH(N$1,[3]enemies!$1:$1,0)-MATCH($L$1,[3]enemies!$1:$1,0)+1),MATCH(N$1,[3]enemies!$1:$1,0)-MATCH($L$1,[3]enemies!$1:$1,0)+1,FALSE)</f>
        <v>green</v>
      </c>
      <c r="O30" s="13" t="str">
        <f ca="1">VLOOKUP($L30,OFFSET([4]characters!$A$1,0,0,COUNTA([4]characters!$A:$A),MATCH(O$1,[4]characters!$1:$1,0)-MATCH($L$1,[4]characters!$1:$1,0)+1),MATCH(O$1,[4]characters!$1:$1,0)-MATCH($L$1,[4]characters!$1:$1,0)+1,FALSE)</f>
        <v>Material</v>
      </c>
      <c r="P30" s="13" t="str">
        <f ca="1">VLOOKUP($L30,OFFSET([3]enemies!$A$1,0,0,COUNTA([3]enemies!$A:$A),MATCH(P$1,[3]enemies!$1:$1,0)-MATCH($L$1,[3]enemies!$1:$1,0)+1),MATCH(P$1,[3]enemies!$1:$1,0)-MATCH($L$1,[3]enemies!$1:$1,0)+1,FALSE)</f>
        <v>unknown</v>
      </c>
      <c r="Q30" s="13">
        <f ca="1">VLOOKUP($L30,OFFSET([3]enemies!$A$1,0,0,COUNTA([3]enemies!$A:$A),MATCH(Q$1,[3]enemies!$1:$1,0)-MATCH($L$1,[3]enemies!$1:$1,0)+1),MATCH(Q$1,[3]enemies!$1:$1,0)-MATCH($L$1,[3]enemies!$1:$1,0)+1,FALSE)</f>
        <v>15</v>
      </c>
      <c r="R30" s="177">
        <v>50</v>
      </c>
      <c r="S30" s="178">
        <v>1</v>
      </c>
      <c r="T30" s="19">
        <v>1</v>
      </c>
      <c r="U30" s="4">
        <v>0</v>
      </c>
      <c r="V30" s="181" t="e">
        <f ca="1">VLOOKUP($W30,OFFSET(enemy_skill_sets!$B$1,0,0,COUNTA(enemy_skill_sets!$B:$B),MATCH(M$1,enemy_skill_sets!$1:$1,0)-MATCH($W$1,enemy_skill_sets!$1:$1,0)+2),MATCH(M$1,enemy_skill_sets!$1:$1,0)-MATCH($W$1,enemy_skill_sets!$1:$1,0)+2,FALSE)</f>
        <v>#N/A</v>
      </c>
      <c r="W30" s="182">
        <v>0</v>
      </c>
      <c r="X30" s="100">
        <v>0</v>
      </c>
      <c r="Y30" s="101">
        <v>30</v>
      </c>
      <c r="Z30" s="101">
        <v>1</v>
      </c>
      <c r="AA30" s="13">
        <v>2</v>
      </c>
      <c r="AB30" s="103">
        <f>L30</f>
        <v>350</v>
      </c>
      <c r="AC30" s="3" t="str">
        <f ca="1">VLOOKUP($AB30,OFFSET([4]characters!$A$1,0,0,COUNTA([4]characters!$A:$A),MATCH(AC$1,[4]characters!$1:$1,0)-MATCH("character_id",[4]characters!$1:$1,0)+1),MATCH(AC$1,[4]characters!$1:$1,0)-MATCH("character_id",[4]characters!$1:$1,0)+1,FALSE)</f>
        <v>森のケロケロ</v>
      </c>
      <c r="AD30" s="3">
        <f ca="1">VLOOKUP($AB30,OFFSET([4]characters!$A$1,0,0,COUNTA([4]characters!$A:$A),MATCH(AD$1,[4]characters!$1:$1,0)-MATCH("character_id",[4]characters!$1:$1,0)+1),MATCH(AD$1,[4]characters!$1:$1,0)-MATCH("character_id",[4]characters!$1:$1,0)+1,FALSE)</f>
        <v>2</v>
      </c>
      <c r="AE30" s="3" t="str">
        <f ca="1">VLOOKUP($AB30,OFFSET([4]characters!$A$1,0,0,COUNTA([4]characters!$A:$A),MATCH(AE$1,[4]characters!$1:$1,0)-MATCH("character_id",[4]characters!$1:$1,0)+1),MATCH(AE$1,[4]characters!$1:$1,0)-MATCH("character_id",[4]characters!$1:$1,0)+1,FALSE)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0" s="90">
        <v>10</v>
      </c>
      <c r="AG30" s="103">
        <f ca="1">AD30</f>
        <v>2</v>
      </c>
      <c r="AH30" s="6">
        <v>20</v>
      </c>
      <c r="AI30" s="90">
        <v>0</v>
      </c>
      <c r="AJ30" s="90">
        <v>0</v>
      </c>
      <c r="AK30" s="90">
        <v>0</v>
      </c>
      <c r="AL30" s="90">
        <v>0</v>
      </c>
      <c r="AM30" s="90">
        <v>1</v>
      </c>
      <c r="AN30" s="62">
        <v>1</v>
      </c>
    </row>
    <row r="31" spans="1:40" s="137" customFormat="1" ht="21" customHeight="1" x14ac:dyDescent="0.15">
      <c r="A31" s="136" t="str">
        <f>B31&amp;"_"&amp;C31&amp;"-"&amp;G31&amp;"/"&amp;L31&amp;"&lt;lv"&amp;R31&amp;"&gt;s"&amp;AA31</f>
        <v>15029_3-3/354&lt;lv50&gt;s2</v>
      </c>
      <c r="B31" s="92">
        <v>15029</v>
      </c>
      <c r="C31" s="95">
        <v>3</v>
      </c>
      <c r="D31" s="11" t="str">
        <f>B31&amp;"_"&amp;C31</f>
        <v>15029_3</v>
      </c>
      <c r="E31" s="3" t="str">
        <f ca="1">VLOOKUP($B31,OFFSET([2]quests!$A$1,0,0,COUNTA([2]quests!$A:$A),MATCH(E$1,[2]quests!$1:$1,0)-MATCH($B$1,[2]quests!$1:$1,0)+1),MATCH(E$1,[2]quests!$1:$1,0)-MATCH($B$1,[2]quests!$1:$1,0)+1,FALSE)</f>
        <v>29. 雪の望郷</v>
      </c>
      <c r="F31" s="3" t="str">
        <f ca="1">VLOOKUP($D31,OFFSET([2]stages!$A$1,0,0,COUNTA([2]stages!$A:$A),MATCH(F$1,[2]stages!$2:$2,0)-MATCH($D$1,[2]stages!$2:$2,0)+1),MATCH(F$1,[2]stages!$2:$2,0)-MATCH($D$1,[2]stages!$2:$2,0)+1,FALSE)</f>
        <v>29-3. 仕立屋と兄妹</v>
      </c>
      <c r="G31" s="95">
        <v>3</v>
      </c>
      <c r="H31" s="11" t="str">
        <f>B31&amp;"_"&amp;C31&amp;"-"&amp;G31</f>
        <v>15029_3-3</v>
      </c>
      <c r="I31" s="3">
        <f ca="1">VLOOKUP($H31,OFFSET(floors!$A$1,0,0,COUNTA(floors!$A:$A),MATCH(I$1,floors!$1:$1,0)-MATCH($H$1,floors!$1:$1,0)+1),MATCH(I$1,floors!$1:$1,0)-MATCH($H$1,floors!$1:$1,0)+1,FALSE)</f>
        <v>55</v>
      </c>
      <c r="J31" s="3">
        <f ca="1">VLOOKUP($H31,OFFSET(floors!$A$1,0,0,COUNTA(floors!$A:$A),MATCH(J$1,floors!$1:$1,0)-MATCH($H$1,floors!$1:$1,0)+1),MATCH(J$1,floors!$1:$1,0)-MATCH($H$1,floors!$1:$1,0)+1,FALSE)</f>
        <v>55</v>
      </c>
      <c r="K31" s="31" t="s">
        <v>89</v>
      </c>
      <c r="L31" s="97">
        <v>354</v>
      </c>
      <c r="M31" s="13" t="str">
        <f ca="1">VLOOKUP($L31,OFFSET([3]enemies!$A$1,0,0,COUNTA([3]enemies!$A:$A),MATCH(M$1,[3]enemies!$1:$1,0)-MATCH($L$1,[3]enemies!$1:$1,0)+1),MATCH(M$1,[3]enemies!$1:$1,0)-MATCH($L$1,[3]enemies!$1:$1,0)+1,FALSE)</f>
        <v>雷のケロケロ</v>
      </c>
      <c r="N31" s="13" t="str">
        <f ca="1">VLOOKUP($L31,OFFSET([3]enemies!$A$1,0,0,COUNTA([3]enemies!$A:$A),MATCH(N$1,[3]enemies!$1:$1,0)-MATCH($L$1,[3]enemies!$1:$1,0)+1),MATCH(N$1,[3]enemies!$1:$1,0)-MATCH($L$1,[3]enemies!$1:$1,0)+1,FALSE)</f>
        <v>yellow</v>
      </c>
      <c r="O31" s="13" t="str">
        <f ca="1">VLOOKUP($L31,OFFSET([4]characters!$A$1,0,0,COUNTA([4]characters!$A:$A),MATCH(O$1,[4]characters!$1:$1,0)-MATCH($L$1,[4]characters!$1:$1,0)+1),MATCH(O$1,[4]characters!$1:$1,0)-MATCH($L$1,[4]characters!$1:$1,0)+1,FALSE)</f>
        <v>Material</v>
      </c>
      <c r="P31" s="13" t="str">
        <f ca="1">VLOOKUP($L31,OFFSET([3]enemies!$A$1,0,0,COUNTA([3]enemies!$A:$A),MATCH(P$1,[3]enemies!$1:$1,0)-MATCH($L$1,[3]enemies!$1:$1,0)+1),MATCH(P$1,[3]enemies!$1:$1,0)-MATCH($L$1,[3]enemies!$1:$1,0)+1,FALSE)</f>
        <v>unknown</v>
      </c>
      <c r="Q31" s="13">
        <f ca="1">VLOOKUP($L31,OFFSET([3]enemies!$A$1,0,0,COUNTA([3]enemies!$A:$A),MATCH(Q$1,[3]enemies!$1:$1,0)-MATCH($L$1,[3]enemies!$1:$1,0)+1),MATCH(Q$1,[3]enemies!$1:$1,0)-MATCH($L$1,[3]enemies!$1:$1,0)+1,FALSE)</f>
        <v>15</v>
      </c>
      <c r="R31" s="179">
        <v>50</v>
      </c>
      <c r="S31" s="180">
        <v>1</v>
      </c>
      <c r="T31" s="19">
        <v>1</v>
      </c>
      <c r="U31" s="4">
        <v>0</v>
      </c>
      <c r="V31" s="181" t="e">
        <f ca="1">VLOOKUP($W31,OFFSET(enemy_skill_sets!$B$1,0,0,COUNTA(enemy_skill_sets!$B:$B),MATCH(M$1,enemy_skill_sets!$1:$1,0)-MATCH($W$1,enemy_skill_sets!$1:$1,0)+2),MATCH(M$1,enemy_skill_sets!$1:$1,0)-MATCH($W$1,enemy_skill_sets!$1:$1,0)+2,FALSE)</f>
        <v>#N/A</v>
      </c>
      <c r="W31" s="182">
        <v>0</v>
      </c>
      <c r="X31" s="100">
        <v>0</v>
      </c>
      <c r="Y31" s="101">
        <v>30</v>
      </c>
      <c r="Z31" s="101">
        <v>1</v>
      </c>
      <c r="AA31" s="13">
        <v>2</v>
      </c>
      <c r="AB31" s="103">
        <f>L31</f>
        <v>354</v>
      </c>
      <c r="AC31" s="3" t="str">
        <f ca="1">VLOOKUP($AB31,OFFSET([4]characters!$A$1,0,0,COUNTA([4]characters!$A:$A),MATCH(AC$1,[4]characters!$1:$1,0)-MATCH("character_id",[4]characters!$1:$1,0)+1),MATCH(AC$1,[4]characters!$1:$1,0)-MATCH("character_id",[4]characters!$1:$1,0)+1,FALSE)</f>
        <v>雷のケロケロ</v>
      </c>
      <c r="AD31" s="3">
        <f ca="1">VLOOKUP($AB31,OFFSET([4]characters!$A$1,0,0,COUNTA([4]characters!$A:$A),MATCH(AD$1,[4]characters!$1:$1,0)-MATCH("character_id",[4]characters!$1:$1,0)+1),MATCH(AD$1,[4]characters!$1:$1,0)-MATCH("character_id",[4]characters!$1:$1,0)+1,FALSE)</f>
        <v>2</v>
      </c>
      <c r="AE31" s="3" t="str">
        <f ca="1">VLOOKUP($AB31,OFFSET([4]characters!$A$1,0,0,COUNTA([4]characters!$A:$A),MATCH(AE$1,[4]characters!$1:$1,0)-MATCH("character_id",[4]characters!$1:$1,0)+1),MATCH(AE$1,[4]characters!$1:$1,0)-MATCH("character_id",[4]characters!$1:$1,0)+1,FALSE)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1" s="90">
        <v>10</v>
      </c>
      <c r="AG31" s="103">
        <f ca="1">AD31</f>
        <v>2</v>
      </c>
      <c r="AH31" s="6">
        <v>20</v>
      </c>
      <c r="AI31" s="90">
        <v>0</v>
      </c>
      <c r="AJ31" s="90">
        <v>0</v>
      </c>
      <c r="AK31" s="90">
        <v>0</v>
      </c>
      <c r="AL31" s="90">
        <v>0</v>
      </c>
      <c r="AM31" s="90">
        <v>1</v>
      </c>
      <c r="AN31" s="62">
        <v>1</v>
      </c>
    </row>
    <row r="32" spans="1:40" ht="21" customHeight="1" x14ac:dyDescent="0.15">
      <c r="A32" s="12" t="str">
        <f t="shared" ref="A32" si="40">B32&amp;"_"&amp;C32&amp;"-"&amp;G32&amp;"/"&amp;L32&amp;"&lt;lv"&amp;R32&amp;"&gt;s"&amp;AA32</f>
        <v>15029_3-3/40&lt;lv70&gt;s2</v>
      </c>
      <c r="B32" s="92">
        <v>15029</v>
      </c>
      <c r="C32" s="95">
        <v>3</v>
      </c>
      <c r="D32" s="1" t="str">
        <f t="shared" ref="D32" si="41">B32&amp;"_"&amp;C32</f>
        <v>15029_3</v>
      </c>
      <c r="E32" s="3" t="str">
        <f ca="1">VLOOKUP($B32,OFFSET([2]quests!$A$1,0,0,COUNTA([2]quests!$A:$A),MATCH(E$1,[2]quests!$1:$1,0)-MATCH($B$1,[2]quests!$1:$1,0)+1),MATCH(E$1,[2]quests!$1:$1,0)-MATCH($B$1,[2]quests!$1:$1,0)+1,FALSE)</f>
        <v>29. 雪の望郷</v>
      </c>
      <c r="F32" s="3" t="str">
        <f ca="1">VLOOKUP($D32,OFFSET([2]stages!$A$1,0,0,COUNTA([2]stages!$A:$A),MATCH(F$1,[2]stages!$2:$2,0)-MATCH($D$1,[2]stages!$2:$2,0)+1),MATCH(F$1,[2]stages!$2:$2,0)-MATCH($D$1,[2]stages!$2:$2,0)+1,FALSE)</f>
        <v>29-3. 仕立屋と兄妹</v>
      </c>
      <c r="G32" s="95">
        <v>3</v>
      </c>
      <c r="H32" s="11" t="str">
        <f t="shared" ref="H32" si="42">B32&amp;"_"&amp;C32&amp;"-"&amp;G32</f>
        <v>15029_3-3</v>
      </c>
      <c r="I32" s="3">
        <f ca="1">VLOOKUP($H32,OFFSET(floors!$A$1,0,0,COUNTA(floors!$A:$A),MATCH(I$1,floors!$1:$1,0)-MATCH($H$1,floors!$1:$1,0)+1),MATCH(I$1,floors!$1:$1,0)-MATCH($H$1,floors!$1:$1,0)+1,FALSE)</f>
        <v>55</v>
      </c>
      <c r="J32" s="3">
        <f ca="1">VLOOKUP($H32,OFFSET(floors!$A$1,0,0,COUNTA(floors!$A:$A),MATCH(J$1,floors!$1:$1,0)-MATCH($H$1,floors!$1:$1,0)+1),MATCH(J$1,floors!$1:$1,0)-MATCH($H$1,floors!$1:$1,0)+1,FALSE)</f>
        <v>55</v>
      </c>
      <c r="K32" s="31" t="s">
        <v>90</v>
      </c>
      <c r="L32" s="97">
        <v>40</v>
      </c>
      <c r="M32" s="13" t="str">
        <f ca="1">VLOOKUP($L32,OFFSET([3]enemies!$A$1,0,0,COUNTA([3]enemies!$A:$A),MATCH(M$1,[3]enemies!$1:$1,0)-MATCH($L$1,[3]enemies!$1:$1,0)+1),MATCH(M$1,[3]enemies!$1:$1,0)-MATCH($L$1,[3]enemies!$1:$1,0)+1,FALSE)</f>
        <v>デジタルマジシャン マーロン</v>
      </c>
      <c r="N32" s="13" t="str">
        <f ca="1">VLOOKUP($L32,OFFSET([3]enemies!$A$1,0,0,COUNTA([3]enemies!$A:$A),MATCH(N$1,[3]enemies!$1:$1,0)-MATCH($L$1,[3]enemies!$1:$1,0)+1),MATCH(N$1,[3]enemies!$1:$1,0)-MATCH($L$1,[3]enemies!$1:$1,0)+1,FALSE)</f>
        <v>yellow</v>
      </c>
      <c r="O32" s="13" t="str">
        <f ca="1">VLOOKUP($L32,OFFSET([4]characters!$A$1,0,0,COUNTA([4]characters!$A:$A),MATCH(O$1,[4]characters!$1:$1,0)-MATCH($L$1,[4]characters!$1:$1,0)+1),MATCH(O$1,[4]characters!$1:$1,0)-MATCH($L$1,[4]characters!$1:$1,0)+1,FALSE)</f>
        <v>Drop1S</v>
      </c>
      <c r="P32" s="13" t="str">
        <f ca="1">VLOOKUP($L32,OFFSET([3]enemies!$A$1,0,0,COUNTA([3]enemies!$A:$A),MATCH(P$1,[3]enemies!$1:$1,0)-MATCH($L$1,[3]enemies!$1:$1,0)+1),MATCH(P$1,[3]enemies!$1:$1,0)-MATCH($L$1,[3]enemies!$1:$1,0)+1,FALSE)</f>
        <v>human</v>
      </c>
      <c r="Q32" s="13">
        <f ca="1">VLOOKUP($L32,OFFSET([3]enemies!$A$1,0,0,COUNTA([3]enemies!$A:$A),MATCH(Q$1,[3]enemies!$1:$1,0)-MATCH($L$1,[3]enemies!$1:$1,0)+1),MATCH(Q$1,[3]enemies!$1:$1,0)-MATCH($L$1,[3]enemies!$1:$1,0)+1,FALSE)</f>
        <v>20</v>
      </c>
      <c r="R32" s="4">
        <v>70</v>
      </c>
      <c r="S32" s="19">
        <v>2</v>
      </c>
      <c r="T32" s="19">
        <v>0.8</v>
      </c>
      <c r="U32" s="4">
        <v>0</v>
      </c>
      <c r="V32" s="181" t="str">
        <f ca="1">VLOOKUP($W32,OFFSET(enemy_skill_sets!$B$1,0,0,COUNTA(enemy_skill_sets!$B:$B),MATCH(M$1,enemy_skill_sets!$1:$1,0)-MATCH($W$1,enemy_skill_sets!$1:$1,0)+2),MATCH(M$1,enemy_skill_sets!$1:$1,0)-MATCH($W$1,enemy_skill_sets!$1:$1,0)+2,FALSE)</f>
        <v>1ターン全体スキルバインド</v>
      </c>
      <c r="W32" s="182">
        <v>15029022</v>
      </c>
      <c r="X32" s="100">
        <v>1</v>
      </c>
      <c r="Y32" s="101">
        <v>100</v>
      </c>
      <c r="Z32" s="101">
        <v>0</v>
      </c>
      <c r="AA32" s="13">
        <v>2</v>
      </c>
      <c r="AB32" s="18">
        <f t="shared" ref="AB32" si="43">L32</f>
        <v>40</v>
      </c>
      <c r="AC32" s="3" t="str">
        <f ca="1">VLOOKUP($AB32,OFFSET([4]characters!$A$1,0,0,COUNTA([4]characters!$A:$A),MATCH(AC$1,[4]characters!$1:$1,0)-MATCH("character_id",[4]characters!$1:$1,0)+1),MATCH(AC$1,[4]characters!$1:$1,0)-MATCH("character_id",[4]characters!$1:$1,0)+1,FALSE)</f>
        <v>デジタルマジシャン マーロン</v>
      </c>
      <c r="AD32" s="3">
        <f ca="1">VLOOKUP($AB32,OFFSET([4]characters!$A$1,0,0,COUNTA([4]characters!$A:$A),MATCH(AD$1,[4]characters!$1:$1,0)-MATCH("character_id",[4]characters!$1:$1,0)+1),MATCH(AD$1,[4]characters!$1:$1,0)-MATCH("character_id",[4]characters!$1:$1,0)+1,FALSE)</f>
        <v>3</v>
      </c>
      <c r="AE32" s="3" t="str">
        <f ca="1">VLOOKUP($AB32,OFFSET([4]characters!$A$1,0,0,COUNTA([4]characters!$A:$A),MATCH(AE$1,[4]characters!$1:$1,0)-MATCH("character_id",[4]characters!$1:$1,0)+1),MATCH(AE$1,[4]characters!$1:$1,0)-MATCH("character_id",[4]characters!$1:$1,0)+1,FALSE)</f>
        <v>Drop1S</v>
      </c>
      <c r="AF32" s="5">
        <v>1</v>
      </c>
      <c r="AG32" s="18">
        <f t="shared" ref="AG32" ca="1" si="44">AD32</f>
        <v>3</v>
      </c>
      <c r="AH32" s="6">
        <v>20</v>
      </c>
      <c r="AI32" s="90">
        <v>0</v>
      </c>
      <c r="AJ32" s="90">
        <v>0</v>
      </c>
      <c r="AK32" s="90">
        <v>0</v>
      </c>
      <c r="AL32" s="90">
        <v>0</v>
      </c>
      <c r="AM32" s="90">
        <v>1</v>
      </c>
      <c r="AN32" s="62">
        <v>1</v>
      </c>
    </row>
    <row r="33" spans="1:40" ht="21" customHeight="1" x14ac:dyDescent="0.15">
      <c r="A33" s="12" t="str">
        <f t="shared" si="15"/>
        <v>15029_3-3/69&lt;lv70&gt;s4</v>
      </c>
      <c r="B33" s="92">
        <v>15029</v>
      </c>
      <c r="C33" s="95">
        <v>3</v>
      </c>
      <c r="D33" s="1" t="str">
        <f t="shared" si="16"/>
        <v>15029_3</v>
      </c>
      <c r="E33" s="3" t="str">
        <f ca="1">VLOOKUP($B33,OFFSET([2]quests!$A$1,0,0,COUNTA([2]quests!$A:$A),MATCH(E$1,[2]quests!$1:$1,0)-MATCH($B$1,[2]quests!$1:$1,0)+1),MATCH(E$1,[2]quests!$1:$1,0)-MATCH($B$1,[2]quests!$1:$1,0)+1,FALSE)</f>
        <v>29. 雪の望郷</v>
      </c>
      <c r="F33" s="3" t="str">
        <f ca="1">VLOOKUP($D33,OFFSET([2]stages!$A$1,0,0,COUNTA([2]stages!$A:$A),MATCH(F$1,[2]stages!$2:$2,0)-MATCH($D$1,[2]stages!$2:$2,0)+1),MATCH(F$1,[2]stages!$2:$2,0)-MATCH($D$1,[2]stages!$2:$2,0)+1,FALSE)</f>
        <v>29-3. 仕立屋と兄妹</v>
      </c>
      <c r="G33" s="95">
        <v>3</v>
      </c>
      <c r="H33" s="11" t="str">
        <f t="shared" si="17"/>
        <v>15029_3-3</v>
      </c>
      <c r="I33" s="3">
        <f ca="1">VLOOKUP($H33,OFFSET(floors!$A$1,0,0,COUNTA(floors!$A:$A),MATCH(I$1,floors!$1:$1,0)-MATCH($H$1,floors!$1:$1,0)+1),MATCH(I$1,floors!$1:$1,0)-MATCH($H$1,floors!$1:$1,0)+1,FALSE)</f>
        <v>55</v>
      </c>
      <c r="J33" s="3">
        <f ca="1">VLOOKUP($H33,OFFSET(floors!$A$1,0,0,COUNTA(floors!$A:$A),MATCH(J$1,floors!$1:$1,0)-MATCH($H$1,floors!$1:$1,0)+1),MATCH(J$1,floors!$1:$1,0)-MATCH($H$1,floors!$1:$1,0)+1,FALSE)</f>
        <v>55</v>
      </c>
      <c r="K33" s="31" t="s">
        <v>90</v>
      </c>
      <c r="L33" s="97">
        <v>69</v>
      </c>
      <c r="M33" s="13" t="str">
        <f ca="1">VLOOKUP($L33,OFFSET([3]enemies!$A$1,0,0,COUNTA([3]enemies!$A:$A),MATCH(M$1,[3]enemies!$1:$1,0)-MATCH($L$1,[3]enemies!$1:$1,0)+1),MATCH(M$1,[3]enemies!$1:$1,0)-MATCH($L$1,[3]enemies!$1:$1,0)+1,FALSE)</f>
        <v>思想家 ストール</v>
      </c>
      <c r="N33" s="13" t="str">
        <f ca="1">VLOOKUP($L33,OFFSET([3]enemies!$A$1,0,0,COUNTA([3]enemies!$A:$A),MATCH(N$1,[3]enemies!$1:$1,0)-MATCH($L$1,[3]enemies!$1:$1,0)+1),MATCH(N$1,[3]enemies!$1:$1,0)-MATCH($L$1,[3]enemies!$1:$1,0)+1,FALSE)</f>
        <v>green</v>
      </c>
      <c r="O33" s="13" t="str">
        <f ca="1">VLOOKUP($L33,OFFSET([4]characters!$A$1,0,0,COUNTA([4]characters!$A:$A),MATCH(O$1,[4]characters!$1:$1,0)-MATCH($L$1,[4]characters!$1:$1,0)+1),MATCH(O$1,[4]characters!$1:$1,0)-MATCH($L$1,[4]characters!$1:$1,0)+1,FALSE)</f>
        <v>Drop1S</v>
      </c>
      <c r="P33" s="13" t="str">
        <f ca="1">VLOOKUP($L33,OFFSET([3]enemies!$A$1,0,0,COUNTA([3]enemies!$A:$A),MATCH(P$1,[3]enemies!$1:$1,0)-MATCH($L$1,[3]enemies!$1:$1,0)+1),MATCH(P$1,[3]enemies!$1:$1,0)-MATCH($L$1,[3]enemies!$1:$1,0)+1,FALSE)</f>
        <v>animal</v>
      </c>
      <c r="Q33" s="13">
        <f ca="1">VLOOKUP($L33,OFFSET([3]enemies!$A$1,0,0,COUNTA([3]enemies!$A:$A),MATCH(Q$1,[3]enemies!$1:$1,0)-MATCH($L$1,[3]enemies!$1:$1,0)+1),MATCH(Q$1,[3]enemies!$1:$1,0)-MATCH($L$1,[3]enemies!$1:$1,0)+1,FALSE)</f>
        <v>20</v>
      </c>
      <c r="R33" s="4">
        <v>70</v>
      </c>
      <c r="S33" s="19">
        <v>1</v>
      </c>
      <c r="T33" s="19">
        <v>0.9</v>
      </c>
      <c r="U33" s="4">
        <v>0</v>
      </c>
      <c r="V33" s="181" t="str">
        <f ca="1">VLOOKUP($W33,OFFSET(enemy_skill_sets!$B$1,0,0,COUNTA(enemy_skill_sets!$B:$B),MATCH(M$1,enemy_skill_sets!$1:$1,0)-MATCH($W$1,enemy_skill_sets!$1:$1,0)+2),MATCH(M$1,enemy_skill_sets!$1:$1,0)-MATCH($W$1,enemy_skill_sets!$1:$1,0)+2,FALSE)</f>
        <v>クリティカル！</v>
      </c>
      <c r="W33" s="182">
        <v>15029023</v>
      </c>
      <c r="X33" s="100">
        <v>0</v>
      </c>
      <c r="Y33" s="101">
        <v>100</v>
      </c>
      <c r="Z33" s="101">
        <v>2</v>
      </c>
      <c r="AA33" s="13">
        <v>4</v>
      </c>
      <c r="AB33" s="18">
        <f t="shared" si="18"/>
        <v>69</v>
      </c>
      <c r="AC33" s="3" t="str">
        <f ca="1">VLOOKUP($AB33,OFFSET([4]characters!$A$1,0,0,COUNTA([4]characters!$A:$A),MATCH(AC$1,[4]characters!$1:$1,0)-MATCH("character_id",[4]characters!$1:$1,0)+1),MATCH(AC$1,[4]characters!$1:$1,0)-MATCH("character_id",[4]characters!$1:$1,0)+1,FALSE)</f>
        <v>思想家 ストール</v>
      </c>
      <c r="AD33" s="3">
        <f ca="1">VLOOKUP($AB33,OFFSET([4]characters!$A$1,0,0,COUNTA([4]characters!$A:$A),MATCH(AD$1,[4]characters!$1:$1,0)-MATCH("character_id",[4]characters!$1:$1,0)+1),MATCH(AD$1,[4]characters!$1:$1,0)-MATCH("character_id",[4]characters!$1:$1,0)+1,FALSE)</f>
        <v>3</v>
      </c>
      <c r="AE33" s="3" t="str">
        <f ca="1">VLOOKUP($AB33,OFFSET([4]characters!$A$1,0,0,COUNTA([4]characters!$A:$A),MATCH(AE$1,[4]characters!$1:$1,0)-MATCH("character_id",[4]characters!$1:$1,0)+1),MATCH(AE$1,[4]characters!$1:$1,0)-MATCH("character_id",[4]characters!$1:$1,0)+1,FALSE)</f>
        <v>Drop1S</v>
      </c>
      <c r="AF33" s="5">
        <v>1</v>
      </c>
      <c r="AG33" s="18">
        <f t="shared" ca="1" si="19"/>
        <v>3</v>
      </c>
      <c r="AH33" s="6">
        <v>20</v>
      </c>
      <c r="AI33" s="90">
        <v>0</v>
      </c>
      <c r="AJ33" s="90">
        <v>0</v>
      </c>
      <c r="AK33" s="90">
        <v>0</v>
      </c>
      <c r="AL33" s="90">
        <v>0</v>
      </c>
      <c r="AM33" s="90">
        <v>1</v>
      </c>
      <c r="AN33" s="62">
        <v>1</v>
      </c>
    </row>
    <row r="34" spans="1:40" ht="21" customHeight="1" thickBot="1" x14ac:dyDescent="0.2">
      <c r="A34" s="12" t="str">
        <f t="shared" si="15"/>
        <v>15029_3-4/399&lt;lv70&gt;s2</v>
      </c>
      <c r="B34" s="159">
        <v>15029</v>
      </c>
      <c r="C34" s="160">
        <v>3</v>
      </c>
      <c r="D34" s="161" t="str">
        <f t="shared" si="16"/>
        <v>15029_3</v>
      </c>
      <c r="E34" s="162" t="str">
        <f ca="1">VLOOKUP($B34,OFFSET([2]quests!$A$1,0,0,COUNTA([2]quests!$A:$A),MATCH(E$1,[2]quests!$1:$1,0)-MATCH($B$1,[2]quests!$1:$1,0)+1),MATCH(E$1,[2]quests!$1:$1,0)-MATCH($B$1,[2]quests!$1:$1,0)+1,FALSE)</f>
        <v>29. 雪の望郷</v>
      </c>
      <c r="F34" s="162" t="str">
        <f ca="1">VLOOKUP($D34,OFFSET([2]stages!$A$1,0,0,COUNTA([2]stages!$A:$A),MATCH(F$1,[2]stages!$2:$2,0)-MATCH($D$1,[2]stages!$2:$2,0)+1),MATCH(F$1,[2]stages!$2:$2,0)-MATCH($D$1,[2]stages!$2:$2,0)+1,FALSE)</f>
        <v>29-3. 仕立屋と兄妹</v>
      </c>
      <c r="G34" s="163">
        <v>4</v>
      </c>
      <c r="H34" s="161" t="str">
        <f t="shared" si="17"/>
        <v>15029_3-4</v>
      </c>
      <c r="I34" s="162">
        <f ca="1">VLOOKUP($H34,OFFSET(floors!$A$1,0,0,COUNTA(floors!$A:$A),MATCH(I$1,floors!$1:$1,0)-MATCH($H$1,floors!$1:$1,0)+1),MATCH(I$1,floors!$1:$1,0)-MATCH($H$1,floors!$1:$1,0)+1,FALSE)</f>
        <v>60</v>
      </c>
      <c r="J34" s="162">
        <f ca="1">VLOOKUP($H34,OFFSET(floors!$A$1,0,0,COUNTA(floors!$A:$A),MATCH(J$1,floors!$1:$1,0)-MATCH($H$1,floors!$1:$1,0)+1),MATCH(J$1,floors!$1:$1,0)-MATCH($H$1,floors!$1:$1,0)+1,FALSE)</f>
        <v>60</v>
      </c>
      <c r="K34" s="164">
        <v>1</v>
      </c>
      <c r="L34" s="165">
        <v>399</v>
      </c>
      <c r="M34" s="166" t="str">
        <f ca="1">VLOOKUP($L34,OFFSET([3]enemies!$A$1,0,0,COUNTA([3]enemies!$A:$A),MATCH(M$1,[3]enemies!$1:$1,0)-MATCH($L$1,[3]enemies!$1:$1,0)+1),MATCH(M$1,[3]enemies!$1:$1,0)-MATCH($L$1,[3]enemies!$1:$1,0)+1,FALSE)</f>
        <v>信愛の兄妹 ヘンゼル＆グレーテル</v>
      </c>
      <c r="N34" s="166" t="str">
        <f ca="1">VLOOKUP($L34,OFFSET([3]enemies!$A$1,0,0,COUNTA([3]enemies!$A:$A),MATCH(N$1,[3]enemies!$1:$1,0)-MATCH($L$1,[3]enemies!$1:$1,0)+1),MATCH(N$1,[3]enemies!$1:$1,0)-MATCH($L$1,[3]enemies!$1:$1,0)+1,FALSE)</f>
        <v>yellow</v>
      </c>
      <c r="O34" s="166" t="str">
        <f ca="1">VLOOKUP($L34,OFFSET([4]characters!$A$1,0,0,COUNTA([4]characters!$A:$A),MATCH(O$1,[4]characters!$1:$1,0)-MATCH($L$1,[4]characters!$1:$1,0)+1),MATCH(O$1,[4]characters!$1:$1,0)-MATCH($L$1,[4]characters!$1:$1,0)+1,FALSE)</f>
        <v>PremiumSS</v>
      </c>
      <c r="P34" s="166" t="str">
        <f ca="1">VLOOKUP($L34,OFFSET([3]enemies!$A$1,0,0,COUNTA([3]enemies!$A:$A),MATCH(P$1,[3]enemies!$1:$1,0)-MATCH($L$1,[3]enemies!$1:$1,0)+1),MATCH(P$1,[3]enemies!$1:$1,0)-MATCH($L$1,[3]enemies!$1:$1,0)+1,FALSE)</f>
        <v>human</v>
      </c>
      <c r="Q34" s="166">
        <f ca="1">VLOOKUP($L34,OFFSET([3]enemies!$A$1,0,0,COUNTA([3]enemies!$A:$A),MATCH(Q$1,[3]enemies!$1:$1,0)-MATCH($L$1,[3]enemies!$1:$1,0)+1),MATCH(Q$1,[3]enemies!$1:$1,0)-MATCH($L$1,[3]enemies!$1:$1,0)+1,FALSE)</f>
        <v>60</v>
      </c>
      <c r="R34" s="167">
        <v>70</v>
      </c>
      <c r="S34" s="168">
        <v>1.4</v>
      </c>
      <c r="T34" s="168">
        <v>0.9</v>
      </c>
      <c r="U34" s="167">
        <v>0</v>
      </c>
      <c r="V34" s="212" t="str">
        <f ca="1">VLOOKUP($W34,OFFSET(enemy_skill_sets!$B$1,0,0,COUNTA(enemy_skill_sets!$B:$B),MATCH(M$1,enemy_skill_sets!$1:$1,0)-MATCH($W$1,enemy_skill_sets!$1:$1,0)+2),MATCH(M$1,enemy_skill_sets!$1:$1,0)-MATCH($W$1,enemy_skill_sets!$1:$1,0)+2,FALSE)</f>
        <v>4ターンの間スキルでボムに変換できない！</v>
      </c>
      <c r="W34" s="213">
        <v>15029024</v>
      </c>
      <c r="X34" s="169">
        <v>1</v>
      </c>
      <c r="Y34" s="170">
        <v>100</v>
      </c>
      <c r="Z34" s="170">
        <v>1</v>
      </c>
      <c r="AA34" s="166">
        <v>2</v>
      </c>
      <c r="AB34" s="171">
        <f t="shared" si="18"/>
        <v>399</v>
      </c>
      <c r="AC34" s="162" t="str">
        <f ca="1">VLOOKUP($AB34,OFFSET([4]characters!$A$1,0,0,COUNTA([4]characters!$A:$A),MATCH(AC$1,[4]characters!$1:$1,0)-MATCH("character_id",[4]characters!$1:$1,0)+1),MATCH(AC$1,[4]characters!$1:$1,0)-MATCH("character_id",[4]characters!$1:$1,0)+1,FALSE)</f>
        <v>信愛の兄妹 ヘンゼル＆グレーテル</v>
      </c>
      <c r="AD34" s="162">
        <f ca="1">VLOOKUP($AB34,OFFSET([4]characters!$A$1,0,0,COUNTA([4]characters!$A:$A),MATCH(AD$1,[4]characters!$1:$1,0)-MATCH("character_id",[4]characters!$1:$1,0)+1),MATCH(AD$1,[4]characters!$1:$1,0)-MATCH("character_id",[4]characters!$1:$1,0)+1,FALSE)</f>
        <v>5</v>
      </c>
      <c r="AE34" s="162" t="str">
        <f ca="1">VLOOKUP($AB34,OFFSET([4]characters!$A$1,0,0,COUNTA([4]characters!$A:$A),MATCH(AE$1,[4]characters!$1:$1,0)-MATCH("character_id",[4]characters!$1:$1,0)+1),MATCH(AE$1,[4]characters!$1:$1,0)-MATCH("character_id",[4]characters!$1:$1,0)+1,FALSE)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34" s="172">
        <v>1</v>
      </c>
      <c r="AG34" s="171">
        <f t="shared" ca="1" si="19"/>
        <v>5</v>
      </c>
      <c r="AH34" s="173">
        <v>0</v>
      </c>
      <c r="AI34" s="172">
        <v>0</v>
      </c>
      <c r="AJ34" s="172">
        <v>0</v>
      </c>
      <c r="AK34" s="172">
        <v>0</v>
      </c>
      <c r="AL34" s="172">
        <v>0</v>
      </c>
      <c r="AM34" s="172">
        <v>1</v>
      </c>
      <c r="AN34" s="174">
        <v>1</v>
      </c>
    </row>
    <row r="35" spans="1:40" s="134" customFormat="1" ht="21" customHeight="1" x14ac:dyDescent="0.15">
      <c r="A35" s="215" t="str">
        <f t="shared" ca="1" si="15"/>
        <v>15029_4-1/338&lt;lv1&gt;s3</v>
      </c>
      <c r="B35" s="216">
        <v>15029</v>
      </c>
      <c r="C35" s="175">
        <v>4</v>
      </c>
      <c r="D35" s="122" t="str">
        <f t="shared" si="16"/>
        <v>15029_4</v>
      </c>
      <c r="E35" s="197" t="str">
        <f ca="1">VLOOKUP($B35,OFFSET([2]quests!$A$1,0,0,COUNTA([2]quests!$A:$A),MATCH(E$1,[2]quests!$1:$1,0)-MATCH($B$1,[2]quests!$1:$1,0)+1),MATCH(E$1,[2]quests!$1:$1,0)-MATCH($B$1,[2]quests!$1:$1,0)+1,FALSE)</f>
        <v>29. 雪の望郷</v>
      </c>
      <c r="F35" s="197" t="str">
        <f ca="1">VLOOKUP($D35,OFFSET([2]stages!$A$1,0,0,COUNTA([2]stages!$A:$A),MATCH(F$1,[2]stages!$2:$2,0)-MATCH($D$1,[2]stages!$2:$2,0)+1),MATCH(F$1,[2]stages!$2:$2,0)-MATCH($D$1,[2]stages!$2:$2,0)+1,FALSE)</f>
        <v>29-4. 【1回のみ】ボーナスステージ</v>
      </c>
      <c r="G35" s="175">
        <v>1</v>
      </c>
      <c r="H35" s="122" t="str">
        <f t="shared" si="17"/>
        <v>15029_4-1</v>
      </c>
      <c r="I35" s="197" t="e">
        <v>#N/A</v>
      </c>
      <c r="J35" s="197" t="e">
        <v>#N/A</v>
      </c>
      <c r="K35" s="124" t="s">
        <v>89</v>
      </c>
      <c r="L35" s="125">
        <v>338</v>
      </c>
      <c r="M35" s="197" t="str">
        <f ca="1">VLOOKUP($L35,OFFSET([3]enemies!$A$1,0,0,COUNTA([3]enemies!$A:$A),MATCH(M$1,[3]enemies!$1:$1,0)-MATCH($L$1,[3]enemies!$1:$1,0)+1),MATCH(M$1,[3]enemies!$1:$1,0)-MATCH($L$1,[3]enemies!$1:$1,0)+1,FALSE)</f>
        <v>森のメタルダック</v>
      </c>
      <c r="N35" s="197" t="str">
        <f ca="1">VLOOKUP($L35,OFFSET([3]enemies!$A$1,0,0,COUNTA([3]enemies!$A:$A),MATCH(N$1,[3]enemies!$1:$1,0)-MATCH($L$1,[3]enemies!$1:$1,0)+1),MATCH(N$1,[3]enemies!$1:$1,0)-MATCH($L$1,[3]enemies!$1:$1,0)+1,FALSE)</f>
        <v>green</v>
      </c>
      <c r="O35" s="197" t="str">
        <f ca="1">VLOOKUP($L35,OFFSET([4]characters!$A$1,0,0,COUNTA([4]characters!$A:$A),MATCH(O$1,[4]characters!$1:$1,0)-MATCH($L$1,[4]characters!$1:$1,0)+1),MATCH(O$1,[4]characters!$1:$1,0)-MATCH($L$1,[4]characters!$1:$1,0)+1,FALSE)</f>
        <v>Material</v>
      </c>
      <c r="P35" s="197" t="str">
        <f ca="1">VLOOKUP($L35,OFFSET([3]enemies!$A$1,0,0,COUNTA([3]enemies!$A:$A),MATCH(P$1,[3]enemies!$1:$1,0)-MATCH($L$1,[3]enemies!$1:$1,0)+1),MATCH(P$1,[3]enemies!$1:$1,0)-MATCH($L$1,[3]enemies!$1:$1,0)+1,FALSE)</f>
        <v>unknown</v>
      </c>
      <c r="Q35" s="197">
        <f ca="1">VLOOKUP($L35,OFFSET([3]enemies!$A$1,0,0,COUNTA([3]enemies!$A:$A),MATCH(Q$1,[3]enemies!$1:$1,0)-MATCH($L$1,[3]enemies!$1:$1,0)+1),MATCH(Q$1,[3]enemies!$1:$1,0)-MATCH($L$1,[3]enemies!$1:$1,0)+1,FALSE)</f>
        <v>20</v>
      </c>
      <c r="R35" s="217">
        <v>1</v>
      </c>
      <c r="S35" s="218">
        <v>1</v>
      </c>
      <c r="T35" s="218">
        <v>1</v>
      </c>
      <c r="U35" s="217">
        <v>-5000</v>
      </c>
      <c r="V35" s="197" t="e">
        <f ca="1">VLOOKUP($W35,OFFSET(enemy_skill_sets!$B$1,0,0,COUNTA(enemy_skill_sets!$B:$B),MATCH(M$1,enemy_skill_sets!$1:$1,0)-MATCH($W$1,enemy_skill_sets!$1:$1,0)+2),MATCH(M$1,enemy_skill_sets!$1:$1,0)-MATCH($W$1,enemy_skill_sets!$1:$1,0)+2,FALSE)</f>
        <v>#N/A</v>
      </c>
      <c r="W35" s="197">
        <v>0</v>
      </c>
      <c r="X35" s="134">
        <v>1</v>
      </c>
      <c r="Y35" s="134">
        <v>100</v>
      </c>
      <c r="Z35" s="134">
        <v>0</v>
      </c>
      <c r="AA35" s="197">
        <f ca="1">VLOOKUP($L35,OFFSET([3]enemies!$A$1,0,0,COUNTA([3]enemies!$A:$A),MATCH(AA$1,[3]enemies!$1:$1,0)-MATCH($L$1,[3]enemies!$1:$1,0)+1),MATCH(AA$1,[3]enemies!$1:$1,0)-MATCH($L$1,[3]enemies!$1:$1,0)+1,FALSE)</f>
        <v>3</v>
      </c>
      <c r="AB35" s="131">
        <f t="shared" si="18"/>
        <v>338</v>
      </c>
      <c r="AC35" s="197" t="str">
        <f ca="1">VLOOKUP($AB35,OFFSET([4]characters!$A$1,0,0,COUNTA([4]characters!$A:$A),MATCH(AC$1,[4]characters!$1:$1,0)-MATCH("character_id",[4]characters!$1:$1,0)+1),MATCH(AC$1,[4]characters!$1:$1,0)-MATCH("character_id",[4]characters!$1:$1,0)+1,FALSE)</f>
        <v>森のメタルダック</v>
      </c>
      <c r="AD35" s="197">
        <f ca="1">VLOOKUP($AB35,OFFSET([4]characters!$A$1,0,0,COUNTA([4]characters!$A:$A),MATCH(AD$1,[4]characters!$1:$1,0)-MATCH("character_id",[4]characters!$1:$1,0)+1),MATCH(AD$1,[4]characters!$1:$1,0)-MATCH("character_id",[4]characters!$1:$1,0)+1,FALSE)</f>
        <v>5</v>
      </c>
      <c r="AE35" s="197" t="str">
        <f ca="1">VLOOKUP($AB35,OFFSET([4]characters!$A$1,0,0,COUNTA([4]characters!$A:$A),MATCH(AE$1,[4]characters!$1:$1,0)-MATCH("character_id",[4]characters!$1:$1,0)+1),MATCH(AE$1,[4]characters!$1:$1,0)-MATCH("character_id",[4]characters!$1:$1,0)+1,FALSE)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5" s="132">
        <v>1</v>
      </c>
      <c r="AG35" s="131">
        <f t="shared" ca="1" si="19"/>
        <v>5</v>
      </c>
      <c r="AH35" s="134">
        <v>100</v>
      </c>
      <c r="AI35" s="132">
        <v>0</v>
      </c>
      <c r="AJ35" s="132">
        <v>0</v>
      </c>
      <c r="AK35" s="132">
        <v>0</v>
      </c>
      <c r="AL35" s="132">
        <v>0</v>
      </c>
      <c r="AM35" s="132">
        <v>1</v>
      </c>
      <c r="AN35" s="134">
        <v>1</v>
      </c>
    </row>
    <row r="36" spans="1:40" s="62" customFormat="1" ht="21" customHeight="1" x14ac:dyDescent="0.15">
      <c r="A36" s="219" t="str">
        <f t="shared" ca="1" si="15"/>
        <v>15029_4-1/346&lt;lv1&gt;s3</v>
      </c>
      <c r="B36" s="214">
        <v>15029</v>
      </c>
      <c r="C36" s="194">
        <v>4</v>
      </c>
      <c r="D36" s="109" t="str">
        <f t="shared" si="16"/>
        <v>15029_4</v>
      </c>
      <c r="E36" s="193" t="str">
        <f ca="1">VLOOKUP($B36,OFFSET([2]quests!$A$1,0,0,COUNTA([2]quests!$A:$A),MATCH(E$1,[2]quests!$1:$1,0)-MATCH($B$1,[2]quests!$1:$1,0)+1),MATCH(E$1,[2]quests!$1:$1,0)-MATCH($B$1,[2]quests!$1:$1,0)+1,FALSE)</f>
        <v>29. 雪の望郷</v>
      </c>
      <c r="F36" s="193" t="str">
        <f ca="1">VLOOKUP($D36,OFFSET([2]stages!$A$1,0,0,COUNTA([2]stages!$A:$A),MATCH(F$1,[2]stages!$2:$2,0)-MATCH($D$1,[2]stages!$2:$2,0)+1),MATCH(F$1,[2]stages!$2:$2,0)-MATCH($D$1,[2]stages!$2:$2,0)+1,FALSE)</f>
        <v>29-4. 【1回のみ】ボーナスステージ</v>
      </c>
      <c r="G36" s="194">
        <v>1</v>
      </c>
      <c r="H36" s="109" t="str">
        <f t="shared" si="17"/>
        <v>15029_4-1</v>
      </c>
      <c r="I36" s="193" t="e">
        <v>#N/A</v>
      </c>
      <c r="J36" s="193" t="e">
        <v>#N/A</v>
      </c>
      <c r="K36" s="111" t="s">
        <v>89</v>
      </c>
      <c r="L36" s="112">
        <v>346</v>
      </c>
      <c r="M36" s="14" t="str">
        <f ca="1">VLOOKUP($L36,OFFSET([3]enemies!$A$1,0,0,COUNTA([3]enemies!$A:$A),MATCH(M$1,[3]enemies!$1:$1,0)-MATCH($L$1,[3]enemies!$1:$1,0)+1),MATCH(M$1,[3]enemies!$1:$1,0)-MATCH($L$1,[3]enemies!$1:$1,0)+1,FALSE)</f>
        <v>雷のメタルダック</v>
      </c>
      <c r="N36" s="14" t="str">
        <f ca="1">VLOOKUP($L36,OFFSET([3]enemies!$A$1,0,0,COUNTA([3]enemies!$A:$A),MATCH(N$1,[3]enemies!$1:$1,0)-MATCH($L$1,[3]enemies!$1:$1,0)+1),MATCH(N$1,[3]enemies!$1:$1,0)-MATCH($L$1,[3]enemies!$1:$1,0)+1,FALSE)</f>
        <v>yellow</v>
      </c>
      <c r="O36" s="14" t="str">
        <f ca="1">VLOOKUP($L36,OFFSET([4]characters!$A$1,0,0,COUNTA([4]characters!$A:$A),MATCH(O$1,[4]characters!$1:$1,0)-MATCH($L$1,[4]characters!$1:$1,0)+1),MATCH(O$1,[4]characters!$1:$1,0)-MATCH($L$1,[4]characters!$1:$1,0)+1,FALSE)</f>
        <v>Material</v>
      </c>
      <c r="P36" s="14" t="str">
        <f ca="1">VLOOKUP($L36,OFFSET([3]enemies!$A$1,0,0,COUNTA([3]enemies!$A:$A),MATCH(P$1,[3]enemies!$1:$1,0)-MATCH($L$1,[3]enemies!$1:$1,0)+1),MATCH(P$1,[3]enemies!$1:$1,0)-MATCH($L$1,[3]enemies!$1:$1,0)+1,FALSE)</f>
        <v>unknown</v>
      </c>
      <c r="Q36" s="14">
        <f ca="1">VLOOKUP($L36,OFFSET([3]enemies!$A$1,0,0,COUNTA([3]enemies!$A:$A),MATCH(Q$1,[3]enemies!$1:$1,0)-MATCH($L$1,[3]enemies!$1:$1,0)+1),MATCH(Q$1,[3]enemies!$1:$1,0)-MATCH($L$1,[3]enemies!$1:$1,0)+1,FALSE)</f>
        <v>20</v>
      </c>
      <c r="R36" s="229">
        <v>1</v>
      </c>
      <c r="S36" s="230">
        <v>1</v>
      </c>
      <c r="T36" s="230">
        <v>1</v>
      </c>
      <c r="U36" s="229">
        <v>-5000</v>
      </c>
      <c r="V36" s="14" t="e">
        <f ca="1">VLOOKUP($W36,OFFSET(enemy_skill_sets!$B$1,0,0,COUNTA(enemy_skill_sets!$B:$B),MATCH(M$1,enemy_skill_sets!$1:$1,0)-MATCH($W$1,enemy_skill_sets!$1:$1,0)+2),MATCH(M$1,enemy_skill_sets!$1:$1,0)-MATCH($W$1,enemy_skill_sets!$1:$1,0)+2,FALSE)</f>
        <v>#N/A</v>
      </c>
      <c r="W36" s="14">
        <v>0</v>
      </c>
      <c r="X36" s="62">
        <v>1</v>
      </c>
      <c r="Y36" s="62">
        <v>100</v>
      </c>
      <c r="Z36" s="62">
        <v>0</v>
      </c>
      <c r="AA36" s="14">
        <f ca="1">VLOOKUP($L36,OFFSET([3]enemies!$A$1,0,0,COUNTA([3]enemies!$A:$A),MATCH(AA$1,[3]enemies!$1:$1,0)-MATCH($L$1,[3]enemies!$1:$1,0)+1),MATCH(AA$1,[3]enemies!$1:$1,0)-MATCH($L$1,[3]enemies!$1:$1,0)+1,FALSE)</f>
        <v>3</v>
      </c>
      <c r="AB36" s="103">
        <f t="shared" ref="AB36:AB44" si="45">L36</f>
        <v>346</v>
      </c>
      <c r="AC36" s="14" t="str">
        <f ca="1">VLOOKUP($AB36,OFFSET([4]characters!$A$1,0,0,COUNTA([4]characters!$A:$A),MATCH(AC$1,[4]characters!$1:$1,0)-MATCH("character_id",[4]characters!$1:$1,0)+1),MATCH(AC$1,[4]characters!$1:$1,0)-MATCH("character_id",[4]characters!$1:$1,0)+1,FALSE)</f>
        <v>雷のメタルダック</v>
      </c>
      <c r="AD36" s="14">
        <f ca="1">VLOOKUP($AB36,OFFSET([4]characters!$A$1,0,0,COUNTA([4]characters!$A:$A),MATCH(AD$1,[4]characters!$1:$1,0)-MATCH("character_id",[4]characters!$1:$1,0)+1),MATCH(AD$1,[4]characters!$1:$1,0)-MATCH("character_id",[4]characters!$1:$1,0)+1,FALSE)</f>
        <v>5</v>
      </c>
      <c r="AE36" s="14" t="str">
        <f ca="1">VLOOKUP($AB36,OFFSET([4]characters!$A$1,0,0,COUNTA([4]characters!$A:$A),MATCH(AE$1,[4]characters!$1:$1,0)-MATCH("character_id",[4]characters!$1:$1,0)+1),MATCH(AE$1,[4]characters!$1:$1,0)-MATCH("character_id",[4]characters!$1:$1,0)+1,FALSE)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6" s="90">
        <v>1</v>
      </c>
      <c r="AG36" s="103">
        <f t="shared" ca="1" si="19"/>
        <v>5</v>
      </c>
      <c r="AH36" s="62">
        <v>100</v>
      </c>
      <c r="AI36" s="90">
        <v>0</v>
      </c>
      <c r="AJ36" s="90">
        <v>0</v>
      </c>
      <c r="AK36" s="90">
        <v>0</v>
      </c>
      <c r="AL36" s="90">
        <v>0</v>
      </c>
      <c r="AM36" s="90">
        <v>1</v>
      </c>
      <c r="AN36" s="62">
        <v>1</v>
      </c>
    </row>
    <row r="37" spans="1:40" s="62" customFormat="1" ht="21" customHeight="1" x14ac:dyDescent="0.15">
      <c r="A37" s="219" t="str">
        <f t="shared" ca="1" si="15"/>
        <v>15029_4-2/347&lt;lv1&gt;s4</v>
      </c>
      <c r="B37" s="214">
        <v>15029</v>
      </c>
      <c r="C37" s="91">
        <v>4</v>
      </c>
      <c r="D37" s="11" t="str">
        <f t="shared" si="16"/>
        <v>15029_4</v>
      </c>
      <c r="E37" s="14" t="str">
        <f ca="1">VLOOKUP($B37,OFFSET([2]quests!$A$1,0,0,COUNTA([2]quests!$A:$A),MATCH(E$1,[2]quests!$1:$1,0)-MATCH($B$1,[2]quests!$1:$1,0)+1),MATCH(E$1,[2]quests!$1:$1,0)-MATCH($B$1,[2]quests!$1:$1,0)+1,FALSE)</f>
        <v>29. 雪の望郷</v>
      </c>
      <c r="F37" s="14" t="str">
        <f ca="1">VLOOKUP($D37,OFFSET([2]stages!$A$1,0,0,COUNTA([2]stages!$A:$A),MATCH(F$1,[2]stages!$2:$2,0)-MATCH($D$1,[2]stages!$2:$2,0)+1),MATCH(F$1,[2]stages!$2:$2,0)-MATCH($D$1,[2]stages!$2:$2,0)+1,FALSE)</f>
        <v>29-4. 【1回のみ】ボーナスステージ</v>
      </c>
      <c r="G37" s="91">
        <v>2</v>
      </c>
      <c r="H37" s="11" t="str">
        <f t="shared" si="17"/>
        <v>15029_4-2</v>
      </c>
      <c r="I37" s="14" t="e">
        <v>#N/A</v>
      </c>
      <c r="J37" s="14" t="e">
        <v>#N/A</v>
      </c>
      <c r="K37" s="31" t="s">
        <v>89</v>
      </c>
      <c r="L37" s="97">
        <v>347</v>
      </c>
      <c r="M37" s="14" t="str">
        <f ca="1">VLOOKUP($L37,OFFSET([3]enemies!$A$1,0,0,COUNTA([3]enemies!$A:$A),MATCH(M$1,[3]enemies!$1:$1,0)-MATCH($L$1,[3]enemies!$1:$1,0)+1),MATCH(M$1,[3]enemies!$1:$1,0)-MATCH($L$1,[3]enemies!$1:$1,0)+1,FALSE)</f>
        <v>雷のメタルジェントル</v>
      </c>
      <c r="N37" s="14" t="str">
        <f ca="1">VLOOKUP($L37,OFFSET([3]enemies!$A$1,0,0,COUNTA([3]enemies!$A:$A),MATCH(N$1,[3]enemies!$1:$1,0)-MATCH($L$1,[3]enemies!$1:$1,0)+1),MATCH(N$1,[3]enemies!$1:$1,0)-MATCH($L$1,[3]enemies!$1:$1,0)+1,FALSE)</f>
        <v>yellow</v>
      </c>
      <c r="O37" s="14" t="str">
        <f ca="1">VLOOKUP($L37,OFFSET([4]characters!$A$1,0,0,COUNTA([4]characters!$A:$A),MATCH(O$1,[4]characters!$1:$1,0)-MATCH($L$1,[4]characters!$1:$1,0)+1),MATCH(O$1,[4]characters!$1:$1,0)-MATCH($L$1,[4]characters!$1:$1,0)+1,FALSE)</f>
        <v>Material</v>
      </c>
      <c r="P37" s="14" t="str">
        <f ca="1">VLOOKUP($L37,OFFSET([3]enemies!$A$1,0,0,COUNTA([3]enemies!$A:$A),MATCH(P$1,[3]enemies!$1:$1,0)-MATCH($L$1,[3]enemies!$1:$1,0)+1),MATCH(P$1,[3]enemies!$1:$1,0)-MATCH($L$1,[3]enemies!$1:$1,0)+1,FALSE)</f>
        <v>unknown</v>
      </c>
      <c r="Q37" s="14">
        <f ca="1">VLOOKUP($L37,OFFSET([3]enemies!$A$1,0,0,COUNTA([3]enemies!$A:$A),MATCH(Q$1,[3]enemies!$1:$1,0)-MATCH($L$1,[3]enemies!$1:$1,0)+1),MATCH(Q$1,[3]enemies!$1:$1,0)-MATCH($L$1,[3]enemies!$1:$1,0)+1,FALSE)</f>
        <v>20</v>
      </c>
      <c r="R37" s="229">
        <v>1</v>
      </c>
      <c r="S37" s="210">
        <v>1</v>
      </c>
      <c r="T37" s="210">
        <v>1</v>
      </c>
      <c r="U37" s="211">
        <v>-5000</v>
      </c>
      <c r="V37" s="14" t="e">
        <f ca="1">VLOOKUP($W37,OFFSET(enemy_skill_sets!$B$1,0,0,COUNTA(enemy_skill_sets!$B:$B),MATCH(M$1,enemy_skill_sets!$1:$1,0)-MATCH($W$1,enemy_skill_sets!$1:$1,0)+2),MATCH(M$1,enemy_skill_sets!$1:$1,0)-MATCH($W$1,enemy_skill_sets!$1:$1,0)+2,FALSE)</f>
        <v>#N/A</v>
      </c>
      <c r="W37" s="14">
        <v>0</v>
      </c>
      <c r="X37" s="62">
        <v>1</v>
      </c>
      <c r="Y37" s="62">
        <v>100</v>
      </c>
      <c r="Z37" s="62">
        <v>0</v>
      </c>
      <c r="AA37" s="14">
        <f ca="1">VLOOKUP($L37,OFFSET([3]enemies!$A$1,0,0,COUNTA([3]enemies!$A:$A),MATCH(AA$1,[3]enemies!$1:$1,0)-MATCH($L$1,[3]enemies!$1:$1,0)+1),MATCH(AA$1,[3]enemies!$1:$1,0)-MATCH($L$1,[3]enemies!$1:$1,0)+1,FALSE)</f>
        <v>4</v>
      </c>
      <c r="AB37" s="103">
        <f t="shared" si="45"/>
        <v>347</v>
      </c>
      <c r="AC37" s="14" t="str">
        <f ca="1">VLOOKUP($AB37,OFFSET([4]characters!$A$1,0,0,COUNTA([4]characters!$A:$A),MATCH(AC$1,[4]characters!$1:$1,0)-MATCH("character_id",[4]characters!$1:$1,0)+1),MATCH(AC$1,[4]characters!$1:$1,0)-MATCH("character_id",[4]characters!$1:$1,0)+1,FALSE)</f>
        <v>雷のメタルジェントル</v>
      </c>
      <c r="AD37" s="14">
        <f ca="1">VLOOKUP($AB37,OFFSET([4]characters!$A$1,0,0,COUNTA([4]characters!$A:$A),MATCH(AD$1,[4]characters!$1:$1,0)-MATCH("character_id",[4]characters!$1:$1,0)+1),MATCH(AD$1,[4]characters!$1:$1,0)-MATCH("character_id",[4]characters!$1:$1,0)+1,FALSE)</f>
        <v>6</v>
      </c>
      <c r="AE37" s="14" t="str">
        <f ca="1">VLOOKUP($AB37,OFFSET([4]characters!$A$1,0,0,COUNTA([4]characters!$A:$A),MATCH(AE$1,[4]characters!$1:$1,0)-MATCH("character_id",[4]characters!$1:$1,0)+1),MATCH(AE$1,[4]characters!$1:$1,0)-MATCH("character_id",[4]characters!$1:$1,0)+1,FALSE)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7" s="90">
        <v>1</v>
      </c>
      <c r="AG37" s="103">
        <f t="shared" ca="1" si="19"/>
        <v>6</v>
      </c>
      <c r="AH37" s="62">
        <v>100</v>
      </c>
      <c r="AI37" s="90">
        <v>0</v>
      </c>
      <c r="AJ37" s="90">
        <v>0</v>
      </c>
      <c r="AK37" s="90">
        <v>0</v>
      </c>
      <c r="AL37" s="90">
        <v>0</v>
      </c>
      <c r="AM37" s="90">
        <v>1</v>
      </c>
      <c r="AN37" s="62">
        <v>1</v>
      </c>
    </row>
    <row r="38" spans="1:40" s="62" customFormat="1" ht="21" customHeight="1" x14ac:dyDescent="0.15">
      <c r="A38" s="219" t="str">
        <f t="shared" ca="1" si="15"/>
        <v>15029_4-2/339&lt;lv1&gt;s4</v>
      </c>
      <c r="B38" s="214">
        <v>15029</v>
      </c>
      <c r="C38" s="194">
        <v>4</v>
      </c>
      <c r="D38" s="109" t="str">
        <f t="shared" si="16"/>
        <v>15029_4</v>
      </c>
      <c r="E38" s="193" t="str">
        <f ca="1">VLOOKUP($B38,OFFSET([2]quests!$A$1,0,0,COUNTA([2]quests!$A:$A),MATCH(E$1,[2]quests!$1:$1,0)-MATCH($B$1,[2]quests!$1:$1,0)+1),MATCH(E$1,[2]quests!$1:$1,0)-MATCH($B$1,[2]quests!$1:$1,0)+1,FALSE)</f>
        <v>29. 雪の望郷</v>
      </c>
      <c r="F38" s="193" t="str">
        <f ca="1">VLOOKUP($D38,OFFSET([2]stages!$A$1,0,0,COUNTA([2]stages!$A:$A),MATCH(F$1,[2]stages!$2:$2,0)-MATCH($D$1,[2]stages!$2:$2,0)+1),MATCH(F$1,[2]stages!$2:$2,0)-MATCH($D$1,[2]stages!$2:$2,0)+1,FALSE)</f>
        <v>29-4. 【1回のみ】ボーナスステージ</v>
      </c>
      <c r="G38" s="194">
        <v>2</v>
      </c>
      <c r="H38" s="109" t="str">
        <f t="shared" si="17"/>
        <v>15029_4-2</v>
      </c>
      <c r="I38" s="193" t="e">
        <v>#N/A</v>
      </c>
      <c r="J38" s="193" t="e">
        <v>#N/A</v>
      </c>
      <c r="K38" s="111" t="s">
        <v>89</v>
      </c>
      <c r="L38" s="112">
        <v>339</v>
      </c>
      <c r="M38" s="14" t="str">
        <f ca="1">VLOOKUP($L38,OFFSET([3]enemies!$A$1,0,0,COUNTA([3]enemies!$A:$A),MATCH(M$1,[3]enemies!$1:$1,0)-MATCH($L$1,[3]enemies!$1:$1,0)+1),MATCH(M$1,[3]enemies!$1:$1,0)-MATCH($L$1,[3]enemies!$1:$1,0)+1,FALSE)</f>
        <v>森のメタルジェントル</v>
      </c>
      <c r="N38" s="14" t="str">
        <f ca="1">VLOOKUP($L38,OFFSET([3]enemies!$A$1,0,0,COUNTA([3]enemies!$A:$A),MATCH(N$1,[3]enemies!$1:$1,0)-MATCH($L$1,[3]enemies!$1:$1,0)+1),MATCH(N$1,[3]enemies!$1:$1,0)-MATCH($L$1,[3]enemies!$1:$1,0)+1,FALSE)</f>
        <v>green</v>
      </c>
      <c r="O38" s="14" t="str">
        <f ca="1">VLOOKUP($L38,OFFSET([4]characters!$A$1,0,0,COUNTA([4]characters!$A:$A),MATCH(O$1,[4]characters!$1:$1,0)-MATCH($L$1,[4]characters!$1:$1,0)+1),MATCH(O$1,[4]characters!$1:$1,0)-MATCH($L$1,[4]characters!$1:$1,0)+1,FALSE)</f>
        <v>Material</v>
      </c>
      <c r="P38" s="14" t="str">
        <f ca="1">VLOOKUP($L38,OFFSET([3]enemies!$A$1,0,0,COUNTA([3]enemies!$A:$A),MATCH(P$1,[3]enemies!$1:$1,0)-MATCH($L$1,[3]enemies!$1:$1,0)+1),MATCH(P$1,[3]enemies!$1:$1,0)-MATCH($L$1,[3]enemies!$1:$1,0)+1,FALSE)</f>
        <v>unknown</v>
      </c>
      <c r="Q38" s="14">
        <f ca="1">VLOOKUP($L38,OFFSET([3]enemies!$A$1,0,0,COUNTA([3]enemies!$A:$A),MATCH(Q$1,[3]enemies!$1:$1,0)-MATCH($L$1,[3]enemies!$1:$1,0)+1),MATCH(Q$1,[3]enemies!$1:$1,0)-MATCH($L$1,[3]enemies!$1:$1,0)+1,FALSE)</f>
        <v>20</v>
      </c>
      <c r="R38" s="229">
        <v>1</v>
      </c>
      <c r="S38" s="230">
        <v>1</v>
      </c>
      <c r="T38" s="230">
        <v>1</v>
      </c>
      <c r="U38" s="229">
        <v>-5000</v>
      </c>
      <c r="V38" s="14" t="e">
        <f ca="1">VLOOKUP($W38,OFFSET(enemy_skill_sets!$B$1,0,0,COUNTA(enemy_skill_sets!$B:$B),MATCH(M$1,enemy_skill_sets!$1:$1,0)-MATCH($W$1,enemy_skill_sets!$1:$1,0)+2),MATCH(M$1,enemy_skill_sets!$1:$1,0)-MATCH($W$1,enemy_skill_sets!$1:$1,0)+2,FALSE)</f>
        <v>#N/A</v>
      </c>
      <c r="W38" s="14">
        <v>0</v>
      </c>
      <c r="X38" s="62">
        <v>1</v>
      </c>
      <c r="Y38" s="62">
        <v>100</v>
      </c>
      <c r="Z38" s="62">
        <v>0</v>
      </c>
      <c r="AA38" s="14">
        <f ca="1">VLOOKUP($L38,OFFSET([3]enemies!$A$1,0,0,COUNTA([3]enemies!$A:$A),MATCH(AA$1,[3]enemies!$1:$1,0)-MATCH($L$1,[3]enemies!$1:$1,0)+1),MATCH(AA$1,[3]enemies!$1:$1,0)-MATCH($L$1,[3]enemies!$1:$1,0)+1,FALSE)</f>
        <v>4</v>
      </c>
      <c r="AB38" s="103">
        <f t="shared" si="45"/>
        <v>339</v>
      </c>
      <c r="AC38" s="14" t="str">
        <f ca="1">VLOOKUP($AB38,OFFSET([4]characters!$A$1,0,0,COUNTA([4]characters!$A:$A),MATCH(AC$1,[4]characters!$1:$1,0)-MATCH("character_id",[4]characters!$1:$1,0)+1),MATCH(AC$1,[4]characters!$1:$1,0)-MATCH("character_id",[4]characters!$1:$1,0)+1,FALSE)</f>
        <v>森のメタルジェントル</v>
      </c>
      <c r="AD38" s="14">
        <f ca="1">VLOOKUP($AB38,OFFSET([4]characters!$A$1,0,0,COUNTA([4]characters!$A:$A),MATCH(AD$1,[4]characters!$1:$1,0)-MATCH("character_id",[4]characters!$1:$1,0)+1),MATCH(AD$1,[4]characters!$1:$1,0)-MATCH("character_id",[4]characters!$1:$1,0)+1,FALSE)</f>
        <v>6</v>
      </c>
      <c r="AE38" s="14" t="str">
        <f ca="1">VLOOKUP($AB38,OFFSET([4]characters!$A$1,0,0,COUNTA([4]characters!$A:$A),MATCH(AE$1,[4]characters!$1:$1,0)-MATCH("character_id",[4]characters!$1:$1,0)+1),MATCH(AE$1,[4]characters!$1:$1,0)-MATCH("character_id",[4]characters!$1:$1,0)+1,FALSE)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8" s="90">
        <v>1</v>
      </c>
      <c r="AG38" s="103">
        <f t="shared" ca="1" si="19"/>
        <v>6</v>
      </c>
      <c r="AH38" s="62">
        <v>0</v>
      </c>
      <c r="AI38" s="90">
        <v>0</v>
      </c>
      <c r="AJ38" s="90">
        <v>0</v>
      </c>
      <c r="AK38" s="90">
        <v>0</v>
      </c>
      <c r="AL38" s="90">
        <v>0</v>
      </c>
      <c r="AM38" s="90">
        <v>1</v>
      </c>
      <c r="AN38" s="62">
        <v>1</v>
      </c>
    </row>
    <row r="39" spans="1:40" s="62" customFormat="1" ht="21" customHeight="1" x14ac:dyDescent="0.15">
      <c r="A39" s="219" t="str">
        <f t="shared" ca="1" si="15"/>
        <v>15029_4-3/120&lt;lv10&gt;s4</v>
      </c>
      <c r="B39" s="214">
        <v>15029</v>
      </c>
      <c r="C39" s="91">
        <v>4</v>
      </c>
      <c r="D39" s="11" t="str">
        <f t="shared" si="16"/>
        <v>15029_4</v>
      </c>
      <c r="E39" s="14" t="str">
        <f ca="1">VLOOKUP($B39,OFFSET([2]quests!$A$1,0,0,COUNTA([2]quests!$A:$A),MATCH(E$1,[2]quests!$1:$1,0)-MATCH($B$1,[2]quests!$1:$1,0)+1),MATCH(E$1,[2]quests!$1:$1,0)-MATCH($B$1,[2]quests!$1:$1,0)+1,FALSE)</f>
        <v>29. 雪の望郷</v>
      </c>
      <c r="F39" s="14" t="str">
        <f ca="1">VLOOKUP($D39,OFFSET([2]stages!$A$1,0,0,COUNTA([2]stages!$A:$A),MATCH(F$1,[2]stages!$2:$2,0)-MATCH($D$1,[2]stages!$2:$2,0)+1),MATCH(F$1,[2]stages!$2:$2,0)-MATCH($D$1,[2]stages!$2:$2,0)+1,FALSE)</f>
        <v>29-4. 【1回のみ】ボーナスステージ</v>
      </c>
      <c r="G39" s="91">
        <v>3</v>
      </c>
      <c r="H39" s="11" t="str">
        <f t="shared" si="17"/>
        <v>15029_4-3</v>
      </c>
      <c r="I39" s="14" t="e">
        <v>#N/A</v>
      </c>
      <c r="J39" s="14" t="e">
        <v>#N/A</v>
      </c>
      <c r="K39" s="31" t="s">
        <v>89</v>
      </c>
      <c r="L39" s="97">
        <v>120</v>
      </c>
      <c r="M39" s="14" t="str">
        <f ca="1">VLOOKUP($L39,OFFSET([3]enemies!$A$1,0,0,COUNTA([3]enemies!$A:$A),MATCH(M$1,[3]enemies!$1:$1,0)-MATCH($L$1,[3]enemies!$1:$1,0)+1),MATCH(M$1,[3]enemies!$1:$1,0)-MATCH($L$1,[3]enemies!$1:$1,0)+1,FALSE)</f>
        <v>ゴールドキング</v>
      </c>
      <c r="N39" s="14" t="str">
        <f ca="1">VLOOKUP($L39,OFFSET([3]enemies!$A$1,0,0,COUNTA([3]enemies!$A:$A),MATCH(N$1,[3]enemies!$1:$1,0)-MATCH($L$1,[3]enemies!$1:$1,0)+1),MATCH(N$1,[3]enemies!$1:$1,0)-MATCH($L$1,[3]enemies!$1:$1,0)+1,FALSE)</f>
        <v>yellow</v>
      </c>
      <c r="O39" s="14" t="str">
        <f ca="1">VLOOKUP($L39,OFFSET([4]characters!$A$1,0,0,COUNTA([4]characters!$A:$A),MATCH(O$1,[4]characters!$1:$1,0)-MATCH($L$1,[4]characters!$1:$1,0)+1),MATCH(O$1,[4]characters!$1:$1,0)-MATCH($L$1,[4]characters!$1:$1,0)+1,FALSE)</f>
        <v>Material</v>
      </c>
      <c r="P39" s="14" t="str">
        <f ca="1">VLOOKUP($L39,OFFSET([3]enemies!$A$1,0,0,COUNTA([3]enemies!$A:$A),MATCH(P$1,[3]enemies!$1:$1,0)-MATCH($L$1,[3]enemies!$1:$1,0)+1),MATCH(P$1,[3]enemies!$1:$1,0)-MATCH($L$1,[3]enemies!$1:$1,0)+1,FALSE)</f>
        <v>unknown</v>
      </c>
      <c r="Q39" s="14">
        <f ca="1">VLOOKUP($L39,OFFSET([3]enemies!$A$1,0,0,COUNTA([3]enemies!$A:$A),MATCH(Q$1,[3]enemies!$1:$1,0)-MATCH($L$1,[3]enemies!$1:$1,0)+1),MATCH(Q$1,[3]enemies!$1:$1,0)-MATCH($L$1,[3]enemies!$1:$1,0)+1,FALSE)</f>
        <v>20</v>
      </c>
      <c r="R39" s="229">
        <v>10</v>
      </c>
      <c r="S39" s="210">
        <v>1</v>
      </c>
      <c r="T39" s="210">
        <v>1</v>
      </c>
      <c r="U39" s="211">
        <v>0</v>
      </c>
      <c r="V39" s="14" t="e">
        <f ca="1">VLOOKUP($W39,OFFSET(enemy_skill_sets!$B$1,0,0,COUNTA(enemy_skill_sets!$B:$B),MATCH(M$1,enemy_skill_sets!$1:$1,0)-MATCH($W$1,enemy_skill_sets!$1:$1,0)+2),MATCH(M$1,enemy_skill_sets!$1:$1,0)-MATCH($W$1,enemy_skill_sets!$1:$1,0)+2,FALSE)</f>
        <v>#N/A</v>
      </c>
      <c r="W39" s="14">
        <v>0</v>
      </c>
      <c r="X39" s="62">
        <v>1</v>
      </c>
      <c r="Y39" s="62">
        <v>100</v>
      </c>
      <c r="Z39" s="62">
        <v>0</v>
      </c>
      <c r="AA39" s="14">
        <f ca="1">VLOOKUP($L39,OFFSET([3]enemies!$A$1,0,0,COUNTA([3]enemies!$A:$A),MATCH(AA$1,[3]enemies!$1:$1,0)-MATCH($L$1,[3]enemies!$1:$1,0)+1),MATCH(AA$1,[3]enemies!$1:$1,0)-MATCH($L$1,[3]enemies!$1:$1,0)+1,FALSE)</f>
        <v>4</v>
      </c>
      <c r="AB39" s="103">
        <f t="shared" si="45"/>
        <v>120</v>
      </c>
      <c r="AC39" s="14" t="str">
        <f ca="1">VLOOKUP($AB39,OFFSET([4]characters!$A$1,0,0,COUNTA([4]characters!$A:$A),MATCH(AC$1,[4]characters!$1:$1,0)-MATCH("character_id",[4]characters!$1:$1,0)+1),MATCH(AC$1,[4]characters!$1:$1,0)-MATCH("character_id",[4]characters!$1:$1,0)+1,FALSE)</f>
        <v>ゴールドキング</v>
      </c>
      <c r="AD39" s="14">
        <f ca="1">VLOOKUP($AB39,OFFSET([4]characters!$A$1,0,0,COUNTA([4]characters!$A:$A),MATCH(AD$1,[4]characters!$1:$1,0)-MATCH("character_id",[4]characters!$1:$1,0)+1),MATCH(AD$1,[4]characters!$1:$1,0)-MATCH("character_id",[4]characters!$1:$1,0)+1,FALSE)</f>
        <v>6</v>
      </c>
      <c r="AE39" s="14" t="str">
        <f ca="1">VLOOKUP($AB39,OFFSET([4]characters!$A$1,0,0,COUNTA([4]characters!$A:$A),MATCH(AE$1,[4]characters!$1:$1,0)-MATCH("character_id",[4]characters!$1:$1,0)+1),MATCH(AE$1,[4]characters!$1:$1,0)-MATCH("character_id",[4]characters!$1:$1,0)+1,FALSE)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9" s="90">
        <v>1</v>
      </c>
      <c r="AG39" s="103">
        <f t="shared" ca="1" si="19"/>
        <v>6</v>
      </c>
      <c r="AH39" s="62">
        <v>100</v>
      </c>
      <c r="AI39" s="90">
        <v>0</v>
      </c>
      <c r="AJ39" s="90">
        <v>0</v>
      </c>
      <c r="AK39" s="90">
        <v>0</v>
      </c>
      <c r="AL39" s="90">
        <v>0</v>
      </c>
      <c r="AM39" s="90">
        <v>1</v>
      </c>
      <c r="AN39" s="62">
        <v>1</v>
      </c>
    </row>
    <row r="40" spans="1:40" s="62" customFormat="1" ht="21" customHeight="1" x14ac:dyDescent="0.15">
      <c r="A40" s="219" t="str">
        <f t="shared" ca="1" si="15"/>
        <v>15029_4-4/347&lt;lv1&gt;s4</v>
      </c>
      <c r="B40" s="214">
        <v>15029</v>
      </c>
      <c r="C40" s="91">
        <v>4</v>
      </c>
      <c r="D40" s="11" t="str">
        <f t="shared" si="16"/>
        <v>15029_4</v>
      </c>
      <c r="E40" s="14" t="str">
        <f ca="1">VLOOKUP($B40,OFFSET([2]quests!$A$1,0,0,COUNTA([2]quests!$A:$A),MATCH(E$1,[2]quests!$1:$1,0)-MATCH($B$1,[2]quests!$1:$1,0)+1),MATCH(E$1,[2]quests!$1:$1,0)-MATCH($B$1,[2]quests!$1:$1,0)+1,FALSE)</f>
        <v>29. 雪の望郷</v>
      </c>
      <c r="F40" s="14" t="str">
        <f ca="1">VLOOKUP($D40,OFFSET([2]stages!$A$1,0,0,COUNTA([2]stages!$A:$A),MATCH(F$1,[2]stages!$2:$2,0)-MATCH($D$1,[2]stages!$2:$2,0)+1),MATCH(F$1,[2]stages!$2:$2,0)-MATCH($D$1,[2]stages!$2:$2,0)+1,FALSE)</f>
        <v>29-4. 【1回のみ】ボーナスステージ</v>
      </c>
      <c r="G40" s="91">
        <v>4</v>
      </c>
      <c r="H40" s="11" t="str">
        <f t="shared" si="17"/>
        <v>15029_4-4</v>
      </c>
      <c r="I40" s="14" t="e">
        <v>#N/A</v>
      </c>
      <c r="J40" s="14" t="e">
        <v>#N/A</v>
      </c>
      <c r="K40" s="31" t="s">
        <v>89</v>
      </c>
      <c r="L40" s="97">
        <v>347</v>
      </c>
      <c r="M40" s="14" t="str">
        <f ca="1">VLOOKUP($L40,OFFSET([3]enemies!$A$1,0,0,COUNTA([3]enemies!$A:$A),MATCH(M$1,[3]enemies!$1:$1,0)-MATCH($L$1,[3]enemies!$1:$1,0)+1),MATCH(M$1,[3]enemies!$1:$1,0)-MATCH($L$1,[3]enemies!$1:$1,0)+1,FALSE)</f>
        <v>雷のメタルジェントル</v>
      </c>
      <c r="N40" s="14" t="str">
        <f ca="1">VLOOKUP($L40,OFFSET([3]enemies!$A$1,0,0,COUNTA([3]enemies!$A:$A),MATCH(N$1,[3]enemies!$1:$1,0)-MATCH($L$1,[3]enemies!$1:$1,0)+1),MATCH(N$1,[3]enemies!$1:$1,0)-MATCH($L$1,[3]enemies!$1:$1,0)+1,FALSE)</f>
        <v>yellow</v>
      </c>
      <c r="O40" s="14" t="str">
        <f ca="1">VLOOKUP($L40,OFFSET([4]characters!$A$1,0,0,COUNTA([4]characters!$A:$A),MATCH(O$1,[4]characters!$1:$1,0)-MATCH($L$1,[4]characters!$1:$1,0)+1),MATCH(O$1,[4]characters!$1:$1,0)-MATCH($L$1,[4]characters!$1:$1,0)+1,FALSE)</f>
        <v>Material</v>
      </c>
      <c r="P40" s="14" t="str">
        <f ca="1">VLOOKUP($L40,OFFSET([3]enemies!$A$1,0,0,COUNTA([3]enemies!$A:$A),MATCH(P$1,[3]enemies!$1:$1,0)-MATCH($L$1,[3]enemies!$1:$1,0)+1),MATCH(P$1,[3]enemies!$1:$1,0)-MATCH($L$1,[3]enemies!$1:$1,0)+1,FALSE)</f>
        <v>unknown</v>
      </c>
      <c r="Q40" s="14">
        <f ca="1">VLOOKUP($L40,OFFSET([3]enemies!$A$1,0,0,COUNTA([3]enemies!$A:$A),MATCH(Q$1,[3]enemies!$1:$1,0)-MATCH($L$1,[3]enemies!$1:$1,0)+1),MATCH(Q$1,[3]enemies!$1:$1,0)-MATCH($L$1,[3]enemies!$1:$1,0)+1,FALSE)</f>
        <v>20</v>
      </c>
      <c r="R40" s="229">
        <v>1</v>
      </c>
      <c r="S40" s="210">
        <v>1</v>
      </c>
      <c r="T40" s="210">
        <v>1</v>
      </c>
      <c r="U40" s="211">
        <v>-5000</v>
      </c>
      <c r="V40" s="14" t="e">
        <f ca="1">VLOOKUP($W40,OFFSET(enemy_skill_sets!$B$1,0,0,COUNTA(enemy_skill_sets!$B:$B),MATCH(M$1,enemy_skill_sets!$1:$1,0)-MATCH($W$1,enemy_skill_sets!$1:$1,0)+2),MATCH(M$1,enemy_skill_sets!$1:$1,0)-MATCH($W$1,enemy_skill_sets!$1:$1,0)+2,FALSE)</f>
        <v>#N/A</v>
      </c>
      <c r="W40" s="14">
        <v>0</v>
      </c>
      <c r="X40" s="62">
        <v>1</v>
      </c>
      <c r="Y40" s="62">
        <v>100</v>
      </c>
      <c r="Z40" s="62">
        <v>0</v>
      </c>
      <c r="AA40" s="14">
        <f ca="1">VLOOKUP($L40,OFFSET([3]enemies!$A$1,0,0,COUNTA([3]enemies!$A:$A),MATCH(AA$1,[3]enemies!$1:$1,0)-MATCH($L$1,[3]enemies!$1:$1,0)+1),MATCH(AA$1,[3]enemies!$1:$1,0)-MATCH($L$1,[3]enemies!$1:$1,0)+1,FALSE)</f>
        <v>4</v>
      </c>
      <c r="AB40" s="103">
        <f t="shared" si="45"/>
        <v>347</v>
      </c>
      <c r="AC40" s="14" t="str">
        <f ca="1">VLOOKUP($AB40,OFFSET([4]characters!$A$1,0,0,COUNTA([4]characters!$A:$A),MATCH(AC$1,[4]characters!$1:$1,0)-MATCH("character_id",[4]characters!$1:$1,0)+1),MATCH(AC$1,[4]characters!$1:$1,0)-MATCH("character_id",[4]characters!$1:$1,0)+1,FALSE)</f>
        <v>雷のメタルジェントル</v>
      </c>
      <c r="AD40" s="14">
        <f ca="1">VLOOKUP($AB40,OFFSET([4]characters!$A$1,0,0,COUNTA([4]characters!$A:$A),MATCH(AD$1,[4]characters!$1:$1,0)-MATCH("character_id",[4]characters!$1:$1,0)+1),MATCH(AD$1,[4]characters!$1:$1,0)-MATCH("character_id",[4]characters!$1:$1,0)+1,FALSE)</f>
        <v>6</v>
      </c>
      <c r="AE40" s="14" t="str">
        <f ca="1">VLOOKUP($AB40,OFFSET([4]characters!$A$1,0,0,COUNTA([4]characters!$A:$A),MATCH(AE$1,[4]characters!$1:$1,0)-MATCH("character_id",[4]characters!$1:$1,0)+1),MATCH(AE$1,[4]characters!$1:$1,0)-MATCH("character_id",[4]characters!$1:$1,0)+1,FALSE)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0" s="90">
        <v>1</v>
      </c>
      <c r="AG40" s="103">
        <f t="shared" ca="1" si="19"/>
        <v>6</v>
      </c>
      <c r="AH40" s="62">
        <v>0</v>
      </c>
      <c r="AI40" s="90">
        <v>0</v>
      </c>
      <c r="AJ40" s="90">
        <v>0</v>
      </c>
      <c r="AK40" s="90">
        <v>0</v>
      </c>
      <c r="AL40" s="90">
        <v>0</v>
      </c>
      <c r="AM40" s="90">
        <v>1</v>
      </c>
      <c r="AN40" s="62">
        <v>1</v>
      </c>
    </row>
    <row r="41" spans="1:40" s="62" customFormat="1" ht="21" customHeight="1" x14ac:dyDescent="0.15">
      <c r="A41" s="219" t="str">
        <f t="shared" ca="1" si="15"/>
        <v>15029_4-4/339&lt;lv1&gt;s4</v>
      </c>
      <c r="B41" s="214">
        <v>15029</v>
      </c>
      <c r="C41" s="194">
        <v>4</v>
      </c>
      <c r="D41" s="109" t="str">
        <f t="shared" si="16"/>
        <v>15029_4</v>
      </c>
      <c r="E41" s="193" t="str">
        <f ca="1">VLOOKUP($B41,OFFSET([2]quests!$A$1,0,0,COUNTA([2]quests!$A:$A),MATCH(E$1,[2]quests!$1:$1,0)-MATCH($B$1,[2]quests!$1:$1,0)+1),MATCH(E$1,[2]quests!$1:$1,0)-MATCH($B$1,[2]quests!$1:$1,0)+1,FALSE)</f>
        <v>29. 雪の望郷</v>
      </c>
      <c r="F41" s="193" t="str">
        <f ca="1">VLOOKUP($D41,OFFSET([2]stages!$A$1,0,0,COUNTA([2]stages!$A:$A),MATCH(F$1,[2]stages!$2:$2,0)-MATCH($D$1,[2]stages!$2:$2,0)+1),MATCH(F$1,[2]stages!$2:$2,0)-MATCH($D$1,[2]stages!$2:$2,0)+1,FALSE)</f>
        <v>29-4. 【1回のみ】ボーナスステージ</v>
      </c>
      <c r="G41" s="194">
        <v>4</v>
      </c>
      <c r="H41" s="109" t="str">
        <f t="shared" si="17"/>
        <v>15029_4-4</v>
      </c>
      <c r="I41" s="193" t="e">
        <v>#N/A</v>
      </c>
      <c r="J41" s="193" t="e">
        <v>#N/A</v>
      </c>
      <c r="K41" s="111" t="s">
        <v>89</v>
      </c>
      <c r="L41" s="112">
        <v>339</v>
      </c>
      <c r="M41" s="14" t="str">
        <f ca="1">VLOOKUP($L41,OFFSET([3]enemies!$A$1,0,0,COUNTA([3]enemies!$A:$A),MATCH(M$1,[3]enemies!$1:$1,0)-MATCH($L$1,[3]enemies!$1:$1,0)+1),MATCH(M$1,[3]enemies!$1:$1,0)-MATCH($L$1,[3]enemies!$1:$1,0)+1,FALSE)</f>
        <v>森のメタルジェントル</v>
      </c>
      <c r="N41" s="14" t="str">
        <f ca="1">VLOOKUP($L41,OFFSET([3]enemies!$A$1,0,0,COUNTA([3]enemies!$A:$A),MATCH(N$1,[3]enemies!$1:$1,0)-MATCH($L$1,[3]enemies!$1:$1,0)+1),MATCH(N$1,[3]enemies!$1:$1,0)-MATCH($L$1,[3]enemies!$1:$1,0)+1,FALSE)</f>
        <v>green</v>
      </c>
      <c r="O41" s="14" t="str">
        <f ca="1">VLOOKUP($L41,OFFSET([4]characters!$A$1,0,0,COUNTA([4]characters!$A:$A),MATCH(O$1,[4]characters!$1:$1,0)-MATCH($L$1,[4]characters!$1:$1,0)+1),MATCH(O$1,[4]characters!$1:$1,0)-MATCH($L$1,[4]characters!$1:$1,0)+1,FALSE)</f>
        <v>Material</v>
      </c>
      <c r="P41" s="14" t="str">
        <f ca="1">VLOOKUP($L41,OFFSET([3]enemies!$A$1,0,0,COUNTA([3]enemies!$A:$A),MATCH(P$1,[3]enemies!$1:$1,0)-MATCH($L$1,[3]enemies!$1:$1,0)+1),MATCH(P$1,[3]enemies!$1:$1,0)-MATCH($L$1,[3]enemies!$1:$1,0)+1,FALSE)</f>
        <v>unknown</v>
      </c>
      <c r="Q41" s="14">
        <f ca="1">VLOOKUP($L41,OFFSET([3]enemies!$A$1,0,0,COUNTA([3]enemies!$A:$A),MATCH(Q$1,[3]enemies!$1:$1,0)-MATCH($L$1,[3]enemies!$1:$1,0)+1),MATCH(Q$1,[3]enemies!$1:$1,0)-MATCH($L$1,[3]enemies!$1:$1,0)+1,FALSE)</f>
        <v>20</v>
      </c>
      <c r="R41" s="229">
        <v>1</v>
      </c>
      <c r="S41" s="230">
        <v>1</v>
      </c>
      <c r="T41" s="230">
        <v>1</v>
      </c>
      <c r="U41" s="229">
        <v>-5000</v>
      </c>
      <c r="V41" s="14" t="e">
        <f ca="1">VLOOKUP($W41,OFFSET(enemy_skill_sets!$B$1,0,0,COUNTA(enemy_skill_sets!$B:$B),MATCH(M$1,enemy_skill_sets!$1:$1,0)-MATCH($W$1,enemy_skill_sets!$1:$1,0)+2),MATCH(M$1,enemy_skill_sets!$1:$1,0)-MATCH($W$1,enemy_skill_sets!$1:$1,0)+2,FALSE)</f>
        <v>#N/A</v>
      </c>
      <c r="W41" s="14">
        <v>0</v>
      </c>
      <c r="X41" s="62">
        <v>1</v>
      </c>
      <c r="Y41" s="62">
        <v>100</v>
      </c>
      <c r="Z41" s="62">
        <v>0</v>
      </c>
      <c r="AA41" s="14">
        <f ca="1">VLOOKUP($L41,OFFSET([3]enemies!$A$1,0,0,COUNTA([3]enemies!$A:$A),MATCH(AA$1,[3]enemies!$1:$1,0)-MATCH($L$1,[3]enemies!$1:$1,0)+1),MATCH(AA$1,[3]enemies!$1:$1,0)-MATCH($L$1,[3]enemies!$1:$1,0)+1,FALSE)</f>
        <v>4</v>
      </c>
      <c r="AB41" s="103">
        <f t="shared" si="45"/>
        <v>339</v>
      </c>
      <c r="AC41" s="14" t="str">
        <f ca="1">VLOOKUP($AB41,OFFSET([4]characters!$A$1,0,0,COUNTA([4]characters!$A:$A),MATCH(AC$1,[4]characters!$1:$1,0)-MATCH("character_id",[4]characters!$1:$1,0)+1),MATCH(AC$1,[4]characters!$1:$1,0)-MATCH("character_id",[4]characters!$1:$1,0)+1,FALSE)</f>
        <v>森のメタルジェントル</v>
      </c>
      <c r="AD41" s="14">
        <f ca="1">VLOOKUP($AB41,OFFSET([4]characters!$A$1,0,0,COUNTA([4]characters!$A:$A),MATCH(AD$1,[4]characters!$1:$1,0)-MATCH("character_id",[4]characters!$1:$1,0)+1),MATCH(AD$1,[4]characters!$1:$1,0)-MATCH("character_id",[4]characters!$1:$1,0)+1,FALSE)</f>
        <v>6</v>
      </c>
      <c r="AE41" s="14" t="str">
        <f ca="1">VLOOKUP($AB41,OFFSET([4]characters!$A$1,0,0,COUNTA([4]characters!$A:$A),MATCH(AE$1,[4]characters!$1:$1,0)-MATCH("character_id",[4]characters!$1:$1,0)+1),MATCH(AE$1,[4]characters!$1:$1,0)-MATCH("character_id",[4]characters!$1:$1,0)+1,FALSE)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1" s="90">
        <v>1</v>
      </c>
      <c r="AG41" s="103">
        <f t="shared" ca="1" si="19"/>
        <v>6</v>
      </c>
      <c r="AH41" s="62">
        <v>100</v>
      </c>
      <c r="AI41" s="90">
        <v>0</v>
      </c>
      <c r="AJ41" s="90">
        <v>0</v>
      </c>
      <c r="AK41" s="90">
        <v>0</v>
      </c>
      <c r="AL41" s="90">
        <v>0</v>
      </c>
      <c r="AM41" s="90">
        <v>1</v>
      </c>
      <c r="AN41" s="62">
        <v>1</v>
      </c>
    </row>
    <row r="42" spans="1:40" s="62" customFormat="1" ht="21" customHeight="1" x14ac:dyDescent="0.15">
      <c r="A42" s="219" t="str">
        <f t="shared" ca="1" si="15"/>
        <v>15029_4-5/120&lt;lv10&gt;s4</v>
      </c>
      <c r="B42" s="214">
        <v>15029</v>
      </c>
      <c r="C42" s="91">
        <v>4</v>
      </c>
      <c r="D42" s="11" t="str">
        <f t="shared" si="16"/>
        <v>15029_4</v>
      </c>
      <c r="E42" s="14" t="str">
        <f ca="1">VLOOKUP($B42,OFFSET([2]quests!$A$1,0,0,COUNTA([2]quests!$A:$A),MATCH(E$1,[2]quests!$1:$1,0)-MATCH($B$1,[2]quests!$1:$1,0)+1),MATCH(E$1,[2]quests!$1:$1,0)-MATCH($B$1,[2]quests!$1:$1,0)+1,FALSE)</f>
        <v>29. 雪の望郷</v>
      </c>
      <c r="F42" s="14" t="str">
        <f ca="1">VLOOKUP($D42,OFFSET([2]stages!$A$1,0,0,COUNTA([2]stages!$A:$A),MATCH(F$1,[2]stages!$2:$2,0)-MATCH($D$1,[2]stages!$2:$2,0)+1),MATCH(F$1,[2]stages!$2:$2,0)-MATCH($D$1,[2]stages!$2:$2,0)+1,FALSE)</f>
        <v>29-4. 【1回のみ】ボーナスステージ</v>
      </c>
      <c r="G42" s="91">
        <v>5</v>
      </c>
      <c r="H42" s="11" t="str">
        <f t="shared" si="17"/>
        <v>15029_4-5</v>
      </c>
      <c r="I42" s="14" t="e">
        <v>#N/A</v>
      </c>
      <c r="J42" s="14" t="e">
        <v>#N/A</v>
      </c>
      <c r="K42" s="31" t="s">
        <v>89</v>
      </c>
      <c r="L42" s="97">
        <v>120</v>
      </c>
      <c r="M42" s="14" t="str">
        <f ca="1">VLOOKUP($L42,OFFSET([3]enemies!$A$1,0,0,COUNTA([3]enemies!$A:$A),MATCH(M$1,[3]enemies!$1:$1,0)-MATCH($L$1,[3]enemies!$1:$1,0)+1),MATCH(M$1,[3]enemies!$1:$1,0)-MATCH($L$1,[3]enemies!$1:$1,0)+1,FALSE)</f>
        <v>ゴールドキング</v>
      </c>
      <c r="N42" s="14" t="str">
        <f ca="1">VLOOKUP($L42,OFFSET([3]enemies!$A$1,0,0,COUNTA([3]enemies!$A:$A),MATCH(N$1,[3]enemies!$1:$1,0)-MATCH($L$1,[3]enemies!$1:$1,0)+1),MATCH(N$1,[3]enemies!$1:$1,0)-MATCH($L$1,[3]enemies!$1:$1,0)+1,FALSE)</f>
        <v>yellow</v>
      </c>
      <c r="O42" s="14" t="str">
        <f ca="1">VLOOKUP($L42,OFFSET([4]characters!$A$1,0,0,COUNTA([4]characters!$A:$A),MATCH(O$1,[4]characters!$1:$1,0)-MATCH($L$1,[4]characters!$1:$1,0)+1),MATCH(O$1,[4]characters!$1:$1,0)-MATCH($L$1,[4]characters!$1:$1,0)+1,FALSE)</f>
        <v>Material</v>
      </c>
      <c r="P42" s="14" t="str">
        <f ca="1">VLOOKUP($L42,OFFSET([3]enemies!$A$1,0,0,COUNTA([3]enemies!$A:$A),MATCH(P$1,[3]enemies!$1:$1,0)-MATCH($L$1,[3]enemies!$1:$1,0)+1),MATCH(P$1,[3]enemies!$1:$1,0)-MATCH($L$1,[3]enemies!$1:$1,0)+1,FALSE)</f>
        <v>unknown</v>
      </c>
      <c r="Q42" s="14">
        <f ca="1">VLOOKUP($L42,OFFSET([3]enemies!$A$1,0,0,COUNTA([3]enemies!$A:$A),MATCH(Q$1,[3]enemies!$1:$1,0)-MATCH($L$1,[3]enemies!$1:$1,0)+1),MATCH(Q$1,[3]enemies!$1:$1,0)-MATCH($L$1,[3]enemies!$1:$1,0)+1,FALSE)</f>
        <v>20</v>
      </c>
      <c r="R42" s="229">
        <v>10</v>
      </c>
      <c r="S42" s="210">
        <v>1</v>
      </c>
      <c r="T42" s="210">
        <v>1</v>
      </c>
      <c r="U42" s="211">
        <v>0</v>
      </c>
      <c r="V42" s="14" t="e">
        <f ca="1">VLOOKUP($W42,OFFSET(enemy_skill_sets!$B$1,0,0,COUNTA(enemy_skill_sets!$B:$B),MATCH(M$1,enemy_skill_sets!$1:$1,0)-MATCH($W$1,enemy_skill_sets!$1:$1,0)+2),MATCH(M$1,enemy_skill_sets!$1:$1,0)-MATCH($W$1,enemy_skill_sets!$1:$1,0)+2,FALSE)</f>
        <v>#N/A</v>
      </c>
      <c r="W42" s="14">
        <v>0</v>
      </c>
      <c r="X42" s="62">
        <v>1</v>
      </c>
      <c r="Y42" s="62">
        <v>100</v>
      </c>
      <c r="Z42" s="62">
        <v>1</v>
      </c>
      <c r="AA42" s="14">
        <f ca="1">VLOOKUP($L42,OFFSET([3]enemies!$A$1,0,0,COUNTA([3]enemies!$A:$A),MATCH(AA$1,[3]enemies!$1:$1,0)-MATCH($L$1,[3]enemies!$1:$1,0)+1),MATCH(AA$1,[3]enemies!$1:$1,0)-MATCH($L$1,[3]enemies!$1:$1,0)+1,FALSE)</f>
        <v>4</v>
      </c>
      <c r="AB42" s="103">
        <f t="shared" si="45"/>
        <v>120</v>
      </c>
      <c r="AC42" s="14" t="str">
        <f ca="1">VLOOKUP($AB42,OFFSET([4]characters!$A$1,0,0,COUNTA([4]characters!$A:$A),MATCH(AC$1,[4]characters!$1:$1,0)-MATCH("character_id",[4]characters!$1:$1,0)+1),MATCH(AC$1,[4]characters!$1:$1,0)-MATCH("character_id",[4]characters!$1:$1,0)+1,FALSE)</f>
        <v>ゴールドキング</v>
      </c>
      <c r="AD42" s="14">
        <f ca="1">VLOOKUP($AB42,OFFSET([4]characters!$A$1,0,0,COUNTA([4]characters!$A:$A),MATCH(AD$1,[4]characters!$1:$1,0)-MATCH("character_id",[4]characters!$1:$1,0)+1),MATCH(AD$1,[4]characters!$1:$1,0)-MATCH("character_id",[4]characters!$1:$1,0)+1,FALSE)</f>
        <v>6</v>
      </c>
      <c r="AE42" s="14" t="str">
        <f ca="1">VLOOKUP($AB42,OFFSET([4]characters!$A$1,0,0,COUNTA([4]characters!$A:$A),MATCH(AE$1,[4]characters!$1:$1,0)-MATCH("character_id",[4]characters!$1:$1,0)+1),MATCH(AE$1,[4]characters!$1:$1,0)-MATCH("character_id",[4]characters!$1:$1,0)+1,FALSE)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2" s="90">
        <v>1</v>
      </c>
      <c r="AG42" s="103">
        <f t="shared" ca="1" si="19"/>
        <v>6</v>
      </c>
      <c r="AH42" s="62">
        <v>100</v>
      </c>
      <c r="AI42" s="90">
        <v>0</v>
      </c>
      <c r="AJ42" s="90">
        <v>0</v>
      </c>
      <c r="AK42" s="90">
        <v>0</v>
      </c>
      <c r="AL42" s="90">
        <v>0</v>
      </c>
      <c r="AM42" s="90">
        <v>1</v>
      </c>
      <c r="AN42" s="62">
        <v>1</v>
      </c>
    </row>
    <row r="43" spans="1:40" s="62" customFormat="1" ht="21" customHeight="1" x14ac:dyDescent="0.15">
      <c r="A43" s="219" t="str">
        <f t="shared" ca="1" si="15"/>
        <v>15029_4-5/338&lt;lv1&gt;s3</v>
      </c>
      <c r="B43" s="214">
        <v>15029</v>
      </c>
      <c r="C43" s="91">
        <v>4</v>
      </c>
      <c r="D43" s="11" t="str">
        <f t="shared" si="16"/>
        <v>15029_4</v>
      </c>
      <c r="E43" s="14" t="str">
        <f ca="1">VLOOKUP($B43,OFFSET([2]quests!$A$1,0,0,COUNTA([2]quests!$A:$A),MATCH(E$1,[2]quests!$1:$1,0)-MATCH($B$1,[2]quests!$1:$1,0)+1),MATCH(E$1,[2]quests!$1:$1,0)-MATCH($B$1,[2]quests!$1:$1,0)+1,FALSE)</f>
        <v>29. 雪の望郷</v>
      </c>
      <c r="F43" s="14" t="str">
        <f ca="1">VLOOKUP($D43,OFFSET([2]stages!$A$1,0,0,COUNTA([2]stages!$A:$A),MATCH(F$1,[2]stages!$2:$2,0)-MATCH($D$1,[2]stages!$2:$2,0)+1),MATCH(F$1,[2]stages!$2:$2,0)-MATCH($D$1,[2]stages!$2:$2,0)+1,FALSE)</f>
        <v>29-4. 【1回のみ】ボーナスステージ</v>
      </c>
      <c r="G43" s="91">
        <v>5</v>
      </c>
      <c r="H43" s="11" t="str">
        <f t="shared" si="17"/>
        <v>15029_4-5</v>
      </c>
      <c r="I43" s="14" t="e">
        <v>#N/A</v>
      </c>
      <c r="J43" s="14" t="e">
        <v>#N/A</v>
      </c>
      <c r="K43" s="31" t="s">
        <v>89</v>
      </c>
      <c r="L43" s="97">
        <v>338</v>
      </c>
      <c r="M43" s="14" t="str">
        <f ca="1">VLOOKUP($L43,OFFSET([3]enemies!$A$1,0,0,COUNTA([3]enemies!$A:$A),MATCH(M$1,[3]enemies!$1:$1,0)-MATCH($L$1,[3]enemies!$1:$1,0)+1),MATCH(M$1,[3]enemies!$1:$1,0)-MATCH($L$1,[3]enemies!$1:$1,0)+1,FALSE)</f>
        <v>森のメタルダック</v>
      </c>
      <c r="N43" s="14" t="str">
        <f ca="1">VLOOKUP($L43,OFFSET([3]enemies!$A$1,0,0,COUNTA([3]enemies!$A:$A),MATCH(N$1,[3]enemies!$1:$1,0)-MATCH($L$1,[3]enemies!$1:$1,0)+1),MATCH(N$1,[3]enemies!$1:$1,0)-MATCH($L$1,[3]enemies!$1:$1,0)+1,FALSE)</f>
        <v>green</v>
      </c>
      <c r="O43" s="14" t="str">
        <f ca="1">VLOOKUP($L43,OFFSET([4]characters!$A$1,0,0,COUNTA([4]characters!$A:$A),MATCH(O$1,[4]characters!$1:$1,0)-MATCH($L$1,[4]characters!$1:$1,0)+1),MATCH(O$1,[4]characters!$1:$1,0)-MATCH($L$1,[4]characters!$1:$1,0)+1,FALSE)</f>
        <v>Material</v>
      </c>
      <c r="P43" s="14" t="str">
        <f ca="1">VLOOKUP($L43,OFFSET([3]enemies!$A$1,0,0,COUNTA([3]enemies!$A:$A),MATCH(P$1,[3]enemies!$1:$1,0)-MATCH($L$1,[3]enemies!$1:$1,0)+1),MATCH(P$1,[3]enemies!$1:$1,0)-MATCH($L$1,[3]enemies!$1:$1,0)+1,FALSE)</f>
        <v>unknown</v>
      </c>
      <c r="Q43" s="14">
        <f ca="1">VLOOKUP($L43,OFFSET([3]enemies!$A$1,0,0,COUNTA([3]enemies!$A:$A),MATCH(Q$1,[3]enemies!$1:$1,0)-MATCH($L$1,[3]enemies!$1:$1,0)+1),MATCH(Q$1,[3]enemies!$1:$1,0)-MATCH($L$1,[3]enemies!$1:$1,0)+1,FALSE)</f>
        <v>20</v>
      </c>
      <c r="R43" s="229">
        <v>1</v>
      </c>
      <c r="S43" s="210">
        <v>1</v>
      </c>
      <c r="T43" s="210">
        <v>1</v>
      </c>
      <c r="U43" s="211">
        <v>-5000</v>
      </c>
      <c r="V43" s="14" t="e">
        <f ca="1">VLOOKUP($W43,OFFSET(enemy_skill_sets!$B$1,0,0,COUNTA(enemy_skill_sets!$B:$B),MATCH(M$1,enemy_skill_sets!$1:$1,0)-MATCH($W$1,enemy_skill_sets!$1:$1,0)+2),MATCH(M$1,enemy_skill_sets!$1:$1,0)-MATCH($W$1,enemy_skill_sets!$1:$1,0)+2,FALSE)</f>
        <v>#N/A</v>
      </c>
      <c r="W43" s="14">
        <v>0</v>
      </c>
      <c r="X43" s="62">
        <v>1</v>
      </c>
      <c r="Y43" s="62">
        <v>100</v>
      </c>
      <c r="Z43" s="62">
        <v>0</v>
      </c>
      <c r="AA43" s="14">
        <f ca="1">VLOOKUP($L43,OFFSET([3]enemies!$A$1,0,0,COUNTA([3]enemies!$A:$A),MATCH(AA$1,[3]enemies!$1:$1,0)-MATCH($L$1,[3]enemies!$1:$1,0)+1),MATCH(AA$1,[3]enemies!$1:$1,0)-MATCH($L$1,[3]enemies!$1:$1,0)+1,FALSE)</f>
        <v>3</v>
      </c>
      <c r="AB43" s="103">
        <f t="shared" si="45"/>
        <v>338</v>
      </c>
      <c r="AC43" s="14" t="str">
        <f ca="1">VLOOKUP($AB43,OFFSET([4]characters!$A$1,0,0,COUNTA([4]characters!$A:$A),MATCH(AC$1,[4]characters!$1:$1,0)-MATCH("character_id",[4]characters!$1:$1,0)+1),MATCH(AC$1,[4]characters!$1:$1,0)-MATCH("character_id",[4]characters!$1:$1,0)+1,FALSE)</f>
        <v>森のメタルダック</v>
      </c>
      <c r="AD43" s="14">
        <f ca="1">VLOOKUP($AB43,OFFSET([4]characters!$A$1,0,0,COUNTA([4]characters!$A:$A),MATCH(AD$1,[4]characters!$1:$1,0)-MATCH("character_id",[4]characters!$1:$1,0)+1),MATCH(AD$1,[4]characters!$1:$1,0)-MATCH("character_id",[4]characters!$1:$1,0)+1,FALSE)</f>
        <v>5</v>
      </c>
      <c r="AE43" s="14" t="str">
        <f ca="1">VLOOKUP($AB43,OFFSET([4]characters!$A$1,0,0,COUNTA([4]characters!$A:$A),MATCH(AE$1,[4]characters!$1:$1,0)-MATCH("character_id",[4]characters!$1:$1,0)+1),MATCH(AE$1,[4]characters!$1:$1,0)-MATCH("character_id",[4]characters!$1:$1,0)+1,FALSE)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3" s="90">
        <v>1</v>
      </c>
      <c r="AG43" s="103">
        <f t="shared" ca="1" si="19"/>
        <v>5</v>
      </c>
      <c r="AH43" s="62">
        <v>0</v>
      </c>
      <c r="AI43" s="90">
        <v>0</v>
      </c>
      <c r="AJ43" s="90">
        <v>0</v>
      </c>
      <c r="AK43" s="90">
        <v>0</v>
      </c>
      <c r="AL43" s="90">
        <v>0</v>
      </c>
      <c r="AM43" s="90">
        <v>1</v>
      </c>
      <c r="AN43" s="62">
        <v>1</v>
      </c>
    </row>
    <row r="44" spans="1:40" s="153" customFormat="1" ht="21" customHeight="1" thickBot="1" x14ac:dyDescent="0.2">
      <c r="A44" s="220" t="str">
        <f t="shared" ca="1" si="15"/>
        <v>15029_4-5/346&lt;lv1&gt;s3</v>
      </c>
      <c r="B44" s="221">
        <v>15029</v>
      </c>
      <c r="C44" s="176">
        <v>4</v>
      </c>
      <c r="D44" s="141" t="str">
        <f t="shared" si="16"/>
        <v>15029_4</v>
      </c>
      <c r="E44" s="203" t="str">
        <f ca="1">VLOOKUP($B44,OFFSET([2]quests!$A$1,0,0,COUNTA([2]quests!$A:$A),MATCH(E$1,[2]quests!$1:$1,0)-MATCH($B$1,[2]quests!$1:$1,0)+1),MATCH(E$1,[2]quests!$1:$1,0)-MATCH($B$1,[2]quests!$1:$1,0)+1,FALSE)</f>
        <v>29. 雪の望郷</v>
      </c>
      <c r="F44" s="203" t="str">
        <f ca="1">VLOOKUP($D44,OFFSET([2]stages!$A$1,0,0,COUNTA([2]stages!$A:$A),MATCH(F$1,[2]stages!$2:$2,0)-MATCH($D$1,[2]stages!$2:$2,0)+1),MATCH(F$1,[2]stages!$2:$2,0)-MATCH($D$1,[2]stages!$2:$2,0)+1,FALSE)</f>
        <v>29-4. 【1回のみ】ボーナスステージ</v>
      </c>
      <c r="G44" s="176">
        <v>5</v>
      </c>
      <c r="H44" s="141" t="str">
        <f t="shared" si="17"/>
        <v>15029_4-5</v>
      </c>
      <c r="I44" s="203" t="e">
        <v>#N/A</v>
      </c>
      <c r="J44" s="203" t="e">
        <v>#N/A</v>
      </c>
      <c r="K44" s="143" t="s">
        <v>89</v>
      </c>
      <c r="L44" s="144">
        <v>346</v>
      </c>
      <c r="M44" s="203" t="str">
        <f ca="1">VLOOKUP($L44,OFFSET([3]enemies!$A$1,0,0,COUNTA([3]enemies!$A:$A),MATCH(M$1,[3]enemies!$1:$1,0)-MATCH($L$1,[3]enemies!$1:$1,0)+1),MATCH(M$1,[3]enemies!$1:$1,0)-MATCH($L$1,[3]enemies!$1:$1,0)+1,FALSE)</f>
        <v>雷のメタルダック</v>
      </c>
      <c r="N44" s="203" t="str">
        <f ca="1">VLOOKUP($L44,OFFSET([3]enemies!$A$1,0,0,COUNTA([3]enemies!$A:$A),MATCH(N$1,[3]enemies!$1:$1,0)-MATCH($L$1,[3]enemies!$1:$1,0)+1),MATCH(N$1,[3]enemies!$1:$1,0)-MATCH($L$1,[3]enemies!$1:$1,0)+1,FALSE)</f>
        <v>yellow</v>
      </c>
      <c r="O44" s="203" t="str">
        <f ca="1">VLOOKUP($L44,OFFSET([4]characters!$A$1,0,0,COUNTA([4]characters!$A:$A),MATCH(O$1,[4]characters!$1:$1,0)-MATCH($L$1,[4]characters!$1:$1,0)+1),MATCH(O$1,[4]characters!$1:$1,0)-MATCH($L$1,[4]characters!$1:$1,0)+1,FALSE)</f>
        <v>Material</v>
      </c>
      <c r="P44" s="203" t="str">
        <f ca="1">VLOOKUP($L44,OFFSET([3]enemies!$A$1,0,0,COUNTA([3]enemies!$A:$A),MATCH(P$1,[3]enemies!$1:$1,0)-MATCH($L$1,[3]enemies!$1:$1,0)+1),MATCH(P$1,[3]enemies!$1:$1,0)-MATCH($L$1,[3]enemies!$1:$1,0)+1,FALSE)</f>
        <v>unknown</v>
      </c>
      <c r="Q44" s="203">
        <f ca="1">VLOOKUP($L44,OFFSET([3]enemies!$A$1,0,0,COUNTA([3]enemies!$A:$A),MATCH(Q$1,[3]enemies!$1:$1,0)-MATCH($L$1,[3]enemies!$1:$1,0)+1),MATCH(Q$1,[3]enemies!$1:$1,0)-MATCH($L$1,[3]enemies!$1:$1,0)+1,FALSE)</f>
        <v>20</v>
      </c>
      <c r="R44" s="231">
        <v>1</v>
      </c>
      <c r="S44" s="223">
        <v>1</v>
      </c>
      <c r="T44" s="223">
        <v>1</v>
      </c>
      <c r="U44" s="222">
        <v>-5000</v>
      </c>
      <c r="V44" s="203" t="e">
        <f ca="1">VLOOKUP($W44,OFFSET(enemy_skill_sets!$B$1,0,0,COUNTA(enemy_skill_sets!$B:$B),MATCH(M$1,enemy_skill_sets!$1:$1,0)-MATCH($W$1,enemy_skill_sets!$1:$1,0)+2),MATCH(M$1,enemy_skill_sets!$1:$1,0)-MATCH($W$1,enemy_skill_sets!$1:$1,0)+2,FALSE)</f>
        <v>#N/A</v>
      </c>
      <c r="W44" s="203">
        <v>0</v>
      </c>
      <c r="X44" s="153">
        <v>1</v>
      </c>
      <c r="Y44" s="153">
        <v>100</v>
      </c>
      <c r="Z44" s="153">
        <v>0</v>
      </c>
      <c r="AA44" s="203">
        <f ca="1">VLOOKUP($L44,OFFSET([3]enemies!$A$1,0,0,COUNTA([3]enemies!$A:$A),MATCH(AA$1,[3]enemies!$1:$1,0)-MATCH($L$1,[3]enemies!$1:$1,0)+1),MATCH(AA$1,[3]enemies!$1:$1,0)-MATCH($L$1,[3]enemies!$1:$1,0)+1,FALSE)</f>
        <v>3</v>
      </c>
      <c r="AB44" s="150">
        <f t="shared" si="45"/>
        <v>346</v>
      </c>
      <c r="AC44" s="203" t="str">
        <f ca="1">VLOOKUP($AB44,OFFSET([4]characters!$A$1,0,0,COUNTA([4]characters!$A:$A),MATCH(AC$1,[4]characters!$1:$1,0)-MATCH("character_id",[4]characters!$1:$1,0)+1),MATCH(AC$1,[4]characters!$1:$1,0)-MATCH("character_id",[4]characters!$1:$1,0)+1,FALSE)</f>
        <v>雷のメタルダック</v>
      </c>
      <c r="AD44" s="203">
        <f ca="1">VLOOKUP($AB44,OFFSET([4]characters!$A$1,0,0,COUNTA([4]characters!$A:$A),MATCH(AD$1,[4]characters!$1:$1,0)-MATCH("character_id",[4]characters!$1:$1,0)+1),MATCH(AD$1,[4]characters!$1:$1,0)-MATCH("character_id",[4]characters!$1:$1,0)+1,FALSE)</f>
        <v>5</v>
      </c>
      <c r="AE44" s="203" t="str">
        <f ca="1">VLOOKUP($AB44,OFFSET([4]characters!$A$1,0,0,COUNTA([4]characters!$A:$A),MATCH(AE$1,[4]characters!$1:$1,0)-MATCH("character_id",[4]characters!$1:$1,0)+1),MATCH(AE$1,[4]characters!$1:$1,0)-MATCH("character_id",[4]characters!$1:$1,0)+1,FALSE)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4" s="151">
        <v>1</v>
      </c>
      <c r="AG44" s="150">
        <f t="shared" ca="1" si="19"/>
        <v>5</v>
      </c>
      <c r="AH44" s="153">
        <v>0</v>
      </c>
      <c r="AI44" s="151">
        <v>0</v>
      </c>
      <c r="AJ44" s="151">
        <v>0</v>
      </c>
      <c r="AK44" s="151">
        <v>0</v>
      </c>
      <c r="AL44" s="151">
        <v>0</v>
      </c>
      <c r="AM44" s="151">
        <v>1</v>
      </c>
      <c r="AN44" s="153">
        <v>1</v>
      </c>
    </row>
  </sheetData>
  <sheetProtection selectLockedCells="1" selectUnlockedCells="1"/>
  <autoFilter ref="B1:AH44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2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U5" sqref="U5"/>
    </sheetView>
  </sheetViews>
  <sheetFormatPr baseColWidth="12" defaultColWidth="13" defaultRowHeight="21" customHeight="1" outlineLevelCol="1" x14ac:dyDescent="0.15"/>
  <cols>
    <col min="1" max="1" width="17" style="15" bestFit="1" customWidth="1"/>
    <col min="2" max="2" width="10.83203125" style="2" bestFit="1" customWidth="1"/>
    <col min="3" max="3" width="10.6640625" style="2" bestFit="1" customWidth="1"/>
    <col min="4" max="4" width="13" style="10" bestFit="1" customWidth="1" outlineLevel="1"/>
    <col min="5" max="5" width="11.6640625" style="2" bestFit="1" customWidth="1" outlineLevel="1"/>
    <col min="6" max="6" width="16.1640625" style="2" bestFit="1" customWidth="1" outlineLevel="1"/>
    <col min="7" max="7" width="10" style="2" bestFit="1" customWidth="1"/>
    <col min="8" max="9" width="12.33203125" style="2" bestFit="1" customWidth="1" outlineLevel="1"/>
    <col min="10" max="10" width="12.33203125" style="2" customWidth="1" outlineLevel="1"/>
    <col min="11" max="11" width="12.33203125" style="2" customWidth="1"/>
    <col min="12" max="12" width="11" style="2" bestFit="1" customWidth="1"/>
    <col min="13" max="13" width="13.5" style="7" bestFit="1" customWidth="1"/>
    <col min="14" max="14" width="8.83203125" style="2" customWidth="1" outlineLevel="1"/>
    <col min="15" max="15" width="8.6640625" style="2" customWidth="1" outlineLevel="1"/>
    <col min="16" max="16" width="12" style="2" customWidth="1" outlineLevel="1"/>
    <col min="17" max="17" width="21" style="2" customWidth="1" outlineLevel="1"/>
    <col min="18" max="18" width="8" style="2" customWidth="1" outlineLevel="1"/>
    <col min="19" max="19" width="8.33203125" style="2" bestFit="1" customWidth="1"/>
    <col min="20" max="20" width="14.83203125" style="2" bestFit="1" customWidth="1"/>
    <col min="21" max="21" width="17.5" style="2" bestFit="1" customWidth="1"/>
    <col min="22" max="22" width="18.33203125" style="2" bestFit="1" customWidth="1"/>
    <col min="23" max="23" width="16.6640625" style="2" customWidth="1"/>
    <col min="24" max="24" width="10" style="2" bestFit="1" customWidth="1" outlineLevel="1"/>
    <col min="25" max="25" width="9.33203125" style="2" bestFit="1" customWidth="1"/>
    <col min="26" max="16384" width="13" style="2"/>
  </cols>
  <sheetData>
    <row r="1" spans="1:25" s="28" customFormat="1" ht="21" customHeight="1" x14ac:dyDescent="0.15">
      <c r="A1" s="21" t="s">
        <v>29</v>
      </c>
      <c r="B1" s="22" t="s">
        <v>0</v>
      </c>
      <c r="C1" s="22" t="s">
        <v>1</v>
      </c>
      <c r="D1" s="23" t="s">
        <v>28</v>
      </c>
      <c r="E1" s="24" t="s">
        <v>16</v>
      </c>
      <c r="F1" s="24" t="s">
        <v>16</v>
      </c>
      <c r="G1" s="22" t="s">
        <v>19</v>
      </c>
      <c r="H1" s="23" t="s">
        <v>30</v>
      </c>
      <c r="I1" s="23" t="s">
        <v>14</v>
      </c>
      <c r="J1" s="23" t="s">
        <v>15</v>
      </c>
      <c r="K1" s="29" t="s">
        <v>53</v>
      </c>
      <c r="L1" s="29" t="s">
        <v>54</v>
      </c>
      <c r="M1" s="30" t="s">
        <v>2</v>
      </c>
      <c r="N1" s="25" t="s">
        <v>16</v>
      </c>
      <c r="O1" s="23" t="s">
        <v>24</v>
      </c>
      <c r="P1" s="23" t="s">
        <v>23</v>
      </c>
      <c r="Q1" s="26" t="s">
        <v>26</v>
      </c>
      <c r="R1" s="24" t="s">
        <v>25</v>
      </c>
      <c r="S1" s="22" t="s">
        <v>3</v>
      </c>
      <c r="T1" s="20" t="s">
        <v>48</v>
      </c>
      <c r="U1" s="20" t="s">
        <v>50</v>
      </c>
      <c r="V1" s="20" t="s">
        <v>52</v>
      </c>
      <c r="W1" s="22" t="s">
        <v>130</v>
      </c>
      <c r="X1" s="23" t="s">
        <v>129</v>
      </c>
      <c r="Y1" s="22" t="s">
        <v>8</v>
      </c>
    </row>
    <row r="2" spans="1:25" ht="21" customHeight="1" x14ac:dyDescent="0.15">
      <c r="A2" s="12" t="str">
        <f>B2&amp;"_"&amp;C2&amp;"-"&amp;G2&amp;"/"&amp;M2&amp;"&lt;lv"&amp;S2&amp;"&gt;sq"&amp;K2&amp;"st"&amp;L2</f>
        <v>15029_3-4/399&lt;lv75&gt;sq1st2</v>
      </c>
      <c r="B2" s="16">
        <v>15029</v>
      </c>
      <c r="C2" s="95">
        <v>3</v>
      </c>
      <c r="D2" s="1" t="str">
        <f>B2&amp;"_"&amp;C2</f>
        <v>15029_3</v>
      </c>
      <c r="E2" s="3" t="str">
        <f ca="1">VLOOKUP($B2,OFFSET([2]quests!$A$1,0,0,COUNTA([2]quests!$A:$A),MATCH(E$1,[2]quests!$1:$1,0)-MATCH($B$1,[2]quests!$1:$1,0)+1),MATCH(E$1,[2]quests!$1:$1,0)-MATCH($B$1,[2]quests!$1:$1,0)+1,FALSE)</f>
        <v>29. 雪の望郷</v>
      </c>
      <c r="F2" s="3" t="str">
        <f ca="1">VLOOKUP($D2,OFFSET([2]stages!$A$1,0,0,COUNTA([2]stages!$A:$A),MATCH(F$1,[2]stages!$2:$2,0)-MATCH($D$1,[2]stages!$2:$2,0)+1),MATCH(F$1,[2]stages!$2:$2,0)-MATCH($D$1,[2]stages!$2:$2,0)+1,FALSE)</f>
        <v>29-3. 仕立屋と兄妹</v>
      </c>
      <c r="G2" s="96">
        <v>4</v>
      </c>
      <c r="H2" s="11" t="str">
        <f>B2&amp;"_"&amp;C2&amp;"-"&amp;G2</f>
        <v>15029_3-4</v>
      </c>
      <c r="I2" s="3">
        <f ca="1">VLOOKUP($H2,OFFSET(floors!$A$1,0,0,COUNTA(floors!$A:$A),MATCH(I$1,floors!$1:$1,0)-MATCH($H$1,floors!$1:$1,0)+1),MATCH(I$1,floors!$1:$1,0)-MATCH($H$1,floors!$1:$1,0)+1,FALSE)</f>
        <v>60</v>
      </c>
      <c r="J2" s="3">
        <f ca="1">VLOOKUP($H2,OFFSET(floors!$A$1,0,0,COUNTA(floors!$A:$A),MATCH(J$1,floors!$1:$1,0)-MATCH($H$1,floors!$1:$1,0)+1),MATCH(J$1,floors!$1:$1,0)-MATCH($H$1,floors!$1:$1,0)+1,FALSE)</f>
        <v>60</v>
      </c>
      <c r="K2" s="31">
        <v>1</v>
      </c>
      <c r="L2" s="31">
        <v>2</v>
      </c>
      <c r="M2" s="97">
        <v>399</v>
      </c>
      <c r="N2" s="13" t="str">
        <f ca="1">VLOOKUP($M2,OFFSET([3]enemies!$A$1,0,0,COUNTA([3]enemies!$A:$A),MATCH(N$1,[3]enemies!$1:$1,0)-MATCH($M$1,[3]enemies!$1:$1,0)+1),MATCH(N$1,[3]enemies!$1:$1,0)-MATCH($M$1,[3]enemies!$1:$1,0)+1,FALSE)</f>
        <v>信愛の兄妹 ヘンゼル＆グレーテル</v>
      </c>
      <c r="O2" s="13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3" t="str">
        <f ca="1">VLOOKUP($M2,OFFSET([4]characters!$A$1,0,0,COUNTA([4]characters!$A:$A),MATCH(P$1,[4]characters!$1:$1,0)-MATCH($M$1,[4]characters!$1:$1,0)+1),MATCH(P$1,[4]characters!$1:$1,0)-MATCH($M$1,[4]characters!$1:$1,0)+1,FALSE)</f>
        <v>PremiumSS</v>
      </c>
      <c r="Q2" s="13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3">
        <f ca="1">VLOOKUP($M2,OFFSET([3]enemies!$A$1,0,0,COUNTA([3]enemies!$A:$A),MATCH(R$1,[3]enemies!$1:$1,0)-MATCH($M$1,[3]enemies!$1:$1,0)+1),MATCH(R$1,[3]enemies!$1:$1,0)-MATCH($M$1,[3]enemies!$1:$1,0)+1,FALSE)</f>
        <v>60</v>
      </c>
      <c r="S2" s="4">
        <v>75</v>
      </c>
      <c r="T2" s="224">
        <v>1.2</v>
      </c>
      <c r="U2" s="19">
        <v>0.9</v>
      </c>
      <c r="V2" s="4">
        <v>0</v>
      </c>
      <c r="W2" s="3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40">
        <v>15029025</v>
      </c>
      <c r="Y2" s="63">
        <v>2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9"/>
  <sheetViews>
    <sheetView showGridLines="0" zoomScale="125" zoomScaleNormal="125" zoomScalePageLayoutView="125" workbookViewId="0">
      <pane xSplit="5" ySplit="1" topLeftCell="F3" activePane="bottomRight" state="frozen"/>
      <selection pane="topRight"/>
      <selection pane="bottomLeft"/>
      <selection pane="bottomRight" activeCell="B13" sqref="B13"/>
    </sheetView>
  </sheetViews>
  <sheetFormatPr baseColWidth="12" defaultColWidth="12.83203125" defaultRowHeight="21" customHeight="1" outlineLevelCol="1" x14ac:dyDescent="0.15"/>
  <cols>
    <col min="1" max="1" width="11.33203125" style="32" bestFit="1" customWidth="1"/>
    <col min="2" max="2" width="9.5" style="42" bestFit="1" customWidth="1"/>
    <col min="3" max="3" width="9.6640625" style="42" customWidth="1"/>
    <col min="4" max="4" width="18.5" style="42" customWidth="1" outlineLevel="1"/>
    <col min="5" max="5" width="44.1640625" style="42" bestFit="1" customWidth="1" outlineLevel="1"/>
    <col min="6" max="6" width="10.83203125" style="42" bestFit="1" customWidth="1"/>
    <col min="7" max="7" width="8.33203125" style="42" bestFit="1" customWidth="1" outlineLevel="1"/>
    <col min="8" max="9" width="12.83203125" style="42" outlineLevel="1"/>
    <col min="10" max="10" width="17.6640625" style="42" bestFit="1" customWidth="1" outlineLevel="1"/>
    <col min="11" max="15" width="12.83203125" style="42" outlineLevel="1"/>
    <col min="16" max="16" width="8.33203125" style="38" bestFit="1" customWidth="1"/>
    <col min="17" max="17" width="9.6640625" style="38" customWidth="1"/>
    <col min="18" max="18" width="56.5" style="38" bestFit="1" customWidth="1"/>
    <col min="19" max="16384" width="12.83203125" style="38"/>
  </cols>
  <sheetData>
    <row r="1" spans="1:18" ht="21" customHeight="1" x14ac:dyDescent="0.15">
      <c r="A1" s="32" t="s">
        <v>59</v>
      </c>
      <c r="B1" s="33" t="s">
        <v>60</v>
      </c>
      <c r="C1" s="33" t="s">
        <v>61</v>
      </c>
      <c r="D1" s="34" t="s">
        <v>62</v>
      </c>
      <c r="E1" s="34" t="s">
        <v>63</v>
      </c>
      <c r="F1" s="35" t="s">
        <v>64</v>
      </c>
      <c r="G1" s="36" t="s">
        <v>65</v>
      </c>
      <c r="H1" s="36" t="s">
        <v>67</v>
      </c>
      <c r="I1" s="36" t="s">
        <v>68</v>
      </c>
      <c r="J1" s="36" t="s">
        <v>69</v>
      </c>
      <c r="K1" s="37" t="s">
        <v>70</v>
      </c>
      <c r="L1" s="37" t="s">
        <v>71</v>
      </c>
      <c r="M1" s="36" t="s">
        <v>72</v>
      </c>
      <c r="N1" s="36" t="s">
        <v>73</v>
      </c>
      <c r="O1" s="36" t="s">
        <v>74</v>
      </c>
      <c r="P1" s="34" t="s">
        <v>75</v>
      </c>
      <c r="Q1" s="34" t="s">
        <v>76</v>
      </c>
      <c r="R1" s="34" t="s">
        <v>77</v>
      </c>
    </row>
    <row r="2" spans="1:18" ht="21" customHeight="1" x14ac:dyDescent="0.15">
      <c r="A2" s="32" t="str">
        <f t="shared" ref="A2:A11" si="0">B2&amp;"_"&amp;C2</f>
        <v>15029002_15029002</v>
      </c>
      <c r="B2" s="40">
        <v>15029002</v>
      </c>
      <c r="C2" s="40">
        <v>15029002</v>
      </c>
      <c r="D2" s="39" t="str">
        <f ca="1">VLOOKUP($C2,OFFSET(enemy_skills!$A$1,0,0,COUNTA(enemy_skills!$A:$A),MATCH(D$1,enemy_skills!$1:$1,0)-MATCH("enemy_skill_id",enemy_skills!$1:$1,0)+1),MATCH(D$1,enemy_skills!$1:$1,0)-MATCH("enemy_skill_id",enemy_skills!$1:$1,0)+1,FALSE)</f>
        <v>キックフリップ</v>
      </c>
      <c r="E2" s="39" t="str">
        <f ca="1">VLOOKUP($C2,OFFSET(enemy_skills!$A$1,0,0,COUNTA(enemy_skills!$A:$A),MATCH(E$1,enemy_skills!$1:$1,0)-MATCH("enemy_skill_id",enemy_skills!$1:$1,0)+1),MATCH(E$1,enemy_skills!$1:$1,0)-MATCH("enemy_skill_id",enemy_skills!$1:$1,0)+1,FALSE)</f>
        <v>2連続攻撃</v>
      </c>
      <c r="F2" s="40">
        <v>15029002</v>
      </c>
      <c r="G2" s="41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1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1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1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1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1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1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1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1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0"/>
      <c r="Q2" s="40"/>
      <c r="R2" s="40"/>
    </row>
    <row r="3" spans="1:18" ht="21" customHeight="1" x14ac:dyDescent="0.15">
      <c r="A3" s="32" t="str">
        <f t="shared" si="0"/>
        <v>15029003_15029003</v>
      </c>
      <c r="B3" s="40">
        <v>15029003</v>
      </c>
      <c r="C3" s="40">
        <v>15029003</v>
      </c>
      <c r="D3" s="39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ホトケノジヒ</v>
      </c>
      <c r="E3" s="39" t="str">
        <f ca="1">VLOOKUP($C3,OFFSET(enemy_skills!$A$1,0,0,COUNTA(enemy_skills!$A:$A),MATCH(E$1,enemy_skills!$1:$1,0)-MATCH("enemy_skill_id",enemy_skills!$1:$1,0)+1),MATCH(E$1,enemy_skills!$1:$1,0)-MATCH("enemy_skill_id",enemy_skills!$1:$1,0)+1,FALSE)</f>
        <v>全ユニットの状態異常を解除してくれた</v>
      </c>
      <c r="F3" s="40">
        <v>15029003</v>
      </c>
      <c r="G3" s="41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1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1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1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1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1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1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" s="41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1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0"/>
      <c r="Q3" s="40"/>
      <c r="R3" s="40"/>
    </row>
    <row r="4" spans="1:18" ht="21" customHeight="1" x14ac:dyDescent="0.15">
      <c r="A4" s="32" t="str">
        <f t="shared" si="0"/>
        <v>15029003_15029004</v>
      </c>
      <c r="B4" s="40">
        <v>15029003</v>
      </c>
      <c r="C4" s="40">
        <v>15029004</v>
      </c>
      <c r="D4" s="39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ブツメツクラッシャー</v>
      </c>
      <c r="E4" s="39" t="str">
        <f ca="1">VLOOKUP($C4,OFFSET(enemy_skills!$A$1,0,0,COUNTA(enemy_skills!$A:$A),MATCH(E$1,enemy_skills!$1:$1,0)-MATCH("enemy_skill_id",enemy_skills!$1:$1,0)+1),MATCH(E$1,enemy_skills!$1:$1,0)-MATCH("enemy_skill_id",enemy_skills!$1:$1,0)+1,FALSE)</f>
        <v>突然弾け飛んだ！</v>
      </c>
      <c r="F4" s="40">
        <v>15029004</v>
      </c>
      <c r="G4" s="41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1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4" s="41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1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4" s="41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1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1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1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1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0"/>
      <c r="Q4" s="40"/>
      <c r="R4" s="40"/>
    </row>
    <row r="5" spans="1:18" ht="21" customHeight="1" x14ac:dyDescent="0.15">
      <c r="A5" s="32" t="str">
        <f t="shared" si="0"/>
        <v>15029004_15029005</v>
      </c>
      <c r="B5" s="40">
        <v>15029004</v>
      </c>
      <c r="C5" s="40">
        <v>15029005</v>
      </c>
      <c r="D5" s="39" t="str">
        <f ca="1">VLOOKUP($C5,OFFSET(enemy_skills!$A$1,0,0,COUNTA(enemy_skills!$A:$A),MATCH(D$1,enemy_skills!$1:$1,0)-MATCH("enemy_skill_id",enemy_skills!$1:$1,0)+1),MATCH(D$1,enemy_skills!$1:$1,0)-MATCH("enemy_skill_id",enemy_skills!$1:$1,0)+1,FALSE)</f>
        <v>塗りつぶしツール</v>
      </c>
      <c r="E5" s="39" t="str">
        <f ca="1">VLOOKUP($C5,OFFSET(enemy_skills!$A$1,0,0,COUNTA(enemy_skills!$A:$A),MATCH(E$1,enemy_skills!$1:$1,0)-MATCH("enemy_skill_id",enemy_skills!$1:$1,0)+1),MATCH(E$1,enemy_skills!$1:$1,0)-MATCH("enemy_skill_id",enemy_skills!$1:$1,0)+1,FALSE)</f>
        <v>3ターンパネルの色がわからない</v>
      </c>
      <c r="F5" s="40">
        <v>15029005</v>
      </c>
      <c r="G5" s="41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1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1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5" s="41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1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1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1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1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1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5" s="40"/>
      <c r="Q5" s="40"/>
      <c r="R5" s="40"/>
    </row>
    <row r="6" spans="1:18" ht="21" customHeight="1" x14ac:dyDescent="0.15">
      <c r="A6" s="32" t="str">
        <f t="shared" si="0"/>
        <v>15029007_15029008</v>
      </c>
      <c r="B6" s="40">
        <v>15029007</v>
      </c>
      <c r="C6" s="40">
        <v>15029008</v>
      </c>
      <c r="D6" s="39" t="str">
        <f ca="1">VLOOKUP($C6,OFFSET(enemy_skills!$A$1,0,0,COUNTA(enemy_skills!$A:$A),MATCH(D$1,enemy_skills!$1:$1,0)-MATCH("enemy_skill_id",enemy_skills!$1:$1,0)+1),MATCH(D$1,enemy_skills!$1:$1,0)-MATCH("enemy_skill_id",enemy_skills!$1:$1,0)+1,FALSE)</f>
        <v>ワガママ攻撃</v>
      </c>
      <c r="E6" s="39" t="str">
        <f ca="1">VLOOKUP($C6,OFFSET(enemy_skills!$A$1,0,0,COUNTA(enemy_skills!$A:$A),MATCH(E$1,enemy_skills!$1:$1,0)-MATCH("enemy_skill_id",enemy_skills!$1:$1,0)+1),MATCH(E$1,enemy_skills!$1:$1,0)-MATCH("enemy_skill_id",enemy_skills!$1:$1,0)+1,FALSE)</f>
        <v>2ターン赤パネルが使えない</v>
      </c>
      <c r="F6" s="40">
        <v>15029008</v>
      </c>
      <c r="G6" s="41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1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1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1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1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1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1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" s="41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1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0"/>
      <c r="Q6" s="40"/>
      <c r="R6" s="40"/>
    </row>
    <row r="7" spans="1:18" ht="21" customHeight="1" x14ac:dyDescent="0.15">
      <c r="A7" s="32" t="str">
        <f t="shared" si="0"/>
        <v>15029007_15029009</v>
      </c>
      <c r="B7" s="40">
        <v>15029007</v>
      </c>
      <c r="C7" s="40">
        <v>15029009</v>
      </c>
      <c r="D7" s="39" t="str">
        <f ca="1">VLOOKUP($C7,OFFSET(enemy_skills!$A$1,0,0,COUNTA(enemy_skills!$A:$A),MATCH(D$1,enemy_skills!$1:$1,0)-MATCH("enemy_skill_id",enemy_skills!$1:$1,0)+1),MATCH(D$1,enemy_skills!$1:$1,0)-MATCH("enemy_skill_id",enemy_skills!$1:$1,0)+1,FALSE)</f>
        <v>反抗期</v>
      </c>
      <c r="E7" s="39" t="str">
        <f ca="1">VLOOKUP($C7,OFFSET(enemy_skills!$A$1,0,0,COUNTA(enemy_skills!$A:$A),MATCH(E$1,enemy_skills!$1:$1,0)-MATCH("enemy_skill_id",enemy_skills!$1:$1,0)+1),MATCH(E$1,enemy_skills!$1:$1,0)-MATCH("enemy_skill_id",enemy_skills!$1:$1,0)+1,FALSE)</f>
        <v>3ターンの間_x000D_攻撃を受けると全体攻撃をする</v>
      </c>
      <c r="F7" s="40">
        <v>15029009</v>
      </c>
      <c r="G7" s="41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1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1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1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1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1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1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1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1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0"/>
      <c r="Q7" s="40"/>
      <c r="R7" s="40"/>
    </row>
    <row r="8" spans="1:18" ht="21" customHeight="1" x14ac:dyDescent="0.15">
      <c r="A8" s="32" t="str">
        <f t="shared" si="0"/>
        <v>15029008_15029010</v>
      </c>
      <c r="B8" s="40">
        <v>15029008</v>
      </c>
      <c r="C8" s="40">
        <v>15029010</v>
      </c>
      <c r="D8" s="39" t="str">
        <f ca="1">VLOOKUP($C8,OFFSET(enemy_skills!$A$1,0,0,COUNTA(enemy_skills!$A:$A),MATCH(D$1,enemy_skills!$1:$1,0)-MATCH("enemy_skill_id",enemy_skills!$1:$1,0)+1),MATCH(D$1,enemy_skills!$1:$1,0)-MATCH("enemy_skill_id",enemy_skills!$1:$1,0)+1,FALSE)</f>
        <v>紅い星</v>
      </c>
      <c r="E8" s="39" t="str">
        <f ca="1">VLOOKUP($C8,OFFSET(enemy_skills!$A$1,0,0,COUNTA(enemy_skills!$A:$A),MATCH(E$1,enemy_skills!$1:$1,0)-MATCH("enemy_skill_id",enemy_skills!$1:$1,0)+1),MATCH(E$1,enemy_skills!$1:$1,0)-MATCH("enemy_skill_id",enemy_skills!$1:$1,0)+1,FALSE)</f>
        <v>3ターン赤パネルの出現率UP</v>
      </c>
      <c r="F8" s="40">
        <v>15029010</v>
      </c>
      <c r="G8" s="41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1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1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1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1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1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1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1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1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0"/>
      <c r="Q8" s="40"/>
      <c r="R8" s="40"/>
    </row>
    <row r="9" spans="1:18" ht="21" customHeight="1" x14ac:dyDescent="0.15">
      <c r="A9" s="32" t="str">
        <f t="shared" si="0"/>
        <v>15029008_15029011</v>
      </c>
      <c r="B9" s="40">
        <v>15029008</v>
      </c>
      <c r="C9" s="40">
        <v>15029011</v>
      </c>
      <c r="D9" s="39" t="str">
        <f ca="1">VLOOKUP($C9,OFFSET(enemy_skills!$A$1,0,0,COUNTA(enemy_skills!$A:$A),MATCH(D$1,enemy_skills!$1:$1,0)-MATCH("enemy_skill_id",enemy_skills!$1:$1,0)+1),MATCH(D$1,enemy_skills!$1:$1,0)-MATCH("enemy_skill_id",enemy_skills!$1:$1,0)+1,FALSE)</f>
        <v>積乱雲チャージ</v>
      </c>
      <c r="E9" s="39" t="str">
        <f ca="1">VLOOKUP($C9,OFFSET(enemy_skills!$A$1,0,0,COUNTA(enemy_skills!$A:$A),MATCH(E$1,enemy_skills!$1:$1,0)-MATCH("enemy_skill_id",enemy_skills!$1:$1,0)+1),MATCH(E$1,enemy_skills!$1:$1,0)-MATCH("enemy_skill_id",enemy_skills!$1:$1,0)+1,FALSE)</f>
        <v>次のターンに強力なパネル吸収攻撃</v>
      </c>
      <c r="F9" s="40">
        <v>15029011</v>
      </c>
      <c r="G9" s="41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1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9" s="41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1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9" s="41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1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1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1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1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0"/>
      <c r="Q9" s="40"/>
      <c r="R9" s="40"/>
    </row>
    <row r="10" spans="1:18" ht="21" customHeight="1" x14ac:dyDescent="0.15">
      <c r="A10" s="32" t="str">
        <f t="shared" si="0"/>
        <v>15029008_15029012</v>
      </c>
      <c r="B10" s="40">
        <v>15029008</v>
      </c>
      <c r="C10" s="40">
        <v>15029012</v>
      </c>
      <c r="D10" s="39" t="str">
        <f ca="1">VLOOKUP($C10,OFFSET(enemy_skills!$A$1,0,0,COUNTA(enemy_skills!$A:$A),MATCH(D$1,enemy_skills!$1:$1,0)-MATCH("enemy_skill_id",enemy_skills!$1:$1,0)+1),MATCH(D$1,enemy_skills!$1:$1,0)-MATCH("enemy_skill_id",enemy_skills!$1:$1,0)+1,FALSE)</f>
        <v>若龍の閃光</v>
      </c>
      <c r="E10" s="39" t="str">
        <f ca="1">VLOOKUP($C10,OFFSET(enemy_skills!$A$1,0,0,COUNTA(enemy_skills!$A:$A),MATCH(E$1,enemy_skills!$1:$1,0)-MATCH("enemy_skill_id",enemy_skills!$1:$1,0)+1),MATCH(E$1,enemy_skills!$1:$1,0)-MATCH("enemy_skill_id",enemy_skills!$1:$1,0)+1,FALSE)</f>
        <v>赤・青・緑パネルを全て吸収して全体に攻撃</v>
      </c>
      <c r="F10" s="40">
        <v>15029012</v>
      </c>
      <c r="G10" s="41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1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10" s="41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1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0" s="41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1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1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1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1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0"/>
      <c r="Q10" s="40"/>
      <c r="R10" s="40"/>
    </row>
    <row r="11" spans="1:18" ht="21" customHeight="1" x14ac:dyDescent="0.15">
      <c r="A11" s="32" t="str">
        <f t="shared" si="0"/>
        <v>15029010_15029014</v>
      </c>
      <c r="B11" s="40">
        <v>15029010</v>
      </c>
      <c r="C11" s="40">
        <v>15029014</v>
      </c>
      <c r="D11" s="39" t="str">
        <f ca="1">VLOOKUP($C11,OFFSET(enemy_skills!$A$1,0,0,COUNTA(enemy_skills!$A:$A),MATCH(D$1,enemy_skills!$1:$1,0)-MATCH("enemy_skill_id",enemy_skills!$1:$1,0)+1),MATCH(D$1,enemy_skills!$1:$1,0)-MATCH("enemy_skill_id",enemy_skills!$1:$1,0)+1,FALSE)</f>
        <v>封印の詠</v>
      </c>
      <c r="E11" s="39" t="str">
        <f ca="1">VLOOKUP($C11,OFFSET(enemy_skills!$A$1,0,0,COUNTA(enemy_skills!$A:$A),MATCH(E$1,enemy_skills!$1:$1,0)-MATCH("enemy_skill_id",enemy_skills!$1:$1,0)+1),MATCH(E$1,enemy_skills!$1:$1,0)-MATCH("enemy_skill_id",enemy_skills!$1:$1,0)+1,FALSE)</f>
        <v>3ターンハートパネルが無効</v>
      </c>
      <c r="F11" s="40">
        <v>15029014</v>
      </c>
      <c r="G11" s="41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1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1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1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1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1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1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" s="41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1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0"/>
      <c r="Q11" s="40"/>
      <c r="R11" s="40"/>
    </row>
    <row r="12" spans="1:18" ht="21" customHeight="1" x14ac:dyDescent="0.15">
      <c r="A12" s="32" t="str">
        <f t="shared" ref="A12:A22" si="1">B12&amp;"_"&amp;C12</f>
        <v>15029012_15029016</v>
      </c>
      <c r="B12" s="40">
        <v>15029012</v>
      </c>
      <c r="C12" s="40">
        <v>15029016</v>
      </c>
      <c r="D12" s="39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おほしさまのチカラ</v>
      </c>
      <c r="E12" s="39" t="str">
        <f ca="1">VLOOKUP($C12,OFFSET(enemy_skills!$A$1,0,0,COUNTA(enemy_skills!$A:$A),MATCH(E$1,enemy_skills!$1:$1,0)-MATCH("enemy_skill_id",enemy_skills!$1:$1,0)+1),MATCH(E$1,enemy_skills!$1:$1,0)-MATCH("enemy_skill_id",enemy_skills!$1:$1,0)+1,FALSE)</f>
        <v>回復</v>
      </c>
      <c r="F12" s="40">
        <v>15029016</v>
      </c>
      <c r="G12" s="41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1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1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12" s="41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1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1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1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1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1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12" s="40"/>
      <c r="Q12" s="40"/>
      <c r="R12" s="40"/>
    </row>
    <row r="13" spans="1:18" ht="21" customHeight="1" x14ac:dyDescent="0.15">
      <c r="A13" s="32" t="str">
        <f t="shared" si="1"/>
        <v>15029015_15029019</v>
      </c>
      <c r="B13" s="40">
        <v>15029015</v>
      </c>
      <c r="C13" s="40">
        <v>15029019</v>
      </c>
      <c r="D13" s="39" t="str">
        <f ca="1">VLOOKUP($C13,OFFSET(enemy_skills!$A$1,0,0,COUNTA(enemy_skills!$A:$A),MATCH(D$1,enemy_skills!$1:$1,0)-MATCH("enemy_skill_id",enemy_skills!$1:$1,0)+1),MATCH(D$1,enemy_skills!$1:$1,0)-MATCH("enemy_skill_id",enemy_skills!$1:$1,0)+1,FALSE)</f>
        <v>滅びの波動</v>
      </c>
      <c r="E13" s="39" t="str">
        <f ca="1">VLOOKUP($C13,OFFSET(enemy_skills!$A$1,0,0,COUNTA(enemy_skills!$A:$A),MATCH(E$1,enemy_skills!$1:$1,0)-MATCH("enemy_skill_id",enemy_skills!$1:$1,0)+1),MATCH(E$1,enemy_skills!$1:$1,0)-MATCH("enemy_skill_id",enemy_skills!$1:$1,0)+1,FALSE)</f>
        <v>3ターンハートパネルの出現率DOWN</v>
      </c>
      <c r="F13" s="40">
        <v>15029019</v>
      </c>
      <c r="G13" s="41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1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1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1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1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1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1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1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1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0"/>
      <c r="Q13" s="40"/>
      <c r="R13" s="40"/>
    </row>
    <row r="14" spans="1:18" ht="21" customHeight="1" x14ac:dyDescent="0.15">
      <c r="A14" s="32" t="str">
        <f t="shared" si="1"/>
        <v>15029015_15029020</v>
      </c>
      <c r="B14" s="40">
        <v>15029015</v>
      </c>
      <c r="C14" s="40">
        <v>15029020</v>
      </c>
      <c r="D14" s="39" t="str">
        <f ca="1">VLOOKUP($C14,OFFSET(enemy_skills!$A$1,0,0,COUNTA(enemy_skills!$A:$A),MATCH(D$1,enemy_skills!$1:$1,0)-MATCH("enemy_skill_id",enemy_skills!$1:$1,0)+1),MATCH(D$1,enemy_skills!$1:$1,0)-MATCH("enemy_skill_id",enemy_skills!$1:$1,0)+1,FALSE)</f>
        <v>忍び寄る厄</v>
      </c>
      <c r="E14" s="39" t="str">
        <f ca="1">VLOOKUP($C14,OFFSET(enemy_skills!$A$1,0,0,COUNTA(enemy_skills!$A:$A),MATCH(E$1,enemy_skills!$1:$1,0)-MATCH("enemy_skill_id",enemy_skills!$1:$1,0)+1),MATCH(E$1,enemy_skills!$1:$1,0)-MATCH("enemy_skill_id",enemy_skills!$1:$1,0)+1,FALSE)</f>
        <v>3ターン回復力DOWN</v>
      </c>
      <c r="F14" s="40">
        <v>15029020</v>
      </c>
      <c r="G14" s="41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1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1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1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14" s="41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1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1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1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1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0"/>
      <c r="Q14" s="40"/>
      <c r="R14" s="40"/>
    </row>
    <row r="15" spans="1:18" ht="21" customHeight="1" x14ac:dyDescent="0.15">
      <c r="A15" s="32" t="str">
        <f t="shared" si="1"/>
        <v>15029015_15029021</v>
      </c>
      <c r="B15" s="40">
        <v>15029015</v>
      </c>
      <c r="C15" s="40">
        <v>15029021</v>
      </c>
      <c r="D15" s="39" t="str">
        <f ca="1">VLOOKUP($C15,OFFSET(enemy_skills!$A$1,0,0,COUNTA(enemy_skills!$A:$A),MATCH(D$1,enemy_skills!$1:$1,0)-MATCH("enemy_skill_id",enemy_skills!$1:$1,0)+1),MATCH(D$1,enemy_skills!$1:$1,0)-MATCH("enemy_skill_id",enemy_skills!$1:$1,0)+1,FALSE)</f>
        <v>忍び寄る禍</v>
      </c>
      <c r="E15" s="39" t="str">
        <f ca="1">VLOOKUP($C15,OFFSET(enemy_skills!$A$1,0,0,COUNTA(enemy_skills!$A:$A),MATCH(E$1,enemy_skills!$1:$1,0)-MATCH("enemy_skill_id",enemy_skills!$1:$1,0)+1),MATCH(E$1,enemy_skills!$1:$1,0)-MATCH("enemy_skill_id",enemy_skills!$1:$1,0)+1,FALSE)</f>
        <v>3ターン攻撃力DOWN</v>
      </c>
      <c r="F15" s="40">
        <v>15029021</v>
      </c>
      <c r="G15" s="41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1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1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1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5" s="41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1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1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1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1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0"/>
      <c r="Q15" s="40"/>
      <c r="R15" s="40"/>
    </row>
    <row r="16" spans="1:18" ht="21" customHeight="1" x14ac:dyDescent="0.15">
      <c r="A16" s="32" t="str">
        <f t="shared" si="1"/>
        <v>15029016_15029022</v>
      </c>
      <c r="B16" s="40">
        <v>15029016</v>
      </c>
      <c r="C16" s="40">
        <v>15029022</v>
      </c>
      <c r="D16" s="39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スパムバースト</v>
      </c>
      <c r="E16" s="39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お邪魔パネルを2つ生成</v>
      </c>
      <c r="F16" s="40">
        <v>15029022</v>
      </c>
      <c r="G16" s="41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1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1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1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1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1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1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6" s="41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1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0"/>
      <c r="Q16" s="40"/>
      <c r="R16" s="40"/>
    </row>
    <row r="17" spans="1:18" ht="21" customHeight="1" x14ac:dyDescent="0.15">
      <c r="A17" s="32" t="str">
        <f t="shared" si="1"/>
        <v>15029018_15029024</v>
      </c>
      <c r="B17" s="40">
        <v>15029018</v>
      </c>
      <c r="C17" s="40">
        <v>15029024</v>
      </c>
      <c r="D17" s="39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ホトケノジヒ</v>
      </c>
      <c r="E17" s="39" t="str">
        <f ca="1">VLOOKUP($C17,OFFSET(enemy_skills!$A$1,0,0,COUNTA(enemy_skills!$A:$A),MATCH(E$1,enemy_skills!$1:$1,0)-MATCH("enemy_skill_id",enemy_skills!$1:$1,0)+1),MATCH(E$1,enemy_skills!$1:$1,0)-MATCH("enemy_skill_id",enemy_skills!$1:$1,0)+1,FALSE)</f>
        <v>全ユニットの状態異常を解除してくれた</v>
      </c>
      <c r="F17" s="40">
        <v>15029024</v>
      </c>
      <c r="G17" s="41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1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1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1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1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1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1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7" s="41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1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0"/>
      <c r="Q17" s="40"/>
      <c r="R17" s="40"/>
    </row>
    <row r="18" spans="1:18" ht="21" customHeight="1" x14ac:dyDescent="0.15">
      <c r="A18" s="32" t="str">
        <f t="shared" si="1"/>
        <v>15029018_15029025</v>
      </c>
      <c r="B18" s="40">
        <v>15029018</v>
      </c>
      <c r="C18" s="40">
        <v>15029025</v>
      </c>
      <c r="D18" s="39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ブツメツクラッシャー</v>
      </c>
      <c r="E18" s="39" t="str">
        <f ca="1">VLOOKUP($C18,OFFSET(enemy_skills!$A$1,0,0,COUNTA(enemy_skills!$A:$A),MATCH(E$1,enemy_skills!$1:$1,0)-MATCH("enemy_skill_id",enemy_skills!$1:$1,0)+1),MATCH(E$1,enemy_skills!$1:$1,0)-MATCH("enemy_skill_id",enemy_skills!$1:$1,0)+1,FALSE)</f>
        <v>突然弾け飛んだ！</v>
      </c>
      <c r="F18" s="40">
        <v>15029025</v>
      </c>
      <c r="G18" s="41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1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1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1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18" s="41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1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1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1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1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0"/>
      <c r="Q18" s="40"/>
      <c r="R18" s="40"/>
    </row>
    <row r="19" spans="1:18" ht="21" customHeight="1" x14ac:dyDescent="0.15">
      <c r="A19" s="32" t="str">
        <f t="shared" si="1"/>
        <v>15029019_15029026</v>
      </c>
      <c r="B19" s="40">
        <v>15029019</v>
      </c>
      <c r="C19" s="40">
        <v>15029026</v>
      </c>
      <c r="D19" s="39" t="str">
        <f ca="1">VLOOKUP($C19,OFFSET(enemy_skills!$A$1,0,0,COUNTA(enemy_skills!$A:$A),MATCH(D$1,enemy_skills!$1:$1,0)-MATCH("enemy_skill_id",enemy_skills!$1:$1,0)+1),MATCH(D$1,enemy_skills!$1:$1,0)-MATCH("enemy_skill_id",enemy_skills!$1:$1,0)+1,FALSE)</f>
        <v>封印の詠</v>
      </c>
      <c r="E19" s="39" t="str">
        <f ca="1">VLOOKUP($C19,OFFSET(enemy_skills!$A$1,0,0,COUNTA(enemy_skills!$A:$A),MATCH(E$1,enemy_skills!$1:$1,0)-MATCH("enemy_skill_id",enemy_skills!$1:$1,0)+1),MATCH(E$1,enemy_skills!$1:$1,0)-MATCH("enemy_skill_id",enemy_skills!$1:$1,0)+1,FALSE)</f>
        <v>3ターンハートパネルが無効</v>
      </c>
      <c r="F19" s="40">
        <v>15029026</v>
      </c>
      <c r="G19" s="41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1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41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1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1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1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1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9" s="41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1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0"/>
      <c r="Q19" s="40"/>
      <c r="R19" s="40"/>
    </row>
    <row r="20" spans="1:18" ht="21" customHeight="1" x14ac:dyDescent="0.15">
      <c r="A20" s="32" t="str">
        <f t="shared" si="1"/>
        <v>15029022_15029029</v>
      </c>
      <c r="B20" s="40">
        <v>15029022</v>
      </c>
      <c r="C20" s="40">
        <v>15029029</v>
      </c>
      <c r="D20" s="39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デジタルマジック</v>
      </c>
      <c r="E20" s="39" t="str">
        <f ca="1">VLOOKUP($C20,OFFSET(enemy_skills!$A$1,0,0,COUNTA(enemy_skills!$A:$A),MATCH(E$1,enemy_skills!$1:$1,0)-MATCH("enemy_skill_id",enemy_skills!$1:$1,0)+1),MATCH(E$1,enemy_skills!$1:$1,0)-MATCH("enemy_skill_id",enemy_skills!$1:$1,0)+1,FALSE)</f>
        <v>1ターン全体スキルバインド</v>
      </c>
      <c r="F20" s="40">
        <v>15029029</v>
      </c>
      <c r="G20" s="41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1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41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20" s="41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1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1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20" s="41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1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1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20" s="40"/>
      <c r="Q20" s="40"/>
      <c r="R20" s="40"/>
    </row>
    <row r="21" spans="1:18" ht="21" customHeight="1" x14ac:dyDescent="0.15">
      <c r="A21" s="32" t="str">
        <f t="shared" si="1"/>
        <v>15029023_15029030</v>
      </c>
      <c r="B21" s="40">
        <v>15029023</v>
      </c>
      <c r="C21" s="40">
        <v>15029030</v>
      </c>
      <c r="D21" s="39" t="str">
        <f ca="1">VLOOKUP($C21,OFFSET(enemy_skills!$A$1,0,0,COUNTA(enemy_skills!$A:$A),MATCH(D$1,enemy_skills!$1:$1,0)-MATCH("enemy_skill_id",enemy_skills!$1:$1,0)+1),MATCH(D$1,enemy_skills!$1:$1,0)-MATCH("enemy_skill_id",enemy_skills!$1:$1,0)+1,FALSE)</f>
        <v>全力突進</v>
      </c>
      <c r="E21" s="39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1" s="40">
        <v>15029030</v>
      </c>
      <c r="G21" s="41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1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1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21" s="41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1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1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1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1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1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21" s="40"/>
      <c r="Q21" s="40"/>
      <c r="R21" s="40"/>
    </row>
    <row r="22" spans="1:18" ht="21" customHeight="1" x14ac:dyDescent="0.15">
      <c r="A22" s="32" t="str">
        <f t="shared" si="1"/>
        <v>15029024_15029031</v>
      </c>
      <c r="B22" s="40">
        <v>15029024</v>
      </c>
      <c r="C22" s="40">
        <v>15029031</v>
      </c>
      <c r="D22" s="39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ボムストッパー</v>
      </c>
      <c r="E22" s="39" t="str">
        <f ca="1">VLOOKUP($C22,OFFSET(enemy_skills!$A$1,0,0,COUNTA(enemy_skills!$A:$A),MATCH(E$1,enemy_skills!$1:$1,0)-MATCH("enemy_skill_id",enemy_skills!$1:$1,0)+1),MATCH(E$1,enemy_skills!$1:$1,0)-MATCH("enemy_skill_id",enemy_skills!$1:$1,0)+1,FALSE)</f>
        <v>4ターンの間スキルでボムに変換できない！</v>
      </c>
      <c r="F22" s="40">
        <v>15029031</v>
      </c>
      <c r="G22" s="41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" s="41" t="str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2" s="41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1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1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1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1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1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1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0"/>
      <c r="Q22" s="40"/>
      <c r="R22" s="40"/>
    </row>
    <row r="23" spans="1:18" ht="21" customHeight="1" x14ac:dyDescent="0.15">
      <c r="A23" s="32" t="str">
        <f t="shared" ref="A23:A29" si="2">B23&amp;"_"&amp;C23</f>
        <v>15029024_15029037</v>
      </c>
      <c r="B23" s="40">
        <v>15029024</v>
      </c>
      <c r="C23" s="40">
        <v>15029037</v>
      </c>
      <c r="D23" s="39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ふわふわマカロン♪</v>
      </c>
      <c r="E23" s="39" t="str">
        <f ca="1">VLOOKUP($C23,OFFSET(enemy_skills!$A$1,0,0,COUNTA(enemy_skills!$A:$A),MATCH(E$1,enemy_skills!$1:$1,0)-MATCH("enemy_skill_id",enemy_skills!$1:$1,0)+1),MATCH(E$1,enemy_skills!$1:$1,0)-MATCH("enemy_skill_id",enemy_skills!$1:$1,0)+1,FALSE)</f>
        <v>回復</v>
      </c>
      <c r="F23" s="40">
        <v>15029036</v>
      </c>
      <c r="G23" s="41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1" t="str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" s="41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3" s="41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1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1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23" s="41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1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1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3" s="40"/>
      <c r="Q23" s="40"/>
      <c r="R23" s="40"/>
    </row>
    <row r="24" spans="1:18" ht="21" customHeight="1" x14ac:dyDescent="0.15">
      <c r="A24" s="32" t="str">
        <f t="shared" ref="A24:A25" si="3">B24&amp;"_"&amp;C24</f>
        <v>15029025_15029032</v>
      </c>
      <c r="B24" s="40">
        <v>15029025</v>
      </c>
      <c r="C24" s="40">
        <v>15029032</v>
      </c>
      <c r="D24" s="39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エクステンション</v>
      </c>
      <c r="E24" s="39" t="str">
        <f ca="1">VLOOKUP($C24,OFFSET(enemy_skills!$A$1,0,0,COUNTA(enemy_skills!$A:$A),MATCH(E$1,enemy_skills!$1:$1,0)-MATCH("enemy_skill_id",enemy_skills!$1:$1,0)+1),MATCH(E$1,enemy_skills!$1:$1,0)-MATCH("enemy_skill_id",enemy_skills!$1:$1,0)+1,FALSE)</f>
        <v>4ターンCパネル生成延長</v>
      </c>
      <c r="F24" s="40">
        <v>15029032</v>
      </c>
      <c r="G24" s="41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41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41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1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1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1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1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1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1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0"/>
      <c r="Q24" s="40"/>
      <c r="R24" s="40"/>
    </row>
    <row r="25" spans="1:18" ht="21" customHeight="1" x14ac:dyDescent="0.15">
      <c r="A25" s="32" t="str">
        <f t="shared" si="3"/>
        <v>15029025_15029036</v>
      </c>
      <c r="B25" s="40">
        <v>15029025</v>
      </c>
      <c r="C25" s="40">
        <v>15029036</v>
      </c>
      <c r="D25" s="39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ドーナツブーメラン</v>
      </c>
      <c r="E25" s="39" t="str">
        <f ca="1">VLOOKUP($C25,OFFSET(enemy_skills!$A$1,0,0,COUNTA(enemy_skills!$A:$A),MATCH(E$1,enemy_skills!$1:$1,0)-MATCH("enemy_skill_id",enemy_skills!$1:$1,0)+1),MATCH(E$1,enemy_skills!$1:$1,0)-MATCH("enemy_skill_id",enemy_skills!$1:$1,0)+1,FALSE)</f>
        <v>3連続攻撃</v>
      </c>
      <c r="F25" s="40">
        <v>15029037</v>
      </c>
      <c r="G25" s="41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1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41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5" s="41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1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1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1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1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1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5" s="40"/>
      <c r="Q25" s="40"/>
      <c r="R25" s="40"/>
    </row>
    <row r="26" spans="1:18" ht="21" customHeight="1" x14ac:dyDescent="0.15">
      <c r="A26" s="32" t="str">
        <f t="shared" si="2"/>
        <v>15029025_15029038</v>
      </c>
      <c r="B26" s="40">
        <v>15029025</v>
      </c>
      <c r="C26" s="40">
        <v>15029038</v>
      </c>
      <c r="D26" s="39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ロリポップクラッシュ</v>
      </c>
      <c r="E26" s="39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6" s="40">
        <v>15029037</v>
      </c>
      <c r="G26" s="41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1" t="str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6" s="41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6" s="41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1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1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1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1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1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6" s="40"/>
      <c r="Q26" s="40"/>
      <c r="R26" s="40"/>
    </row>
    <row r="27" spans="1:18" ht="21" customHeight="1" x14ac:dyDescent="0.15">
      <c r="A27" s="32" t="str">
        <f t="shared" si="2"/>
        <v>15029026_15029033</v>
      </c>
      <c r="B27" s="40">
        <v>15029026</v>
      </c>
      <c r="C27" s="40">
        <v>15029033</v>
      </c>
      <c r="D27" s="39" t="str">
        <f ca="1">VLOOKUP($C27,OFFSET(enemy_skills!$A$1,0,0,COUNTA(enemy_skills!$A:$A),MATCH(D$1,enemy_skills!$1:$1,0)-MATCH("enemy_skill_id",enemy_skills!$1:$1,0)+1),MATCH(D$1,enemy_skills!$1:$1,0)-MATCH("enemy_skill_id",enemy_skills!$1:$1,0)+1,FALSE)</f>
        <v>金遁の札EX</v>
      </c>
      <c r="E27" s="39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ハートパネルを黄色パネルに変換</v>
      </c>
      <c r="F27" s="40">
        <v>15029033</v>
      </c>
      <c r="G27" s="41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1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7" s="41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1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1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1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1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7" s="41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1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0"/>
      <c r="Q27" s="40"/>
      <c r="R27" s="40"/>
    </row>
    <row r="28" spans="1:18" ht="21" customHeight="1" x14ac:dyDescent="0.15">
      <c r="A28" s="32" t="str">
        <f t="shared" si="2"/>
        <v>15029027_15029034</v>
      </c>
      <c r="B28" s="40">
        <v>15029027</v>
      </c>
      <c r="C28" s="40">
        <v>15029034</v>
      </c>
      <c r="D28" s="39" t="str">
        <f ca="1">VLOOKUP($C28,OFFSET(enemy_skills!$A$1,0,0,COUNTA(enemy_skills!$A:$A),MATCH(D$1,enemy_skills!$1:$1,0)-MATCH("enemy_skill_id",enemy_skills!$1:$1,0)+1),MATCH(D$1,enemy_skills!$1:$1,0)-MATCH("enemy_skill_id",enemy_skills!$1:$1,0)+1,FALSE)</f>
        <v>×クロスステッチ×</v>
      </c>
      <c r="E28" s="39" t="str">
        <f ca="1">VLOOKUP($C28,OFFSET(enemy_skills!$A$1,0,0,COUNTA(enemy_skills!$A:$A),MATCH(E$1,enemy_skills!$1:$1,0)-MATCH("enemy_skill_id",enemy_skills!$1:$1,0)+1),MATCH(E$1,enemy_skills!$1:$1,0)-MATCH("enemy_skill_id",enemy_skills!$1:$1,0)+1,FALSE)</f>
        <v>2連続攻撃</v>
      </c>
      <c r="F28" s="40">
        <v>15029034</v>
      </c>
      <c r="G28" s="41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1" t="str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" s="41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28" s="41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1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1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1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1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1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28" s="40"/>
      <c r="Q28" s="40"/>
      <c r="R28" s="40"/>
    </row>
    <row r="29" spans="1:18" ht="21" customHeight="1" x14ac:dyDescent="0.15">
      <c r="A29" s="32" t="str">
        <f t="shared" si="2"/>
        <v>15029028_15029035</v>
      </c>
      <c r="B29" s="40">
        <v>15029028</v>
      </c>
      <c r="C29" s="40">
        <v>15029035</v>
      </c>
      <c r="D29" s="39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ハウリング</v>
      </c>
      <c r="E29" s="39" t="str">
        <f ca="1">VLOOKUP($C29,OFFSET(enemy_skills!$A$1,0,0,COUNTA(enemy_skills!$A:$A),MATCH(E$1,enemy_skills!$1:$1,0)-MATCH("enemy_skill_id",enemy_skills!$1:$1,0)+1),MATCH(E$1,enemy_skills!$1:$1,0)-MATCH("enemy_skill_id",enemy_skills!$1:$1,0)+1,FALSE)</f>
        <v>クリエ以外にダメージ！</v>
      </c>
      <c r="F29" s="40">
        <v>15029035</v>
      </c>
      <c r="G29" s="41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1" t="str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9" s="41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29" s="41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1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1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1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1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1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29" s="40"/>
      <c r="Q29" s="40"/>
      <c r="R29" s="40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9"/>
  <sheetViews>
    <sheetView showGridLines="0" zoomScale="125" zoomScaleNormal="125" zoomScalePageLayoutView="125" workbookViewId="0">
      <pane ySplit="1" topLeftCell="A2" activePane="bottomLeft" state="frozenSplit"/>
      <selection pane="bottomLeft" activeCell="B27" sqref="B27"/>
    </sheetView>
  </sheetViews>
  <sheetFormatPr baseColWidth="12" defaultColWidth="12.83203125" defaultRowHeight="21" customHeight="1" outlineLevelCol="1" x14ac:dyDescent="0.15"/>
  <cols>
    <col min="1" max="1" width="12.83203125" style="42"/>
    <col min="2" max="2" width="67.1640625" style="42" customWidth="1"/>
    <col min="3" max="4" width="12.83203125" style="42"/>
    <col min="5" max="5" width="23.6640625" style="188" bestFit="1" customWidth="1"/>
    <col min="6" max="6" width="44.1640625" style="42" bestFit="1" customWidth="1"/>
    <col min="7" max="7" width="52" style="42" hidden="1" customWidth="1" outlineLevel="1"/>
    <col min="8" max="8" width="18.33203125" style="42" hidden="1" customWidth="1" outlineLevel="1"/>
    <col min="9" max="11" width="18.6640625" style="42" hidden="1" customWidth="1" outlineLevel="1"/>
    <col min="12" max="12" width="23.6640625" style="42" customWidth="1" collapsed="1"/>
    <col min="13" max="18" width="23.6640625" style="42" hidden="1" customWidth="1" outlineLevel="1"/>
    <col min="19" max="19" width="23.6640625" style="42" customWidth="1" collapsed="1"/>
    <col min="20" max="24" width="23.6640625" style="42" hidden="1" customWidth="1" outlineLevel="1"/>
    <col min="25" max="25" width="23.6640625" style="42" customWidth="1" collapsed="1"/>
    <col min="26" max="27" width="12.83203125" style="42"/>
    <col min="28" max="28" width="44.5" style="42" customWidth="1"/>
    <col min="29" max="16384" width="12.83203125" style="42"/>
  </cols>
  <sheetData>
    <row r="1" spans="1:28" ht="21" customHeight="1" x14ac:dyDescent="0.15">
      <c r="A1" s="33" t="s">
        <v>78</v>
      </c>
      <c r="B1" s="33" t="s">
        <v>79</v>
      </c>
      <c r="C1" s="33" t="s">
        <v>80</v>
      </c>
      <c r="D1" s="183" t="s">
        <v>127</v>
      </c>
      <c r="E1" s="33" t="s">
        <v>81</v>
      </c>
      <c r="F1" s="185" t="s">
        <v>82</v>
      </c>
      <c r="G1" s="34" t="s">
        <v>133</v>
      </c>
      <c r="H1" s="34" t="s">
        <v>139</v>
      </c>
      <c r="I1" s="34" t="s">
        <v>141</v>
      </c>
      <c r="J1" s="34" t="s">
        <v>140</v>
      </c>
      <c r="K1" s="34" t="s">
        <v>142</v>
      </c>
      <c r="L1" s="34" t="s">
        <v>134</v>
      </c>
      <c r="M1" s="34" t="s">
        <v>132</v>
      </c>
      <c r="N1" s="34" t="s">
        <v>135</v>
      </c>
      <c r="O1" s="34" t="s">
        <v>143</v>
      </c>
      <c r="P1" s="34" t="s">
        <v>144</v>
      </c>
      <c r="Q1" s="34" t="s">
        <v>145</v>
      </c>
      <c r="R1" s="34" t="s">
        <v>146</v>
      </c>
      <c r="S1" s="34" t="s">
        <v>136</v>
      </c>
      <c r="T1" s="34" t="s">
        <v>137</v>
      </c>
      <c r="U1" s="34" t="s">
        <v>147</v>
      </c>
      <c r="V1" s="34" t="s">
        <v>148</v>
      </c>
      <c r="W1" s="34" t="s">
        <v>149</v>
      </c>
      <c r="X1" s="34" t="s">
        <v>150</v>
      </c>
      <c r="Y1" s="34" t="s">
        <v>138</v>
      </c>
      <c r="Z1" s="34" t="s">
        <v>75</v>
      </c>
      <c r="AA1" s="34" t="s">
        <v>76</v>
      </c>
      <c r="AB1" s="34" t="s">
        <v>77</v>
      </c>
    </row>
    <row r="2" spans="1:28" ht="21" customHeight="1" x14ac:dyDescent="0.15">
      <c r="A2" s="40">
        <v>15029002</v>
      </c>
      <c r="B2" s="40" t="s">
        <v>237</v>
      </c>
      <c r="C2" s="43">
        <v>3</v>
      </c>
      <c r="D2" s="184" t="s">
        <v>128</v>
      </c>
      <c r="E2" s="187" t="s">
        <v>231</v>
      </c>
      <c r="F2" s="186" t="s">
        <v>232</v>
      </c>
      <c r="G2" s="56" t="str">
        <f t="shared" ref="G2:G5" si="0">IFERROR(LEFT(B2,FIND("],",B2)),B2)</f>
        <v>[effect:rush, count:2, val:0.6]</v>
      </c>
      <c r="H2" s="56">
        <f t="shared" ref="H2:H5" si="1">FIND("effect:",G2)+7</f>
        <v>9</v>
      </c>
      <c r="I2" s="56">
        <f t="shared" ref="I2:I5" si="2">IFERROR(FIND(",",G2),LEN(G2))</f>
        <v>13</v>
      </c>
      <c r="J2" s="56" t="e">
        <f t="shared" ref="J2:J5" si="3">FIND("target:",G2)+7</f>
        <v>#VALUE!</v>
      </c>
      <c r="K2" s="56">
        <f t="shared" ref="K2:K5" si="4">FIND(",",G2,I2+1)</f>
        <v>22</v>
      </c>
      <c r="L2" s="56" t="str">
        <f>IFERROR(VLOOKUP(MID(G2,J2,K2-J2),[6]skilldef!$C:$D,2,FALSE),"-") &amp; " / " &amp; IFERROR(VLOOKUP(MID(G2,H2,I2-H2),[6]skilldef!$A:$B,2,FALSE),"-")</f>
        <v>- / 連続攻撃</v>
      </c>
      <c r="M2" s="56" t="str">
        <f t="shared" ref="M2:M5" si="5">IFERROR(RIGHT(B2,LEN(B2)-FIND("],",B2)-1),"none")</f>
        <v>none</v>
      </c>
      <c r="N2" s="41" t="str">
        <f>IFERROR(LEFT(M2,FIND("],",M2)+S12),M2)</f>
        <v>none</v>
      </c>
      <c r="O2" s="56" t="e">
        <f t="shared" ref="O2:O5" si="6">FIND("effect:",N2)+7</f>
        <v>#VALUE!</v>
      </c>
      <c r="P2" s="56">
        <f t="shared" ref="P2:P5" si="7">IFERROR(FIND(",",N2),LEN(N2))</f>
        <v>4</v>
      </c>
      <c r="Q2" s="56" t="e">
        <f t="shared" ref="Q2:Q5" si="8">FIND("target:",N2)+7</f>
        <v>#VALUE!</v>
      </c>
      <c r="R2" s="56" t="e">
        <f t="shared" ref="R2:R5" si="9">FIND(",",N2,P2+1)</f>
        <v>#VALUE!</v>
      </c>
      <c r="S2" s="56" t="str">
        <f>IFERROR(VLOOKUP(MID(N2,Q2,R2-Q2),[6]skilldef!$C:$D,2,FALSE),"-") &amp; " / " &amp; IFERROR(VLOOKUP(MID(N2,O2,P2-O2),[6]skilldef!$A:$B,2,FALSE),"-")</f>
        <v>- / -</v>
      </c>
      <c r="T2" s="41" t="str">
        <f t="shared" ref="T2:T5" si="10">IFERROR(RIGHT(M2,LEN(M2)-FIND("],",M2)-1),"none")</f>
        <v>none</v>
      </c>
      <c r="U2" s="56" t="e">
        <f t="shared" ref="U2:U5" si="11">FIND("effect:",T2)+7</f>
        <v>#VALUE!</v>
      </c>
      <c r="V2" s="56">
        <f t="shared" ref="V2:V5" si="12">IFERROR(FIND(",",T2),LEN(T2))</f>
        <v>4</v>
      </c>
      <c r="W2" s="56" t="e">
        <f t="shared" ref="W2:W5" si="13">FIND("target:",T2)+7</f>
        <v>#VALUE!</v>
      </c>
      <c r="X2" s="56" t="e">
        <f t="shared" ref="X2:X5" si="14">FIND(",",T2,V2+1)</f>
        <v>#VALUE!</v>
      </c>
      <c r="Y2" s="56" t="str">
        <f>IFERROR(VLOOKUP(MID(T2,W2,X2-W2),[6]skilldef!$C:$D,2,FALSE),"-") &amp; " / " &amp; IFERROR(VLOOKUP(MID(T2,U2,V2-U2),[6]skilldef!$A:$B,2,FALSE),"-")</f>
        <v>- / -</v>
      </c>
      <c r="Z2" s="43"/>
      <c r="AA2" s="45"/>
      <c r="AB2" s="43"/>
    </row>
    <row r="3" spans="1:28" ht="21" customHeight="1" x14ac:dyDescent="0.15">
      <c r="A3" s="40">
        <v>15029003</v>
      </c>
      <c r="B3" s="40" t="s">
        <v>213</v>
      </c>
      <c r="C3" s="43">
        <v>3</v>
      </c>
      <c r="D3" s="184" t="s">
        <v>128</v>
      </c>
      <c r="E3" s="187" t="s">
        <v>261</v>
      </c>
      <c r="F3" s="186" t="s">
        <v>214</v>
      </c>
      <c r="G3" s="56" t="str">
        <f t="shared" si="0"/>
        <v xml:space="preserve">[effect:remove_enhancement, target:unit_all, target_effect:all, target_type:debuff, count:-1, animation:frozen_wave]    </v>
      </c>
      <c r="H3" s="56">
        <f t="shared" si="1"/>
        <v>9</v>
      </c>
      <c r="I3" s="56">
        <f t="shared" si="2"/>
        <v>27</v>
      </c>
      <c r="J3" s="56">
        <f t="shared" si="3"/>
        <v>36</v>
      </c>
      <c r="K3" s="56">
        <f t="shared" si="4"/>
        <v>44</v>
      </c>
      <c r="L3" s="56" t="str">
        <f>IFERROR(VLOOKUP(MID(G3,J3,K3-J3),[6]skilldef!$C:$D,2,FALSE),"-") &amp; " / " &amp; IFERROR(VLOOKUP(MID(G3,H3,I3-H3),[6]skilldef!$A:$B,2,FALSE),"-")</f>
        <v>味方全体に / -</v>
      </c>
      <c r="M3" s="56" t="str">
        <f t="shared" si="5"/>
        <v>none</v>
      </c>
      <c r="N3" s="41" t="str">
        <f>IFERROR(LEFT(M3,FIND("],",M3)+#REF!),M3)</f>
        <v>none</v>
      </c>
      <c r="O3" s="56" t="e">
        <f t="shared" si="6"/>
        <v>#VALUE!</v>
      </c>
      <c r="P3" s="56">
        <f t="shared" si="7"/>
        <v>4</v>
      </c>
      <c r="Q3" s="56" t="e">
        <f t="shared" si="8"/>
        <v>#VALUE!</v>
      </c>
      <c r="R3" s="56" t="e">
        <f t="shared" si="9"/>
        <v>#VALUE!</v>
      </c>
      <c r="S3" s="56" t="str">
        <f>IFERROR(VLOOKUP(MID(N3,Q3,R3-Q3),[6]skilldef!$C:$D,2,FALSE),"-") &amp; " / " &amp; IFERROR(VLOOKUP(MID(N3,O3,P3-O3),[6]skilldef!$A:$B,2,FALSE),"-")</f>
        <v>- / -</v>
      </c>
      <c r="T3" s="41" t="str">
        <f t="shared" si="10"/>
        <v>none</v>
      </c>
      <c r="U3" s="56" t="e">
        <f t="shared" si="11"/>
        <v>#VALUE!</v>
      </c>
      <c r="V3" s="56">
        <f t="shared" si="12"/>
        <v>4</v>
      </c>
      <c r="W3" s="56" t="e">
        <f t="shared" si="13"/>
        <v>#VALUE!</v>
      </c>
      <c r="X3" s="56" t="e">
        <f t="shared" si="14"/>
        <v>#VALUE!</v>
      </c>
      <c r="Y3" s="56" t="str">
        <f>IFERROR(VLOOKUP(MID(T3,W3,X3-W3),[6]skilldef!$C:$D,2,FALSE),"-") &amp; " / " &amp; IFERROR(VLOOKUP(MID(T3,U3,V3-U3),[6]skilldef!$A:$B,2,FALSE),"-")</f>
        <v>- / -</v>
      </c>
      <c r="Z3" s="43"/>
      <c r="AA3" s="45"/>
      <c r="AB3" s="43"/>
    </row>
    <row r="4" spans="1:28" ht="21" customHeight="1" x14ac:dyDescent="0.15">
      <c r="A4" s="40">
        <v>15029004</v>
      </c>
      <c r="B4" s="40" t="s">
        <v>215</v>
      </c>
      <c r="C4" s="43">
        <v>3</v>
      </c>
      <c r="D4" s="184" t="s">
        <v>128</v>
      </c>
      <c r="E4" s="44" t="s">
        <v>262</v>
      </c>
      <c r="F4" s="186" t="s">
        <v>216</v>
      </c>
      <c r="G4" s="56" t="str">
        <f t="shared" ref="G4" si="15">IFERROR(LEFT(B4,FIND("],",B4)),B4)</f>
        <v>[effect:kamikaze, val:0.5]</v>
      </c>
      <c r="H4" s="56">
        <f t="shared" ref="H4" si="16">FIND("effect:",G4)+7</f>
        <v>9</v>
      </c>
      <c r="I4" s="56">
        <f t="shared" ref="I4" si="17">IFERROR(FIND(",",G4),LEN(G4))</f>
        <v>17</v>
      </c>
      <c r="J4" s="56" t="e">
        <f t="shared" ref="J4" si="18">FIND("target:",G4)+7</f>
        <v>#VALUE!</v>
      </c>
      <c r="K4" s="56" t="e">
        <f t="shared" ref="K4" si="19">FIND(",",G4,I4+1)</f>
        <v>#VALUE!</v>
      </c>
      <c r="L4" s="56" t="str">
        <f>IFERROR(VLOOKUP(MID(G4,J4,K4-J4),[6]skilldef!$C:$D,2,FALSE),"-") &amp; " / " &amp; IFERROR(VLOOKUP(MID(G4,H4,I4-H4),[6]skilldef!$A:$B,2,FALSE),"-")</f>
        <v>- / 自爆</v>
      </c>
      <c r="M4" s="56" t="str">
        <f t="shared" ref="M4" si="20">IFERROR(RIGHT(B4,LEN(B4)-FIND("],",B4)-1),"none")</f>
        <v>none</v>
      </c>
      <c r="N4" s="41" t="str">
        <f>IFERROR(LEFT(M4,FIND("],",M4)+#REF!),M4)</f>
        <v>none</v>
      </c>
      <c r="O4" s="56" t="e">
        <f t="shared" ref="O4" si="21">FIND("effect:",N4)+7</f>
        <v>#VALUE!</v>
      </c>
      <c r="P4" s="56">
        <f t="shared" ref="P4" si="22">IFERROR(FIND(",",N4),LEN(N4))</f>
        <v>4</v>
      </c>
      <c r="Q4" s="56" t="e">
        <f t="shared" ref="Q4" si="23">FIND("target:",N4)+7</f>
        <v>#VALUE!</v>
      </c>
      <c r="R4" s="56" t="e">
        <f t="shared" ref="R4" si="24">FIND(",",N4,P4+1)</f>
        <v>#VALUE!</v>
      </c>
      <c r="S4" s="56" t="str">
        <f>IFERROR(VLOOKUP(MID(N4,Q4,R4-Q4),[6]skilldef!$C:$D,2,FALSE),"-") &amp; " / " &amp; IFERROR(VLOOKUP(MID(N4,O4,P4-O4),[6]skilldef!$A:$B,2,FALSE),"-")</f>
        <v>- / -</v>
      </c>
      <c r="T4" s="41" t="str">
        <f t="shared" ref="T4" si="25">IFERROR(RIGHT(M4,LEN(M4)-FIND("],",M4)-1),"none")</f>
        <v>none</v>
      </c>
      <c r="U4" s="56" t="e">
        <f t="shared" ref="U4" si="26">FIND("effect:",T4)+7</f>
        <v>#VALUE!</v>
      </c>
      <c r="V4" s="56">
        <f t="shared" ref="V4" si="27">IFERROR(FIND(",",T4),LEN(T4))</f>
        <v>4</v>
      </c>
      <c r="W4" s="56" t="e">
        <f t="shared" ref="W4" si="28">FIND("target:",T4)+7</f>
        <v>#VALUE!</v>
      </c>
      <c r="X4" s="56" t="e">
        <f t="shared" ref="X4" si="29">FIND(",",T4,V4+1)</f>
        <v>#VALUE!</v>
      </c>
      <c r="Y4" s="56" t="str">
        <f>IFERROR(VLOOKUP(MID(T4,W4,X4-W4),[6]skilldef!$C:$D,2,FALSE),"-") &amp; " / " &amp; IFERROR(VLOOKUP(MID(T4,U4,V4-U4),[6]skilldef!$A:$B,2,FALSE),"-")</f>
        <v>- / -</v>
      </c>
      <c r="Z4" s="43"/>
      <c r="AA4" s="45"/>
      <c r="AB4" s="43"/>
    </row>
    <row r="5" spans="1:28" ht="21" customHeight="1" x14ac:dyDescent="0.15">
      <c r="A5" s="40">
        <v>15029005</v>
      </c>
      <c r="B5" s="40" t="s">
        <v>255</v>
      </c>
      <c r="C5" s="43">
        <v>3</v>
      </c>
      <c r="D5" s="184" t="s">
        <v>128</v>
      </c>
      <c r="E5" s="187" t="s">
        <v>234</v>
      </c>
      <c r="F5" s="186" t="s">
        <v>274</v>
      </c>
      <c r="G5" s="56" t="str">
        <f t="shared" si="0"/>
        <v>[effect:dark, turn:3,target:unit_all]</v>
      </c>
      <c r="H5" s="56">
        <f t="shared" si="1"/>
        <v>9</v>
      </c>
      <c r="I5" s="56">
        <f t="shared" si="2"/>
        <v>13</v>
      </c>
      <c r="J5" s="56">
        <f t="shared" si="3"/>
        <v>29</v>
      </c>
      <c r="K5" s="56">
        <f t="shared" si="4"/>
        <v>21</v>
      </c>
      <c r="L5" s="56" t="str">
        <f>IFERROR(VLOOKUP(MID(G5,J5,K5-J5),[6]skilldef!$C:$D,2,FALSE),"-") &amp; " / " &amp; IFERROR(VLOOKUP(MID(G5,H5,I5-H5),[6]skilldef!$A:$B,2,FALSE),"-")</f>
        <v>- / 暗黒</v>
      </c>
      <c r="M5" s="56" t="str">
        <f t="shared" si="5"/>
        <v>none</v>
      </c>
      <c r="N5" s="41" t="str">
        <f>IFERROR(LEFT(M5,FIND("],",M5)+#REF!),M5)</f>
        <v>none</v>
      </c>
      <c r="O5" s="56" t="e">
        <f t="shared" si="6"/>
        <v>#VALUE!</v>
      </c>
      <c r="P5" s="56">
        <f t="shared" si="7"/>
        <v>4</v>
      </c>
      <c r="Q5" s="56" t="e">
        <f t="shared" si="8"/>
        <v>#VALUE!</v>
      </c>
      <c r="R5" s="56" t="e">
        <f t="shared" si="9"/>
        <v>#VALUE!</v>
      </c>
      <c r="S5" s="56" t="str">
        <f>IFERROR(VLOOKUP(MID(N5,Q5,R5-Q5),[6]skilldef!$C:$D,2,FALSE),"-") &amp; " / " &amp; IFERROR(VLOOKUP(MID(N5,O5,P5-O5),[6]skilldef!$A:$B,2,FALSE),"-")</f>
        <v>- / -</v>
      </c>
      <c r="T5" s="41" t="str">
        <f t="shared" si="10"/>
        <v>none</v>
      </c>
      <c r="U5" s="56" t="e">
        <f t="shared" si="11"/>
        <v>#VALUE!</v>
      </c>
      <c r="V5" s="56">
        <f t="shared" si="12"/>
        <v>4</v>
      </c>
      <c r="W5" s="56" t="e">
        <f t="shared" si="13"/>
        <v>#VALUE!</v>
      </c>
      <c r="X5" s="56" t="e">
        <f t="shared" si="14"/>
        <v>#VALUE!</v>
      </c>
      <c r="Y5" s="56" t="str">
        <f>IFERROR(VLOOKUP(MID(T5,W5,X5-W5),[6]skilldef!$C:$D,2,FALSE),"-") &amp; " / " &amp; IFERROR(VLOOKUP(MID(T5,U5,V5-U5),[6]skilldef!$A:$B,2,FALSE),"-")</f>
        <v>- / -</v>
      </c>
      <c r="Z5" s="43"/>
      <c r="AA5" s="45"/>
      <c r="AB5" s="43"/>
    </row>
    <row r="6" spans="1:28" ht="21" customHeight="1" x14ac:dyDescent="0.15">
      <c r="A6" s="40">
        <v>15029008</v>
      </c>
      <c r="B6" s="40" t="s">
        <v>238</v>
      </c>
      <c r="C6" s="43">
        <v>3</v>
      </c>
      <c r="D6" s="184" t="s">
        <v>128</v>
      </c>
      <c r="E6" s="187" t="s">
        <v>236</v>
      </c>
      <c r="F6" s="186" t="s">
        <v>233</v>
      </c>
      <c r="G6" s="56" t="str">
        <f t="shared" ref="G6:G26" si="30">IFERROR(LEFT(B6,FIND("],",B6)),B6)</f>
        <v>[effect:dis_panel, target:block_red, turn:2, animation:enemy_dis_red]</v>
      </c>
      <c r="H6" s="56">
        <f t="shared" ref="H6:H26" si="31">FIND("effect:",G6)+7</f>
        <v>9</v>
      </c>
      <c r="I6" s="56">
        <f t="shared" ref="I6:I26" si="32">IFERROR(FIND(",",G6),LEN(G6))</f>
        <v>18</v>
      </c>
      <c r="J6" s="56">
        <f t="shared" ref="J6:J26" si="33">FIND("target:",G6)+7</f>
        <v>27</v>
      </c>
      <c r="K6" s="56">
        <f t="shared" ref="K6:K26" si="34">FIND(",",G6,I6+1)</f>
        <v>36</v>
      </c>
      <c r="L6" s="56" t="str">
        <f>IFERROR(VLOOKUP(MID(G6,J6,K6-J6),[6]skilldef!$C:$D,2,FALSE),"-") &amp; " / " &amp; IFERROR(VLOOKUP(MID(G6,H6,I6-H6),[6]skilldef!$A:$B,2,FALSE),"-")</f>
        <v>赤パネルを / ディスパネル</v>
      </c>
      <c r="M6" s="56" t="str">
        <f t="shared" ref="M6:M26" si="35">IFERROR(RIGHT(B6,LEN(B6)-FIND("],",B6)-1),"none")</f>
        <v>[effect:spread, val:0.26]</v>
      </c>
      <c r="N6" s="41" t="str">
        <f>IFERROR(LEFT(M6,FIND("],",M6)+#REF!),M6)</f>
        <v>[effect:spread, val:0.26]</v>
      </c>
      <c r="O6" s="56">
        <f t="shared" ref="O6:O26" si="36">FIND("effect:",N6)+7</f>
        <v>9</v>
      </c>
      <c r="P6" s="56">
        <f t="shared" ref="P6:P26" si="37">IFERROR(FIND(",",N6),LEN(N6))</f>
        <v>15</v>
      </c>
      <c r="Q6" s="56" t="e">
        <f t="shared" ref="Q6:Q26" si="38">FIND("target:",N6)+7</f>
        <v>#VALUE!</v>
      </c>
      <c r="R6" s="56" t="e">
        <f t="shared" ref="R6:R26" si="39">FIND(",",N6,P6+1)</f>
        <v>#VALUE!</v>
      </c>
      <c r="S6" s="56" t="str">
        <f>IFERROR(VLOOKUP(MID(N6,Q6,R6-Q6),[6]skilldef!$C:$D,2,FALSE),"-") &amp; " / " &amp; IFERROR(VLOOKUP(MID(N6,O6,P6-O6),[6]skilldef!$A:$B,2,FALSE),"-")</f>
        <v>- / 全体攻撃</v>
      </c>
      <c r="T6" s="41" t="str">
        <f t="shared" ref="T6:T26" si="40">IFERROR(RIGHT(M6,LEN(M6)-FIND("],",M6)-1),"none")</f>
        <v>none</v>
      </c>
      <c r="U6" s="56" t="e">
        <f t="shared" ref="U6:U26" si="41">FIND("effect:",T6)+7</f>
        <v>#VALUE!</v>
      </c>
      <c r="V6" s="56">
        <f t="shared" ref="V6:V26" si="42">IFERROR(FIND(",",T6),LEN(T6))</f>
        <v>4</v>
      </c>
      <c r="W6" s="56" t="e">
        <f t="shared" ref="W6:W26" si="43">FIND("target:",T6)+7</f>
        <v>#VALUE!</v>
      </c>
      <c r="X6" s="56" t="e">
        <f t="shared" ref="X6:X26" si="44">FIND(",",T6,V6+1)</f>
        <v>#VALUE!</v>
      </c>
      <c r="Y6" s="56" t="str">
        <f>IFERROR(VLOOKUP(MID(T6,W6,X6-W6),[6]skilldef!$C:$D,2,FALSE),"-") &amp; " / " &amp; IFERROR(VLOOKUP(MID(T6,U6,V6-U6),[6]skilldef!$A:$B,2,FALSE),"-")</f>
        <v>- / -</v>
      </c>
      <c r="Z6" s="43"/>
      <c r="AA6" s="45"/>
      <c r="AB6" s="43"/>
    </row>
    <row r="7" spans="1:28" ht="21" customHeight="1" x14ac:dyDescent="0.15">
      <c r="A7" s="40">
        <v>15029009</v>
      </c>
      <c r="B7" s="40" t="s">
        <v>271</v>
      </c>
      <c r="C7" s="43">
        <v>3</v>
      </c>
      <c r="D7" s="184" t="s">
        <v>128</v>
      </c>
      <c r="E7" s="187" t="s">
        <v>235</v>
      </c>
      <c r="F7" s="225" t="s">
        <v>321</v>
      </c>
      <c r="G7" s="56" t="str">
        <f t="shared" ref="G7:G8" si="45">IFERROR(LEFT(B7,FIND("],",B7)),B7)</f>
        <v>[effect:enemy_counter, target:myself, invoke_condition:unit_all, counter_target:unit_all, turn:3, val:0.2, animation:enemy_counter]</v>
      </c>
      <c r="H7" s="56">
        <f t="shared" ref="H7:H8" si="46">FIND("effect:",G7)+7</f>
        <v>9</v>
      </c>
      <c r="I7" s="56">
        <f t="shared" ref="I7:I8" si="47">IFERROR(FIND(",",G7),LEN(G7))</f>
        <v>22</v>
      </c>
      <c r="J7" s="56">
        <f t="shared" ref="J7:J8" si="48">FIND("target:",G7)+7</f>
        <v>31</v>
      </c>
      <c r="K7" s="56">
        <f t="shared" ref="K7:K8" si="49">FIND(",",G7,I7+1)</f>
        <v>37</v>
      </c>
      <c r="L7" s="56" t="str">
        <f>IFERROR(VLOOKUP(MID(G7,J7,K7-J7),[6]skilldef!$C:$D,2,FALSE),"-") &amp; " / " &amp; IFERROR(VLOOKUP(MID(G7,H7,I7-H7),[6]skilldef!$A:$B,2,FALSE),"-")</f>
        <v>自分自身に / カウンター</v>
      </c>
      <c r="M7" s="56" t="str">
        <f t="shared" ref="M7:M8" si="50">IFERROR(RIGHT(B7,LEN(B7)-FIND("],",B7)-1),"none")</f>
        <v>none</v>
      </c>
      <c r="N7" s="41" t="str">
        <f>IFERROR(LEFT(M7,FIND("],",M7)+S17),M7)</f>
        <v>none</v>
      </c>
      <c r="O7" s="56" t="e">
        <f t="shared" ref="O7:O8" si="51">FIND("effect:",N7)+7</f>
        <v>#VALUE!</v>
      </c>
      <c r="P7" s="56">
        <f t="shared" ref="P7:P8" si="52">IFERROR(FIND(",",N7),LEN(N7))</f>
        <v>4</v>
      </c>
      <c r="Q7" s="56" t="e">
        <f t="shared" ref="Q7:Q8" si="53">FIND("target:",N7)+7</f>
        <v>#VALUE!</v>
      </c>
      <c r="R7" s="56" t="e">
        <f t="shared" ref="R7:R8" si="54">FIND(",",N7,P7+1)</f>
        <v>#VALUE!</v>
      </c>
      <c r="S7" s="56" t="str">
        <f>IFERROR(VLOOKUP(MID(N7,Q7,R7-Q7),[6]skilldef!$C:$D,2,FALSE),"-") &amp; " / " &amp; IFERROR(VLOOKUP(MID(N7,O7,P7-O7),[6]skilldef!$A:$B,2,FALSE),"-")</f>
        <v>- / -</v>
      </c>
      <c r="T7" s="41" t="str">
        <f t="shared" ref="T7:T8" si="55">IFERROR(RIGHT(M7,LEN(M7)-FIND("],",M7)-1),"none")</f>
        <v>none</v>
      </c>
      <c r="U7" s="56" t="e">
        <f t="shared" ref="U7:U8" si="56">FIND("effect:",T7)+7</f>
        <v>#VALUE!</v>
      </c>
      <c r="V7" s="56">
        <f t="shared" ref="V7:V8" si="57">IFERROR(FIND(",",T7),LEN(T7))</f>
        <v>4</v>
      </c>
      <c r="W7" s="56" t="e">
        <f t="shared" ref="W7:W8" si="58">FIND("target:",T7)+7</f>
        <v>#VALUE!</v>
      </c>
      <c r="X7" s="56" t="e">
        <f t="shared" ref="X7:X8" si="59">FIND(",",T7,V7+1)</f>
        <v>#VALUE!</v>
      </c>
      <c r="Y7" s="56" t="str">
        <f>IFERROR(VLOOKUP(MID(T7,W7,X7-W7),[6]skilldef!$C:$D,2,FALSE),"-") &amp; " / " &amp; IFERROR(VLOOKUP(MID(T7,U7,V7-U7),[6]skilldef!$A:$B,2,FALSE),"-")</f>
        <v>- / -</v>
      </c>
      <c r="Z7" s="43"/>
      <c r="AA7" s="45"/>
      <c r="AB7" s="43"/>
    </row>
    <row r="8" spans="1:28" ht="21" customHeight="1" x14ac:dyDescent="0.15">
      <c r="A8" s="40">
        <v>15029010</v>
      </c>
      <c r="B8" s="189" t="s">
        <v>239</v>
      </c>
      <c r="C8" s="43">
        <v>3</v>
      </c>
      <c r="D8" s="184" t="s">
        <v>128</v>
      </c>
      <c r="E8" s="187" t="s">
        <v>272</v>
      </c>
      <c r="F8" s="186" t="s">
        <v>275</v>
      </c>
      <c r="G8" s="56" t="str">
        <f t="shared" si="45"/>
        <v>[effect:change_panel_ratio, turn:3, block_type:red, val:0.4, animation:block_incidence04]</v>
      </c>
      <c r="H8" s="56">
        <f t="shared" si="46"/>
        <v>9</v>
      </c>
      <c r="I8" s="56">
        <f t="shared" si="47"/>
        <v>27</v>
      </c>
      <c r="J8" s="56" t="e">
        <f t="shared" si="48"/>
        <v>#VALUE!</v>
      </c>
      <c r="K8" s="56">
        <f t="shared" si="49"/>
        <v>35</v>
      </c>
      <c r="L8" s="56" t="str">
        <f>IFERROR(VLOOKUP(MID(G8,J8,K8-J8),[6]skilldef!$C:$D,2,FALSE),"-") &amp; " / " &amp; IFERROR(VLOOKUP(MID(G8,H8,I8-H8),[6]skilldef!$A:$B,2,FALSE),"-")</f>
        <v>- / -</v>
      </c>
      <c r="M8" s="56" t="str">
        <f t="shared" si="50"/>
        <v>none</v>
      </c>
      <c r="N8" s="41" t="str">
        <f>IFERROR(LEFT(M8,FIND("],",M8)+#REF!),M8)</f>
        <v>none</v>
      </c>
      <c r="O8" s="56" t="e">
        <f t="shared" si="51"/>
        <v>#VALUE!</v>
      </c>
      <c r="P8" s="56">
        <f t="shared" si="52"/>
        <v>4</v>
      </c>
      <c r="Q8" s="56" t="e">
        <f t="shared" si="53"/>
        <v>#VALUE!</v>
      </c>
      <c r="R8" s="56" t="e">
        <f t="shared" si="54"/>
        <v>#VALUE!</v>
      </c>
      <c r="S8" s="56" t="str">
        <f>IFERROR(VLOOKUP(MID(N8,Q8,R8-Q8),[6]skilldef!$C:$D,2,FALSE),"-") &amp; " / " &amp; IFERROR(VLOOKUP(MID(N8,O8,P8-O8),[6]skilldef!$A:$B,2,FALSE),"-")</f>
        <v>- / -</v>
      </c>
      <c r="T8" s="41" t="str">
        <f t="shared" si="55"/>
        <v>none</v>
      </c>
      <c r="U8" s="56" t="e">
        <f t="shared" si="56"/>
        <v>#VALUE!</v>
      </c>
      <c r="V8" s="56">
        <f t="shared" si="57"/>
        <v>4</v>
      </c>
      <c r="W8" s="56" t="e">
        <f t="shared" si="58"/>
        <v>#VALUE!</v>
      </c>
      <c r="X8" s="56" t="e">
        <f t="shared" si="59"/>
        <v>#VALUE!</v>
      </c>
      <c r="Y8" s="56" t="str">
        <f>IFERROR(VLOOKUP(MID(T8,W8,X8-W8),[6]skilldef!$C:$D,2,FALSE),"-") &amp; " / " &amp; IFERROR(VLOOKUP(MID(T8,U8,V8-U8),[6]skilldef!$A:$B,2,FALSE),"-")</f>
        <v>- / -</v>
      </c>
      <c r="Z8" s="43"/>
      <c r="AA8" s="45"/>
      <c r="AB8" s="43"/>
    </row>
    <row r="9" spans="1:28" ht="21" customHeight="1" x14ac:dyDescent="0.15">
      <c r="A9" s="40">
        <v>15029011</v>
      </c>
      <c r="B9" s="40" t="s">
        <v>263</v>
      </c>
      <c r="C9" s="43">
        <v>3</v>
      </c>
      <c r="D9" s="184" t="s">
        <v>128</v>
      </c>
      <c r="E9" s="187" t="s">
        <v>252</v>
      </c>
      <c r="F9" s="186" t="s">
        <v>319</v>
      </c>
      <c r="G9" s="56" t="str">
        <f t="shared" si="30"/>
        <v xml:space="preserve">[effect:fix_speed, target:myself, turn:1]    </v>
      </c>
      <c r="H9" s="56">
        <f t="shared" si="31"/>
        <v>9</v>
      </c>
      <c r="I9" s="56">
        <f t="shared" si="32"/>
        <v>18</v>
      </c>
      <c r="J9" s="56">
        <f t="shared" si="33"/>
        <v>27</v>
      </c>
      <c r="K9" s="56">
        <f t="shared" si="34"/>
        <v>33</v>
      </c>
      <c r="L9" s="56" t="str">
        <f>IFERROR(VLOOKUP(MID(G9,J9,K9-J9),[6]skilldef!$C:$D,2,FALSE),"-") &amp; " / " &amp; IFERROR(VLOOKUP(MID(G9,H9,I9-H9),[6]skilldef!$A:$B,2,FALSE),"-")</f>
        <v>自分自身に / 行動値設定</v>
      </c>
      <c r="M9" s="56" t="str">
        <f t="shared" si="35"/>
        <v>none</v>
      </c>
      <c r="N9" s="41" t="str">
        <f>IFERROR(LEFT(M9,FIND("],",M9)+S17),M9)</f>
        <v>none</v>
      </c>
      <c r="O9" s="56" t="e">
        <f t="shared" si="36"/>
        <v>#VALUE!</v>
      </c>
      <c r="P9" s="56">
        <f t="shared" si="37"/>
        <v>4</v>
      </c>
      <c r="Q9" s="56" t="e">
        <f t="shared" si="38"/>
        <v>#VALUE!</v>
      </c>
      <c r="R9" s="56" t="e">
        <f t="shared" si="39"/>
        <v>#VALUE!</v>
      </c>
      <c r="S9" s="56" t="str">
        <f>IFERROR(VLOOKUP(MID(N9,Q9,R9-Q9),[6]skilldef!$C:$D,2,FALSE),"-") &amp; " / " &amp; IFERROR(VLOOKUP(MID(N9,O9,P9-O9),[6]skilldef!$A:$B,2,FALSE),"-")</f>
        <v>- / -</v>
      </c>
      <c r="T9" s="41" t="str">
        <f t="shared" si="40"/>
        <v>none</v>
      </c>
      <c r="U9" s="56" t="e">
        <f t="shared" si="41"/>
        <v>#VALUE!</v>
      </c>
      <c r="V9" s="56">
        <f t="shared" si="42"/>
        <v>4</v>
      </c>
      <c r="W9" s="56" t="e">
        <f t="shared" si="43"/>
        <v>#VALUE!</v>
      </c>
      <c r="X9" s="56" t="e">
        <f t="shared" si="44"/>
        <v>#VALUE!</v>
      </c>
      <c r="Y9" s="56" t="str">
        <f>IFERROR(VLOOKUP(MID(T9,W9,X9-W9),[6]skilldef!$C:$D,2,FALSE),"-") &amp; " / " &amp; IFERROR(VLOOKUP(MID(T9,U9,V9-U9),[6]skilldef!$A:$B,2,FALSE),"-")</f>
        <v>- / -</v>
      </c>
      <c r="Z9" s="43"/>
      <c r="AA9" s="45"/>
      <c r="AB9" s="43"/>
    </row>
    <row r="10" spans="1:28" ht="21" customHeight="1" x14ac:dyDescent="0.15">
      <c r="A10" s="40">
        <v>15029012</v>
      </c>
      <c r="B10" s="40" t="s">
        <v>322</v>
      </c>
      <c r="C10" s="43">
        <v>3</v>
      </c>
      <c r="D10" s="184" t="s">
        <v>128</v>
      </c>
      <c r="E10" s="187" t="s">
        <v>254</v>
      </c>
      <c r="F10" s="186" t="s">
        <v>323</v>
      </c>
      <c r="G10" s="56" t="str">
        <f t="shared" ref="G10" si="60">IFERROR(LEFT(B10,FIND("],",B10)),B10)</f>
        <v>[effect:break_attack_fix, val:100, lowest_val:0, count:-1, block01:block_blue, block02:block_red, block03:block_green, target:unit_all]</v>
      </c>
      <c r="H10" s="56">
        <f t="shared" ref="H10" si="61">FIND("effect:",G10)+7</f>
        <v>9</v>
      </c>
      <c r="I10" s="56">
        <f t="shared" ref="I10" si="62">IFERROR(FIND(",",G10),LEN(G10))</f>
        <v>25</v>
      </c>
      <c r="J10" s="56">
        <f t="shared" ref="J10" si="63">FIND("target:",G10)+7</f>
        <v>127</v>
      </c>
      <c r="K10" s="56">
        <f t="shared" ref="K10" si="64">FIND(",",G10,I10+1)</f>
        <v>34</v>
      </c>
      <c r="L10" s="56" t="str">
        <f>IFERROR(VLOOKUP(MID(G10,J10,K10-J10),[6]skilldef!$C:$D,2,FALSE),"-") &amp; " / " &amp; IFERROR(VLOOKUP(MID(G10,H10,I10-H10),[6]skilldef!$A:$B,2,FALSE),"-")</f>
        <v>- / -</v>
      </c>
      <c r="M10" s="56" t="str">
        <f t="shared" ref="M10" si="65">IFERROR(RIGHT(B10,LEN(B10)-FIND("],",B10)-1),"none")</f>
        <v xml:space="preserve">[effect:fix_speed, target:myself, turn:2] </v>
      </c>
      <c r="N10" s="41" t="str">
        <f>IFERROR(LEFT(M10,FIND("],",M10)+S19),M10)</f>
        <v xml:space="preserve">[effect:fix_speed, target:myself, turn:2] </v>
      </c>
      <c r="O10" s="56">
        <f t="shared" ref="O10" si="66">FIND("effect:",N10)+7</f>
        <v>9</v>
      </c>
      <c r="P10" s="56">
        <f t="shared" ref="P10" si="67">IFERROR(FIND(",",N10),LEN(N10))</f>
        <v>18</v>
      </c>
      <c r="Q10" s="56">
        <f t="shared" ref="Q10" si="68">FIND("target:",N10)+7</f>
        <v>27</v>
      </c>
      <c r="R10" s="56">
        <f t="shared" ref="R10" si="69">FIND(",",N10,P10+1)</f>
        <v>33</v>
      </c>
      <c r="S10" s="56" t="str">
        <f>IFERROR(VLOOKUP(MID(N10,Q10,R10-Q10),[6]skilldef!$C:$D,2,FALSE),"-") &amp; " / " &amp; IFERROR(VLOOKUP(MID(N10,O10,P10-O10),[6]skilldef!$A:$B,2,FALSE),"-")</f>
        <v>自分自身に / 行動値設定</v>
      </c>
      <c r="T10" s="41" t="str">
        <f t="shared" ref="T10" si="70">IFERROR(RIGHT(M10,LEN(M10)-FIND("],",M10)-1),"none")</f>
        <v>none</v>
      </c>
      <c r="U10" s="56" t="e">
        <f t="shared" ref="U10" si="71">FIND("effect:",T10)+7</f>
        <v>#VALUE!</v>
      </c>
      <c r="V10" s="56">
        <f t="shared" ref="V10" si="72">IFERROR(FIND(",",T10),LEN(T10))</f>
        <v>4</v>
      </c>
      <c r="W10" s="56" t="e">
        <f t="shared" ref="W10" si="73">FIND("target:",T10)+7</f>
        <v>#VALUE!</v>
      </c>
      <c r="X10" s="56" t="e">
        <f t="shared" ref="X10" si="74">FIND(",",T10,V10+1)</f>
        <v>#VALUE!</v>
      </c>
      <c r="Y10" s="56" t="str">
        <f>IFERROR(VLOOKUP(MID(T10,W10,X10-W10),[6]skilldef!$C:$D,2,FALSE),"-") &amp; " / " &amp; IFERROR(VLOOKUP(MID(T10,U10,V10-U10),[6]skilldef!$A:$B,2,FALSE),"-")</f>
        <v>- / -</v>
      </c>
      <c r="Z10" s="43"/>
      <c r="AA10" s="45"/>
      <c r="AB10" s="43"/>
    </row>
    <row r="11" spans="1:28" ht="21" customHeight="1" x14ac:dyDescent="0.15">
      <c r="A11" s="40">
        <v>15029014</v>
      </c>
      <c r="B11" s="40" t="s">
        <v>264</v>
      </c>
      <c r="C11" s="43">
        <v>3</v>
      </c>
      <c r="D11" s="184" t="s">
        <v>128</v>
      </c>
      <c r="E11" s="187" t="s">
        <v>269</v>
      </c>
      <c r="F11" s="186" t="s">
        <v>276</v>
      </c>
      <c r="G11" s="56" t="str">
        <f t="shared" si="30"/>
        <v>[effect:dis_heart, turn:3, animation:enemy_dis_heart]</v>
      </c>
      <c r="H11" s="56">
        <f t="shared" si="31"/>
        <v>9</v>
      </c>
      <c r="I11" s="56">
        <f t="shared" si="32"/>
        <v>18</v>
      </c>
      <c r="J11" s="56" t="e">
        <f t="shared" si="33"/>
        <v>#VALUE!</v>
      </c>
      <c r="K11" s="56">
        <f t="shared" si="34"/>
        <v>26</v>
      </c>
      <c r="L11" s="56" t="str">
        <f>IFERROR(VLOOKUP(MID(G11,J11,K11-J11),[6]skilldef!$C:$D,2,FALSE),"-") &amp; " / " &amp; IFERROR(VLOOKUP(MID(G11,H11,I11-H11),[6]skilldef!$A:$B,2,FALSE),"-")</f>
        <v>- / ディスハート</v>
      </c>
      <c r="M11" s="56" t="str">
        <f t="shared" si="35"/>
        <v>none</v>
      </c>
      <c r="N11" s="41" t="str">
        <f>IFERROR(LEFT(M11,FIND("],",M11)+#REF!),M11)</f>
        <v>none</v>
      </c>
      <c r="O11" s="56" t="e">
        <f t="shared" si="36"/>
        <v>#VALUE!</v>
      </c>
      <c r="P11" s="56">
        <f t="shared" si="37"/>
        <v>4</v>
      </c>
      <c r="Q11" s="56" t="e">
        <f t="shared" si="38"/>
        <v>#VALUE!</v>
      </c>
      <c r="R11" s="56" t="e">
        <f t="shared" si="39"/>
        <v>#VALUE!</v>
      </c>
      <c r="S11" s="56" t="str">
        <f>IFERROR(VLOOKUP(MID(N11,Q11,R11-Q11),[6]skilldef!$C:$D,2,FALSE),"-") &amp; " / " &amp; IFERROR(VLOOKUP(MID(N11,O11,P11-O11),[6]skilldef!$A:$B,2,FALSE),"-")</f>
        <v>- / -</v>
      </c>
      <c r="T11" s="41" t="str">
        <f t="shared" si="40"/>
        <v>none</v>
      </c>
      <c r="U11" s="56" t="e">
        <f t="shared" si="41"/>
        <v>#VALUE!</v>
      </c>
      <c r="V11" s="56">
        <f t="shared" si="42"/>
        <v>4</v>
      </c>
      <c r="W11" s="56" t="e">
        <f t="shared" si="43"/>
        <v>#VALUE!</v>
      </c>
      <c r="X11" s="56" t="e">
        <f t="shared" si="44"/>
        <v>#VALUE!</v>
      </c>
      <c r="Y11" s="56" t="str">
        <f>IFERROR(VLOOKUP(MID(T11,W11,X11-W11),[6]skilldef!$C:$D,2,FALSE),"-") &amp; " / " &amp; IFERROR(VLOOKUP(MID(T11,U11,V11-U11),[6]skilldef!$A:$B,2,FALSE),"-")</f>
        <v>- / -</v>
      </c>
      <c r="Z11" s="43"/>
      <c r="AA11" s="45"/>
      <c r="AB11" s="43"/>
    </row>
    <row r="12" spans="1:28" ht="21" customHeight="1" x14ac:dyDescent="0.15">
      <c r="A12" s="40">
        <v>15029016</v>
      </c>
      <c r="B12" s="40" t="s">
        <v>220</v>
      </c>
      <c r="C12" s="43">
        <v>3</v>
      </c>
      <c r="D12" s="184" t="s">
        <v>128</v>
      </c>
      <c r="E12" s="187" t="s">
        <v>253</v>
      </c>
      <c r="F12" s="186" t="s">
        <v>83</v>
      </c>
      <c r="G12" s="56" t="str">
        <f t="shared" si="30"/>
        <v>[effect:heal, target:enemy_one, val:0.1, animation:enemy_heal]</v>
      </c>
      <c r="H12" s="56">
        <f t="shared" si="31"/>
        <v>9</v>
      </c>
      <c r="I12" s="56">
        <f t="shared" si="32"/>
        <v>13</v>
      </c>
      <c r="J12" s="56">
        <f t="shared" si="33"/>
        <v>22</v>
      </c>
      <c r="K12" s="56">
        <f t="shared" si="34"/>
        <v>31</v>
      </c>
      <c r="L12" s="56" t="str">
        <f>IFERROR(VLOOKUP(MID(G12,J12,K12-J12),[6]skilldef!$C:$D,2,FALSE),"-") &amp; " / " &amp; IFERROR(VLOOKUP(MID(G12,H12,I12-H12),[6]skilldef!$A:$B,2,FALSE),"-")</f>
        <v>敵単体に / 回復</v>
      </c>
      <c r="M12" s="56" t="str">
        <f t="shared" si="35"/>
        <v>none</v>
      </c>
      <c r="N12" s="41" t="str">
        <f>IFERROR(LEFT(M12,FIND("],",M12)+S20),M12)</f>
        <v>none</v>
      </c>
      <c r="O12" s="56" t="e">
        <f t="shared" si="36"/>
        <v>#VALUE!</v>
      </c>
      <c r="P12" s="56">
        <f t="shared" si="37"/>
        <v>4</v>
      </c>
      <c r="Q12" s="56" t="e">
        <f t="shared" si="38"/>
        <v>#VALUE!</v>
      </c>
      <c r="R12" s="56" t="e">
        <f t="shared" si="39"/>
        <v>#VALUE!</v>
      </c>
      <c r="S12" s="56" t="str">
        <f>IFERROR(VLOOKUP(MID(N12,Q12,R12-Q12),[6]skilldef!$C:$D,2,FALSE),"-") &amp; " / " &amp; IFERROR(VLOOKUP(MID(N12,O12,P12-O12),[6]skilldef!$A:$B,2,FALSE),"-")</f>
        <v>- / -</v>
      </c>
      <c r="T12" s="41" t="str">
        <f t="shared" si="40"/>
        <v>none</v>
      </c>
      <c r="U12" s="56" t="e">
        <f t="shared" si="41"/>
        <v>#VALUE!</v>
      </c>
      <c r="V12" s="56">
        <f t="shared" si="42"/>
        <v>4</v>
      </c>
      <c r="W12" s="56" t="e">
        <f t="shared" si="43"/>
        <v>#VALUE!</v>
      </c>
      <c r="X12" s="56" t="e">
        <f t="shared" si="44"/>
        <v>#VALUE!</v>
      </c>
      <c r="Y12" s="56" t="str">
        <f>IFERROR(VLOOKUP(MID(T12,W12,X12-W12),[6]skilldef!$C:$D,2,FALSE),"-") &amp; " / " &amp; IFERROR(VLOOKUP(MID(T12,U12,V12-U12),[6]skilldef!$A:$B,2,FALSE),"-")</f>
        <v>- / -</v>
      </c>
      <c r="Z12" s="43"/>
      <c r="AA12" s="45"/>
      <c r="AB12" s="43"/>
    </row>
    <row r="13" spans="1:28" ht="21" customHeight="1" x14ac:dyDescent="0.15">
      <c r="A13" s="40">
        <v>15029019</v>
      </c>
      <c r="B13" s="189" t="s">
        <v>240</v>
      </c>
      <c r="C13" s="43">
        <v>3</v>
      </c>
      <c r="D13" s="184" t="s">
        <v>128</v>
      </c>
      <c r="E13" s="187" t="s">
        <v>260</v>
      </c>
      <c r="F13" s="186" t="s">
        <v>277</v>
      </c>
      <c r="G13" s="56" t="str">
        <f t="shared" ref="G13" si="75">IFERROR(LEFT(B13,FIND("],",B13)),B13)</f>
        <v>[effect:change_panel_ratio, turn:3, block_type:heal, val:0.1, animation:block_incidence04]</v>
      </c>
      <c r="H13" s="56">
        <f t="shared" ref="H13" si="76">FIND("effect:",G13)+7</f>
        <v>9</v>
      </c>
      <c r="I13" s="56">
        <f t="shared" ref="I13" si="77">IFERROR(FIND(",",G13),LEN(G13))</f>
        <v>27</v>
      </c>
      <c r="J13" s="56" t="e">
        <f t="shared" ref="J13" si="78">FIND("target:",G13)+7</f>
        <v>#VALUE!</v>
      </c>
      <c r="K13" s="56">
        <f t="shared" ref="K13" si="79">FIND(",",G13,I13+1)</f>
        <v>35</v>
      </c>
      <c r="L13" s="56" t="str">
        <f>IFERROR(VLOOKUP(MID(G13,J13,K13-J13),[6]skilldef!$C:$D,2,FALSE),"-") &amp; " / " &amp; IFERROR(VLOOKUP(MID(G13,H13,I13-H13),[6]skilldef!$A:$B,2,FALSE),"-")</f>
        <v>- / -</v>
      </c>
      <c r="M13" s="56" t="str">
        <f t="shared" ref="M13" si="80">IFERROR(RIGHT(B13,LEN(B13)-FIND("],",B13)-1),"none")</f>
        <v>none</v>
      </c>
      <c r="N13" s="41" t="str">
        <f>IFERROR(LEFT(M13,FIND("],",M13)+S22),M13)</f>
        <v>none</v>
      </c>
      <c r="O13" s="56" t="e">
        <f t="shared" ref="O13" si="81">FIND("effect:",N13)+7</f>
        <v>#VALUE!</v>
      </c>
      <c r="P13" s="56">
        <f t="shared" ref="P13" si="82">IFERROR(FIND(",",N13),LEN(N13))</f>
        <v>4</v>
      </c>
      <c r="Q13" s="56" t="e">
        <f t="shared" ref="Q13" si="83">FIND("target:",N13)+7</f>
        <v>#VALUE!</v>
      </c>
      <c r="R13" s="56" t="e">
        <f t="shared" ref="R13" si="84">FIND(",",N13,P13+1)</f>
        <v>#VALUE!</v>
      </c>
      <c r="S13" s="56" t="str">
        <f>IFERROR(VLOOKUP(MID(N13,Q13,R13-Q13),[6]skilldef!$C:$D,2,FALSE),"-") &amp; " / " &amp; IFERROR(VLOOKUP(MID(N13,O13,P13-O13),[6]skilldef!$A:$B,2,FALSE),"-")</f>
        <v>- / -</v>
      </c>
      <c r="T13" s="41" t="str">
        <f t="shared" ref="T13" si="85">IFERROR(RIGHT(M13,LEN(M13)-FIND("],",M13)-1),"none")</f>
        <v>none</v>
      </c>
      <c r="U13" s="56" t="e">
        <f t="shared" ref="U13" si="86">FIND("effect:",T13)+7</f>
        <v>#VALUE!</v>
      </c>
      <c r="V13" s="56">
        <f t="shared" ref="V13" si="87">IFERROR(FIND(",",T13),LEN(T13))</f>
        <v>4</v>
      </c>
      <c r="W13" s="56" t="e">
        <f t="shared" ref="W13" si="88">FIND("target:",T13)+7</f>
        <v>#VALUE!</v>
      </c>
      <c r="X13" s="56" t="e">
        <f t="shared" ref="X13" si="89">FIND(",",T13,V13+1)</f>
        <v>#VALUE!</v>
      </c>
      <c r="Y13" s="56" t="str">
        <f>IFERROR(VLOOKUP(MID(T13,W13,X13-W13),[6]skilldef!$C:$D,2,FALSE),"-") &amp; " / " &amp; IFERROR(VLOOKUP(MID(T13,U13,V13-U13),[6]skilldef!$A:$B,2,FALSE),"-")</f>
        <v>- / -</v>
      </c>
      <c r="Z13" s="43"/>
      <c r="AA13" s="45"/>
      <c r="AB13" s="43"/>
    </row>
    <row r="14" spans="1:28" ht="21" customHeight="1" x14ac:dyDescent="0.15">
      <c r="A14" s="40">
        <v>15029020</v>
      </c>
      <c r="B14" s="40" t="s">
        <v>300</v>
      </c>
      <c r="C14" s="43">
        <v>3</v>
      </c>
      <c r="D14" s="184" t="s">
        <v>256</v>
      </c>
      <c r="E14" s="187" t="s">
        <v>257</v>
      </c>
      <c r="F14" s="186" t="s">
        <v>302</v>
      </c>
      <c r="G14" s="56" t="str">
        <f t="shared" ref="G14" si="90">IFERROR(LEFT(B14,FIND("],",B14)),B14)</f>
        <v>[effect:degrade_unit, target:unit_all, turn:3, status:heal, val:0.5, calc:mul, animation:degrade_unit_all_heal]</v>
      </c>
      <c r="H14" s="56">
        <f t="shared" ref="H14" si="91">FIND("effect:",G14)+7</f>
        <v>9</v>
      </c>
      <c r="I14" s="56">
        <f t="shared" ref="I14" si="92">IFERROR(FIND(",",G14),LEN(G14))</f>
        <v>21</v>
      </c>
      <c r="J14" s="56">
        <f t="shared" ref="J14" si="93">FIND("target:",G14)+7</f>
        <v>30</v>
      </c>
      <c r="K14" s="56">
        <f t="shared" ref="K14" si="94">FIND(",",G14,I14+1)</f>
        <v>38</v>
      </c>
      <c r="L14" s="56" t="str">
        <f>IFERROR(VLOOKUP(MID(G14,J14,K14-J14),[6]skilldef!$C:$D,2,FALSE),"-") &amp; " / " &amp; IFERROR(VLOOKUP(MID(G14,H14,I14-H14),[6]skilldef!$A:$B,2,FALSE),"-")</f>
        <v>味方全体に / ステータスDOWN</v>
      </c>
      <c r="M14" s="56" t="str">
        <f t="shared" ref="M14" si="95">IFERROR(RIGHT(B14,LEN(B14)-FIND("],",B14)-1),"none")</f>
        <v>none</v>
      </c>
      <c r="N14" s="41" t="str">
        <f>IFERROR(LEFT(M14,FIND("],",M14)+S24),M14)</f>
        <v>none</v>
      </c>
      <c r="O14" s="56" t="e">
        <f t="shared" ref="O14" si="96">FIND("effect:",N14)+7</f>
        <v>#VALUE!</v>
      </c>
      <c r="P14" s="56">
        <f t="shared" ref="P14" si="97">IFERROR(FIND(",",N14),LEN(N14))</f>
        <v>4</v>
      </c>
      <c r="Q14" s="56" t="e">
        <f t="shared" ref="Q14" si="98">FIND("target:",N14)+7</f>
        <v>#VALUE!</v>
      </c>
      <c r="R14" s="56" t="e">
        <f t="shared" ref="R14" si="99">FIND(",",N14,P14+1)</f>
        <v>#VALUE!</v>
      </c>
      <c r="S14" s="56" t="str">
        <f>IFERROR(VLOOKUP(MID(N14,Q14,R14-Q14),[6]skilldef!$C:$D,2,FALSE),"-") &amp; " / " &amp; IFERROR(VLOOKUP(MID(N14,O14,P14-O14),[6]skilldef!$A:$B,2,FALSE),"-")</f>
        <v>- / -</v>
      </c>
      <c r="T14" s="41" t="str">
        <f t="shared" ref="T14" si="100">IFERROR(RIGHT(M14,LEN(M14)-FIND("],",M14)-1),"none")</f>
        <v>none</v>
      </c>
      <c r="U14" s="56" t="e">
        <f t="shared" ref="U14" si="101">FIND("effect:",T14)+7</f>
        <v>#VALUE!</v>
      </c>
      <c r="V14" s="56">
        <f t="shared" ref="V14" si="102">IFERROR(FIND(",",T14),LEN(T14))</f>
        <v>4</v>
      </c>
      <c r="W14" s="56" t="e">
        <f t="shared" ref="W14" si="103">FIND("target:",T14)+7</f>
        <v>#VALUE!</v>
      </c>
      <c r="X14" s="56" t="e">
        <f t="shared" ref="X14" si="104">FIND(",",T14,V14+1)</f>
        <v>#VALUE!</v>
      </c>
      <c r="Y14" s="56" t="str">
        <f>IFERROR(VLOOKUP(MID(T14,W14,X14-W14),[6]skilldef!$C:$D,2,FALSE),"-") &amp; " / " &amp; IFERROR(VLOOKUP(MID(T14,U14,V14-U14),[6]skilldef!$A:$B,2,FALSE),"-")</f>
        <v>- / -</v>
      </c>
      <c r="Z14" s="43"/>
      <c r="AA14" s="45"/>
      <c r="AB14" s="43"/>
    </row>
    <row r="15" spans="1:28" ht="21" customHeight="1" x14ac:dyDescent="0.15">
      <c r="A15" s="40">
        <v>15029021</v>
      </c>
      <c r="B15" s="40" t="s">
        <v>221</v>
      </c>
      <c r="C15" s="43">
        <v>3</v>
      </c>
      <c r="D15" s="184" t="s">
        <v>128</v>
      </c>
      <c r="E15" s="187" t="s">
        <v>258</v>
      </c>
      <c r="F15" s="186" t="s">
        <v>301</v>
      </c>
      <c r="G15" s="56" t="str">
        <f t="shared" si="30"/>
        <v>[effect:degrade_unit, target:unit_all, turn:3, status:attack, val:0.5, calc:mul]</v>
      </c>
      <c r="H15" s="56">
        <f t="shared" si="31"/>
        <v>9</v>
      </c>
      <c r="I15" s="56">
        <f t="shared" si="32"/>
        <v>21</v>
      </c>
      <c r="J15" s="56">
        <f t="shared" si="33"/>
        <v>30</v>
      </c>
      <c r="K15" s="56">
        <f t="shared" si="34"/>
        <v>38</v>
      </c>
      <c r="L15" s="56" t="str">
        <f>IFERROR(VLOOKUP(MID(G15,J15,K15-J15),[6]skilldef!$C:$D,2,FALSE),"-") &amp; " / " &amp; IFERROR(VLOOKUP(MID(G15,H15,I15-H15),[6]skilldef!$A:$B,2,FALSE),"-")</f>
        <v>味方全体に / ステータスDOWN</v>
      </c>
      <c r="M15" s="56" t="str">
        <f t="shared" si="35"/>
        <v>none</v>
      </c>
      <c r="N15" s="41" t="str">
        <f>IFERROR(LEFT(M15,FIND("],",M15)+S24),M15)</f>
        <v>none</v>
      </c>
      <c r="O15" s="56" t="e">
        <f t="shared" si="36"/>
        <v>#VALUE!</v>
      </c>
      <c r="P15" s="56">
        <f t="shared" si="37"/>
        <v>4</v>
      </c>
      <c r="Q15" s="56" t="e">
        <f t="shared" si="38"/>
        <v>#VALUE!</v>
      </c>
      <c r="R15" s="56" t="e">
        <f t="shared" si="39"/>
        <v>#VALUE!</v>
      </c>
      <c r="S15" s="56" t="str">
        <f>IFERROR(VLOOKUP(MID(N15,Q15,R15-Q15),[6]skilldef!$C:$D,2,FALSE),"-") &amp; " / " &amp; IFERROR(VLOOKUP(MID(N15,O15,P15-O15),[6]skilldef!$A:$B,2,FALSE),"-")</f>
        <v>- / -</v>
      </c>
      <c r="T15" s="41" t="str">
        <f t="shared" si="40"/>
        <v>none</v>
      </c>
      <c r="U15" s="56" t="e">
        <f t="shared" si="41"/>
        <v>#VALUE!</v>
      </c>
      <c r="V15" s="56">
        <f t="shared" si="42"/>
        <v>4</v>
      </c>
      <c r="W15" s="56" t="e">
        <f t="shared" si="43"/>
        <v>#VALUE!</v>
      </c>
      <c r="X15" s="56" t="e">
        <f t="shared" si="44"/>
        <v>#VALUE!</v>
      </c>
      <c r="Y15" s="56" t="str">
        <f>IFERROR(VLOOKUP(MID(T15,W15,X15-W15),[6]skilldef!$C:$D,2,FALSE),"-") &amp; " / " &amp; IFERROR(VLOOKUP(MID(T15,U15,V15-U15),[6]skilldef!$A:$B,2,FALSE),"-")</f>
        <v>- / -</v>
      </c>
      <c r="Z15" s="43"/>
      <c r="AA15" s="45"/>
      <c r="AB15" s="43"/>
    </row>
    <row r="16" spans="1:28" ht="21" customHeight="1" x14ac:dyDescent="0.15">
      <c r="A16" s="40">
        <v>15029022</v>
      </c>
      <c r="B16" s="40" t="s">
        <v>212</v>
      </c>
      <c r="C16" s="43">
        <v>3</v>
      </c>
      <c r="D16" s="184" t="s">
        <v>128</v>
      </c>
      <c r="E16" s="187" t="s">
        <v>267</v>
      </c>
      <c r="F16" s="186" t="s">
        <v>241</v>
      </c>
      <c r="G16" s="56" t="str">
        <f t="shared" si="30"/>
        <v>[effect:change_block, new_block:jammer, target:block_all, count:2, val:0, animation:change_block]</v>
      </c>
      <c r="H16" s="56">
        <f t="shared" si="31"/>
        <v>9</v>
      </c>
      <c r="I16" s="56">
        <f t="shared" si="32"/>
        <v>21</v>
      </c>
      <c r="J16" s="56">
        <f t="shared" si="33"/>
        <v>48</v>
      </c>
      <c r="K16" s="56">
        <f t="shared" si="34"/>
        <v>39</v>
      </c>
      <c r="L16" s="56" t="str">
        <f>IFERROR(VLOOKUP(MID(G16,J16,K16-J16),[6]skilldef!$C:$D,2,FALSE),"-") &amp; " / " &amp; IFERROR(VLOOKUP(MID(G16,H16,I16-H16),[6]skilldef!$A:$B,2,FALSE),"-")</f>
        <v>- / ブロック変換</v>
      </c>
      <c r="M16" s="56" t="str">
        <f t="shared" si="35"/>
        <v>none</v>
      </c>
      <c r="N16" s="41" t="str">
        <f>IFERROR(LEFT(M16,FIND("],",M16)+#REF!),M16)</f>
        <v>none</v>
      </c>
      <c r="O16" s="56" t="e">
        <f t="shared" si="36"/>
        <v>#VALUE!</v>
      </c>
      <c r="P16" s="56">
        <f t="shared" si="37"/>
        <v>4</v>
      </c>
      <c r="Q16" s="56" t="e">
        <f t="shared" si="38"/>
        <v>#VALUE!</v>
      </c>
      <c r="R16" s="56" t="e">
        <f t="shared" si="39"/>
        <v>#VALUE!</v>
      </c>
      <c r="S16" s="56" t="str">
        <f>IFERROR(VLOOKUP(MID(N16,Q16,R16-Q16),[6]skilldef!$C:$D,2,FALSE),"-") &amp; " / " &amp; IFERROR(VLOOKUP(MID(N16,O16,P16-O16),[6]skilldef!$A:$B,2,FALSE),"-")</f>
        <v>- / -</v>
      </c>
      <c r="T16" s="41" t="str">
        <f t="shared" si="40"/>
        <v>none</v>
      </c>
      <c r="U16" s="56" t="e">
        <f t="shared" si="41"/>
        <v>#VALUE!</v>
      </c>
      <c r="V16" s="56">
        <f t="shared" si="42"/>
        <v>4</v>
      </c>
      <c r="W16" s="56" t="e">
        <f t="shared" si="43"/>
        <v>#VALUE!</v>
      </c>
      <c r="X16" s="56" t="e">
        <f t="shared" si="44"/>
        <v>#VALUE!</v>
      </c>
      <c r="Y16" s="56" t="str">
        <f>IFERROR(VLOOKUP(MID(T16,W16,X16-W16),[6]skilldef!$C:$D,2,FALSE),"-") &amp; " / " &amp; IFERROR(VLOOKUP(MID(T16,U16,V16-U16),[6]skilldef!$A:$B,2,FALSE),"-")</f>
        <v>- / -</v>
      </c>
      <c r="Z16" s="43"/>
      <c r="AA16" s="45"/>
      <c r="AB16" s="43"/>
    </row>
    <row r="17" spans="1:28" ht="21" customHeight="1" x14ac:dyDescent="0.15">
      <c r="A17" s="40">
        <v>15029024</v>
      </c>
      <c r="B17" s="40" t="s">
        <v>213</v>
      </c>
      <c r="C17" s="43">
        <v>3</v>
      </c>
      <c r="D17" s="184" t="s">
        <v>128</v>
      </c>
      <c r="E17" s="187" t="s">
        <v>261</v>
      </c>
      <c r="F17" s="186" t="s">
        <v>214</v>
      </c>
      <c r="G17" s="56" t="str">
        <f t="shared" si="30"/>
        <v xml:space="preserve">[effect:remove_enhancement, target:unit_all, target_effect:all, target_type:debuff, count:-1, animation:frozen_wave]    </v>
      </c>
      <c r="H17" s="56">
        <f t="shared" si="31"/>
        <v>9</v>
      </c>
      <c r="I17" s="56">
        <f t="shared" si="32"/>
        <v>27</v>
      </c>
      <c r="J17" s="56">
        <f t="shared" si="33"/>
        <v>36</v>
      </c>
      <c r="K17" s="56">
        <f t="shared" si="34"/>
        <v>44</v>
      </c>
      <c r="L17" s="56" t="str">
        <f>IFERROR(VLOOKUP(MID(G17,J17,K17-J17),[6]skilldef!$C:$D,2,FALSE),"-") &amp; " / " &amp; IFERROR(VLOOKUP(MID(G17,H17,I17-H17),[6]skilldef!$A:$B,2,FALSE),"-")</f>
        <v>味方全体に / -</v>
      </c>
      <c r="M17" s="56" t="str">
        <f t="shared" si="35"/>
        <v>none</v>
      </c>
      <c r="N17" s="41" t="str">
        <f>IFERROR(LEFT(M17,FIND("],",M17)+S27),M17)</f>
        <v>none</v>
      </c>
      <c r="O17" s="56" t="e">
        <f t="shared" si="36"/>
        <v>#VALUE!</v>
      </c>
      <c r="P17" s="56">
        <f t="shared" si="37"/>
        <v>4</v>
      </c>
      <c r="Q17" s="56" t="e">
        <f t="shared" si="38"/>
        <v>#VALUE!</v>
      </c>
      <c r="R17" s="56" t="e">
        <f t="shared" si="39"/>
        <v>#VALUE!</v>
      </c>
      <c r="S17" s="56" t="str">
        <f>IFERROR(VLOOKUP(MID(N17,Q17,R17-Q17),[6]skilldef!$C:$D,2,FALSE),"-") &amp; " / " &amp; IFERROR(VLOOKUP(MID(N17,O17,P17-O17),[6]skilldef!$A:$B,2,FALSE),"-")</f>
        <v>- / -</v>
      </c>
      <c r="T17" s="41" t="str">
        <f t="shared" si="40"/>
        <v>none</v>
      </c>
      <c r="U17" s="56" t="e">
        <f t="shared" si="41"/>
        <v>#VALUE!</v>
      </c>
      <c r="V17" s="56">
        <f t="shared" si="42"/>
        <v>4</v>
      </c>
      <c r="W17" s="56" t="e">
        <f t="shared" si="43"/>
        <v>#VALUE!</v>
      </c>
      <c r="X17" s="56" t="e">
        <f t="shared" si="44"/>
        <v>#VALUE!</v>
      </c>
      <c r="Y17" s="56" t="str">
        <f>IFERROR(VLOOKUP(MID(T17,W17,X17-W17),[6]skilldef!$C:$D,2,FALSE),"-") &amp; " / " &amp; IFERROR(VLOOKUP(MID(T17,U17,V17-U17),[6]skilldef!$A:$B,2,FALSE),"-")</f>
        <v>- / -</v>
      </c>
      <c r="Z17" s="43"/>
      <c r="AA17" s="45"/>
      <c r="AB17" s="43"/>
    </row>
    <row r="18" spans="1:28" ht="21" customHeight="1" x14ac:dyDescent="0.15">
      <c r="A18" s="40">
        <v>15029025</v>
      </c>
      <c r="B18" s="40" t="s">
        <v>215</v>
      </c>
      <c r="C18" s="43">
        <v>3</v>
      </c>
      <c r="D18" s="184" t="s">
        <v>128</v>
      </c>
      <c r="E18" s="44" t="s">
        <v>262</v>
      </c>
      <c r="F18" s="186" t="s">
        <v>216</v>
      </c>
      <c r="G18" s="56" t="str">
        <f t="shared" si="30"/>
        <v>[effect:kamikaze, val:0.5]</v>
      </c>
      <c r="H18" s="56">
        <f t="shared" si="31"/>
        <v>9</v>
      </c>
      <c r="I18" s="56">
        <f t="shared" si="32"/>
        <v>17</v>
      </c>
      <c r="J18" s="56" t="e">
        <f t="shared" si="33"/>
        <v>#VALUE!</v>
      </c>
      <c r="K18" s="56" t="e">
        <f t="shared" si="34"/>
        <v>#VALUE!</v>
      </c>
      <c r="L18" s="56" t="str">
        <f>IFERROR(VLOOKUP(MID(G18,J18,K18-J18),[6]skilldef!$C:$D,2,FALSE),"-") &amp; " / " &amp; IFERROR(VLOOKUP(MID(G18,H18,I18-H18),[6]skilldef!$A:$B,2,FALSE),"-")</f>
        <v>- / 自爆</v>
      </c>
      <c r="M18" s="56" t="str">
        <f t="shared" si="35"/>
        <v>none</v>
      </c>
      <c r="N18" s="41" t="str">
        <f>IFERROR(LEFT(M18,FIND("],",M18)+S27),M18)</f>
        <v>none</v>
      </c>
      <c r="O18" s="56" t="e">
        <f t="shared" si="36"/>
        <v>#VALUE!</v>
      </c>
      <c r="P18" s="56">
        <f t="shared" si="37"/>
        <v>4</v>
      </c>
      <c r="Q18" s="56" t="e">
        <f t="shared" si="38"/>
        <v>#VALUE!</v>
      </c>
      <c r="R18" s="56" t="e">
        <f t="shared" si="39"/>
        <v>#VALUE!</v>
      </c>
      <c r="S18" s="56" t="str">
        <f>IFERROR(VLOOKUP(MID(N18,Q18,R18-Q18),[6]skilldef!$C:$D,2,FALSE),"-") &amp; " / " &amp; IFERROR(VLOOKUP(MID(N18,O18,P18-O18),[6]skilldef!$A:$B,2,FALSE),"-")</f>
        <v>- / -</v>
      </c>
      <c r="T18" s="41" t="str">
        <f t="shared" si="40"/>
        <v>none</v>
      </c>
      <c r="U18" s="56" t="e">
        <f t="shared" si="41"/>
        <v>#VALUE!</v>
      </c>
      <c r="V18" s="56">
        <f t="shared" si="42"/>
        <v>4</v>
      </c>
      <c r="W18" s="56" t="e">
        <f t="shared" si="43"/>
        <v>#VALUE!</v>
      </c>
      <c r="X18" s="56" t="e">
        <f t="shared" si="44"/>
        <v>#VALUE!</v>
      </c>
      <c r="Y18" s="56" t="str">
        <f>IFERROR(VLOOKUP(MID(T18,W18,X18-W18),[6]skilldef!$C:$D,2,FALSE),"-") &amp; " / " &amp; IFERROR(VLOOKUP(MID(T18,U18,V18-U18),[6]skilldef!$A:$B,2,FALSE),"-")</f>
        <v>- / -</v>
      </c>
      <c r="Z18" s="43"/>
      <c r="AA18" s="45"/>
      <c r="AB18" s="43"/>
    </row>
    <row r="19" spans="1:28" ht="21" customHeight="1" x14ac:dyDescent="0.15">
      <c r="A19" s="40">
        <v>15029026</v>
      </c>
      <c r="B19" s="40" t="s">
        <v>219</v>
      </c>
      <c r="C19" s="43">
        <v>3</v>
      </c>
      <c r="D19" s="184" t="s">
        <v>128</v>
      </c>
      <c r="E19" s="187" t="s">
        <v>269</v>
      </c>
      <c r="F19" s="186" t="s">
        <v>276</v>
      </c>
      <c r="G19" s="56" t="str">
        <f t="shared" ref="G19" si="105">IFERROR(LEFT(B19,FIND("],",B19)),B19)</f>
        <v>[effect:dis_heart, turn:3, animation:enemy_dis_heart]</v>
      </c>
      <c r="H19" s="56">
        <f t="shared" ref="H19" si="106">FIND("effect:",G19)+7</f>
        <v>9</v>
      </c>
      <c r="I19" s="56">
        <f t="shared" ref="I19" si="107">IFERROR(FIND(",",G19),LEN(G19))</f>
        <v>18</v>
      </c>
      <c r="J19" s="56" t="e">
        <f t="shared" ref="J19" si="108">FIND("target:",G19)+7</f>
        <v>#VALUE!</v>
      </c>
      <c r="K19" s="56">
        <f t="shared" ref="K19" si="109">FIND(",",G19,I19+1)</f>
        <v>26</v>
      </c>
      <c r="L19" s="56" t="str">
        <f>IFERROR(VLOOKUP(MID(G19,J19,K19-J19),[6]skilldef!$C:$D,2,FALSE),"-") &amp; " / " &amp; IFERROR(VLOOKUP(MID(G19,H19,I19-H19),[6]skilldef!$A:$B,2,FALSE),"-")</f>
        <v>- / ディスハート</v>
      </c>
      <c r="M19" s="56" t="str">
        <f t="shared" ref="M19" si="110">IFERROR(RIGHT(B19,LEN(B19)-FIND("],",B19)-1),"none")</f>
        <v>none</v>
      </c>
      <c r="N19" s="41" t="str">
        <f>IFERROR(LEFT(M19,FIND("],",M19)+S27),M19)</f>
        <v>none</v>
      </c>
      <c r="O19" s="56" t="e">
        <f t="shared" ref="O19" si="111">FIND("effect:",N19)+7</f>
        <v>#VALUE!</v>
      </c>
      <c r="P19" s="56">
        <f t="shared" ref="P19" si="112">IFERROR(FIND(",",N19),LEN(N19))</f>
        <v>4</v>
      </c>
      <c r="Q19" s="56" t="e">
        <f t="shared" ref="Q19" si="113">FIND("target:",N19)+7</f>
        <v>#VALUE!</v>
      </c>
      <c r="R19" s="56" t="e">
        <f t="shared" ref="R19" si="114">FIND(",",N19,P19+1)</f>
        <v>#VALUE!</v>
      </c>
      <c r="S19" s="56" t="str">
        <f>IFERROR(VLOOKUP(MID(N19,Q19,R19-Q19),[6]skilldef!$C:$D,2,FALSE),"-") &amp; " / " &amp; IFERROR(VLOOKUP(MID(N19,O19,P19-O19),[6]skilldef!$A:$B,2,FALSE),"-")</f>
        <v>- / -</v>
      </c>
      <c r="T19" s="41" t="str">
        <f t="shared" ref="T19" si="115">IFERROR(RIGHT(M19,LEN(M19)-FIND("],",M19)-1),"none")</f>
        <v>none</v>
      </c>
      <c r="U19" s="56" t="e">
        <f t="shared" ref="U19" si="116">FIND("effect:",T19)+7</f>
        <v>#VALUE!</v>
      </c>
      <c r="V19" s="56">
        <f t="shared" ref="V19" si="117">IFERROR(FIND(",",T19),LEN(T19))</f>
        <v>4</v>
      </c>
      <c r="W19" s="56" t="e">
        <f t="shared" ref="W19" si="118">FIND("target:",T19)+7</f>
        <v>#VALUE!</v>
      </c>
      <c r="X19" s="56" t="e">
        <f t="shared" ref="X19" si="119">FIND(",",T19,V19+1)</f>
        <v>#VALUE!</v>
      </c>
      <c r="Y19" s="56" t="str">
        <f>IFERROR(VLOOKUP(MID(T19,W19,X19-W19),[6]skilldef!$C:$D,2,FALSE),"-") &amp; " / " &amp; IFERROR(VLOOKUP(MID(T19,U19,V19-U19),[6]skilldef!$A:$B,2,FALSE),"-")</f>
        <v>- / -</v>
      </c>
      <c r="Z19" s="43"/>
      <c r="AA19" s="45"/>
      <c r="AB19" s="43"/>
    </row>
    <row r="20" spans="1:28" ht="21" customHeight="1" x14ac:dyDescent="0.15">
      <c r="A20" s="40">
        <v>15029029</v>
      </c>
      <c r="B20" s="40" t="s">
        <v>222</v>
      </c>
      <c r="C20" s="43">
        <v>3</v>
      </c>
      <c r="D20" s="184" t="s">
        <v>128</v>
      </c>
      <c r="E20" s="187" t="s">
        <v>245</v>
      </c>
      <c r="F20" s="186" t="s">
        <v>278</v>
      </c>
      <c r="G20" s="56" t="str">
        <f t="shared" si="30"/>
        <v xml:space="preserve">[effect:hungup, target:unit_all, turn:1, rate:1, animation:hungup01]    </v>
      </c>
      <c r="H20" s="56">
        <f t="shared" si="31"/>
        <v>9</v>
      </c>
      <c r="I20" s="56">
        <f t="shared" si="32"/>
        <v>15</v>
      </c>
      <c r="J20" s="56">
        <f t="shared" si="33"/>
        <v>24</v>
      </c>
      <c r="K20" s="56">
        <f t="shared" si="34"/>
        <v>32</v>
      </c>
      <c r="L20" s="56" t="str">
        <f>IFERROR(VLOOKUP(MID(G20,J20,K20-J20),[6]skilldef!$C:$D,2,FALSE),"-") &amp; " / " &amp; IFERROR(VLOOKUP(MID(G20,H20,I20-H20),[6]skilldef!$A:$B,2,FALSE),"-")</f>
        <v>味方全体に / ハングアップ</v>
      </c>
      <c r="M20" s="56" t="str">
        <f t="shared" si="35"/>
        <v>none</v>
      </c>
      <c r="N20" s="41" t="str">
        <f>IFERROR(LEFT(M20,FIND("],",M20)+S28),M20)</f>
        <v>none</v>
      </c>
      <c r="O20" s="56" t="e">
        <f t="shared" si="36"/>
        <v>#VALUE!</v>
      </c>
      <c r="P20" s="56">
        <f t="shared" si="37"/>
        <v>4</v>
      </c>
      <c r="Q20" s="56" t="e">
        <f t="shared" si="38"/>
        <v>#VALUE!</v>
      </c>
      <c r="R20" s="56" t="e">
        <f t="shared" si="39"/>
        <v>#VALUE!</v>
      </c>
      <c r="S20" s="56" t="str">
        <f>IFERROR(VLOOKUP(MID(N20,Q20,R20-Q20),[6]skilldef!$C:$D,2,FALSE),"-") &amp; " / " &amp; IFERROR(VLOOKUP(MID(N20,O20,P20-O20),[6]skilldef!$A:$B,2,FALSE),"-")</f>
        <v>- / -</v>
      </c>
      <c r="T20" s="41" t="str">
        <f t="shared" si="40"/>
        <v>none</v>
      </c>
      <c r="U20" s="56" t="e">
        <f t="shared" si="41"/>
        <v>#VALUE!</v>
      </c>
      <c r="V20" s="56">
        <f t="shared" si="42"/>
        <v>4</v>
      </c>
      <c r="W20" s="56" t="e">
        <f t="shared" si="43"/>
        <v>#VALUE!</v>
      </c>
      <c r="X20" s="56" t="e">
        <f t="shared" si="44"/>
        <v>#VALUE!</v>
      </c>
      <c r="Y20" s="56" t="str">
        <f>IFERROR(VLOOKUP(MID(T20,W20,X20-W20),[6]skilldef!$C:$D,2,FALSE),"-") &amp; " / " &amp; IFERROR(VLOOKUP(MID(T20,U20,V20-U20),[6]skilldef!$A:$B,2,FALSE),"-")</f>
        <v>- / -</v>
      </c>
      <c r="Z20" s="43"/>
      <c r="AA20" s="45"/>
      <c r="AB20" s="43"/>
    </row>
    <row r="21" spans="1:28" ht="21" customHeight="1" x14ac:dyDescent="0.15">
      <c r="A21" s="40">
        <v>15029030</v>
      </c>
      <c r="B21" s="40" t="s">
        <v>223</v>
      </c>
      <c r="C21" s="43">
        <v>3</v>
      </c>
      <c r="D21" s="184" t="s">
        <v>128</v>
      </c>
      <c r="E21" s="187" t="s">
        <v>259</v>
      </c>
      <c r="F21" s="186" t="s">
        <v>242</v>
      </c>
      <c r="G21" s="56" t="str">
        <f t="shared" si="30"/>
        <v>[effect:critical, val:1.5]</v>
      </c>
      <c r="H21" s="56">
        <f t="shared" si="31"/>
        <v>9</v>
      </c>
      <c r="I21" s="56">
        <f t="shared" si="32"/>
        <v>17</v>
      </c>
      <c r="J21" s="56" t="e">
        <f t="shared" si="33"/>
        <v>#VALUE!</v>
      </c>
      <c r="K21" s="56" t="e">
        <f t="shared" si="34"/>
        <v>#VALUE!</v>
      </c>
      <c r="L21" s="56" t="str">
        <f>IFERROR(VLOOKUP(MID(G21,J21,K21-J21),[6]skilldef!$C:$D,2,FALSE),"-") &amp; " / " &amp; IFERROR(VLOOKUP(MID(G21,H21,I21-H21),[6]skilldef!$A:$B,2,FALSE),"-")</f>
        <v>- / 大攻撃</v>
      </c>
      <c r="M21" s="56" t="str">
        <f t="shared" si="35"/>
        <v>none</v>
      </c>
      <c r="N21" s="41" t="str">
        <f>IFERROR(LEFT(M21,FIND("],",M21)+S29),M21)</f>
        <v>none</v>
      </c>
      <c r="O21" s="56" t="e">
        <f t="shared" si="36"/>
        <v>#VALUE!</v>
      </c>
      <c r="P21" s="56">
        <f t="shared" si="37"/>
        <v>4</v>
      </c>
      <c r="Q21" s="56" t="e">
        <f t="shared" si="38"/>
        <v>#VALUE!</v>
      </c>
      <c r="R21" s="56" t="e">
        <f t="shared" si="39"/>
        <v>#VALUE!</v>
      </c>
      <c r="S21" s="56" t="str">
        <f>IFERROR(VLOOKUP(MID(N21,Q21,R21-Q21),[6]skilldef!$C:$D,2,FALSE),"-") &amp; " / " &amp; IFERROR(VLOOKUP(MID(N21,O21,P21-O21),[6]skilldef!$A:$B,2,FALSE),"-")</f>
        <v>- / -</v>
      </c>
      <c r="T21" s="41" t="str">
        <f t="shared" si="40"/>
        <v>none</v>
      </c>
      <c r="U21" s="56" t="e">
        <f t="shared" si="41"/>
        <v>#VALUE!</v>
      </c>
      <c r="V21" s="56">
        <f t="shared" si="42"/>
        <v>4</v>
      </c>
      <c r="W21" s="56" t="e">
        <f t="shared" si="43"/>
        <v>#VALUE!</v>
      </c>
      <c r="X21" s="56" t="e">
        <f t="shared" si="44"/>
        <v>#VALUE!</v>
      </c>
      <c r="Y21" s="56" t="str">
        <f>IFERROR(VLOOKUP(MID(T21,W21,X21-W21),[6]skilldef!$C:$D,2,FALSE),"-") &amp; " / " &amp; IFERROR(VLOOKUP(MID(T21,U21,V21-U21),[6]skilldef!$A:$B,2,FALSE),"-")</f>
        <v>- / -</v>
      </c>
      <c r="Z21" s="43"/>
      <c r="AA21" s="45"/>
      <c r="AB21" s="43"/>
    </row>
    <row r="22" spans="1:28" ht="21" customHeight="1" x14ac:dyDescent="0.15">
      <c r="A22" s="40">
        <v>15029031</v>
      </c>
      <c r="B22" s="40" t="s">
        <v>273</v>
      </c>
      <c r="C22" s="43">
        <v>3</v>
      </c>
      <c r="D22" s="184" t="s">
        <v>217</v>
      </c>
      <c r="E22" s="44" t="s">
        <v>265</v>
      </c>
      <c r="F22" s="225" t="s">
        <v>291</v>
      </c>
      <c r="G22" s="56" t="str">
        <f t="shared" si="30"/>
        <v xml:space="preserve">[effect:invalidate_change_block, target:unit_all, block_type01:crack_bomb, turn:4, animation:panel_conversion_off]    </v>
      </c>
      <c r="H22" s="56">
        <f t="shared" si="31"/>
        <v>9</v>
      </c>
      <c r="I22" s="56">
        <f t="shared" si="32"/>
        <v>32</v>
      </c>
      <c r="J22" s="56">
        <f t="shared" si="33"/>
        <v>41</v>
      </c>
      <c r="K22" s="56">
        <f t="shared" si="34"/>
        <v>49</v>
      </c>
      <c r="L22" s="56" t="str">
        <f>IFERROR(VLOOKUP(MID(G22,J22,K22-J22),[6]skilldef!$C:$D,2,FALSE),"-") &amp; " / " &amp; IFERROR(VLOOKUP(MID(G22,H22,I22-H22),[6]skilldef!$A:$B,2,FALSE),"-")</f>
        <v>味方全体に / -</v>
      </c>
      <c r="M22" s="56" t="str">
        <f t="shared" si="35"/>
        <v>none</v>
      </c>
      <c r="N22" s="41" t="str">
        <f>IFERROR(LEFT(M22,FIND("],",M22)+S30),M22)</f>
        <v>none</v>
      </c>
      <c r="O22" s="56" t="e">
        <f t="shared" si="36"/>
        <v>#VALUE!</v>
      </c>
      <c r="P22" s="56">
        <f t="shared" si="37"/>
        <v>4</v>
      </c>
      <c r="Q22" s="56" t="e">
        <f t="shared" si="38"/>
        <v>#VALUE!</v>
      </c>
      <c r="R22" s="56" t="e">
        <f t="shared" si="39"/>
        <v>#VALUE!</v>
      </c>
      <c r="S22" s="56" t="str">
        <f>IFERROR(VLOOKUP(MID(N22,Q22,R22-Q22),[6]skilldef!$C:$D,2,FALSE),"-") &amp; " / " &amp; IFERROR(VLOOKUP(MID(N22,O22,P22-O22),[6]skilldef!$A:$B,2,FALSE),"-")</f>
        <v>- / -</v>
      </c>
      <c r="T22" s="41" t="str">
        <f t="shared" si="40"/>
        <v>none</v>
      </c>
      <c r="U22" s="56" t="e">
        <f t="shared" si="41"/>
        <v>#VALUE!</v>
      </c>
      <c r="V22" s="56">
        <f t="shared" si="42"/>
        <v>4</v>
      </c>
      <c r="W22" s="56" t="e">
        <f t="shared" si="43"/>
        <v>#VALUE!</v>
      </c>
      <c r="X22" s="56" t="e">
        <f t="shared" si="44"/>
        <v>#VALUE!</v>
      </c>
      <c r="Y22" s="56" t="str">
        <f>IFERROR(VLOOKUP(MID(T22,W22,X22-W22),[6]skilldef!$C:$D,2,FALSE),"-") &amp; " / " &amp; IFERROR(VLOOKUP(MID(T22,U22,V22-U22),[6]skilldef!$A:$B,2,FALSE),"-")</f>
        <v>- / -</v>
      </c>
      <c r="Z22" s="43"/>
      <c r="AA22" s="45"/>
      <c r="AB22" s="43"/>
    </row>
    <row r="23" spans="1:28" ht="21" customHeight="1" x14ac:dyDescent="0.15">
      <c r="A23" s="40">
        <v>15029032</v>
      </c>
      <c r="B23" s="40" t="s">
        <v>295</v>
      </c>
      <c r="C23" s="43">
        <v>3</v>
      </c>
      <c r="D23" s="184" t="s">
        <v>128</v>
      </c>
      <c r="E23" s="44" t="s">
        <v>266</v>
      </c>
      <c r="F23" s="225" t="s">
        <v>290</v>
      </c>
      <c r="G23" s="56" t="str">
        <f t="shared" ref="G23" si="120">IFERROR(LEFT(B23,FIND("],",B23)),B23)</f>
        <v xml:space="preserve">[effect:crash_condition, target:unit_all, val:2, turn:4, animation:enemy_crash_extend]    </v>
      </c>
      <c r="H23" s="56">
        <f t="shared" ref="H23" si="121">FIND("effect:",G23)+7</f>
        <v>9</v>
      </c>
      <c r="I23" s="56">
        <f t="shared" ref="I23" si="122">IFERROR(FIND(",",G23),LEN(G23))</f>
        <v>24</v>
      </c>
      <c r="J23" s="56">
        <f t="shared" ref="J23" si="123">FIND("target:",G23)+7</f>
        <v>33</v>
      </c>
      <c r="K23" s="56">
        <f t="shared" ref="K23" si="124">FIND(",",G23,I23+1)</f>
        <v>41</v>
      </c>
      <c r="L23" s="56" t="str">
        <f>IFERROR(VLOOKUP(MID(G23,J23,K23-J23),[6]skilldef!$C:$D,2,FALSE),"-") &amp; " / " &amp; IFERROR(VLOOKUP(MID(G23,H23,I23-H23),[6]skilldef!$A:$B,2,FALSE),"-")</f>
        <v>味方全体に / -</v>
      </c>
      <c r="M23" s="56" t="str">
        <f t="shared" ref="M23" si="125">IFERROR(RIGHT(B23,LEN(B23)-FIND("],",B23)-1),"none")</f>
        <v>none</v>
      </c>
      <c r="N23" s="41" t="str">
        <f>IFERROR(LEFT(M23,FIND("],",M23)+S31),M23)</f>
        <v>none</v>
      </c>
      <c r="O23" s="56" t="e">
        <f t="shared" ref="O23" si="126">FIND("effect:",N23)+7</f>
        <v>#VALUE!</v>
      </c>
      <c r="P23" s="56">
        <f t="shared" ref="P23" si="127">IFERROR(FIND(",",N23),LEN(N23))</f>
        <v>4</v>
      </c>
      <c r="Q23" s="56" t="e">
        <f t="shared" ref="Q23" si="128">FIND("target:",N23)+7</f>
        <v>#VALUE!</v>
      </c>
      <c r="R23" s="56" t="e">
        <f t="shared" ref="R23" si="129">FIND(",",N23,P23+1)</f>
        <v>#VALUE!</v>
      </c>
      <c r="S23" s="56" t="str">
        <f>IFERROR(VLOOKUP(MID(N23,Q23,R23-Q23),[6]skilldef!$C:$D,2,FALSE),"-") &amp; " / " &amp; IFERROR(VLOOKUP(MID(N23,O23,P23-O23),[6]skilldef!$A:$B,2,FALSE),"-")</f>
        <v>- / -</v>
      </c>
      <c r="T23" s="41" t="str">
        <f t="shared" ref="T23" si="130">IFERROR(RIGHT(M23,LEN(M23)-FIND("],",M23)-1),"none")</f>
        <v>none</v>
      </c>
      <c r="U23" s="56" t="e">
        <f t="shared" ref="U23" si="131">FIND("effect:",T23)+7</f>
        <v>#VALUE!</v>
      </c>
      <c r="V23" s="56">
        <f t="shared" ref="V23" si="132">IFERROR(FIND(",",T23),LEN(T23))</f>
        <v>4</v>
      </c>
      <c r="W23" s="56" t="e">
        <f t="shared" ref="W23" si="133">FIND("target:",T23)+7</f>
        <v>#VALUE!</v>
      </c>
      <c r="X23" s="56" t="e">
        <f t="shared" ref="X23" si="134">FIND(",",T23,V23+1)</f>
        <v>#VALUE!</v>
      </c>
      <c r="Y23" s="56" t="str">
        <f>IFERROR(VLOOKUP(MID(T23,W23,X23-W23),[6]skilldef!$C:$D,2,FALSE),"-") &amp; " / " &amp; IFERROR(VLOOKUP(MID(T23,U23,V23-U23),[6]skilldef!$A:$B,2,FALSE),"-")</f>
        <v>- / -</v>
      </c>
      <c r="Z23" s="43"/>
      <c r="AA23" s="45"/>
      <c r="AB23" s="43"/>
    </row>
    <row r="24" spans="1:28" ht="21" customHeight="1" x14ac:dyDescent="0.15">
      <c r="A24" s="40">
        <v>15029033</v>
      </c>
      <c r="B24" s="40" t="s">
        <v>248</v>
      </c>
      <c r="C24" s="43">
        <v>3</v>
      </c>
      <c r="D24" s="184" t="s">
        <v>218</v>
      </c>
      <c r="E24" s="44" t="s">
        <v>246</v>
      </c>
      <c r="F24" s="186" t="s">
        <v>247</v>
      </c>
      <c r="G24" s="56" t="str">
        <f t="shared" si="30"/>
        <v>[effect:change_block, new_block:block_yellow, target:block_heart, count:6, val:0, animation:change_block]</v>
      </c>
      <c r="H24" s="56">
        <f t="shared" si="31"/>
        <v>9</v>
      </c>
      <c r="I24" s="56">
        <f t="shared" si="32"/>
        <v>21</v>
      </c>
      <c r="J24" s="56">
        <f t="shared" si="33"/>
        <v>54</v>
      </c>
      <c r="K24" s="56">
        <f t="shared" si="34"/>
        <v>45</v>
      </c>
      <c r="L24" s="56" t="str">
        <f>IFERROR(VLOOKUP(MID(G24,J24,K24-J24),[6]skilldef!$C:$D,2,FALSE),"-") &amp; " / " &amp; IFERROR(VLOOKUP(MID(G24,H24,I24-H24),[6]skilldef!$A:$B,2,FALSE),"-")</f>
        <v>- / ブロック変換</v>
      </c>
      <c r="M24" s="56" t="str">
        <f t="shared" si="35"/>
        <v>none</v>
      </c>
      <c r="N24" s="41" t="str">
        <f>IFERROR(LEFT(M24,FIND("],",M24)+S31),M24)</f>
        <v>none</v>
      </c>
      <c r="O24" s="56" t="e">
        <f t="shared" si="36"/>
        <v>#VALUE!</v>
      </c>
      <c r="P24" s="56">
        <f t="shared" si="37"/>
        <v>4</v>
      </c>
      <c r="Q24" s="56" t="e">
        <f t="shared" si="38"/>
        <v>#VALUE!</v>
      </c>
      <c r="R24" s="56" t="e">
        <f t="shared" si="39"/>
        <v>#VALUE!</v>
      </c>
      <c r="S24" s="56" t="str">
        <f>IFERROR(VLOOKUP(MID(N24,Q24,R24-Q24),[6]skilldef!$C:$D,2,FALSE),"-") &amp; " / " &amp; IFERROR(VLOOKUP(MID(N24,O24,P24-O24),[6]skilldef!$A:$B,2,FALSE),"-")</f>
        <v>- / -</v>
      </c>
      <c r="T24" s="41" t="str">
        <f t="shared" si="40"/>
        <v>none</v>
      </c>
      <c r="U24" s="56" t="e">
        <f t="shared" si="41"/>
        <v>#VALUE!</v>
      </c>
      <c r="V24" s="56">
        <f t="shared" si="42"/>
        <v>4</v>
      </c>
      <c r="W24" s="56" t="e">
        <f t="shared" si="43"/>
        <v>#VALUE!</v>
      </c>
      <c r="X24" s="56" t="e">
        <f t="shared" si="44"/>
        <v>#VALUE!</v>
      </c>
      <c r="Y24" s="56" t="str">
        <f>IFERROR(VLOOKUP(MID(T24,W24,X24-W24),[6]skilldef!$C:$D,2,FALSE),"-") &amp; " / " &amp; IFERROR(VLOOKUP(MID(T24,U24,V24-U24),[6]skilldef!$A:$B,2,FALSE),"-")</f>
        <v>- / -</v>
      </c>
      <c r="Z24" s="43"/>
      <c r="AA24" s="45"/>
      <c r="AB24" s="43"/>
    </row>
    <row r="25" spans="1:28" ht="21" customHeight="1" x14ac:dyDescent="0.15">
      <c r="A25" s="40">
        <v>15029034</v>
      </c>
      <c r="B25" s="40" t="s">
        <v>237</v>
      </c>
      <c r="C25" s="43">
        <v>3</v>
      </c>
      <c r="D25" s="184" t="s">
        <v>128</v>
      </c>
      <c r="E25" s="44" t="s">
        <v>243</v>
      </c>
      <c r="F25" s="186" t="s">
        <v>232</v>
      </c>
      <c r="G25" s="56" t="str">
        <f t="shared" si="30"/>
        <v>[effect:rush, count:2, val:0.6]</v>
      </c>
      <c r="H25" s="56">
        <f t="shared" si="31"/>
        <v>9</v>
      </c>
      <c r="I25" s="56">
        <f t="shared" si="32"/>
        <v>13</v>
      </c>
      <c r="J25" s="56" t="e">
        <f t="shared" si="33"/>
        <v>#VALUE!</v>
      </c>
      <c r="K25" s="56">
        <f t="shared" si="34"/>
        <v>22</v>
      </c>
      <c r="L25" s="56" t="str">
        <f>IFERROR(VLOOKUP(MID(G25,J25,K25-J25),[6]skilldef!$C:$D,2,FALSE),"-") &amp; " / " &amp; IFERROR(VLOOKUP(MID(G25,H25,I25-H25),[6]skilldef!$A:$B,2,FALSE),"-")</f>
        <v>- / 連続攻撃</v>
      </c>
      <c r="M25" s="56" t="str">
        <f t="shared" si="35"/>
        <v>none</v>
      </c>
      <c r="N25" s="41" t="str">
        <f>IFERROR(LEFT(M25,FIND("],",M25)+S33),M25)</f>
        <v>none</v>
      </c>
      <c r="O25" s="56" t="e">
        <f t="shared" si="36"/>
        <v>#VALUE!</v>
      </c>
      <c r="P25" s="56">
        <f t="shared" si="37"/>
        <v>4</v>
      </c>
      <c r="Q25" s="56" t="e">
        <f t="shared" si="38"/>
        <v>#VALUE!</v>
      </c>
      <c r="R25" s="56" t="e">
        <f t="shared" si="39"/>
        <v>#VALUE!</v>
      </c>
      <c r="S25" s="56" t="str">
        <f>IFERROR(VLOOKUP(MID(N25,Q25,R25-Q25),[6]skilldef!$C:$D,2,FALSE),"-") &amp; " / " &amp; IFERROR(VLOOKUP(MID(N25,O25,P25-O25),[6]skilldef!$A:$B,2,FALSE),"-")</f>
        <v>- / -</v>
      </c>
      <c r="T25" s="41" t="str">
        <f t="shared" si="40"/>
        <v>none</v>
      </c>
      <c r="U25" s="56" t="e">
        <f t="shared" si="41"/>
        <v>#VALUE!</v>
      </c>
      <c r="V25" s="56">
        <f t="shared" si="42"/>
        <v>4</v>
      </c>
      <c r="W25" s="56" t="e">
        <f t="shared" si="43"/>
        <v>#VALUE!</v>
      </c>
      <c r="X25" s="56" t="e">
        <f t="shared" si="44"/>
        <v>#VALUE!</v>
      </c>
      <c r="Y25" s="56" t="str">
        <f>IFERROR(VLOOKUP(MID(T25,W25,X25-W25),[6]skilldef!$C:$D,2,FALSE),"-") &amp; " / " &amp; IFERROR(VLOOKUP(MID(T25,U25,V25-U25),[6]skilldef!$A:$B,2,FALSE),"-")</f>
        <v>- / -</v>
      </c>
      <c r="Z25" s="43"/>
      <c r="AA25" s="45"/>
      <c r="AB25" s="43"/>
    </row>
    <row r="26" spans="1:28" ht="21" customHeight="1" x14ac:dyDescent="0.15">
      <c r="A26" s="40">
        <v>15029035</v>
      </c>
      <c r="B26" s="40" t="s">
        <v>250</v>
      </c>
      <c r="C26" s="43">
        <v>3</v>
      </c>
      <c r="D26" s="184" t="s">
        <v>128</v>
      </c>
      <c r="E26" s="44" t="s">
        <v>244</v>
      </c>
      <c r="F26" s="186" t="s">
        <v>249</v>
      </c>
      <c r="G26" s="56" t="str">
        <f t="shared" si="30"/>
        <v>[effect:spread, val:0.3]</v>
      </c>
      <c r="H26" s="56">
        <f t="shared" si="31"/>
        <v>9</v>
      </c>
      <c r="I26" s="56">
        <f t="shared" si="32"/>
        <v>15</v>
      </c>
      <c r="J26" s="56" t="e">
        <f t="shared" si="33"/>
        <v>#VALUE!</v>
      </c>
      <c r="K26" s="56" t="e">
        <f t="shared" si="34"/>
        <v>#VALUE!</v>
      </c>
      <c r="L26" s="56" t="str">
        <f>IFERROR(VLOOKUP(MID(G26,J26,K26-J26),[6]skilldef!$C:$D,2,FALSE),"-") &amp; " / " &amp; IFERROR(VLOOKUP(MID(G26,H26,I26-H26),[6]skilldef!$A:$B,2,FALSE),"-")</f>
        <v>- / 全体攻撃</v>
      </c>
      <c r="M26" s="56" t="str">
        <f t="shared" si="35"/>
        <v xml:space="preserve">[effect:suicide, val:0.2, target:enemy_yellow]    </v>
      </c>
      <c r="N26" s="41" t="str">
        <f>IFERROR(LEFT(M26,FIND("],",M26)+S35),M26)</f>
        <v xml:space="preserve">[effect:suicide, val:0.2, target:enemy_yellow]    </v>
      </c>
      <c r="O26" s="56">
        <f t="shared" si="36"/>
        <v>9</v>
      </c>
      <c r="P26" s="56">
        <f t="shared" si="37"/>
        <v>16</v>
      </c>
      <c r="Q26" s="56">
        <f t="shared" si="38"/>
        <v>34</v>
      </c>
      <c r="R26" s="56">
        <f t="shared" si="39"/>
        <v>25</v>
      </c>
      <c r="S26" s="56" t="str">
        <f>IFERROR(VLOOKUP(MID(N26,Q26,R26-Q26),[6]skilldef!$C:$D,2,FALSE),"-") &amp; " / " &amp; IFERROR(VLOOKUP(MID(N26,O26,P26-O26),[6]skilldef!$A:$B,2,FALSE),"-")</f>
        <v>- / -</v>
      </c>
      <c r="T26" s="41" t="str">
        <f t="shared" si="40"/>
        <v>none</v>
      </c>
      <c r="U26" s="56" t="e">
        <f t="shared" si="41"/>
        <v>#VALUE!</v>
      </c>
      <c r="V26" s="56">
        <f t="shared" si="42"/>
        <v>4</v>
      </c>
      <c r="W26" s="56" t="e">
        <f t="shared" si="43"/>
        <v>#VALUE!</v>
      </c>
      <c r="X26" s="56" t="e">
        <f t="shared" si="44"/>
        <v>#VALUE!</v>
      </c>
      <c r="Y26" s="56" t="str">
        <f>IFERROR(VLOOKUP(MID(T26,W26,X26-W26),[6]skilldef!$C:$D,2,FALSE),"-") &amp; " / " &amp; IFERROR(VLOOKUP(MID(T26,U26,V26-U26),[6]skilldef!$A:$B,2,FALSE),"-")</f>
        <v>- / -</v>
      </c>
      <c r="Z26" s="43"/>
      <c r="AA26" s="45"/>
      <c r="AB26" s="43"/>
    </row>
    <row r="27" spans="1:28" ht="21" customHeight="1" x14ac:dyDescent="0.15">
      <c r="A27" s="40">
        <v>15029036</v>
      </c>
      <c r="B27" s="40" t="s">
        <v>268</v>
      </c>
      <c r="C27" s="43">
        <v>3</v>
      </c>
      <c r="D27" s="184" t="s">
        <v>128</v>
      </c>
      <c r="E27" s="44" t="s">
        <v>292</v>
      </c>
      <c r="F27" s="186" t="s">
        <v>251</v>
      </c>
      <c r="G27" s="56" t="str">
        <f t="shared" ref="G27" si="135">IFERROR(LEFT(B27,FIND("],",B27)),B27)</f>
        <v>[effect:rush, count:3, val:0.35]</v>
      </c>
      <c r="H27" s="56">
        <f t="shared" ref="H27" si="136">FIND("effect:",G27)+7</f>
        <v>9</v>
      </c>
      <c r="I27" s="56">
        <f t="shared" ref="I27" si="137">IFERROR(FIND(",",G27),LEN(G27))</f>
        <v>13</v>
      </c>
      <c r="J27" s="56" t="e">
        <f t="shared" ref="J27" si="138">FIND("target:",G27)+7</f>
        <v>#VALUE!</v>
      </c>
      <c r="K27" s="56">
        <f t="shared" ref="K27" si="139">FIND(",",G27,I27+1)</f>
        <v>22</v>
      </c>
      <c r="L27" s="56" t="str">
        <f>IFERROR(VLOOKUP(MID(G27,J27,K27-J27),[6]skilldef!$C:$D,2,FALSE),"-") &amp; " / " &amp; IFERROR(VLOOKUP(MID(G27,H27,I27-H27),[6]skilldef!$A:$B,2,FALSE),"-")</f>
        <v>- / 連続攻撃</v>
      </c>
      <c r="M27" s="56" t="str">
        <f t="shared" ref="M27" si="140">IFERROR(RIGHT(B27,LEN(B27)-FIND("],",B27)-1),"none")</f>
        <v>none</v>
      </c>
      <c r="N27" s="41" t="str">
        <f>IFERROR(LEFT(M27,FIND("],",M27)+S35),M27)</f>
        <v>none</v>
      </c>
      <c r="O27" s="56" t="e">
        <f t="shared" ref="O27" si="141">FIND("effect:",N27)+7</f>
        <v>#VALUE!</v>
      </c>
      <c r="P27" s="56">
        <f t="shared" ref="P27" si="142">IFERROR(FIND(",",N27),LEN(N27))</f>
        <v>4</v>
      </c>
      <c r="Q27" s="56" t="e">
        <f t="shared" ref="Q27" si="143">FIND("target:",N27)+7</f>
        <v>#VALUE!</v>
      </c>
      <c r="R27" s="56" t="e">
        <f t="shared" ref="R27" si="144">FIND(",",N27,P27+1)</f>
        <v>#VALUE!</v>
      </c>
      <c r="S27" s="56" t="str">
        <f>IFERROR(VLOOKUP(MID(N27,Q27,R27-Q27),[6]skilldef!$C:$D,2,FALSE),"-") &amp; " / " &amp; IFERROR(VLOOKUP(MID(N27,O27,P27-O27),[6]skilldef!$A:$B,2,FALSE),"-")</f>
        <v>- / -</v>
      </c>
      <c r="T27" s="41" t="str">
        <f t="shared" ref="T27" si="145">IFERROR(RIGHT(M27,LEN(M27)-FIND("],",M27)-1),"none")</f>
        <v>none</v>
      </c>
      <c r="U27" s="56" t="e">
        <f t="shared" ref="U27" si="146">FIND("effect:",T27)+7</f>
        <v>#VALUE!</v>
      </c>
      <c r="V27" s="56">
        <f t="shared" ref="V27" si="147">IFERROR(FIND(",",T27),LEN(T27))</f>
        <v>4</v>
      </c>
      <c r="W27" s="56" t="e">
        <f t="shared" ref="W27" si="148">FIND("target:",T27)+7</f>
        <v>#VALUE!</v>
      </c>
      <c r="X27" s="56" t="e">
        <f t="shared" ref="X27" si="149">FIND(",",T27,V27+1)</f>
        <v>#VALUE!</v>
      </c>
      <c r="Y27" s="56" t="str">
        <f>IFERROR(VLOOKUP(MID(T27,W27,X27-W27),[6]skilldef!$C:$D,2,FALSE),"-") &amp; " / " &amp; IFERROR(VLOOKUP(MID(T27,U27,V27-U27),[6]skilldef!$A:$B,2,FALSE),"-")</f>
        <v>- / -</v>
      </c>
      <c r="Z27" s="43"/>
      <c r="AA27" s="45"/>
      <c r="AB27" s="43"/>
    </row>
    <row r="28" spans="1:28" ht="21" customHeight="1" x14ac:dyDescent="0.15">
      <c r="A28" s="40">
        <v>15029037</v>
      </c>
      <c r="B28" s="40" t="s">
        <v>220</v>
      </c>
      <c r="C28" s="43">
        <v>3</v>
      </c>
      <c r="D28" s="184" t="s">
        <v>128</v>
      </c>
      <c r="E28" s="44" t="s">
        <v>289</v>
      </c>
      <c r="F28" s="186" t="s">
        <v>83</v>
      </c>
      <c r="G28" s="56" t="str">
        <f t="shared" ref="G28" si="150">IFERROR(LEFT(B28,FIND("],",B28)),B28)</f>
        <v>[effect:heal, target:enemy_one, val:0.1, animation:enemy_heal]</v>
      </c>
      <c r="H28" s="56">
        <f t="shared" ref="H28" si="151">FIND("effect:",G28)+7</f>
        <v>9</v>
      </c>
      <c r="I28" s="56">
        <f t="shared" ref="I28" si="152">IFERROR(FIND(",",G28),LEN(G28))</f>
        <v>13</v>
      </c>
      <c r="J28" s="56">
        <f t="shared" ref="J28" si="153">FIND("target:",G28)+7</f>
        <v>22</v>
      </c>
      <c r="K28" s="56">
        <f t="shared" ref="K28" si="154">FIND(",",G28,I28+1)</f>
        <v>31</v>
      </c>
      <c r="L28" s="56" t="str">
        <f>IFERROR(VLOOKUP(MID(G28,J28,K28-J28),[6]skilldef!$C:$D,2,FALSE),"-") &amp; " / " &amp; IFERROR(VLOOKUP(MID(G28,H28,I28-H28),[6]skilldef!$A:$B,2,FALSE),"-")</f>
        <v>敵単体に / 回復</v>
      </c>
      <c r="M28" s="56" t="str">
        <f t="shared" ref="M28" si="155">IFERROR(RIGHT(B28,LEN(B28)-FIND("],",B28)-1),"none")</f>
        <v>none</v>
      </c>
      <c r="N28" s="41" t="str">
        <f>IFERROR(LEFT(M28,FIND("],",M28)+S36),M28)</f>
        <v>none</v>
      </c>
      <c r="O28" s="56" t="e">
        <f t="shared" ref="O28" si="156">FIND("effect:",N28)+7</f>
        <v>#VALUE!</v>
      </c>
      <c r="P28" s="56">
        <f t="shared" ref="P28" si="157">IFERROR(FIND(",",N28),LEN(N28))</f>
        <v>4</v>
      </c>
      <c r="Q28" s="56" t="e">
        <f t="shared" ref="Q28" si="158">FIND("target:",N28)+7</f>
        <v>#VALUE!</v>
      </c>
      <c r="R28" s="56" t="e">
        <f t="shared" ref="R28" si="159">FIND(",",N28,P28+1)</f>
        <v>#VALUE!</v>
      </c>
      <c r="S28" s="56" t="str">
        <f>IFERROR(VLOOKUP(MID(N28,Q28,R28-Q28),[6]skilldef!$C:$D,2,FALSE),"-") &amp; " / " &amp; IFERROR(VLOOKUP(MID(N28,O28,P28-O28),[6]skilldef!$A:$B,2,FALSE),"-")</f>
        <v>- / -</v>
      </c>
      <c r="T28" s="41" t="str">
        <f t="shared" ref="T28" si="160">IFERROR(RIGHT(M28,LEN(M28)-FIND("],",M28)-1),"none")</f>
        <v>none</v>
      </c>
      <c r="U28" s="56" t="e">
        <f t="shared" ref="U28" si="161">FIND("effect:",T28)+7</f>
        <v>#VALUE!</v>
      </c>
      <c r="V28" s="56">
        <f t="shared" ref="V28" si="162">IFERROR(FIND(",",T28),LEN(T28))</f>
        <v>4</v>
      </c>
      <c r="W28" s="56" t="e">
        <f t="shared" ref="W28" si="163">FIND("target:",T28)+7</f>
        <v>#VALUE!</v>
      </c>
      <c r="X28" s="56" t="e">
        <f t="shared" ref="X28" si="164">FIND(",",T28,V28+1)</f>
        <v>#VALUE!</v>
      </c>
      <c r="Y28" s="56" t="str">
        <f>IFERROR(VLOOKUP(MID(T28,W28,X28-W28),[6]skilldef!$C:$D,2,FALSE),"-") &amp; " / " &amp; IFERROR(VLOOKUP(MID(T28,U28,V28-U28),[6]skilldef!$A:$B,2,FALSE),"-")</f>
        <v>- / -</v>
      </c>
      <c r="Z28" s="43"/>
      <c r="AA28" s="45"/>
      <c r="AB28" s="43"/>
    </row>
    <row r="29" spans="1:28" ht="21" customHeight="1" x14ac:dyDescent="0.15">
      <c r="A29" s="40">
        <v>15029038</v>
      </c>
      <c r="B29" s="40" t="s">
        <v>293</v>
      </c>
      <c r="C29" s="43">
        <v>3</v>
      </c>
      <c r="D29" s="184" t="s">
        <v>128</v>
      </c>
      <c r="E29" s="44" t="s">
        <v>294</v>
      </c>
      <c r="F29" s="186" t="s">
        <v>242</v>
      </c>
      <c r="G29" s="56" t="str">
        <f t="shared" ref="G29" si="165">IFERROR(LEFT(B29,FIND("],",B29)),B29)</f>
        <v>[effect:critical, val:1.3]</v>
      </c>
      <c r="H29" s="56">
        <f t="shared" ref="H29" si="166">FIND("effect:",G29)+7</f>
        <v>9</v>
      </c>
      <c r="I29" s="56">
        <f t="shared" ref="I29" si="167">IFERROR(FIND(",",G29),LEN(G29))</f>
        <v>17</v>
      </c>
      <c r="J29" s="56" t="e">
        <f t="shared" ref="J29" si="168">FIND("target:",G29)+7</f>
        <v>#VALUE!</v>
      </c>
      <c r="K29" s="56" t="e">
        <f t="shared" ref="K29" si="169">FIND(",",G29,I29+1)</f>
        <v>#VALUE!</v>
      </c>
      <c r="L29" s="56" t="str">
        <f>IFERROR(VLOOKUP(MID(G29,J29,K29-J29),[6]skilldef!$C:$D,2,FALSE),"-") &amp; " / " &amp; IFERROR(VLOOKUP(MID(G29,H29,I29-H29),[6]skilldef!$A:$B,2,FALSE),"-")</f>
        <v>- / 大攻撃</v>
      </c>
      <c r="M29" s="56" t="str">
        <f t="shared" ref="M29" si="170">IFERROR(RIGHT(B29,LEN(B29)-FIND("],",B29)-1),"none")</f>
        <v>none</v>
      </c>
      <c r="N29" s="41" t="str">
        <f>IFERROR(LEFT(M29,FIND("],",M29)+S37),M29)</f>
        <v>none</v>
      </c>
      <c r="O29" s="56" t="e">
        <f t="shared" ref="O29" si="171">FIND("effect:",N29)+7</f>
        <v>#VALUE!</v>
      </c>
      <c r="P29" s="56">
        <f t="shared" ref="P29" si="172">IFERROR(FIND(",",N29),LEN(N29))</f>
        <v>4</v>
      </c>
      <c r="Q29" s="56" t="e">
        <f t="shared" ref="Q29" si="173">FIND("target:",N29)+7</f>
        <v>#VALUE!</v>
      </c>
      <c r="R29" s="56" t="e">
        <f t="shared" ref="R29" si="174">FIND(",",N29,P29+1)</f>
        <v>#VALUE!</v>
      </c>
      <c r="S29" s="56" t="str">
        <f>IFERROR(VLOOKUP(MID(N29,Q29,R29-Q29),[6]skilldef!$C:$D,2,FALSE),"-") &amp; " / " &amp; IFERROR(VLOOKUP(MID(N29,O29,P29-O29),[6]skilldef!$A:$B,2,FALSE),"-")</f>
        <v>- / -</v>
      </c>
      <c r="T29" s="41" t="str">
        <f t="shared" ref="T29" si="175">IFERROR(RIGHT(M29,LEN(M29)-FIND("],",M29)-1),"none")</f>
        <v>none</v>
      </c>
      <c r="U29" s="56" t="e">
        <f t="shared" ref="U29" si="176">FIND("effect:",T29)+7</f>
        <v>#VALUE!</v>
      </c>
      <c r="V29" s="56">
        <f t="shared" ref="V29" si="177">IFERROR(FIND(",",T29),LEN(T29))</f>
        <v>4</v>
      </c>
      <c r="W29" s="56" t="e">
        <f t="shared" ref="W29" si="178">FIND("target:",T29)+7</f>
        <v>#VALUE!</v>
      </c>
      <c r="X29" s="56" t="e">
        <f t="shared" ref="X29" si="179">FIND(",",T29,V29+1)</f>
        <v>#VALUE!</v>
      </c>
      <c r="Y29" s="56" t="str">
        <f>IFERROR(VLOOKUP(MID(T29,W29,X29-W29),[6]skilldef!$C:$D,2,FALSE),"-") &amp; " / " &amp; IFERROR(VLOOKUP(MID(T29,U29,V29-U29),[6]skilldef!$A:$B,2,FALSE),"-")</f>
        <v>- / -</v>
      </c>
      <c r="Z29" s="43"/>
      <c r="AA29" s="45"/>
      <c r="AB29" s="43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38"/>
  <sheetViews>
    <sheetView showGridLines="0" zoomScale="125" zoomScaleNormal="125" zoomScalePageLayoutView="125" workbookViewId="0">
      <pane ySplit="1" topLeftCell="A15" activePane="bottomLeft" state="frozenSplit"/>
      <selection pane="bottomLeft" activeCell="J34" sqref="J34"/>
    </sheetView>
  </sheetViews>
  <sheetFormatPr baseColWidth="12" defaultColWidth="12.83203125" defaultRowHeight="21" customHeight="1" x14ac:dyDescent="0.15"/>
  <cols>
    <col min="1" max="1" width="16.1640625" style="42" bestFit="1" customWidth="1"/>
    <col min="2" max="2" width="13.33203125" style="42" bestFit="1" customWidth="1"/>
    <col min="3" max="3" width="11.83203125" style="42" bestFit="1" customWidth="1"/>
    <col min="4" max="4" width="14.6640625" style="42" bestFit="1" customWidth="1"/>
    <col min="5" max="5" width="15.6640625" style="42" bestFit="1" customWidth="1"/>
    <col min="6" max="6" width="17" style="42" bestFit="1" customWidth="1"/>
    <col min="7" max="7" width="15.6640625" style="42" bestFit="1" customWidth="1"/>
    <col min="8" max="9" width="14.6640625" style="42" customWidth="1"/>
    <col min="10" max="10" width="14.6640625" style="42" bestFit="1" customWidth="1"/>
    <col min="11" max="11" width="22.83203125" style="32" bestFit="1" customWidth="1"/>
    <col min="12" max="16384" width="12.83203125" style="38"/>
  </cols>
  <sheetData>
    <row r="1" spans="1:11" ht="21" customHeight="1" x14ac:dyDescent="0.15">
      <c r="A1" s="35" t="s">
        <v>84</v>
      </c>
      <c r="B1" s="35" t="s">
        <v>85</v>
      </c>
      <c r="C1" s="35" t="s">
        <v>86</v>
      </c>
      <c r="D1" s="35" t="s">
        <v>87</v>
      </c>
      <c r="E1" s="35" t="s">
        <v>69</v>
      </c>
      <c r="F1" s="46" t="s">
        <v>70</v>
      </c>
      <c r="G1" s="46" t="s">
        <v>71</v>
      </c>
      <c r="H1" s="35" t="s">
        <v>72</v>
      </c>
      <c r="I1" s="35" t="s">
        <v>73</v>
      </c>
      <c r="J1" s="35" t="s">
        <v>74</v>
      </c>
      <c r="K1" s="47" t="s">
        <v>88</v>
      </c>
    </row>
    <row r="2" spans="1:11" ht="21" customHeight="1" x14ac:dyDescent="0.15">
      <c r="A2" s="102">
        <v>15029001</v>
      </c>
      <c r="B2" s="40">
        <v>0</v>
      </c>
      <c r="C2" s="40" t="s">
        <v>89</v>
      </c>
      <c r="D2" s="40">
        <v>100</v>
      </c>
      <c r="E2" s="40">
        <v>60</v>
      </c>
      <c r="F2" s="40" t="s">
        <v>90</v>
      </c>
      <c r="G2" s="40">
        <v>1</v>
      </c>
      <c r="H2" s="40" t="s">
        <v>90</v>
      </c>
      <c r="I2" s="40" t="s">
        <v>90</v>
      </c>
      <c r="J2" s="41">
        <f t="shared" ref="J2" si="0">D2</f>
        <v>100</v>
      </c>
    </row>
    <row r="3" spans="1:11" ht="21" customHeight="1" x14ac:dyDescent="0.15">
      <c r="A3" s="40">
        <v>15029002</v>
      </c>
      <c r="B3" s="40">
        <v>0</v>
      </c>
      <c r="C3" s="40" t="s">
        <v>224</v>
      </c>
      <c r="D3" s="40">
        <v>100</v>
      </c>
      <c r="E3" s="40" t="s">
        <v>225</v>
      </c>
      <c r="F3" s="40" t="s">
        <v>226</v>
      </c>
      <c r="G3" s="40" t="s">
        <v>227</v>
      </c>
      <c r="H3" s="40" t="s">
        <v>227</v>
      </c>
      <c r="I3" s="40" t="s">
        <v>224</v>
      </c>
      <c r="J3" s="41">
        <f t="shared" ref="J3:J36" si="1">D3</f>
        <v>100</v>
      </c>
    </row>
    <row r="4" spans="1:11" ht="21" customHeight="1" x14ac:dyDescent="0.15">
      <c r="A4" s="40">
        <v>15029003</v>
      </c>
      <c r="B4" s="40">
        <v>0</v>
      </c>
      <c r="C4" s="40" t="s">
        <v>224</v>
      </c>
      <c r="D4" s="40">
        <v>100</v>
      </c>
      <c r="E4" s="40" t="s">
        <v>225</v>
      </c>
      <c r="F4" s="40" t="s">
        <v>226</v>
      </c>
      <c r="G4" s="40" t="s">
        <v>227</v>
      </c>
      <c r="H4" s="40">
        <v>2</v>
      </c>
      <c r="I4" s="40" t="s">
        <v>224</v>
      </c>
      <c r="J4" s="41">
        <f t="shared" si="1"/>
        <v>100</v>
      </c>
    </row>
    <row r="5" spans="1:11" ht="21" customHeight="1" x14ac:dyDescent="0.15">
      <c r="A5" s="40">
        <v>15029004</v>
      </c>
      <c r="B5" s="40">
        <v>0</v>
      </c>
      <c r="C5" s="40">
        <v>10</v>
      </c>
      <c r="D5" s="40">
        <v>100</v>
      </c>
      <c r="E5" s="40">
        <v>25</v>
      </c>
      <c r="F5" s="40" t="s">
        <v>226</v>
      </c>
      <c r="G5" s="40" t="s">
        <v>227</v>
      </c>
      <c r="H5" s="40" t="s">
        <v>227</v>
      </c>
      <c r="I5" s="40" t="s">
        <v>224</v>
      </c>
      <c r="J5" s="41">
        <f t="shared" si="1"/>
        <v>100</v>
      </c>
    </row>
    <row r="6" spans="1:11" ht="21" customHeight="1" x14ac:dyDescent="0.15">
      <c r="A6" s="40">
        <v>15029005</v>
      </c>
      <c r="B6" s="40">
        <v>0</v>
      </c>
      <c r="C6" s="40" t="s">
        <v>224</v>
      </c>
      <c r="D6" s="40">
        <v>70</v>
      </c>
      <c r="E6" s="40" t="s">
        <v>225</v>
      </c>
      <c r="F6" s="40" t="s">
        <v>226</v>
      </c>
      <c r="G6" s="40" t="s">
        <v>227</v>
      </c>
      <c r="H6" s="40" t="s">
        <v>227</v>
      </c>
      <c r="I6" s="40" t="s">
        <v>224</v>
      </c>
      <c r="J6" s="41">
        <f t="shared" si="1"/>
        <v>70</v>
      </c>
    </row>
    <row r="7" spans="1:11" ht="21" customHeight="1" x14ac:dyDescent="0.15">
      <c r="A7" s="40">
        <v>15029006</v>
      </c>
      <c r="B7" s="40">
        <v>0</v>
      </c>
      <c r="C7" s="40" t="s">
        <v>224</v>
      </c>
      <c r="D7" s="40">
        <v>100</v>
      </c>
      <c r="E7" s="40" t="s">
        <v>225</v>
      </c>
      <c r="F7" s="40" t="s">
        <v>226</v>
      </c>
      <c r="G7" s="40" t="s">
        <v>227</v>
      </c>
      <c r="H7" s="40" t="s">
        <v>227</v>
      </c>
      <c r="I7" s="40" t="s">
        <v>224</v>
      </c>
      <c r="J7" s="41">
        <f t="shared" si="1"/>
        <v>100</v>
      </c>
    </row>
    <row r="8" spans="1:11" ht="21" customHeight="1" x14ac:dyDescent="0.15">
      <c r="A8" s="40">
        <v>15029007</v>
      </c>
      <c r="B8" s="40">
        <v>0</v>
      </c>
      <c r="C8" s="40" t="s">
        <v>224</v>
      </c>
      <c r="D8" s="40">
        <v>100</v>
      </c>
      <c r="E8" s="40" t="s">
        <v>225</v>
      </c>
      <c r="F8" s="40" t="s">
        <v>226</v>
      </c>
      <c r="G8" s="40" t="s">
        <v>227</v>
      </c>
      <c r="H8" s="40" t="s">
        <v>227</v>
      </c>
      <c r="I8" s="40" t="s">
        <v>224</v>
      </c>
      <c r="J8" s="41">
        <f t="shared" si="1"/>
        <v>100</v>
      </c>
    </row>
    <row r="9" spans="1:11" ht="21" customHeight="1" x14ac:dyDescent="0.15">
      <c r="A9" s="40">
        <v>15029008</v>
      </c>
      <c r="B9" s="40">
        <v>0</v>
      </c>
      <c r="C9" s="40" t="s">
        <v>224</v>
      </c>
      <c r="D9" s="40">
        <v>100</v>
      </c>
      <c r="E9" s="40" t="s">
        <v>225</v>
      </c>
      <c r="F9" s="40" t="s">
        <v>226</v>
      </c>
      <c r="G9" s="40" t="s">
        <v>227</v>
      </c>
      <c r="H9" s="40">
        <v>2</v>
      </c>
      <c r="I9" s="40" t="s">
        <v>224</v>
      </c>
      <c r="J9" s="41">
        <f t="shared" si="1"/>
        <v>100</v>
      </c>
    </row>
    <row r="10" spans="1:11" ht="21" customHeight="1" x14ac:dyDescent="0.15">
      <c r="A10" s="40">
        <v>15029009</v>
      </c>
      <c r="B10" s="40">
        <v>1</v>
      </c>
      <c r="C10" s="40" t="s">
        <v>224</v>
      </c>
      <c r="D10" s="40">
        <v>100</v>
      </c>
      <c r="E10" s="40" t="s">
        <v>225</v>
      </c>
      <c r="F10" s="40" t="s">
        <v>226</v>
      </c>
      <c r="G10" s="40">
        <v>1</v>
      </c>
      <c r="H10" s="40" t="s">
        <v>227</v>
      </c>
      <c r="I10" s="40" t="s">
        <v>224</v>
      </c>
      <c r="J10" s="41">
        <f t="shared" si="1"/>
        <v>100</v>
      </c>
    </row>
    <row r="11" spans="1:11" ht="21" customHeight="1" x14ac:dyDescent="0.15">
      <c r="A11" s="40">
        <v>15029010</v>
      </c>
      <c r="B11" s="40">
        <v>1</v>
      </c>
      <c r="C11" s="40" t="s">
        <v>224</v>
      </c>
      <c r="D11" s="40">
        <v>100</v>
      </c>
      <c r="E11" s="40" t="s">
        <v>225</v>
      </c>
      <c r="F11" s="40" t="s">
        <v>226</v>
      </c>
      <c r="G11" s="40">
        <v>1</v>
      </c>
      <c r="H11" s="40" t="s">
        <v>227</v>
      </c>
      <c r="I11" s="40" t="s">
        <v>224</v>
      </c>
      <c r="J11" s="41">
        <f t="shared" si="1"/>
        <v>100</v>
      </c>
    </row>
    <row r="12" spans="1:11" ht="21" customHeight="1" x14ac:dyDescent="0.15">
      <c r="A12" s="40">
        <v>15029011</v>
      </c>
      <c r="B12" s="40">
        <v>0</v>
      </c>
      <c r="C12" s="40">
        <v>10</v>
      </c>
      <c r="D12" s="40">
        <v>100</v>
      </c>
      <c r="E12" s="40">
        <v>50</v>
      </c>
      <c r="F12" s="40" t="s">
        <v>226</v>
      </c>
      <c r="G12" s="40">
        <v>1</v>
      </c>
      <c r="H12" s="40" t="s">
        <v>227</v>
      </c>
      <c r="I12" s="40" t="s">
        <v>224</v>
      </c>
      <c r="J12" s="41">
        <f t="shared" si="1"/>
        <v>100</v>
      </c>
    </row>
    <row r="13" spans="1:11" ht="21" customHeight="1" x14ac:dyDescent="0.15">
      <c r="A13" s="40">
        <v>15029012</v>
      </c>
      <c r="B13" s="40">
        <v>0</v>
      </c>
      <c r="C13" s="40">
        <v>5</v>
      </c>
      <c r="D13" s="40">
        <v>100</v>
      </c>
      <c r="E13" s="40">
        <v>50</v>
      </c>
      <c r="F13" s="40" t="s">
        <v>226</v>
      </c>
      <c r="G13" s="40">
        <v>1</v>
      </c>
      <c r="H13" s="40" t="s">
        <v>227</v>
      </c>
      <c r="I13" s="40" t="s">
        <v>224</v>
      </c>
      <c r="J13" s="41">
        <f t="shared" si="1"/>
        <v>100</v>
      </c>
    </row>
    <row r="14" spans="1:11" ht="21" customHeight="1" x14ac:dyDescent="0.15">
      <c r="A14" s="40">
        <v>15029013</v>
      </c>
      <c r="B14" s="40">
        <v>0</v>
      </c>
      <c r="C14" s="40" t="s">
        <v>224</v>
      </c>
      <c r="D14" s="40">
        <v>100</v>
      </c>
      <c r="E14" s="40" t="s">
        <v>225</v>
      </c>
      <c r="F14" s="40" t="s">
        <v>226</v>
      </c>
      <c r="G14" s="40" t="s">
        <v>227</v>
      </c>
      <c r="H14" s="40" t="s">
        <v>227</v>
      </c>
      <c r="I14" s="40" t="s">
        <v>224</v>
      </c>
      <c r="J14" s="41">
        <f t="shared" si="1"/>
        <v>100</v>
      </c>
    </row>
    <row r="15" spans="1:11" ht="21" customHeight="1" x14ac:dyDescent="0.15">
      <c r="A15" s="40">
        <v>15029014</v>
      </c>
      <c r="B15" s="40">
        <v>0</v>
      </c>
      <c r="C15" s="40" t="s">
        <v>224</v>
      </c>
      <c r="D15" s="40">
        <v>100</v>
      </c>
      <c r="E15" s="40" t="s">
        <v>225</v>
      </c>
      <c r="F15" s="40" t="s">
        <v>226</v>
      </c>
      <c r="G15" s="40" t="s">
        <v>227</v>
      </c>
      <c r="H15" s="40">
        <v>2</v>
      </c>
      <c r="I15" s="40" t="s">
        <v>224</v>
      </c>
      <c r="J15" s="41">
        <f t="shared" si="1"/>
        <v>100</v>
      </c>
    </row>
    <row r="16" spans="1:11" ht="21" customHeight="1" x14ac:dyDescent="0.15">
      <c r="A16" s="40">
        <v>15029015</v>
      </c>
      <c r="B16" s="40">
        <v>0</v>
      </c>
      <c r="C16" s="40" t="s">
        <v>224</v>
      </c>
      <c r="D16" s="40">
        <v>100</v>
      </c>
      <c r="E16" s="40" t="s">
        <v>225</v>
      </c>
      <c r="F16" s="40" t="s">
        <v>226</v>
      </c>
      <c r="G16" s="40" t="s">
        <v>227</v>
      </c>
      <c r="H16" s="40" t="s">
        <v>227</v>
      </c>
      <c r="I16" s="40" t="s">
        <v>224</v>
      </c>
      <c r="J16" s="41">
        <f t="shared" si="1"/>
        <v>100</v>
      </c>
    </row>
    <row r="17" spans="1:10" ht="21" customHeight="1" x14ac:dyDescent="0.15">
      <c r="A17" s="40">
        <v>15029016</v>
      </c>
      <c r="B17" s="40">
        <v>0</v>
      </c>
      <c r="C17" s="40" t="s">
        <v>224</v>
      </c>
      <c r="D17" s="40">
        <v>60</v>
      </c>
      <c r="E17" s="40" t="s">
        <v>225</v>
      </c>
      <c r="F17" s="40" t="s">
        <v>226</v>
      </c>
      <c r="G17" s="40" t="s">
        <v>227</v>
      </c>
      <c r="H17" s="40" t="s">
        <v>227</v>
      </c>
      <c r="I17" s="40" t="s">
        <v>224</v>
      </c>
      <c r="J17" s="41">
        <f t="shared" si="1"/>
        <v>60</v>
      </c>
    </row>
    <row r="18" spans="1:10" ht="21" customHeight="1" x14ac:dyDescent="0.15">
      <c r="A18" s="40">
        <v>15029017</v>
      </c>
      <c r="B18" s="40">
        <v>0</v>
      </c>
      <c r="C18" s="40" t="s">
        <v>224</v>
      </c>
      <c r="D18" s="40">
        <v>100</v>
      </c>
      <c r="E18" s="40" t="s">
        <v>225</v>
      </c>
      <c r="F18" s="40" t="s">
        <v>226</v>
      </c>
      <c r="G18" s="40" t="s">
        <v>227</v>
      </c>
      <c r="H18" s="40" t="s">
        <v>227</v>
      </c>
      <c r="I18" s="40" t="s">
        <v>224</v>
      </c>
      <c r="J18" s="41">
        <f t="shared" si="1"/>
        <v>100</v>
      </c>
    </row>
    <row r="19" spans="1:10" ht="21" customHeight="1" x14ac:dyDescent="0.15">
      <c r="A19" s="40">
        <v>15029018</v>
      </c>
      <c r="B19" s="40">
        <v>0</v>
      </c>
      <c r="C19" s="40" t="s">
        <v>224</v>
      </c>
      <c r="D19" s="40">
        <v>100</v>
      </c>
      <c r="E19" s="40" t="s">
        <v>225</v>
      </c>
      <c r="F19" s="40" t="s">
        <v>226</v>
      </c>
      <c r="G19" s="40" t="s">
        <v>227</v>
      </c>
      <c r="H19" s="40" t="s">
        <v>227</v>
      </c>
      <c r="I19" s="40" t="s">
        <v>224</v>
      </c>
      <c r="J19" s="41">
        <f t="shared" si="1"/>
        <v>100</v>
      </c>
    </row>
    <row r="20" spans="1:10" ht="21" customHeight="1" x14ac:dyDescent="0.15">
      <c r="A20" s="40">
        <v>15029019</v>
      </c>
      <c r="B20" s="40">
        <v>1</v>
      </c>
      <c r="C20" s="40" t="s">
        <v>224</v>
      </c>
      <c r="D20" s="40">
        <v>100</v>
      </c>
      <c r="E20" s="40" t="s">
        <v>225</v>
      </c>
      <c r="F20" s="40" t="s">
        <v>226</v>
      </c>
      <c r="G20" s="40">
        <v>1</v>
      </c>
      <c r="H20" s="40" t="s">
        <v>227</v>
      </c>
      <c r="I20" s="40" t="s">
        <v>224</v>
      </c>
      <c r="J20" s="41">
        <f t="shared" si="1"/>
        <v>100</v>
      </c>
    </row>
    <row r="21" spans="1:10" ht="21" customHeight="1" x14ac:dyDescent="0.15">
      <c r="A21" s="40">
        <v>15029020</v>
      </c>
      <c r="B21" s="40">
        <v>0</v>
      </c>
      <c r="C21" s="40" t="s">
        <v>224</v>
      </c>
      <c r="D21" s="40">
        <v>100</v>
      </c>
      <c r="E21" s="40">
        <v>80</v>
      </c>
      <c r="F21" s="40" t="s">
        <v>226</v>
      </c>
      <c r="G21" s="40">
        <v>1</v>
      </c>
      <c r="H21" s="40" t="s">
        <v>227</v>
      </c>
      <c r="I21" s="40" t="s">
        <v>224</v>
      </c>
      <c r="J21" s="41">
        <f t="shared" si="1"/>
        <v>100</v>
      </c>
    </row>
    <row r="22" spans="1:10" ht="21" customHeight="1" x14ac:dyDescent="0.15">
      <c r="A22" s="40">
        <v>15029021</v>
      </c>
      <c r="B22" s="40">
        <v>0</v>
      </c>
      <c r="C22" s="40" t="s">
        <v>224</v>
      </c>
      <c r="D22" s="40">
        <v>100</v>
      </c>
      <c r="E22" s="40">
        <v>50</v>
      </c>
      <c r="F22" s="40" t="s">
        <v>226</v>
      </c>
      <c r="G22" s="40">
        <v>1</v>
      </c>
      <c r="H22" s="40" t="s">
        <v>227</v>
      </c>
      <c r="I22" s="40" t="s">
        <v>224</v>
      </c>
      <c r="J22" s="41">
        <f t="shared" si="1"/>
        <v>100</v>
      </c>
    </row>
    <row r="23" spans="1:10" ht="21" customHeight="1" x14ac:dyDescent="0.15">
      <c r="A23" s="40">
        <v>15029022</v>
      </c>
      <c r="B23" s="40">
        <v>0</v>
      </c>
      <c r="C23" s="40" t="s">
        <v>224</v>
      </c>
      <c r="D23" s="40">
        <v>100</v>
      </c>
      <c r="E23" s="40" t="s">
        <v>225</v>
      </c>
      <c r="F23" s="40" t="s">
        <v>226</v>
      </c>
      <c r="G23" s="40" t="s">
        <v>227</v>
      </c>
      <c r="H23" s="40">
        <v>3</v>
      </c>
      <c r="I23" s="40" t="s">
        <v>224</v>
      </c>
      <c r="J23" s="41">
        <f t="shared" si="1"/>
        <v>100</v>
      </c>
    </row>
    <row r="24" spans="1:10" ht="21" customHeight="1" x14ac:dyDescent="0.15">
      <c r="A24" s="40">
        <v>15029023</v>
      </c>
      <c r="B24" s="40">
        <v>1</v>
      </c>
      <c r="C24" s="40" t="s">
        <v>224</v>
      </c>
      <c r="D24" s="40">
        <v>100</v>
      </c>
      <c r="E24" s="40" t="s">
        <v>225</v>
      </c>
      <c r="F24" s="40" t="s">
        <v>226</v>
      </c>
      <c r="G24" s="40">
        <v>1</v>
      </c>
      <c r="H24" s="40" t="s">
        <v>227</v>
      </c>
      <c r="I24" s="40" t="s">
        <v>224</v>
      </c>
      <c r="J24" s="41">
        <f t="shared" si="1"/>
        <v>100</v>
      </c>
    </row>
    <row r="25" spans="1:10" ht="21" customHeight="1" x14ac:dyDescent="0.15">
      <c r="A25" s="40">
        <v>15029024</v>
      </c>
      <c r="B25" s="40">
        <v>0</v>
      </c>
      <c r="C25" s="40" t="s">
        <v>224</v>
      </c>
      <c r="D25" s="40">
        <v>100</v>
      </c>
      <c r="E25" s="40" t="s">
        <v>225</v>
      </c>
      <c r="F25" s="40" t="s">
        <v>226</v>
      </c>
      <c r="G25" s="40" t="s">
        <v>227</v>
      </c>
      <c r="H25" s="40">
        <v>2</v>
      </c>
      <c r="I25" s="40" t="s">
        <v>224</v>
      </c>
      <c r="J25" s="41">
        <f t="shared" si="1"/>
        <v>100</v>
      </c>
    </row>
    <row r="26" spans="1:10" ht="21" customHeight="1" x14ac:dyDescent="0.15">
      <c r="A26" s="40">
        <v>15029025</v>
      </c>
      <c r="B26" s="40">
        <v>0</v>
      </c>
      <c r="C26" s="40" t="s">
        <v>224</v>
      </c>
      <c r="D26" s="40">
        <v>100</v>
      </c>
      <c r="E26" s="40">
        <v>25</v>
      </c>
      <c r="F26" s="40" t="s">
        <v>226</v>
      </c>
      <c r="G26" s="40" t="s">
        <v>227</v>
      </c>
      <c r="H26" s="40" t="s">
        <v>227</v>
      </c>
      <c r="I26" s="40" t="s">
        <v>224</v>
      </c>
      <c r="J26" s="41">
        <f t="shared" si="1"/>
        <v>100</v>
      </c>
    </row>
    <row r="27" spans="1:10" ht="21" customHeight="1" x14ac:dyDescent="0.15">
      <c r="A27" s="40">
        <v>15029026</v>
      </c>
      <c r="B27" s="40">
        <v>0</v>
      </c>
      <c r="C27" s="40" t="s">
        <v>224</v>
      </c>
      <c r="D27" s="40">
        <v>100</v>
      </c>
      <c r="E27" s="40" t="s">
        <v>225</v>
      </c>
      <c r="F27" s="40" t="s">
        <v>226</v>
      </c>
      <c r="G27" s="40" t="s">
        <v>227</v>
      </c>
      <c r="H27" s="40">
        <v>2</v>
      </c>
      <c r="I27" s="40" t="s">
        <v>224</v>
      </c>
      <c r="J27" s="41">
        <f t="shared" si="1"/>
        <v>100</v>
      </c>
    </row>
    <row r="28" spans="1:10" ht="21" customHeight="1" x14ac:dyDescent="0.15">
      <c r="A28" s="40">
        <v>15029027</v>
      </c>
      <c r="B28" s="40">
        <v>0</v>
      </c>
      <c r="C28" s="40" t="s">
        <v>224</v>
      </c>
      <c r="D28" s="40">
        <v>100</v>
      </c>
      <c r="E28" s="40" t="s">
        <v>225</v>
      </c>
      <c r="F28" s="40" t="s">
        <v>226</v>
      </c>
      <c r="G28" s="40" t="s">
        <v>227</v>
      </c>
      <c r="H28" s="40" t="s">
        <v>227</v>
      </c>
      <c r="I28" s="40" t="s">
        <v>224</v>
      </c>
      <c r="J28" s="41">
        <f t="shared" si="1"/>
        <v>100</v>
      </c>
    </row>
    <row r="29" spans="1:10" ht="21" customHeight="1" x14ac:dyDescent="0.15">
      <c r="A29" s="40">
        <v>15029028</v>
      </c>
      <c r="B29" s="40">
        <v>0</v>
      </c>
      <c r="C29" s="40" t="s">
        <v>224</v>
      </c>
      <c r="D29" s="40">
        <v>100</v>
      </c>
      <c r="E29" s="40" t="s">
        <v>225</v>
      </c>
      <c r="F29" s="40" t="s">
        <v>226</v>
      </c>
      <c r="G29" s="40" t="s">
        <v>227</v>
      </c>
      <c r="H29" s="40" t="s">
        <v>227</v>
      </c>
      <c r="I29" s="40" t="s">
        <v>224</v>
      </c>
      <c r="J29" s="41">
        <f t="shared" si="1"/>
        <v>100</v>
      </c>
    </row>
    <row r="30" spans="1:10" ht="21" customHeight="1" x14ac:dyDescent="0.15">
      <c r="A30" s="40">
        <v>15029029</v>
      </c>
      <c r="B30" s="40">
        <v>0</v>
      </c>
      <c r="C30" s="40" t="s">
        <v>224</v>
      </c>
      <c r="D30" s="40">
        <v>60</v>
      </c>
      <c r="E30" s="40" t="s">
        <v>225</v>
      </c>
      <c r="F30" s="40" t="s">
        <v>226</v>
      </c>
      <c r="G30" s="40">
        <v>2</v>
      </c>
      <c r="H30" s="40" t="s">
        <v>227</v>
      </c>
      <c r="I30" s="40" t="s">
        <v>224</v>
      </c>
      <c r="J30" s="41">
        <f t="shared" si="1"/>
        <v>60</v>
      </c>
    </row>
    <row r="31" spans="1:10" ht="21" customHeight="1" x14ac:dyDescent="0.15">
      <c r="A31" s="40">
        <v>15029030</v>
      </c>
      <c r="B31" s="40">
        <v>0</v>
      </c>
      <c r="C31" s="40" t="s">
        <v>224</v>
      </c>
      <c r="D31" s="40">
        <v>65</v>
      </c>
      <c r="E31" s="40" t="s">
        <v>228</v>
      </c>
      <c r="F31" s="40" t="s">
        <v>226</v>
      </c>
      <c r="G31" s="40" t="s">
        <v>227</v>
      </c>
      <c r="H31" s="40" t="s">
        <v>227</v>
      </c>
      <c r="I31" s="40" t="s">
        <v>224</v>
      </c>
      <c r="J31" s="41">
        <f t="shared" si="1"/>
        <v>65</v>
      </c>
    </row>
    <row r="32" spans="1:10" ht="21" customHeight="1" x14ac:dyDescent="0.15">
      <c r="A32" s="40">
        <v>15029031</v>
      </c>
      <c r="B32" s="40">
        <v>1</v>
      </c>
      <c r="C32" s="40" t="s">
        <v>224</v>
      </c>
      <c r="D32" s="40">
        <v>100</v>
      </c>
      <c r="E32" s="40" t="s">
        <v>229</v>
      </c>
      <c r="F32" s="40" t="s">
        <v>226</v>
      </c>
      <c r="G32" s="40">
        <v>1</v>
      </c>
      <c r="H32" s="40" t="s">
        <v>227</v>
      </c>
      <c r="I32" s="40" t="s">
        <v>224</v>
      </c>
      <c r="J32" s="41">
        <f t="shared" si="1"/>
        <v>100</v>
      </c>
    </row>
    <row r="33" spans="1:10" ht="21" customHeight="1" x14ac:dyDescent="0.15">
      <c r="A33" s="40">
        <v>15029032</v>
      </c>
      <c r="B33" s="40">
        <v>1</v>
      </c>
      <c r="C33" s="40" t="s">
        <v>224</v>
      </c>
      <c r="D33" s="40">
        <v>100</v>
      </c>
      <c r="E33" s="40" t="s">
        <v>230</v>
      </c>
      <c r="F33" s="40" t="s">
        <v>226</v>
      </c>
      <c r="G33" s="40">
        <v>1</v>
      </c>
      <c r="H33" s="40" t="s">
        <v>227</v>
      </c>
      <c r="I33" s="40" t="s">
        <v>224</v>
      </c>
      <c r="J33" s="41">
        <f t="shared" si="1"/>
        <v>100</v>
      </c>
    </row>
    <row r="34" spans="1:10" ht="21" customHeight="1" x14ac:dyDescent="0.15">
      <c r="A34" s="40">
        <v>15029033</v>
      </c>
      <c r="B34" s="41">
        <v>0</v>
      </c>
      <c r="C34" s="41">
        <v>50</v>
      </c>
      <c r="D34" s="41">
        <v>100</v>
      </c>
      <c r="E34" s="41" t="s">
        <v>224</v>
      </c>
      <c r="F34" s="41" t="s">
        <v>224</v>
      </c>
      <c r="G34" s="41" t="s">
        <v>224</v>
      </c>
      <c r="H34" s="41">
        <v>2</v>
      </c>
      <c r="I34" s="41" t="s">
        <v>224</v>
      </c>
      <c r="J34" s="41">
        <f t="shared" si="1"/>
        <v>100</v>
      </c>
    </row>
    <row r="35" spans="1:10" ht="21" customHeight="1" x14ac:dyDescent="0.15">
      <c r="A35" s="40">
        <v>15029034</v>
      </c>
      <c r="B35" s="41">
        <v>0</v>
      </c>
      <c r="C35" s="41" t="s">
        <v>224</v>
      </c>
      <c r="D35" s="41">
        <v>60</v>
      </c>
      <c r="E35" s="41" t="s">
        <v>224</v>
      </c>
      <c r="F35" s="41" t="s">
        <v>224</v>
      </c>
      <c r="G35" s="41" t="s">
        <v>224</v>
      </c>
      <c r="H35" s="41" t="s">
        <v>224</v>
      </c>
      <c r="I35" s="41" t="s">
        <v>224</v>
      </c>
      <c r="J35" s="41">
        <f t="shared" si="1"/>
        <v>60</v>
      </c>
    </row>
    <row r="36" spans="1:10" ht="21" customHeight="1" x14ac:dyDescent="0.15">
      <c r="A36" s="40">
        <v>15029035</v>
      </c>
      <c r="B36" s="41">
        <v>0</v>
      </c>
      <c r="C36" s="41" t="s">
        <v>224</v>
      </c>
      <c r="D36" s="41">
        <v>60</v>
      </c>
      <c r="E36" s="41" t="s">
        <v>224</v>
      </c>
      <c r="F36" s="41" t="s">
        <v>224</v>
      </c>
      <c r="G36" s="41" t="s">
        <v>224</v>
      </c>
      <c r="H36" s="41" t="s">
        <v>224</v>
      </c>
      <c r="I36" s="41" t="s">
        <v>224</v>
      </c>
      <c r="J36" s="41">
        <f t="shared" si="1"/>
        <v>60</v>
      </c>
    </row>
    <row r="37" spans="1:10" ht="21" customHeight="1" x14ac:dyDescent="0.15">
      <c r="A37" s="40">
        <v>15029036</v>
      </c>
      <c r="B37" s="40">
        <v>0</v>
      </c>
      <c r="C37" s="40" t="s">
        <v>224</v>
      </c>
      <c r="D37" s="40">
        <v>50</v>
      </c>
      <c r="E37" s="40" t="s">
        <v>224</v>
      </c>
      <c r="F37" s="40" t="s">
        <v>224</v>
      </c>
      <c r="G37" s="40">
        <v>3</v>
      </c>
      <c r="H37" s="40" t="s">
        <v>224</v>
      </c>
      <c r="I37" s="40" t="s">
        <v>224</v>
      </c>
      <c r="J37" s="41">
        <f>D37</f>
        <v>50</v>
      </c>
    </row>
    <row r="38" spans="1:10" ht="21" customHeight="1" x14ac:dyDescent="0.15">
      <c r="A38" s="40">
        <v>15029037</v>
      </c>
      <c r="B38" s="40">
        <v>0</v>
      </c>
      <c r="C38" s="40" t="s">
        <v>224</v>
      </c>
      <c r="D38" s="40">
        <v>50</v>
      </c>
      <c r="E38" s="40" t="s">
        <v>224</v>
      </c>
      <c r="F38" s="40" t="s">
        <v>224</v>
      </c>
      <c r="G38" s="40" t="s">
        <v>224</v>
      </c>
      <c r="H38" s="40" t="s">
        <v>224</v>
      </c>
      <c r="I38" s="40" t="s">
        <v>224</v>
      </c>
      <c r="J38" s="41">
        <f>D38</f>
        <v>50</v>
      </c>
    </row>
  </sheetData>
  <autoFilter ref="A1:G1"/>
  <phoneticPr fontId="5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34"/>
  <sheetViews>
    <sheetView workbookViewId="0">
      <selection activeCell="H37" sqref="H37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57" t="s">
        <v>151</v>
      </c>
      <c r="B1" s="57" t="s">
        <v>152</v>
      </c>
      <c r="C1" s="58" t="s">
        <v>153</v>
      </c>
      <c r="D1" s="65" t="s">
        <v>154</v>
      </c>
      <c r="E1" s="59" t="s">
        <v>155</v>
      </c>
      <c r="F1" s="57" t="s">
        <v>156</v>
      </c>
      <c r="G1" s="57" t="s">
        <v>157</v>
      </c>
      <c r="H1" s="57" t="s">
        <v>158</v>
      </c>
      <c r="I1" s="57" t="s">
        <v>159</v>
      </c>
      <c r="J1" s="57" t="s">
        <v>160</v>
      </c>
      <c r="K1" s="57" t="s">
        <v>161</v>
      </c>
      <c r="L1" s="57" t="s">
        <v>162</v>
      </c>
      <c r="M1" s="57" t="s">
        <v>163</v>
      </c>
      <c r="N1" s="57" t="s">
        <v>164</v>
      </c>
      <c r="O1" s="57" t="s">
        <v>165</v>
      </c>
      <c r="P1" s="57" t="s">
        <v>166</v>
      </c>
      <c r="Q1" s="57" t="s">
        <v>167</v>
      </c>
      <c r="R1" s="57" t="s">
        <v>168</v>
      </c>
    </row>
    <row r="2" spans="1:18" s="235" customFormat="1" x14ac:dyDescent="0.15">
      <c r="A2" s="232">
        <v>15029</v>
      </c>
      <c r="B2" s="232">
        <v>1</v>
      </c>
      <c r="C2" s="233" t="str">
        <f>A2&amp; "_"&amp;B2</f>
        <v>15029_1</v>
      </c>
      <c r="D2" s="234" t="str">
        <f ca="1">VLOOKUP($C2,OFFSET([2]stages!$A$1,0,0,COUNTA([2]stages!$A:$A),MATCH(D$1,[2]stages!$2:$2,0)-MATCH($C$1,[2]stages!$2:$2,0)+1),MATCH(D$1,[2]stages!$2:$2,0)-MATCH($C$1,[2]stages!$2:$2,0)+1,FALSE)</f>
        <v>everyone</v>
      </c>
      <c r="E2" s="232">
        <v>1</v>
      </c>
      <c r="F2" s="232" t="s">
        <v>169</v>
      </c>
      <c r="G2" s="236">
        <v>3000</v>
      </c>
      <c r="H2" s="232" t="s">
        <v>279</v>
      </c>
      <c r="I2" s="232">
        <v>1</v>
      </c>
      <c r="J2" s="232">
        <v>1</v>
      </c>
      <c r="K2" s="232">
        <v>0</v>
      </c>
      <c r="L2" s="232">
        <v>0</v>
      </c>
      <c r="M2" s="232">
        <v>0</v>
      </c>
      <c r="N2" s="232">
        <v>0</v>
      </c>
      <c r="O2" s="232">
        <v>1</v>
      </c>
      <c r="P2" s="232">
        <v>2000</v>
      </c>
      <c r="Q2" s="232" t="s">
        <v>170</v>
      </c>
      <c r="R2" s="232" t="s">
        <v>171</v>
      </c>
    </row>
    <row r="3" spans="1:18" s="235" customFormat="1" x14ac:dyDescent="0.15">
      <c r="A3" s="232">
        <v>15029</v>
      </c>
      <c r="B3" s="232">
        <v>1</v>
      </c>
      <c r="C3" s="233" t="str">
        <f t="shared" ref="C3:C34" si="0">A3&amp; "_"&amp;B3</f>
        <v>15029_1</v>
      </c>
      <c r="D3" s="234" t="str">
        <f ca="1">VLOOKUP($C3,OFFSET([2]stages!$A$1,0,0,COUNTA([2]stages!$A:$A),MATCH(D$1,[2]stages!$2:$2,0)-MATCH($C$1,[2]stages!$2:$2,0)+1),MATCH(D$1,[2]stages!$2:$2,0)-MATCH($C$1,[2]stages!$2:$2,0)+1,FALSE)</f>
        <v>everyone</v>
      </c>
      <c r="E3" s="232">
        <v>2</v>
      </c>
      <c r="F3" s="232" t="s">
        <v>280</v>
      </c>
      <c r="G3" s="236">
        <v>25</v>
      </c>
      <c r="H3" s="232" t="s">
        <v>279</v>
      </c>
      <c r="I3" s="232">
        <v>1</v>
      </c>
      <c r="J3" s="232">
        <v>1</v>
      </c>
      <c r="K3" s="232">
        <v>0</v>
      </c>
      <c r="L3" s="232">
        <v>0</v>
      </c>
      <c r="M3" s="232">
        <v>0</v>
      </c>
      <c r="N3" s="232">
        <v>0</v>
      </c>
      <c r="O3" s="232">
        <v>1</v>
      </c>
      <c r="P3" s="232">
        <v>3000</v>
      </c>
      <c r="Q3" s="232" t="s">
        <v>170</v>
      </c>
      <c r="R3" s="232" t="s">
        <v>171</v>
      </c>
    </row>
    <row r="4" spans="1:18" s="235" customFormat="1" x14ac:dyDescent="0.15">
      <c r="A4" s="232">
        <v>15029</v>
      </c>
      <c r="B4" s="232">
        <v>1</v>
      </c>
      <c r="C4" s="233" t="str">
        <f t="shared" si="0"/>
        <v>15029_1</v>
      </c>
      <c r="D4" s="234" t="str">
        <f ca="1">VLOOKUP($C4,OFFSET([2]stages!$A$1,0,0,COUNTA([2]stages!$A:$A),MATCH(D$1,[2]stages!$2:$2,0)-MATCH($C$1,[2]stages!$2:$2,0)+1),MATCH(D$1,[2]stages!$2:$2,0)-MATCH($C$1,[2]stages!$2:$2,0)+1,FALSE)</f>
        <v>everyone</v>
      </c>
      <c r="E4" s="232">
        <v>3</v>
      </c>
      <c r="F4" s="232" t="s">
        <v>281</v>
      </c>
      <c r="G4" s="237">
        <v>338</v>
      </c>
      <c r="H4" s="232">
        <v>1</v>
      </c>
      <c r="I4" s="232">
        <v>1</v>
      </c>
      <c r="J4" s="232">
        <v>1</v>
      </c>
      <c r="K4" s="232">
        <v>0</v>
      </c>
      <c r="L4" s="232">
        <v>0</v>
      </c>
      <c r="M4" s="232">
        <v>0</v>
      </c>
      <c r="N4" s="232">
        <v>0</v>
      </c>
      <c r="O4" s="232">
        <v>1</v>
      </c>
      <c r="P4" s="232">
        <v>500</v>
      </c>
      <c r="Q4" s="232" t="s">
        <v>170</v>
      </c>
      <c r="R4" s="232" t="s">
        <v>171</v>
      </c>
    </row>
    <row r="5" spans="1:18" s="235" customFormat="1" x14ac:dyDescent="0.15">
      <c r="A5" s="232">
        <v>15029</v>
      </c>
      <c r="B5" s="232">
        <v>1</v>
      </c>
      <c r="C5" s="233" t="str">
        <f t="shared" si="0"/>
        <v>15029_1</v>
      </c>
      <c r="D5" s="234" t="str">
        <f ca="1">VLOOKUP($C5,OFFSET([2]stages!$A$1,0,0,COUNTA([2]stages!$A:$A),MATCH(D$1,[2]stages!$2:$2,0)-MATCH($C$1,[2]stages!$2:$2,0)+1),MATCH(D$1,[2]stages!$2:$2,0)-MATCH($C$1,[2]stages!$2:$2,0)+1,FALSE)</f>
        <v>everyone</v>
      </c>
      <c r="E5" s="232">
        <v>4</v>
      </c>
      <c r="F5" s="232" t="s">
        <v>281</v>
      </c>
      <c r="G5" s="236">
        <v>346</v>
      </c>
      <c r="H5" s="232">
        <v>1</v>
      </c>
      <c r="I5" s="232">
        <v>1</v>
      </c>
      <c r="J5" s="232">
        <v>1</v>
      </c>
      <c r="K5" s="232">
        <v>0</v>
      </c>
      <c r="L5" s="232">
        <v>0</v>
      </c>
      <c r="M5" s="232">
        <v>0</v>
      </c>
      <c r="N5" s="232">
        <v>0</v>
      </c>
      <c r="O5" s="232">
        <v>1</v>
      </c>
      <c r="P5" s="232">
        <v>500</v>
      </c>
      <c r="Q5" s="232" t="s">
        <v>170</v>
      </c>
      <c r="R5" s="232" t="s">
        <v>171</v>
      </c>
    </row>
    <row r="6" spans="1:18" s="235" customFormat="1" x14ac:dyDescent="0.15">
      <c r="A6" s="232">
        <v>15029</v>
      </c>
      <c r="B6" s="232">
        <v>1</v>
      </c>
      <c r="C6" s="233" t="str">
        <f t="shared" si="0"/>
        <v>15029_1</v>
      </c>
      <c r="D6" s="234" t="str">
        <f ca="1">VLOOKUP($C6,OFFSET([2]stages!$A$1,0,0,COUNTA([2]stages!$A:$A),MATCH(D$1,[2]stages!$2:$2,0)-MATCH($C$1,[2]stages!$2:$2,0)+1),MATCH(D$1,[2]stages!$2:$2,0)-MATCH($C$1,[2]stages!$2:$2,0)+1,FALSE)</f>
        <v>everyone</v>
      </c>
      <c r="E6" s="232">
        <v>5</v>
      </c>
      <c r="F6" s="232" t="s">
        <v>281</v>
      </c>
      <c r="G6" s="237">
        <v>24</v>
      </c>
      <c r="H6" s="232">
        <v>1</v>
      </c>
      <c r="I6" s="232">
        <v>1</v>
      </c>
      <c r="J6" s="232">
        <v>1</v>
      </c>
      <c r="K6" s="232">
        <v>0</v>
      </c>
      <c r="L6" s="232">
        <v>0</v>
      </c>
      <c r="M6" s="232">
        <v>0</v>
      </c>
      <c r="N6" s="232">
        <v>0</v>
      </c>
      <c r="O6" s="232">
        <v>1</v>
      </c>
      <c r="P6" s="232">
        <v>250</v>
      </c>
      <c r="Q6" s="232" t="s">
        <v>170</v>
      </c>
      <c r="R6" s="232" t="s">
        <v>171</v>
      </c>
    </row>
    <row r="7" spans="1:18" s="235" customFormat="1" x14ac:dyDescent="0.15">
      <c r="A7" s="232">
        <v>15029</v>
      </c>
      <c r="B7" s="232">
        <v>1</v>
      </c>
      <c r="C7" s="233" t="str">
        <f t="shared" si="0"/>
        <v>15029_1</v>
      </c>
      <c r="D7" s="234" t="str">
        <f ca="1">VLOOKUP($C7,OFFSET([2]stages!$A$1,0,0,COUNTA([2]stages!$A:$A),MATCH(D$1,[2]stages!$2:$2,0)-MATCH($C$1,[2]stages!$2:$2,0)+1),MATCH(D$1,[2]stages!$2:$2,0)-MATCH($C$1,[2]stages!$2:$2,0)+1,FALSE)</f>
        <v>everyone</v>
      </c>
      <c r="E7" s="232">
        <v>6</v>
      </c>
      <c r="F7" s="232" t="s">
        <v>281</v>
      </c>
      <c r="G7" s="237">
        <v>64</v>
      </c>
      <c r="H7" s="232">
        <v>1</v>
      </c>
      <c r="I7" s="232">
        <v>1</v>
      </c>
      <c r="J7" s="232">
        <v>1</v>
      </c>
      <c r="K7" s="232">
        <v>0</v>
      </c>
      <c r="L7" s="232">
        <v>0</v>
      </c>
      <c r="M7" s="232">
        <v>0</v>
      </c>
      <c r="N7" s="232">
        <v>0</v>
      </c>
      <c r="O7" s="232">
        <v>1</v>
      </c>
      <c r="P7" s="232">
        <v>250</v>
      </c>
      <c r="Q7" s="232" t="s">
        <v>170</v>
      </c>
      <c r="R7" s="232" t="s">
        <v>171</v>
      </c>
    </row>
    <row r="8" spans="1:18" s="235" customFormat="1" x14ac:dyDescent="0.15">
      <c r="A8" s="232">
        <v>15029</v>
      </c>
      <c r="B8" s="232">
        <v>1</v>
      </c>
      <c r="C8" s="233" t="str">
        <f t="shared" si="0"/>
        <v>15029_1</v>
      </c>
      <c r="D8" s="234" t="str">
        <f ca="1">VLOOKUP($C8,OFFSET([2]stages!$A$1,0,0,COUNTA([2]stages!$A:$A),MATCH(D$1,[2]stages!$2:$2,0)-MATCH($C$1,[2]stages!$2:$2,0)+1),MATCH(D$1,[2]stages!$2:$2,0)-MATCH($C$1,[2]stages!$2:$2,0)+1,FALSE)</f>
        <v>everyone</v>
      </c>
      <c r="E8" s="232">
        <v>7</v>
      </c>
      <c r="F8" s="232" t="s">
        <v>281</v>
      </c>
      <c r="G8" s="237">
        <v>412</v>
      </c>
      <c r="H8" s="232">
        <v>1</v>
      </c>
      <c r="I8" s="232">
        <v>1</v>
      </c>
      <c r="J8" s="232">
        <v>1</v>
      </c>
      <c r="K8" s="232">
        <v>0</v>
      </c>
      <c r="L8" s="232">
        <v>0</v>
      </c>
      <c r="M8" s="232">
        <v>0</v>
      </c>
      <c r="N8" s="232">
        <v>0</v>
      </c>
      <c r="O8" s="232">
        <v>1</v>
      </c>
      <c r="P8" s="232">
        <v>250</v>
      </c>
      <c r="Q8" s="232" t="s">
        <v>170</v>
      </c>
      <c r="R8" s="232" t="s">
        <v>171</v>
      </c>
    </row>
    <row r="9" spans="1:18" s="235" customFormat="1" x14ac:dyDescent="0.15">
      <c r="A9" s="232">
        <v>15029</v>
      </c>
      <c r="B9" s="232">
        <v>1</v>
      </c>
      <c r="C9" s="233" t="str">
        <f t="shared" si="0"/>
        <v>15029_1</v>
      </c>
      <c r="D9" s="234" t="str">
        <f ca="1">VLOOKUP($C9,OFFSET([2]stages!$A$1,0,0,COUNTA([2]stages!$A:$A),MATCH(D$1,[2]stages!$2:$2,0)-MATCH($C$1,[2]stages!$2:$2,0)+1),MATCH(D$1,[2]stages!$2:$2,0)-MATCH($C$1,[2]stages!$2:$2,0)+1,FALSE)</f>
        <v>everyone</v>
      </c>
      <c r="E9" s="232">
        <v>8</v>
      </c>
      <c r="F9" s="232" t="s">
        <v>281</v>
      </c>
      <c r="G9" s="237">
        <v>12</v>
      </c>
      <c r="H9" s="232">
        <v>1</v>
      </c>
      <c r="I9" s="232">
        <v>1</v>
      </c>
      <c r="J9" s="232">
        <v>1</v>
      </c>
      <c r="K9" s="232">
        <v>0</v>
      </c>
      <c r="L9" s="232">
        <v>0</v>
      </c>
      <c r="M9" s="232">
        <v>0</v>
      </c>
      <c r="N9" s="232">
        <v>0</v>
      </c>
      <c r="O9" s="232">
        <v>1</v>
      </c>
      <c r="P9" s="232">
        <v>250</v>
      </c>
      <c r="Q9" s="232" t="s">
        <v>170</v>
      </c>
      <c r="R9" s="232" t="s">
        <v>171</v>
      </c>
    </row>
    <row r="10" spans="1:18" s="235" customFormat="1" x14ac:dyDescent="0.15">
      <c r="A10" s="232">
        <v>15029</v>
      </c>
      <c r="B10" s="232">
        <v>1</v>
      </c>
      <c r="C10" s="233" t="str">
        <f t="shared" si="0"/>
        <v>15029_1</v>
      </c>
      <c r="D10" s="234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232">
        <v>14</v>
      </c>
      <c r="F10" s="232" t="s">
        <v>281</v>
      </c>
      <c r="G10" s="236">
        <v>350</v>
      </c>
      <c r="H10" s="232">
        <v>1</v>
      </c>
      <c r="I10" s="232">
        <v>1</v>
      </c>
      <c r="J10" s="232">
        <v>1</v>
      </c>
      <c r="K10" s="232">
        <v>0</v>
      </c>
      <c r="L10" s="232">
        <v>0</v>
      </c>
      <c r="M10" s="232">
        <v>0</v>
      </c>
      <c r="N10" s="232">
        <v>0</v>
      </c>
      <c r="O10" s="232">
        <v>1</v>
      </c>
      <c r="P10" s="232">
        <v>1500</v>
      </c>
      <c r="Q10" s="232" t="s">
        <v>170</v>
      </c>
      <c r="R10" s="232" t="s">
        <v>171</v>
      </c>
    </row>
    <row r="11" spans="1:18" s="235" customFormat="1" x14ac:dyDescent="0.15">
      <c r="A11" s="232">
        <v>15029</v>
      </c>
      <c r="B11" s="232">
        <v>1</v>
      </c>
      <c r="C11" s="233" t="str">
        <f t="shared" si="0"/>
        <v>15029_1</v>
      </c>
      <c r="D11" s="234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232">
        <v>15</v>
      </c>
      <c r="F11" s="232" t="s">
        <v>281</v>
      </c>
      <c r="G11" s="236">
        <v>354</v>
      </c>
      <c r="H11" s="232">
        <v>1</v>
      </c>
      <c r="I11" s="232">
        <v>1</v>
      </c>
      <c r="J11" s="232">
        <v>1</v>
      </c>
      <c r="K11" s="232">
        <v>0</v>
      </c>
      <c r="L11" s="232">
        <v>0</v>
      </c>
      <c r="M11" s="232">
        <v>0</v>
      </c>
      <c r="N11" s="232">
        <v>0</v>
      </c>
      <c r="O11" s="232">
        <v>1</v>
      </c>
      <c r="P11" s="232">
        <v>1500</v>
      </c>
      <c r="Q11" s="232" t="s">
        <v>170</v>
      </c>
      <c r="R11" s="232" t="s">
        <v>171</v>
      </c>
    </row>
    <row r="12" spans="1:18" x14ac:dyDescent="0.15">
      <c r="A12" s="232">
        <v>15029</v>
      </c>
      <c r="B12" s="75">
        <v>2</v>
      </c>
      <c r="C12" s="64" t="str">
        <f t="shared" si="0"/>
        <v>15029_2</v>
      </c>
      <c r="D12" s="14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232">
        <v>16</v>
      </c>
      <c r="F12" s="75" t="s">
        <v>169</v>
      </c>
      <c r="G12" s="236">
        <v>3200</v>
      </c>
      <c r="H12" s="75" t="s">
        <v>279</v>
      </c>
      <c r="I12" s="75">
        <v>1</v>
      </c>
      <c r="J12" s="75">
        <v>1</v>
      </c>
      <c r="K12" s="75">
        <v>0</v>
      </c>
      <c r="L12" s="75">
        <v>0</v>
      </c>
      <c r="M12" s="75">
        <v>0</v>
      </c>
      <c r="N12" s="75">
        <v>0</v>
      </c>
      <c r="O12" s="75">
        <v>1</v>
      </c>
      <c r="P12" s="75">
        <v>2000</v>
      </c>
      <c r="Q12" s="75" t="s">
        <v>170</v>
      </c>
      <c r="R12" s="75" t="s">
        <v>171</v>
      </c>
    </row>
    <row r="13" spans="1:18" x14ac:dyDescent="0.15">
      <c r="A13" s="232">
        <v>15029</v>
      </c>
      <c r="B13" s="75">
        <v>2</v>
      </c>
      <c r="C13" s="64" t="str">
        <f t="shared" si="0"/>
        <v>15029_2</v>
      </c>
      <c r="D13" s="14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232">
        <v>17</v>
      </c>
      <c r="F13" s="75" t="s">
        <v>282</v>
      </c>
      <c r="G13" s="236">
        <v>25</v>
      </c>
      <c r="H13" s="75" t="s">
        <v>279</v>
      </c>
      <c r="I13" s="75">
        <v>1</v>
      </c>
      <c r="J13" s="75">
        <v>1</v>
      </c>
      <c r="K13" s="75">
        <v>0</v>
      </c>
      <c r="L13" s="75">
        <v>0</v>
      </c>
      <c r="M13" s="75">
        <v>0</v>
      </c>
      <c r="N13" s="75">
        <v>0</v>
      </c>
      <c r="O13" s="75">
        <v>1</v>
      </c>
      <c r="P13" s="75">
        <v>3000</v>
      </c>
      <c r="Q13" s="75" t="s">
        <v>170</v>
      </c>
      <c r="R13" s="75" t="s">
        <v>171</v>
      </c>
    </row>
    <row r="14" spans="1:18" x14ac:dyDescent="0.15">
      <c r="A14" s="232">
        <v>15029</v>
      </c>
      <c r="B14" s="75">
        <v>2</v>
      </c>
      <c r="C14" s="64" t="str">
        <f t="shared" si="0"/>
        <v>15029_2</v>
      </c>
      <c r="D14" s="14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232">
        <v>18</v>
      </c>
      <c r="F14" s="75" t="s">
        <v>281</v>
      </c>
      <c r="G14" s="237">
        <v>338</v>
      </c>
      <c r="H14" s="75">
        <v>1</v>
      </c>
      <c r="I14" s="75">
        <v>1</v>
      </c>
      <c r="J14" s="75">
        <v>1</v>
      </c>
      <c r="K14" s="75">
        <v>0</v>
      </c>
      <c r="L14" s="75">
        <v>0</v>
      </c>
      <c r="M14" s="75">
        <v>0</v>
      </c>
      <c r="N14" s="75">
        <v>0</v>
      </c>
      <c r="O14" s="75">
        <v>1</v>
      </c>
      <c r="P14" s="75">
        <v>500</v>
      </c>
      <c r="Q14" s="75" t="s">
        <v>170</v>
      </c>
      <c r="R14" s="75" t="s">
        <v>171</v>
      </c>
    </row>
    <row r="15" spans="1:18" x14ac:dyDescent="0.15">
      <c r="A15" s="232">
        <v>15029</v>
      </c>
      <c r="B15" s="75">
        <v>2</v>
      </c>
      <c r="C15" s="64" t="str">
        <f t="shared" si="0"/>
        <v>15029_2</v>
      </c>
      <c r="D15" s="14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232">
        <v>19</v>
      </c>
      <c r="F15" s="75" t="s">
        <v>281</v>
      </c>
      <c r="G15" s="236">
        <v>346</v>
      </c>
      <c r="H15" s="75">
        <v>1</v>
      </c>
      <c r="I15" s="75">
        <v>1</v>
      </c>
      <c r="J15" s="75">
        <v>1</v>
      </c>
      <c r="K15" s="75">
        <v>0</v>
      </c>
      <c r="L15" s="75">
        <v>0</v>
      </c>
      <c r="M15" s="75">
        <v>0</v>
      </c>
      <c r="N15" s="75">
        <v>0</v>
      </c>
      <c r="O15" s="75">
        <v>1</v>
      </c>
      <c r="P15" s="75">
        <v>500</v>
      </c>
      <c r="Q15" s="75" t="s">
        <v>170</v>
      </c>
      <c r="R15" s="75" t="s">
        <v>171</v>
      </c>
    </row>
    <row r="16" spans="1:18" x14ac:dyDescent="0.15">
      <c r="A16" s="232">
        <v>15029</v>
      </c>
      <c r="B16" s="75">
        <v>2</v>
      </c>
      <c r="C16" s="64" t="str">
        <f t="shared" si="0"/>
        <v>15029_2</v>
      </c>
      <c r="D16" s="14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232">
        <v>20</v>
      </c>
      <c r="F16" s="75" t="s">
        <v>281</v>
      </c>
      <c r="G16" s="237">
        <v>32</v>
      </c>
      <c r="H16" s="75">
        <v>1</v>
      </c>
      <c r="I16" s="75">
        <v>1</v>
      </c>
      <c r="J16" s="75">
        <v>1</v>
      </c>
      <c r="K16" s="75">
        <v>0</v>
      </c>
      <c r="L16" s="75">
        <v>0</v>
      </c>
      <c r="M16" s="75">
        <v>0</v>
      </c>
      <c r="N16" s="75">
        <v>0</v>
      </c>
      <c r="O16" s="75">
        <v>1</v>
      </c>
      <c r="P16" s="75">
        <v>200</v>
      </c>
      <c r="Q16" s="75" t="s">
        <v>170</v>
      </c>
      <c r="R16" s="75" t="s">
        <v>171</v>
      </c>
    </row>
    <row r="17" spans="1:18" x14ac:dyDescent="0.15">
      <c r="A17" s="232">
        <v>15029</v>
      </c>
      <c r="B17" s="75">
        <v>2</v>
      </c>
      <c r="C17" s="64" t="str">
        <f t="shared" si="0"/>
        <v>15029_2</v>
      </c>
      <c r="D17" s="14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232">
        <v>21</v>
      </c>
      <c r="F17" s="75" t="s">
        <v>281</v>
      </c>
      <c r="G17" s="237">
        <v>372</v>
      </c>
      <c r="H17" s="75">
        <v>1</v>
      </c>
      <c r="I17" s="75">
        <v>1</v>
      </c>
      <c r="J17" s="75">
        <v>1</v>
      </c>
      <c r="K17" s="75">
        <v>0</v>
      </c>
      <c r="L17" s="75">
        <v>0</v>
      </c>
      <c r="M17" s="75">
        <v>0</v>
      </c>
      <c r="N17" s="75">
        <v>0</v>
      </c>
      <c r="O17" s="75">
        <v>1</v>
      </c>
      <c r="P17" s="75">
        <v>200</v>
      </c>
      <c r="Q17" s="75" t="s">
        <v>170</v>
      </c>
      <c r="R17" s="75" t="s">
        <v>171</v>
      </c>
    </row>
    <row r="18" spans="1:18" x14ac:dyDescent="0.15">
      <c r="A18" s="232">
        <v>15029</v>
      </c>
      <c r="B18" s="75">
        <v>2</v>
      </c>
      <c r="C18" s="64" t="str">
        <f t="shared" si="0"/>
        <v>15029_2</v>
      </c>
      <c r="D18" s="14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232">
        <v>22</v>
      </c>
      <c r="F18" s="75" t="s">
        <v>283</v>
      </c>
      <c r="G18" s="237">
        <v>7</v>
      </c>
      <c r="H18" s="75">
        <v>1</v>
      </c>
      <c r="I18" s="75">
        <v>1</v>
      </c>
      <c r="J18" s="75">
        <v>1</v>
      </c>
      <c r="K18" s="75">
        <v>0</v>
      </c>
      <c r="L18" s="75">
        <v>0</v>
      </c>
      <c r="M18" s="75">
        <v>0</v>
      </c>
      <c r="N18" s="75">
        <v>0</v>
      </c>
      <c r="O18" s="75">
        <v>1</v>
      </c>
      <c r="P18" s="75">
        <v>200</v>
      </c>
      <c r="Q18" s="75" t="s">
        <v>170</v>
      </c>
      <c r="R18" s="75" t="s">
        <v>171</v>
      </c>
    </row>
    <row r="19" spans="1:18" x14ac:dyDescent="0.15">
      <c r="A19" s="232">
        <v>15029</v>
      </c>
      <c r="B19" s="75">
        <v>2</v>
      </c>
      <c r="C19" s="64" t="str">
        <f t="shared" si="0"/>
        <v>15029_2</v>
      </c>
      <c r="D19" s="14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232">
        <v>23</v>
      </c>
      <c r="F19" s="75" t="s">
        <v>283</v>
      </c>
      <c r="G19" s="237">
        <v>20</v>
      </c>
      <c r="H19" s="75">
        <v>1</v>
      </c>
      <c r="I19" s="75">
        <v>1</v>
      </c>
      <c r="J19" s="75">
        <v>1</v>
      </c>
      <c r="K19" s="75">
        <v>0</v>
      </c>
      <c r="L19" s="75">
        <v>0</v>
      </c>
      <c r="M19" s="75">
        <v>0</v>
      </c>
      <c r="N19" s="75">
        <v>0</v>
      </c>
      <c r="O19" s="75">
        <v>1</v>
      </c>
      <c r="P19" s="75">
        <v>200</v>
      </c>
      <c r="Q19" s="75" t="s">
        <v>170</v>
      </c>
      <c r="R19" s="75" t="s">
        <v>171</v>
      </c>
    </row>
    <row r="20" spans="1:18" x14ac:dyDescent="0.15">
      <c r="A20" s="232">
        <v>15029</v>
      </c>
      <c r="B20" s="75">
        <v>2</v>
      </c>
      <c r="C20" s="64" t="str">
        <f t="shared" si="0"/>
        <v>15029_2</v>
      </c>
      <c r="D20" s="14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232">
        <v>24</v>
      </c>
      <c r="F20" s="75" t="s">
        <v>283</v>
      </c>
      <c r="G20" s="237">
        <v>44</v>
      </c>
      <c r="H20" s="75">
        <v>1</v>
      </c>
      <c r="I20" s="75">
        <v>1</v>
      </c>
      <c r="J20" s="75">
        <v>1</v>
      </c>
      <c r="K20" s="75">
        <v>0</v>
      </c>
      <c r="L20" s="75">
        <v>0</v>
      </c>
      <c r="M20" s="75">
        <v>0</v>
      </c>
      <c r="N20" s="75">
        <v>0</v>
      </c>
      <c r="O20" s="75">
        <v>1</v>
      </c>
      <c r="P20" s="75">
        <v>200</v>
      </c>
      <c r="Q20" s="75" t="s">
        <v>170</v>
      </c>
      <c r="R20" s="75" t="s">
        <v>171</v>
      </c>
    </row>
    <row r="21" spans="1:18" x14ac:dyDescent="0.15">
      <c r="A21" s="232">
        <v>15029</v>
      </c>
      <c r="B21" s="75">
        <v>2</v>
      </c>
      <c r="C21" s="64" t="str">
        <f t="shared" si="0"/>
        <v>15029_2</v>
      </c>
      <c r="D21" s="14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232">
        <v>28</v>
      </c>
      <c r="F21" s="75" t="s">
        <v>283</v>
      </c>
      <c r="G21" s="236">
        <v>350</v>
      </c>
      <c r="H21" s="75">
        <v>1</v>
      </c>
      <c r="I21" s="75">
        <v>1</v>
      </c>
      <c r="J21" s="75">
        <v>1</v>
      </c>
      <c r="K21" s="75">
        <v>0</v>
      </c>
      <c r="L21" s="75">
        <v>0</v>
      </c>
      <c r="M21" s="75">
        <v>0</v>
      </c>
      <c r="N21" s="75">
        <v>0</v>
      </c>
      <c r="O21" s="75">
        <v>1</v>
      </c>
      <c r="P21" s="75">
        <v>1500</v>
      </c>
      <c r="Q21" s="75" t="s">
        <v>170</v>
      </c>
      <c r="R21" s="75" t="s">
        <v>171</v>
      </c>
    </row>
    <row r="22" spans="1:18" x14ac:dyDescent="0.15">
      <c r="A22" s="232">
        <v>15029</v>
      </c>
      <c r="B22" s="75">
        <v>2</v>
      </c>
      <c r="C22" s="64" t="str">
        <f t="shared" si="0"/>
        <v>15029_2</v>
      </c>
      <c r="D22" s="14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232">
        <v>29</v>
      </c>
      <c r="F22" s="75" t="s">
        <v>283</v>
      </c>
      <c r="G22" s="236">
        <v>354</v>
      </c>
      <c r="H22" s="75">
        <v>1</v>
      </c>
      <c r="I22" s="75">
        <v>1</v>
      </c>
      <c r="J22" s="75">
        <v>1</v>
      </c>
      <c r="K22" s="75">
        <v>0</v>
      </c>
      <c r="L22" s="75">
        <v>0</v>
      </c>
      <c r="M22" s="75">
        <v>0</v>
      </c>
      <c r="N22" s="75">
        <v>0</v>
      </c>
      <c r="O22" s="75">
        <v>1</v>
      </c>
      <c r="P22" s="75">
        <v>1500</v>
      </c>
      <c r="Q22" s="75" t="s">
        <v>170</v>
      </c>
      <c r="R22" s="75" t="s">
        <v>171</v>
      </c>
    </row>
    <row r="23" spans="1:18" s="235" customFormat="1" x14ac:dyDescent="0.15">
      <c r="A23" s="232">
        <v>15029</v>
      </c>
      <c r="B23" s="232">
        <v>3</v>
      </c>
      <c r="C23" s="233" t="str">
        <f t="shared" si="0"/>
        <v>15029_3</v>
      </c>
      <c r="D23" s="234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232">
        <v>30</v>
      </c>
      <c r="F23" s="232" t="s">
        <v>169</v>
      </c>
      <c r="G23" s="236">
        <v>3500</v>
      </c>
      <c r="H23" s="232" t="s">
        <v>284</v>
      </c>
      <c r="I23" s="232">
        <v>1</v>
      </c>
      <c r="J23" s="232">
        <v>1</v>
      </c>
      <c r="K23" s="232">
        <v>0</v>
      </c>
      <c r="L23" s="232">
        <v>0</v>
      </c>
      <c r="M23" s="232">
        <v>0</v>
      </c>
      <c r="N23" s="232">
        <v>0</v>
      </c>
      <c r="O23" s="232">
        <v>1</v>
      </c>
      <c r="P23" s="232">
        <v>2000</v>
      </c>
      <c r="Q23" s="232" t="s">
        <v>170</v>
      </c>
      <c r="R23" s="232" t="s">
        <v>171</v>
      </c>
    </row>
    <row r="24" spans="1:18" s="235" customFormat="1" x14ac:dyDescent="0.15">
      <c r="A24" s="232">
        <v>15029</v>
      </c>
      <c r="B24" s="232">
        <v>3</v>
      </c>
      <c r="C24" s="233" t="str">
        <f t="shared" si="0"/>
        <v>15029_3</v>
      </c>
      <c r="D24" s="234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232">
        <v>31</v>
      </c>
      <c r="F24" s="232" t="s">
        <v>282</v>
      </c>
      <c r="G24" s="236">
        <v>25</v>
      </c>
      <c r="H24" s="232" t="s">
        <v>279</v>
      </c>
      <c r="I24" s="232">
        <v>1</v>
      </c>
      <c r="J24" s="232">
        <v>1</v>
      </c>
      <c r="K24" s="232">
        <v>0</v>
      </c>
      <c r="L24" s="232">
        <v>0</v>
      </c>
      <c r="M24" s="232">
        <v>0</v>
      </c>
      <c r="N24" s="232">
        <v>0</v>
      </c>
      <c r="O24" s="232">
        <v>1</v>
      </c>
      <c r="P24" s="232">
        <v>3000</v>
      </c>
      <c r="Q24" s="232" t="s">
        <v>170</v>
      </c>
      <c r="R24" s="232" t="s">
        <v>171</v>
      </c>
    </row>
    <row r="25" spans="1:18" s="235" customFormat="1" x14ac:dyDescent="0.15">
      <c r="A25" s="232">
        <v>15029</v>
      </c>
      <c r="B25" s="232">
        <v>3</v>
      </c>
      <c r="C25" s="233" t="str">
        <f t="shared" si="0"/>
        <v>15029_3</v>
      </c>
      <c r="D25" s="234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232">
        <v>32</v>
      </c>
      <c r="F25" s="232" t="s">
        <v>281</v>
      </c>
      <c r="G25" s="238">
        <v>338</v>
      </c>
      <c r="H25" s="232">
        <v>1</v>
      </c>
      <c r="I25" s="232">
        <v>1</v>
      </c>
      <c r="J25" s="232">
        <v>1</v>
      </c>
      <c r="K25" s="232">
        <v>0</v>
      </c>
      <c r="L25" s="232">
        <v>0</v>
      </c>
      <c r="M25" s="232">
        <v>0</v>
      </c>
      <c r="N25" s="232">
        <v>0</v>
      </c>
      <c r="O25" s="232">
        <v>1</v>
      </c>
      <c r="P25" s="232">
        <v>500</v>
      </c>
      <c r="Q25" s="232" t="s">
        <v>170</v>
      </c>
      <c r="R25" s="232" t="s">
        <v>171</v>
      </c>
    </row>
    <row r="26" spans="1:18" s="235" customFormat="1" x14ac:dyDescent="0.15">
      <c r="A26" s="232">
        <v>15029</v>
      </c>
      <c r="B26" s="232">
        <v>3</v>
      </c>
      <c r="C26" s="233" t="str">
        <f t="shared" si="0"/>
        <v>15029_3</v>
      </c>
      <c r="D26" s="234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232">
        <v>33</v>
      </c>
      <c r="F26" s="232" t="s">
        <v>281</v>
      </c>
      <c r="G26" s="236">
        <v>346</v>
      </c>
      <c r="H26" s="232">
        <v>1</v>
      </c>
      <c r="I26" s="232">
        <v>1</v>
      </c>
      <c r="J26" s="232">
        <v>1</v>
      </c>
      <c r="K26" s="232">
        <v>0</v>
      </c>
      <c r="L26" s="232">
        <v>0</v>
      </c>
      <c r="M26" s="232">
        <v>0</v>
      </c>
      <c r="N26" s="232">
        <v>0</v>
      </c>
      <c r="O26" s="232">
        <v>1</v>
      </c>
      <c r="P26" s="232">
        <v>500</v>
      </c>
      <c r="Q26" s="232" t="s">
        <v>170</v>
      </c>
      <c r="R26" s="232" t="s">
        <v>171</v>
      </c>
    </row>
    <row r="27" spans="1:18" s="235" customFormat="1" x14ac:dyDescent="0.15">
      <c r="A27" s="232">
        <v>15029</v>
      </c>
      <c r="B27" s="232">
        <v>3</v>
      </c>
      <c r="C27" s="233" t="str">
        <f t="shared" si="0"/>
        <v>15029_3</v>
      </c>
      <c r="D27" s="234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232">
        <v>34</v>
      </c>
      <c r="F27" s="232" t="s">
        <v>281</v>
      </c>
      <c r="G27" s="238">
        <v>412</v>
      </c>
      <c r="H27" s="232">
        <v>1</v>
      </c>
      <c r="I27" s="232">
        <v>1</v>
      </c>
      <c r="J27" s="232">
        <v>1</v>
      </c>
      <c r="K27" s="232">
        <v>0</v>
      </c>
      <c r="L27" s="232">
        <v>0</v>
      </c>
      <c r="M27" s="232">
        <v>0</v>
      </c>
      <c r="N27" s="232">
        <v>0</v>
      </c>
      <c r="O27" s="232">
        <v>1</v>
      </c>
      <c r="P27" s="232">
        <v>250</v>
      </c>
      <c r="Q27" s="232" t="s">
        <v>170</v>
      </c>
      <c r="R27" s="232" t="s">
        <v>171</v>
      </c>
    </row>
    <row r="28" spans="1:18" s="235" customFormat="1" x14ac:dyDescent="0.15">
      <c r="A28" s="232">
        <v>15029</v>
      </c>
      <c r="B28" s="232">
        <v>3</v>
      </c>
      <c r="C28" s="233" t="str">
        <f t="shared" si="0"/>
        <v>15029_3</v>
      </c>
      <c r="D28" s="234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232">
        <v>35</v>
      </c>
      <c r="F28" s="232" t="s">
        <v>281</v>
      </c>
      <c r="G28" s="238">
        <v>372</v>
      </c>
      <c r="H28" s="232">
        <v>1</v>
      </c>
      <c r="I28" s="232">
        <v>1</v>
      </c>
      <c r="J28" s="232">
        <v>1</v>
      </c>
      <c r="K28" s="232">
        <v>0</v>
      </c>
      <c r="L28" s="232">
        <v>0</v>
      </c>
      <c r="M28" s="232">
        <v>0</v>
      </c>
      <c r="N28" s="232">
        <v>0</v>
      </c>
      <c r="O28" s="232">
        <v>1</v>
      </c>
      <c r="P28" s="232">
        <v>250</v>
      </c>
      <c r="Q28" s="232" t="s">
        <v>170</v>
      </c>
      <c r="R28" s="232" t="s">
        <v>171</v>
      </c>
    </row>
    <row r="29" spans="1:18" s="235" customFormat="1" x14ac:dyDescent="0.15">
      <c r="A29" s="232">
        <v>15029</v>
      </c>
      <c r="B29" s="232">
        <v>3</v>
      </c>
      <c r="C29" s="233" t="str">
        <f t="shared" si="0"/>
        <v>15029_3</v>
      </c>
      <c r="D29" s="234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232">
        <v>36</v>
      </c>
      <c r="F29" s="232" t="s">
        <v>281</v>
      </c>
      <c r="G29" s="237">
        <v>40</v>
      </c>
      <c r="H29" s="232">
        <v>1</v>
      </c>
      <c r="I29" s="232">
        <v>1</v>
      </c>
      <c r="J29" s="232">
        <v>1</v>
      </c>
      <c r="K29" s="232">
        <v>0</v>
      </c>
      <c r="L29" s="232">
        <v>0</v>
      </c>
      <c r="M29" s="232">
        <v>0</v>
      </c>
      <c r="N29" s="232">
        <v>0</v>
      </c>
      <c r="O29" s="232">
        <v>1</v>
      </c>
      <c r="P29" s="232">
        <v>250</v>
      </c>
      <c r="Q29" s="232" t="s">
        <v>170</v>
      </c>
      <c r="R29" s="232" t="s">
        <v>171</v>
      </c>
    </row>
    <row r="30" spans="1:18" s="235" customFormat="1" x14ac:dyDescent="0.15">
      <c r="A30" s="232">
        <v>15029</v>
      </c>
      <c r="B30" s="232">
        <v>3</v>
      </c>
      <c r="C30" s="233" t="str">
        <f t="shared" si="0"/>
        <v>15029_3</v>
      </c>
      <c r="D30" s="234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232">
        <v>37</v>
      </c>
      <c r="F30" s="232" t="s">
        <v>281</v>
      </c>
      <c r="G30" s="237">
        <v>69</v>
      </c>
      <c r="H30" s="232">
        <v>1</v>
      </c>
      <c r="I30" s="232">
        <v>1</v>
      </c>
      <c r="J30" s="232">
        <v>1</v>
      </c>
      <c r="K30" s="232">
        <v>0</v>
      </c>
      <c r="L30" s="232">
        <v>0</v>
      </c>
      <c r="M30" s="232">
        <v>0</v>
      </c>
      <c r="N30" s="232">
        <v>0</v>
      </c>
      <c r="O30" s="232">
        <v>1</v>
      </c>
      <c r="P30" s="232">
        <v>250</v>
      </c>
      <c r="Q30" s="232" t="s">
        <v>170</v>
      </c>
      <c r="R30" s="232" t="s">
        <v>171</v>
      </c>
    </row>
    <row r="31" spans="1:18" s="235" customFormat="1" x14ac:dyDescent="0.15">
      <c r="A31" s="232">
        <v>15029</v>
      </c>
      <c r="B31" s="232">
        <v>3</v>
      </c>
      <c r="C31" s="233" t="str">
        <f t="shared" si="0"/>
        <v>15029_3</v>
      </c>
      <c r="D31" s="234" t="str">
        <f ca="1">VLOOKUP($C31,OFFSET([2]stages!$A$1,0,0,COUNTA([2]stages!$A:$A),MATCH(D$1,[2]stages!$2:$2,0)-MATCH($C$1,[2]stages!$2:$2,0)+1),MATCH(D$1,[2]stages!$2:$2,0)-MATCH($C$1,[2]stages!$2:$2,0)+1,FALSE)</f>
        <v>everyone</v>
      </c>
      <c r="E31" s="232">
        <v>42</v>
      </c>
      <c r="F31" s="232" t="s">
        <v>281</v>
      </c>
      <c r="G31" s="236">
        <v>350</v>
      </c>
      <c r="H31" s="232">
        <v>1</v>
      </c>
      <c r="I31" s="232">
        <v>1</v>
      </c>
      <c r="J31" s="232">
        <v>1</v>
      </c>
      <c r="K31" s="232">
        <v>0</v>
      </c>
      <c r="L31" s="232">
        <v>0</v>
      </c>
      <c r="M31" s="232">
        <v>0</v>
      </c>
      <c r="N31" s="232">
        <v>0</v>
      </c>
      <c r="O31" s="232">
        <v>1</v>
      </c>
      <c r="P31" s="232">
        <v>1500</v>
      </c>
      <c r="Q31" s="232" t="s">
        <v>170</v>
      </c>
      <c r="R31" s="232" t="s">
        <v>171</v>
      </c>
    </row>
    <row r="32" spans="1:18" s="235" customFormat="1" x14ac:dyDescent="0.15">
      <c r="A32" s="232">
        <v>15029</v>
      </c>
      <c r="B32" s="232">
        <v>3</v>
      </c>
      <c r="C32" s="233" t="str">
        <f t="shared" si="0"/>
        <v>15029_3</v>
      </c>
      <c r="D32" s="234" t="str">
        <f ca="1">VLOOKUP($C32,OFFSET([2]stages!$A$1,0,0,COUNTA([2]stages!$A:$A),MATCH(D$1,[2]stages!$2:$2,0)-MATCH($C$1,[2]stages!$2:$2,0)+1),MATCH(D$1,[2]stages!$2:$2,0)-MATCH($C$1,[2]stages!$2:$2,0)+1,FALSE)</f>
        <v>everyone</v>
      </c>
      <c r="E32" s="232">
        <v>43</v>
      </c>
      <c r="F32" s="232" t="s">
        <v>281</v>
      </c>
      <c r="G32" s="236">
        <v>354</v>
      </c>
      <c r="H32" s="232">
        <v>1</v>
      </c>
      <c r="I32" s="232">
        <v>1</v>
      </c>
      <c r="J32" s="232">
        <v>1</v>
      </c>
      <c r="K32" s="232">
        <v>0</v>
      </c>
      <c r="L32" s="232">
        <v>0</v>
      </c>
      <c r="M32" s="232">
        <v>0</v>
      </c>
      <c r="N32" s="232">
        <v>0</v>
      </c>
      <c r="O32" s="232">
        <v>1</v>
      </c>
      <c r="P32" s="232">
        <v>1500</v>
      </c>
      <c r="Q32" s="232" t="s">
        <v>170</v>
      </c>
      <c r="R32" s="232" t="s">
        <v>171</v>
      </c>
    </row>
    <row r="33" spans="1:18" x14ac:dyDescent="0.15">
      <c r="A33" s="232">
        <v>15029</v>
      </c>
      <c r="B33" s="75">
        <v>4</v>
      </c>
      <c r="C33" s="64" t="str">
        <f t="shared" si="0"/>
        <v>15029_4</v>
      </c>
      <c r="D33" s="14" t="str">
        <f ca="1">VLOOKUP($C33,OFFSET([2]stages!$A$1,0,0,COUNTA([2]stages!$A:$A),MATCH(D$1,[2]stages!$2:$2,0)-MATCH($C$1,[2]stages!$2:$2,0)+1),MATCH(D$1,[2]stages!$2:$2,0)-MATCH($C$1,[2]stages!$2:$2,0)+1,FALSE)</f>
        <v>singleonly</v>
      </c>
      <c r="E33" s="232">
        <v>44</v>
      </c>
      <c r="F33" s="75" t="s">
        <v>283</v>
      </c>
      <c r="G33" s="239">
        <v>339</v>
      </c>
      <c r="H33" s="75">
        <v>1</v>
      </c>
      <c r="I33" s="75">
        <v>1</v>
      </c>
      <c r="J33" s="75">
        <v>1</v>
      </c>
      <c r="K33" s="75">
        <v>0</v>
      </c>
      <c r="L33" s="75">
        <v>0</v>
      </c>
      <c r="M33" s="75">
        <v>0</v>
      </c>
      <c r="N33" s="75">
        <v>0</v>
      </c>
      <c r="O33" s="75">
        <v>1</v>
      </c>
      <c r="P33" s="50">
        <v>5000</v>
      </c>
      <c r="Q33" s="75" t="s">
        <v>285</v>
      </c>
      <c r="R33" s="75" t="s">
        <v>286</v>
      </c>
    </row>
    <row r="34" spans="1:18" x14ac:dyDescent="0.15">
      <c r="A34" s="232">
        <v>15029</v>
      </c>
      <c r="B34" s="75">
        <v>4</v>
      </c>
      <c r="C34" s="64" t="str">
        <f t="shared" si="0"/>
        <v>15029_4</v>
      </c>
      <c r="D34" s="14" t="str">
        <f ca="1">VLOOKUP($C34,OFFSET([2]stages!$A$1,0,0,COUNTA([2]stages!$A:$A),MATCH(D$1,[2]stages!$2:$2,0)-MATCH($C$1,[2]stages!$2:$2,0)+1),MATCH(D$1,[2]stages!$2:$2,0)-MATCH($C$1,[2]stages!$2:$2,0)+1,FALSE)</f>
        <v>singleonly</v>
      </c>
      <c r="E34" s="232">
        <v>45</v>
      </c>
      <c r="F34" s="75" t="s">
        <v>283</v>
      </c>
      <c r="G34" s="239">
        <v>347</v>
      </c>
      <c r="H34" s="75">
        <v>1</v>
      </c>
      <c r="I34" s="75">
        <v>1</v>
      </c>
      <c r="J34" s="75">
        <v>1</v>
      </c>
      <c r="K34" s="75">
        <v>0</v>
      </c>
      <c r="L34" s="75">
        <v>0</v>
      </c>
      <c r="M34" s="75">
        <v>0</v>
      </c>
      <c r="N34" s="75">
        <v>0</v>
      </c>
      <c r="O34" s="75">
        <v>1</v>
      </c>
      <c r="P34" s="50">
        <v>5000</v>
      </c>
      <c r="Q34" s="75" t="s">
        <v>287</v>
      </c>
      <c r="R34" s="75" t="s">
        <v>288</v>
      </c>
    </row>
  </sheetData>
  <phoneticPr fontId="5"/>
  <dataValidations count="1">
    <dataValidation type="list" allowBlank="1" showInputMessage="1" showErrorMessage="1" sqref="F2:F34">
      <formula1>"bit,link,polygon,unit"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8"/>
  <sheetViews>
    <sheetView showGridLines="0" workbookViewId="0">
      <pane ySplit="1" topLeftCell="A2" activePane="bottomLeft" state="frozen"/>
      <selection pane="bottomLeft"/>
    </sheetView>
  </sheetViews>
  <sheetFormatPr baseColWidth="12" defaultColWidth="13" defaultRowHeight="15" outlineLevelCol="1" x14ac:dyDescent="0.15"/>
  <cols>
    <col min="1" max="1" width="13" style="83"/>
    <col min="3" max="3" width="17" customWidth="1" outlineLevel="1"/>
    <col min="4" max="4" width="18.83203125" customWidth="1" outlineLevel="1"/>
    <col min="6" max="6" width="22.5" customWidth="1" outlineLevel="1"/>
    <col min="7" max="7" width="22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0" t="s">
        <v>188</v>
      </c>
      <c r="B1" s="66" t="s">
        <v>189</v>
      </c>
      <c r="C1" s="71" t="s">
        <v>190</v>
      </c>
      <c r="D1" s="71" t="s">
        <v>33</v>
      </c>
      <c r="E1" s="66" t="s">
        <v>191</v>
      </c>
      <c r="F1" s="71" t="s">
        <v>192</v>
      </c>
      <c r="G1" s="71" t="s">
        <v>33</v>
      </c>
      <c r="H1" s="66" t="s">
        <v>193</v>
      </c>
      <c r="I1" s="86" t="s">
        <v>195</v>
      </c>
      <c r="J1" s="73" t="s">
        <v>127</v>
      </c>
      <c r="K1" s="72" t="s">
        <v>187</v>
      </c>
      <c r="L1" s="87" t="s">
        <v>186</v>
      </c>
      <c r="M1" s="74" t="s">
        <v>196</v>
      </c>
    </row>
    <row r="2" spans="1:13" x14ac:dyDescent="0.15">
      <c r="A2" s="75" t="s">
        <v>311</v>
      </c>
      <c r="B2" s="90">
        <v>15029</v>
      </c>
      <c r="C2" s="77">
        <f ca="1">VLOOKUP($B2,OFFSET([2]quests!$A$1,0,0,COUNTA([2]quests!$A:$A),MATCH(B$1,[2]quests!$1:$1,0)-MATCH($B$1,[2]quests!$1:$1,0)+1),MATCH(B$1,[2]quests!$1:$1,0)-MATCH($B$1,[2]quests!$1:$1,0)+1,FALSE)</f>
        <v>15029</v>
      </c>
      <c r="D2" s="77" t="str">
        <f ca="1">VLOOKUP($B2,OFFSET([2]quests!$A$1,0,0,COUNTA([2]quests!$A:$A),MATCH(C$1,[2]quests!$1:$1,0)-MATCH($B$1,[2]quests!$1:$1,0)+1),MATCH(C$1,[2]quests!$1:$1,0)-MATCH($B$1,[2]quests!$1:$1,0)+1,FALSE)</f>
        <v>29. 雪の望郷</v>
      </c>
      <c r="E2" s="78">
        <v>1</v>
      </c>
      <c r="F2" s="77">
        <f ca="1">VLOOKUP($B2&amp;"_"&amp;$E2,OFFSET([2]stages!$A$1,0,0,COUNTA([2]stages!$A:$A),MATCH(E$1,[2]stages!$2:$2,0)-MATCH("temp_stage",[2]stages!$2:$2,0)+1),MATCH(E$1,[2]stages!$2:$2,0)-MATCH("temp_stage",[2]stages!$2:$2,0)+1,FALSE)</f>
        <v>1</v>
      </c>
      <c r="G2" s="77" t="str">
        <f ca="1">VLOOKUP($B2&amp;"_"&amp;$F2,OFFSET([2]stages!$A$1,0,0,COUNTA([2]stages!$A:$A),MATCH(F$1,[2]stages!$2:$2,0)-MATCH("temp_stage",[2]stages!$2:$2,0)+1),MATCH(F$1,[2]stages!$2:$2,0)-MATCH("temp_stage",[2]stages!$2:$2,0)+1,FALSE)</f>
        <v>29-1. 雪の中のケモノたち</v>
      </c>
      <c r="H2" s="78">
        <v>1</v>
      </c>
      <c r="I2">
        <v>32</v>
      </c>
      <c r="J2" s="78" t="s">
        <v>312</v>
      </c>
      <c r="K2" s="242" t="s">
        <v>324</v>
      </c>
      <c r="L2" s="243" t="s">
        <v>325</v>
      </c>
      <c r="M2" s="50" t="s">
        <v>313</v>
      </c>
    </row>
    <row r="3" spans="1:13" x14ac:dyDescent="0.15">
      <c r="A3" s="75" t="s">
        <v>311</v>
      </c>
      <c r="B3" s="90">
        <v>15029</v>
      </c>
      <c r="C3" s="77">
        <f ca="1">VLOOKUP($B3,OFFSET([2]quests!$A$1,0,0,COUNTA([2]quests!$A:$A),MATCH(B$1,[2]quests!$1:$1,0)-MATCH($B$1,[2]quests!$1:$1,0)+1),MATCH(B$1,[2]quests!$1:$1,0)-MATCH($B$1,[2]quests!$1:$1,0)+1,FALSE)</f>
        <v>15029</v>
      </c>
      <c r="D3" s="77" t="str">
        <f ca="1">VLOOKUP($B3,OFFSET([2]quests!$A$1,0,0,COUNTA([2]quests!$A:$A),MATCH(C$1,[2]quests!$1:$1,0)-MATCH($B$1,[2]quests!$1:$1,0)+1),MATCH(C$1,[2]quests!$1:$1,0)-MATCH($B$1,[2]quests!$1:$1,0)+1,FALSE)</f>
        <v>29. 雪の望郷</v>
      </c>
      <c r="E3" s="78">
        <v>1</v>
      </c>
      <c r="F3" s="77">
        <f ca="1">VLOOKUP($B3&amp;"_"&amp;$E3,OFFSET([2]stages!$A$1,0,0,COUNTA([2]stages!$A:$A),MATCH(E$1,[2]stages!$2:$2,0)-MATCH("temp_stage",[2]stages!$2:$2,0)+1),MATCH(E$1,[2]stages!$2:$2,0)-MATCH("temp_stage",[2]stages!$2:$2,0)+1,FALSE)</f>
        <v>1</v>
      </c>
      <c r="G3" s="77" t="str">
        <f ca="1">VLOOKUP($B3&amp;"_"&amp;$F3,OFFSET([2]stages!$A$1,0,0,COUNTA([2]stages!$A:$A),MATCH(F$1,[2]stages!$2:$2,0)-MATCH("temp_stage",[2]stages!$2:$2,0)+1),MATCH(F$1,[2]stages!$2:$2,0)-MATCH("temp_stage",[2]stages!$2:$2,0)+1,FALSE)</f>
        <v>29-1. 雪の中のケモノたち</v>
      </c>
      <c r="H3" s="78">
        <v>2</v>
      </c>
      <c r="I3">
        <v>33</v>
      </c>
      <c r="J3" s="78" t="s">
        <v>312</v>
      </c>
      <c r="K3" s="242" t="s">
        <v>326</v>
      </c>
      <c r="L3" s="243" t="s">
        <v>327</v>
      </c>
      <c r="M3" s="50" t="s">
        <v>314</v>
      </c>
    </row>
    <row r="4" spans="1:13" x14ac:dyDescent="0.15">
      <c r="A4" s="75" t="s">
        <v>311</v>
      </c>
      <c r="B4" s="90">
        <v>15029</v>
      </c>
      <c r="C4" s="77">
        <f ca="1">VLOOKUP($B4,OFFSET([2]quests!$A$1,0,0,COUNTA([2]quests!$A:$A),MATCH(B$1,[2]quests!$1:$1,0)-MATCH($B$1,[2]quests!$1:$1,0)+1),MATCH(B$1,[2]quests!$1:$1,0)-MATCH($B$1,[2]quests!$1:$1,0)+1,FALSE)</f>
        <v>15029</v>
      </c>
      <c r="D4" s="77" t="str">
        <f ca="1">VLOOKUP($B4,OFFSET([2]quests!$A$1,0,0,COUNTA([2]quests!$A:$A),MATCH(C$1,[2]quests!$1:$1,0)-MATCH($B$1,[2]quests!$1:$1,0)+1),MATCH(C$1,[2]quests!$1:$1,0)-MATCH($B$1,[2]quests!$1:$1,0)+1,FALSE)</f>
        <v>29. 雪の望郷</v>
      </c>
      <c r="E4" s="78">
        <v>1</v>
      </c>
      <c r="F4" s="77">
        <f ca="1">VLOOKUP($B4&amp;"_"&amp;$E4,OFFSET([2]stages!$A$1,0,0,COUNTA([2]stages!$A:$A),MATCH(E$1,[2]stages!$2:$2,0)-MATCH("temp_stage",[2]stages!$2:$2,0)+1),MATCH(E$1,[2]stages!$2:$2,0)-MATCH("temp_stage",[2]stages!$2:$2,0)+1,FALSE)</f>
        <v>1</v>
      </c>
      <c r="G4" s="77" t="str">
        <f ca="1">VLOOKUP($B4&amp;"_"&amp;$F4,OFFSET([2]stages!$A$1,0,0,COUNTA([2]stages!$A:$A),MATCH(F$1,[2]stages!$2:$2,0)-MATCH("temp_stage",[2]stages!$2:$2,0)+1),MATCH(F$1,[2]stages!$2:$2,0)-MATCH("temp_stage",[2]stages!$2:$2,0)+1,FALSE)</f>
        <v>29-1. 雪の中のケモノたち</v>
      </c>
      <c r="H4" s="78">
        <v>3</v>
      </c>
      <c r="I4">
        <v>34</v>
      </c>
      <c r="J4" s="78" t="s">
        <v>315</v>
      </c>
      <c r="K4" s="242" t="s">
        <v>328</v>
      </c>
      <c r="L4" s="243" t="s">
        <v>329</v>
      </c>
      <c r="M4" s="50" t="s">
        <v>314</v>
      </c>
    </row>
    <row r="5" spans="1:13" x14ac:dyDescent="0.15">
      <c r="A5" s="75" t="s">
        <v>311</v>
      </c>
      <c r="B5" s="90">
        <v>15029</v>
      </c>
      <c r="C5" s="77">
        <f ca="1">VLOOKUP($B5,OFFSET([2]quests!$A$1,0,0,COUNTA([2]quests!$A:$A),MATCH(B$1,[2]quests!$1:$1,0)-MATCH($B$1,[2]quests!$1:$1,0)+1),MATCH(B$1,[2]quests!$1:$1,0)-MATCH($B$1,[2]quests!$1:$1,0)+1,FALSE)</f>
        <v>15029</v>
      </c>
      <c r="D5" s="77" t="str">
        <f ca="1">VLOOKUP($B5,OFFSET([2]quests!$A$1,0,0,COUNTA([2]quests!$A:$A),MATCH(C$1,[2]quests!$1:$1,0)-MATCH($B$1,[2]quests!$1:$1,0)+1),MATCH(C$1,[2]quests!$1:$1,0)-MATCH($B$1,[2]quests!$1:$1,0)+1,FALSE)</f>
        <v>29. 雪の望郷</v>
      </c>
      <c r="E5" s="78">
        <v>1</v>
      </c>
      <c r="F5" s="77">
        <f ca="1">VLOOKUP($B5&amp;"_"&amp;$E5,OFFSET([2]stages!$A$1,0,0,COUNTA([2]stages!$A:$A),MATCH(E$1,[2]stages!$2:$2,0)-MATCH("temp_stage",[2]stages!$2:$2,0)+1),MATCH(E$1,[2]stages!$2:$2,0)-MATCH("temp_stage",[2]stages!$2:$2,0)+1,FALSE)</f>
        <v>1</v>
      </c>
      <c r="G5" s="77" t="str">
        <f ca="1">VLOOKUP($B5&amp;"_"&amp;$F5,OFFSET([2]stages!$A$1,0,0,COUNTA([2]stages!$A:$A),MATCH(F$1,[2]stages!$2:$2,0)-MATCH("temp_stage",[2]stages!$2:$2,0)+1),MATCH(F$1,[2]stages!$2:$2,0)-MATCH("temp_stage",[2]stages!$2:$2,0)+1,FALSE)</f>
        <v>29-1. 雪の中のケモノたち</v>
      </c>
      <c r="H5" s="78">
        <v>4</v>
      </c>
      <c r="I5">
        <v>35</v>
      </c>
      <c r="J5" s="78" t="s">
        <v>315</v>
      </c>
      <c r="K5" s="242" t="s">
        <v>330</v>
      </c>
      <c r="L5" s="243" t="s">
        <v>331</v>
      </c>
      <c r="M5" s="50" t="s">
        <v>314</v>
      </c>
    </row>
    <row r="6" spans="1:13" x14ac:dyDescent="0.15">
      <c r="A6" s="75" t="s">
        <v>311</v>
      </c>
      <c r="B6" s="90">
        <v>15029</v>
      </c>
      <c r="C6" s="77">
        <f ca="1">VLOOKUP($B6,OFFSET([2]quests!$A$1,0,0,COUNTA([2]quests!$A:$A),MATCH(B$1,[2]quests!$1:$1,0)-MATCH($B$1,[2]quests!$1:$1,0)+1),MATCH(B$1,[2]quests!$1:$1,0)-MATCH($B$1,[2]quests!$1:$1,0)+1,FALSE)</f>
        <v>15029</v>
      </c>
      <c r="D6" s="77" t="str">
        <f ca="1">VLOOKUP($B6,OFFSET([2]quests!$A$1,0,0,COUNTA([2]quests!$A:$A),MATCH(C$1,[2]quests!$1:$1,0)-MATCH($B$1,[2]quests!$1:$1,0)+1),MATCH(C$1,[2]quests!$1:$1,0)-MATCH($B$1,[2]quests!$1:$1,0)+1,FALSE)</f>
        <v>29. 雪の望郷</v>
      </c>
      <c r="E6" s="78">
        <v>2</v>
      </c>
      <c r="F6" s="77">
        <f ca="1">VLOOKUP($B6&amp;"_"&amp;$E6,OFFSET([2]stages!$A$1,0,0,COUNTA([2]stages!$A:$A),MATCH(E$1,[2]stages!$2:$2,0)-MATCH("temp_stage",[2]stages!$2:$2,0)+1),MATCH(E$1,[2]stages!$2:$2,0)-MATCH("temp_stage",[2]stages!$2:$2,0)+1,FALSE)</f>
        <v>2</v>
      </c>
      <c r="G6" s="77" t="str">
        <f ca="1">VLOOKUP($B6&amp;"_"&amp;$F6,OFFSET([2]stages!$A$1,0,0,COUNTA([2]stages!$A:$A),MATCH(F$1,[2]stages!$2:$2,0)-MATCH("temp_stage",[2]stages!$2:$2,0)+1),MATCH(F$1,[2]stages!$2:$2,0)-MATCH("temp_stage",[2]stages!$2:$2,0)+1,FALSE)</f>
        <v>29-2. ねこみみマフラー</v>
      </c>
      <c r="H6" s="78">
        <v>1</v>
      </c>
      <c r="I6">
        <v>36</v>
      </c>
      <c r="J6" s="78" t="s">
        <v>315</v>
      </c>
      <c r="K6" s="242" t="s">
        <v>332</v>
      </c>
      <c r="L6" s="243" t="s">
        <v>333</v>
      </c>
      <c r="M6" s="50" t="s">
        <v>314</v>
      </c>
    </row>
    <row r="7" spans="1:13" x14ac:dyDescent="0.15">
      <c r="A7" s="75" t="s">
        <v>311</v>
      </c>
      <c r="B7" s="90">
        <v>15029</v>
      </c>
      <c r="C7" s="77">
        <f ca="1">VLOOKUP($B7,OFFSET([2]quests!$A$1,0,0,COUNTA([2]quests!$A:$A),MATCH(B$1,[2]quests!$1:$1,0)-MATCH($B$1,[2]quests!$1:$1,0)+1),MATCH(B$1,[2]quests!$1:$1,0)-MATCH($B$1,[2]quests!$1:$1,0)+1,FALSE)</f>
        <v>15029</v>
      </c>
      <c r="D7" s="77" t="str">
        <f ca="1">VLOOKUP($B7,OFFSET([2]quests!$A$1,0,0,COUNTA([2]quests!$A:$A),MATCH(C$1,[2]quests!$1:$1,0)-MATCH($B$1,[2]quests!$1:$1,0)+1),MATCH(C$1,[2]quests!$1:$1,0)-MATCH($B$1,[2]quests!$1:$1,0)+1,FALSE)</f>
        <v>29. 雪の望郷</v>
      </c>
      <c r="E7" s="78">
        <v>2</v>
      </c>
      <c r="F7" s="77">
        <f ca="1">VLOOKUP($B7&amp;"_"&amp;$E7,OFFSET([2]stages!$A$1,0,0,COUNTA([2]stages!$A:$A),MATCH(E$1,[2]stages!$2:$2,0)-MATCH("temp_stage",[2]stages!$2:$2,0)+1),MATCH(E$1,[2]stages!$2:$2,0)-MATCH("temp_stage",[2]stages!$2:$2,0)+1,FALSE)</f>
        <v>2</v>
      </c>
      <c r="G7" s="77" t="str">
        <f ca="1">VLOOKUP($B7&amp;"_"&amp;$F7,OFFSET([2]stages!$A$1,0,0,COUNTA([2]stages!$A:$A),MATCH(F$1,[2]stages!$2:$2,0)-MATCH("temp_stage",[2]stages!$2:$2,0)+1),MATCH(F$1,[2]stages!$2:$2,0)-MATCH("temp_stage",[2]stages!$2:$2,0)+1,FALSE)</f>
        <v>29-2. ねこみみマフラー</v>
      </c>
      <c r="H7" s="78">
        <v>2</v>
      </c>
      <c r="I7">
        <v>37</v>
      </c>
      <c r="J7" s="78" t="s">
        <v>315</v>
      </c>
      <c r="K7" s="242" t="s">
        <v>334</v>
      </c>
      <c r="L7" s="243" t="s">
        <v>335</v>
      </c>
      <c r="M7" s="50" t="s">
        <v>314</v>
      </c>
    </row>
    <row r="8" spans="1:13" x14ac:dyDescent="0.15">
      <c r="A8" s="75" t="s">
        <v>311</v>
      </c>
      <c r="B8" s="90">
        <v>15029</v>
      </c>
      <c r="C8" s="77">
        <f ca="1">VLOOKUP($B8,OFFSET([2]quests!$A$1,0,0,COUNTA([2]quests!$A:$A),MATCH(B$1,[2]quests!$1:$1,0)-MATCH($B$1,[2]quests!$1:$1,0)+1),MATCH(B$1,[2]quests!$1:$1,0)-MATCH($B$1,[2]quests!$1:$1,0)+1,FALSE)</f>
        <v>15029</v>
      </c>
      <c r="D8" s="77" t="str">
        <f ca="1">VLOOKUP($B8,OFFSET([2]quests!$A$1,0,0,COUNTA([2]quests!$A:$A),MATCH(C$1,[2]quests!$1:$1,0)-MATCH($B$1,[2]quests!$1:$1,0)+1),MATCH(C$1,[2]quests!$1:$1,0)-MATCH($B$1,[2]quests!$1:$1,0)+1,FALSE)</f>
        <v>29. 雪の望郷</v>
      </c>
      <c r="E8" s="78">
        <v>2</v>
      </c>
      <c r="F8" s="77">
        <f ca="1">VLOOKUP($B8&amp;"_"&amp;$E8,OFFSET([2]stages!$A$1,0,0,COUNTA([2]stages!$A:$A),MATCH(E$1,[2]stages!$2:$2,0)-MATCH("temp_stage",[2]stages!$2:$2,0)+1),MATCH(E$1,[2]stages!$2:$2,0)-MATCH("temp_stage",[2]stages!$2:$2,0)+1,FALSE)</f>
        <v>2</v>
      </c>
      <c r="G8" s="77" t="str">
        <f ca="1">VLOOKUP($B8&amp;"_"&amp;$F8,OFFSET([2]stages!$A$1,0,0,COUNTA([2]stages!$A:$A),MATCH(F$1,[2]stages!$2:$2,0)-MATCH("temp_stage",[2]stages!$2:$2,0)+1),MATCH(F$1,[2]stages!$2:$2,0)-MATCH("temp_stage",[2]stages!$2:$2,0)+1,FALSE)</f>
        <v>29-2. ねこみみマフラー</v>
      </c>
      <c r="H8" s="78">
        <v>3</v>
      </c>
      <c r="I8">
        <v>32</v>
      </c>
      <c r="J8" s="78" t="s">
        <v>315</v>
      </c>
      <c r="K8" s="242" t="s">
        <v>324</v>
      </c>
      <c r="L8" s="243" t="s">
        <v>325</v>
      </c>
      <c r="M8" s="50" t="s">
        <v>314</v>
      </c>
    </row>
    <row r="9" spans="1:13" x14ac:dyDescent="0.15">
      <c r="A9" s="75" t="s">
        <v>311</v>
      </c>
      <c r="B9" s="90">
        <v>15029</v>
      </c>
      <c r="C9" s="77">
        <f ca="1">VLOOKUP($B9,OFFSET([2]quests!$A$1,0,0,COUNTA([2]quests!$A:$A),MATCH(B$1,[2]quests!$1:$1,0)-MATCH($B$1,[2]quests!$1:$1,0)+1),MATCH(B$1,[2]quests!$1:$1,0)-MATCH($B$1,[2]quests!$1:$1,0)+1,FALSE)</f>
        <v>15029</v>
      </c>
      <c r="D9" s="77" t="str">
        <f ca="1">VLOOKUP($B9,OFFSET([2]quests!$A$1,0,0,COUNTA([2]quests!$A:$A),MATCH(C$1,[2]quests!$1:$1,0)-MATCH($B$1,[2]quests!$1:$1,0)+1),MATCH(C$1,[2]quests!$1:$1,0)-MATCH($B$1,[2]quests!$1:$1,0)+1,FALSE)</f>
        <v>29. 雪の望郷</v>
      </c>
      <c r="E9" s="78">
        <v>2</v>
      </c>
      <c r="F9" s="77">
        <f ca="1">VLOOKUP($B9&amp;"_"&amp;$E9,OFFSET([2]stages!$A$1,0,0,COUNTA([2]stages!$A:$A),MATCH(E$1,[2]stages!$2:$2,0)-MATCH("temp_stage",[2]stages!$2:$2,0)+1),MATCH(E$1,[2]stages!$2:$2,0)-MATCH("temp_stage",[2]stages!$2:$2,0)+1,FALSE)</f>
        <v>2</v>
      </c>
      <c r="G9" s="77" t="str">
        <f ca="1">VLOOKUP($B9&amp;"_"&amp;$F9,OFFSET([2]stages!$A$1,0,0,COUNTA([2]stages!$A:$A),MATCH(F$1,[2]stages!$2:$2,0)-MATCH("temp_stage",[2]stages!$2:$2,0)+1),MATCH(F$1,[2]stages!$2:$2,0)-MATCH("temp_stage",[2]stages!$2:$2,0)+1,FALSE)</f>
        <v>29-2. ねこみみマフラー</v>
      </c>
      <c r="H9" s="78">
        <v>4</v>
      </c>
      <c r="I9">
        <v>33</v>
      </c>
      <c r="J9" s="78" t="s">
        <v>315</v>
      </c>
      <c r="K9" s="242" t="s">
        <v>326</v>
      </c>
      <c r="L9" s="243" t="s">
        <v>327</v>
      </c>
      <c r="M9" s="50" t="s">
        <v>314</v>
      </c>
    </row>
    <row r="10" spans="1:13" x14ac:dyDescent="0.15">
      <c r="A10" s="75" t="s">
        <v>311</v>
      </c>
      <c r="B10" s="90">
        <v>15029</v>
      </c>
      <c r="C10" s="77">
        <f ca="1">VLOOKUP($B10,OFFSET([2]quests!$A$1,0,0,COUNTA([2]quests!$A:$A),MATCH(B$1,[2]quests!$1:$1,0)-MATCH($B$1,[2]quests!$1:$1,0)+1),MATCH(B$1,[2]quests!$1:$1,0)-MATCH($B$1,[2]quests!$1:$1,0)+1,FALSE)</f>
        <v>15029</v>
      </c>
      <c r="D10" s="77" t="str">
        <f ca="1">VLOOKUP($B10,OFFSET([2]quests!$A$1,0,0,COUNTA([2]quests!$A:$A),MATCH(C$1,[2]quests!$1:$1,0)-MATCH($B$1,[2]quests!$1:$1,0)+1),MATCH(C$1,[2]quests!$1:$1,0)-MATCH($B$1,[2]quests!$1:$1,0)+1,FALSE)</f>
        <v>29. 雪の望郷</v>
      </c>
      <c r="E10" s="78">
        <v>3</v>
      </c>
      <c r="F10" s="77">
        <f ca="1">VLOOKUP($B10&amp;"_"&amp;$E10,OFFSET([2]stages!$A$1,0,0,COUNTA([2]stages!$A:$A),MATCH(E$1,[2]stages!$2:$2,0)-MATCH("temp_stage",[2]stages!$2:$2,0)+1),MATCH(E$1,[2]stages!$2:$2,0)-MATCH("temp_stage",[2]stages!$2:$2,0)+1,FALSE)</f>
        <v>3</v>
      </c>
      <c r="G10" s="77" t="str">
        <f ca="1">VLOOKUP($B10&amp;"_"&amp;$F10,OFFSET([2]stages!$A$1,0,0,COUNTA([2]stages!$A:$A),MATCH(F$1,[2]stages!$2:$2,0)-MATCH("temp_stage",[2]stages!$2:$2,0)+1),MATCH(F$1,[2]stages!$2:$2,0)-MATCH("temp_stage",[2]stages!$2:$2,0)+1,FALSE)</f>
        <v>29-3. 仕立屋と兄妹</v>
      </c>
      <c r="H10" s="78">
        <v>1</v>
      </c>
      <c r="I10">
        <v>34</v>
      </c>
      <c r="J10" s="78" t="s">
        <v>315</v>
      </c>
      <c r="K10" s="242" t="s">
        <v>328</v>
      </c>
      <c r="L10" s="243" t="s">
        <v>329</v>
      </c>
      <c r="M10" s="50" t="s">
        <v>200</v>
      </c>
    </row>
    <row r="11" spans="1:13" x14ac:dyDescent="0.15">
      <c r="A11" s="75" t="s">
        <v>311</v>
      </c>
      <c r="B11" s="90">
        <v>15029</v>
      </c>
      <c r="C11" s="77">
        <f ca="1">VLOOKUP($B11,OFFSET([2]quests!$A$1,0,0,COUNTA([2]quests!$A:$A),MATCH(B$1,[2]quests!$1:$1,0)-MATCH($B$1,[2]quests!$1:$1,0)+1),MATCH(B$1,[2]quests!$1:$1,0)-MATCH($B$1,[2]quests!$1:$1,0)+1,FALSE)</f>
        <v>15029</v>
      </c>
      <c r="D11" s="77" t="str">
        <f ca="1">VLOOKUP($B11,OFFSET([2]quests!$A$1,0,0,COUNTA([2]quests!$A:$A),MATCH(C$1,[2]quests!$1:$1,0)-MATCH($B$1,[2]quests!$1:$1,0)+1),MATCH(C$1,[2]quests!$1:$1,0)-MATCH($B$1,[2]quests!$1:$1,0)+1,FALSE)</f>
        <v>29. 雪の望郷</v>
      </c>
      <c r="E11" s="78">
        <v>3</v>
      </c>
      <c r="F11" s="77">
        <f ca="1">VLOOKUP($B11&amp;"_"&amp;$E11,OFFSET([2]stages!$A$1,0,0,COUNTA([2]stages!$A:$A),MATCH(E$1,[2]stages!$2:$2,0)-MATCH("temp_stage",[2]stages!$2:$2,0)+1),MATCH(E$1,[2]stages!$2:$2,0)-MATCH("temp_stage",[2]stages!$2:$2,0)+1,FALSE)</f>
        <v>3</v>
      </c>
      <c r="G11" s="77" t="str">
        <f ca="1">VLOOKUP($B11&amp;"_"&amp;$F11,OFFSET([2]stages!$A$1,0,0,COUNTA([2]stages!$A:$A),MATCH(F$1,[2]stages!$2:$2,0)-MATCH("temp_stage",[2]stages!$2:$2,0)+1),MATCH(F$1,[2]stages!$2:$2,0)-MATCH("temp_stage",[2]stages!$2:$2,0)+1,FALSE)</f>
        <v>29-3. 仕立屋と兄妹</v>
      </c>
      <c r="H11" s="78">
        <v>2</v>
      </c>
      <c r="I11">
        <v>35</v>
      </c>
      <c r="J11" s="78" t="s">
        <v>316</v>
      </c>
      <c r="K11" s="242" t="s">
        <v>330</v>
      </c>
      <c r="L11" s="243" t="s">
        <v>331</v>
      </c>
      <c r="M11" s="50" t="s">
        <v>317</v>
      </c>
    </row>
    <row r="12" spans="1:13" x14ac:dyDescent="0.15">
      <c r="A12" s="75" t="s">
        <v>311</v>
      </c>
      <c r="B12" s="90">
        <v>15029</v>
      </c>
      <c r="C12" s="77">
        <f ca="1">VLOOKUP($B12,OFFSET([2]quests!$A$1,0,0,COUNTA([2]quests!$A:$A),MATCH(B$1,[2]quests!$1:$1,0)-MATCH($B$1,[2]quests!$1:$1,0)+1),MATCH(B$1,[2]quests!$1:$1,0)-MATCH($B$1,[2]quests!$1:$1,0)+1,FALSE)</f>
        <v>15029</v>
      </c>
      <c r="D12" s="77" t="str">
        <f ca="1">VLOOKUP($B12,OFFSET([2]quests!$A$1,0,0,COUNTA([2]quests!$A:$A),MATCH(C$1,[2]quests!$1:$1,0)-MATCH($B$1,[2]quests!$1:$1,0)+1),MATCH(C$1,[2]quests!$1:$1,0)-MATCH($B$1,[2]quests!$1:$1,0)+1,FALSE)</f>
        <v>29. 雪の望郷</v>
      </c>
      <c r="E12" s="78">
        <v>3</v>
      </c>
      <c r="F12" s="77">
        <f ca="1">VLOOKUP($B12&amp;"_"&amp;$E12,OFFSET([2]stages!$A$1,0,0,COUNTA([2]stages!$A:$A),MATCH(E$1,[2]stages!$2:$2,0)-MATCH("temp_stage",[2]stages!$2:$2,0)+1),MATCH(E$1,[2]stages!$2:$2,0)-MATCH("temp_stage",[2]stages!$2:$2,0)+1,FALSE)</f>
        <v>3</v>
      </c>
      <c r="G12" s="77" t="str">
        <f ca="1">VLOOKUP($B12&amp;"_"&amp;$F12,OFFSET([2]stages!$A$1,0,0,COUNTA([2]stages!$A:$A),MATCH(F$1,[2]stages!$2:$2,0)-MATCH("temp_stage",[2]stages!$2:$2,0)+1),MATCH(F$1,[2]stages!$2:$2,0)-MATCH("temp_stage",[2]stages!$2:$2,0)+1,FALSE)</f>
        <v>29-3. 仕立屋と兄妹</v>
      </c>
      <c r="H12" s="78">
        <v>3</v>
      </c>
      <c r="I12">
        <v>36</v>
      </c>
      <c r="J12" s="78" t="s">
        <v>315</v>
      </c>
      <c r="K12" s="242" t="s">
        <v>332</v>
      </c>
      <c r="L12" s="243" t="s">
        <v>333</v>
      </c>
      <c r="M12" s="50" t="s">
        <v>314</v>
      </c>
    </row>
    <row r="13" spans="1:13" x14ac:dyDescent="0.15">
      <c r="A13" s="75" t="s">
        <v>311</v>
      </c>
      <c r="B13" s="90">
        <v>15029</v>
      </c>
      <c r="C13" s="77">
        <f ca="1">VLOOKUP($B13,OFFSET([2]quests!$A$1,0,0,COUNTA([2]quests!$A:$A),MATCH(B$1,[2]quests!$1:$1,0)-MATCH($B$1,[2]quests!$1:$1,0)+1),MATCH(B$1,[2]quests!$1:$1,0)-MATCH($B$1,[2]quests!$1:$1,0)+1,FALSE)</f>
        <v>15029</v>
      </c>
      <c r="D13" s="77" t="str">
        <f ca="1">VLOOKUP($B13,OFFSET([2]quests!$A$1,0,0,COUNTA([2]quests!$A:$A),MATCH(C$1,[2]quests!$1:$1,0)-MATCH($B$1,[2]quests!$1:$1,0)+1),MATCH(C$1,[2]quests!$1:$1,0)-MATCH($B$1,[2]quests!$1:$1,0)+1,FALSE)</f>
        <v>29. 雪の望郷</v>
      </c>
      <c r="E13" s="78">
        <v>3</v>
      </c>
      <c r="F13" s="77">
        <f ca="1">VLOOKUP($B13&amp;"_"&amp;$E13,OFFSET([2]stages!$A$1,0,0,COUNTA([2]stages!$A:$A),MATCH(E$1,[2]stages!$2:$2,0)-MATCH("temp_stage",[2]stages!$2:$2,0)+1),MATCH(E$1,[2]stages!$2:$2,0)-MATCH("temp_stage",[2]stages!$2:$2,0)+1,FALSE)</f>
        <v>3</v>
      </c>
      <c r="G13" s="77" t="str">
        <f ca="1">VLOOKUP($B13&amp;"_"&amp;$F13,OFFSET([2]stages!$A$1,0,0,COUNTA([2]stages!$A:$A),MATCH(F$1,[2]stages!$2:$2,0)-MATCH("temp_stage",[2]stages!$2:$2,0)+1),MATCH(F$1,[2]stages!$2:$2,0)-MATCH("temp_stage",[2]stages!$2:$2,0)+1,FALSE)</f>
        <v>29-3. 仕立屋と兄妹</v>
      </c>
      <c r="H13" s="78">
        <v>4</v>
      </c>
      <c r="I13">
        <v>37</v>
      </c>
      <c r="J13" s="78" t="s">
        <v>315</v>
      </c>
      <c r="K13" s="242" t="s">
        <v>334</v>
      </c>
      <c r="L13" s="243" t="s">
        <v>335</v>
      </c>
      <c r="M13" s="50" t="s">
        <v>314</v>
      </c>
    </row>
    <row r="14" spans="1:13" x14ac:dyDescent="0.15">
      <c r="A14" s="75" t="s">
        <v>311</v>
      </c>
      <c r="B14" s="90">
        <v>15029</v>
      </c>
      <c r="C14" s="77">
        <f ca="1">VLOOKUP($B14,OFFSET([2]quests!$A$1,0,0,COUNTA([2]quests!$A:$A),MATCH(B$1,[2]quests!$1:$1,0)-MATCH($B$1,[2]quests!$1:$1,0)+1),MATCH(B$1,[2]quests!$1:$1,0)-MATCH($B$1,[2]quests!$1:$1,0)+1,FALSE)</f>
        <v>15029</v>
      </c>
      <c r="D14" s="77" t="str">
        <f ca="1">VLOOKUP($B14,OFFSET([2]quests!$A$1,0,0,COUNTA([2]quests!$A:$A),MATCH(C$1,[2]quests!$1:$1,0)-MATCH($B$1,[2]quests!$1:$1,0)+1),MATCH(C$1,[2]quests!$1:$1,0)-MATCH($B$1,[2]quests!$1:$1,0)+1,FALSE)</f>
        <v>29. 雪の望郷</v>
      </c>
      <c r="E14" s="78">
        <v>4</v>
      </c>
      <c r="F14" s="77">
        <f ca="1">VLOOKUP($B14&amp;"_"&amp;$E14,OFFSET([2]stages!$A$1,0,0,COUNTA([2]stages!$A:$A),MATCH(E$1,[2]stages!$2:$2,0)-MATCH("temp_stage",[2]stages!$2:$2,0)+1),MATCH(E$1,[2]stages!$2:$2,0)-MATCH("temp_stage",[2]stages!$2:$2,0)+1,FALSE)</f>
        <v>4</v>
      </c>
      <c r="G14" s="77" t="str">
        <f ca="1">VLOOKUP($B14&amp;"_"&amp;$F14,OFFSET([2]stages!$A$1,0,0,COUNTA([2]stages!$A:$A),MATCH(F$1,[2]stages!$2:$2,0)-MATCH("temp_stage",[2]stages!$2:$2,0)+1),MATCH(F$1,[2]stages!$2:$2,0)-MATCH("temp_stage",[2]stages!$2:$2,0)+1,FALSE)</f>
        <v>29-4. 【1回のみ】ボーナスステージ</v>
      </c>
      <c r="H14" s="78">
        <v>1</v>
      </c>
      <c r="I14">
        <v>32</v>
      </c>
      <c r="J14" s="78" t="s">
        <v>318</v>
      </c>
      <c r="K14" s="242" t="s">
        <v>324</v>
      </c>
      <c r="L14" s="243" t="s">
        <v>325</v>
      </c>
      <c r="M14" s="50" t="s">
        <v>314</v>
      </c>
    </row>
    <row r="15" spans="1:13" x14ac:dyDescent="0.15">
      <c r="A15" s="75" t="s">
        <v>311</v>
      </c>
      <c r="B15" s="90">
        <v>15029</v>
      </c>
      <c r="C15" s="77">
        <f ca="1">VLOOKUP($B15,OFFSET([2]quests!$A$1,0,0,COUNTA([2]quests!$A:$A),MATCH(B$1,[2]quests!$1:$1,0)-MATCH($B$1,[2]quests!$1:$1,0)+1),MATCH(B$1,[2]quests!$1:$1,0)-MATCH($B$1,[2]quests!$1:$1,0)+1,FALSE)</f>
        <v>15029</v>
      </c>
      <c r="D15" s="77" t="str">
        <f ca="1">VLOOKUP($B15,OFFSET([2]quests!$A$1,0,0,COUNTA([2]quests!$A:$A),MATCH(C$1,[2]quests!$1:$1,0)-MATCH($B$1,[2]quests!$1:$1,0)+1),MATCH(C$1,[2]quests!$1:$1,0)-MATCH($B$1,[2]quests!$1:$1,0)+1,FALSE)</f>
        <v>29. 雪の望郷</v>
      </c>
      <c r="E15" s="78">
        <v>4</v>
      </c>
      <c r="F15" s="77">
        <f ca="1">VLOOKUP($B15&amp;"_"&amp;$E15,OFFSET([2]stages!$A$1,0,0,COUNTA([2]stages!$A:$A),MATCH(E$1,[2]stages!$2:$2,0)-MATCH("temp_stage",[2]stages!$2:$2,0)+1),MATCH(E$1,[2]stages!$2:$2,0)-MATCH("temp_stage",[2]stages!$2:$2,0)+1,FALSE)</f>
        <v>4</v>
      </c>
      <c r="G15" s="77" t="str">
        <f ca="1">VLOOKUP($B15&amp;"_"&amp;$F15,OFFSET([2]stages!$A$1,0,0,COUNTA([2]stages!$A:$A),MATCH(F$1,[2]stages!$2:$2,0)-MATCH("temp_stage",[2]stages!$2:$2,0)+1),MATCH(F$1,[2]stages!$2:$2,0)-MATCH("temp_stage",[2]stages!$2:$2,0)+1,FALSE)</f>
        <v>29-4. 【1回のみ】ボーナスステージ</v>
      </c>
      <c r="H15" s="78">
        <v>2</v>
      </c>
      <c r="I15">
        <v>33</v>
      </c>
      <c r="J15" s="78" t="s">
        <v>315</v>
      </c>
      <c r="K15" s="242" t="s">
        <v>326</v>
      </c>
      <c r="L15" s="243" t="s">
        <v>327</v>
      </c>
      <c r="M15" s="50" t="s">
        <v>314</v>
      </c>
    </row>
    <row r="16" spans="1:13" x14ac:dyDescent="0.15">
      <c r="A16" s="75" t="s">
        <v>311</v>
      </c>
      <c r="B16" s="90">
        <v>15029</v>
      </c>
      <c r="C16" s="77">
        <f ca="1">VLOOKUP($B16,OFFSET([2]quests!$A$1,0,0,COUNTA([2]quests!$A:$A),MATCH(B$1,[2]quests!$1:$1,0)-MATCH($B$1,[2]quests!$1:$1,0)+1),MATCH(B$1,[2]quests!$1:$1,0)-MATCH($B$1,[2]quests!$1:$1,0)+1,FALSE)</f>
        <v>15029</v>
      </c>
      <c r="D16" s="77" t="str">
        <f ca="1">VLOOKUP($B16,OFFSET([2]quests!$A$1,0,0,COUNTA([2]quests!$A:$A),MATCH(C$1,[2]quests!$1:$1,0)-MATCH($B$1,[2]quests!$1:$1,0)+1),MATCH(C$1,[2]quests!$1:$1,0)-MATCH($B$1,[2]quests!$1:$1,0)+1,FALSE)</f>
        <v>29. 雪の望郷</v>
      </c>
      <c r="E16" s="78">
        <v>4</v>
      </c>
      <c r="F16" s="77">
        <f ca="1">VLOOKUP($B16&amp;"_"&amp;$E16,OFFSET([2]stages!$A$1,0,0,COUNTA([2]stages!$A:$A),MATCH(E$1,[2]stages!$2:$2,0)-MATCH("temp_stage",[2]stages!$2:$2,0)+1),MATCH(E$1,[2]stages!$2:$2,0)-MATCH("temp_stage",[2]stages!$2:$2,0)+1,FALSE)</f>
        <v>4</v>
      </c>
      <c r="G16" s="77" t="str">
        <f ca="1">VLOOKUP($B16&amp;"_"&amp;$F16,OFFSET([2]stages!$A$1,0,0,COUNTA([2]stages!$A:$A),MATCH(F$1,[2]stages!$2:$2,0)-MATCH("temp_stage",[2]stages!$2:$2,0)+1),MATCH(F$1,[2]stages!$2:$2,0)-MATCH("temp_stage",[2]stages!$2:$2,0)+1,FALSE)</f>
        <v>29-4. 【1回のみ】ボーナスステージ</v>
      </c>
      <c r="H16" s="78">
        <v>3</v>
      </c>
      <c r="I16">
        <v>34</v>
      </c>
      <c r="J16" s="78" t="s">
        <v>315</v>
      </c>
      <c r="K16" s="242" t="s">
        <v>328</v>
      </c>
      <c r="L16" s="243" t="s">
        <v>329</v>
      </c>
      <c r="M16" s="50" t="s">
        <v>313</v>
      </c>
    </row>
    <row r="17" spans="1:13" x14ac:dyDescent="0.15">
      <c r="A17" s="75" t="s">
        <v>311</v>
      </c>
      <c r="B17" s="90">
        <v>15029</v>
      </c>
      <c r="C17" s="77">
        <f ca="1">VLOOKUP($B17,OFFSET([2]quests!$A$1,0,0,COUNTA([2]quests!$A:$A),MATCH(B$1,[2]quests!$1:$1,0)-MATCH($B$1,[2]quests!$1:$1,0)+1),MATCH(B$1,[2]quests!$1:$1,0)-MATCH($B$1,[2]quests!$1:$1,0)+1,FALSE)</f>
        <v>15029</v>
      </c>
      <c r="D17" s="77" t="str">
        <f ca="1">VLOOKUP($B17,OFFSET([2]quests!$A$1,0,0,COUNTA([2]quests!$A:$A),MATCH(C$1,[2]quests!$1:$1,0)-MATCH($B$1,[2]quests!$1:$1,0)+1),MATCH(C$1,[2]quests!$1:$1,0)-MATCH($B$1,[2]quests!$1:$1,0)+1,FALSE)</f>
        <v>29. 雪の望郷</v>
      </c>
      <c r="E17" s="78">
        <v>4</v>
      </c>
      <c r="F17" s="77">
        <f ca="1">VLOOKUP($B17&amp;"_"&amp;$E17,OFFSET([2]stages!$A$1,0,0,COUNTA([2]stages!$A:$A),MATCH(E$1,[2]stages!$2:$2,0)-MATCH("temp_stage",[2]stages!$2:$2,0)+1),MATCH(E$1,[2]stages!$2:$2,0)-MATCH("temp_stage",[2]stages!$2:$2,0)+1,FALSE)</f>
        <v>4</v>
      </c>
      <c r="G17" s="77" t="str">
        <f ca="1">VLOOKUP($B17&amp;"_"&amp;$F17,OFFSET([2]stages!$A$1,0,0,COUNTA([2]stages!$A:$A),MATCH(F$1,[2]stages!$2:$2,0)-MATCH("temp_stage",[2]stages!$2:$2,0)+1),MATCH(F$1,[2]stages!$2:$2,0)-MATCH("temp_stage",[2]stages!$2:$2,0)+1,FALSE)</f>
        <v>29-4. 【1回のみ】ボーナスステージ</v>
      </c>
      <c r="H17" s="78">
        <v>4</v>
      </c>
      <c r="I17">
        <v>35</v>
      </c>
      <c r="J17" s="78" t="s">
        <v>315</v>
      </c>
      <c r="K17" s="242" t="s">
        <v>330</v>
      </c>
      <c r="L17" s="243" t="s">
        <v>331</v>
      </c>
      <c r="M17" s="50" t="s">
        <v>314</v>
      </c>
    </row>
    <row r="18" spans="1:13" x14ac:dyDescent="0.15">
      <c r="A18" s="75" t="s">
        <v>311</v>
      </c>
      <c r="B18" s="90">
        <v>15029</v>
      </c>
      <c r="C18" s="77">
        <f ca="1">VLOOKUP($B18,OFFSET([2]quests!$A$1,0,0,COUNTA([2]quests!$A:$A),MATCH(B$1,[2]quests!$1:$1,0)-MATCH($B$1,[2]quests!$1:$1,0)+1),MATCH(B$1,[2]quests!$1:$1,0)-MATCH($B$1,[2]quests!$1:$1,0)+1,FALSE)</f>
        <v>15029</v>
      </c>
      <c r="D18" s="77" t="str">
        <f ca="1">VLOOKUP($B18,OFFSET([2]quests!$A$1,0,0,COUNTA([2]quests!$A:$A),MATCH(C$1,[2]quests!$1:$1,0)-MATCH($B$1,[2]quests!$1:$1,0)+1),MATCH(C$1,[2]quests!$1:$1,0)-MATCH($B$1,[2]quests!$1:$1,0)+1,FALSE)</f>
        <v>29. 雪の望郷</v>
      </c>
      <c r="E18" s="78">
        <v>4</v>
      </c>
      <c r="F18" s="77">
        <f ca="1">VLOOKUP($B18&amp;"_"&amp;$E18,OFFSET([2]stages!$A$1,0,0,COUNTA([2]stages!$A:$A),MATCH(E$1,[2]stages!$2:$2,0)-MATCH("temp_stage",[2]stages!$2:$2,0)+1),MATCH(E$1,[2]stages!$2:$2,0)-MATCH("temp_stage",[2]stages!$2:$2,0)+1,FALSE)</f>
        <v>4</v>
      </c>
      <c r="G18" s="77" t="str">
        <f ca="1">VLOOKUP($B18&amp;"_"&amp;$F18,OFFSET([2]stages!$A$1,0,0,COUNTA([2]stages!$A:$A),MATCH(F$1,[2]stages!$2:$2,0)-MATCH("temp_stage",[2]stages!$2:$2,0)+1),MATCH(F$1,[2]stages!$2:$2,0)-MATCH("temp_stage",[2]stages!$2:$2,0)+1,FALSE)</f>
        <v>29-4. 【1回のみ】ボーナスステージ</v>
      </c>
      <c r="H18" s="78">
        <v>5</v>
      </c>
      <c r="I18">
        <v>36</v>
      </c>
      <c r="J18" s="78" t="s">
        <v>315</v>
      </c>
      <c r="K18" s="242" t="s">
        <v>332</v>
      </c>
      <c r="L18" s="243" t="s">
        <v>333</v>
      </c>
      <c r="M18" s="50" t="s">
        <v>314</v>
      </c>
    </row>
  </sheetData>
  <phoneticPr fontId="5"/>
  <dataValidations count="1">
    <dataValidation type="list" allowBlank="1" showInputMessage="1" showErrorMessage="1" sqref="A2:A18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8"/>
  <sheetViews>
    <sheetView showGridLines="0" workbookViewId="0">
      <pane ySplit="1" topLeftCell="A2" activePane="bottomLeft" state="frozen"/>
      <selection pane="bottomLeft" activeCell="M9" sqref="M9"/>
    </sheetView>
  </sheetViews>
  <sheetFormatPr baseColWidth="12" defaultColWidth="13" defaultRowHeight="15" outlineLevelCol="1" x14ac:dyDescent="0.15"/>
  <cols>
    <col min="1" max="1" width="13" style="83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0" t="s">
        <v>188</v>
      </c>
      <c r="B1" s="66" t="s">
        <v>151</v>
      </c>
      <c r="C1" s="71" t="s">
        <v>190</v>
      </c>
      <c r="D1" s="71" t="s">
        <v>33</v>
      </c>
      <c r="E1" s="66" t="s">
        <v>191</v>
      </c>
      <c r="F1" s="71" t="s">
        <v>18</v>
      </c>
      <c r="G1" s="71" t="s">
        <v>33</v>
      </c>
      <c r="H1" s="66" t="s">
        <v>193</v>
      </c>
      <c r="I1" s="84" t="s">
        <v>194</v>
      </c>
      <c r="J1" s="86" t="s">
        <v>195</v>
      </c>
      <c r="K1" s="73" t="s">
        <v>127</v>
      </c>
      <c r="L1" s="72" t="s">
        <v>187</v>
      </c>
      <c r="M1" s="87" t="s">
        <v>186</v>
      </c>
      <c r="N1" s="74" t="s">
        <v>196</v>
      </c>
    </row>
    <row r="2" spans="1:14" x14ac:dyDescent="0.15">
      <c r="A2" s="75" t="s">
        <v>197</v>
      </c>
      <c r="B2" s="76">
        <f>floors!$C$2</f>
        <v>15029</v>
      </c>
      <c r="C2" s="77" t="str">
        <f ca="1">VLOOKUP($B2,OFFSET([2]quests!$A$1,0,0,COUNTA([2]quests!$A:$A),MATCH(C$1,[2]quests!$1:$1,0)-MATCH($B$1,[2]quests!$1:$1,0)+1),MATCH(C$1,[2]quests!$1:$1,0)-MATCH($B$1,[2]quests!$1:$1,0)+1,FALSE)</f>
        <v>29. 雪の望郷</v>
      </c>
      <c r="D2" s="77" t="str">
        <f ca="1">VLOOKUP($B2,OFFSET([2]quests!$A$1,0,0,COUNTA([2]quests!$A:$A),MATCH(D$1,[2]quests!$1:$1,0)-MATCH($B$1,[2]quests!$1:$1,0)+1),MATCH(D$1,[2]quests!$1:$1,0)-MATCH($B$1,[2]quests!$1:$1,0)+1,FALSE)</f>
        <v>緑黄DL6</v>
      </c>
      <c r="E2" s="78">
        <v>1</v>
      </c>
      <c r="F2" s="77" t="str">
        <f ca="1">VLOOKUP($B2&amp;"_"&amp;$E2,OFFSET([2]stages!$A$1,0,0,COUNTA([2]stages!$A:$A),MATCH(F$1,[2]stages!$2:$2,0)-MATCH("temp_stage",[2]stages!$2:$2,0)+1),MATCH(F$1,[2]stages!$2:$2,0)-MATCH("temp_stage",[2]stages!$2:$2,0)+1,FALSE)</f>
        <v>29-1. 雪の中のケモノたち</v>
      </c>
      <c r="G2" s="77" t="str">
        <f ca="1">VLOOKUP($B2&amp;"_"&amp;$E2,OFFSET([2]stages!$A$1,0,0,COUNTA([2]stages!$A:$A),MATCH(G$1,[2]stages!$2:$2,0)-MATCH("temp_stage",[2]stages!$2:$2,0)+1),MATCH(G$1,[2]stages!$2:$2,0)-MATCH("temp_stage",[2]stages!$2:$2,0)+1,FALSE)</f>
        <v>緑黄DL6</v>
      </c>
      <c r="H2" s="79">
        <v>1</v>
      </c>
      <c r="I2" s="85">
        <f>ROW()-1</f>
        <v>1</v>
      </c>
      <c r="J2" s="80" t="str">
        <f>B2&amp;TEXT(I2,"00")</f>
        <v>1502901</v>
      </c>
      <c r="K2" s="78" t="s">
        <v>198</v>
      </c>
      <c r="L2" s="81" t="s">
        <v>199</v>
      </c>
      <c r="M2" s="82" t="s">
        <v>296</v>
      </c>
      <c r="N2" s="50" t="s">
        <v>200</v>
      </c>
    </row>
    <row r="3" spans="1:14" ht="28" x14ac:dyDescent="0.15">
      <c r="A3" s="75" t="s">
        <v>197</v>
      </c>
      <c r="B3" s="76">
        <f>floors!$C$2</f>
        <v>15029</v>
      </c>
      <c r="C3" s="77" t="str">
        <f ca="1">VLOOKUP($B3,OFFSET([2]quests!$A$1,0,0,COUNTA([2]quests!$A:$A),MATCH(C$1,[2]quests!$1:$1,0)-MATCH($B$1,[2]quests!$1:$1,0)+1),MATCH(C$1,[2]quests!$1:$1,0)-MATCH($B$1,[2]quests!$1:$1,0)+1,FALSE)</f>
        <v>29. 雪の望郷</v>
      </c>
      <c r="D3" s="77" t="str">
        <f ca="1">VLOOKUP($B3,OFFSET([2]quests!$A$1,0,0,COUNTA([2]quests!$A:$A),MATCH(D$1,[2]quests!$1:$1,0)-MATCH($B$1,[2]quests!$1:$1,0)+1),MATCH(D$1,[2]quests!$1:$1,0)-MATCH($B$1,[2]quests!$1:$1,0)+1,FALSE)</f>
        <v>緑黄DL6</v>
      </c>
      <c r="E3" s="78">
        <v>1</v>
      </c>
      <c r="F3" s="77" t="str">
        <f ca="1">VLOOKUP($B3&amp;"_"&amp;$E3,OFFSET([2]stages!$A$1,0,0,COUNTA([2]stages!$A:$A),MATCH(F$1,[2]stages!$2:$2,0)-MATCH("temp_stage",[2]stages!$2:$2,0)+1),MATCH(F$1,[2]stages!$2:$2,0)-MATCH("temp_stage",[2]stages!$2:$2,0)+1,FALSE)</f>
        <v>29-1. 雪の中のケモノたち</v>
      </c>
      <c r="G3" s="77" t="str">
        <f ca="1">VLOOKUP($B3&amp;"_"&amp;$E3,OFFSET([2]stages!$A$1,0,0,COUNTA([2]stages!$A:$A),MATCH(G$1,[2]stages!$2:$2,0)-MATCH("temp_stage",[2]stages!$2:$2,0)+1),MATCH(G$1,[2]stages!$2:$2,0)-MATCH("temp_stage",[2]stages!$2:$2,0)+1,FALSE)</f>
        <v>緑黄DL6</v>
      </c>
      <c r="H3" s="79">
        <v>2</v>
      </c>
      <c r="I3" s="85">
        <f t="shared" ref="I3:I18" si="0">ROW()-1</f>
        <v>2</v>
      </c>
      <c r="J3" s="80" t="str">
        <f t="shared" ref="J3:J18" si="1">B3&amp;TEXT(I3,"00")</f>
        <v>1502902</v>
      </c>
      <c r="K3" s="78" t="s">
        <v>128</v>
      </c>
      <c r="L3" s="81" t="s">
        <v>199</v>
      </c>
      <c r="M3" s="240" t="s">
        <v>297</v>
      </c>
      <c r="N3" s="50" t="s">
        <v>200</v>
      </c>
    </row>
    <row r="4" spans="1:14" x14ac:dyDescent="0.15">
      <c r="A4" s="75" t="s">
        <v>197</v>
      </c>
      <c r="B4" s="76">
        <f>floors!$C$2</f>
        <v>15029</v>
      </c>
      <c r="C4" s="77" t="str">
        <f ca="1">VLOOKUP($B4,OFFSET([2]quests!$A$1,0,0,COUNTA([2]quests!$A:$A),MATCH(C$1,[2]quests!$1:$1,0)-MATCH($B$1,[2]quests!$1:$1,0)+1),MATCH(C$1,[2]quests!$1:$1,0)-MATCH($B$1,[2]quests!$1:$1,0)+1,FALSE)</f>
        <v>29. 雪の望郷</v>
      </c>
      <c r="D4" s="77" t="str">
        <f ca="1">VLOOKUP($B4,OFFSET([2]quests!$A$1,0,0,COUNTA([2]quests!$A:$A),MATCH(D$1,[2]quests!$1:$1,0)-MATCH($B$1,[2]quests!$1:$1,0)+1),MATCH(D$1,[2]quests!$1:$1,0)-MATCH($B$1,[2]quests!$1:$1,0)+1,FALSE)</f>
        <v>緑黄DL6</v>
      </c>
      <c r="E4" s="78">
        <v>1</v>
      </c>
      <c r="F4" s="77" t="str">
        <f ca="1">VLOOKUP($B4&amp;"_"&amp;$E4,OFFSET([2]stages!$A$1,0,0,COUNTA([2]stages!$A:$A),MATCH(F$1,[2]stages!$2:$2,0)-MATCH("temp_stage",[2]stages!$2:$2,0)+1),MATCH(F$1,[2]stages!$2:$2,0)-MATCH("temp_stage",[2]stages!$2:$2,0)+1,FALSE)</f>
        <v>29-1. 雪の中のケモノたち</v>
      </c>
      <c r="G4" s="77" t="str">
        <f ca="1">VLOOKUP($B4&amp;"_"&amp;$E4,OFFSET([2]stages!$A$1,0,0,COUNTA([2]stages!$A:$A),MATCH(G$1,[2]stages!$2:$2,0)-MATCH("temp_stage",[2]stages!$2:$2,0)+1),MATCH(G$1,[2]stages!$2:$2,0)-MATCH("temp_stage",[2]stages!$2:$2,0)+1,FALSE)</f>
        <v>緑黄DL6</v>
      </c>
      <c r="H4" s="79">
        <v>3</v>
      </c>
      <c r="I4" s="85">
        <f t="shared" si="0"/>
        <v>3</v>
      </c>
      <c r="J4" s="80" t="str">
        <f t="shared" si="1"/>
        <v>1502903</v>
      </c>
      <c r="K4" s="78" t="s">
        <v>128</v>
      </c>
      <c r="L4" s="81" t="s">
        <v>199</v>
      </c>
      <c r="M4" s="82" t="s">
        <v>298</v>
      </c>
      <c r="N4" s="50" t="s">
        <v>200</v>
      </c>
    </row>
    <row r="5" spans="1:14" ht="28" x14ac:dyDescent="0.15">
      <c r="A5" s="75" t="s">
        <v>197</v>
      </c>
      <c r="B5" s="76">
        <f>floors!$C$2</f>
        <v>15029</v>
      </c>
      <c r="C5" s="77" t="str">
        <f ca="1">VLOOKUP($B5,OFFSET([2]quests!$A$1,0,0,COUNTA([2]quests!$A:$A),MATCH(C$1,[2]quests!$1:$1,0)-MATCH($B$1,[2]quests!$1:$1,0)+1),MATCH(C$1,[2]quests!$1:$1,0)-MATCH($B$1,[2]quests!$1:$1,0)+1,FALSE)</f>
        <v>29. 雪の望郷</v>
      </c>
      <c r="D5" s="77" t="str">
        <f ca="1">VLOOKUP($B5,OFFSET([2]quests!$A$1,0,0,COUNTA([2]quests!$A:$A),MATCH(D$1,[2]quests!$1:$1,0)-MATCH($B$1,[2]quests!$1:$1,0)+1),MATCH(D$1,[2]quests!$1:$1,0)-MATCH($B$1,[2]quests!$1:$1,0)+1,FALSE)</f>
        <v>緑黄DL6</v>
      </c>
      <c r="E5" s="78">
        <v>1</v>
      </c>
      <c r="F5" s="77" t="str">
        <f ca="1">VLOOKUP($B5&amp;"_"&amp;$E5,OFFSET([2]stages!$A$1,0,0,COUNTA([2]stages!$A:$A),MATCH(F$1,[2]stages!$2:$2,0)-MATCH("temp_stage",[2]stages!$2:$2,0)+1),MATCH(F$1,[2]stages!$2:$2,0)-MATCH("temp_stage",[2]stages!$2:$2,0)+1,FALSE)</f>
        <v>29-1. 雪の中のケモノたち</v>
      </c>
      <c r="G5" s="77" t="str">
        <f ca="1">VLOOKUP($B5&amp;"_"&amp;$E5,OFFSET([2]stages!$A$1,0,0,COUNTA([2]stages!$A:$A),MATCH(G$1,[2]stages!$2:$2,0)-MATCH("temp_stage",[2]stages!$2:$2,0)+1),MATCH(G$1,[2]stages!$2:$2,0)-MATCH("temp_stage",[2]stages!$2:$2,0)+1,FALSE)</f>
        <v>緑黄DL6</v>
      </c>
      <c r="H5" s="79">
        <v>4</v>
      </c>
      <c r="I5" s="85">
        <f t="shared" si="0"/>
        <v>4</v>
      </c>
      <c r="J5" s="80" t="str">
        <f t="shared" si="1"/>
        <v>1502904</v>
      </c>
      <c r="K5" s="78" t="s">
        <v>128</v>
      </c>
      <c r="L5" s="81" t="s">
        <v>199</v>
      </c>
      <c r="M5" s="240" t="s">
        <v>320</v>
      </c>
      <c r="N5" s="50" t="s">
        <v>200</v>
      </c>
    </row>
    <row r="6" spans="1:14" x14ac:dyDescent="0.15">
      <c r="A6" s="75" t="s">
        <v>197</v>
      </c>
      <c r="B6" s="76">
        <f>floors!$C$2</f>
        <v>15029</v>
      </c>
      <c r="C6" s="77" t="str">
        <f ca="1">VLOOKUP($B6,OFFSET([2]quests!$A$1,0,0,COUNTA([2]quests!$A:$A),MATCH(C$1,[2]quests!$1:$1,0)-MATCH($B$1,[2]quests!$1:$1,0)+1),MATCH(C$1,[2]quests!$1:$1,0)-MATCH($B$1,[2]quests!$1:$1,0)+1,FALSE)</f>
        <v>29. 雪の望郷</v>
      </c>
      <c r="D6" s="77" t="str">
        <f ca="1">VLOOKUP($B6,OFFSET([2]quests!$A$1,0,0,COUNTA([2]quests!$A:$A),MATCH(D$1,[2]quests!$1:$1,0)-MATCH($B$1,[2]quests!$1:$1,0)+1),MATCH(D$1,[2]quests!$1:$1,0)-MATCH($B$1,[2]quests!$1:$1,0)+1,FALSE)</f>
        <v>緑黄DL6</v>
      </c>
      <c r="E6" s="78">
        <v>2</v>
      </c>
      <c r="F6" s="77" t="str">
        <f ca="1">VLOOKUP($B6&amp;"_"&amp;$E6,OFFSET([2]stages!$A$1,0,0,COUNTA([2]stages!$A:$A),MATCH(F$1,[2]stages!$2:$2,0)-MATCH("temp_stage",[2]stages!$2:$2,0)+1),MATCH(F$1,[2]stages!$2:$2,0)-MATCH("temp_stage",[2]stages!$2:$2,0)+1,FALSE)</f>
        <v>29-2. ねこみみマフラー</v>
      </c>
      <c r="G6" s="77" t="str">
        <f ca="1">VLOOKUP($B6&amp;"_"&amp;$E6,OFFSET([2]stages!$A$1,0,0,COUNTA([2]stages!$A:$A),MATCH(G$1,[2]stages!$2:$2,0)-MATCH("temp_stage",[2]stages!$2:$2,0)+1),MATCH(G$1,[2]stages!$2:$2,0)-MATCH("temp_stage",[2]stages!$2:$2,0)+1,FALSE)</f>
        <v>緑黄DL6</v>
      </c>
      <c r="H6" s="79">
        <v>1</v>
      </c>
      <c r="I6" s="85">
        <f t="shared" si="0"/>
        <v>5</v>
      </c>
      <c r="J6" s="80" t="str">
        <f t="shared" si="1"/>
        <v>1502905</v>
      </c>
      <c r="K6" s="78" t="s">
        <v>128</v>
      </c>
      <c r="L6" s="81" t="s">
        <v>199</v>
      </c>
      <c r="M6" s="82" t="s">
        <v>299</v>
      </c>
      <c r="N6" s="50" t="s">
        <v>200</v>
      </c>
    </row>
    <row r="7" spans="1:14" ht="28" x14ac:dyDescent="0.15">
      <c r="A7" s="75" t="s">
        <v>197</v>
      </c>
      <c r="B7" s="76">
        <f>floors!$C$2</f>
        <v>15029</v>
      </c>
      <c r="C7" s="77" t="str">
        <f ca="1">VLOOKUP($B7,OFFSET([2]quests!$A$1,0,0,COUNTA([2]quests!$A:$A),MATCH(C$1,[2]quests!$1:$1,0)-MATCH($B$1,[2]quests!$1:$1,0)+1),MATCH(C$1,[2]quests!$1:$1,0)-MATCH($B$1,[2]quests!$1:$1,0)+1,FALSE)</f>
        <v>29. 雪の望郷</v>
      </c>
      <c r="D7" s="77" t="str">
        <f ca="1">VLOOKUP($B7,OFFSET([2]quests!$A$1,0,0,COUNTA([2]quests!$A:$A),MATCH(D$1,[2]quests!$1:$1,0)-MATCH($B$1,[2]quests!$1:$1,0)+1),MATCH(D$1,[2]quests!$1:$1,0)-MATCH($B$1,[2]quests!$1:$1,0)+1,FALSE)</f>
        <v>緑黄DL6</v>
      </c>
      <c r="E7" s="78">
        <v>2</v>
      </c>
      <c r="F7" s="77" t="str">
        <f ca="1">VLOOKUP($B7&amp;"_"&amp;$E7,OFFSET([2]stages!$A$1,0,0,COUNTA([2]stages!$A:$A),MATCH(F$1,[2]stages!$2:$2,0)-MATCH("temp_stage",[2]stages!$2:$2,0)+1),MATCH(F$1,[2]stages!$2:$2,0)-MATCH("temp_stage",[2]stages!$2:$2,0)+1,FALSE)</f>
        <v>29-2. ねこみみマフラー</v>
      </c>
      <c r="G7" s="77" t="str">
        <f ca="1">VLOOKUP($B7&amp;"_"&amp;$E7,OFFSET([2]stages!$A$1,0,0,COUNTA([2]stages!$A:$A),MATCH(G$1,[2]stages!$2:$2,0)-MATCH("temp_stage",[2]stages!$2:$2,0)+1),MATCH(G$1,[2]stages!$2:$2,0)-MATCH("temp_stage",[2]stages!$2:$2,0)+1,FALSE)</f>
        <v>緑黄DL6</v>
      </c>
      <c r="H7" s="79">
        <v>2</v>
      </c>
      <c r="I7" s="85">
        <f t="shared" si="0"/>
        <v>6</v>
      </c>
      <c r="J7" s="80" t="str">
        <f t="shared" si="1"/>
        <v>1502906</v>
      </c>
      <c r="K7" s="78" t="s">
        <v>128</v>
      </c>
      <c r="L7" s="81" t="s">
        <v>199</v>
      </c>
      <c r="M7" s="240" t="s">
        <v>303</v>
      </c>
      <c r="N7" s="50" t="s">
        <v>200</v>
      </c>
    </row>
    <row r="8" spans="1:14" ht="28" x14ac:dyDescent="0.15">
      <c r="A8" s="75" t="s">
        <v>197</v>
      </c>
      <c r="B8" s="76">
        <f>floors!$C$2</f>
        <v>15029</v>
      </c>
      <c r="C8" s="77" t="str">
        <f ca="1">VLOOKUP($B8,OFFSET([2]quests!$A$1,0,0,COUNTA([2]quests!$A:$A),MATCH(C$1,[2]quests!$1:$1,0)-MATCH($B$1,[2]quests!$1:$1,0)+1),MATCH(C$1,[2]quests!$1:$1,0)-MATCH($B$1,[2]quests!$1:$1,0)+1,FALSE)</f>
        <v>29. 雪の望郷</v>
      </c>
      <c r="D8" s="77" t="str">
        <f ca="1">VLOOKUP($B8,OFFSET([2]quests!$A$1,0,0,COUNTA([2]quests!$A:$A),MATCH(D$1,[2]quests!$1:$1,0)-MATCH($B$1,[2]quests!$1:$1,0)+1),MATCH(D$1,[2]quests!$1:$1,0)-MATCH($B$1,[2]quests!$1:$1,0)+1,FALSE)</f>
        <v>緑黄DL6</v>
      </c>
      <c r="E8" s="78">
        <v>2</v>
      </c>
      <c r="F8" s="77" t="str">
        <f ca="1">VLOOKUP($B8&amp;"_"&amp;$E8,OFFSET([2]stages!$A$1,0,0,COUNTA([2]stages!$A:$A),MATCH(F$1,[2]stages!$2:$2,0)-MATCH("temp_stage",[2]stages!$2:$2,0)+1),MATCH(F$1,[2]stages!$2:$2,0)-MATCH("temp_stage",[2]stages!$2:$2,0)+1,FALSE)</f>
        <v>29-2. ねこみみマフラー</v>
      </c>
      <c r="G8" s="77" t="str">
        <f ca="1">VLOOKUP($B8&amp;"_"&amp;$E8,OFFSET([2]stages!$A$1,0,0,COUNTA([2]stages!$A:$A),MATCH(G$1,[2]stages!$2:$2,0)-MATCH("temp_stage",[2]stages!$2:$2,0)+1),MATCH(G$1,[2]stages!$2:$2,0)-MATCH("temp_stage",[2]stages!$2:$2,0)+1,FALSE)</f>
        <v>緑黄DL6</v>
      </c>
      <c r="H8" s="79">
        <v>3</v>
      </c>
      <c r="I8" s="85">
        <f t="shared" si="0"/>
        <v>7</v>
      </c>
      <c r="J8" s="80" t="str">
        <f t="shared" si="1"/>
        <v>1502907</v>
      </c>
      <c r="K8" s="78" t="s">
        <v>128</v>
      </c>
      <c r="L8" s="81" t="s">
        <v>199</v>
      </c>
      <c r="M8" s="240" t="s">
        <v>304</v>
      </c>
      <c r="N8" s="50" t="s">
        <v>200</v>
      </c>
    </row>
    <row r="9" spans="1:14" ht="42" x14ac:dyDescent="0.15">
      <c r="A9" s="75" t="s">
        <v>197</v>
      </c>
      <c r="B9" s="76">
        <f>floors!$C$2</f>
        <v>15029</v>
      </c>
      <c r="C9" s="77" t="str">
        <f ca="1">VLOOKUP($B9,OFFSET([2]quests!$A$1,0,0,COUNTA([2]quests!$A:$A),MATCH(C$1,[2]quests!$1:$1,0)-MATCH($B$1,[2]quests!$1:$1,0)+1),MATCH(C$1,[2]quests!$1:$1,0)-MATCH($B$1,[2]quests!$1:$1,0)+1,FALSE)</f>
        <v>29. 雪の望郷</v>
      </c>
      <c r="D9" s="77" t="str">
        <f ca="1">VLOOKUP($B9,OFFSET([2]quests!$A$1,0,0,COUNTA([2]quests!$A:$A),MATCH(D$1,[2]quests!$1:$1,0)-MATCH($B$1,[2]quests!$1:$1,0)+1),MATCH(D$1,[2]quests!$1:$1,0)-MATCH($B$1,[2]quests!$1:$1,0)+1,FALSE)</f>
        <v>緑黄DL6</v>
      </c>
      <c r="E9" s="78">
        <v>2</v>
      </c>
      <c r="F9" s="77" t="str">
        <f ca="1">VLOOKUP($B9&amp;"_"&amp;$E9,OFFSET([2]stages!$A$1,0,0,COUNTA([2]stages!$A:$A),MATCH(F$1,[2]stages!$2:$2,0)-MATCH("temp_stage",[2]stages!$2:$2,0)+1),MATCH(F$1,[2]stages!$2:$2,0)-MATCH("temp_stage",[2]stages!$2:$2,0)+1,FALSE)</f>
        <v>29-2. ねこみみマフラー</v>
      </c>
      <c r="G9" s="77" t="str">
        <f ca="1">VLOOKUP($B9&amp;"_"&amp;$E9,OFFSET([2]stages!$A$1,0,0,COUNTA([2]stages!$A:$A),MATCH(G$1,[2]stages!$2:$2,0)-MATCH("temp_stage",[2]stages!$2:$2,0)+1),MATCH(G$1,[2]stages!$2:$2,0)-MATCH("temp_stage",[2]stages!$2:$2,0)+1,FALSE)</f>
        <v>緑黄DL6</v>
      </c>
      <c r="H9" s="79">
        <v>4</v>
      </c>
      <c r="I9" s="85">
        <f t="shared" si="0"/>
        <v>8</v>
      </c>
      <c r="J9" s="80" t="str">
        <f t="shared" si="1"/>
        <v>1502908</v>
      </c>
      <c r="K9" s="78" t="s">
        <v>128</v>
      </c>
      <c r="L9" s="81" t="s">
        <v>199</v>
      </c>
      <c r="M9" s="240" t="s">
        <v>305</v>
      </c>
      <c r="N9" s="50" t="s">
        <v>200</v>
      </c>
    </row>
    <row r="10" spans="1:14" x14ac:dyDescent="0.15">
      <c r="A10" s="75" t="s">
        <v>197</v>
      </c>
      <c r="B10" s="76">
        <f>floors!$C$2</f>
        <v>15029</v>
      </c>
      <c r="C10" s="77" t="str">
        <f ca="1">VLOOKUP($B10,OFFSET([2]quests!$A$1,0,0,COUNTA([2]quests!$A:$A),MATCH(C$1,[2]quests!$1:$1,0)-MATCH($B$1,[2]quests!$1:$1,0)+1),MATCH(C$1,[2]quests!$1:$1,0)-MATCH($B$1,[2]quests!$1:$1,0)+1,FALSE)</f>
        <v>29. 雪の望郷</v>
      </c>
      <c r="D10" s="77" t="str">
        <f ca="1">VLOOKUP($B10,OFFSET([2]quests!$A$1,0,0,COUNTA([2]quests!$A:$A),MATCH(D$1,[2]quests!$1:$1,0)-MATCH($B$1,[2]quests!$1:$1,0)+1),MATCH(D$1,[2]quests!$1:$1,0)-MATCH($B$1,[2]quests!$1:$1,0)+1,FALSE)</f>
        <v>緑黄DL6</v>
      </c>
      <c r="E10" s="78">
        <v>3</v>
      </c>
      <c r="F10" s="77" t="str">
        <f ca="1">VLOOKUP($B10&amp;"_"&amp;$E10,OFFSET([2]stages!$A$1,0,0,COUNTA([2]stages!$A:$A),MATCH(F$1,[2]stages!$2:$2,0)-MATCH("temp_stage",[2]stages!$2:$2,0)+1),MATCH(F$1,[2]stages!$2:$2,0)-MATCH("temp_stage",[2]stages!$2:$2,0)+1,FALSE)</f>
        <v>29-3. 仕立屋と兄妹</v>
      </c>
      <c r="G10" s="77" t="str">
        <f ca="1">VLOOKUP($B10&amp;"_"&amp;$E10,OFFSET([2]stages!$A$1,0,0,COUNTA([2]stages!$A:$A),MATCH(G$1,[2]stages!$2:$2,0)-MATCH("temp_stage",[2]stages!$2:$2,0)+1),MATCH(G$1,[2]stages!$2:$2,0)-MATCH("temp_stage",[2]stages!$2:$2,0)+1,FALSE)</f>
        <v>緑黄DL6</v>
      </c>
      <c r="H10" s="241">
        <v>1</v>
      </c>
      <c r="I10" s="85">
        <f t="shared" si="0"/>
        <v>9</v>
      </c>
      <c r="J10" s="80" t="str">
        <f t="shared" si="1"/>
        <v>1502909</v>
      </c>
      <c r="K10" s="78" t="s">
        <v>128</v>
      </c>
      <c r="L10" s="81" t="s">
        <v>199</v>
      </c>
      <c r="M10" s="82" t="s">
        <v>306</v>
      </c>
      <c r="N10" s="50" t="s">
        <v>200</v>
      </c>
    </row>
    <row r="11" spans="1:14" ht="28" x14ac:dyDescent="0.15">
      <c r="A11" s="75" t="s">
        <v>197</v>
      </c>
      <c r="B11" s="76">
        <f>floors!$C$2</f>
        <v>15029</v>
      </c>
      <c r="C11" s="77" t="str">
        <f ca="1">VLOOKUP($B11,OFFSET([2]quests!$A$1,0,0,COUNTA([2]quests!$A:$A),MATCH(C$1,[2]quests!$1:$1,0)-MATCH($B$1,[2]quests!$1:$1,0)+1),MATCH(C$1,[2]quests!$1:$1,0)-MATCH($B$1,[2]quests!$1:$1,0)+1,FALSE)</f>
        <v>29. 雪の望郷</v>
      </c>
      <c r="D11" s="77" t="str">
        <f ca="1">VLOOKUP($B11,OFFSET([2]quests!$A$1,0,0,COUNTA([2]quests!$A:$A),MATCH(D$1,[2]quests!$1:$1,0)-MATCH($B$1,[2]quests!$1:$1,0)+1),MATCH(D$1,[2]quests!$1:$1,0)-MATCH($B$1,[2]quests!$1:$1,0)+1,FALSE)</f>
        <v>緑黄DL6</v>
      </c>
      <c r="E11" s="78">
        <v>3</v>
      </c>
      <c r="F11" s="77" t="str">
        <f ca="1">VLOOKUP($B11&amp;"_"&amp;$E11,OFFSET([2]stages!$A$1,0,0,COUNTA([2]stages!$A:$A),MATCH(F$1,[2]stages!$2:$2,0)-MATCH("temp_stage",[2]stages!$2:$2,0)+1),MATCH(F$1,[2]stages!$2:$2,0)-MATCH("temp_stage",[2]stages!$2:$2,0)+1,FALSE)</f>
        <v>29-3. 仕立屋と兄妹</v>
      </c>
      <c r="G11" s="77" t="str">
        <f ca="1">VLOOKUP($B11&amp;"_"&amp;$E11,OFFSET([2]stages!$A$1,0,0,COUNTA([2]stages!$A:$A),MATCH(G$1,[2]stages!$2:$2,0)-MATCH("temp_stage",[2]stages!$2:$2,0)+1),MATCH(G$1,[2]stages!$2:$2,0)-MATCH("temp_stage",[2]stages!$2:$2,0)+1,FALSE)</f>
        <v>緑黄DL6</v>
      </c>
      <c r="H11" s="241">
        <v>2</v>
      </c>
      <c r="I11" s="85">
        <f t="shared" si="0"/>
        <v>10</v>
      </c>
      <c r="J11" s="80" t="str">
        <f t="shared" si="1"/>
        <v>1502910</v>
      </c>
      <c r="K11" s="78" t="s">
        <v>128</v>
      </c>
      <c r="L11" s="81" t="s">
        <v>199</v>
      </c>
      <c r="M11" s="240" t="s">
        <v>307</v>
      </c>
      <c r="N11" s="50" t="s">
        <v>200</v>
      </c>
    </row>
    <row r="12" spans="1:14" ht="28" x14ac:dyDescent="0.15">
      <c r="A12" s="75" t="s">
        <v>197</v>
      </c>
      <c r="B12" s="76">
        <f>floors!$C$2</f>
        <v>15029</v>
      </c>
      <c r="C12" s="77" t="str">
        <f ca="1">VLOOKUP($B12,OFFSET([2]quests!$A$1,0,0,COUNTA([2]quests!$A:$A),MATCH(C$1,[2]quests!$1:$1,0)-MATCH($B$1,[2]quests!$1:$1,0)+1),MATCH(C$1,[2]quests!$1:$1,0)-MATCH($B$1,[2]quests!$1:$1,0)+1,FALSE)</f>
        <v>29. 雪の望郷</v>
      </c>
      <c r="D12" s="77" t="str">
        <f ca="1">VLOOKUP($B12,OFFSET([2]quests!$A$1,0,0,COUNTA([2]quests!$A:$A),MATCH(D$1,[2]quests!$1:$1,0)-MATCH($B$1,[2]quests!$1:$1,0)+1),MATCH(D$1,[2]quests!$1:$1,0)-MATCH($B$1,[2]quests!$1:$1,0)+1,FALSE)</f>
        <v>緑黄DL6</v>
      </c>
      <c r="E12" s="78">
        <v>3</v>
      </c>
      <c r="F12" s="77" t="str">
        <f ca="1">VLOOKUP($B12&amp;"_"&amp;$E12,OFFSET([2]stages!$A$1,0,0,COUNTA([2]stages!$A:$A),MATCH(F$1,[2]stages!$2:$2,0)-MATCH("temp_stage",[2]stages!$2:$2,0)+1),MATCH(F$1,[2]stages!$2:$2,0)-MATCH("temp_stage",[2]stages!$2:$2,0)+1,FALSE)</f>
        <v>29-3. 仕立屋と兄妹</v>
      </c>
      <c r="G12" s="77" t="str">
        <f ca="1">VLOOKUP($B12&amp;"_"&amp;$E12,OFFSET([2]stages!$A$1,0,0,COUNTA([2]stages!$A:$A),MATCH(G$1,[2]stages!$2:$2,0)-MATCH("temp_stage",[2]stages!$2:$2,0)+1),MATCH(G$1,[2]stages!$2:$2,0)-MATCH("temp_stage",[2]stages!$2:$2,0)+1,FALSE)</f>
        <v>緑黄DL6</v>
      </c>
      <c r="H12" s="241">
        <v>3</v>
      </c>
      <c r="I12" s="85">
        <f t="shared" si="0"/>
        <v>11</v>
      </c>
      <c r="J12" s="80" t="str">
        <f t="shared" si="1"/>
        <v>1502911</v>
      </c>
      <c r="K12" s="78" t="s">
        <v>128</v>
      </c>
      <c r="L12" s="81" t="s">
        <v>199</v>
      </c>
      <c r="M12" s="240" t="s">
        <v>308</v>
      </c>
      <c r="N12" s="50" t="s">
        <v>200</v>
      </c>
    </row>
    <row r="13" spans="1:14" ht="42" x14ac:dyDescent="0.15">
      <c r="A13" s="75" t="s">
        <v>197</v>
      </c>
      <c r="B13" s="76">
        <f>floors!$C$2</f>
        <v>15029</v>
      </c>
      <c r="C13" s="77" t="str">
        <f ca="1">VLOOKUP($B13,OFFSET([2]quests!$A$1,0,0,COUNTA([2]quests!$A:$A),MATCH(C$1,[2]quests!$1:$1,0)-MATCH($B$1,[2]quests!$1:$1,0)+1),MATCH(C$1,[2]quests!$1:$1,0)-MATCH($B$1,[2]quests!$1:$1,0)+1,FALSE)</f>
        <v>29. 雪の望郷</v>
      </c>
      <c r="D13" s="77" t="str">
        <f ca="1">VLOOKUP($B13,OFFSET([2]quests!$A$1,0,0,COUNTA([2]quests!$A:$A),MATCH(D$1,[2]quests!$1:$1,0)-MATCH($B$1,[2]quests!$1:$1,0)+1),MATCH(D$1,[2]quests!$1:$1,0)-MATCH($B$1,[2]quests!$1:$1,0)+1,FALSE)</f>
        <v>緑黄DL6</v>
      </c>
      <c r="E13" s="78">
        <v>3</v>
      </c>
      <c r="F13" s="77" t="str">
        <f ca="1">VLOOKUP($B13&amp;"_"&amp;$E13,OFFSET([2]stages!$A$1,0,0,COUNTA([2]stages!$A:$A),MATCH(F$1,[2]stages!$2:$2,0)-MATCH("temp_stage",[2]stages!$2:$2,0)+1),MATCH(F$1,[2]stages!$2:$2,0)-MATCH("temp_stage",[2]stages!$2:$2,0)+1,FALSE)</f>
        <v>29-3. 仕立屋と兄妹</v>
      </c>
      <c r="G13" s="77" t="str">
        <f ca="1">VLOOKUP($B13&amp;"_"&amp;$E13,OFFSET([2]stages!$A$1,0,0,COUNTA([2]stages!$A:$A),MATCH(G$1,[2]stages!$2:$2,0)-MATCH("temp_stage",[2]stages!$2:$2,0)+1),MATCH(G$1,[2]stages!$2:$2,0)-MATCH("temp_stage",[2]stages!$2:$2,0)+1,FALSE)</f>
        <v>緑黄DL6</v>
      </c>
      <c r="H13" s="241">
        <v>4</v>
      </c>
      <c r="I13" s="85">
        <f t="shared" si="0"/>
        <v>12</v>
      </c>
      <c r="J13" s="80" t="str">
        <f t="shared" si="1"/>
        <v>1502912</v>
      </c>
      <c r="K13" s="78" t="s">
        <v>128</v>
      </c>
      <c r="L13" s="81" t="s">
        <v>199</v>
      </c>
      <c r="M13" s="240" t="s">
        <v>309</v>
      </c>
      <c r="N13" s="50" t="s">
        <v>200</v>
      </c>
    </row>
    <row r="14" spans="1:14" ht="28" x14ac:dyDescent="0.15">
      <c r="A14" s="75" t="s">
        <v>197</v>
      </c>
      <c r="B14" s="76">
        <f>floors!$C$2</f>
        <v>15029</v>
      </c>
      <c r="C14" s="77" t="str">
        <f ca="1">VLOOKUP($B14,OFFSET([2]quests!$A$1,0,0,COUNTA([2]quests!$A:$A),MATCH(C$1,[2]quests!$1:$1,0)-MATCH($B$1,[2]quests!$1:$1,0)+1),MATCH(C$1,[2]quests!$1:$1,0)-MATCH($B$1,[2]quests!$1:$1,0)+1,FALSE)</f>
        <v>29. 雪の望郷</v>
      </c>
      <c r="D14" s="77" t="str">
        <f ca="1">VLOOKUP($B14,OFFSET([2]quests!$A$1,0,0,COUNTA([2]quests!$A:$A),MATCH(D$1,[2]quests!$1:$1,0)-MATCH($B$1,[2]quests!$1:$1,0)+1),MATCH(D$1,[2]quests!$1:$1,0)-MATCH($B$1,[2]quests!$1:$1,0)+1,FALSE)</f>
        <v>緑黄DL6</v>
      </c>
      <c r="E14" s="78">
        <v>4</v>
      </c>
      <c r="F14" s="77" t="str">
        <f ca="1">VLOOKUP($B14&amp;"_"&amp;$E14,OFFSET([2]stages!$A$1,0,0,COUNTA([2]stages!$A:$A),MATCH(F$1,[2]stages!$2:$2,0)-MATCH("temp_stage",[2]stages!$2:$2,0)+1),MATCH(F$1,[2]stages!$2:$2,0)-MATCH("temp_stage",[2]stages!$2:$2,0)+1,FALSE)</f>
        <v>29-4. 【1回のみ】ボーナスステージ</v>
      </c>
      <c r="G14" s="77" t="str">
        <f ca="1">VLOOKUP($B14&amp;"_"&amp;$E14,OFFSET([2]stages!$A$1,0,0,COUNTA([2]stages!$A:$A),MATCH(G$1,[2]stages!$2:$2,0)-MATCH("temp_stage",[2]stages!$2:$2,0)+1),MATCH(G$1,[2]stages!$2:$2,0)-MATCH("temp_stage",[2]stages!$2:$2,0)+1,FALSE)</f>
        <v>緑黄DL6</v>
      </c>
      <c r="H14" s="241">
        <v>1</v>
      </c>
      <c r="I14" s="85">
        <f t="shared" si="0"/>
        <v>13</v>
      </c>
      <c r="J14" s="80" t="str">
        <f t="shared" si="1"/>
        <v>1502913</v>
      </c>
      <c r="K14" s="78" t="s">
        <v>128</v>
      </c>
      <c r="L14" s="81" t="s">
        <v>199</v>
      </c>
      <c r="M14" s="240" t="s">
        <v>310</v>
      </c>
      <c r="N14" s="50" t="s">
        <v>200</v>
      </c>
    </row>
    <row r="15" spans="1:14" ht="28" x14ac:dyDescent="0.15">
      <c r="A15" s="75" t="s">
        <v>197</v>
      </c>
      <c r="B15" s="76">
        <f>floors!$C$2</f>
        <v>15029</v>
      </c>
      <c r="C15" s="77" t="str">
        <f ca="1">VLOOKUP($B15,OFFSET([2]quests!$A$1,0,0,COUNTA([2]quests!$A:$A),MATCH(C$1,[2]quests!$1:$1,0)-MATCH($B$1,[2]quests!$1:$1,0)+1),MATCH(C$1,[2]quests!$1:$1,0)-MATCH($B$1,[2]quests!$1:$1,0)+1,FALSE)</f>
        <v>29. 雪の望郷</v>
      </c>
      <c r="D15" s="77" t="str">
        <f ca="1">VLOOKUP($B15,OFFSET([2]quests!$A$1,0,0,COUNTA([2]quests!$A:$A),MATCH(D$1,[2]quests!$1:$1,0)-MATCH($B$1,[2]quests!$1:$1,0)+1),MATCH(D$1,[2]quests!$1:$1,0)-MATCH($B$1,[2]quests!$1:$1,0)+1,FALSE)</f>
        <v>緑黄DL6</v>
      </c>
      <c r="E15" s="78">
        <v>4</v>
      </c>
      <c r="F15" s="77" t="str">
        <f ca="1">VLOOKUP($B15&amp;"_"&amp;$E15,OFFSET([2]stages!$A$1,0,0,COUNTA([2]stages!$A:$A),MATCH(F$1,[2]stages!$2:$2,0)-MATCH("temp_stage",[2]stages!$2:$2,0)+1),MATCH(F$1,[2]stages!$2:$2,0)-MATCH("temp_stage",[2]stages!$2:$2,0)+1,FALSE)</f>
        <v>29-4. 【1回のみ】ボーナスステージ</v>
      </c>
      <c r="G15" s="77" t="str">
        <f ca="1">VLOOKUP($B15&amp;"_"&amp;$E15,OFFSET([2]stages!$A$1,0,0,COUNTA([2]stages!$A:$A),MATCH(G$1,[2]stages!$2:$2,0)-MATCH("temp_stage",[2]stages!$2:$2,0)+1),MATCH(G$1,[2]stages!$2:$2,0)-MATCH("temp_stage",[2]stages!$2:$2,0)+1,FALSE)</f>
        <v>緑黄DL6</v>
      </c>
      <c r="H15" s="241">
        <v>2</v>
      </c>
      <c r="I15" s="85">
        <f t="shared" si="0"/>
        <v>14</v>
      </c>
      <c r="J15" s="80" t="str">
        <f t="shared" si="1"/>
        <v>1502914</v>
      </c>
      <c r="K15" s="78" t="s">
        <v>128</v>
      </c>
      <c r="L15" s="81" t="s">
        <v>199</v>
      </c>
      <c r="M15" s="240" t="s">
        <v>310</v>
      </c>
      <c r="N15" s="50" t="s">
        <v>200</v>
      </c>
    </row>
    <row r="16" spans="1:14" ht="28" x14ac:dyDescent="0.15">
      <c r="A16" s="75" t="s">
        <v>197</v>
      </c>
      <c r="B16" s="76">
        <f>floors!$C$2</f>
        <v>15029</v>
      </c>
      <c r="C16" s="77" t="str">
        <f ca="1">VLOOKUP($B16,OFFSET([2]quests!$A$1,0,0,COUNTA([2]quests!$A:$A),MATCH(C$1,[2]quests!$1:$1,0)-MATCH($B$1,[2]quests!$1:$1,0)+1),MATCH(C$1,[2]quests!$1:$1,0)-MATCH($B$1,[2]quests!$1:$1,0)+1,FALSE)</f>
        <v>29. 雪の望郷</v>
      </c>
      <c r="D16" s="77" t="str">
        <f ca="1">VLOOKUP($B16,OFFSET([2]quests!$A$1,0,0,COUNTA([2]quests!$A:$A),MATCH(D$1,[2]quests!$1:$1,0)-MATCH($B$1,[2]quests!$1:$1,0)+1),MATCH(D$1,[2]quests!$1:$1,0)-MATCH($B$1,[2]quests!$1:$1,0)+1,FALSE)</f>
        <v>緑黄DL6</v>
      </c>
      <c r="E16" s="78">
        <v>4</v>
      </c>
      <c r="F16" s="77" t="str">
        <f ca="1">VLOOKUP($B16&amp;"_"&amp;$E16,OFFSET([2]stages!$A$1,0,0,COUNTA([2]stages!$A:$A),MATCH(F$1,[2]stages!$2:$2,0)-MATCH("temp_stage",[2]stages!$2:$2,0)+1),MATCH(F$1,[2]stages!$2:$2,0)-MATCH("temp_stage",[2]stages!$2:$2,0)+1,FALSE)</f>
        <v>29-4. 【1回のみ】ボーナスステージ</v>
      </c>
      <c r="G16" s="77" t="str">
        <f ca="1">VLOOKUP($B16&amp;"_"&amp;$E16,OFFSET([2]stages!$A$1,0,0,COUNTA([2]stages!$A:$A),MATCH(G$1,[2]stages!$2:$2,0)-MATCH("temp_stage",[2]stages!$2:$2,0)+1),MATCH(G$1,[2]stages!$2:$2,0)-MATCH("temp_stage",[2]stages!$2:$2,0)+1,FALSE)</f>
        <v>緑黄DL6</v>
      </c>
      <c r="H16" s="241">
        <v>3</v>
      </c>
      <c r="I16" s="85">
        <f t="shared" si="0"/>
        <v>15</v>
      </c>
      <c r="J16" s="80" t="str">
        <f t="shared" si="1"/>
        <v>1502915</v>
      </c>
      <c r="K16" s="78" t="s">
        <v>128</v>
      </c>
      <c r="L16" s="81" t="s">
        <v>199</v>
      </c>
      <c r="M16" s="240" t="s">
        <v>310</v>
      </c>
      <c r="N16" s="50" t="s">
        <v>200</v>
      </c>
    </row>
    <row r="17" spans="1:14" ht="28" x14ac:dyDescent="0.15">
      <c r="A17" s="75" t="s">
        <v>197</v>
      </c>
      <c r="B17" s="76">
        <f>floors!$C$2</f>
        <v>15029</v>
      </c>
      <c r="C17" s="77" t="str">
        <f ca="1">VLOOKUP($B17,OFFSET([2]quests!$A$1,0,0,COUNTA([2]quests!$A:$A),MATCH(C$1,[2]quests!$1:$1,0)-MATCH($B$1,[2]quests!$1:$1,0)+1),MATCH(C$1,[2]quests!$1:$1,0)-MATCH($B$1,[2]quests!$1:$1,0)+1,FALSE)</f>
        <v>29. 雪の望郷</v>
      </c>
      <c r="D17" s="77" t="str">
        <f ca="1">VLOOKUP($B17,OFFSET([2]quests!$A$1,0,0,COUNTA([2]quests!$A:$A),MATCH(D$1,[2]quests!$1:$1,0)-MATCH($B$1,[2]quests!$1:$1,0)+1),MATCH(D$1,[2]quests!$1:$1,0)-MATCH($B$1,[2]quests!$1:$1,0)+1,FALSE)</f>
        <v>緑黄DL6</v>
      </c>
      <c r="E17" s="78">
        <v>4</v>
      </c>
      <c r="F17" s="77" t="str">
        <f ca="1">VLOOKUP($B17&amp;"_"&amp;$E17,OFFSET([2]stages!$A$1,0,0,COUNTA([2]stages!$A:$A),MATCH(F$1,[2]stages!$2:$2,0)-MATCH("temp_stage",[2]stages!$2:$2,0)+1),MATCH(F$1,[2]stages!$2:$2,0)-MATCH("temp_stage",[2]stages!$2:$2,0)+1,FALSE)</f>
        <v>29-4. 【1回のみ】ボーナスステージ</v>
      </c>
      <c r="G17" s="77" t="str">
        <f ca="1">VLOOKUP($B17&amp;"_"&amp;$E17,OFFSET([2]stages!$A$1,0,0,COUNTA([2]stages!$A:$A),MATCH(G$1,[2]stages!$2:$2,0)-MATCH("temp_stage",[2]stages!$2:$2,0)+1),MATCH(G$1,[2]stages!$2:$2,0)-MATCH("temp_stage",[2]stages!$2:$2,0)+1,FALSE)</f>
        <v>緑黄DL6</v>
      </c>
      <c r="H17" s="241">
        <v>4</v>
      </c>
      <c r="I17" s="85">
        <f t="shared" si="0"/>
        <v>16</v>
      </c>
      <c r="J17" s="80" t="str">
        <f t="shared" si="1"/>
        <v>1502916</v>
      </c>
      <c r="K17" s="78" t="s">
        <v>128</v>
      </c>
      <c r="L17" s="81" t="s">
        <v>199</v>
      </c>
      <c r="M17" s="240" t="s">
        <v>310</v>
      </c>
      <c r="N17" s="50" t="s">
        <v>200</v>
      </c>
    </row>
    <row r="18" spans="1:14" ht="28" x14ac:dyDescent="0.15">
      <c r="A18" s="75" t="s">
        <v>197</v>
      </c>
      <c r="B18" s="76">
        <f>floors!$C$2</f>
        <v>15029</v>
      </c>
      <c r="C18" s="77" t="str">
        <f ca="1">VLOOKUP($B18,OFFSET([2]quests!$A$1,0,0,COUNTA([2]quests!$A:$A),MATCH(C$1,[2]quests!$1:$1,0)-MATCH($B$1,[2]quests!$1:$1,0)+1),MATCH(C$1,[2]quests!$1:$1,0)-MATCH($B$1,[2]quests!$1:$1,0)+1,FALSE)</f>
        <v>29. 雪の望郷</v>
      </c>
      <c r="D18" s="77" t="str">
        <f ca="1">VLOOKUP($B18,OFFSET([2]quests!$A$1,0,0,COUNTA([2]quests!$A:$A),MATCH(D$1,[2]quests!$1:$1,0)-MATCH($B$1,[2]quests!$1:$1,0)+1),MATCH(D$1,[2]quests!$1:$1,0)-MATCH($B$1,[2]quests!$1:$1,0)+1,FALSE)</f>
        <v>緑黄DL6</v>
      </c>
      <c r="E18" s="78">
        <v>4</v>
      </c>
      <c r="F18" s="77" t="str">
        <f ca="1">VLOOKUP($B18&amp;"_"&amp;$E18,OFFSET([2]stages!$A$1,0,0,COUNTA([2]stages!$A:$A),MATCH(F$1,[2]stages!$2:$2,0)-MATCH("temp_stage",[2]stages!$2:$2,0)+1),MATCH(F$1,[2]stages!$2:$2,0)-MATCH("temp_stage",[2]stages!$2:$2,0)+1,FALSE)</f>
        <v>29-4. 【1回のみ】ボーナスステージ</v>
      </c>
      <c r="G18" s="77" t="str">
        <f ca="1">VLOOKUP($B18&amp;"_"&amp;$E18,OFFSET([2]stages!$A$1,0,0,COUNTA([2]stages!$A:$A),MATCH(G$1,[2]stages!$2:$2,0)-MATCH("temp_stage",[2]stages!$2:$2,0)+1),MATCH(G$1,[2]stages!$2:$2,0)-MATCH("temp_stage",[2]stages!$2:$2,0)+1,FALSE)</f>
        <v>緑黄DL6</v>
      </c>
      <c r="H18" s="79">
        <v>5</v>
      </c>
      <c r="I18" s="85">
        <f t="shared" si="0"/>
        <v>17</v>
      </c>
      <c r="J18" s="80" t="str">
        <f t="shared" si="1"/>
        <v>1502917</v>
      </c>
      <c r="K18" s="78" t="s">
        <v>128</v>
      </c>
      <c r="L18" s="81" t="s">
        <v>199</v>
      </c>
      <c r="M18" s="240" t="s">
        <v>310</v>
      </c>
      <c r="N18" s="50" t="s">
        <v>200</v>
      </c>
    </row>
  </sheetData>
  <phoneticPr fontId="5"/>
  <dataValidations count="1">
    <dataValidation type="list" allowBlank="1" showInputMessage="1" showErrorMessage="1" sqref="A2:A18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2015-03-11T06:38:58Z</dcterms:created>
  <dcterms:modified xsi:type="dcterms:W3CDTF">2016-06-23T08:54:03Z</dcterms:modified>
</cp:coreProperties>
</file>