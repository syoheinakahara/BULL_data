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603010" sheetId="157" r:id="rId4"/>
    <sheet name="tables_603010" sheetId="158" r:id="rId5"/>
    <sheet name="input_603100" sheetId="153" r:id="rId6"/>
    <sheet name="tables_603100" sheetId="154" r:id="rId7"/>
    <sheet name="input_settle_603100" sheetId="160" r:id="rId8"/>
    <sheet name="tables_settle_603100" sheetId="161" r:id="rId9"/>
    <sheet name="tables_settle_603104" sheetId="162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4" hidden="1">tables_603010!$A$1:$V$346</definedName>
    <definedName name="_xlnm._FilterDatabase" localSheetId="6" hidden="1">tables_603100!$A$1:$V$294</definedName>
    <definedName name="_xlnm._FilterDatabase" localSheetId="8" hidden="1">tables_settle_603100!$A$1:$V$294</definedName>
    <definedName name="_xlnm._FilterDatabase" localSheetId="9" hidden="1">tables_settle_603104!$A$1:$V$77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4" l="1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I357" i="154"/>
  <c r="D357" i="154"/>
  <c r="J357" i="154"/>
  <c r="E357" i="154"/>
  <c r="C357" i="154"/>
  <c r="I358" i="154"/>
  <c r="D358" i="154"/>
  <c r="J358" i="154"/>
  <c r="E358" i="154"/>
  <c r="C358" i="154"/>
  <c r="I359" i="154"/>
  <c r="D359" i="154"/>
  <c r="J359" i="154"/>
  <c r="E359" i="154"/>
  <c r="C359" i="154"/>
  <c r="I360" i="154"/>
  <c r="D360" i="154"/>
  <c r="J360" i="154"/>
  <c r="E360" i="154"/>
  <c r="C360" i="154"/>
  <c r="I361" i="154"/>
  <c r="D361" i="154"/>
  <c r="J361" i="154"/>
  <c r="E361" i="154"/>
  <c r="F361" i="154"/>
  <c r="C361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6" i="153"/>
  <c r="B26" i="153"/>
  <c r="E23" i="153"/>
  <c r="B23" i="153"/>
  <c r="F5" i="153"/>
  <c r="E5" i="153"/>
  <c r="E28" i="153"/>
  <c r="B28" i="153"/>
  <c r="E29" i="153"/>
  <c r="B29" i="153"/>
  <c r="B21" i="153"/>
  <c r="I2" i="161"/>
  <c r="J2" i="161"/>
  <c r="D2" i="161"/>
  <c r="E2" i="161"/>
  <c r="C2" i="161"/>
  <c r="I3" i="161"/>
  <c r="J3" i="161"/>
  <c r="D3" i="161"/>
  <c r="E3" i="161"/>
  <c r="C3" i="161"/>
  <c r="I4" i="161"/>
  <c r="J4" i="161"/>
  <c r="D4" i="161"/>
  <c r="E4" i="161"/>
  <c r="C4" i="161"/>
  <c r="I5" i="161"/>
  <c r="J5" i="161"/>
  <c r="D5" i="161"/>
  <c r="E5" i="161"/>
  <c r="C5" i="161"/>
  <c r="I6" i="161"/>
  <c r="J6" i="161"/>
  <c r="D6" i="161"/>
  <c r="E6" i="161"/>
  <c r="C6" i="161"/>
  <c r="I7" i="161"/>
  <c r="J7" i="161"/>
  <c r="D7" i="161"/>
  <c r="E7" i="161"/>
  <c r="C7" i="161"/>
  <c r="I8" i="161"/>
  <c r="J8" i="161"/>
  <c r="D8" i="161"/>
  <c r="E8" i="161"/>
  <c r="C8" i="161"/>
  <c r="I9" i="161"/>
  <c r="J9" i="161"/>
  <c r="D9" i="161"/>
  <c r="E9" i="161"/>
  <c r="C9" i="161"/>
  <c r="I10" i="161"/>
  <c r="J10" i="161"/>
  <c r="D10" i="161"/>
  <c r="E10" i="161"/>
  <c r="C10" i="161"/>
  <c r="I11" i="161"/>
  <c r="J11" i="161"/>
  <c r="D11" i="161"/>
  <c r="E11" i="161"/>
  <c r="C11" i="161"/>
  <c r="I12" i="161"/>
  <c r="J12" i="161"/>
  <c r="D12" i="161"/>
  <c r="E12" i="161"/>
  <c r="C12" i="161"/>
  <c r="I13" i="161"/>
  <c r="J13" i="161"/>
  <c r="D13" i="161"/>
  <c r="E13" i="161"/>
  <c r="C13" i="161"/>
  <c r="I14" i="161"/>
  <c r="J14" i="161"/>
  <c r="D14" i="161"/>
  <c r="E14" i="161"/>
  <c r="C14" i="161"/>
  <c r="I15" i="161"/>
  <c r="J15" i="161"/>
  <c r="D15" i="161"/>
  <c r="E15" i="161"/>
  <c r="C15" i="161"/>
  <c r="I16" i="161"/>
  <c r="J16" i="161"/>
  <c r="D16" i="161"/>
  <c r="E16" i="161"/>
  <c r="C16" i="161"/>
  <c r="I17" i="161"/>
  <c r="J17" i="161"/>
  <c r="D17" i="161"/>
  <c r="E17" i="161"/>
  <c r="C17" i="161"/>
  <c r="I18" i="161"/>
  <c r="J18" i="161"/>
  <c r="D18" i="161"/>
  <c r="E18" i="161"/>
  <c r="C18" i="161"/>
  <c r="I19" i="161"/>
  <c r="J19" i="161"/>
  <c r="D19" i="161"/>
  <c r="E19" i="161"/>
  <c r="C19" i="161"/>
  <c r="I20" i="161"/>
  <c r="J20" i="161"/>
  <c r="D20" i="161"/>
  <c r="E20" i="161"/>
  <c r="C20" i="161"/>
  <c r="I21" i="161"/>
  <c r="J21" i="161"/>
  <c r="D21" i="161"/>
  <c r="E21" i="161"/>
  <c r="C21" i="161"/>
  <c r="I22" i="161"/>
  <c r="J22" i="161"/>
  <c r="D22" i="161"/>
  <c r="E22" i="161"/>
  <c r="C22" i="161"/>
  <c r="I23" i="161"/>
  <c r="J23" i="161"/>
  <c r="D23" i="161"/>
  <c r="E23" i="161"/>
  <c r="C23" i="161"/>
  <c r="I24" i="161"/>
  <c r="J24" i="161"/>
  <c r="D24" i="161"/>
  <c r="E24" i="161"/>
  <c r="C24" i="161"/>
  <c r="I25" i="161"/>
  <c r="J25" i="161"/>
  <c r="D25" i="161"/>
  <c r="E25" i="161"/>
  <c r="C25" i="161"/>
  <c r="I26" i="161"/>
  <c r="J26" i="161"/>
  <c r="D26" i="161"/>
  <c r="E26" i="161"/>
  <c r="C26" i="161"/>
  <c r="I27" i="161"/>
  <c r="J27" i="161"/>
  <c r="D27" i="161"/>
  <c r="E27" i="161"/>
  <c r="C27" i="161"/>
  <c r="I28" i="161"/>
  <c r="J28" i="161"/>
  <c r="D28" i="161"/>
  <c r="E28" i="161"/>
  <c r="C28" i="161"/>
  <c r="I29" i="161"/>
  <c r="J29" i="161"/>
  <c r="D29" i="161"/>
  <c r="E29" i="161"/>
  <c r="C29" i="161"/>
  <c r="I30" i="161"/>
  <c r="J30" i="161"/>
  <c r="D30" i="161"/>
  <c r="E30" i="161"/>
  <c r="C30" i="161"/>
  <c r="I31" i="161"/>
  <c r="J31" i="161"/>
  <c r="D31" i="161"/>
  <c r="E31" i="161"/>
  <c r="C31" i="161"/>
  <c r="I32" i="161"/>
  <c r="J32" i="161"/>
  <c r="D32" i="161"/>
  <c r="E32" i="161"/>
  <c r="C32" i="161"/>
  <c r="I33" i="161"/>
  <c r="J33" i="161"/>
  <c r="D33" i="161"/>
  <c r="E33" i="161"/>
  <c r="C33" i="161"/>
  <c r="I34" i="161"/>
  <c r="J34" i="161"/>
  <c r="D34" i="161"/>
  <c r="E34" i="161"/>
  <c r="C34" i="161"/>
  <c r="I35" i="161"/>
  <c r="J35" i="161"/>
  <c r="D35" i="161"/>
  <c r="E35" i="161"/>
  <c r="C35" i="161"/>
  <c r="I36" i="161"/>
  <c r="J36" i="161"/>
  <c r="D36" i="161"/>
  <c r="E36" i="161"/>
  <c r="C36" i="161"/>
  <c r="I37" i="161"/>
  <c r="J37" i="161"/>
  <c r="D37" i="161"/>
  <c r="E37" i="161"/>
  <c r="C37" i="161"/>
  <c r="I38" i="161"/>
  <c r="J38" i="161"/>
  <c r="D38" i="161"/>
  <c r="E38" i="161"/>
  <c r="C38" i="161"/>
  <c r="I39" i="161"/>
  <c r="J39" i="161"/>
  <c r="D39" i="161"/>
  <c r="E39" i="161"/>
  <c r="C39" i="161"/>
  <c r="I40" i="161"/>
  <c r="J40" i="161"/>
  <c r="D40" i="161"/>
  <c r="E40" i="161"/>
  <c r="C40" i="161"/>
  <c r="I41" i="161"/>
  <c r="J41" i="161"/>
  <c r="D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J215" i="161"/>
  <c r="D215" i="161"/>
  <c r="E215" i="161"/>
  <c r="C215" i="161"/>
  <c r="I216" i="161"/>
  <c r="J216" i="161"/>
  <c r="D216" i="161"/>
  <c r="E216" i="161"/>
  <c r="C216" i="161"/>
  <c r="I217" i="161"/>
  <c r="J217" i="161"/>
  <c r="D217" i="161"/>
  <c r="E217" i="161"/>
  <c r="C217" i="161"/>
  <c r="I218" i="161"/>
  <c r="J218" i="161"/>
  <c r="D218" i="161"/>
  <c r="E218" i="161"/>
  <c r="C218" i="161"/>
  <c r="I219" i="161"/>
  <c r="J219" i="161"/>
  <c r="D219" i="161"/>
  <c r="E219" i="161"/>
  <c r="C219" i="161"/>
  <c r="I220" i="161"/>
  <c r="J220" i="161"/>
  <c r="D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I310" i="161"/>
  <c r="D310" i="161"/>
  <c r="J310" i="161"/>
  <c r="E310" i="161"/>
  <c r="C310" i="161"/>
  <c r="I311" i="161"/>
  <c r="D311" i="161"/>
  <c r="J311" i="161"/>
  <c r="E311" i="161"/>
  <c r="C311" i="161"/>
  <c r="I312" i="161"/>
  <c r="D312" i="161"/>
  <c r="J312" i="161"/>
  <c r="E312" i="161"/>
  <c r="C312" i="161"/>
  <c r="I313" i="161"/>
  <c r="D313" i="161"/>
  <c r="J313" i="161"/>
  <c r="E313" i="161"/>
  <c r="C313" i="161"/>
  <c r="I314" i="161"/>
  <c r="D314" i="161"/>
  <c r="J314" i="161"/>
  <c r="E314" i="161"/>
  <c r="C314" i="161"/>
  <c r="I315" i="161"/>
  <c r="D315" i="161"/>
  <c r="J315" i="161"/>
  <c r="E315" i="161"/>
  <c r="C315" i="161"/>
  <c r="I316" i="161"/>
  <c r="D316" i="161"/>
  <c r="J316" i="161"/>
  <c r="E316" i="161"/>
  <c r="C316" i="161"/>
  <c r="I317" i="161"/>
  <c r="D317" i="161"/>
  <c r="J317" i="161"/>
  <c r="E317" i="161"/>
  <c r="C317" i="161"/>
  <c r="I318" i="161"/>
  <c r="D318" i="161"/>
  <c r="J318" i="161"/>
  <c r="E318" i="161"/>
  <c r="C318" i="161"/>
  <c r="I319" i="161"/>
  <c r="D319" i="161"/>
  <c r="J319" i="161"/>
  <c r="E319" i="161"/>
  <c r="C319" i="161"/>
  <c r="I320" i="161"/>
  <c r="D320" i="161"/>
  <c r="J320" i="161"/>
  <c r="E320" i="161"/>
  <c r="C320" i="161"/>
  <c r="I321" i="161"/>
  <c r="D321" i="161"/>
  <c r="J321" i="161"/>
  <c r="E321" i="161"/>
  <c r="C321" i="161"/>
  <c r="I322" i="161"/>
  <c r="D322" i="161"/>
  <c r="J322" i="161"/>
  <c r="E322" i="161"/>
  <c r="C322" i="161"/>
  <c r="I323" i="161"/>
  <c r="D323" i="161"/>
  <c r="J323" i="161"/>
  <c r="E323" i="161"/>
  <c r="C323" i="161"/>
  <c r="I324" i="161"/>
  <c r="D324" i="161"/>
  <c r="J324" i="161"/>
  <c r="E324" i="161"/>
  <c r="C324" i="161"/>
  <c r="I325" i="161"/>
  <c r="D325" i="161"/>
  <c r="J325" i="161"/>
  <c r="E325" i="161"/>
  <c r="C325" i="161"/>
  <c r="I326" i="161"/>
  <c r="D326" i="161"/>
  <c r="J326" i="161"/>
  <c r="E326" i="161"/>
  <c r="C326" i="161"/>
  <c r="I327" i="161"/>
  <c r="D327" i="161"/>
  <c r="J327" i="161"/>
  <c r="E327" i="161"/>
  <c r="C327" i="161"/>
  <c r="I328" i="161"/>
  <c r="D328" i="161"/>
  <c r="J328" i="161"/>
  <c r="E328" i="161"/>
  <c r="C328" i="161"/>
  <c r="I329" i="161"/>
  <c r="D329" i="161"/>
  <c r="J329" i="161"/>
  <c r="E329" i="161"/>
  <c r="C329" i="161"/>
  <c r="I330" i="161"/>
  <c r="D330" i="161"/>
  <c r="J330" i="161"/>
  <c r="E330" i="161"/>
  <c r="C330" i="161"/>
  <c r="I331" i="161"/>
  <c r="D331" i="161"/>
  <c r="J331" i="161"/>
  <c r="E331" i="161"/>
  <c r="C331" i="161"/>
  <c r="I332" i="161"/>
  <c r="D332" i="161"/>
  <c r="J332" i="161"/>
  <c r="E332" i="161"/>
  <c r="C332" i="161"/>
  <c r="I333" i="161"/>
  <c r="D333" i="161"/>
  <c r="J333" i="161"/>
  <c r="E333" i="161"/>
  <c r="C333" i="161"/>
  <c r="I334" i="161"/>
  <c r="D334" i="161"/>
  <c r="J334" i="161"/>
  <c r="E334" i="161"/>
  <c r="C334" i="161"/>
  <c r="I335" i="161"/>
  <c r="D335" i="161"/>
  <c r="J335" i="161"/>
  <c r="E335" i="161"/>
  <c r="C335" i="161"/>
  <c r="I336" i="161"/>
  <c r="D336" i="161"/>
  <c r="J336" i="161"/>
  <c r="E336" i="161"/>
  <c r="C336" i="161"/>
  <c r="I337" i="161"/>
  <c r="D337" i="161"/>
  <c r="J337" i="161"/>
  <c r="E337" i="161"/>
  <c r="C337" i="161"/>
  <c r="I338" i="161"/>
  <c r="D338" i="161"/>
  <c r="J338" i="161"/>
  <c r="E338" i="161"/>
  <c r="C338" i="161"/>
  <c r="I339" i="161"/>
  <c r="D339" i="161"/>
  <c r="J339" i="161"/>
  <c r="E339" i="161"/>
  <c r="C339" i="161"/>
  <c r="I340" i="161"/>
  <c r="D340" i="161"/>
  <c r="J340" i="161"/>
  <c r="E340" i="161"/>
  <c r="C340" i="161"/>
  <c r="I341" i="161"/>
  <c r="D341" i="161"/>
  <c r="J341" i="161"/>
  <c r="E341" i="161"/>
  <c r="C341" i="161"/>
  <c r="I342" i="161"/>
  <c r="D342" i="161"/>
  <c r="J342" i="161"/>
  <c r="E342" i="161"/>
  <c r="C342" i="161"/>
  <c r="I343" i="161"/>
  <c r="D343" i="161"/>
  <c r="J343" i="161"/>
  <c r="E343" i="161"/>
  <c r="C343" i="161"/>
  <c r="I344" i="161"/>
  <c r="D344" i="161"/>
  <c r="J344" i="161"/>
  <c r="E344" i="161"/>
  <c r="C344" i="161"/>
  <c r="I345" i="161"/>
  <c r="D345" i="161"/>
  <c r="J345" i="161"/>
  <c r="E345" i="161"/>
  <c r="C345" i="161"/>
  <c r="I346" i="161"/>
  <c r="D346" i="161"/>
  <c r="J346" i="161"/>
  <c r="E346" i="161"/>
  <c r="C346" i="161"/>
  <c r="I347" i="161"/>
  <c r="D347" i="161"/>
  <c r="J347" i="161"/>
  <c r="E347" i="161"/>
  <c r="C347" i="161"/>
  <c r="I348" i="161"/>
  <c r="D348" i="161"/>
  <c r="J348" i="161"/>
  <c r="E348" i="161"/>
  <c r="C348" i="161"/>
  <c r="I349" i="161"/>
  <c r="D349" i="161"/>
  <c r="J349" i="161"/>
  <c r="E349" i="161"/>
  <c r="C349" i="161"/>
  <c r="I350" i="161"/>
  <c r="D350" i="161"/>
  <c r="J350" i="161"/>
  <c r="E350" i="161"/>
  <c r="C350" i="161"/>
  <c r="I351" i="161"/>
  <c r="D351" i="161"/>
  <c r="J351" i="161"/>
  <c r="E351" i="161"/>
  <c r="C351" i="161"/>
  <c r="I352" i="161"/>
  <c r="D352" i="161"/>
  <c r="J352" i="161"/>
  <c r="E352" i="161"/>
  <c r="C352" i="161"/>
  <c r="I353" i="161"/>
  <c r="D353" i="161"/>
  <c r="J353" i="161"/>
  <c r="E353" i="161"/>
  <c r="C353" i="161"/>
  <c r="I354" i="161"/>
  <c r="D354" i="161"/>
  <c r="J354" i="161"/>
  <c r="E354" i="161"/>
  <c r="C354" i="161"/>
  <c r="I355" i="161"/>
  <c r="D355" i="161"/>
  <c r="J355" i="161"/>
  <c r="E355" i="161"/>
  <c r="C355" i="161"/>
  <c r="I356" i="161"/>
  <c r="D356" i="161"/>
  <c r="J356" i="161"/>
  <c r="E356" i="161"/>
  <c r="C356" i="161"/>
  <c r="I357" i="161"/>
  <c r="D357" i="161"/>
  <c r="J357" i="161"/>
  <c r="E357" i="161"/>
  <c r="C357" i="161"/>
  <c r="I358" i="161"/>
  <c r="D358" i="161"/>
  <c r="J358" i="161"/>
  <c r="E358" i="161"/>
  <c r="C358" i="161"/>
  <c r="I359" i="161"/>
  <c r="D359" i="161"/>
  <c r="J359" i="161"/>
  <c r="E359" i="161"/>
  <c r="C359" i="161"/>
  <c r="I360" i="161"/>
  <c r="D360" i="161"/>
  <c r="J360" i="161"/>
  <c r="E360" i="161"/>
  <c r="C360" i="161"/>
  <c r="I361" i="161"/>
  <c r="D361" i="161"/>
  <c r="J361" i="161"/>
  <c r="E361" i="161"/>
  <c r="F361" i="161"/>
  <c r="C361" i="161"/>
  <c r="F6" i="160"/>
  <c r="E6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6" i="160"/>
  <c r="B26" i="160"/>
  <c r="I2" i="162"/>
  <c r="D2" i="162"/>
  <c r="I3" i="162"/>
  <c r="D3" i="162"/>
  <c r="I4" i="162"/>
  <c r="D4" i="162"/>
  <c r="I5" i="162"/>
  <c r="D5" i="162"/>
  <c r="I6" i="162"/>
  <c r="D6" i="162"/>
  <c r="I7" i="162"/>
  <c r="D7" i="162"/>
  <c r="I8" i="162"/>
  <c r="D8" i="162"/>
  <c r="I9" i="162"/>
  <c r="D9" i="162"/>
  <c r="I10" i="162"/>
  <c r="D10" i="162"/>
  <c r="I11" i="162"/>
  <c r="D11" i="162"/>
  <c r="I12" i="162"/>
  <c r="D12" i="162"/>
  <c r="I13" i="162"/>
  <c r="D13" i="162"/>
  <c r="I14" i="162"/>
  <c r="D14" i="162"/>
  <c r="I15" i="162"/>
  <c r="D15" i="162"/>
  <c r="I16" i="162"/>
  <c r="D16" i="162"/>
  <c r="I17" i="162"/>
  <c r="D17" i="162"/>
  <c r="I18" i="162"/>
  <c r="D18" i="162"/>
  <c r="I19" i="162"/>
  <c r="D19" i="162"/>
  <c r="I20" i="162"/>
  <c r="D20" i="162"/>
  <c r="I21" i="162"/>
  <c r="D21" i="162"/>
  <c r="I22" i="162"/>
  <c r="D22" i="162"/>
  <c r="I23" i="162"/>
  <c r="D23" i="162"/>
  <c r="I24" i="162"/>
  <c r="D24" i="162"/>
  <c r="I25" i="162"/>
  <c r="D25" i="162"/>
  <c r="I26" i="162"/>
  <c r="D26" i="162"/>
  <c r="I27" i="162"/>
  <c r="D27" i="162"/>
  <c r="I28" i="162"/>
  <c r="D28" i="162"/>
  <c r="I29" i="162"/>
  <c r="D29" i="162"/>
  <c r="I30" i="162"/>
  <c r="D30" i="162"/>
  <c r="I31" i="162"/>
  <c r="D31" i="162"/>
  <c r="I32" i="162"/>
  <c r="D32" i="162"/>
  <c r="I33" i="162"/>
  <c r="D33" i="162"/>
  <c r="I34" i="162"/>
  <c r="D34" i="162"/>
  <c r="I35" i="162"/>
  <c r="D35" i="162"/>
  <c r="I36" i="162"/>
  <c r="D36" i="162"/>
  <c r="I37" i="162"/>
  <c r="D37" i="162"/>
  <c r="I38" i="162"/>
  <c r="D38" i="162"/>
  <c r="I39" i="162"/>
  <c r="D39" i="162"/>
  <c r="I40" i="162"/>
  <c r="D40" i="162"/>
  <c r="I41" i="162"/>
  <c r="D41" i="162"/>
  <c r="I42" i="162"/>
  <c r="D42" i="162"/>
  <c r="I43" i="162"/>
  <c r="D43" i="162"/>
  <c r="I44" i="162"/>
  <c r="D44" i="162"/>
  <c r="I45" i="162"/>
  <c r="D45" i="162"/>
  <c r="I46" i="162"/>
  <c r="D46" i="162"/>
  <c r="I47" i="162"/>
  <c r="D47" i="162"/>
  <c r="I48" i="162"/>
  <c r="D48" i="162"/>
  <c r="I49" i="162"/>
  <c r="D49" i="162"/>
  <c r="I50" i="162"/>
  <c r="D50" i="162"/>
  <c r="I51" i="162"/>
  <c r="D51" i="162"/>
  <c r="I52" i="162"/>
  <c r="D52" i="162"/>
  <c r="I53" i="162"/>
  <c r="D53" i="162"/>
  <c r="I54" i="162"/>
  <c r="D54" i="162"/>
  <c r="I55" i="162"/>
  <c r="D55" i="162"/>
  <c r="I56" i="162"/>
  <c r="D56" i="162"/>
  <c r="I57" i="162"/>
  <c r="D57" i="162"/>
  <c r="I58" i="162"/>
  <c r="D58" i="162"/>
  <c r="I59" i="162"/>
  <c r="D59" i="162"/>
  <c r="I60" i="162"/>
  <c r="D60" i="162"/>
  <c r="I61" i="162"/>
  <c r="D61" i="162"/>
  <c r="I62" i="162"/>
  <c r="D62" i="162"/>
  <c r="I63" i="162"/>
  <c r="D63" i="162"/>
  <c r="I64" i="162"/>
  <c r="D64" i="162"/>
  <c r="I65" i="162"/>
  <c r="D65" i="162"/>
  <c r="I66" i="162"/>
  <c r="D66" i="162"/>
  <c r="I67" i="162"/>
  <c r="D67" i="162"/>
  <c r="I68" i="162"/>
  <c r="D68" i="162"/>
  <c r="I69" i="162"/>
  <c r="D69" i="162"/>
  <c r="I70" i="162"/>
  <c r="D70" i="162"/>
  <c r="I71" i="162"/>
  <c r="D71" i="162"/>
  <c r="I72" i="162"/>
  <c r="D72" i="162"/>
  <c r="I73" i="162"/>
  <c r="D73" i="162"/>
  <c r="I74" i="162"/>
  <c r="D74" i="162"/>
  <c r="I75" i="162"/>
  <c r="D75" i="162"/>
  <c r="I76" i="162"/>
  <c r="D76" i="162"/>
  <c r="I77" i="162"/>
  <c r="D77" i="162"/>
  <c r="X2" i="162"/>
  <c r="Y2" i="162"/>
  <c r="Y3" i="162"/>
  <c r="J77" i="162"/>
  <c r="E77" i="162"/>
  <c r="F77" i="162"/>
  <c r="C77" i="162"/>
  <c r="A2" i="160"/>
  <c r="J2" i="162"/>
  <c r="E2" i="162"/>
  <c r="F2" i="162"/>
  <c r="C2" i="162"/>
  <c r="J3" i="162"/>
  <c r="E3" i="162"/>
  <c r="F3" i="162"/>
  <c r="C3" i="162"/>
  <c r="J4" i="162"/>
  <c r="E4" i="162"/>
  <c r="F4" i="162"/>
  <c r="C4" i="162"/>
  <c r="J5" i="162"/>
  <c r="E5" i="162"/>
  <c r="F5" i="162"/>
  <c r="C5" i="162"/>
  <c r="J6" i="162"/>
  <c r="E6" i="162"/>
  <c r="F6" i="162"/>
  <c r="C6" i="162"/>
  <c r="J7" i="162"/>
  <c r="E7" i="162"/>
  <c r="F7" i="162"/>
  <c r="C7" i="162"/>
  <c r="J8" i="162"/>
  <c r="E8" i="162"/>
  <c r="F8" i="162"/>
  <c r="C8" i="162"/>
  <c r="J9" i="162"/>
  <c r="E9" i="162"/>
  <c r="F9" i="162"/>
  <c r="C9" i="162"/>
  <c r="J10" i="162"/>
  <c r="E10" i="162"/>
  <c r="F10" i="162"/>
  <c r="C10" i="162"/>
  <c r="J11" i="162"/>
  <c r="E11" i="162"/>
  <c r="F11" i="162"/>
  <c r="C11" i="162"/>
  <c r="J12" i="162"/>
  <c r="E12" i="162"/>
  <c r="F12" i="162"/>
  <c r="C12" i="162"/>
  <c r="J13" i="162"/>
  <c r="E13" i="162"/>
  <c r="F13" i="162"/>
  <c r="C13" i="162"/>
  <c r="J14" i="162"/>
  <c r="E14" i="162"/>
  <c r="F14" i="162"/>
  <c r="C14" i="162"/>
  <c r="J15" i="162"/>
  <c r="E15" i="162"/>
  <c r="F15" i="162"/>
  <c r="C15" i="162"/>
  <c r="J16" i="162"/>
  <c r="E16" i="162"/>
  <c r="F16" i="162"/>
  <c r="C16" i="162"/>
  <c r="J17" i="162"/>
  <c r="E17" i="162"/>
  <c r="F17" i="162"/>
  <c r="C17" i="162"/>
  <c r="J18" i="162"/>
  <c r="E18" i="162"/>
  <c r="F18" i="162"/>
  <c r="C18" i="162"/>
  <c r="J19" i="162"/>
  <c r="E19" i="162"/>
  <c r="F19" i="162"/>
  <c r="C19" i="162"/>
  <c r="J20" i="162"/>
  <c r="E20" i="162"/>
  <c r="F20" i="162"/>
  <c r="C20" i="162"/>
  <c r="J21" i="162"/>
  <c r="E21" i="162"/>
  <c r="F21" i="162"/>
  <c r="C21" i="162"/>
  <c r="J22" i="162"/>
  <c r="E22" i="162"/>
  <c r="F22" i="162"/>
  <c r="C22" i="162"/>
  <c r="J23" i="162"/>
  <c r="E23" i="162"/>
  <c r="F23" i="162"/>
  <c r="C23" i="162"/>
  <c r="J24" i="162"/>
  <c r="E24" i="162"/>
  <c r="F24" i="162"/>
  <c r="C24" i="162"/>
  <c r="J25" i="162"/>
  <c r="E25" i="162"/>
  <c r="F25" i="162"/>
  <c r="C25" i="162"/>
  <c r="J26" i="162"/>
  <c r="E26" i="162"/>
  <c r="F26" i="162"/>
  <c r="C26" i="162"/>
  <c r="J27" i="162"/>
  <c r="E27" i="162"/>
  <c r="F27" i="162"/>
  <c r="C27" i="162"/>
  <c r="J28" i="162"/>
  <c r="E28" i="162"/>
  <c r="F28" i="162"/>
  <c r="C28" i="162"/>
  <c r="J29" i="162"/>
  <c r="E29" i="162"/>
  <c r="F29" i="162"/>
  <c r="C29" i="162"/>
  <c r="J30" i="162"/>
  <c r="E30" i="162"/>
  <c r="F30" i="162"/>
  <c r="C30" i="162"/>
  <c r="J31" i="162"/>
  <c r="E31" i="162"/>
  <c r="F31" i="162"/>
  <c r="C31" i="162"/>
  <c r="J32" i="162"/>
  <c r="E32" i="162"/>
  <c r="F32" i="162"/>
  <c r="C32" i="162"/>
  <c r="J33" i="162"/>
  <c r="E33" i="162"/>
  <c r="F33" i="162"/>
  <c r="C33" i="162"/>
  <c r="J34" i="162"/>
  <c r="E34" i="162"/>
  <c r="F34" i="162"/>
  <c r="C34" i="162"/>
  <c r="J35" i="162"/>
  <c r="E35" i="162"/>
  <c r="F35" i="162"/>
  <c r="C35" i="162"/>
  <c r="J36" i="162"/>
  <c r="E36" i="162"/>
  <c r="F36" i="162"/>
  <c r="C36" i="162"/>
  <c r="J37" i="162"/>
  <c r="E37" i="162"/>
  <c r="F37" i="162"/>
  <c r="C37" i="162"/>
  <c r="J38" i="162"/>
  <c r="E38" i="162"/>
  <c r="F38" i="162"/>
  <c r="C38" i="162"/>
  <c r="J39" i="162"/>
  <c r="E39" i="162"/>
  <c r="F39" i="162"/>
  <c r="C39" i="162"/>
  <c r="J40" i="162"/>
  <c r="E40" i="162"/>
  <c r="F40" i="162"/>
  <c r="C40" i="162"/>
  <c r="J41" i="162"/>
  <c r="E41" i="162"/>
  <c r="F41" i="162"/>
  <c r="C41" i="162"/>
  <c r="J42" i="162"/>
  <c r="E42" i="162"/>
  <c r="F42" i="162"/>
  <c r="C42" i="162"/>
  <c r="J43" i="162"/>
  <c r="E43" i="162"/>
  <c r="F43" i="162"/>
  <c r="C43" i="162"/>
  <c r="J44" i="162"/>
  <c r="E44" i="162"/>
  <c r="F44" i="162"/>
  <c r="C44" i="162"/>
  <c r="J45" i="162"/>
  <c r="E45" i="162"/>
  <c r="F45" i="162"/>
  <c r="C45" i="162"/>
  <c r="J46" i="162"/>
  <c r="E46" i="162"/>
  <c r="F46" i="162"/>
  <c r="C46" i="162"/>
  <c r="J47" i="162"/>
  <c r="E47" i="162"/>
  <c r="F47" i="162"/>
  <c r="C47" i="162"/>
  <c r="J48" i="162"/>
  <c r="E48" i="162"/>
  <c r="F48" i="162"/>
  <c r="C48" i="162"/>
  <c r="J49" i="162"/>
  <c r="E49" i="162"/>
  <c r="F49" i="162"/>
  <c r="C49" i="162"/>
  <c r="J50" i="162"/>
  <c r="E50" i="162"/>
  <c r="F50" i="162"/>
  <c r="C50" i="162"/>
  <c r="J51" i="162"/>
  <c r="E51" i="162"/>
  <c r="F51" i="162"/>
  <c r="C51" i="162"/>
  <c r="J52" i="162"/>
  <c r="E52" i="162"/>
  <c r="F52" i="162"/>
  <c r="C52" i="162"/>
  <c r="J53" i="162"/>
  <c r="E53" i="162"/>
  <c r="F53" i="162"/>
  <c r="C53" i="162"/>
  <c r="J54" i="162"/>
  <c r="E54" i="162"/>
  <c r="F54" i="162"/>
  <c r="C54" i="162"/>
  <c r="J55" i="162"/>
  <c r="E55" i="162"/>
  <c r="F55" i="162"/>
  <c r="C55" i="162"/>
  <c r="J56" i="162"/>
  <c r="E56" i="162"/>
  <c r="F56" i="162"/>
  <c r="C56" i="162"/>
  <c r="J57" i="162"/>
  <c r="E57" i="162"/>
  <c r="F57" i="162"/>
  <c r="C57" i="162"/>
  <c r="J58" i="162"/>
  <c r="E58" i="162"/>
  <c r="F58" i="162"/>
  <c r="C58" i="162"/>
  <c r="J59" i="162"/>
  <c r="E59" i="162"/>
  <c r="F59" i="162"/>
  <c r="C59" i="162"/>
  <c r="J60" i="162"/>
  <c r="E60" i="162"/>
  <c r="F60" i="162"/>
  <c r="C60" i="162"/>
  <c r="J61" i="162"/>
  <c r="E61" i="162"/>
  <c r="F61" i="162"/>
  <c r="C61" i="162"/>
  <c r="J62" i="162"/>
  <c r="E62" i="162"/>
  <c r="F62" i="162"/>
  <c r="C62" i="162"/>
  <c r="J63" i="162"/>
  <c r="E63" i="162"/>
  <c r="F63" i="162"/>
  <c r="C63" i="162"/>
  <c r="J64" i="162"/>
  <c r="E64" i="162"/>
  <c r="F64" i="162"/>
  <c r="C64" i="162"/>
  <c r="J65" i="162"/>
  <c r="E65" i="162"/>
  <c r="F65" i="162"/>
  <c r="C65" i="162"/>
  <c r="J66" i="162"/>
  <c r="E66" i="162"/>
  <c r="F66" i="162"/>
  <c r="C66" i="162"/>
  <c r="J67" i="162"/>
  <c r="E67" i="162"/>
  <c r="F67" i="162"/>
  <c r="C67" i="162"/>
  <c r="J68" i="162"/>
  <c r="E68" i="162"/>
  <c r="F68" i="162"/>
  <c r="C68" i="162"/>
  <c r="J69" i="162"/>
  <c r="E69" i="162"/>
  <c r="F69" i="162"/>
  <c r="C69" i="162"/>
  <c r="J70" i="162"/>
  <c r="E70" i="162"/>
  <c r="F70" i="162"/>
  <c r="C70" i="162"/>
  <c r="J71" i="162"/>
  <c r="E71" i="162"/>
  <c r="F71" i="162"/>
  <c r="C71" i="162"/>
  <c r="J72" i="162"/>
  <c r="E72" i="162"/>
  <c r="F72" i="162"/>
  <c r="C72" i="162"/>
  <c r="J73" i="162"/>
  <c r="E73" i="162"/>
  <c r="F73" i="162"/>
  <c r="C73" i="162"/>
  <c r="J74" i="162"/>
  <c r="E74" i="162"/>
  <c r="F74" i="162"/>
  <c r="C74" i="162"/>
  <c r="J75" i="162"/>
  <c r="E75" i="162"/>
  <c r="F75" i="162"/>
  <c r="C75" i="162"/>
  <c r="J76" i="162"/>
  <c r="E76" i="162"/>
  <c r="F76" i="162"/>
  <c r="C76" i="162"/>
  <c r="P77" i="162"/>
  <c r="N77" i="162"/>
  <c r="M77" i="162"/>
  <c r="L77" i="162"/>
  <c r="K77" i="162"/>
  <c r="H77" i="162"/>
  <c r="P76" i="162"/>
  <c r="N76" i="162"/>
  <c r="M76" i="162"/>
  <c r="L76" i="162"/>
  <c r="K76" i="162"/>
  <c r="H76" i="162"/>
  <c r="P75" i="162"/>
  <c r="N75" i="162"/>
  <c r="M75" i="162"/>
  <c r="L75" i="162"/>
  <c r="K75" i="162"/>
  <c r="H75" i="162"/>
  <c r="P74" i="162"/>
  <c r="N74" i="162"/>
  <c r="M74" i="162"/>
  <c r="L74" i="162"/>
  <c r="K74" i="162"/>
  <c r="H74" i="162"/>
  <c r="P73" i="162"/>
  <c r="N73" i="162"/>
  <c r="M73" i="162"/>
  <c r="L73" i="162"/>
  <c r="K73" i="162"/>
  <c r="H73" i="162"/>
  <c r="P72" i="162"/>
  <c r="N72" i="162"/>
  <c r="M72" i="162"/>
  <c r="L72" i="162"/>
  <c r="K72" i="162"/>
  <c r="H72" i="162"/>
  <c r="P71" i="162"/>
  <c r="N71" i="162"/>
  <c r="M71" i="162"/>
  <c r="L71" i="162"/>
  <c r="K71" i="162"/>
  <c r="H71" i="162"/>
  <c r="P70" i="162"/>
  <c r="N70" i="162"/>
  <c r="M70" i="162"/>
  <c r="L70" i="162"/>
  <c r="K70" i="162"/>
  <c r="H70" i="162"/>
  <c r="P69" i="162"/>
  <c r="N69" i="162"/>
  <c r="M69" i="162"/>
  <c r="L69" i="162"/>
  <c r="K69" i="162"/>
  <c r="H69" i="162"/>
  <c r="P68" i="162"/>
  <c r="N68" i="162"/>
  <c r="M68" i="162"/>
  <c r="L68" i="162"/>
  <c r="K68" i="162"/>
  <c r="H68" i="162"/>
  <c r="P67" i="162"/>
  <c r="N67" i="162"/>
  <c r="M67" i="162"/>
  <c r="L67" i="162"/>
  <c r="K67" i="162"/>
  <c r="H67" i="162"/>
  <c r="P66" i="162"/>
  <c r="N66" i="162"/>
  <c r="M66" i="162"/>
  <c r="L66" i="162"/>
  <c r="K66" i="162"/>
  <c r="H66" i="162"/>
  <c r="P65" i="162"/>
  <c r="N65" i="162"/>
  <c r="M65" i="162"/>
  <c r="L65" i="162"/>
  <c r="K65" i="162"/>
  <c r="H65" i="162"/>
  <c r="P64" i="162"/>
  <c r="N64" i="162"/>
  <c r="M64" i="162"/>
  <c r="L64" i="162"/>
  <c r="K64" i="162"/>
  <c r="H64" i="162"/>
  <c r="P63" i="162"/>
  <c r="N63" i="162"/>
  <c r="M63" i="162"/>
  <c r="L63" i="162"/>
  <c r="K63" i="162"/>
  <c r="H63" i="162"/>
  <c r="P62" i="162"/>
  <c r="N62" i="162"/>
  <c r="M62" i="162"/>
  <c r="L62" i="162"/>
  <c r="K62" i="162"/>
  <c r="H62" i="162"/>
  <c r="P61" i="162"/>
  <c r="N61" i="162"/>
  <c r="M61" i="162"/>
  <c r="L61" i="162"/>
  <c r="K61" i="162"/>
  <c r="H61" i="162"/>
  <c r="P60" i="162"/>
  <c r="N60" i="162"/>
  <c r="M60" i="162"/>
  <c r="L60" i="162"/>
  <c r="K60" i="162"/>
  <c r="H60" i="162"/>
  <c r="P59" i="162"/>
  <c r="N59" i="162"/>
  <c r="M59" i="162"/>
  <c r="L59" i="162"/>
  <c r="K59" i="162"/>
  <c r="H59" i="162"/>
  <c r="P58" i="162"/>
  <c r="N58" i="162"/>
  <c r="M58" i="162"/>
  <c r="L58" i="162"/>
  <c r="K58" i="162"/>
  <c r="H58" i="162"/>
  <c r="P57" i="162"/>
  <c r="N57" i="162"/>
  <c r="M57" i="162"/>
  <c r="L57" i="162"/>
  <c r="K57" i="162"/>
  <c r="H57" i="162"/>
  <c r="P56" i="162"/>
  <c r="N56" i="162"/>
  <c r="M56" i="162"/>
  <c r="L56" i="162"/>
  <c r="K56" i="162"/>
  <c r="H56" i="162"/>
  <c r="P55" i="162"/>
  <c r="N55" i="162"/>
  <c r="M55" i="162"/>
  <c r="L55" i="162"/>
  <c r="K55" i="162"/>
  <c r="H55" i="162"/>
  <c r="P54" i="162"/>
  <c r="N54" i="162"/>
  <c r="M54" i="162"/>
  <c r="L54" i="162"/>
  <c r="K54" i="162"/>
  <c r="H54" i="162"/>
  <c r="P53" i="162"/>
  <c r="N53" i="162"/>
  <c r="M53" i="162"/>
  <c r="L53" i="162"/>
  <c r="K53" i="162"/>
  <c r="H53" i="162"/>
  <c r="P52" i="162"/>
  <c r="N52" i="162"/>
  <c r="M52" i="162"/>
  <c r="L52" i="162"/>
  <c r="K52" i="162"/>
  <c r="H52" i="162"/>
  <c r="P51" i="162"/>
  <c r="N51" i="162"/>
  <c r="M51" i="162"/>
  <c r="L51" i="162"/>
  <c r="K51" i="162"/>
  <c r="H51" i="162"/>
  <c r="P50" i="162"/>
  <c r="N50" i="162"/>
  <c r="M50" i="162"/>
  <c r="L50" i="162"/>
  <c r="K50" i="162"/>
  <c r="H50" i="162"/>
  <c r="P49" i="162"/>
  <c r="N49" i="162"/>
  <c r="M49" i="162"/>
  <c r="L49" i="162"/>
  <c r="K49" i="162"/>
  <c r="H49" i="162"/>
  <c r="P48" i="162"/>
  <c r="N48" i="162"/>
  <c r="M48" i="162"/>
  <c r="L48" i="162"/>
  <c r="K48" i="162"/>
  <c r="H48" i="162"/>
  <c r="P47" i="162"/>
  <c r="N47" i="162"/>
  <c r="M47" i="162"/>
  <c r="L47" i="162"/>
  <c r="K47" i="162"/>
  <c r="H47" i="162"/>
  <c r="P46" i="162"/>
  <c r="N46" i="162"/>
  <c r="M46" i="162"/>
  <c r="L46" i="162"/>
  <c r="K46" i="162"/>
  <c r="H46" i="162"/>
  <c r="P45" i="162"/>
  <c r="N45" i="162"/>
  <c r="M45" i="162"/>
  <c r="L45" i="162"/>
  <c r="K45" i="162"/>
  <c r="H45" i="162"/>
  <c r="P44" i="162"/>
  <c r="N44" i="162"/>
  <c r="M44" i="162"/>
  <c r="L44" i="162"/>
  <c r="K44" i="162"/>
  <c r="H44" i="162"/>
  <c r="P43" i="162"/>
  <c r="N43" i="162"/>
  <c r="M43" i="162"/>
  <c r="L43" i="162"/>
  <c r="K43" i="162"/>
  <c r="H43" i="162"/>
  <c r="P42" i="162"/>
  <c r="N42" i="162"/>
  <c r="M42" i="162"/>
  <c r="L42" i="162"/>
  <c r="K42" i="162"/>
  <c r="H42" i="162"/>
  <c r="P41" i="162"/>
  <c r="N41" i="162"/>
  <c r="M41" i="162"/>
  <c r="L41" i="162"/>
  <c r="K41" i="162"/>
  <c r="H41" i="162"/>
  <c r="P40" i="162"/>
  <c r="N40" i="162"/>
  <c r="M40" i="162"/>
  <c r="L40" i="162"/>
  <c r="K40" i="162"/>
  <c r="H40" i="162"/>
  <c r="P39" i="162"/>
  <c r="N39" i="162"/>
  <c r="M39" i="162"/>
  <c r="L39" i="162"/>
  <c r="K39" i="162"/>
  <c r="H39" i="162"/>
  <c r="P38" i="162"/>
  <c r="N38" i="162"/>
  <c r="M38" i="162"/>
  <c r="L38" i="162"/>
  <c r="K38" i="162"/>
  <c r="H38" i="162"/>
  <c r="P37" i="162"/>
  <c r="N37" i="162"/>
  <c r="M37" i="162"/>
  <c r="L37" i="162"/>
  <c r="K37" i="162"/>
  <c r="H37" i="162"/>
  <c r="P36" i="162"/>
  <c r="N36" i="162"/>
  <c r="M36" i="162"/>
  <c r="L36" i="162"/>
  <c r="K36" i="162"/>
  <c r="H36" i="162"/>
  <c r="P35" i="162"/>
  <c r="N35" i="162"/>
  <c r="M35" i="162"/>
  <c r="L35" i="162"/>
  <c r="K35" i="162"/>
  <c r="H35" i="162"/>
  <c r="P34" i="162"/>
  <c r="N34" i="162"/>
  <c r="M34" i="162"/>
  <c r="L34" i="162"/>
  <c r="K34" i="162"/>
  <c r="H34" i="162"/>
  <c r="P33" i="162"/>
  <c r="N33" i="162"/>
  <c r="M33" i="162"/>
  <c r="L33" i="162"/>
  <c r="K33" i="162"/>
  <c r="H33" i="162"/>
  <c r="P32" i="162"/>
  <c r="N32" i="162"/>
  <c r="M32" i="162"/>
  <c r="L32" i="162"/>
  <c r="K32" i="162"/>
  <c r="H32" i="162"/>
  <c r="P31" i="162"/>
  <c r="N31" i="162"/>
  <c r="M31" i="162"/>
  <c r="L31" i="162"/>
  <c r="K31" i="162"/>
  <c r="H31" i="162"/>
  <c r="P30" i="162"/>
  <c r="N30" i="162"/>
  <c r="M30" i="162"/>
  <c r="L30" i="162"/>
  <c r="K30" i="162"/>
  <c r="H30" i="162"/>
  <c r="P29" i="162"/>
  <c r="N29" i="162"/>
  <c r="M29" i="162"/>
  <c r="L29" i="162"/>
  <c r="K29" i="162"/>
  <c r="H29" i="162"/>
  <c r="P28" i="162"/>
  <c r="N28" i="162"/>
  <c r="M28" i="162"/>
  <c r="L28" i="162"/>
  <c r="K28" i="162"/>
  <c r="H28" i="162"/>
  <c r="P27" i="162"/>
  <c r="N27" i="162"/>
  <c r="M27" i="162"/>
  <c r="L27" i="162"/>
  <c r="K27" i="162"/>
  <c r="H27" i="162"/>
  <c r="P26" i="162"/>
  <c r="N26" i="162"/>
  <c r="M26" i="162"/>
  <c r="L26" i="162"/>
  <c r="K26" i="162"/>
  <c r="H26" i="162"/>
  <c r="P25" i="162"/>
  <c r="N25" i="162"/>
  <c r="M25" i="162"/>
  <c r="L25" i="162"/>
  <c r="K25" i="162"/>
  <c r="H25" i="162"/>
  <c r="P24" i="162"/>
  <c r="N24" i="162"/>
  <c r="M24" i="162"/>
  <c r="L24" i="162"/>
  <c r="K24" i="162"/>
  <c r="H24" i="162"/>
  <c r="P23" i="162"/>
  <c r="N23" i="162"/>
  <c r="M23" i="162"/>
  <c r="L23" i="162"/>
  <c r="K23" i="162"/>
  <c r="H23" i="162"/>
  <c r="P22" i="162"/>
  <c r="N22" i="162"/>
  <c r="M22" i="162"/>
  <c r="L22" i="162"/>
  <c r="K22" i="162"/>
  <c r="H22" i="162"/>
  <c r="P21" i="162"/>
  <c r="N21" i="162"/>
  <c r="M21" i="162"/>
  <c r="L21" i="162"/>
  <c r="K21" i="162"/>
  <c r="H21" i="162"/>
  <c r="P20" i="162"/>
  <c r="N20" i="162"/>
  <c r="M20" i="162"/>
  <c r="L20" i="162"/>
  <c r="K20" i="162"/>
  <c r="H20" i="162"/>
  <c r="P19" i="162"/>
  <c r="N19" i="162"/>
  <c r="M19" i="162"/>
  <c r="L19" i="162"/>
  <c r="K19" i="162"/>
  <c r="H19" i="162"/>
  <c r="P18" i="162"/>
  <c r="N18" i="162"/>
  <c r="M18" i="162"/>
  <c r="L18" i="162"/>
  <c r="K18" i="162"/>
  <c r="H18" i="162"/>
  <c r="P17" i="162"/>
  <c r="N17" i="162"/>
  <c r="M17" i="162"/>
  <c r="L17" i="162"/>
  <c r="K17" i="162"/>
  <c r="H17" i="162"/>
  <c r="P16" i="162"/>
  <c r="N16" i="162"/>
  <c r="M16" i="162"/>
  <c r="L16" i="162"/>
  <c r="K16" i="162"/>
  <c r="H16" i="162"/>
  <c r="P15" i="162"/>
  <c r="N15" i="162"/>
  <c r="M15" i="162"/>
  <c r="L15" i="162"/>
  <c r="K15" i="162"/>
  <c r="H15" i="162"/>
  <c r="P14" i="162"/>
  <c r="N14" i="162"/>
  <c r="M14" i="162"/>
  <c r="L14" i="162"/>
  <c r="K14" i="162"/>
  <c r="H14" i="162"/>
  <c r="P13" i="162"/>
  <c r="N13" i="162"/>
  <c r="M13" i="162"/>
  <c r="L13" i="162"/>
  <c r="K13" i="162"/>
  <c r="H13" i="162"/>
  <c r="P12" i="162"/>
  <c r="N12" i="162"/>
  <c r="M12" i="162"/>
  <c r="L12" i="162"/>
  <c r="K12" i="162"/>
  <c r="H12" i="162"/>
  <c r="P11" i="162"/>
  <c r="N11" i="162"/>
  <c r="M11" i="162"/>
  <c r="L11" i="162"/>
  <c r="K11" i="162"/>
  <c r="H11" i="162"/>
  <c r="P10" i="162"/>
  <c r="N10" i="162"/>
  <c r="M10" i="162"/>
  <c r="L10" i="162"/>
  <c r="K10" i="162"/>
  <c r="H10" i="162"/>
  <c r="P9" i="162"/>
  <c r="N9" i="162"/>
  <c r="M9" i="162"/>
  <c r="L9" i="162"/>
  <c r="K9" i="162"/>
  <c r="H9" i="162"/>
  <c r="P8" i="162"/>
  <c r="N8" i="162"/>
  <c r="M8" i="162"/>
  <c r="L8" i="162"/>
  <c r="K8" i="162"/>
  <c r="H8" i="162"/>
  <c r="P7" i="162"/>
  <c r="N7" i="162"/>
  <c r="M7" i="162"/>
  <c r="L7" i="162"/>
  <c r="K7" i="162"/>
  <c r="H7" i="162"/>
  <c r="P6" i="162"/>
  <c r="N6" i="162"/>
  <c r="M6" i="162"/>
  <c r="L6" i="162"/>
  <c r="K6" i="162"/>
  <c r="H6" i="162"/>
  <c r="P5" i="162"/>
  <c r="N5" i="162"/>
  <c r="M5" i="162"/>
  <c r="L5" i="162"/>
  <c r="K5" i="162"/>
  <c r="H5" i="162"/>
  <c r="P4" i="162"/>
  <c r="N4" i="162"/>
  <c r="M4" i="162"/>
  <c r="L4" i="162"/>
  <c r="K4" i="162"/>
  <c r="H4" i="162"/>
  <c r="P3" i="162"/>
  <c r="N3" i="162"/>
  <c r="M3" i="162"/>
  <c r="L3" i="162"/>
  <c r="K3" i="162"/>
  <c r="H3" i="162"/>
  <c r="P2" i="162"/>
  <c r="N2" i="162"/>
  <c r="M2" i="162"/>
  <c r="L2" i="162"/>
  <c r="K2" i="162"/>
  <c r="H2" i="162"/>
  <c r="C5" i="103"/>
  <c r="E5" i="103"/>
  <c r="F359" i="154"/>
  <c r="H359" i="154"/>
  <c r="K359" i="154"/>
  <c r="L359" i="154"/>
  <c r="M359" i="154"/>
  <c r="N359" i="154"/>
  <c r="A2" i="153"/>
  <c r="F360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F351" i="154"/>
  <c r="F352" i="154"/>
  <c r="F353" i="154"/>
  <c r="F354" i="154"/>
  <c r="F355" i="154"/>
  <c r="F356" i="154"/>
  <c r="F357" i="154"/>
  <c r="F358" i="154"/>
  <c r="A36" i="153"/>
  <c r="G29" i="153"/>
  <c r="H29" i="153"/>
  <c r="O359" i="154"/>
  <c r="B10" i="153"/>
  <c r="E19" i="153"/>
  <c r="B19" i="153"/>
  <c r="E24" i="153"/>
  <c r="B24" i="153"/>
  <c r="B17" i="153"/>
  <c r="G17" i="153"/>
  <c r="E17" i="153"/>
  <c r="H17" i="153"/>
  <c r="O2" i="154"/>
  <c r="E20" i="153"/>
  <c r="B6" i="153"/>
  <c r="B20" i="153"/>
  <c r="E22" i="153"/>
  <c r="B22" i="153"/>
  <c r="E25" i="153"/>
  <c r="B25" i="153"/>
  <c r="E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O357" i="154"/>
  <c r="O358" i="154"/>
  <c r="O360" i="154"/>
  <c r="G31" i="153"/>
  <c r="E31" i="153"/>
  <c r="H31" i="153"/>
  <c r="R3" i="153"/>
  <c r="O361" i="154"/>
  <c r="P359" i="154"/>
  <c r="H360" i="154"/>
  <c r="K360" i="154"/>
  <c r="L360" i="154"/>
  <c r="M360" i="154"/>
  <c r="N360" i="154"/>
  <c r="P360" i="154"/>
  <c r="H361" i="154"/>
  <c r="K361" i="154"/>
  <c r="L361" i="154"/>
  <c r="M361" i="154"/>
  <c r="N361" i="154"/>
  <c r="P361" i="154"/>
  <c r="H358" i="154"/>
  <c r="K358" i="154"/>
  <c r="L358" i="154"/>
  <c r="M358" i="154"/>
  <c r="N358" i="154"/>
  <c r="P358" i="154"/>
  <c r="A359" i="154"/>
  <c r="A360" i="154"/>
  <c r="A361" i="154"/>
  <c r="A358" i="154"/>
  <c r="F359" i="161"/>
  <c r="H359" i="161"/>
  <c r="K359" i="161"/>
  <c r="L359" i="161"/>
  <c r="M359" i="161"/>
  <c r="N359" i="161"/>
  <c r="F360" i="161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F304" i="161"/>
  <c r="F305" i="161"/>
  <c r="F306" i="161"/>
  <c r="F307" i="161"/>
  <c r="F308" i="161"/>
  <c r="F309" i="161"/>
  <c r="F310" i="161"/>
  <c r="F311" i="161"/>
  <c r="F312" i="161"/>
  <c r="F313" i="161"/>
  <c r="F314" i="161"/>
  <c r="F315" i="161"/>
  <c r="F316" i="161"/>
  <c r="F317" i="161"/>
  <c r="F318" i="161"/>
  <c r="F319" i="161"/>
  <c r="F320" i="161"/>
  <c r="F321" i="161"/>
  <c r="F322" i="161"/>
  <c r="F323" i="161"/>
  <c r="F324" i="161"/>
  <c r="F325" i="161"/>
  <c r="F326" i="161"/>
  <c r="F327" i="161"/>
  <c r="F328" i="161"/>
  <c r="F329" i="161"/>
  <c r="F330" i="161"/>
  <c r="F331" i="161"/>
  <c r="F332" i="161"/>
  <c r="F333" i="161"/>
  <c r="F334" i="161"/>
  <c r="F335" i="161"/>
  <c r="F336" i="161"/>
  <c r="F337" i="161"/>
  <c r="F338" i="161"/>
  <c r="F339" i="161"/>
  <c r="F340" i="161"/>
  <c r="F341" i="161"/>
  <c r="F342" i="161"/>
  <c r="F343" i="161"/>
  <c r="F344" i="161"/>
  <c r="F345" i="161"/>
  <c r="F346" i="161"/>
  <c r="F347" i="161"/>
  <c r="F348" i="161"/>
  <c r="F349" i="161"/>
  <c r="F350" i="161"/>
  <c r="F351" i="161"/>
  <c r="F352" i="161"/>
  <c r="F353" i="161"/>
  <c r="F354" i="161"/>
  <c r="F355" i="161"/>
  <c r="F356" i="161"/>
  <c r="F357" i="161"/>
  <c r="F358" i="161"/>
  <c r="F5" i="160"/>
  <c r="A36" i="160"/>
  <c r="E5" i="160"/>
  <c r="E29" i="160"/>
  <c r="B29" i="160"/>
  <c r="G29" i="160"/>
  <c r="H29" i="160"/>
  <c r="O359" i="161"/>
  <c r="B10" i="160"/>
  <c r="E19" i="160"/>
  <c r="B19" i="160"/>
  <c r="E24" i="160"/>
  <c r="B24" i="160"/>
  <c r="B17" i="160"/>
  <c r="G17" i="160"/>
  <c r="E17" i="160"/>
  <c r="H17" i="160"/>
  <c r="O2" i="161"/>
  <c r="E20" i="160"/>
  <c r="B20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E23" i="160"/>
  <c r="B23" i="160"/>
  <c r="E28" i="160"/>
  <c r="B28" i="160"/>
  <c r="B2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8" i="161"/>
  <c r="O349" i="161"/>
  <c r="O350" i="161"/>
  <c r="O351" i="161"/>
  <c r="O352" i="161"/>
  <c r="O353" i="161"/>
  <c r="O354" i="161"/>
  <c r="O355" i="161"/>
  <c r="O356" i="161"/>
  <c r="O357" i="161"/>
  <c r="O358" i="161"/>
  <c r="O360" i="161"/>
  <c r="G31" i="160"/>
  <c r="E31" i="160"/>
  <c r="H31" i="160"/>
  <c r="R3" i="160"/>
  <c r="O361" i="161"/>
  <c r="P359" i="161"/>
  <c r="H360" i="161"/>
  <c r="K360" i="161"/>
  <c r="L360" i="161"/>
  <c r="M360" i="161"/>
  <c r="N360" i="161"/>
  <c r="P360" i="161"/>
  <c r="H361" i="161"/>
  <c r="K361" i="161"/>
  <c r="L361" i="161"/>
  <c r="M361" i="161"/>
  <c r="N361" i="161"/>
  <c r="P361" i="161"/>
  <c r="H358" i="161"/>
  <c r="K358" i="161"/>
  <c r="L358" i="161"/>
  <c r="M358" i="161"/>
  <c r="N358" i="161"/>
  <c r="P358" i="161"/>
  <c r="A359" i="161"/>
  <c r="A360" i="161"/>
  <c r="A361" i="161"/>
  <c r="A358" i="161"/>
  <c r="I357" i="158"/>
  <c r="D357" i="158"/>
  <c r="J357" i="158"/>
  <c r="E357" i="158"/>
  <c r="F357" i="158"/>
  <c r="C357" i="158"/>
  <c r="H357" i="158"/>
  <c r="K357" i="158"/>
  <c r="L357" i="158"/>
  <c r="M357" i="158"/>
  <c r="N357" i="158"/>
  <c r="A2" i="157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61" i="158"/>
  <c r="D361" i="158"/>
  <c r="J361" i="158"/>
  <c r="E361" i="158"/>
  <c r="F361" i="158"/>
  <c r="C361" i="158"/>
  <c r="F5" i="157"/>
  <c r="F6" i="157"/>
  <c r="A3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B10" i="157"/>
  <c r="E6" i="157"/>
  <c r="B23" i="157"/>
  <c r="G23" i="157"/>
  <c r="H23" i="157"/>
  <c r="O357" i="158"/>
  <c r="E19" i="157"/>
  <c r="B19" i="157"/>
  <c r="E24" i="157"/>
  <c r="B24" i="157"/>
  <c r="B17" i="157"/>
  <c r="G17" i="157"/>
  <c r="E17" i="157"/>
  <c r="H17" i="157"/>
  <c r="O2" i="158"/>
  <c r="E20" i="157"/>
  <c r="B6" i="157"/>
  <c r="B20" i="157"/>
  <c r="E22" i="157"/>
  <c r="B22" i="157"/>
  <c r="E25" i="157"/>
  <c r="B25" i="157"/>
  <c r="E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8" i="158"/>
  <c r="O359" i="158"/>
  <c r="O360" i="158"/>
  <c r="G31" i="157"/>
  <c r="E31" i="157"/>
  <c r="H31" i="157"/>
  <c r="R3" i="157"/>
  <c r="O361" i="158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H356" i="158"/>
  <c r="K356" i="158"/>
  <c r="L356" i="158"/>
  <c r="M356" i="158"/>
  <c r="N356" i="158"/>
  <c r="P356" i="158"/>
  <c r="A360" i="158"/>
  <c r="A359" i="158"/>
  <c r="A358" i="158"/>
  <c r="A357" i="158"/>
  <c r="A356" i="158"/>
  <c r="P356" i="161"/>
  <c r="P357" i="161"/>
  <c r="F50" i="160"/>
  <c r="P356" i="154"/>
  <c r="P357" i="154"/>
  <c r="F50" i="153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61" i="158"/>
  <c r="F50" i="157"/>
  <c r="B31" i="157"/>
  <c r="H348" i="161"/>
  <c r="K348" i="161"/>
  <c r="L348" i="161"/>
  <c r="M348" i="161"/>
  <c r="N348" i="161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H357" i="161"/>
  <c r="K357" i="161"/>
  <c r="L357" i="161"/>
  <c r="M357" i="161"/>
  <c r="N357" i="161"/>
  <c r="A357" i="161"/>
  <c r="A356" i="161"/>
  <c r="A355" i="161"/>
  <c r="A354" i="161"/>
  <c r="A353" i="161"/>
  <c r="A352" i="161"/>
  <c r="A351" i="161"/>
  <c r="A350" i="161"/>
  <c r="A349" i="161"/>
  <c r="A348" i="161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H357" i="154"/>
  <c r="K357" i="154"/>
  <c r="L357" i="154"/>
  <c r="M357" i="154"/>
  <c r="N357" i="154"/>
  <c r="A357" i="154"/>
  <c r="A356" i="154"/>
  <c r="A355" i="154"/>
  <c r="A354" i="154"/>
  <c r="A353" i="154"/>
  <c r="A352" i="154"/>
  <c r="A351" i="154"/>
  <c r="A350" i="154"/>
  <c r="A349" i="154"/>
  <c r="A348" i="154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H351" i="158"/>
  <c r="K351" i="158"/>
  <c r="L351" i="158"/>
  <c r="M351" i="158"/>
  <c r="N351" i="158"/>
  <c r="H352" i="158"/>
  <c r="K352" i="158"/>
  <c r="L352" i="158"/>
  <c r="M352" i="158"/>
  <c r="N352" i="158"/>
  <c r="H353" i="158"/>
  <c r="K353" i="158"/>
  <c r="L353" i="158"/>
  <c r="M353" i="158"/>
  <c r="N353" i="158"/>
  <c r="H354" i="158"/>
  <c r="K354" i="158"/>
  <c r="L354" i="158"/>
  <c r="M354" i="158"/>
  <c r="N354" i="158"/>
  <c r="H355" i="158"/>
  <c r="K355" i="158"/>
  <c r="L355" i="158"/>
  <c r="M355" i="158"/>
  <c r="N355" i="158"/>
  <c r="H361" i="158"/>
  <c r="K361" i="158"/>
  <c r="L361" i="158"/>
  <c r="M361" i="158"/>
  <c r="N361" i="158"/>
  <c r="A361" i="158"/>
  <c r="A355" i="158"/>
  <c r="A354" i="158"/>
  <c r="A353" i="158"/>
  <c r="A352" i="158"/>
  <c r="A351" i="158"/>
  <c r="A350" i="158"/>
  <c r="A349" i="158"/>
  <c r="A348" i="158"/>
  <c r="A347" i="158"/>
  <c r="H347" i="158"/>
  <c r="K347" i="158"/>
  <c r="L347" i="158"/>
  <c r="M347" i="158"/>
  <c r="N347" i="158"/>
  <c r="B30" i="157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B31" i="160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P3" i="160"/>
  <c r="O3" i="160"/>
  <c r="M3" i="160"/>
  <c r="V2" i="160"/>
  <c r="B31" i="153"/>
  <c r="R4" i="157"/>
  <c r="H341" i="154"/>
  <c r="K341" i="154"/>
  <c r="L341" i="154"/>
  <c r="M341" i="154"/>
  <c r="N341" i="154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B30" i="153"/>
  <c r="F48" i="157"/>
  <c r="F49" i="157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E30" i="157"/>
  <c r="G30" i="157"/>
  <c r="H30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6" i="103"/>
  <c r="E6" i="103"/>
  <c r="C7" i="103"/>
  <c r="E7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8" i="103"/>
  <c r="E8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1" i="103"/>
  <c r="E10" i="103"/>
  <c r="E9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<sst xmlns="http://schemas.openxmlformats.org/spreadsheetml/2006/main" count="665" uniqueCount="259">
  <si>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</si>
  <si>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</si>
  <si>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</si>
  <si>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</si>
  <si>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</si>
  <si>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</si>
  <si>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</si>
  <si>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</si>
  <si>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</si>
  <si>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</si>
  <si>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</si>
  <si>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</si>
  <si>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</si>
  <si>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</si>
  <si>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</si>
  <si>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</si>
  <si>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</si>
  <si>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</si>
  <si>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</si>
  <si>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</si>
  <si>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</si>
  <si>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</si>
  <si>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</si>
  <si>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</si>
  <si>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</si>
  <si>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</si>
  <si>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</si>
  <si>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</si>
  <si>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</si>
  <si>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</si>
  <si>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</si>
  <si>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</si>
  <si>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</si>
  <si>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</si>
  <si>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</si>
  <si>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</si>
  <si>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</si>
  <si>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</si>
  <si>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</si>
  <si>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</si>
  <si>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</si>
  <si>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</si>
  <si>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</si>
  <si>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</si>
  <si>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</si>
  <si>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</si>
  <si>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</si>
  <si>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</si>
  <si>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</si>
  <si>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</si>
  <si>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</si>
  <si>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</si>
  <si>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</si>
  <si>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</si>
  <si>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</si>
  <si>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</si>
  <si>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</si>
  <si>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</si>
  <si>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</si>
  <si>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</si>
  <si>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</si>
  <si>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</si>
  <si>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</si>
  <si>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</si>
  <si>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</si>
  <si>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</si>
  <si>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</si>
  <si>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</si>
  <si>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</si>
  <si>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</si>
  <si>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</si>
  <si>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</si>
  <si>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</si>
  <si>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</si>
  <si>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</si>
  <si>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</si>
  <si>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</si>
  <si>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</si>
  <si>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</si>
  <si>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</si>
  <si>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</si>
  <si>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</si>
  <si>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</si>
  <si>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</si>
  <si>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</si>
  <si>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</si>
  <si>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</si>
  <si>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</si>
  <si>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</si>
  <si>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</si>
  <si>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</si>
  <si>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</si>
  <si>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</si>
  <si>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</si>
  <si>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</si>
  <si>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</si>
  <si>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</si>
  <si>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</si>
  <si>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</si>
  <si>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</si>
  <si>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</si>
  <si>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</si>
  <si>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</si>
  <si>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</si>
  <si>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</si>
  <si>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</si>
  <si>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</si>
  <si>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</si>
  <si>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</si>
  <si>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</si>
  <si>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</si>
  <si>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</si>
  <si>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</si>
  <si>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</si>
  <si>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</si>
  <si>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</si>
  <si>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</si>
  <si>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</si>
  <si>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</si>
  <si>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</si>
  <si>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</si>
  <si>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</si>
  <si>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</si>
  <si>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</si>
  <si>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</si>
  <si>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</si>
  <si>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</si>
  <si>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</si>
  <si>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</si>
  <si>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</si>
  <si>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</si>
  <si>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</si>
  <si>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</si>
  <si>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</si>
  <si>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</si>
  <si>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</si>
  <si>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</si>
  <si>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</si>
  <si>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</si>
  <si>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</si>
  <si>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</si>
  <si>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</si>
  <si>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</si>
  <si>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</si>
  <si>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</si>
  <si>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</si>
  <si>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</si>
  <si>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</si>
  <si>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</si>
  <si>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</si>
  <si>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</si>
  <si>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</si>
  <si>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</si>
  <si>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</si>
  <si>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</si>
  <si>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</si>
  <si>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</si>
  <si>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</si>
  <si>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</si>
  <si>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</si>
  <si>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</si>
  <si>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</si>
  <si>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</si>
  <si>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</si>
  <si>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</si>
  <si>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</si>
  <si>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</si>
  <si>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</si>
  <si>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</si>
  <si>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</si>
  <si>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</si>
  <si>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</si>
  <si>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</si>
  <si>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</si>
  <si>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</si>
  <si>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</si>
  <si>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</si>
  <si>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</si>
  <si>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</si>
  <si>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</si>
  <si>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</si>
  <si>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</si>
  <si>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</si>
  <si>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</si>
  <si>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</si>
  <si>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</si>
  <si>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</si>
  <si>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</si>
  <si>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</si>
  <si>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</si>
  <si>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</si>
  <si>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</si>
  <si>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</si>
  <si>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</si>
  <si>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</si>
  <si>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</si>
  <si>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</si>
  <si>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</si>
  <si>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</si>
  <si>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</si>
  <si>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</si>
  <si>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</si>
  <si>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</si>
  <si>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</si>
  <si>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</si>
  <si>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</si>
  <si>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</si>
  <si>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</si>
  <si>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</si>
  <si>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</si>
  <si>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</si>
  <si>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</si>
  <si>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</si>
  <si>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</si>
  <si>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</si>
  <si>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</si>
  <si>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</si>
  <si>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</si>
  <si>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</si>
  <si>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</si>
  <si>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</si>
  <si>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</si>
  <si>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</si>
  <si>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</si>
  <si>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</si>
  <si>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</si>
  <si>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</si>
  <si>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</si>
  <si>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</si>
  <si>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</si>
  <si>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</si>
  <si>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</si>
  <si>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</si>
  <si>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</si>
  <si>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</si>
  <si>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</si>
  <si>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</si>
  <si>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</si>
  <si>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</si>
  <si>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</si>
  <si>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</si>
  <si>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</si>
  <si>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</si>
  <si>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</si>
  <si>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</si>
  <si>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</si>
  <si>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</si>
  <si>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</si>
  <si>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</si>
  <si>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</si>
  <si>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</si>
  <si>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</si>
  <si>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通常確率</t>
    <rPh sb="0" eb="4">
      <t>ツウジョ</t>
    </rPh>
    <phoneticPr fontId="21"/>
  </si>
  <si>
    <t>PremiumSSS</t>
  </si>
  <si>
    <t>PremiumSSS</t>
    <phoneticPr fontId="21"/>
  </si>
  <si>
    <t>tables_603010</t>
    <phoneticPr fontId="21"/>
  </si>
  <si>
    <t>tables_603100</t>
    <phoneticPr fontId="21"/>
  </si>
  <si>
    <t>tables_settle_603100</t>
    <phoneticPr fontId="21"/>
  </si>
  <si>
    <t>tables_settle_603104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</si>
</sst>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4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25" fillId="0" borderId="1" xfId="0" applyFont="1" applyFill="1" applyBorder="1" applyAlignment="1">
      <alignment horizontal="right" vertical="center"/>
    </xf>
    <xf numFmtId="0" fontId="27" fillId="0" borderId="1" xfId="0" applyFont="1" applyFill="1" applyBorder="1" applyAlignment="1">
      <alignment vertical="center"/>
    </xf>
    <xf numFmtId="0" fontId="26" fillId="0" borderId="1" xfId="2" applyFont="1" applyFill="1" applyBorder="1" applyAlignment="1">
      <alignment vertical="center"/>
    </xf>
    <xf numFmtId="0" fontId="53" fillId="0" borderId="1" xfId="0" applyFont="1" applyFill="1" applyBorder="1" applyAlignment="1">
      <alignment vertical="center"/>
    </xf>
    <xf numFmtId="0" fontId="53" fillId="3" borderId="0" xfId="0" applyFont="1" applyFill="1" applyBorder="1" applyAlignment="1">
      <alignment vertical="center"/>
    </xf>
    <xf numFmtId="0" fontId="1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空欄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PremiumSSS</v>
          </cell>
          <cell r="K1564" t="str">
            <v>hp</v>
          </cell>
          <cell r="L1564" t="str">
            <v>体力タイプ</v>
          </cell>
          <cell r="M1564" t="str">
            <v>academia</v>
          </cell>
        </row>
        <row r="1565">
          <cell r="A1565">
            <v>1614</v>
          </cell>
          <cell r="B1565" t="str">
            <v>ja</v>
          </cell>
          <cell r="C1565" t="str">
            <v>空欄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red</v>
          </cell>
          <cell r="I1565">
            <v>6</v>
          </cell>
          <cell r="J1565" t="str">
            <v>PremiumSSS</v>
          </cell>
          <cell r="K1565" t="str">
            <v>hp</v>
          </cell>
          <cell r="L1565" t="str">
            <v>体力タイプ</v>
          </cell>
          <cell r="M1565" t="str">
            <v>academia</v>
          </cell>
        </row>
        <row r="1566">
          <cell r="A1566">
            <v>1615</v>
          </cell>
          <cell r="B1566" t="str">
            <v>ja</v>
          </cell>
          <cell r="C1566" t="str">
            <v>オリジナル花嫁ウィザード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human</v>
          </cell>
        </row>
        <row r="1567">
          <cell r="A1567">
            <v>1616</v>
          </cell>
          <cell r="B1567" t="str">
            <v>ja</v>
          </cell>
          <cell r="C1567" t="str">
            <v>花嫁アマテラス</v>
          </cell>
          <cell r="H1567" t="str">
            <v>green</v>
          </cell>
          <cell r="I1567">
            <v>6</v>
          </cell>
          <cell r="J1567" t="str">
            <v>DropWizSS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</row>
        <row r="1568">
          <cell r="A1568">
            <v>1617</v>
          </cell>
          <cell r="B1568" t="str">
            <v>ja</v>
          </cell>
          <cell r="C1568" t="str">
            <v>オリジナル花嫁A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</row>
        <row r="1569">
          <cell r="A1569">
            <v>1618</v>
          </cell>
          <cell r="B1569" t="str">
            <v>ja</v>
          </cell>
          <cell r="C1569" t="str">
            <v>オリジナル花嫁B</v>
          </cell>
          <cell r="H1569" t="str">
            <v>red</v>
          </cell>
          <cell r="I1569">
            <v>6</v>
          </cell>
          <cell r="J1569" t="str">
            <v>PremiumSS</v>
          </cell>
          <cell r="K1569" t="str">
            <v>hp</v>
          </cell>
          <cell r="L1569" t="str">
            <v>体力タイプ</v>
          </cell>
          <cell r="M1569" t="str">
            <v>human</v>
          </cell>
        </row>
        <row r="1570">
          <cell r="A1570">
            <v>1619</v>
          </cell>
          <cell r="B1570" t="str">
            <v>ja</v>
          </cell>
          <cell r="C1570" t="str">
            <v>白雪姫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</row>
        <row r="1571">
          <cell r="A1571">
            <v>1620</v>
          </cell>
          <cell r="B1571" t="str">
            <v>ja</v>
          </cell>
          <cell r="C1571" t="str">
            <v>バステト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</row>
        <row r="1572">
          <cell r="A1572">
            <v>1621</v>
          </cell>
          <cell r="B1572" t="str">
            <v>ja</v>
          </cell>
          <cell r="C1572" t="str">
            <v>イズン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god</v>
          </cell>
        </row>
        <row r="1573">
          <cell r="A1573">
            <v>1622</v>
          </cell>
          <cell r="B1573" t="str">
            <v>ja</v>
          </cell>
          <cell r="C1573" t="str">
            <v>諸葛亮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DropWizSS</v>
          </cell>
          <cell r="K1573" t="str">
            <v>balance</v>
          </cell>
          <cell r="L1573" t="str">
            <v>バランスタイプ</v>
          </cell>
          <cell r="M1573" t="str">
            <v>samurai</v>
          </cell>
        </row>
        <row r="1574">
          <cell r="A1574">
            <v>1623</v>
          </cell>
          <cell r="B1574" t="str">
            <v>ja</v>
          </cell>
          <cell r="C1574" t="str">
            <v>ジーク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</row>
        <row r="1575">
          <cell r="A1575">
            <v>1624</v>
          </cell>
          <cell r="B1575" t="str">
            <v>ja</v>
          </cell>
          <cell r="C1575" t="str">
            <v>アマラ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DropWizSS</v>
          </cell>
          <cell r="K1575" t="str">
            <v>attack</v>
          </cell>
          <cell r="L1575" t="str">
            <v>攻撃タイプ</v>
          </cell>
          <cell r="M1575" t="str">
            <v>human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</row>
        <row r="1586">
          <cell r="A1586">
            <v>5001</v>
          </cell>
          <cell r="B1586" t="str">
            <v>ja</v>
          </cell>
          <cell r="C1586" t="str">
            <v>ガルーダ</v>
          </cell>
          <cell r="D1586" t="str">
            <v>ノーマルクエスト</v>
          </cell>
          <cell r="E1586" t="str">
            <v>QoH</v>
          </cell>
          <cell r="F1586" t="str">
            <v>世界観</v>
          </cell>
          <cell r="G1586" t="str">
            <v>不明</v>
          </cell>
          <cell r="H1586" t="str">
            <v>red</v>
          </cell>
          <cell r="I1586">
            <v>5</v>
          </cell>
          <cell r="J1586" t="str">
            <v>PremiumSSw</v>
          </cell>
          <cell r="K1586" t="str">
            <v>attack</v>
          </cell>
          <cell r="L1586" t="str">
            <v>攻撃タイプ</v>
          </cell>
          <cell r="M1586" t="str">
            <v>god</v>
          </cell>
        </row>
        <row r="1587">
          <cell r="A1587">
            <v>5002</v>
          </cell>
          <cell r="B1587" t="str">
            <v>ja</v>
          </cell>
          <cell r="C1587" t="str">
            <v>光輝する美翼聖鳥 ガルーダ</v>
          </cell>
          <cell r="D1587" t="str">
            <v>ノーマルクエスト</v>
          </cell>
          <cell r="E1587" t="str">
            <v>アバター</v>
          </cell>
          <cell r="F1587" t="str">
            <v>世界観</v>
          </cell>
          <cell r="G1587" t="str">
            <v>男性</v>
          </cell>
          <cell r="H1587" t="str">
            <v>red</v>
          </cell>
          <cell r="I1587">
            <v>6</v>
          </cell>
          <cell r="J1587" t="str">
            <v>PremiumSSw</v>
          </cell>
          <cell r="K1587" t="str">
            <v>attack</v>
          </cell>
          <cell r="L1587" t="str">
            <v>攻撃タイプ</v>
          </cell>
          <cell r="M1587" t="str">
            <v>god</v>
          </cell>
        </row>
        <row r="1588">
          <cell r="A1588">
            <v>5003</v>
          </cell>
          <cell r="B1588" t="str">
            <v>ja</v>
          </cell>
          <cell r="C1588" t="str">
            <v>ナーガ</v>
          </cell>
          <cell r="D1588" t="str">
            <v>リンクガチャ:4神</v>
          </cell>
          <cell r="E1588" t="str">
            <v>守護神</v>
          </cell>
          <cell r="F1588" t="str">
            <v>格好いい</v>
          </cell>
          <cell r="G1588" t="str">
            <v>不明</v>
          </cell>
          <cell r="H1588" t="str">
            <v>green</v>
          </cell>
          <cell r="I1588">
            <v>5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animal</v>
          </cell>
        </row>
        <row r="1589">
          <cell r="A1589">
            <v>5004</v>
          </cell>
          <cell r="B1589" t="str">
            <v>ja</v>
          </cell>
          <cell r="C1589" t="str">
            <v>深淵翠緑 ナーガ</v>
          </cell>
          <cell r="D1589" t="str">
            <v>ノーマルクエスト</v>
          </cell>
          <cell r="E1589" t="str">
            <v>アバター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animal</v>
          </cell>
        </row>
        <row r="1590">
          <cell r="A1590">
            <v>5005</v>
          </cell>
          <cell r="B1590" t="str">
            <v>ja</v>
          </cell>
          <cell r="C1590" t="str">
            <v>カーミラ</v>
          </cell>
          <cell r="D1590" t="str">
            <v>ノーマルクエスト</v>
          </cell>
          <cell r="E1590" t="str">
            <v>QoH</v>
          </cell>
          <cell r="F1590" t="str">
            <v>世界観</v>
          </cell>
          <cell r="G1590" t="str">
            <v>不明</v>
          </cell>
          <cell r="H1590" t="str">
            <v>green</v>
          </cell>
          <cell r="I1590">
            <v>5</v>
          </cell>
          <cell r="J1590" t="str">
            <v>PremiumSSw</v>
          </cell>
          <cell r="K1590" t="str">
            <v>balance</v>
          </cell>
          <cell r="L1590" t="str">
            <v>バランスタイプ</v>
          </cell>
          <cell r="M1590" t="str">
            <v>demon</v>
          </cell>
        </row>
        <row r="1591">
          <cell r="A1591">
            <v>5006</v>
          </cell>
          <cell r="B1591" t="str">
            <v>ja</v>
          </cell>
          <cell r="C1591" t="str">
            <v>カーミラ★６</v>
          </cell>
          <cell r="D1591" t="str">
            <v>ノーマルクエスト</v>
          </cell>
          <cell r="E1591" t="str">
            <v>アバター</v>
          </cell>
          <cell r="F1591" t="str">
            <v>世界観</v>
          </cell>
          <cell r="G1591" t="str">
            <v>男性</v>
          </cell>
          <cell r="H1591" t="str">
            <v>green</v>
          </cell>
          <cell r="I1591">
            <v>6</v>
          </cell>
          <cell r="J1591" t="str">
            <v>PremiumSSw</v>
          </cell>
          <cell r="K1591" t="str">
            <v>balance</v>
          </cell>
          <cell r="L1591" t="str">
            <v>バランスタイプ</v>
          </cell>
          <cell r="M1591" t="str">
            <v>demon</v>
          </cell>
        </row>
        <row r="1592">
          <cell r="A1592">
            <v>5007</v>
          </cell>
          <cell r="B1592" t="str">
            <v>ja</v>
          </cell>
          <cell r="C1592" t="str">
            <v>ヘルシング</v>
          </cell>
          <cell r="D1592" t="str">
            <v>リンクガチャ:4神</v>
          </cell>
          <cell r="E1592" t="str">
            <v>守護神</v>
          </cell>
          <cell r="F1592" t="str">
            <v>格好いい</v>
          </cell>
          <cell r="G1592" t="str">
            <v>不明</v>
          </cell>
          <cell r="H1592" t="str">
            <v>yellow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5008</v>
          </cell>
          <cell r="B1593" t="str">
            <v>ja</v>
          </cell>
          <cell r="C1593" t="str">
            <v>ヘルシング★６</v>
          </cell>
          <cell r="D1593" t="str">
            <v>ノーマルクエスト</v>
          </cell>
          <cell r="E1593" t="str">
            <v>アバター</v>
          </cell>
          <cell r="F1593" t="str">
            <v>世界観</v>
          </cell>
          <cell r="G1593" t="str">
            <v>不明</v>
          </cell>
          <cell r="H1593" t="str">
            <v>yellow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6001</v>
          </cell>
          <cell r="B1594" t="str">
            <v>ja</v>
          </cell>
          <cell r="C1594" t="str">
            <v>ジェリー</v>
          </cell>
          <cell r="D1594" t="str">
            <v>ノーマルクエスト</v>
          </cell>
          <cell r="E1594" t="str">
            <v>QoH</v>
          </cell>
          <cell r="F1594" t="str">
            <v>世界観</v>
          </cell>
          <cell r="G1594" t="str">
            <v>不明</v>
          </cell>
          <cell r="H1594" t="str">
            <v>red</v>
          </cell>
          <cell r="I1594">
            <v>1</v>
          </cell>
          <cell r="J1594" t="str">
            <v>Drop1T</v>
          </cell>
          <cell r="K1594" t="str">
            <v>ra</v>
          </cell>
          <cell r="L1594" t="str">
            <v>ラグランジュチャレンジ</v>
          </cell>
          <cell r="M1594" t="str">
            <v>unknown</v>
          </cell>
        </row>
        <row r="1595">
          <cell r="A1595">
            <v>6002</v>
          </cell>
          <cell r="B1595" t="str">
            <v>ja</v>
          </cell>
          <cell r="C1595" t="str">
            <v>ヨシタカ</v>
          </cell>
          <cell r="D1595" t="str">
            <v>ノーマルクエスト</v>
          </cell>
          <cell r="E1595" t="str">
            <v>アバター</v>
          </cell>
          <cell r="F1595" t="str">
            <v>世界観</v>
          </cell>
          <cell r="G1595" t="str">
            <v>男性</v>
          </cell>
          <cell r="H1595" t="str">
            <v>red</v>
          </cell>
          <cell r="I1595">
            <v>2</v>
          </cell>
          <cell r="J1595" t="str">
            <v>Drop1N</v>
          </cell>
          <cell r="K1595" t="str">
            <v>ra</v>
          </cell>
          <cell r="L1595" t="str">
            <v>ラグランジュチャレンジ</v>
          </cell>
          <cell r="M1595" t="str">
            <v>human</v>
          </cell>
        </row>
        <row r="1596">
          <cell r="A1596">
            <v>6003</v>
          </cell>
          <cell r="B1596" t="str">
            <v>ja</v>
          </cell>
          <cell r="C1596" t="str">
            <v>朱雀</v>
          </cell>
          <cell r="D1596" t="str">
            <v>リンクガチャ:4神</v>
          </cell>
          <cell r="E1596" t="str">
            <v>守護神</v>
          </cell>
          <cell r="F1596" t="str">
            <v>格好いい</v>
          </cell>
          <cell r="G1596" t="str">
            <v>不明</v>
          </cell>
          <cell r="H1596" t="str">
            <v>red</v>
          </cell>
          <cell r="I1596">
            <v>3</v>
          </cell>
          <cell r="J1596" t="str">
            <v>Drop2N</v>
          </cell>
          <cell r="K1596" t="str">
            <v>ra</v>
          </cell>
          <cell r="L1596" t="str">
            <v>ラグランジュチャレンジ</v>
          </cell>
          <cell r="M1596" t="str">
            <v>animal</v>
          </cell>
        </row>
        <row r="1597">
          <cell r="A1597">
            <v>6004</v>
          </cell>
          <cell r="B1597" t="str">
            <v>ja</v>
          </cell>
          <cell r="C1597" t="str">
            <v>ブレット</v>
          </cell>
          <cell r="D1597" t="str">
            <v>ノーマルクエスト</v>
          </cell>
          <cell r="E1597" t="str">
            <v>アバター</v>
          </cell>
          <cell r="F1597" t="str">
            <v>世界観</v>
          </cell>
          <cell r="G1597" t="str">
            <v>不明</v>
          </cell>
          <cell r="H1597" t="str">
            <v>red</v>
          </cell>
          <cell r="I1597">
            <v>1</v>
          </cell>
          <cell r="J1597" t="str">
            <v>Drop1W</v>
          </cell>
          <cell r="K1597" t="str">
            <v>ra</v>
          </cell>
          <cell r="L1597" t="str">
            <v>ラグランジュチャレンジ</v>
          </cell>
          <cell r="M1597" t="str">
            <v>animal</v>
          </cell>
        </row>
        <row r="1598">
          <cell r="A1598">
            <v>6005</v>
          </cell>
          <cell r="B1598" t="str">
            <v>ja</v>
          </cell>
          <cell r="C1598" t="str">
            <v>孤神 テティス</v>
          </cell>
          <cell r="D1598" t="str">
            <v>初期ガチャ</v>
          </cell>
          <cell r="E1598" t="str">
            <v>管理者</v>
          </cell>
          <cell r="F1598" t="str">
            <v>美しい</v>
          </cell>
          <cell r="G1598" t="str">
            <v>女性</v>
          </cell>
          <cell r="H1598" t="str">
            <v>blue</v>
          </cell>
          <cell r="I1598">
            <v>4</v>
          </cell>
          <cell r="J1598" t="str">
            <v>PremiumN</v>
          </cell>
          <cell r="K1598" t="str">
            <v>ra</v>
          </cell>
          <cell r="L1598" t="str">
            <v>ラグランジュチャレンジ</v>
          </cell>
          <cell r="M1598" t="str">
            <v>god</v>
          </cell>
        </row>
        <row r="1599">
          <cell r="A1599">
            <v>6006</v>
          </cell>
          <cell r="B1599" t="str">
            <v>ja</v>
          </cell>
          <cell r="C1599" t="str">
            <v>海底の孤高神 テティス</v>
          </cell>
          <cell r="D1599" t="str">
            <v>初期ガチャ</v>
          </cell>
          <cell r="E1599" t="str">
            <v>管理者</v>
          </cell>
          <cell r="F1599" t="str">
            <v>美しい</v>
          </cell>
          <cell r="G1599" t="str">
            <v>女性</v>
          </cell>
          <cell r="H1599" t="str">
            <v>blue</v>
          </cell>
          <cell r="I1599">
            <v>5</v>
          </cell>
          <cell r="J1599" t="str">
            <v>PremiumN</v>
          </cell>
          <cell r="K1599" t="str">
            <v>ra</v>
          </cell>
          <cell r="L1599" t="str">
            <v>ラグランジュチャレンジ</v>
          </cell>
          <cell r="M1599" t="str">
            <v>god</v>
          </cell>
        </row>
        <row r="1600">
          <cell r="A1600">
            <v>6007</v>
          </cell>
          <cell r="B1600" t="str">
            <v>ja</v>
          </cell>
          <cell r="C1600" t="str">
            <v>番犬 ケルベロス</v>
          </cell>
          <cell r="D1600" t="str">
            <v>初期ガチャ</v>
          </cell>
          <cell r="E1600" t="str">
            <v>破界者</v>
          </cell>
          <cell r="F1600" t="str">
            <v>可愛い</v>
          </cell>
          <cell r="G1600" t="str">
            <v>女性</v>
          </cell>
          <cell r="H1600" t="str">
            <v>red</v>
          </cell>
          <cell r="I1600">
            <v>4</v>
          </cell>
          <cell r="J1600" t="str">
            <v>PremiumN</v>
          </cell>
          <cell r="K1600" t="str">
            <v>ra</v>
          </cell>
          <cell r="L1600" t="str">
            <v>ラグランジュチャレンジ</v>
          </cell>
          <cell r="M1600" t="str">
            <v>animal</v>
          </cell>
        </row>
        <row r="1601">
          <cell r="A1601">
            <v>6008</v>
          </cell>
          <cell r="B1601" t="str">
            <v>ja</v>
          </cell>
          <cell r="C1601" t="str">
            <v>焔神 プロメテウス</v>
          </cell>
          <cell r="D1601" t="str">
            <v>初期ガチャ</v>
          </cell>
          <cell r="E1601" t="str">
            <v>管理者</v>
          </cell>
          <cell r="F1601" t="str">
            <v>格好いい</v>
          </cell>
          <cell r="G1601" t="str">
            <v>男性</v>
          </cell>
          <cell r="H1601" t="str">
            <v>red</v>
          </cell>
          <cell r="I1601">
            <v>4</v>
          </cell>
          <cell r="J1601" t="str">
            <v>PremiumN</v>
          </cell>
          <cell r="K1601" t="str">
            <v>ra</v>
          </cell>
          <cell r="L1601" t="str">
            <v>ラグランジュチャレンジ</v>
          </cell>
          <cell r="M1601" t="str">
            <v>god</v>
          </cell>
        </row>
        <row r="1602">
          <cell r="A1602">
            <v>6009</v>
          </cell>
          <cell r="B1602" t="str">
            <v>ja</v>
          </cell>
          <cell r="C1602" t="str">
            <v>超越自我 ラグランジュ</v>
          </cell>
          <cell r="D1602" t="str">
            <v>ガチャ:フィーバーフェス02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red</v>
          </cell>
          <cell r="I1602">
            <v>5</v>
          </cell>
          <cell r="J1602" t="str">
            <v>PremiumSSS</v>
          </cell>
          <cell r="K1602" t="str">
            <v>ra</v>
          </cell>
          <cell r="L1602" t="str">
            <v>ラグランジュチャレンジ</v>
          </cell>
          <cell r="M1602" t="str">
            <v>human</v>
          </cell>
        </row>
        <row r="1603">
          <cell r="A1603">
            <v>6010</v>
          </cell>
          <cell r="B1603" t="str">
            <v>ja</v>
          </cell>
          <cell r="C1603" t="str">
            <v>超越凌駕 ラグランジュ</v>
          </cell>
          <cell r="D1603" t="str">
            <v>ガチャ:フィーバーフェス02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6</v>
          </cell>
          <cell r="J1603" t="str">
            <v>PremiumSSS</v>
          </cell>
          <cell r="K1603" t="str">
            <v>ra</v>
          </cell>
          <cell r="L1603" t="str">
            <v>ラグランジュチャレンジ</v>
          </cell>
          <cell r="M1603" t="str">
            <v>human</v>
          </cell>
        </row>
        <row r="1604">
          <cell r="A1604">
            <v>6011</v>
          </cell>
          <cell r="B1604" t="str">
            <v>ja</v>
          </cell>
          <cell r="C1604" t="str">
            <v>パトドッグリーダー ポチ</v>
          </cell>
          <cell r="D1604" t="str">
            <v>ガチャ:フィーバーフェス02</v>
          </cell>
          <cell r="E1604" t="str">
            <v>執行者</v>
          </cell>
          <cell r="F1604" t="str">
            <v>格好いい</v>
          </cell>
          <cell r="G1604" t="str">
            <v>男性</v>
          </cell>
          <cell r="H1604" t="str">
            <v>blue</v>
          </cell>
          <cell r="I1604">
            <v>2</v>
          </cell>
          <cell r="J1604" t="str">
            <v>Drop1T</v>
          </cell>
          <cell r="K1604" t="str">
            <v>ra002</v>
          </cell>
          <cell r="L1604" t="str">
            <v>ユークリッドチャレンジ</v>
          </cell>
          <cell r="M1604" t="str">
            <v>unknown</v>
          </cell>
        </row>
        <row r="1605">
          <cell r="A1605">
            <v>6012</v>
          </cell>
          <cell r="B1605" t="str">
            <v>ja</v>
          </cell>
          <cell r="C1605" t="str">
            <v>ミミ</v>
          </cell>
          <cell r="D1605" t="str">
            <v>ガチャ:フィーバーフェス02</v>
          </cell>
          <cell r="E1605" t="str">
            <v>執行者</v>
          </cell>
          <cell r="F1605" t="str">
            <v>格好いい</v>
          </cell>
          <cell r="G1605" t="str">
            <v>男性</v>
          </cell>
          <cell r="H1605" t="str">
            <v>yellow</v>
          </cell>
          <cell r="I1605">
            <v>1</v>
          </cell>
          <cell r="J1605" t="str">
            <v>Drop1W</v>
          </cell>
          <cell r="K1605" t="str">
            <v>ra002</v>
          </cell>
          <cell r="L1605" t="str">
            <v>ユークリッドチャレンジ</v>
          </cell>
          <cell r="M1605" t="str">
            <v>animal</v>
          </cell>
        </row>
        <row r="1606">
          <cell r="A1606">
            <v>6013</v>
          </cell>
          <cell r="B1606" t="str">
            <v>ja</v>
          </cell>
          <cell r="C1606" t="str">
            <v>護衛機人 スケアクロウ</v>
          </cell>
          <cell r="D1606" t="str">
            <v>ガチャ:フィーバーフェス02</v>
          </cell>
          <cell r="E1606" t="str">
            <v>執行者</v>
          </cell>
          <cell r="F1606" t="str">
            <v>格好いい</v>
          </cell>
          <cell r="G1606" t="str">
            <v>男性</v>
          </cell>
          <cell r="H1606" t="str">
            <v>blue</v>
          </cell>
          <cell r="I1606">
            <v>2</v>
          </cell>
          <cell r="J1606" t="str">
            <v>Drop1N</v>
          </cell>
          <cell r="K1606" t="str">
            <v>ra002</v>
          </cell>
          <cell r="L1606" t="str">
            <v>ユークリッドチャレンジ</v>
          </cell>
          <cell r="M1606" t="str">
            <v>machine</v>
          </cell>
        </row>
        <row r="1607">
          <cell r="A1607">
            <v>6014</v>
          </cell>
          <cell r="B1607" t="str">
            <v>ja</v>
          </cell>
          <cell r="C1607" t="str">
            <v>月下の人狼 ローレンス</v>
          </cell>
          <cell r="D1607" t="str">
            <v>ガチャ:フィーバーフェス02</v>
          </cell>
          <cell r="E1607" t="str">
            <v>執行者</v>
          </cell>
          <cell r="F1607" t="str">
            <v>格好いい</v>
          </cell>
          <cell r="G1607" t="str">
            <v>男性</v>
          </cell>
          <cell r="H1607" t="str">
            <v>blue</v>
          </cell>
          <cell r="I1607">
            <v>4</v>
          </cell>
          <cell r="J1607" t="str">
            <v>PremiumW</v>
          </cell>
          <cell r="K1607" t="str">
            <v>ra002</v>
          </cell>
          <cell r="L1607" t="str">
            <v>ユークリッドチャレンジ</v>
          </cell>
          <cell r="M1607" t="str">
            <v>animal</v>
          </cell>
        </row>
        <row r="1608">
          <cell r="A1608">
            <v>6015</v>
          </cell>
          <cell r="B1608" t="str">
            <v>ja</v>
          </cell>
          <cell r="C1608" t="str">
            <v>フレイヤ</v>
          </cell>
          <cell r="D1608" t="str">
            <v>ガチャ:フィーバーフェス02</v>
          </cell>
          <cell r="E1608" t="str">
            <v>執行者</v>
          </cell>
          <cell r="F1608" t="str">
            <v>格好いい</v>
          </cell>
          <cell r="G1608" t="str">
            <v>男性</v>
          </cell>
          <cell r="H1608" t="str">
            <v>blue</v>
          </cell>
          <cell r="I1608">
            <v>4</v>
          </cell>
          <cell r="J1608" t="str">
            <v>PremiumSS</v>
          </cell>
          <cell r="K1608" t="str">
            <v>ra002</v>
          </cell>
          <cell r="L1608" t="str">
            <v>ユークリッドチャレンジ</v>
          </cell>
          <cell r="M1608" t="str">
            <v>animal</v>
          </cell>
        </row>
        <row r="1609">
          <cell r="A1609">
            <v>6016</v>
          </cell>
          <cell r="B1609" t="str">
            <v>ja</v>
          </cell>
          <cell r="C1609" t="str">
            <v>根原論理 ユークリッド</v>
          </cell>
          <cell r="D1609" t="str">
            <v>ガチャ:フィーバーフェス02</v>
          </cell>
          <cell r="E1609" t="str">
            <v>執行者</v>
          </cell>
          <cell r="F1609" t="str">
            <v>格好いい</v>
          </cell>
          <cell r="G1609" t="str">
            <v>男性</v>
          </cell>
          <cell r="H1609" t="str">
            <v>blue</v>
          </cell>
          <cell r="I1609">
            <v>5</v>
          </cell>
          <cell r="J1609" t="str">
            <v>PremiumSSS</v>
          </cell>
          <cell r="K1609" t="str">
            <v>ra002</v>
          </cell>
          <cell r="L1609" t="str">
            <v>ユークリッドチャレンジ</v>
          </cell>
          <cell r="M1609" t="str">
            <v>human</v>
          </cell>
        </row>
        <row r="1610">
          <cell r="A1610">
            <v>6017</v>
          </cell>
          <cell r="B1610" t="str">
            <v>ja</v>
          </cell>
          <cell r="C1610" t="str">
            <v>不朽の極論 ユークリッド</v>
          </cell>
          <cell r="D1610" t="str">
            <v>ガチャ:フィーバーフェス02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blue</v>
          </cell>
          <cell r="I1610">
            <v>6</v>
          </cell>
          <cell r="J1610" t="str">
            <v>PremiumSSS</v>
          </cell>
          <cell r="K1610" t="str">
            <v>ra002</v>
          </cell>
          <cell r="L1610" t="str">
            <v>ユークリッドチャレンジ</v>
          </cell>
          <cell r="M1610" t="str">
            <v>human</v>
          </cell>
        </row>
        <row r="1611">
          <cell r="A1611">
            <v>6018</v>
          </cell>
          <cell r="B1611" t="str">
            <v>ja</v>
          </cell>
          <cell r="C1611" t="str">
            <v>ハヅル</v>
          </cell>
          <cell r="D1611" t="str">
            <v>ガチャ:フィーバーフェス02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red</v>
          </cell>
          <cell r="I1611">
            <v>4</v>
          </cell>
          <cell r="J1611" t="str">
            <v>PremiumSS</v>
          </cell>
          <cell r="K1611" t="str">
            <v>ra002</v>
          </cell>
          <cell r="L1611" t="str">
            <v>ユークリッドチャレンジ</v>
          </cell>
          <cell r="M1611" t="str">
            <v>animal</v>
          </cell>
        </row>
        <row r="1612">
          <cell r="A1612">
            <v>6019</v>
          </cell>
          <cell r="B1612" t="str">
            <v>ja</v>
          </cell>
          <cell r="C1612" t="str">
            <v>天織羽鶴 ハヅル</v>
          </cell>
          <cell r="D1612" t="str">
            <v>ガチャ:フィーバーフェス02</v>
          </cell>
          <cell r="E1612" t="str">
            <v>執行者</v>
          </cell>
          <cell r="F1612" t="str">
            <v>格好いい</v>
          </cell>
          <cell r="G1612" t="str">
            <v>男性</v>
          </cell>
          <cell r="H1612" t="str">
            <v>red</v>
          </cell>
          <cell r="I1612">
            <v>5</v>
          </cell>
          <cell r="J1612" t="str">
            <v>PremiumSS</v>
          </cell>
          <cell r="K1612" t="str">
            <v>ra002</v>
          </cell>
          <cell r="L1612" t="str">
            <v>ユークリッドチャレンジ</v>
          </cell>
          <cell r="M1612" t="str">
            <v>animal</v>
          </cell>
        </row>
        <row r="1613">
          <cell r="A1613">
            <v>6020</v>
          </cell>
          <cell r="B1613" t="str">
            <v>ja</v>
          </cell>
          <cell r="C1613" t="str">
            <v>ミズチ</v>
          </cell>
          <cell r="D1613" t="str">
            <v>ガチャ:フィーバーフェス02</v>
          </cell>
          <cell r="E1613" t="str">
            <v>執行者</v>
          </cell>
          <cell r="F1613" t="str">
            <v>格好いい</v>
          </cell>
          <cell r="G1613" t="str">
            <v>男性</v>
          </cell>
          <cell r="H1613" t="str">
            <v>blue</v>
          </cell>
          <cell r="I1613">
            <v>4</v>
          </cell>
          <cell r="J1613" t="str">
            <v>PremiumS</v>
          </cell>
          <cell r="K1613" t="str">
            <v>ra002</v>
          </cell>
          <cell r="L1613" t="str">
            <v>ユークリッドチャレンジ</v>
          </cell>
          <cell r="M1613" t="str">
            <v>dragon</v>
          </cell>
        </row>
        <row r="1614">
          <cell r="A1614">
            <v>8001</v>
          </cell>
          <cell r="B1614" t="str">
            <v>ja</v>
          </cell>
          <cell r="C1614" t="str">
            <v>媽祖</v>
          </cell>
          <cell r="D1614" t="str">
            <v>イベント:ミクコラボ01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yellow</v>
          </cell>
          <cell r="I1614">
            <v>5</v>
          </cell>
          <cell r="J1614" t="str">
            <v>PremiumSS</v>
          </cell>
          <cell r="K1614" t="str">
            <v>attack</v>
          </cell>
          <cell r="L1614" t="str">
            <v>攻撃タイプ</v>
          </cell>
          <cell r="M1614" t="str">
            <v>god</v>
          </cell>
        </row>
        <row r="1615">
          <cell r="A1615">
            <v>8002</v>
          </cell>
          <cell r="B1615" t="str">
            <v>ja</v>
          </cell>
          <cell r="C1615" t="str">
            <v>宣導する天海妃 媽祖</v>
          </cell>
          <cell r="D1615" t="str">
            <v>イベント:ミクコラボ01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yellow</v>
          </cell>
          <cell r="I1615">
            <v>6</v>
          </cell>
          <cell r="J1615" t="str">
            <v>PremiumSS</v>
          </cell>
          <cell r="K1615" t="str">
            <v>attack</v>
          </cell>
          <cell r="L1615" t="str">
            <v>攻撃タイプ</v>
          </cell>
          <cell r="M1615" t="str">
            <v>god</v>
          </cell>
        </row>
        <row r="1616">
          <cell r="A1616">
            <v>8003</v>
          </cell>
          <cell r="B1616" t="str">
            <v>ja</v>
          </cell>
          <cell r="C1616" t="str">
            <v>蛟龍</v>
          </cell>
          <cell r="D1616" t="str">
            <v>イベント:ミクコラボ01</v>
          </cell>
          <cell r="E1616" t="str">
            <v>執行者</v>
          </cell>
          <cell r="F1616" t="str">
            <v>格好いい</v>
          </cell>
          <cell r="G1616" t="str">
            <v>不明</v>
          </cell>
          <cell r="H1616" t="str">
            <v>blue</v>
          </cell>
          <cell r="I1616">
            <v>5</v>
          </cell>
          <cell r="J1616" t="str">
            <v>DropWizS</v>
          </cell>
          <cell r="K1616" t="str">
            <v>hp</v>
          </cell>
          <cell r="L1616" t="str">
            <v>体力タイプ</v>
          </cell>
          <cell r="M1616" t="str">
            <v>dragon</v>
          </cell>
        </row>
        <row r="1617">
          <cell r="A1617">
            <v>8004</v>
          </cell>
          <cell r="B1617" t="str">
            <v>ja</v>
          </cell>
          <cell r="C1617" t="str">
            <v>呼嵐の蒼棲龍 蛟龍</v>
          </cell>
          <cell r="D1617" t="str">
            <v>イベント:ミクコラボ01</v>
          </cell>
          <cell r="E1617" t="str">
            <v>執行者</v>
          </cell>
          <cell r="F1617" t="str">
            <v>格好いい</v>
          </cell>
          <cell r="G1617" t="str">
            <v>不明</v>
          </cell>
          <cell r="H1617" t="str">
            <v>blue</v>
          </cell>
          <cell r="I1617">
            <v>6</v>
          </cell>
          <cell r="J1617" t="str">
            <v>DropWizS</v>
          </cell>
          <cell r="K1617" t="str">
            <v>hp</v>
          </cell>
          <cell r="L1617" t="str">
            <v>体力タイプ</v>
          </cell>
          <cell r="M1617" t="str">
            <v>dragon</v>
          </cell>
        </row>
        <row r="1618">
          <cell r="A1618">
            <v>8005</v>
          </cell>
          <cell r="B1618" t="str">
            <v>ja</v>
          </cell>
          <cell r="C1618" t="str">
            <v>三蔵法師</v>
          </cell>
          <cell r="D1618" t="str">
            <v>イベント:ミクコラボ01</v>
          </cell>
          <cell r="E1618" t="str">
            <v>執行者</v>
          </cell>
          <cell r="F1618" t="str">
            <v>格好いい</v>
          </cell>
          <cell r="G1618" t="str">
            <v>不明</v>
          </cell>
          <cell r="H1618" t="str">
            <v>blue</v>
          </cell>
          <cell r="I1618">
            <v>5</v>
          </cell>
          <cell r="J1618" t="str">
            <v>PremiumSS</v>
          </cell>
          <cell r="K1618" t="str">
            <v>balance</v>
          </cell>
          <cell r="L1618" t="str">
            <v>バランスタイプ</v>
          </cell>
          <cell r="M1618" t="str">
            <v>human</v>
          </cell>
        </row>
        <row r="1619">
          <cell r="A1619">
            <v>8006</v>
          </cell>
          <cell r="B1619" t="str">
            <v>ja</v>
          </cell>
          <cell r="C1619" t="str">
            <v>慈戒の呪封使 三蔵法師</v>
          </cell>
          <cell r="D1619" t="str">
            <v>イベント:ミクコラボ01</v>
          </cell>
          <cell r="E1619" t="str">
            <v>執行者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6</v>
          </cell>
          <cell r="J1619" t="str">
            <v>PremiumSS</v>
          </cell>
          <cell r="K1619" t="str">
            <v>balance</v>
          </cell>
          <cell r="L1619" t="str">
            <v>バランスタイプ</v>
          </cell>
          <cell r="M1619" t="str">
            <v>human</v>
          </cell>
        </row>
        <row r="1620">
          <cell r="A1620">
            <v>8007</v>
          </cell>
          <cell r="B1620" t="str">
            <v>ja</v>
          </cell>
          <cell r="C1620" t="str">
            <v>孫悟空</v>
          </cell>
          <cell r="D1620" t="str">
            <v>イベント:ミクコラボ01</v>
          </cell>
          <cell r="E1620" t="str">
            <v>執行者</v>
          </cell>
          <cell r="F1620" t="str">
            <v>格好いい</v>
          </cell>
          <cell r="G1620" t="str">
            <v>不明</v>
          </cell>
          <cell r="H1620" t="str">
            <v>red</v>
          </cell>
          <cell r="I1620">
            <v>5</v>
          </cell>
          <cell r="J1620" t="str">
            <v>DropWizS</v>
          </cell>
          <cell r="K1620" t="str">
            <v>attack</v>
          </cell>
          <cell r="L1620" t="str">
            <v>攻撃タイプ</v>
          </cell>
          <cell r="M1620" t="str">
            <v>animal</v>
          </cell>
        </row>
        <row r="1621">
          <cell r="A1621">
            <v>8008</v>
          </cell>
          <cell r="B1621" t="str">
            <v>ja</v>
          </cell>
          <cell r="C1621" t="str">
            <v>花果の天猿仙人 孫悟空</v>
          </cell>
          <cell r="D1621" t="str">
            <v>イベント:ミクコラボ01</v>
          </cell>
          <cell r="E1621" t="str">
            <v>執行者</v>
          </cell>
          <cell r="F1621" t="str">
            <v>格好いい</v>
          </cell>
          <cell r="G1621" t="str">
            <v>不明</v>
          </cell>
          <cell r="H1621" t="str">
            <v>red</v>
          </cell>
          <cell r="I1621">
            <v>6</v>
          </cell>
          <cell r="J1621" t="str">
            <v>DropWizS</v>
          </cell>
          <cell r="K1621" t="str">
            <v>attack</v>
          </cell>
          <cell r="L1621" t="str">
            <v>攻撃タイプ</v>
          </cell>
          <cell r="M1621" t="str">
            <v>animal</v>
          </cell>
        </row>
        <row r="1622">
          <cell r="A1622">
            <v>8009</v>
          </cell>
          <cell r="B1622" t="str">
            <v>ja</v>
          </cell>
          <cell r="C1622" t="str">
            <v>西王娘娘</v>
          </cell>
          <cell r="D1622" t="str">
            <v>イベント:ミクコラボ01</v>
          </cell>
          <cell r="E1622" t="str">
            <v>執行者</v>
          </cell>
          <cell r="F1622" t="str">
            <v>格好いい</v>
          </cell>
          <cell r="G1622" t="str">
            <v>不明</v>
          </cell>
          <cell r="H1622" t="str">
            <v>green</v>
          </cell>
          <cell r="I1622">
            <v>5</v>
          </cell>
          <cell r="J1622" t="str">
            <v>PremiumSS</v>
          </cell>
          <cell r="K1622" t="str">
            <v>attack</v>
          </cell>
          <cell r="L1622" t="str">
            <v>攻撃タイプ</v>
          </cell>
          <cell r="M1622" t="str">
            <v>god</v>
          </cell>
        </row>
        <row r="1623">
          <cell r="A1623">
            <v>8010</v>
          </cell>
          <cell r="B1623" t="str">
            <v>ja</v>
          </cell>
          <cell r="C1623" t="str">
            <v>極楽瑶池の聖母 西王娘娘</v>
          </cell>
          <cell r="D1623" t="str">
            <v>イベント:ミクコラボ01</v>
          </cell>
          <cell r="E1623" t="str">
            <v>執行者</v>
          </cell>
          <cell r="F1623" t="str">
            <v>格好いい</v>
          </cell>
          <cell r="G1623" t="str">
            <v>不明</v>
          </cell>
          <cell r="H1623" t="str">
            <v>green</v>
          </cell>
          <cell r="I1623">
            <v>6</v>
          </cell>
          <cell r="J1623" t="str">
            <v>PremiumSS</v>
          </cell>
          <cell r="K1623" t="str">
            <v>attack</v>
          </cell>
          <cell r="L1623" t="str">
            <v>攻撃タイプ</v>
          </cell>
          <cell r="M1623" t="str">
            <v>god</v>
          </cell>
        </row>
        <row r="1624">
          <cell r="A1624">
            <v>8011</v>
          </cell>
          <cell r="B1624" t="str">
            <v>ja</v>
          </cell>
          <cell r="C1624" t="str">
            <v>月下老人</v>
          </cell>
          <cell r="D1624" t="str">
            <v>イベント:ミクコラボ01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yellow</v>
          </cell>
          <cell r="I1624">
            <v>5</v>
          </cell>
          <cell r="J1624" t="str">
            <v>DropWizS</v>
          </cell>
          <cell r="K1624" t="str">
            <v>balance</v>
          </cell>
          <cell r="L1624" t="str">
            <v>バランスタイプ</v>
          </cell>
          <cell r="M1624" t="str">
            <v>god</v>
          </cell>
        </row>
        <row r="1625">
          <cell r="A1625">
            <v>8012</v>
          </cell>
          <cell r="B1625" t="str">
            <v>ja</v>
          </cell>
          <cell r="C1625" t="str">
            <v>破戀斬る縁剣 月下老人</v>
          </cell>
          <cell r="D1625" t="str">
            <v>イベント:ミクコラボ01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yellow</v>
          </cell>
          <cell r="I1625">
            <v>6</v>
          </cell>
          <cell r="J1625" t="str">
            <v>DropWizS</v>
          </cell>
          <cell r="K1625" t="str">
            <v>balance</v>
          </cell>
          <cell r="L1625" t="str">
            <v>バランスタイプ</v>
          </cell>
          <cell r="M1625" t="str">
            <v>god</v>
          </cell>
        </row>
        <row r="1626">
          <cell r="A1626">
            <v>8013</v>
          </cell>
          <cell r="B1626" t="str">
            <v>ja</v>
          </cell>
          <cell r="C1626" t="str">
            <v>初音ミクV3</v>
          </cell>
          <cell r="D1626" t="str">
            <v>初音ミクV3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yellow</v>
          </cell>
          <cell r="I1626">
            <v>4</v>
          </cell>
          <cell r="J1626" t="str">
            <v>DropWizS</v>
          </cell>
          <cell r="K1626" t="str">
            <v>balance</v>
          </cell>
          <cell r="L1626" t="str">
            <v>バランスタイプ</v>
          </cell>
          <cell r="M1626" t="str">
            <v>unknown</v>
          </cell>
        </row>
        <row r="1627">
          <cell r="A1627">
            <v>8014</v>
          </cell>
          <cell r="B1627" t="str">
            <v>ja</v>
          </cell>
          <cell r="C1627" t="str">
            <v>初音ミクV3</v>
          </cell>
          <cell r="D1627" t="str">
            <v>初音ミクV3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yellow</v>
          </cell>
          <cell r="I1627">
            <v>5</v>
          </cell>
          <cell r="J1627" t="str">
            <v>DropWizS</v>
          </cell>
          <cell r="K1627" t="str">
            <v>balance</v>
          </cell>
          <cell r="L1627" t="str">
            <v>バランスタイプ</v>
          </cell>
          <cell r="M1627" t="str">
            <v>unknown</v>
          </cell>
        </row>
        <row r="1628">
          <cell r="A1628">
            <v>8015</v>
          </cell>
          <cell r="B1628" t="str">
            <v>ja</v>
          </cell>
          <cell r="C1628" t="str">
            <v>初音ミク・アペンド</v>
          </cell>
          <cell r="D1628" t="str">
            <v>初音ミク・アペンド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green</v>
          </cell>
          <cell r="I1628">
            <v>4</v>
          </cell>
          <cell r="J1628" t="str">
            <v>PremiumSSS</v>
          </cell>
          <cell r="K1628" t="str">
            <v>technical</v>
          </cell>
          <cell r="L1628" t="str">
            <v>テクニカルタイプ</v>
          </cell>
          <cell r="M1628" t="str">
            <v>unknown</v>
          </cell>
        </row>
        <row r="1629">
          <cell r="A1629">
            <v>8016</v>
          </cell>
          <cell r="B1629" t="str">
            <v>ja</v>
          </cell>
          <cell r="C1629" t="str">
            <v>初音ミク・アペンド</v>
          </cell>
          <cell r="D1629" t="str">
            <v>初音ミク・アペンド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unknown</v>
          </cell>
        </row>
        <row r="1630">
          <cell r="A1630">
            <v>8017</v>
          </cell>
          <cell r="B1630" t="str">
            <v>ja</v>
          </cell>
          <cell r="C1630" t="str">
            <v>初音ミク</v>
          </cell>
          <cell r="D1630" t="str">
            <v>初音ミク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4</v>
          </cell>
          <cell r="J1630" t="str">
            <v>PremiumSSS</v>
          </cell>
          <cell r="K1630" t="str">
            <v>balance</v>
          </cell>
          <cell r="L1630" t="str">
            <v>バランスタイプ</v>
          </cell>
          <cell r="M1630" t="str">
            <v>unknown</v>
          </cell>
        </row>
        <row r="1631">
          <cell r="A1631">
            <v>8018</v>
          </cell>
          <cell r="B1631" t="str">
            <v>ja</v>
          </cell>
          <cell r="C1631" t="str">
            <v>初音ミク</v>
          </cell>
          <cell r="D1631" t="str">
            <v>初音ミク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5</v>
          </cell>
          <cell r="J1631" t="str">
            <v>PremiumSSS</v>
          </cell>
          <cell r="K1631" t="str">
            <v>balance</v>
          </cell>
          <cell r="L1631" t="str">
            <v>バランスタイプ</v>
          </cell>
          <cell r="M1631" t="str">
            <v>unknown</v>
          </cell>
        </row>
        <row r="1632">
          <cell r="A1632">
            <v>8019</v>
          </cell>
          <cell r="B1632" t="str">
            <v>ja</v>
          </cell>
          <cell r="C1632" t="str">
            <v>鏡音リン</v>
          </cell>
          <cell r="D1632" t="str">
            <v>鏡音リン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4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unknown</v>
          </cell>
        </row>
        <row r="1633">
          <cell r="A1633">
            <v>8020</v>
          </cell>
          <cell r="B1633" t="str">
            <v>ja</v>
          </cell>
          <cell r="C1633" t="str">
            <v>鏡音リン</v>
          </cell>
          <cell r="D1633" t="str">
            <v>鏡音リン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yellow</v>
          </cell>
          <cell r="I1633">
            <v>5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unknown</v>
          </cell>
        </row>
        <row r="1634">
          <cell r="A1634">
            <v>8021</v>
          </cell>
          <cell r="B1634" t="str">
            <v>ja</v>
          </cell>
          <cell r="C1634" t="str">
            <v>鏡音レン</v>
          </cell>
          <cell r="D1634" t="str">
            <v>鏡音レン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yellow</v>
          </cell>
          <cell r="I1634">
            <v>4</v>
          </cell>
          <cell r="J1634" t="str">
            <v>PremiumSS</v>
          </cell>
          <cell r="K1634" t="str">
            <v>heal</v>
          </cell>
          <cell r="L1634" t="str">
            <v>回復タイプ</v>
          </cell>
          <cell r="M1634" t="str">
            <v>unknown</v>
          </cell>
        </row>
        <row r="1635">
          <cell r="A1635">
            <v>8022</v>
          </cell>
          <cell r="B1635" t="str">
            <v>ja</v>
          </cell>
          <cell r="C1635" t="str">
            <v>鏡音レン</v>
          </cell>
          <cell r="D1635" t="str">
            <v>鏡音レン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yellow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unknown</v>
          </cell>
        </row>
        <row r="1636">
          <cell r="A1636">
            <v>8023</v>
          </cell>
          <cell r="B1636" t="str">
            <v>ja</v>
          </cell>
          <cell r="C1636" t="str">
            <v>巡音ルカ</v>
          </cell>
          <cell r="D1636" t="str">
            <v>巡音ルカ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red</v>
          </cell>
          <cell r="I1636">
            <v>3</v>
          </cell>
          <cell r="J1636" t="str">
            <v>PremiumS</v>
          </cell>
          <cell r="K1636" t="str">
            <v>attack</v>
          </cell>
          <cell r="L1636" t="str">
            <v>攻撃タイプ</v>
          </cell>
          <cell r="M1636" t="str">
            <v>unknown</v>
          </cell>
        </row>
        <row r="1637">
          <cell r="A1637">
            <v>8024</v>
          </cell>
          <cell r="B1637" t="str">
            <v>ja</v>
          </cell>
          <cell r="C1637" t="str">
            <v>巡音ルカ</v>
          </cell>
          <cell r="D1637" t="str">
            <v>巡音ルカ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red</v>
          </cell>
          <cell r="I1637">
            <v>4</v>
          </cell>
          <cell r="J1637" t="str">
            <v>PremiumS</v>
          </cell>
          <cell r="K1637" t="str">
            <v>attack</v>
          </cell>
          <cell r="L1637" t="str">
            <v>攻撃タイプ</v>
          </cell>
          <cell r="M1637" t="str">
            <v>unknown</v>
          </cell>
        </row>
        <row r="1638">
          <cell r="A1638">
            <v>8025</v>
          </cell>
          <cell r="B1638" t="str">
            <v>ja</v>
          </cell>
          <cell r="C1638" t="str">
            <v>MEIKO</v>
          </cell>
          <cell r="D1638" t="str">
            <v>MEIKO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3</v>
          </cell>
          <cell r="J1638" t="str">
            <v>PremiumS</v>
          </cell>
          <cell r="K1638" t="str">
            <v>hp</v>
          </cell>
          <cell r="L1638" t="str">
            <v>体力タイプ</v>
          </cell>
          <cell r="M1638" t="str">
            <v>unknown</v>
          </cell>
        </row>
        <row r="1639">
          <cell r="A1639">
            <v>8026</v>
          </cell>
          <cell r="B1639" t="str">
            <v>ja</v>
          </cell>
          <cell r="C1639" t="str">
            <v>MEIKO</v>
          </cell>
          <cell r="D1639" t="str">
            <v>MEIKO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4</v>
          </cell>
          <cell r="J1639" t="str">
            <v>PremiumS</v>
          </cell>
          <cell r="K1639" t="str">
            <v>hp</v>
          </cell>
          <cell r="L1639" t="str">
            <v>体力タイプ</v>
          </cell>
          <cell r="M1639" t="str">
            <v>unknown</v>
          </cell>
        </row>
        <row r="1640">
          <cell r="A1640">
            <v>8027</v>
          </cell>
          <cell r="B1640" t="str">
            <v>ja</v>
          </cell>
          <cell r="C1640" t="str">
            <v>KAITO</v>
          </cell>
          <cell r="D1640" t="str">
            <v>KAITO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3</v>
          </cell>
          <cell r="J1640" t="str">
            <v>PremiumS</v>
          </cell>
          <cell r="K1640" t="str">
            <v>technical</v>
          </cell>
          <cell r="L1640" t="str">
            <v>テクニカルタイプ</v>
          </cell>
          <cell r="M1640" t="str">
            <v>unknown</v>
          </cell>
        </row>
        <row r="1641">
          <cell r="A1641">
            <v>8028</v>
          </cell>
          <cell r="B1641" t="str">
            <v>ja</v>
          </cell>
          <cell r="C1641" t="str">
            <v>KAITO</v>
          </cell>
          <cell r="D1641" t="str">
            <v>KAITO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blue</v>
          </cell>
          <cell r="I1641">
            <v>4</v>
          </cell>
          <cell r="J1641" t="str">
            <v>PremiumS</v>
          </cell>
          <cell r="K1641" t="str">
            <v>technical</v>
          </cell>
          <cell r="L1641" t="str">
            <v>テクニカルタイプ</v>
          </cell>
          <cell r="M1641" t="str">
            <v>unknown</v>
          </cell>
        </row>
        <row r="1642">
          <cell r="A1642">
            <v>8029</v>
          </cell>
          <cell r="B1642" t="str">
            <v>ja</v>
          </cell>
          <cell r="C1642" t="str">
            <v>Expoミク</v>
          </cell>
          <cell r="D1642" t="str">
            <v>Expoミク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blue</v>
          </cell>
          <cell r="I1642">
            <v>4</v>
          </cell>
          <cell r="J1642" t="str">
            <v>Drop2N</v>
          </cell>
          <cell r="K1642" t="str">
            <v>heal</v>
          </cell>
          <cell r="L1642" t="str">
            <v>回復タイプ</v>
          </cell>
          <cell r="M1642" t="str">
            <v>unknown</v>
          </cell>
        </row>
        <row r="1643">
          <cell r="A1643">
            <v>8030</v>
          </cell>
          <cell r="B1643" t="str">
            <v>ja</v>
          </cell>
          <cell r="C1643" t="str">
            <v>Expoミク</v>
          </cell>
          <cell r="D1643" t="str">
            <v>Expoミク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blue</v>
          </cell>
          <cell r="I1643">
            <v>5</v>
          </cell>
          <cell r="J1643" t="str">
            <v>Drop2N</v>
          </cell>
          <cell r="K1643" t="str">
            <v>heal</v>
          </cell>
          <cell r="L1643" t="str">
            <v>回復タイプ</v>
          </cell>
          <cell r="M1643" t="str">
            <v>unknown</v>
          </cell>
        </row>
        <row r="1644">
          <cell r="A1644">
            <v>8031</v>
          </cell>
          <cell r="B1644" t="str">
            <v>ja</v>
          </cell>
          <cell r="C1644" t="str">
            <v>閻羅王</v>
          </cell>
          <cell r="D1644" t="str">
            <v>Expoミク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god</v>
          </cell>
        </row>
        <row r="1645">
          <cell r="A1645">
            <v>8032</v>
          </cell>
          <cell r="B1645" t="str">
            <v>ja</v>
          </cell>
          <cell r="C1645" t="str">
            <v>六道輪廻の絶獄 閻羅王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god</v>
          </cell>
        </row>
        <row r="1646">
          <cell r="A1646">
            <v>8033</v>
          </cell>
          <cell r="B1646" t="str">
            <v>ja</v>
          </cell>
          <cell r="C1646" t="str">
            <v>牛頭馬面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green</v>
          </cell>
          <cell r="I1646">
            <v>5</v>
          </cell>
          <cell r="J1646" t="str">
            <v>DropWizS</v>
          </cell>
          <cell r="K1646" t="str">
            <v>attack</v>
          </cell>
          <cell r="L1646" t="str">
            <v>攻撃タイプ</v>
          </cell>
          <cell r="M1646" t="str">
            <v>god</v>
          </cell>
        </row>
        <row r="1647">
          <cell r="A1647">
            <v>8034</v>
          </cell>
          <cell r="B1647" t="str">
            <v>ja</v>
          </cell>
          <cell r="C1647" t="str">
            <v>冥府狩る魂使 牛頭馬面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green</v>
          </cell>
          <cell r="I1647">
            <v>6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god</v>
          </cell>
        </row>
        <row r="1648">
          <cell r="A1648">
            <v>8035</v>
          </cell>
          <cell r="B1648" t="str">
            <v>ja</v>
          </cell>
          <cell r="C1648" t="str">
            <v>飛衛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blue</v>
          </cell>
          <cell r="I1648">
            <v>5</v>
          </cell>
          <cell r="J1648" t="str">
            <v>PremiumSS</v>
          </cell>
          <cell r="K1648" t="str">
            <v>heal</v>
          </cell>
          <cell r="L1648" t="str">
            <v>回復タイプ</v>
          </cell>
          <cell r="M1648" t="str">
            <v>human</v>
          </cell>
        </row>
        <row r="1649">
          <cell r="A1649">
            <v>8036</v>
          </cell>
          <cell r="B1649" t="str">
            <v>ja</v>
          </cell>
          <cell r="C1649" t="str">
            <v>レア６飛衛</v>
          </cell>
          <cell r="D1649" t="str">
            <v>Expoミク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6</v>
          </cell>
          <cell r="J1649" t="str">
            <v>PremiumSS</v>
          </cell>
          <cell r="K1649" t="str">
            <v>heal</v>
          </cell>
          <cell r="L1649" t="str">
            <v>回復タイプ</v>
          </cell>
          <cell r="M1649" t="str">
            <v>human</v>
          </cell>
        </row>
        <row r="1650">
          <cell r="A1650">
            <v>8037</v>
          </cell>
          <cell r="B1650" t="str">
            <v>ja</v>
          </cell>
          <cell r="C1650" t="str">
            <v>紀昌</v>
          </cell>
          <cell r="D1650" t="str">
            <v>Expoミク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5</v>
          </cell>
          <cell r="J1650" t="str">
            <v>DropWizS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8038</v>
          </cell>
          <cell r="B1651" t="str">
            <v>ja</v>
          </cell>
          <cell r="C1651" t="str">
            <v>レア６紀昌</v>
          </cell>
          <cell r="D1651" t="str">
            <v>Expoミク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6</v>
          </cell>
          <cell r="J1651" t="str">
            <v>DropWizS</v>
          </cell>
          <cell r="K1651" t="str">
            <v>attack</v>
          </cell>
          <cell r="L1651" t="str">
            <v>攻撃タイプ</v>
          </cell>
          <cell r="M1651" t="str">
            <v>human</v>
          </cell>
        </row>
        <row r="1652">
          <cell r="A1652">
            <v>8039</v>
          </cell>
          <cell r="B1652" t="str">
            <v>ja</v>
          </cell>
          <cell r="C1652" t="str">
            <v>何仙姑</v>
          </cell>
          <cell r="D1652" t="str">
            <v>Expoミク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5</v>
          </cell>
          <cell r="J1652" t="str">
            <v>PremiumSSw</v>
          </cell>
          <cell r="K1652" t="str">
            <v>hp</v>
          </cell>
          <cell r="L1652" t="str">
            <v>体力タイプ</v>
          </cell>
          <cell r="M1652" t="str">
            <v>god</v>
          </cell>
        </row>
        <row r="1653">
          <cell r="A1653">
            <v>8040</v>
          </cell>
          <cell r="B1653" t="str">
            <v>ja</v>
          </cell>
          <cell r="C1653" t="str">
            <v>荷咲く九天 何仙姑</v>
          </cell>
          <cell r="D1653" t="str">
            <v>Expoミク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6</v>
          </cell>
          <cell r="J1653" t="str">
            <v>PremiumSSw</v>
          </cell>
          <cell r="K1653" t="str">
            <v>hp</v>
          </cell>
          <cell r="L1653" t="str">
            <v>体力タイプ</v>
          </cell>
          <cell r="M1653" t="str">
            <v>god</v>
          </cell>
        </row>
        <row r="1654">
          <cell r="A1654">
            <v>8041</v>
          </cell>
          <cell r="B1654" t="str">
            <v>ja</v>
          </cell>
          <cell r="C1654" t="str">
            <v>藍采和</v>
          </cell>
          <cell r="D1654" t="str">
            <v>Expoミク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god</v>
          </cell>
        </row>
        <row r="1655">
          <cell r="A1655">
            <v>8042</v>
          </cell>
          <cell r="B1655" t="str">
            <v>ja</v>
          </cell>
          <cell r="C1655" t="str">
            <v>天真浪漫 藍采和</v>
          </cell>
          <cell r="D1655" t="str">
            <v>Expoミク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DropWizS</v>
          </cell>
          <cell r="K1655" t="str">
            <v>balance</v>
          </cell>
          <cell r="L1655" t="str">
            <v>バランスタイプ</v>
          </cell>
          <cell r="M1655" t="str">
            <v>god</v>
          </cell>
        </row>
        <row r="1656">
          <cell r="A1656">
            <v>8043</v>
          </cell>
          <cell r="B1656" t="str">
            <v>ja</v>
          </cell>
          <cell r="C1656" t="str">
            <v>サンリオキャラ大集合+アザゼル</v>
          </cell>
          <cell r="D1656" t="str">
            <v>サンリオキャラ大集合+アザゼル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DropWizS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8044</v>
          </cell>
          <cell r="B1657" t="str">
            <v>ja</v>
          </cell>
          <cell r="C1657" t="str">
            <v>サンリオキャラ大集合+アザゼル</v>
          </cell>
          <cell r="D1657" t="str">
            <v>サンリオキャラ大集合+アザゼル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6</v>
          </cell>
          <cell r="J1657" t="str">
            <v>DropWizS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8045</v>
          </cell>
          <cell r="B1658" t="str">
            <v>ja</v>
          </cell>
          <cell r="C1658" t="str">
            <v>ニムダ_サンリオキャラ混じり</v>
          </cell>
          <cell r="D1658" t="str">
            <v>ニムダ_サンリオキャラ混じり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yellow</v>
          </cell>
          <cell r="I1658">
            <v>4</v>
          </cell>
          <cell r="J1658" t="str">
            <v>Drop2N</v>
          </cell>
          <cell r="K1658" t="str">
            <v>technical</v>
          </cell>
          <cell r="L1658" t="str">
            <v>テクニカルタイプ</v>
          </cell>
          <cell r="M1658" t="str">
            <v>ss</v>
          </cell>
        </row>
        <row r="1659">
          <cell r="A1659">
            <v>8046</v>
          </cell>
          <cell r="B1659" t="str">
            <v>ja</v>
          </cell>
          <cell r="C1659" t="str">
            <v>ニムダ_サンリオキャラ混じり</v>
          </cell>
          <cell r="D1659" t="str">
            <v>ニムダ_サンリオキャラ混じり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yellow</v>
          </cell>
          <cell r="I1659">
            <v>5</v>
          </cell>
          <cell r="J1659" t="str">
            <v>Drop2N</v>
          </cell>
          <cell r="K1659" t="str">
            <v>technical</v>
          </cell>
          <cell r="L1659" t="str">
            <v>テクニカルタイプ</v>
          </cell>
          <cell r="M1659" t="str">
            <v>ss</v>
          </cell>
        </row>
        <row r="1660">
          <cell r="A1660">
            <v>8047</v>
          </cell>
          <cell r="B1660" t="str">
            <v>ja</v>
          </cell>
          <cell r="C1660" t="str">
            <v>ハローキティ</v>
          </cell>
          <cell r="D1660" t="str">
            <v>ハローキティ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red</v>
          </cell>
          <cell r="I1660">
            <v>4</v>
          </cell>
          <cell r="J1660" t="str">
            <v>Drop2N</v>
          </cell>
          <cell r="K1660" t="str">
            <v>balance</v>
          </cell>
          <cell r="L1660" t="str">
            <v>バランスタイプ</v>
          </cell>
          <cell r="M1660" t="str">
            <v>ss</v>
          </cell>
        </row>
        <row r="1661">
          <cell r="A1661">
            <v>8048</v>
          </cell>
          <cell r="B1661" t="str">
            <v>ja</v>
          </cell>
          <cell r="C1661" t="str">
            <v>ハローキティ</v>
          </cell>
          <cell r="D1661" t="str">
            <v>ハローキティ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red</v>
          </cell>
          <cell r="I1661">
            <v>5</v>
          </cell>
          <cell r="J1661" t="str">
            <v>Drop2N</v>
          </cell>
          <cell r="K1661" t="str">
            <v>balance</v>
          </cell>
          <cell r="L1661" t="str">
            <v>バランスタイプ</v>
          </cell>
          <cell r="M1661" t="str">
            <v>ss</v>
          </cell>
        </row>
        <row r="1662">
          <cell r="A1662">
            <v>8049</v>
          </cell>
          <cell r="B1662" t="str">
            <v>ja</v>
          </cell>
          <cell r="C1662" t="str">
            <v>KIRIMIちゃん</v>
          </cell>
          <cell r="D1662" t="str">
            <v>KIRIMIちゃん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red</v>
          </cell>
          <cell r="I1662">
            <v>4</v>
          </cell>
          <cell r="J1662" t="str">
            <v>Drop2N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8050</v>
          </cell>
          <cell r="B1663" t="str">
            <v>ja</v>
          </cell>
          <cell r="C1663" t="str">
            <v>KIRIMIちゃん</v>
          </cell>
          <cell r="D1663" t="str">
            <v>KIRIMIちゃん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5</v>
          </cell>
          <cell r="J1663" t="str">
            <v>Drop2N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8051</v>
          </cell>
          <cell r="B1664" t="str">
            <v>ja</v>
          </cell>
          <cell r="C1664" t="str">
            <v>ハローキティのリボン</v>
          </cell>
          <cell r="D1664" t="str">
            <v>ハローキティのリボン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5</v>
          </cell>
          <cell r="J1664" t="str">
            <v>Drop2N</v>
          </cell>
          <cell r="K1664" t="str">
            <v>evolution</v>
          </cell>
          <cell r="L1664" t="str">
            <v>覚醒素材タイプ</v>
          </cell>
          <cell r="M1664" t="str">
            <v>ss</v>
          </cell>
        </row>
        <row r="1665">
          <cell r="A1665">
            <v>8052</v>
          </cell>
          <cell r="B1665" t="str">
            <v>ja</v>
          </cell>
          <cell r="C1665" t="str">
            <v>ママの作ったアップルパイ</v>
          </cell>
          <cell r="D1665" t="str">
            <v>ママの作ったアップルパイ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red</v>
          </cell>
          <cell r="I1665">
            <v>4</v>
          </cell>
          <cell r="J1665" t="str">
            <v>Drop2N</v>
          </cell>
          <cell r="K1665" t="str">
            <v>evolution</v>
          </cell>
          <cell r="L1665" t="str">
            <v>覚醒素材タイプ</v>
          </cell>
          <cell r="M1665" t="str">
            <v>ss</v>
          </cell>
        </row>
        <row r="1666">
          <cell r="A1666">
            <v>8053</v>
          </cell>
          <cell r="B1666" t="str">
            <v>ja</v>
          </cell>
          <cell r="C1666" t="str">
            <v>D.R.T.H__キティコスプレ</v>
          </cell>
          <cell r="D1666" t="str">
            <v>D.R.T.H__キティコスプレ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red</v>
          </cell>
          <cell r="I1666">
            <v>5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ss</v>
          </cell>
        </row>
        <row r="1667">
          <cell r="A1667">
            <v>8054</v>
          </cell>
          <cell r="B1667" t="str">
            <v>ja</v>
          </cell>
          <cell r="C1667" t="str">
            <v>D.R.T.H__キティコスプレ</v>
          </cell>
          <cell r="D1667" t="str">
            <v>D.R.T.H__キティコスプレ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ss</v>
          </cell>
        </row>
        <row r="1668">
          <cell r="A1668">
            <v>8055</v>
          </cell>
          <cell r="B1668" t="str">
            <v>ja</v>
          </cell>
          <cell r="C1668" t="str">
            <v>マイメロディ</v>
          </cell>
          <cell r="D1668" t="str">
            <v>マイメロディ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red</v>
          </cell>
          <cell r="I1668">
            <v>4</v>
          </cell>
          <cell r="J1668" t="str">
            <v>PremiumS</v>
          </cell>
          <cell r="K1668" t="str">
            <v>attack</v>
          </cell>
          <cell r="L1668" t="str">
            <v>攻撃タイプ</v>
          </cell>
          <cell r="M1668" t="str">
            <v>ss</v>
          </cell>
        </row>
        <row r="1669">
          <cell r="A1669">
            <v>8056</v>
          </cell>
          <cell r="B1669" t="str">
            <v>ja</v>
          </cell>
          <cell r="C1669" t="str">
            <v>マイメロディ</v>
          </cell>
          <cell r="D1669" t="str">
            <v>マイメロディ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red</v>
          </cell>
          <cell r="I1669">
            <v>5</v>
          </cell>
          <cell r="J1669" t="str">
            <v>PremiumS</v>
          </cell>
          <cell r="K1669" t="str">
            <v>attack</v>
          </cell>
          <cell r="L1669" t="str">
            <v>攻撃タイプ</v>
          </cell>
          <cell r="M1669" t="str">
            <v>ss</v>
          </cell>
        </row>
        <row r="1670">
          <cell r="A1670">
            <v>8057</v>
          </cell>
          <cell r="B1670" t="str">
            <v>ja</v>
          </cell>
          <cell r="C1670" t="str">
            <v>ニーベルゲン_シナモロールコスプレ</v>
          </cell>
          <cell r="D1670" t="str">
            <v>ニーベルゲン_シナモロールコスプレ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green</v>
          </cell>
          <cell r="I1670">
            <v>4</v>
          </cell>
          <cell r="J1670" t="str">
            <v>PremiumS</v>
          </cell>
          <cell r="K1670" t="str">
            <v>balance</v>
          </cell>
          <cell r="L1670" t="str">
            <v>バランスタイプ</v>
          </cell>
          <cell r="M1670" t="str">
            <v>ss</v>
          </cell>
        </row>
        <row r="1671">
          <cell r="A1671">
            <v>8058</v>
          </cell>
          <cell r="B1671" t="str">
            <v>ja</v>
          </cell>
          <cell r="C1671" t="str">
            <v>ニーベルゲン_シナモロールコスプレ</v>
          </cell>
          <cell r="D1671" t="str">
            <v>ニーベルゲン_シナモロールコスプレ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green</v>
          </cell>
          <cell r="I1671">
            <v>5</v>
          </cell>
          <cell r="J1671" t="str">
            <v>PremiumS</v>
          </cell>
          <cell r="K1671" t="str">
            <v>balance</v>
          </cell>
          <cell r="L1671" t="str">
            <v>バランスタイプ</v>
          </cell>
          <cell r="M1671" t="str">
            <v>ss</v>
          </cell>
        </row>
        <row r="1672">
          <cell r="A1672">
            <v>8059</v>
          </cell>
          <cell r="B1672" t="str">
            <v>ja</v>
          </cell>
          <cell r="C1672" t="str">
            <v>カカシ_マイメロディコスプレ</v>
          </cell>
          <cell r="D1672" t="str">
            <v>カカシ_マイメロディコスプレ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green</v>
          </cell>
          <cell r="I1672">
            <v>4</v>
          </cell>
          <cell r="J1672" t="str">
            <v>PremiumS</v>
          </cell>
          <cell r="K1672" t="str">
            <v>technical</v>
          </cell>
          <cell r="L1672" t="str">
            <v>テクニカルタイプ</v>
          </cell>
          <cell r="M1672" t="str">
            <v>ss</v>
          </cell>
        </row>
        <row r="1673">
          <cell r="A1673">
            <v>8060</v>
          </cell>
          <cell r="B1673" t="str">
            <v>ja</v>
          </cell>
          <cell r="C1673" t="str">
            <v>カカシ_マイメロディコスプレ</v>
          </cell>
          <cell r="D1673" t="str">
            <v>カカシ_マイメロディコスプレ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PremiumS</v>
          </cell>
          <cell r="K1673" t="str">
            <v>technical</v>
          </cell>
          <cell r="L1673" t="str">
            <v>テクニカルタイプ</v>
          </cell>
          <cell r="M1673" t="str">
            <v>ss</v>
          </cell>
        </row>
        <row r="1674">
          <cell r="A1674">
            <v>8061</v>
          </cell>
          <cell r="B1674" t="str">
            <v>ja</v>
          </cell>
          <cell r="C1674" t="str">
            <v>ケロケロけろっぴ</v>
          </cell>
          <cell r="D1674" t="str">
            <v>ケロケロけろっぴ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3</v>
          </cell>
          <cell r="J1674" t="str">
            <v>PremiumS</v>
          </cell>
          <cell r="K1674" t="str">
            <v>balance</v>
          </cell>
          <cell r="L1674" t="str">
            <v>バランスタイプ</v>
          </cell>
          <cell r="M1674" t="str">
            <v>ss</v>
          </cell>
        </row>
        <row r="1675">
          <cell r="A1675">
            <v>8062</v>
          </cell>
          <cell r="B1675" t="str">
            <v>ja</v>
          </cell>
          <cell r="C1675" t="str">
            <v>ケロケロけろっぴ</v>
          </cell>
          <cell r="D1675" t="str">
            <v>ケロケロけろっぴ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green</v>
          </cell>
          <cell r="I1675">
            <v>4</v>
          </cell>
          <cell r="J1675" t="str">
            <v>PremiumS</v>
          </cell>
          <cell r="K1675" t="str">
            <v>balance</v>
          </cell>
          <cell r="L1675" t="str">
            <v>バランスタイプ</v>
          </cell>
          <cell r="M1675" t="str">
            <v>ss</v>
          </cell>
        </row>
        <row r="1676">
          <cell r="A1676">
            <v>8063</v>
          </cell>
          <cell r="B1676" t="str">
            <v>ja</v>
          </cell>
          <cell r="C1676" t="str">
            <v>モルドレッド_ポムポムプリンコスプレ</v>
          </cell>
          <cell r="D1676" t="str">
            <v>モルドレッド_ポムポムプリンコスプレ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5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ss</v>
          </cell>
        </row>
        <row r="1677">
          <cell r="A1677">
            <v>8064</v>
          </cell>
          <cell r="B1677" t="str">
            <v>ja</v>
          </cell>
          <cell r="C1677" t="str">
            <v>モルドレッド_ポムポムプリンコスプレ</v>
          </cell>
          <cell r="D1677" t="str">
            <v>モルドレッド_ポムポムプリンコスプレ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blue</v>
          </cell>
          <cell r="I1677">
            <v>6</v>
          </cell>
          <cell r="J1677" t="str">
            <v>PremiumSS</v>
          </cell>
          <cell r="K1677" t="str">
            <v>heal</v>
          </cell>
          <cell r="L1677" t="str">
            <v>回復タイプ</v>
          </cell>
          <cell r="M1677" t="str">
            <v>ss</v>
          </cell>
        </row>
        <row r="1678">
          <cell r="A1678">
            <v>8065</v>
          </cell>
          <cell r="B1678" t="str">
            <v>ja</v>
          </cell>
          <cell r="C1678" t="str">
            <v>クロミ</v>
          </cell>
          <cell r="D1678" t="str">
            <v>クロミ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blue</v>
          </cell>
          <cell r="I1678">
            <v>3</v>
          </cell>
          <cell r="J1678" t="str">
            <v>PremiumS</v>
          </cell>
          <cell r="K1678" t="str">
            <v>technical</v>
          </cell>
          <cell r="L1678" t="str">
            <v>テクニカルタイプ</v>
          </cell>
          <cell r="M1678" t="str">
            <v>ss</v>
          </cell>
        </row>
        <row r="1679">
          <cell r="A1679">
            <v>8066</v>
          </cell>
          <cell r="B1679" t="str">
            <v>ja</v>
          </cell>
          <cell r="C1679" t="str">
            <v>クロミ</v>
          </cell>
          <cell r="D1679" t="str">
            <v>クロミ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4</v>
          </cell>
          <cell r="J1679" t="str">
            <v>PremiumS</v>
          </cell>
          <cell r="K1679" t="str">
            <v>technical</v>
          </cell>
          <cell r="L1679" t="str">
            <v>テクニカルタイプ</v>
          </cell>
          <cell r="M1679" t="str">
            <v>ss</v>
          </cell>
        </row>
        <row r="1680">
          <cell r="A1680">
            <v>8067</v>
          </cell>
          <cell r="B1680" t="str">
            <v>ja</v>
          </cell>
          <cell r="C1680" t="str">
            <v>バッドばつ丸</v>
          </cell>
          <cell r="D1680" t="str">
            <v>バッドばつ丸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3</v>
          </cell>
          <cell r="J1680" t="str">
            <v>PremiumS</v>
          </cell>
          <cell r="K1680" t="str">
            <v>attack</v>
          </cell>
          <cell r="L1680" t="str">
            <v>攻撃タイプ</v>
          </cell>
          <cell r="M1680" t="str">
            <v>ss</v>
          </cell>
        </row>
        <row r="1681">
          <cell r="A1681">
            <v>8068</v>
          </cell>
          <cell r="B1681" t="str">
            <v>ja</v>
          </cell>
          <cell r="C1681" t="str">
            <v>バッドばつ丸</v>
          </cell>
          <cell r="D1681" t="str">
            <v>バッドばつ丸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4</v>
          </cell>
          <cell r="J1681" t="str">
            <v>PremiumS</v>
          </cell>
          <cell r="K1681" t="str">
            <v>attack</v>
          </cell>
          <cell r="L1681" t="str">
            <v>攻撃タイプ</v>
          </cell>
          <cell r="M1681" t="str">
            <v>ss</v>
          </cell>
        </row>
        <row r="1682">
          <cell r="A1682">
            <v>8069</v>
          </cell>
          <cell r="B1682" t="str">
            <v>ja</v>
          </cell>
          <cell r="C1682" t="str">
            <v>シナモロール</v>
          </cell>
          <cell r="D1682" t="str">
            <v>シナモロール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yellow</v>
          </cell>
          <cell r="I1682">
            <v>4</v>
          </cell>
          <cell r="J1682" t="str">
            <v>PremiumS</v>
          </cell>
          <cell r="K1682" t="str">
            <v>heal</v>
          </cell>
          <cell r="L1682" t="str">
            <v>回復タイプ</v>
          </cell>
          <cell r="M1682" t="str">
            <v>ss</v>
          </cell>
        </row>
        <row r="1683">
          <cell r="A1683">
            <v>8070</v>
          </cell>
          <cell r="B1683" t="str">
            <v>ja</v>
          </cell>
          <cell r="C1683" t="str">
            <v>シナモロール</v>
          </cell>
          <cell r="D1683" t="str">
            <v>シナモロール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yellow</v>
          </cell>
          <cell r="I1683">
            <v>5</v>
          </cell>
          <cell r="J1683" t="str">
            <v>PremiumS</v>
          </cell>
          <cell r="K1683" t="str">
            <v>heal</v>
          </cell>
          <cell r="L1683" t="str">
            <v>回復タイプ</v>
          </cell>
          <cell r="M1683" t="str">
            <v>ss</v>
          </cell>
        </row>
        <row r="1684">
          <cell r="A1684">
            <v>8071</v>
          </cell>
          <cell r="B1684" t="str">
            <v>ja</v>
          </cell>
          <cell r="C1684" t="str">
            <v>ポムポムプリン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yellow</v>
          </cell>
          <cell r="I1684">
            <v>3</v>
          </cell>
          <cell r="J1684" t="str">
            <v>PremiumS</v>
          </cell>
          <cell r="K1684" t="str">
            <v>hp</v>
          </cell>
          <cell r="L1684" t="str">
            <v>体力タイプ</v>
          </cell>
          <cell r="M1684" t="str">
            <v>ss</v>
          </cell>
        </row>
        <row r="1685">
          <cell r="A1685">
            <v>8072</v>
          </cell>
          <cell r="B1685" t="str">
            <v>ja</v>
          </cell>
          <cell r="C1685" t="str">
            <v>ポムポムプリン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PremiumS</v>
          </cell>
          <cell r="K1685" t="str">
            <v>hp</v>
          </cell>
          <cell r="L1685" t="str">
            <v>体力タイプ</v>
          </cell>
          <cell r="M1685" t="str">
            <v>ss</v>
          </cell>
        </row>
        <row r="1686">
          <cell r="A1686">
            <v>8073</v>
          </cell>
          <cell r="B1686" t="str">
            <v>ja</v>
          </cell>
          <cell r="C1686" t="str">
            <v>星海祈る天光妃 媽祖</v>
          </cell>
          <cell r="D1686" t="str">
            <v>Expoミク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6</v>
          </cell>
          <cell r="J1686" t="str">
            <v>PremiumSS</v>
          </cell>
          <cell r="K1686" t="str">
            <v>attack</v>
          </cell>
          <cell r="L1686" t="str">
            <v>攻撃タイプ</v>
          </cell>
          <cell r="M1686" t="str">
            <v>human</v>
          </cell>
        </row>
        <row r="1687">
          <cell r="A1687">
            <v>8074</v>
          </cell>
          <cell r="B1687" t="str">
            <v>ja</v>
          </cell>
          <cell r="C1687" t="str">
            <v>海戀の絶龍姫 蛟龍</v>
          </cell>
          <cell r="D1687" t="str">
            <v>Expoミク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blue</v>
          </cell>
          <cell r="I1687">
            <v>6</v>
          </cell>
          <cell r="J1687" t="str">
            <v>DropWizS</v>
          </cell>
          <cell r="K1687" t="str">
            <v>hp</v>
          </cell>
          <cell r="L1687" t="str">
            <v>体力タイプ</v>
          </cell>
          <cell r="M1687" t="str">
            <v>dragon</v>
          </cell>
        </row>
        <row r="1688">
          <cell r="A1688">
            <v>8075</v>
          </cell>
          <cell r="B1688" t="str">
            <v>ja</v>
          </cell>
          <cell r="C1688" t="str">
            <v>解脱天の知徳 三蔵法師</v>
          </cell>
          <cell r="D1688" t="str">
            <v>Expoミク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blue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god</v>
          </cell>
        </row>
        <row r="1689">
          <cell r="A1689">
            <v>8076</v>
          </cell>
          <cell r="B1689" t="str">
            <v>ja</v>
          </cell>
          <cell r="C1689" t="str">
            <v>天暴の斉天大聖 孫悟空</v>
          </cell>
          <cell r="D1689" t="str">
            <v>Expoミク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unknown</v>
          </cell>
        </row>
        <row r="1690">
          <cell r="A1690">
            <v>8077</v>
          </cell>
          <cell r="B1690" t="str">
            <v>ja</v>
          </cell>
          <cell r="C1690" t="str">
            <v>鄭成功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blue</v>
          </cell>
          <cell r="I1690">
            <v>5</v>
          </cell>
          <cell r="J1690" t="str">
            <v>PremiumSS</v>
          </cell>
          <cell r="K1690" t="str">
            <v>attack</v>
          </cell>
          <cell r="L1690" t="str">
            <v>攻撃タイプ</v>
          </cell>
          <cell r="M1690" t="str">
            <v>human</v>
          </cell>
        </row>
        <row r="1691">
          <cell r="A1691">
            <v>8078</v>
          </cell>
          <cell r="B1691" t="str">
            <v>ja</v>
          </cell>
          <cell r="C1691" t="str">
            <v>レア６鄭成功</v>
          </cell>
          <cell r="D1691" t="str">
            <v>ポムポムプリン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blue</v>
          </cell>
          <cell r="I1691">
            <v>6</v>
          </cell>
          <cell r="J1691" t="str">
            <v>PremiumSS</v>
          </cell>
          <cell r="K1691" t="str">
            <v>attack</v>
          </cell>
          <cell r="L1691" t="str">
            <v>攻撃タイプ</v>
          </cell>
          <cell r="M1691" t="str">
            <v>human</v>
          </cell>
        </row>
        <row r="1692">
          <cell r="A1692">
            <v>8079</v>
          </cell>
          <cell r="B1692" t="str">
            <v>ja</v>
          </cell>
          <cell r="C1692" t="str">
            <v>赤鬼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dragon</v>
          </cell>
        </row>
        <row r="1693">
          <cell r="A1693">
            <v>8080</v>
          </cell>
          <cell r="B1693" t="str">
            <v>ja</v>
          </cell>
          <cell r="C1693" t="str">
            <v>レア６赤鬼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dragon</v>
          </cell>
        </row>
        <row r="1694">
          <cell r="A1694">
            <v>8081</v>
          </cell>
          <cell r="B1694" t="str">
            <v>ja</v>
          </cell>
          <cell r="C1694" t="str">
            <v>関羽</v>
          </cell>
          <cell r="H1694" t="str">
            <v>green</v>
          </cell>
          <cell r="I1694">
            <v>5</v>
          </cell>
          <cell r="J1694" t="str">
            <v>PremiumSSS</v>
          </cell>
          <cell r="K1694" t="str">
            <v>balance</v>
          </cell>
          <cell r="L1694" t="str">
            <v>バランスタイプ</v>
          </cell>
          <cell r="M1694" t="str">
            <v>samurai</v>
          </cell>
        </row>
        <row r="1695">
          <cell r="A1695">
            <v>8082</v>
          </cell>
          <cell r="B1695" t="str">
            <v>ja</v>
          </cell>
          <cell r="C1695" t="str">
            <v>★６関羽</v>
          </cell>
          <cell r="H1695" t="str">
            <v>green</v>
          </cell>
          <cell r="I1695">
            <v>6</v>
          </cell>
          <cell r="J1695" t="str">
            <v>PremiumSSS</v>
          </cell>
          <cell r="K1695" t="str">
            <v>balance</v>
          </cell>
          <cell r="L1695" t="str">
            <v>バランスタイプ</v>
          </cell>
          <cell r="M1695" t="str">
            <v>samurai</v>
          </cell>
        </row>
        <row r="1696">
          <cell r="A1696">
            <v>8083</v>
          </cell>
          <cell r="B1696" t="str">
            <v>ja</v>
          </cell>
          <cell r="C1696" t="str">
            <v>曹操</v>
          </cell>
          <cell r="H1696" t="str">
            <v>yellow</v>
          </cell>
          <cell r="I1696">
            <v>5</v>
          </cell>
          <cell r="J1696" t="str">
            <v>DropWizSS</v>
          </cell>
          <cell r="K1696" t="str">
            <v>technical</v>
          </cell>
          <cell r="L1696" t="str">
            <v>テクニカルタイプ</v>
          </cell>
          <cell r="M1696" t="str">
            <v>samurai</v>
          </cell>
        </row>
        <row r="1697">
          <cell r="A1697">
            <v>8084</v>
          </cell>
          <cell r="B1697" t="str">
            <v>ja</v>
          </cell>
          <cell r="C1697" t="str">
            <v>★６曹操</v>
          </cell>
          <cell r="H1697" t="str">
            <v>yellow</v>
          </cell>
          <cell r="I1697">
            <v>6</v>
          </cell>
          <cell r="J1697" t="str">
            <v>DropWizSS</v>
          </cell>
          <cell r="K1697" t="str">
            <v>technical</v>
          </cell>
          <cell r="L1697" t="str">
            <v>テクニカルタイプ</v>
          </cell>
          <cell r="M1697" t="str">
            <v>samurai</v>
          </cell>
        </row>
        <row r="1698">
          <cell r="A1698">
            <v>8085</v>
          </cell>
          <cell r="B1698" t="str">
            <v>ja</v>
          </cell>
          <cell r="C1698" t="str">
            <v>九霊無上の聖母 西王娘娘</v>
          </cell>
          <cell r="H1698" t="str">
            <v>green</v>
          </cell>
          <cell r="I1698">
            <v>6</v>
          </cell>
          <cell r="J1698" t="str">
            <v>PremiumSS</v>
          </cell>
          <cell r="K1698" t="str">
            <v>attack</v>
          </cell>
          <cell r="L1698" t="str">
            <v>攻撃タイプ</v>
          </cell>
          <cell r="M1698" t="str">
            <v>god</v>
          </cell>
        </row>
        <row r="1699">
          <cell r="A1699">
            <v>8086</v>
          </cell>
          <cell r="B1699" t="str">
            <v>ja</v>
          </cell>
          <cell r="C1699" t="str">
            <v>砕縁の情滅剣 月下老人</v>
          </cell>
          <cell r="H1699" t="str">
            <v>yellow</v>
          </cell>
          <cell r="I1699">
            <v>6</v>
          </cell>
          <cell r="J1699" t="str">
            <v>DropWizS</v>
          </cell>
          <cell r="K1699" t="str">
            <v>attack</v>
          </cell>
          <cell r="L1699" t="str">
            <v>攻撃タイプ</v>
          </cell>
          <cell r="M1699" t="str">
            <v>god</v>
          </cell>
        </row>
        <row r="1700">
          <cell r="A1700">
            <v>8087</v>
          </cell>
          <cell r="B1700" t="str">
            <v>ja</v>
          </cell>
          <cell r="C1700" t="str">
            <v>財神</v>
          </cell>
          <cell r="H1700" t="str">
            <v>red</v>
          </cell>
          <cell r="I1700">
            <v>5</v>
          </cell>
          <cell r="J1700" t="str">
            <v>PremiumSSS</v>
          </cell>
          <cell r="K1700" t="str">
            <v>technical</v>
          </cell>
          <cell r="L1700" t="str">
            <v>テクニカルタイプ</v>
          </cell>
          <cell r="M1700" t="str">
            <v>god</v>
          </cell>
        </row>
        <row r="1701">
          <cell r="A1701">
            <v>8088</v>
          </cell>
          <cell r="B1701" t="str">
            <v>ja</v>
          </cell>
          <cell r="C1701" t="str">
            <v>★６財神</v>
          </cell>
          <cell r="H1701" t="str">
            <v>red</v>
          </cell>
          <cell r="I1701">
            <v>6</v>
          </cell>
          <cell r="J1701" t="str">
            <v>PremiumSSS</v>
          </cell>
          <cell r="K1701" t="str">
            <v>technical</v>
          </cell>
          <cell r="L1701" t="str">
            <v>テクニカルタイプ</v>
          </cell>
          <cell r="M1701" t="str">
            <v>god</v>
          </cell>
        </row>
        <row r="1702">
          <cell r="A1702">
            <v>8089</v>
          </cell>
          <cell r="B1702" t="str">
            <v>ja</v>
          </cell>
          <cell r="C1702" t="str">
            <v>年獣</v>
          </cell>
          <cell r="H1702" t="str">
            <v>green</v>
          </cell>
          <cell r="I1702">
            <v>5</v>
          </cell>
          <cell r="J1702" t="str">
            <v>DropWizS</v>
          </cell>
          <cell r="K1702" t="str">
            <v>attack</v>
          </cell>
          <cell r="L1702" t="str">
            <v>攻撃タイプ</v>
          </cell>
          <cell r="M1702" t="str">
            <v>animal</v>
          </cell>
        </row>
        <row r="1703">
          <cell r="A1703">
            <v>8090</v>
          </cell>
          <cell r="B1703" t="str">
            <v>ja</v>
          </cell>
          <cell r="C1703" t="str">
            <v>★６年獣</v>
          </cell>
          <cell r="H1703" t="str">
            <v>green</v>
          </cell>
          <cell r="I1703">
            <v>6</v>
          </cell>
          <cell r="J1703" t="str">
            <v>DropWizS</v>
          </cell>
          <cell r="K1703" t="str">
            <v>attack</v>
          </cell>
          <cell r="L1703" t="str">
            <v>攻撃タイプ</v>
          </cell>
          <cell r="M1703" t="str">
            <v>animal</v>
          </cell>
        </row>
        <row r="1704">
          <cell r="A1704">
            <v>8095</v>
          </cell>
          <cell r="B1704" t="str">
            <v>ja</v>
          </cell>
          <cell r="C1704" t="str">
            <v>バハムートダック赤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red</v>
          </cell>
          <cell r="I1704">
            <v>6</v>
          </cell>
          <cell r="J1704" t="str">
            <v>Material</v>
          </cell>
          <cell r="K1704" t="str">
            <v>exp</v>
          </cell>
          <cell r="L1704" t="str">
            <v>強化素材タイプ</v>
          </cell>
          <cell r="M1704" t="str">
            <v>unknown</v>
          </cell>
        </row>
        <row r="1705">
          <cell r="A1705">
            <v>8096</v>
          </cell>
          <cell r="B1705" t="str">
            <v>ja</v>
          </cell>
          <cell r="C1705" t="str">
            <v>バハムートダック緑</v>
          </cell>
          <cell r="D1705" t="str">
            <v>ポムポムプリン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green</v>
          </cell>
          <cell r="I1705">
            <v>6</v>
          </cell>
          <cell r="J1705" t="str">
            <v>Material</v>
          </cell>
          <cell r="K1705" t="str">
            <v>exp</v>
          </cell>
          <cell r="L1705" t="str">
            <v>強化素材タイプ</v>
          </cell>
          <cell r="M1705" t="str">
            <v>unknown</v>
          </cell>
        </row>
        <row r="1706">
          <cell r="A1706">
            <v>8097</v>
          </cell>
          <cell r="B1706" t="str">
            <v>ja</v>
          </cell>
          <cell r="C1706" t="str">
            <v>バハムートダック青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6</v>
          </cell>
          <cell r="J1706" t="str">
            <v>Material</v>
          </cell>
          <cell r="K1706" t="str">
            <v>exp</v>
          </cell>
          <cell r="L1706" t="str">
            <v>強化素材タイプ</v>
          </cell>
          <cell r="M1706" t="str">
            <v>unknown</v>
          </cell>
        </row>
        <row r="1707">
          <cell r="A1707">
            <v>8098</v>
          </cell>
          <cell r="B1707" t="str">
            <v>ja</v>
          </cell>
          <cell r="C1707" t="str">
            <v>バハムートダック黄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yellow</v>
          </cell>
          <cell r="I1707">
            <v>6</v>
          </cell>
          <cell r="J1707" t="str">
            <v>Material</v>
          </cell>
          <cell r="K1707" t="str">
            <v>exp</v>
          </cell>
          <cell r="L1707" t="str">
            <v>強化素材タイプ</v>
          </cell>
          <cell r="M1707" t="str">
            <v>unknown</v>
          </cell>
        </row>
        <row r="1708">
          <cell r="A1708">
            <v>8099</v>
          </cell>
          <cell r="B1708" t="str">
            <v>ja</v>
          </cell>
          <cell r="C1708" t="str">
            <v>韓湘子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PremiumSSw</v>
          </cell>
          <cell r="K1708" t="str">
            <v>balance</v>
          </cell>
          <cell r="L1708" t="str">
            <v>バランスタイプ</v>
          </cell>
          <cell r="M1708" t="str">
            <v>god</v>
          </cell>
        </row>
        <row r="1709">
          <cell r="A1709">
            <v>8100</v>
          </cell>
          <cell r="B1709" t="str">
            <v>ja</v>
          </cell>
          <cell r="C1709" t="str">
            <v>韓湘子★６</v>
          </cell>
          <cell r="D1709" t="str">
            <v>ポムポムプリン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green</v>
          </cell>
          <cell r="I1709">
            <v>6</v>
          </cell>
          <cell r="J1709" t="str">
            <v>PremiumSSw</v>
          </cell>
          <cell r="K1709" t="str">
            <v>balance</v>
          </cell>
          <cell r="L1709" t="str">
            <v>バランスタイプ</v>
          </cell>
          <cell r="M1709" t="str">
            <v>god</v>
          </cell>
        </row>
        <row r="1710">
          <cell r="A1710">
            <v>8101</v>
          </cell>
          <cell r="B1710" t="str">
            <v>ja</v>
          </cell>
          <cell r="C1710" t="str">
            <v>張果老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DropWizS</v>
          </cell>
          <cell r="K1710" t="str">
            <v>attack</v>
          </cell>
          <cell r="L1710" t="str">
            <v>攻撃タイプ</v>
          </cell>
          <cell r="M1710" t="str">
            <v>god</v>
          </cell>
        </row>
        <row r="1711">
          <cell r="A1711">
            <v>8102</v>
          </cell>
          <cell r="B1711" t="str">
            <v>ja</v>
          </cell>
          <cell r="C1711" t="str">
            <v>張果老★６</v>
          </cell>
          <cell r="D1711" t="str">
            <v>各属性相性良3・黄・R455</v>
          </cell>
          <cell r="E1711" t="str">
            <v>執行者</v>
          </cell>
          <cell r="F1711" t="str">
            <v>格好いい</v>
          </cell>
          <cell r="G1711" t="str">
            <v>男性</v>
          </cell>
          <cell r="H1711" t="str">
            <v>yellow</v>
          </cell>
          <cell r="I1711">
            <v>6</v>
          </cell>
          <cell r="J1711" t="str">
            <v>DropWizS</v>
          </cell>
          <cell r="K1711" t="str">
            <v>attack</v>
          </cell>
          <cell r="L1711" t="str">
            <v>攻撃タイプ</v>
          </cell>
          <cell r="M1711" t="str">
            <v>god</v>
          </cell>
        </row>
        <row r="1712">
          <cell r="A1712">
            <v>8103</v>
          </cell>
          <cell r="B1712" t="str">
            <v>ja</v>
          </cell>
          <cell r="C1712" t="str">
            <v>李鐵拐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PremiumSSw</v>
          </cell>
          <cell r="K1712" t="str">
            <v>technical</v>
          </cell>
          <cell r="L1712" t="str">
            <v>テクニカルタイプ</v>
          </cell>
          <cell r="M1712" t="str">
            <v>god</v>
          </cell>
        </row>
        <row r="1713">
          <cell r="A1713">
            <v>8104</v>
          </cell>
          <cell r="B1713" t="str">
            <v>ja</v>
          </cell>
          <cell r="C1713" t="str">
            <v>李鐵拐★６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PremiumSSw</v>
          </cell>
          <cell r="K1713" t="str">
            <v>technical</v>
          </cell>
          <cell r="L1713" t="str">
            <v>テクニカルタイプ</v>
          </cell>
          <cell r="M1713" t="str">
            <v>god</v>
          </cell>
        </row>
        <row r="1714">
          <cell r="A1714">
            <v>8105</v>
          </cell>
          <cell r="B1714" t="str">
            <v>ja</v>
          </cell>
          <cell r="C1714" t="str">
            <v>曹國舅</v>
          </cell>
          <cell r="D1714" t="str">
            <v>ポムポムプリン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green</v>
          </cell>
          <cell r="I1714">
            <v>5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god</v>
          </cell>
        </row>
        <row r="1715">
          <cell r="A1715">
            <v>8106</v>
          </cell>
          <cell r="B1715" t="str">
            <v>ja</v>
          </cell>
          <cell r="C1715" t="str">
            <v>曹國舅★６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green</v>
          </cell>
          <cell r="I1715">
            <v>6</v>
          </cell>
          <cell r="J1715" t="str">
            <v>DropWizS</v>
          </cell>
          <cell r="K1715" t="str">
            <v>hp</v>
          </cell>
          <cell r="L1715" t="str">
            <v>体力タイプ</v>
          </cell>
          <cell r="M1715" t="str">
            <v>god</v>
          </cell>
        </row>
        <row r="1716">
          <cell r="A1716">
            <v>8111</v>
          </cell>
          <cell r="B1716" t="str">
            <v>ja</v>
          </cell>
          <cell r="C1716" t="str">
            <v>福德正神</v>
          </cell>
          <cell r="H1716" t="str">
            <v>blue</v>
          </cell>
          <cell r="I1716">
            <v>5</v>
          </cell>
          <cell r="J1716" t="str">
            <v>DropWizS</v>
          </cell>
          <cell r="K1716" t="str">
            <v>balance</v>
          </cell>
          <cell r="L1716" t="str">
            <v>バランスタイプ</v>
          </cell>
          <cell r="M1716" t="str">
            <v>god</v>
          </cell>
        </row>
        <row r="1717">
          <cell r="A1717">
            <v>8112</v>
          </cell>
          <cell r="B1717" t="str">
            <v>ja</v>
          </cell>
          <cell r="C1717" t="str">
            <v>福德正神★６</v>
          </cell>
          <cell r="H1717" t="str">
            <v>blue</v>
          </cell>
          <cell r="I1717">
            <v>6</v>
          </cell>
          <cell r="J1717" t="str">
            <v>DropWizS</v>
          </cell>
          <cell r="K1717" t="str">
            <v>balance</v>
          </cell>
          <cell r="L1717" t="str">
            <v>バランスタイプ</v>
          </cell>
          <cell r="M1717" t="str">
            <v>god</v>
          </cell>
        </row>
        <row r="1718">
          <cell r="A1718">
            <v>8113</v>
          </cell>
          <cell r="B1718" t="str">
            <v>ja</v>
          </cell>
          <cell r="C1718" t="str">
            <v>孔子</v>
          </cell>
          <cell r="H1718" t="str">
            <v>yellow</v>
          </cell>
          <cell r="I1718">
            <v>5</v>
          </cell>
          <cell r="J1718" t="str">
            <v>PremiumSSS</v>
          </cell>
          <cell r="K1718" t="str">
            <v>attack</v>
          </cell>
          <cell r="L1718" t="str">
            <v>攻撃タイプ</v>
          </cell>
          <cell r="M1718" t="str">
            <v>academia</v>
          </cell>
        </row>
        <row r="1719">
          <cell r="A1719">
            <v>8114</v>
          </cell>
          <cell r="B1719" t="str">
            <v>ja</v>
          </cell>
          <cell r="C1719" t="str">
            <v>孔子★６</v>
          </cell>
          <cell r="H1719" t="str">
            <v>yellow</v>
          </cell>
          <cell r="I1719">
            <v>6</v>
          </cell>
          <cell r="J1719" t="str">
            <v>PremiumSSS</v>
          </cell>
          <cell r="K1719" t="str">
            <v>attack</v>
          </cell>
          <cell r="L1719" t="str">
            <v>攻撃タイプ</v>
          </cell>
          <cell r="M1719" t="str">
            <v>academia</v>
          </cell>
        </row>
        <row r="1720">
          <cell r="A1720">
            <v>8115</v>
          </cell>
          <cell r="B1720" t="str">
            <v>ja</v>
          </cell>
          <cell r="C1720" t="str">
            <v>贏政</v>
          </cell>
          <cell r="H1720" t="str">
            <v>blue</v>
          </cell>
          <cell r="I1720">
            <v>5</v>
          </cell>
          <cell r="J1720" t="str">
            <v>DropWizSS</v>
          </cell>
          <cell r="K1720" t="str">
            <v>attack</v>
          </cell>
          <cell r="L1720" t="str">
            <v>攻撃タイプ</v>
          </cell>
          <cell r="M1720" t="str">
            <v>human</v>
          </cell>
        </row>
        <row r="1721">
          <cell r="A1721">
            <v>8116</v>
          </cell>
          <cell r="B1721" t="str">
            <v>ja</v>
          </cell>
          <cell r="C1721" t="str">
            <v>贏政★６</v>
          </cell>
          <cell r="H1721" t="str">
            <v>blue</v>
          </cell>
          <cell r="I1721">
            <v>6</v>
          </cell>
          <cell r="J1721" t="str">
            <v>DropWizSS</v>
          </cell>
          <cell r="K1721" t="str">
            <v>attack</v>
          </cell>
          <cell r="L1721" t="str">
            <v>攻撃タイプ</v>
          </cell>
          <cell r="M1721" t="str">
            <v>human</v>
          </cell>
        </row>
        <row r="1722">
          <cell r="A1722">
            <v>8117</v>
          </cell>
          <cell r="B1722" t="str">
            <v>ja</v>
          </cell>
          <cell r="C1722" t="str">
            <v>白娘子</v>
          </cell>
          <cell r="D1722" t="str">
            <v>ポムポムプリン</v>
          </cell>
          <cell r="E1722" t="str">
            <v>執行者</v>
          </cell>
          <cell r="F1722" t="str">
            <v>格好いい</v>
          </cell>
          <cell r="G1722" t="str">
            <v>女性</v>
          </cell>
          <cell r="H1722" t="str">
            <v>green</v>
          </cell>
          <cell r="I1722">
            <v>5</v>
          </cell>
          <cell r="J1722" t="str">
            <v>PremiumSSw</v>
          </cell>
          <cell r="K1722" t="str">
            <v>heal</v>
          </cell>
          <cell r="L1722" t="str">
            <v>回復タイプ</v>
          </cell>
          <cell r="M1722" t="str">
            <v>dragon</v>
          </cell>
        </row>
        <row r="1723">
          <cell r="A1723">
            <v>8118</v>
          </cell>
          <cell r="B1723" t="str">
            <v>ja</v>
          </cell>
          <cell r="C1723" t="str">
            <v>白娘子★６</v>
          </cell>
          <cell r="D1723" t="str">
            <v>ポムポムプリン</v>
          </cell>
          <cell r="E1723" t="str">
            <v>執行者</v>
          </cell>
          <cell r="F1723" t="str">
            <v>格好いい</v>
          </cell>
          <cell r="G1723" t="str">
            <v>女性</v>
          </cell>
          <cell r="H1723" t="str">
            <v>green</v>
          </cell>
          <cell r="I1723">
            <v>6</v>
          </cell>
          <cell r="J1723" t="str">
            <v>PremiumSSw</v>
          </cell>
          <cell r="K1723" t="str">
            <v>heal</v>
          </cell>
          <cell r="L1723" t="str">
            <v>回復タイプ</v>
          </cell>
          <cell r="M1723" t="str">
            <v>dragon</v>
          </cell>
        </row>
        <row r="1724">
          <cell r="A1724">
            <v>8119</v>
          </cell>
          <cell r="B1724" t="str">
            <v>ja</v>
          </cell>
          <cell r="C1724" t="str">
            <v>小青</v>
          </cell>
          <cell r="D1724" t="str">
            <v>ポムポムプリン</v>
          </cell>
          <cell r="E1724" t="str">
            <v>執行者</v>
          </cell>
          <cell r="F1724" t="str">
            <v>格好いい</v>
          </cell>
          <cell r="G1724" t="str">
            <v>女性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attack</v>
          </cell>
          <cell r="L1724" t="str">
            <v>攻撃タイプ</v>
          </cell>
          <cell r="M1724" t="str">
            <v>dragon</v>
          </cell>
        </row>
        <row r="1725">
          <cell r="A1725">
            <v>8120</v>
          </cell>
          <cell r="B1725" t="str">
            <v>ja</v>
          </cell>
          <cell r="C1725" t="str">
            <v>小青★６</v>
          </cell>
          <cell r="D1725" t="str">
            <v>ポムポムプリン</v>
          </cell>
          <cell r="E1725" t="str">
            <v>執行者</v>
          </cell>
          <cell r="F1725" t="str">
            <v>格好いい</v>
          </cell>
          <cell r="G1725" t="str">
            <v>女性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attack</v>
          </cell>
          <cell r="L1725" t="str">
            <v>攻撃タイプ</v>
          </cell>
          <cell r="M1725" t="str">
            <v>dragon</v>
          </cell>
        </row>
        <row r="1726">
          <cell r="A1726">
            <v>8121</v>
          </cell>
          <cell r="B1726" t="str">
            <v>ja</v>
          </cell>
          <cell r="C1726" t="str">
            <v>法海</v>
          </cell>
          <cell r="D1726" t="str">
            <v>ポムポムプリン</v>
          </cell>
          <cell r="E1726" t="str">
            <v>執行者</v>
          </cell>
          <cell r="F1726" t="str">
            <v>格好いい</v>
          </cell>
          <cell r="G1726" t="str">
            <v>女性</v>
          </cell>
          <cell r="H1726" t="str">
            <v>yellow</v>
          </cell>
          <cell r="I1726">
            <v>5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human</v>
          </cell>
        </row>
        <row r="1727">
          <cell r="A1727">
            <v>8122</v>
          </cell>
          <cell r="B1727" t="str">
            <v>ja</v>
          </cell>
          <cell r="C1727" t="str">
            <v>法海★６</v>
          </cell>
          <cell r="D1727" t="str">
            <v>各属性相性良3・黄・R455</v>
          </cell>
          <cell r="E1727" t="str">
            <v>執行者</v>
          </cell>
          <cell r="F1727" t="str">
            <v>格好いい</v>
          </cell>
          <cell r="G1727" t="str">
            <v>男性</v>
          </cell>
          <cell r="H1727" t="str">
            <v>yellow</v>
          </cell>
          <cell r="I1727">
            <v>6</v>
          </cell>
          <cell r="J1727" t="str">
            <v>DropWizS</v>
          </cell>
          <cell r="K1727" t="str">
            <v>attack</v>
          </cell>
          <cell r="L1727" t="str">
            <v>攻撃タイプ</v>
          </cell>
          <cell r="M1727" t="str">
            <v>human</v>
          </cell>
        </row>
        <row r="1728">
          <cell r="A1728">
            <v>8123</v>
          </cell>
          <cell r="B1728" t="str">
            <v>ja</v>
          </cell>
          <cell r="C1728" t="str">
            <v>哪吒</v>
          </cell>
          <cell r="D1728" t="str">
            <v>各属性相性良3・黄・R455</v>
          </cell>
          <cell r="E1728" t="str">
            <v>執行者</v>
          </cell>
          <cell r="F1728" t="str">
            <v>格好いい</v>
          </cell>
          <cell r="G1728" t="str">
            <v>男性</v>
          </cell>
          <cell r="H1728" t="str">
            <v>yellow</v>
          </cell>
          <cell r="I1728">
            <v>6</v>
          </cell>
          <cell r="J1728" t="str">
            <v>DropWizS</v>
          </cell>
          <cell r="K1728" t="str">
            <v>attack</v>
          </cell>
          <cell r="L1728" t="str">
            <v>攻撃タイプ</v>
          </cell>
          <cell r="M1728" t="str">
            <v>human</v>
          </cell>
        </row>
        <row r="1729">
          <cell r="A1729">
            <v>8124</v>
          </cell>
          <cell r="B1729" t="str">
            <v>ja</v>
          </cell>
          <cell r="C1729" t="str">
            <v>★6哪吒</v>
          </cell>
          <cell r="D1729" t="str">
            <v>各属性相性良3・黄・R455</v>
          </cell>
          <cell r="E1729" t="str">
            <v>執行者</v>
          </cell>
          <cell r="F1729" t="str">
            <v>格好いい</v>
          </cell>
          <cell r="G1729" t="str">
            <v>男性</v>
          </cell>
          <cell r="H1729" t="str">
            <v>yellow</v>
          </cell>
          <cell r="I1729">
            <v>6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human</v>
          </cell>
        </row>
        <row r="1730">
          <cell r="A1730">
            <v>8125</v>
          </cell>
          <cell r="B1730" t="str">
            <v>ja</v>
          </cell>
          <cell r="C1730" t="str">
            <v>東海龍王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yellow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human</v>
          </cell>
        </row>
        <row r="1731">
          <cell r="A1731">
            <v>8126</v>
          </cell>
          <cell r="B1731" t="str">
            <v>ja</v>
          </cell>
          <cell r="C1731" t="str">
            <v>★6東海龍王</v>
          </cell>
          <cell r="D1731" t="str">
            <v>各属性相性良3・黄・R455</v>
          </cell>
          <cell r="E1731" t="str">
            <v>執行者</v>
          </cell>
          <cell r="F1731" t="str">
            <v>格好いい</v>
          </cell>
          <cell r="G1731" t="str">
            <v>男性</v>
          </cell>
          <cell r="H1731" t="str">
            <v>yellow</v>
          </cell>
          <cell r="I1731">
            <v>6</v>
          </cell>
          <cell r="J1731" t="str">
            <v>DropWizS</v>
          </cell>
          <cell r="K1731" t="str">
            <v>attack</v>
          </cell>
          <cell r="L1731" t="str">
            <v>攻撃タイプ</v>
          </cell>
          <cell r="M1731" t="str">
            <v>human</v>
          </cell>
        </row>
        <row r="1732">
          <cell r="A1732">
            <v>8127</v>
          </cell>
          <cell r="B1732" t="str">
            <v>ja</v>
          </cell>
          <cell r="C1732" t="str">
            <v>鐵扇公主 ‧ 羅剎女</v>
          </cell>
          <cell r="D1732" t="str">
            <v>各属性相性良3・黄・R455</v>
          </cell>
          <cell r="E1732" t="str">
            <v>執行者</v>
          </cell>
          <cell r="F1732" t="str">
            <v>格好いい</v>
          </cell>
          <cell r="G1732" t="str">
            <v>男性</v>
          </cell>
          <cell r="H1732" t="str">
            <v>green</v>
          </cell>
          <cell r="I1732">
            <v>6</v>
          </cell>
          <cell r="J1732" t="str">
            <v>PremiumSSS</v>
          </cell>
          <cell r="K1732" t="str">
            <v>technical</v>
          </cell>
          <cell r="L1732" t="str">
            <v>テクニカルタイプ</v>
          </cell>
          <cell r="M1732" t="str">
            <v>demon</v>
          </cell>
        </row>
        <row r="1733">
          <cell r="A1733">
            <v>8128</v>
          </cell>
          <cell r="B1733" t="str">
            <v>ja</v>
          </cell>
          <cell r="C1733" t="str">
            <v>聖賢哲者 ‧ 唐三藏</v>
          </cell>
          <cell r="D1733" t="str">
            <v>各属性相性良3・黄・R455</v>
          </cell>
          <cell r="E1733" t="str">
            <v>執行者</v>
          </cell>
          <cell r="F1733" t="str">
            <v>格好いい</v>
          </cell>
          <cell r="G1733" t="str">
            <v>男性</v>
          </cell>
          <cell r="H1733" t="str">
            <v>green</v>
          </cell>
          <cell r="I1733">
            <v>6</v>
          </cell>
          <cell r="J1733" t="str">
            <v>PremiumSSS</v>
          </cell>
          <cell r="K1733" t="str">
            <v>balance</v>
          </cell>
          <cell r="L1733" t="str">
            <v>バランスタイプ</v>
          </cell>
          <cell r="M1733" t="str">
            <v>god</v>
          </cell>
        </row>
        <row r="1734">
          <cell r="A1734">
            <v>8129</v>
          </cell>
          <cell r="B1734" t="str">
            <v>ja</v>
          </cell>
          <cell r="C1734" t="str">
            <v>放任孽魔 ‧ 撒旦</v>
          </cell>
          <cell r="D1734" t="str">
            <v>各属性相性良3・黄・R455</v>
          </cell>
          <cell r="E1734" t="str">
            <v>執行者</v>
          </cell>
          <cell r="F1734" t="str">
            <v>格好いい</v>
          </cell>
          <cell r="G1734" t="str">
            <v>男性</v>
          </cell>
          <cell r="H1734" t="str">
            <v>blue</v>
          </cell>
          <cell r="I1734">
            <v>6</v>
          </cell>
          <cell r="J1734" t="str">
            <v>PremiumSS</v>
          </cell>
          <cell r="K1734" t="str">
            <v>technical</v>
          </cell>
          <cell r="L1734" t="str">
            <v>テクニカルタイプ</v>
          </cell>
          <cell r="M1734" t="str">
            <v>demon</v>
          </cell>
        </row>
        <row r="1735">
          <cell r="A1735">
            <v>8130</v>
          </cell>
          <cell r="B1735" t="str">
            <v>ja</v>
          </cell>
          <cell r="C1735" t="str">
            <v>變臉火術 ‧ 切西亞</v>
          </cell>
          <cell r="D1735" t="str">
            <v>各属性相性良3・黄・R455</v>
          </cell>
          <cell r="E1735" t="str">
            <v>執行者</v>
          </cell>
          <cell r="F1735" t="str">
            <v>格好いい</v>
          </cell>
          <cell r="G1735" t="str">
            <v>男性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</row>
        <row r="1736">
          <cell r="A1736">
            <v>8131</v>
          </cell>
          <cell r="B1736" t="str">
            <v>ja</v>
          </cell>
          <cell r="C1736" t="str">
            <v>預知者之歷劫 ‧ 卡珊德拉</v>
          </cell>
          <cell r="D1736" t="str">
            <v>各属性相性良3・黄・R455</v>
          </cell>
          <cell r="E1736" t="str">
            <v>執行者</v>
          </cell>
          <cell r="F1736" t="str">
            <v>格好いい</v>
          </cell>
          <cell r="G1736" t="str">
            <v>男性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heal</v>
          </cell>
          <cell r="L1736" t="str">
            <v>回復タイプ</v>
          </cell>
          <cell r="M1736" t="str">
            <v>human</v>
          </cell>
        </row>
        <row r="1737">
          <cell r="A1737">
            <v>8132</v>
          </cell>
          <cell r="B1737" t="str">
            <v>ja</v>
          </cell>
          <cell r="C1737" t="str">
            <v>罪與責之承諾 ‧ 美狄亞</v>
          </cell>
          <cell r="D1737" t="str">
            <v>各属性相性良3・黄・R455</v>
          </cell>
          <cell r="E1737" t="str">
            <v>執行者</v>
          </cell>
          <cell r="F1737" t="str">
            <v>格好いい</v>
          </cell>
          <cell r="G1737" t="str">
            <v>男性</v>
          </cell>
          <cell r="H1737" t="str">
            <v>red</v>
          </cell>
          <cell r="I1737">
            <v>6</v>
          </cell>
          <cell r="J1737" t="str">
            <v>PremiumSS</v>
          </cell>
          <cell r="K1737" t="str">
            <v>attack</v>
          </cell>
          <cell r="L1737" t="str">
            <v>攻撃タイプ</v>
          </cell>
          <cell r="M1737" t="str">
            <v>human</v>
          </cell>
        </row>
        <row r="1738">
          <cell r="A1738">
            <v>8133</v>
          </cell>
          <cell r="B1738" t="str">
            <v>ja</v>
          </cell>
          <cell r="C1738" t="str">
            <v>大魔導士 ‧ 莫莉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blue</v>
          </cell>
          <cell r="I1738">
            <v>5</v>
          </cell>
          <cell r="J1738" t="str">
            <v>PremiumS</v>
          </cell>
          <cell r="K1738" t="str">
            <v>heal</v>
          </cell>
          <cell r="L1738" t="str">
            <v>回復タイプ</v>
          </cell>
          <cell r="M1738" t="str">
            <v>human</v>
          </cell>
        </row>
        <row r="1739">
          <cell r="A1739">
            <v>8134</v>
          </cell>
          <cell r="B1739" t="str">
            <v>ja</v>
          </cell>
          <cell r="C1739" t="str">
            <v>龍焰騎士 ‧ 肖恩</v>
          </cell>
          <cell r="D1739" t="str">
            <v>各属性相性良3・黄・R455</v>
          </cell>
          <cell r="E1739" t="str">
            <v>執行者</v>
          </cell>
          <cell r="F1739" t="str">
            <v>格好いい</v>
          </cell>
          <cell r="G1739" t="str">
            <v>男性</v>
          </cell>
          <cell r="H1739" t="str">
            <v>red</v>
          </cell>
          <cell r="I1739">
            <v>5</v>
          </cell>
          <cell r="J1739" t="str">
            <v>PremiumS</v>
          </cell>
          <cell r="K1739" t="str">
            <v>balance</v>
          </cell>
          <cell r="L1739" t="str">
            <v>バランスタイプ</v>
          </cell>
          <cell r="M1739" t="str">
            <v>human</v>
          </cell>
        </row>
        <row r="1740">
          <cell r="A1740">
            <v>8135</v>
          </cell>
          <cell r="B1740" t="str">
            <v>ja</v>
          </cell>
          <cell r="C1740" t="str">
            <v>混沌之翼 ‧ 路西法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yellow</v>
          </cell>
          <cell r="I1740">
            <v>5</v>
          </cell>
          <cell r="J1740" t="str">
            <v>DropWizSS</v>
          </cell>
          <cell r="K1740" t="str">
            <v>attack</v>
          </cell>
          <cell r="L1740" t="str">
            <v>攻撃タイプ</v>
          </cell>
          <cell r="M1740" t="str">
            <v>god</v>
          </cell>
        </row>
        <row r="1741">
          <cell r="A1741">
            <v>8136</v>
          </cell>
          <cell r="B1741" t="str">
            <v>ja</v>
          </cell>
          <cell r="C1741" t="str">
            <v>混沌之翼 ‧ 路西法★6</v>
          </cell>
          <cell r="D1741" t="str">
            <v>各属性相性良3・黄・R455</v>
          </cell>
          <cell r="E1741" t="str">
            <v>執行者</v>
          </cell>
          <cell r="F1741" t="str">
            <v>格好いい</v>
          </cell>
          <cell r="G1741" t="str">
            <v>男性</v>
          </cell>
          <cell r="H1741" t="str">
            <v>yellow</v>
          </cell>
          <cell r="I1741">
            <v>6</v>
          </cell>
          <cell r="J1741" t="str">
            <v>DropWizSS</v>
          </cell>
          <cell r="K1741" t="str">
            <v>attack</v>
          </cell>
          <cell r="L1741" t="str">
            <v>攻撃タイプ</v>
          </cell>
          <cell r="M1741" t="str">
            <v>god</v>
          </cell>
        </row>
        <row r="1742">
          <cell r="A1742">
            <v>8137</v>
          </cell>
          <cell r="B1742" t="str">
            <v>ja</v>
          </cell>
          <cell r="C1742" t="str">
            <v>黑巫術之疚惡 ‧ 喀耳刻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balance</v>
          </cell>
          <cell r="L1742" t="str">
            <v>バランスタイプ</v>
          </cell>
          <cell r="M1742" t="str">
            <v>human</v>
          </cell>
        </row>
        <row r="1743">
          <cell r="A1743">
            <v>8138</v>
          </cell>
          <cell r="B1743" t="str">
            <v>ja</v>
          </cell>
          <cell r="C1743" t="str">
            <v>死靈魔導 ‧ 安多</v>
          </cell>
          <cell r="D1743" t="str">
            <v>各属性相性良3・黄・R455</v>
          </cell>
          <cell r="E1743" t="str">
            <v>執行者</v>
          </cell>
          <cell r="F1743" t="str">
            <v>格好いい</v>
          </cell>
          <cell r="G1743" t="str">
            <v>男性</v>
          </cell>
          <cell r="H1743" t="str">
            <v>red</v>
          </cell>
          <cell r="I1743">
            <v>5</v>
          </cell>
          <cell r="J1743" t="str">
            <v>Drop2N</v>
          </cell>
          <cell r="K1743" t="str">
            <v>attack</v>
          </cell>
          <cell r="L1743" t="str">
            <v>攻撃タイプ</v>
          </cell>
          <cell r="M1743" t="str">
            <v>human</v>
          </cell>
        </row>
        <row r="1744">
          <cell r="A1744">
            <v>9001</v>
          </cell>
          <cell r="B1744" t="str">
            <v>ja</v>
          </cell>
          <cell r="C1744" t="str">
            <v>春香</v>
          </cell>
          <cell r="D1744" t="str">
            <v>ポムポムプリン</v>
          </cell>
          <cell r="E1744" t="str">
            <v>執行者</v>
          </cell>
          <cell r="F1744" t="str">
            <v>格好いい</v>
          </cell>
          <cell r="G1744" t="str">
            <v>女性</v>
          </cell>
          <cell r="H1744" t="str">
            <v>red</v>
          </cell>
          <cell r="I1744">
            <v>5</v>
          </cell>
          <cell r="J1744" t="str">
            <v>PremiumSSw</v>
          </cell>
          <cell r="K1744" t="str">
            <v>attack</v>
          </cell>
          <cell r="L1744" t="str">
            <v>攻撃タイプ</v>
          </cell>
          <cell r="M1744" t="str">
            <v>human</v>
          </cell>
        </row>
        <row r="1745">
          <cell r="A1745">
            <v>9002</v>
          </cell>
          <cell r="B1745" t="str">
            <v>ja</v>
          </cell>
          <cell r="C1745" t="str">
            <v>春香★６</v>
          </cell>
          <cell r="D1745" t="str">
            <v>ポムポムプリン</v>
          </cell>
          <cell r="E1745" t="str">
            <v>執行者</v>
          </cell>
          <cell r="F1745" t="str">
            <v>格好いい</v>
          </cell>
          <cell r="G1745" t="str">
            <v>女性</v>
          </cell>
          <cell r="H1745" t="str">
            <v>red</v>
          </cell>
          <cell r="I1745">
            <v>6</v>
          </cell>
          <cell r="J1745" t="str">
            <v>PremiumSSw</v>
          </cell>
          <cell r="K1745" t="str">
            <v>attack</v>
          </cell>
          <cell r="L1745" t="str">
            <v>攻撃タイプ</v>
          </cell>
          <cell r="M1745" t="str">
            <v>human</v>
          </cell>
        </row>
        <row r="1746">
          <cell r="A1746">
            <v>9003</v>
          </cell>
          <cell r="B1746" t="str">
            <v>ja</v>
          </cell>
          <cell r="C1746" t="str">
            <v>夢龍</v>
          </cell>
          <cell r="D1746" t="str">
            <v>ポムポムプリン</v>
          </cell>
          <cell r="E1746" t="str">
            <v>執行者</v>
          </cell>
          <cell r="F1746" t="str">
            <v>格好いい</v>
          </cell>
          <cell r="G1746" t="str">
            <v>女性</v>
          </cell>
          <cell r="H1746" t="str">
            <v>green</v>
          </cell>
          <cell r="I1746">
            <v>5</v>
          </cell>
          <cell r="J1746" t="str">
            <v>DropWizS</v>
          </cell>
          <cell r="K1746" t="str">
            <v>heal</v>
          </cell>
          <cell r="L1746" t="str">
            <v>回復タイプ</v>
          </cell>
          <cell r="M1746" t="str">
            <v>dragon</v>
          </cell>
        </row>
        <row r="1747">
          <cell r="A1747">
            <v>9004</v>
          </cell>
          <cell r="B1747" t="str">
            <v>ja</v>
          </cell>
          <cell r="C1747" t="str">
            <v>夢龍★６</v>
          </cell>
          <cell r="D1747" t="str">
            <v>各属性相性良3・黄・R455</v>
          </cell>
          <cell r="E1747" t="str">
            <v>執行者</v>
          </cell>
          <cell r="F1747" t="str">
            <v>格好いい</v>
          </cell>
          <cell r="G1747" t="str">
            <v>男性</v>
          </cell>
          <cell r="H1747" t="str">
            <v>green</v>
          </cell>
          <cell r="I1747">
            <v>6</v>
          </cell>
          <cell r="J1747" t="str">
            <v>DropWizS</v>
          </cell>
          <cell r="K1747" t="str">
            <v>heal</v>
          </cell>
          <cell r="L1747" t="str">
            <v>回復タイプ</v>
          </cell>
          <cell r="M1747" t="str">
            <v>dragon</v>
          </cell>
        </row>
        <row r="1748">
          <cell r="A1748">
            <v>9005</v>
          </cell>
          <cell r="B1748" t="str">
            <v>ja</v>
          </cell>
          <cell r="C1748" t="str">
            <v>降臨</v>
          </cell>
          <cell r="D1748" t="str">
            <v>ポムポムプリン</v>
          </cell>
          <cell r="E1748" t="str">
            <v>執行者</v>
          </cell>
          <cell r="F1748" t="str">
            <v>格好いい</v>
          </cell>
          <cell r="G1748" t="str">
            <v>女性</v>
          </cell>
          <cell r="H1748" t="str">
            <v>blue</v>
          </cell>
          <cell r="I1748">
            <v>5</v>
          </cell>
          <cell r="J1748" t="str">
            <v>PremiumSSw</v>
          </cell>
          <cell r="K1748" t="str">
            <v>hp</v>
          </cell>
          <cell r="L1748" t="str">
            <v>体力タイプ</v>
          </cell>
          <cell r="M1748" t="str">
            <v>demon</v>
          </cell>
        </row>
        <row r="1749">
          <cell r="A1749">
            <v>9006</v>
          </cell>
          <cell r="B1749" t="str">
            <v>ja</v>
          </cell>
          <cell r="C1749" t="str">
            <v>降臨★６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blue</v>
          </cell>
          <cell r="I1749">
            <v>6</v>
          </cell>
          <cell r="J1749" t="str">
            <v>PremiumSSw</v>
          </cell>
          <cell r="K1749" t="str">
            <v>hp</v>
          </cell>
          <cell r="L1749" t="str">
            <v>体力タイプ</v>
          </cell>
          <cell r="M1749" t="str">
            <v>demon</v>
          </cell>
        </row>
        <row r="1750">
          <cell r="A1750">
            <v>9007</v>
          </cell>
          <cell r="B1750" t="str">
            <v>ja</v>
          </cell>
          <cell r="C1750" t="str">
            <v>田禹治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red</v>
          </cell>
          <cell r="I1750">
            <v>5</v>
          </cell>
          <cell r="J1750" t="str">
            <v>DropWizS</v>
          </cell>
          <cell r="K1750" t="str">
            <v>technical</v>
          </cell>
          <cell r="L1750" t="str">
            <v>テクニカルタイプ</v>
          </cell>
          <cell r="M1750" t="str">
            <v>hero</v>
          </cell>
        </row>
        <row r="1751">
          <cell r="A1751">
            <v>9008</v>
          </cell>
          <cell r="B1751" t="str">
            <v>ja</v>
          </cell>
          <cell r="C1751" t="str">
            <v>田禹治★６</v>
          </cell>
          <cell r="D1751" t="str">
            <v>各属性相性良3・黄・R455</v>
          </cell>
          <cell r="E1751" t="str">
            <v>執行者</v>
          </cell>
          <cell r="F1751" t="str">
            <v>格好いい</v>
          </cell>
          <cell r="G1751" t="str">
            <v>男性</v>
          </cell>
          <cell r="H1751" t="str">
            <v>red</v>
          </cell>
          <cell r="I1751">
            <v>6</v>
          </cell>
          <cell r="J1751" t="str">
            <v>DropWizS</v>
          </cell>
          <cell r="K1751" t="str">
            <v>technical</v>
          </cell>
          <cell r="L1751" t="str">
            <v>テクニカルタイプ</v>
          </cell>
          <cell r="M1751" t="str">
            <v>hero</v>
          </cell>
        </row>
        <row r="1752">
          <cell r="A1752">
            <v>10001</v>
          </cell>
          <cell r="B1752" t="str">
            <v>ja</v>
          </cell>
          <cell r="C1752" t="str">
            <v>テストユニット01</v>
          </cell>
          <cell r="H1752" t="str">
            <v>yellow</v>
          </cell>
          <cell r="I1752">
            <v>6</v>
          </cell>
          <cell r="J1752" t="str">
            <v>DropWizS</v>
          </cell>
          <cell r="K1752" t="str">
            <v>heal</v>
          </cell>
          <cell r="L1752" t="str">
            <v>回復タイプ</v>
          </cell>
          <cell r="M1752" t="str">
            <v>human</v>
          </cell>
        </row>
        <row r="1753">
          <cell r="A1753">
            <v>10002</v>
          </cell>
          <cell r="B1753" t="str">
            <v>ja</v>
          </cell>
          <cell r="C1753" t="str">
            <v>テストユニット02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technical</v>
          </cell>
          <cell r="L1753" t="str">
            <v>テクニカルタイプ</v>
          </cell>
          <cell r="M1753" t="str">
            <v>animal</v>
          </cell>
        </row>
        <row r="1754">
          <cell r="A1754">
            <v>10003</v>
          </cell>
          <cell r="B1754" t="str">
            <v>ja</v>
          </cell>
          <cell r="C1754" t="str">
            <v>テストユニット03</v>
          </cell>
          <cell r="H1754" t="str">
            <v>red</v>
          </cell>
          <cell r="I1754">
            <v>5</v>
          </cell>
          <cell r="J1754" t="str">
            <v>PremiumSSS</v>
          </cell>
          <cell r="K1754" t="str">
            <v>technical</v>
          </cell>
          <cell r="L1754" t="str">
            <v>テクニカルタイプ</v>
          </cell>
          <cell r="M1754" t="str">
            <v>academia</v>
          </cell>
        </row>
        <row r="1755">
          <cell r="A1755">
            <v>10004</v>
          </cell>
          <cell r="B1755" t="str">
            <v>ja</v>
          </cell>
          <cell r="C1755" t="str">
            <v>テストユニット04</v>
          </cell>
          <cell r="H1755" t="str">
            <v>red</v>
          </cell>
          <cell r="I1755">
            <v>6</v>
          </cell>
          <cell r="J1755" t="str">
            <v>PremiumSSS</v>
          </cell>
          <cell r="K1755" t="str">
            <v>technical</v>
          </cell>
          <cell r="L1755" t="str">
            <v>テクニカルタイプ</v>
          </cell>
          <cell r="M1755" t="str">
            <v>academia</v>
          </cell>
        </row>
        <row r="1756">
          <cell r="A1756">
            <v>10005</v>
          </cell>
          <cell r="B1756" t="str">
            <v>ja</v>
          </cell>
          <cell r="C1756" t="str">
            <v>テストユニット05</v>
          </cell>
          <cell r="H1756" t="str">
            <v>yellow</v>
          </cell>
          <cell r="I1756">
            <v>6</v>
          </cell>
          <cell r="J1756" t="str">
            <v>PremiumSS</v>
          </cell>
          <cell r="K1756" t="str">
            <v>technical</v>
          </cell>
          <cell r="L1756" t="str">
            <v>テクニカルタイプ</v>
          </cell>
          <cell r="M1756" t="str">
            <v>human</v>
          </cell>
        </row>
        <row r="1757">
          <cell r="A1757">
            <v>10006</v>
          </cell>
          <cell r="B1757" t="str">
            <v>ja</v>
          </cell>
          <cell r="C1757" t="str">
            <v>テストユニット06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attack</v>
          </cell>
          <cell r="L1757" t="str">
            <v>攻撃タイプ</v>
          </cell>
          <cell r="M1757" t="str">
            <v>animal</v>
          </cell>
        </row>
        <row r="1758">
          <cell r="A1758">
            <v>10007</v>
          </cell>
          <cell r="B1758" t="str">
            <v>ja</v>
          </cell>
          <cell r="C1758" t="str">
            <v>テストユニット07</v>
          </cell>
          <cell r="H1758" t="str">
            <v>yellow</v>
          </cell>
          <cell r="I1758">
            <v>5</v>
          </cell>
          <cell r="J1758" t="str">
            <v>PremiumSSS</v>
          </cell>
          <cell r="K1758" t="str">
            <v>technical</v>
          </cell>
          <cell r="L1758" t="str">
            <v>テクニカルタイプ</v>
          </cell>
          <cell r="M1758" t="str">
            <v>machine</v>
          </cell>
        </row>
        <row r="1759">
          <cell r="A1759">
            <v>10008</v>
          </cell>
          <cell r="B1759" t="str">
            <v>ja</v>
          </cell>
          <cell r="C1759" t="str">
            <v>テストユニット08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machine</v>
          </cell>
        </row>
        <row r="1760">
          <cell r="A1760">
            <v>10009</v>
          </cell>
          <cell r="B1760" t="str">
            <v>ja</v>
          </cell>
          <cell r="C1760" t="str">
            <v>青テスト01</v>
          </cell>
          <cell r="H1760" t="str">
            <v>blue</v>
          </cell>
          <cell r="I1760">
            <v>6</v>
          </cell>
          <cell r="J1760" t="str">
            <v>DropWizS</v>
          </cell>
          <cell r="K1760" t="str">
            <v>heal</v>
          </cell>
          <cell r="L1760" t="str">
            <v>回復タイプ</v>
          </cell>
          <cell r="M1760" t="str">
            <v>human</v>
          </cell>
        </row>
        <row r="1761">
          <cell r="A1761">
            <v>10010</v>
          </cell>
          <cell r="B1761" t="str">
            <v>ja</v>
          </cell>
          <cell r="C1761" t="str">
            <v>赤テスト01</v>
          </cell>
          <cell r="H1761" t="str">
            <v>red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human</v>
          </cell>
        </row>
        <row r="1762">
          <cell r="A1762">
            <v>10011</v>
          </cell>
          <cell r="B1762" t="str">
            <v>ja</v>
          </cell>
          <cell r="C1762" t="str">
            <v>テストユニット11</v>
          </cell>
          <cell r="H1762" t="str">
            <v>yellow</v>
          </cell>
          <cell r="I1762">
            <v>5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human</v>
          </cell>
        </row>
        <row r="1763">
          <cell r="A1763">
            <v>10012</v>
          </cell>
          <cell r="B1763" t="str">
            <v>ja</v>
          </cell>
          <cell r="C1763" t="str">
            <v>テストユニット12</v>
          </cell>
          <cell r="H1763" t="str">
            <v>blue</v>
          </cell>
          <cell r="I1763">
            <v>6</v>
          </cell>
          <cell r="J1763" t="str">
            <v>PremiumS</v>
          </cell>
          <cell r="K1763" t="str">
            <v>balance</v>
          </cell>
          <cell r="L1763" t="str">
            <v>バランスタイプ</v>
          </cell>
          <cell r="M1763" t="str">
            <v>human</v>
          </cell>
        </row>
        <row r="1764">
          <cell r="A1764">
            <v>10013</v>
          </cell>
          <cell r="B1764" t="str">
            <v>ja</v>
          </cell>
          <cell r="C1764" t="str">
            <v>テストユニット13</v>
          </cell>
          <cell r="H1764" t="str">
            <v>yellow</v>
          </cell>
          <cell r="I1764">
            <v>5</v>
          </cell>
          <cell r="J1764" t="str">
            <v>PremiumSSw</v>
          </cell>
          <cell r="K1764" t="str">
            <v>hp</v>
          </cell>
          <cell r="L1764" t="str">
            <v>体力タイプ</v>
          </cell>
          <cell r="M1764" t="str">
            <v>dragon</v>
          </cell>
        </row>
        <row r="1765">
          <cell r="A1765">
            <v>10014</v>
          </cell>
          <cell r="B1765" t="str">
            <v>ja</v>
          </cell>
          <cell r="C1765" t="str">
            <v>テストユニット14</v>
          </cell>
          <cell r="H1765" t="str">
            <v>yellow</v>
          </cell>
          <cell r="I1765">
            <v>6</v>
          </cell>
          <cell r="J1765" t="str">
            <v>PremiumSSw</v>
          </cell>
          <cell r="K1765" t="str">
            <v>hp</v>
          </cell>
          <cell r="L1765" t="str">
            <v>体力タイプ</v>
          </cell>
          <cell r="M1765" t="str">
            <v>dragon</v>
          </cell>
        </row>
        <row r="1766">
          <cell r="A1766">
            <v>10015</v>
          </cell>
          <cell r="B1766" t="str">
            <v>ja</v>
          </cell>
          <cell r="C1766" t="str">
            <v>テストユニット15</v>
          </cell>
          <cell r="H1766" t="str">
            <v>green</v>
          </cell>
          <cell r="I1766">
            <v>5</v>
          </cell>
          <cell r="J1766" t="str">
            <v>DropWizS</v>
          </cell>
          <cell r="K1766" t="str">
            <v>heal</v>
          </cell>
          <cell r="L1766" t="str">
            <v>回復タイプ</v>
          </cell>
          <cell r="M1766" t="str">
            <v>human</v>
          </cell>
        </row>
        <row r="1767">
          <cell r="A1767">
            <v>10016</v>
          </cell>
          <cell r="B1767" t="str">
            <v>ja</v>
          </cell>
          <cell r="C1767" t="str">
            <v>テストユニット16</v>
          </cell>
          <cell r="H1767" t="str">
            <v>green</v>
          </cell>
          <cell r="I1767">
            <v>6</v>
          </cell>
          <cell r="J1767" t="str">
            <v>DropWizS</v>
          </cell>
          <cell r="K1767" t="str">
            <v>heal</v>
          </cell>
          <cell r="L1767" t="str">
            <v>回復タイプ</v>
          </cell>
          <cell r="M1767" t="str">
            <v>human</v>
          </cell>
        </row>
        <row r="1768">
          <cell r="A1768">
            <v>10017</v>
          </cell>
          <cell r="B1768" t="str">
            <v>ja</v>
          </cell>
          <cell r="C1768" t="str">
            <v>テストユニット17</v>
          </cell>
          <cell r="H1768" t="str">
            <v>red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10018</v>
          </cell>
          <cell r="B1769" t="str">
            <v>ja</v>
          </cell>
          <cell r="C1769" t="str">
            <v>テストユニット18</v>
          </cell>
          <cell r="H1769" t="str">
            <v>blue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10019</v>
          </cell>
          <cell r="B1770" t="str">
            <v>ja</v>
          </cell>
          <cell r="C1770" t="str">
            <v>テストユニット19</v>
          </cell>
          <cell r="H1770" t="str">
            <v>green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10020</v>
          </cell>
          <cell r="B1771" t="str">
            <v>ja</v>
          </cell>
          <cell r="C1771" t="str">
            <v>テストユニット20</v>
          </cell>
          <cell r="H1771" t="str">
            <v>yellow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10021</v>
          </cell>
          <cell r="B1772" t="str">
            <v>ja</v>
          </cell>
          <cell r="C1772" t="str">
            <v>テストユニット21</v>
          </cell>
          <cell r="H1772" t="str">
            <v>blue</v>
          </cell>
          <cell r="I1772">
            <v>5</v>
          </cell>
          <cell r="J1772" t="str">
            <v>PremiumSSw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10022</v>
          </cell>
          <cell r="B1773" t="str">
            <v>ja</v>
          </cell>
          <cell r="C1773" t="str">
            <v>テストユニット22</v>
          </cell>
          <cell r="H1773" t="str">
            <v>blue</v>
          </cell>
          <cell r="I1773">
            <v>6</v>
          </cell>
          <cell r="J1773" t="str">
            <v>PremiumSSw</v>
          </cell>
          <cell r="K1773" t="str">
            <v>hp</v>
          </cell>
          <cell r="L1773" t="str">
            <v>体力タイプ</v>
          </cell>
          <cell r="M1773" t="str">
            <v>demon</v>
          </cell>
        </row>
        <row r="1774">
          <cell r="A1774">
            <v>10023</v>
          </cell>
          <cell r="B1774" t="str">
            <v>ja</v>
          </cell>
          <cell r="C1774" t="str">
            <v>テストユニット23</v>
          </cell>
          <cell r="H1774" t="str">
            <v>green</v>
          </cell>
          <cell r="I1774">
            <v>5</v>
          </cell>
          <cell r="J1774" t="str">
            <v>PremiumSSw</v>
          </cell>
          <cell r="K1774" t="str">
            <v>heal</v>
          </cell>
          <cell r="L1774" t="str">
            <v>回復タイプ</v>
          </cell>
          <cell r="M1774" t="str">
            <v>dragon</v>
          </cell>
        </row>
        <row r="1775">
          <cell r="A1775">
            <v>10024</v>
          </cell>
          <cell r="B1775" t="str">
            <v>ja</v>
          </cell>
          <cell r="C1775" t="str">
            <v>テストユニット24</v>
          </cell>
          <cell r="H1775" t="str">
            <v>green</v>
          </cell>
          <cell r="I1775">
            <v>6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dragon</v>
          </cell>
        </row>
        <row r="1776">
          <cell r="A1776">
            <v>10025</v>
          </cell>
          <cell r="B1776" t="str">
            <v>ja</v>
          </cell>
          <cell r="C1776" t="str">
            <v>テストユニット25</v>
          </cell>
          <cell r="H1776" t="str">
            <v>red</v>
          </cell>
          <cell r="I1776">
            <v>5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dragon</v>
          </cell>
        </row>
        <row r="1777">
          <cell r="A1777">
            <v>10026</v>
          </cell>
          <cell r="B1777" t="str">
            <v>ja</v>
          </cell>
          <cell r="C1777" t="str">
            <v>テストユニット26</v>
          </cell>
          <cell r="H1777" t="str">
            <v>red</v>
          </cell>
          <cell r="I1777">
            <v>6</v>
          </cell>
          <cell r="J1777" t="str">
            <v>PremiumSSw</v>
          </cell>
          <cell r="K1777" t="str">
            <v>hp</v>
          </cell>
          <cell r="L1777" t="str">
            <v>体力タイプ</v>
          </cell>
          <cell r="M1777" t="str">
            <v>dragon</v>
          </cell>
        </row>
        <row r="1778">
          <cell r="A1778">
            <v>10027</v>
          </cell>
          <cell r="B1778" t="str">
            <v>ja</v>
          </cell>
          <cell r="C1778" t="str">
            <v>テストユニット27</v>
          </cell>
          <cell r="H1778" t="str">
            <v>green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10028</v>
          </cell>
          <cell r="B1779" t="str">
            <v>ja</v>
          </cell>
          <cell r="C1779" t="str">
            <v>テストユニット28</v>
          </cell>
          <cell r="H1779" t="str">
            <v>yellow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10029</v>
          </cell>
          <cell r="B1780" t="str">
            <v>ja</v>
          </cell>
          <cell r="C1780" t="str">
            <v>テストユニット29</v>
          </cell>
          <cell r="H1780" t="str">
            <v>red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10030</v>
          </cell>
          <cell r="B1781" t="str">
            <v>ja</v>
          </cell>
          <cell r="C1781" t="str">
            <v>テストユニット30</v>
          </cell>
          <cell r="H1781" t="str">
            <v>blue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10031</v>
          </cell>
          <cell r="B1782" t="str">
            <v>ja</v>
          </cell>
          <cell r="C1782" t="str">
            <v>テストユニット31</v>
          </cell>
          <cell r="H1782" t="str">
            <v>green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10032</v>
          </cell>
          <cell r="B1783" t="str">
            <v>ja</v>
          </cell>
          <cell r="C1783" t="str">
            <v>テストユニット32</v>
          </cell>
          <cell r="H1783" t="str">
            <v>yellow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10033</v>
          </cell>
          <cell r="B1784" t="str">
            <v>ja</v>
          </cell>
          <cell r="C1784" t="str">
            <v>テストユニット33</v>
          </cell>
          <cell r="H1784" t="str">
            <v>red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10034</v>
          </cell>
          <cell r="B1785" t="str">
            <v>ja</v>
          </cell>
          <cell r="C1785" t="str">
            <v>テストユニット34</v>
          </cell>
          <cell r="H1785" t="str">
            <v>blue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10035</v>
          </cell>
          <cell r="B1786" t="str">
            <v>ja</v>
          </cell>
          <cell r="C1786" t="str">
            <v>テストユニット35</v>
          </cell>
          <cell r="H1786" t="str">
            <v>green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10036</v>
          </cell>
          <cell r="B1787" t="str">
            <v>ja</v>
          </cell>
          <cell r="C1787" t="str">
            <v>テストユニット36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10037</v>
          </cell>
          <cell r="B1788" t="str">
            <v>ja</v>
          </cell>
          <cell r="C1788" t="str">
            <v>テストユニット37</v>
          </cell>
          <cell r="H1788" t="str">
            <v>red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10038</v>
          </cell>
          <cell r="B1789" t="str">
            <v>ja</v>
          </cell>
          <cell r="C1789" t="str">
            <v>テストユニット38</v>
          </cell>
          <cell r="H1789" t="str">
            <v>blue</v>
          </cell>
          <cell r="I1789">
            <v>6</v>
          </cell>
          <cell r="J1789" t="str">
            <v>DropWizS</v>
          </cell>
          <cell r="K1789" t="str">
            <v>balance</v>
          </cell>
          <cell r="L1789" t="str">
            <v>バランスタイプ</v>
          </cell>
          <cell r="M1789" t="str">
            <v>god</v>
          </cell>
        </row>
        <row r="1790">
          <cell r="A1790">
            <v>10039</v>
          </cell>
          <cell r="B1790" t="str">
            <v>ja</v>
          </cell>
          <cell r="C1790" t="str">
            <v>テストユニット39</v>
          </cell>
          <cell r="H1790" t="str">
            <v>green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10040</v>
          </cell>
          <cell r="B1791" t="str">
            <v>ja</v>
          </cell>
          <cell r="C1791" t="str">
            <v>テストユニット40</v>
          </cell>
          <cell r="H1791" t="str">
            <v>yellow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10041</v>
          </cell>
          <cell r="B1792" t="str">
            <v>ja</v>
          </cell>
          <cell r="C1792" t="str">
            <v>テストユニット41</v>
          </cell>
          <cell r="H1792" t="str">
            <v>red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10042</v>
          </cell>
          <cell r="B1793" t="str">
            <v>ja</v>
          </cell>
          <cell r="C1793" t="str">
            <v>テストユニット42</v>
          </cell>
          <cell r="H1793" t="str">
            <v>blue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10043</v>
          </cell>
          <cell r="B1794" t="str">
            <v>ja</v>
          </cell>
          <cell r="C1794" t="str">
            <v>テストユニット43</v>
          </cell>
          <cell r="H1794" t="str">
            <v>green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10044</v>
          </cell>
          <cell r="B1795" t="str">
            <v>ja</v>
          </cell>
          <cell r="C1795" t="str">
            <v>テストユニット44</v>
          </cell>
          <cell r="H1795" t="str">
            <v>yellow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10045</v>
          </cell>
          <cell r="B1796" t="str">
            <v>ja</v>
          </cell>
          <cell r="C1796" t="str">
            <v>テストユニット45</v>
          </cell>
          <cell r="H1796" t="str">
            <v>red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10046</v>
          </cell>
          <cell r="B1797" t="str">
            <v>ja</v>
          </cell>
          <cell r="C1797" t="str">
            <v>テストユニット46</v>
          </cell>
          <cell r="H1797" t="str">
            <v>blue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10047</v>
          </cell>
          <cell r="B1798" t="str">
            <v>ja</v>
          </cell>
          <cell r="C1798" t="str">
            <v>テストユニット47</v>
          </cell>
          <cell r="H1798" t="str">
            <v>green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10048</v>
          </cell>
          <cell r="B1799" t="str">
            <v>ja</v>
          </cell>
          <cell r="C1799" t="str">
            <v>テストユニット48</v>
          </cell>
          <cell r="H1799" t="str">
            <v>yellow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10049</v>
          </cell>
          <cell r="B1800" t="str">
            <v>ja</v>
          </cell>
          <cell r="C1800" t="str">
            <v>テストユニット49</v>
          </cell>
          <cell r="H1800" t="str">
            <v>red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10050</v>
          </cell>
          <cell r="B1801" t="str">
            <v>ja</v>
          </cell>
          <cell r="C1801" t="str">
            <v>テストユニット50</v>
          </cell>
          <cell r="H1801" t="str">
            <v>blue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10051</v>
          </cell>
          <cell r="B1802" t="str">
            <v>ja</v>
          </cell>
          <cell r="C1802" t="str">
            <v>テストユニット51</v>
          </cell>
          <cell r="H1802" t="str">
            <v>green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10052</v>
          </cell>
          <cell r="B1803" t="str">
            <v>ja</v>
          </cell>
          <cell r="C1803" t="str">
            <v>テストユニット52</v>
          </cell>
          <cell r="H1803" t="str">
            <v>yellow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10053</v>
          </cell>
          <cell r="B1804" t="str">
            <v>ja</v>
          </cell>
          <cell r="C1804" t="str">
            <v>テストユニット53</v>
          </cell>
          <cell r="H1804" t="str">
            <v>red</v>
          </cell>
          <cell r="I1804">
            <v>6</v>
          </cell>
          <cell r="J1804" t="str">
            <v>PremiumSS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10054</v>
          </cell>
          <cell r="B1805" t="str">
            <v>ja</v>
          </cell>
          <cell r="C1805" t="str">
            <v>テストユニット54</v>
          </cell>
          <cell r="H1805" t="str">
            <v>blue</v>
          </cell>
          <cell r="I1805">
            <v>6</v>
          </cell>
          <cell r="J1805" t="str">
            <v>PremiumSS</v>
          </cell>
          <cell r="K1805" t="str">
            <v>balance</v>
          </cell>
          <cell r="L1805" t="str">
            <v>バランスタイプ</v>
          </cell>
          <cell r="M1805" t="str">
            <v>unknown</v>
          </cell>
        </row>
        <row r="1806">
          <cell r="A1806">
            <v>10055</v>
          </cell>
          <cell r="B1806" t="str">
            <v>ja</v>
          </cell>
          <cell r="C1806" t="str">
            <v>テストユニット55</v>
          </cell>
          <cell r="H1806" t="str">
            <v>green</v>
          </cell>
          <cell r="I1806">
            <v>6</v>
          </cell>
          <cell r="J1806" t="str">
            <v>PremiumSS</v>
          </cell>
          <cell r="K1806" t="str">
            <v>balance</v>
          </cell>
          <cell r="L1806" t="str">
            <v>バランスタイプ</v>
          </cell>
          <cell r="M1806" t="str">
            <v>unknown</v>
          </cell>
        </row>
        <row r="1807">
          <cell r="A1807">
            <v>10056</v>
          </cell>
          <cell r="B1807" t="str">
            <v>ja</v>
          </cell>
          <cell r="C1807" t="str">
            <v>テストユニット56</v>
          </cell>
          <cell r="H1807" t="str">
            <v>yellow</v>
          </cell>
          <cell r="I1807">
            <v>6</v>
          </cell>
          <cell r="J1807" t="str">
            <v>PremiumSS</v>
          </cell>
          <cell r="K1807" t="str">
            <v>balance</v>
          </cell>
          <cell r="L1807" t="str">
            <v>バランスタイプ</v>
          </cell>
          <cell r="M1807" t="str">
            <v>unknown</v>
          </cell>
        </row>
        <row r="1808">
          <cell r="A1808">
            <v>10057</v>
          </cell>
          <cell r="B1808" t="str">
            <v>ja</v>
          </cell>
          <cell r="C1808" t="str">
            <v>テストユニット57</v>
          </cell>
          <cell r="H1808" t="str">
            <v>red</v>
          </cell>
          <cell r="I1808">
            <v>6</v>
          </cell>
          <cell r="J1808" t="str">
            <v>PremiumSS</v>
          </cell>
          <cell r="K1808" t="str">
            <v>balance</v>
          </cell>
          <cell r="L1808" t="str">
            <v>バランスタイプ</v>
          </cell>
          <cell r="M1808" t="str">
            <v>unknown</v>
          </cell>
        </row>
        <row r="1809">
          <cell r="A1809">
            <v>10058</v>
          </cell>
          <cell r="B1809" t="str">
            <v>ja</v>
          </cell>
          <cell r="C1809" t="str">
            <v>テストユニット58</v>
          </cell>
          <cell r="H1809" t="str">
            <v>blue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10059</v>
          </cell>
          <cell r="B1810" t="str">
            <v>ja</v>
          </cell>
          <cell r="C1810" t="str">
            <v>テストユニット59</v>
          </cell>
          <cell r="H1810" t="str">
            <v>green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10060</v>
          </cell>
          <cell r="B1811" t="str">
            <v>ja</v>
          </cell>
          <cell r="C1811" t="str">
            <v>テストユニット60</v>
          </cell>
          <cell r="H1811" t="str">
            <v>yellow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10061</v>
          </cell>
          <cell r="B1812" t="str">
            <v>ja</v>
          </cell>
          <cell r="C1812" t="str">
            <v>テストユニット61</v>
          </cell>
          <cell r="H1812" t="str">
            <v>red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</row>
        <row r="1813">
          <cell r="A1813">
            <v>10062</v>
          </cell>
          <cell r="B1813" t="str">
            <v>ja</v>
          </cell>
          <cell r="C1813" t="str">
            <v>テストユニット62</v>
          </cell>
          <cell r="H1813" t="str">
            <v>blue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</row>
        <row r="1814">
          <cell r="A1814">
            <v>10063</v>
          </cell>
          <cell r="B1814" t="str">
            <v>ja</v>
          </cell>
          <cell r="C1814" t="str">
            <v>テストユニット63</v>
          </cell>
          <cell r="H1814" t="str">
            <v>green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10064</v>
          </cell>
          <cell r="B1815" t="str">
            <v>ja</v>
          </cell>
          <cell r="C1815" t="str">
            <v>テストユニット64</v>
          </cell>
          <cell r="H1815" t="str">
            <v>yellow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10065</v>
          </cell>
          <cell r="B1816" t="str">
            <v>ja</v>
          </cell>
          <cell r="C1816" t="str">
            <v>テストユニット65</v>
          </cell>
          <cell r="H1816" t="str">
            <v>red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10066</v>
          </cell>
          <cell r="B1817" t="str">
            <v>ja</v>
          </cell>
          <cell r="C1817" t="str">
            <v>テストユニット66</v>
          </cell>
          <cell r="H1817" t="str">
            <v>blue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10067</v>
          </cell>
          <cell r="B1818" t="str">
            <v>ja</v>
          </cell>
          <cell r="C1818" t="str">
            <v>テストユニット67</v>
          </cell>
          <cell r="H1818" t="str">
            <v>green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10068</v>
          </cell>
          <cell r="B1819" t="str">
            <v>ja</v>
          </cell>
          <cell r="C1819" t="str">
            <v>テストユニット68</v>
          </cell>
          <cell r="H1819" t="str">
            <v>yellow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10069</v>
          </cell>
          <cell r="B1820" t="str">
            <v>ja</v>
          </cell>
          <cell r="C1820" t="str">
            <v>テストユニット69</v>
          </cell>
          <cell r="H1820" t="str">
            <v>red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</row>
        <row r="1821">
          <cell r="A1821">
            <v>10070</v>
          </cell>
          <cell r="B1821" t="str">
            <v>ja</v>
          </cell>
          <cell r="C1821" t="str">
            <v>テストユニット70</v>
          </cell>
          <cell r="H1821" t="str">
            <v>blue</v>
          </cell>
          <cell r="I1821">
            <v>6</v>
          </cell>
          <cell r="J1821" t="str">
            <v>PremiumSSS</v>
          </cell>
          <cell r="K1821" t="str">
            <v>heal</v>
          </cell>
          <cell r="L1821" t="str">
            <v>回復タイプ</v>
          </cell>
          <cell r="M1821" t="str">
            <v>academia</v>
          </cell>
        </row>
        <row r="1822">
          <cell r="A1822">
            <v>10071</v>
          </cell>
          <cell r="B1822" t="str">
            <v>ja</v>
          </cell>
          <cell r="C1822" t="str">
            <v>テストユニット71</v>
          </cell>
          <cell r="H1822" t="str">
            <v>red</v>
          </cell>
          <cell r="I1822">
            <v>6</v>
          </cell>
          <cell r="J1822" t="str">
            <v>PremiumSSS</v>
          </cell>
          <cell r="K1822" t="str">
            <v>hp</v>
          </cell>
          <cell r="L1822" t="str">
            <v>体力タイプ</v>
          </cell>
          <cell r="M1822" t="str">
            <v>demon</v>
          </cell>
        </row>
        <row r="1823">
          <cell r="A1823">
            <v>10072</v>
          </cell>
          <cell r="B1823" t="str">
            <v>ja</v>
          </cell>
          <cell r="C1823" t="str">
            <v>テストユニット72</v>
          </cell>
          <cell r="H1823" t="str">
            <v>green</v>
          </cell>
          <cell r="I1823">
            <v>6</v>
          </cell>
          <cell r="J1823" t="str">
            <v>PremiumSSS</v>
          </cell>
          <cell r="K1823" t="str">
            <v>heal</v>
          </cell>
          <cell r="L1823" t="str">
            <v>回復タイプ</v>
          </cell>
          <cell r="M1823" t="str">
            <v>unknown</v>
          </cell>
        </row>
        <row r="1824">
          <cell r="A1824">
            <v>10073</v>
          </cell>
          <cell r="B1824" t="str">
            <v>ja</v>
          </cell>
          <cell r="C1824" t="str">
            <v>テストユニット73</v>
          </cell>
          <cell r="H1824" t="str">
            <v>green</v>
          </cell>
          <cell r="I1824">
            <v>6</v>
          </cell>
          <cell r="J1824" t="str">
            <v>PremiumSSS</v>
          </cell>
          <cell r="K1824" t="str">
            <v>attack</v>
          </cell>
          <cell r="L1824" t="str">
            <v>攻撃タイプ</v>
          </cell>
          <cell r="M1824" t="str">
            <v>samurai</v>
          </cell>
        </row>
        <row r="1825">
          <cell r="A1825">
            <v>10074</v>
          </cell>
          <cell r="B1825" t="str">
            <v>ja</v>
          </cell>
          <cell r="C1825" t="str">
            <v>テストユニット74</v>
          </cell>
          <cell r="H1825" t="str">
            <v>blue</v>
          </cell>
          <cell r="I1825">
            <v>6</v>
          </cell>
          <cell r="J1825" t="str">
            <v>PremiumSSS</v>
          </cell>
          <cell r="K1825" t="str">
            <v>balance</v>
          </cell>
          <cell r="L1825" t="str">
            <v>バランスタイプ</v>
          </cell>
          <cell r="M1825" t="str">
            <v>fantasy</v>
          </cell>
        </row>
        <row r="1826">
          <cell r="A1826">
            <v>10075</v>
          </cell>
          <cell r="B1826" t="str">
            <v>ja</v>
          </cell>
          <cell r="C1826" t="str">
            <v>テストユニット75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10076</v>
          </cell>
          <cell r="B1827" t="str">
            <v>ja</v>
          </cell>
          <cell r="C1827" t="str">
            <v>テストユニット76</v>
          </cell>
          <cell r="H1827" t="str">
            <v>yellow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10077</v>
          </cell>
          <cell r="B1828" t="str">
            <v>ja</v>
          </cell>
          <cell r="C1828" t="str">
            <v>テストユニット77</v>
          </cell>
          <cell r="H1828" t="str">
            <v>yellow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10078</v>
          </cell>
          <cell r="B1829" t="str">
            <v>ja</v>
          </cell>
          <cell r="C1829" t="str">
            <v>テストユニット78</v>
          </cell>
          <cell r="H1829" t="str">
            <v>red</v>
          </cell>
          <cell r="I1829">
            <v>6</v>
          </cell>
          <cell r="J1829" t="str">
            <v>PremiumSSS</v>
          </cell>
          <cell r="K1829" t="str">
            <v>attack</v>
          </cell>
          <cell r="L1829" t="str">
            <v>攻撃タイプ</v>
          </cell>
          <cell r="M1829" t="str">
            <v>human</v>
          </cell>
        </row>
        <row r="1830">
          <cell r="A1830">
            <v>10079</v>
          </cell>
          <cell r="B1830" t="str">
            <v>ja</v>
          </cell>
          <cell r="C1830" t="str">
            <v>テストユニット79</v>
          </cell>
          <cell r="H1830" t="str">
            <v>red</v>
          </cell>
          <cell r="I1830">
            <v>6</v>
          </cell>
          <cell r="J1830" t="str">
            <v>DropWizSS</v>
          </cell>
          <cell r="K1830" t="str">
            <v>hp</v>
          </cell>
          <cell r="L1830" t="str">
            <v>体力タイプ</v>
          </cell>
          <cell r="M1830" t="str">
            <v>hero</v>
          </cell>
        </row>
        <row r="1831">
          <cell r="A1831">
            <v>10080</v>
          </cell>
          <cell r="B1831" t="str">
            <v>ja</v>
          </cell>
          <cell r="C1831" t="str">
            <v>テストユニット80</v>
          </cell>
          <cell r="H1831" t="str">
            <v>yellow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10081</v>
          </cell>
          <cell r="B1832" t="str">
            <v>ja</v>
          </cell>
          <cell r="C1832" t="str">
            <v>テストユニット81</v>
          </cell>
          <cell r="H1832" t="str">
            <v>red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10082</v>
          </cell>
          <cell r="B1833" t="str">
            <v>ja</v>
          </cell>
          <cell r="C1833" t="str">
            <v>テストユニット82</v>
          </cell>
          <cell r="H1833" t="str">
            <v>blue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</row>
        <row r="1834">
          <cell r="A1834">
            <v>10083</v>
          </cell>
          <cell r="B1834" t="str">
            <v>ja</v>
          </cell>
          <cell r="C1834" t="str">
            <v>テストユニット83</v>
          </cell>
          <cell r="H1834" t="str">
            <v>green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</row>
        <row r="1835">
          <cell r="A1835">
            <v>10084</v>
          </cell>
          <cell r="B1835" t="str">
            <v>ja</v>
          </cell>
          <cell r="C1835" t="str">
            <v>テストユニット84</v>
          </cell>
          <cell r="H1835" t="str">
            <v>yellow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</row>
        <row r="1836">
          <cell r="A1836">
            <v>10085</v>
          </cell>
          <cell r="B1836" t="str">
            <v>ja</v>
          </cell>
          <cell r="C1836" t="str">
            <v>テストユニット85</v>
          </cell>
          <cell r="H1836" t="str">
            <v>red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</row>
        <row r="1837">
          <cell r="A1837">
            <v>10086</v>
          </cell>
          <cell r="B1837" t="str">
            <v>ja</v>
          </cell>
          <cell r="C1837" t="str">
            <v>テストユニット86</v>
          </cell>
          <cell r="H1837" t="str">
            <v>blue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</row>
        <row r="1838">
          <cell r="A1838">
            <v>10087</v>
          </cell>
          <cell r="B1838" t="str">
            <v>ja</v>
          </cell>
          <cell r="C1838" t="str">
            <v>テストユニット87</v>
          </cell>
          <cell r="H1838" t="str">
            <v>green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</row>
        <row r="1839">
          <cell r="A1839">
            <v>10088</v>
          </cell>
          <cell r="B1839" t="str">
            <v>ja</v>
          </cell>
          <cell r="C1839" t="str">
            <v>テストユニット88</v>
          </cell>
          <cell r="H1839" t="str">
            <v>yellow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</row>
        <row r="1840">
          <cell r="A1840">
            <v>10089</v>
          </cell>
          <cell r="B1840" t="str">
            <v>ja</v>
          </cell>
          <cell r="C1840" t="str">
            <v>テストユニット89</v>
          </cell>
          <cell r="H1840" t="str">
            <v>red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</row>
        <row r="1841">
          <cell r="A1841">
            <v>10090</v>
          </cell>
          <cell r="B1841" t="str">
            <v>ja</v>
          </cell>
          <cell r="C1841" t="str">
            <v>テストユニット90</v>
          </cell>
          <cell r="H1841" t="str">
            <v>blue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</row>
        <row r="1842">
          <cell r="A1842">
            <v>10101</v>
          </cell>
          <cell r="B1842" t="str">
            <v>ja</v>
          </cell>
          <cell r="C1842" t="str">
            <v>Usagi-kun</v>
          </cell>
          <cell r="H1842" t="str">
            <v>blue</v>
          </cell>
          <cell r="I1842">
            <v>6</v>
          </cell>
          <cell r="J1842" t="str">
            <v>DropWizS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</row>
        <row r="1843">
          <cell r="A1843">
            <v>10102</v>
          </cell>
          <cell r="B1843" t="str">
            <v>ja</v>
          </cell>
          <cell r="C1843" t="str">
            <v>ローズ</v>
          </cell>
          <cell r="D1843" t="str">
            <v>未定</v>
          </cell>
          <cell r="E1843" t="str">
            <v>執行者</v>
          </cell>
          <cell r="F1843" t="str">
            <v>格好いい</v>
          </cell>
          <cell r="G1843" t="str">
            <v>不明</v>
          </cell>
          <cell r="H1843" t="str">
            <v>red</v>
          </cell>
          <cell r="I1843">
            <v>3</v>
          </cell>
          <cell r="J1843" t="str">
            <v>DropWizSSS</v>
          </cell>
          <cell r="K1843" t="str">
            <v>attack</v>
          </cell>
          <cell r="L1843" t="str">
            <v>攻撃タイプ</v>
          </cell>
          <cell r="M1843" t="str">
            <v>queen</v>
          </cell>
        </row>
        <row r="1844">
          <cell r="A1844">
            <v>10103</v>
          </cell>
          <cell r="B1844" t="str">
            <v>ja</v>
          </cell>
          <cell r="C1844" t="str">
            <v>ローズ</v>
          </cell>
          <cell r="D1844" t="str">
            <v>未定</v>
          </cell>
          <cell r="E1844" t="str">
            <v>執行者</v>
          </cell>
          <cell r="F1844" t="str">
            <v>格好いい</v>
          </cell>
          <cell r="G1844" t="str">
            <v>不明</v>
          </cell>
          <cell r="H1844" t="str">
            <v>red</v>
          </cell>
          <cell r="I1844">
            <v>4</v>
          </cell>
          <cell r="J1844" t="str">
            <v>DropWizSSS</v>
          </cell>
          <cell r="K1844" t="str">
            <v>attack</v>
          </cell>
          <cell r="L1844" t="str">
            <v>攻撃タイプ</v>
          </cell>
          <cell r="M184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246</v>
      </c>
      <c r="B2" s="61" t="s">
        <v>110</v>
      </c>
      <c r="C2" s="50" t="str">
        <f t="shared" ref="C2" si="0">RIGHT(F2,6)</f>
        <v>603010</v>
      </c>
      <c r="D2" s="19" t="s">
        <v>45</v>
      </c>
      <c r="E2" s="17" t="str">
        <f t="shared" ref="E2" si="1">B2&amp;C2&amp;D2</f>
        <v>gacha_select_tables_603010.tmp</v>
      </c>
      <c r="F2" s="103" t="s">
        <v>255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246</v>
      </c>
      <c r="B3" s="61" t="s">
        <v>110</v>
      </c>
      <c r="C3" s="50" t="str">
        <f t="shared" ref="C3:C8" si="2">RIGHT(F3,6)</f>
        <v>603100</v>
      </c>
      <c r="D3" s="19" t="s">
        <v>45</v>
      </c>
      <c r="E3" s="17" t="str">
        <f t="shared" ref="E3:E11" si="3">B3&amp;C3&amp;D3</f>
        <v>gacha_select_tables_603100.tmp</v>
      </c>
      <c r="F3" s="103" t="s">
        <v>256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251</v>
      </c>
      <c r="B4" s="94" t="s">
        <v>247</v>
      </c>
      <c r="C4" s="95" t="str">
        <f t="shared" si="2"/>
        <v>603100</v>
      </c>
      <c r="D4" s="19" t="s">
        <v>248</v>
      </c>
      <c r="E4" s="17" t="str">
        <f t="shared" si="3"/>
        <v>gacha_settle_tables_603100.tmp</v>
      </c>
      <c r="F4" s="103" t="s">
        <v>257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6" t="s">
        <v>251</v>
      </c>
      <c r="B5" s="94" t="s">
        <v>247</v>
      </c>
      <c r="C5" s="95" t="str">
        <f t="shared" ref="C5" si="4">RIGHT(F5,6)</f>
        <v>603104</v>
      </c>
      <c r="D5" s="19" t="s">
        <v>248</v>
      </c>
      <c r="E5" s="17" t="str">
        <f t="shared" ref="E5" si="5">B5&amp;C5&amp;D5</f>
        <v>gacha_settle_tables_603104.tmp</v>
      </c>
      <c r="F5" s="103" t="s">
        <v>258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si="2"/>
        <v>363104</v>
      </c>
      <c r="D6" s="19" t="s">
        <v>45</v>
      </c>
      <c r="E6" s="17" t="str">
        <f t="shared" ref="E6:E8" si="6">B6&amp;C6&amp;D6</f>
        <v>gacha_select_tables_363104.tmp</v>
      </c>
      <c r="F6" s="89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ref="C7" si="7">RIGHT(F7,6)</f>
        <v>363105</v>
      </c>
      <c r="D7" s="19" t="s">
        <v>45</v>
      </c>
      <c r="E7" s="17" t="str">
        <f t="shared" ref="E7" si="8">B7&amp;C7&amp;D7</f>
        <v>gacha_select_tables_363105.tmp</v>
      </c>
      <c r="F7" s="89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61" t="s">
        <v>110</v>
      </c>
      <c r="C8" s="50" t="str">
        <f t="shared" si="2"/>
        <v>363100</v>
      </c>
      <c r="D8" s="19" t="s">
        <v>45</v>
      </c>
      <c r="E8" s="17" t="str">
        <f t="shared" si="6"/>
        <v>gacha_select_tables_363100.tmp</v>
      </c>
      <c r="F8" s="89" t="s">
        <v>245</v>
      </c>
      <c r="G8" s="49" t="s">
        <v>84</v>
      </c>
      <c r="H8" s="22" t="s">
        <v>0</v>
      </c>
      <c r="I8" s="22" t="s">
        <v>3</v>
      </c>
      <c r="J8" s="22" t="s">
        <v>4</v>
      </c>
      <c r="K8" s="22" t="s">
        <v>5</v>
      </c>
      <c r="L8" s="22" t="s">
        <v>6</v>
      </c>
      <c r="M8" s="22" t="s">
        <v>7</v>
      </c>
      <c r="N8" s="22" t="s">
        <v>8</v>
      </c>
      <c r="O8" s="22" t="s">
        <v>9</v>
      </c>
    </row>
    <row r="9" spans="1:21" x14ac:dyDescent="0.15">
      <c r="A9" s="86" t="s">
        <v>241</v>
      </c>
      <c r="B9" s="27" t="s">
        <v>50</v>
      </c>
      <c r="C9" s="32">
        <v>591</v>
      </c>
      <c r="D9" s="19" t="s">
        <v>46</v>
      </c>
      <c r="E9" s="17" t="str">
        <f t="shared" si="3"/>
        <v>gacha_bonus_tables_591.tmp</v>
      </c>
      <c r="F9" s="19" t="s">
        <v>47</v>
      </c>
      <c r="G9" s="21" t="s">
        <v>11</v>
      </c>
      <c r="H9" s="23" t="s">
        <v>14</v>
      </c>
      <c r="I9" s="21" t="s">
        <v>12</v>
      </c>
      <c r="J9" s="20"/>
      <c r="K9" s="20"/>
      <c r="L9" s="20"/>
      <c r="M9" s="20"/>
      <c r="N9" s="20"/>
      <c r="O9" s="20"/>
    </row>
    <row r="10" spans="1:21" x14ac:dyDescent="0.15">
      <c r="A10" s="86" t="s">
        <v>241</v>
      </c>
      <c r="B10" s="19" t="s">
        <v>48</v>
      </c>
      <c r="C10" s="32">
        <v>591</v>
      </c>
      <c r="D10" s="19" t="s">
        <v>46</v>
      </c>
      <c r="E10" s="17" t="str">
        <f t="shared" si="3"/>
        <v>gifts_tmp_591.tmp</v>
      </c>
      <c r="F10" s="19" t="s">
        <v>47</v>
      </c>
      <c r="G10" s="23" t="s">
        <v>22</v>
      </c>
      <c r="H10" s="24" t="s">
        <v>30</v>
      </c>
      <c r="I10" s="23" t="s">
        <v>23</v>
      </c>
      <c r="J10" s="23" t="s">
        <v>24</v>
      </c>
      <c r="K10" s="23" t="s">
        <v>24</v>
      </c>
      <c r="L10" s="23" t="s">
        <v>25</v>
      </c>
      <c r="M10" s="23" t="s">
        <v>25</v>
      </c>
      <c r="N10" s="23" t="s">
        <v>25</v>
      </c>
      <c r="O10" s="51" t="s">
        <v>7</v>
      </c>
      <c r="P10" s="51" t="s">
        <v>9</v>
      </c>
      <c r="Q10" s="51" t="s">
        <v>6</v>
      </c>
      <c r="R10" s="51" t="s">
        <v>86</v>
      </c>
      <c r="S10" s="51" t="s">
        <v>8</v>
      </c>
      <c r="T10" s="51" t="s">
        <v>87</v>
      </c>
      <c r="U10" s="51" t="s">
        <v>5</v>
      </c>
    </row>
    <row r="11" spans="1:21" x14ac:dyDescent="0.15">
      <c r="A11" s="86" t="s">
        <v>241</v>
      </c>
      <c r="B11" s="19" t="s">
        <v>49</v>
      </c>
      <c r="C11" s="32">
        <v>591</v>
      </c>
      <c r="D11" s="19" t="s">
        <v>46</v>
      </c>
      <c r="E11" s="17" t="str">
        <f t="shared" si="3"/>
        <v>gifts_i18n_591.tmp</v>
      </c>
      <c r="F11" s="19" t="s">
        <v>47</v>
      </c>
      <c r="G11" s="23" t="s">
        <v>13</v>
      </c>
      <c r="H11" s="25" t="s">
        <v>26</v>
      </c>
      <c r="I11" s="25" t="s">
        <v>27</v>
      </c>
      <c r="J11" s="25" t="s">
        <v>28</v>
      </c>
      <c r="K11" s="25" t="s">
        <v>29</v>
      </c>
      <c r="L11" s="26"/>
      <c r="M11" s="23"/>
      <c r="N11" s="23"/>
      <c r="O11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F21" sqref="F2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603010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1346</v>
      </c>
      <c r="M3" s="37" t="str">
        <f>VLOOKUP(L3,[1]characters!$A:$C,3,FALSE)</f>
        <v>セルシウス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e">
        <f>VLOOKUP(L3,tables_603010!B:C,2,FALSE)</f>
        <v>#N/A</v>
      </c>
      <c r="R3" s="62">
        <f t="shared" ref="R3:R20" si="1">N3*A$36</f>
        <v>1455000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VLOOKUP(L4,tables_603010!B:C,2,FALSE)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</v>
      </c>
      <c r="D5" t="s">
        <v>201</v>
      </c>
      <c r="E5" s="43">
        <f>(B11-H5)/(F5-I5)</f>
        <v>1.3333333333333335E-3</v>
      </c>
      <c r="F5">
        <f>(COUNTIF(tables_603010!C:C,input_603010!A28)+COUNTIF(tables_603010!C:C,input_603010!A29))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VLOOKUP(L5,tables_603010!B:C,2,FALSE)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0.44999999999999996</v>
      </c>
      <c r="D6" t="s">
        <v>202</v>
      </c>
      <c r="E6" s="76">
        <f>(B10-H6)/(F6-I6)</f>
        <v>9.1752577319587636E-3</v>
      </c>
      <c r="F6">
        <f>(COUNTIF(tables_603010!C:C,input_603010!A25)+COUNTIF(tables_603010!C:C,input_603010!A18)+COUNTIF(tables_603010!C:C,input_603010!A20)+COUNTIF(tables_603010!C:C,input_603010!A22))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VLOOKUP(L6,tables_603010!B:C,2,FALSE)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VLOOKUP(L7,tables_603010!B:C,2,FALSE)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VLOOKUP(L8,tables_603010!B:C,2,FALSE)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VLOOKUP(L9,tables_603010!B:C,2,FALSE)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VLOOKUP(L10,tables_603010!B:C,2,FALSE)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252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VLOOKUP(L11,tables_603010!B:C,2,FALSE)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VLOOKUP(L12,tables_603010!B:C,2,FALSE)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VLOOKUP(L13,tables_603010!B:C,2,FALSE)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VLOOKUP(L14,tables_603010!B:C,2,FALSE)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VLOOKUP(L15,tables_603010!B:C,2,FALSE)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VLOOKUP(L16,tables_603010!B:C,2,FALSE)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0.19447422680412371</v>
      </c>
      <c r="C17" s="84">
        <f t="shared" ref="C17:C31" si="2">SUMIF(Q:Q,A17,N:N)</f>
        <v>0</v>
      </c>
      <c r="D17" s="74">
        <f t="shared" ref="D17:D32" si="3">B17-C17</f>
        <v>0.19447422680412371</v>
      </c>
      <c r="E17">
        <f>COUNTIF(tables_603010!C:C,input_603010!A17)-COUNTIF(Q:Q,A17)</f>
        <v>20</v>
      </c>
      <c r="F17" s="43">
        <f>IFERROR(B17/E17,0)</f>
        <v>9.7237113402061856E-3</v>
      </c>
      <c r="G17">
        <f t="shared" ref="G17:G31" si="4">A$36*B17</f>
        <v>28296000</v>
      </c>
      <c r="H17">
        <f t="shared" ref="H17:H31" si="5">IFERROR(ROUND(G17/E17,5),0)</f>
        <v>1414800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VLOOKUP(L17,tables_603010!B:C,2,FALSE)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3.1529553264604757E-2</v>
      </c>
      <c r="C18" s="84">
        <f t="shared" si="2"/>
        <v>0</v>
      </c>
      <c r="D18" s="74">
        <f t="shared" si="3"/>
        <v>3.1529553264604757E-2</v>
      </c>
      <c r="E18">
        <f>COUNTIF(tables_603010!C:C,input_603010!A18)-COUNTIF(Q:Q,A18)</f>
        <v>20</v>
      </c>
      <c r="F18" s="43">
        <f>IFERROR(B18/E18,0)</f>
        <v>1.5764776632302378E-3</v>
      </c>
      <c r="G18">
        <f t="shared" si="4"/>
        <v>4587549.9999999925</v>
      </c>
      <c r="H18">
        <f t="shared" si="5"/>
        <v>229377.5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VLOOKUP(L18,tables_603010!B:C,2,FALSE)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0.19084536082474229</v>
      </c>
      <c r="C19" s="84">
        <f t="shared" si="2"/>
        <v>0</v>
      </c>
      <c r="D19" s="74">
        <f t="shared" si="3"/>
        <v>0.19084536082474229</v>
      </c>
      <c r="E19">
        <f>COUNTIF(tables_603010!C:C,input_603010!A19)-COUNTIF(Q:Q,A19)</f>
        <v>52</v>
      </c>
      <c r="F19" s="43">
        <f t="shared" ref="F19:F31" si="8">IFERROR(B19/E19,0)</f>
        <v>3.6701030927835058E-3</v>
      </c>
      <c r="G19">
        <f t="shared" si="4"/>
        <v>27768000.000000004</v>
      </c>
      <c r="H19">
        <f t="shared" si="5"/>
        <v>534000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VLOOKUP(L19,tables_603010!B:C,2,FALSE)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0.21470103092783505</v>
      </c>
      <c r="C20" s="84">
        <f t="shared" si="2"/>
        <v>0</v>
      </c>
      <c r="D20" s="74">
        <f t="shared" si="3"/>
        <v>0.21470103092783505</v>
      </c>
      <c r="E20">
        <f>COUNTIF(tables_603010!C:C,input_603010!A20)-COUNTIF(Q:Q,A20)</f>
        <v>52</v>
      </c>
      <c r="F20" s="43">
        <f t="shared" si="8"/>
        <v>4.1288659793814429E-3</v>
      </c>
      <c r="G20">
        <f t="shared" si="4"/>
        <v>31239000</v>
      </c>
      <c r="H20">
        <f t="shared" si="5"/>
        <v>600750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VLOOKUP(L20,tables_603010!B:C,2,FALSE)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2.906838487972508E-2</v>
      </c>
      <c r="C21" s="84">
        <f t="shared" si="2"/>
        <v>0</v>
      </c>
      <c r="D21" s="74">
        <f t="shared" si="3"/>
        <v>2.906838487972508E-2</v>
      </c>
      <c r="E21">
        <f>COUNTIF(tables_603010!C:C,input_603010!A21)-COUNTIF(Q:Q,A21)</f>
        <v>52</v>
      </c>
      <c r="F21" s="43">
        <f t="shared" si="8"/>
        <v>5.5900740153317459E-4</v>
      </c>
      <c r="G21">
        <f t="shared" si="4"/>
        <v>4229449.9999999991</v>
      </c>
      <c r="H21">
        <f t="shared" si="5"/>
        <v>81335.576920000007</v>
      </c>
      <c r="I21">
        <f t="shared" si="6"/>
        <v>0.576920000006794</v>
      </c>
      <c r="J21">
        <f t="shared" si="7"/>
        <v>1.7333425778066693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0.15552061855670105</v>
      </c>
      <c r="C22" s="84">
        <f t="shared" si="2"/>
        <v>0</v>
      </c>
      <c r="D22" s="74">
        <f t="shared" si="3"/>
        <v>0.15552061855670105</v>
      </c>
      <c r="E22">
        <f>COUNTIF(tables_603010!C:C,input_603010!A22)-COUNTIF(Q:Q,A22)</f>
        <v>21</v>
      </c>
      <c r="F22" s="43">
        <f t="shared" si="8"/>
        <v>7.4057437407952882E-3</v>
      </c>
      <c r="G22">
        <f t="shared" si="4"/>
        <v>22628250.000000004</v>
      </c>
      <c r="H22">
        <f t="shared" si="5"/>
        <v>1077535.71429</v>
      </c>
      <c r="I22">
        <f t="shared" si="6"/>
        <v>0.71429000003263354</v>
      </c>
      <c r="J22">
        <f t="shared" si="7"/>
        <v>1.3999915999864387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3.715979381443299E-2</v>
      </c>
      <c r="C23" s="84">
        <f t="shared" si="2"/>
        <v>0</v>
      </c>
      <c r="D23" s="74">
        <f t="shared" si="3"/>
        <v>3.715979381443299E-2</v>
      </c>
      <c r="E23">
        <f>COUNTIF(tables_603010!C:C,input_603010!A23)-COUNTIF(Q:Q,A23)</f>
        <v>27</v>
      </c>
      <c r="F23" s="43">
        <f t="shared" si="8"/>
        <v>1.3762886597938145E-3</v>
      </c>
      <c r="G23">
        <f t="shared" si="4"/>
        <v>5406750</v>
      </c>
      <c r="H23">
        <f t="shared" si="5"/>
        <v>200250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1.4680412371134023E-2</v>
      </c>
      <c r="C24" s="84">
        <f t="shared" si="2"/>
        <v>0</v>
      </c>
      <c r="D24" s="74">
        <f t="shared" si="3"/>
        <v>1.4680412371134023E-2</v>
      </c>
      <c r="E24">
        <f>COUNTIF(tables_603010!C:C,input_603010!A24)-COUNTIF(Q:Q,A24)</f>
        <v>4</v>
      </c>
      <c r="F24" s="43">
        <f t="shared" si="8"/>
        <v>3.6701030927835058E-3</v>
      </c>
      <c r="G24">
        <f t="shared" si="4"/>
        <v>2136000.0000000005</v>
      </c>
      <c r="H24">
        <f t="shared" si="5"/>
        <v>534000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1.6515463917525772E-2</v>
      </c>
      <c r="C25" s="84">
        <f t="shared" si="2"/>
        <v>0</v>
      </c>
      <c r="D25" s="74">
        <f t="shared" si="3"/>
        <v>1.6515463917525772E-2</v>
      </c>
      <c r="E25">
        <f>COUNTIF(tables_603010!C:C,input_603010!A25)-COUNTIF(Q:Q,A25)</f>
        <v>4</v>
      </c>
      <c r="F25" s="43">
        <f t="shared" si="8"/>
        <v>4.1288659793814429E-3</v>
      </c>
      <c r="G25">
        <f t="shared" si="4"/>
        <v>2403000</v>
      </c>
      <c r="H25">
        <f t="shared" si="5"/>
        <v>600750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5.5051546391752578E-3</v>
      </c>
      <c r="C26" s="84">
        <f t="shared" si="2"/>
        <v>0</v>
      </c>
      <c r="D26" s="74">
        <f t="shared" si="3"/>
        <v>5.5051546391752578E-3</v>
      </c>
      <c r="E26">
        <f>COUNTIF(tables_603010!C:C,input_603010!A26)-COUNTIF(Q:Q,A26)</f>
        <v>4</v>
      </c>
      <c r="F26" s="43">
        <f t="shared" si="8"/>
        <v>1.3762886597938145E-3</v>
      </c>
      <c r="G26">
        <f t="shared" si="4"/>
        <v>801000</v>
      </c>
      <c r="H26">
        <f t="shared" si="5"/>
        <v>200250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3.1733333333333336E-2</v>
      </c>
      <c r="C27" s="84">
        <f t="shared" si="2"/>
        <v>0</v>
      </c>
      <c r="D27" s="74">
        <f t="shared" si="3"/>
        <v>3.1733333333333336E-2</v>
      </c>
      <c r="E27">
        <f>COUNTIF(tables_603010!C:C,input_603010!A27)-COUNTIF(Q:Q,A27)</f>
        <v>28</v>
      </c>
      <c r="F27" s="43">
        <f>IFERROR(B27/E27,0)</f>
        <v>1.1333333333333334E-3</v>
      </c>
      <c r="G27">
        <f t="shared" si="4"/>
        <v>4617200</v>
      </c>
      <c r="H27">
        <f t="shared" si="5"/>
        <v>164900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5.5999999999999999E-3</v>
      </c>
      <c r="C28" s="84">
        <f t="shared" si="2"/>
        <v>0</v>
      </c>
      <c r="D28" s="74">
        <f t="shared" si="3"/>
        <v>5.5999999999999999E-3</v>
      </c>
      <c r="E28">
        <f>COUNTIF(tables_603010!C:C,input_603010!A28)-COUNTIF(Q:Q,A28)</f>
        <v>28</v>
      </c>
      <c r="F28" s="43">
        <f t="shared" si="8"/>
        <v>2.0000000000000001E-4</v>
      </c>
      <c r="G28">
        <f t="shared" si="4"/>
        <v>814800</v>
      </c>
      <c r="H28">
        <f t="shared" si="5"/>
        <v>29100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6.2666666666666676E-2</v>
      </c>
      <c r="C29" s="84">
        <f t="shared" si="2"/>
        <v>0</v>
      </c>
      <c r="D29" s="74">
        <f t="shared" si="3"/>
        <v>6.2666666666666676E-2</v>
      </c>
      <c r="E29">
        <f>COUNTIF(tables_603010!C:C,input_603010!A29)-COUNTIF(Q:Q,A29)</f>
        <v>47</v>
      </c>
      <c r="F29" s="43">
        <f t="shared" si="8"/>
        <v>1.3333333333333335E-3</v>
      </c>
      <c r="G29">
        <f t="shared" si="4"/>
        <v>9118000.0000000019</v>
      </c>
      <c r="H29">
        <f t="shared" si="5"/>
        <v>194000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COUNTIF(tables_603010!C:C,input_603010!A30)-COUNTIF(Q:Q,A30)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</v>
      </c>
      <c r="D31" s="74">
        <f t="shared" si="3"/>
        <v>0.01</v>
      </c>
      <c r="E31">
        <f>COUNTIF(tables_603010!C:C,input_603010!A31)-COUNTIF(Q:Q,A31)</f>
        <v>1</v>
      </c>
      <c r="F31" s="43">
        <f t="shared" si="8"/>
        <v>0.01</v>
      </c>
      <c r="G31">
        <f t="shared" si="4"/>
        <v>1455000</v>
      </c>
      <c r="H31">
        <f t="shared" si="5"/>
        <v>1455000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SUMIF(tables_603010!C:C,input_603010!A40,tables_603010!O:O)</f>
        <v>27768000</v>
      </c>
      <c r="C40" s="54">
        <f t="shared" ref="C40:C46" ca="1" si="9">B40/B$47</f>
        <v>0.40437784746946676</v>
      </c>
      <c r="E40">
        <v>3</v>
      </c>
      <c r="F40">
        <f ca="1">SUMIF(tables_603010!J:J,input_603010!E40,tables_603010!O:O)</f>
        <v>58200000</v>
      </c>
      <c r="G40">
        <f ca="1">F40/A36</f>
        <v>0.4</v>
      </c>
    </row>
    <row r="41" spans="1:7" x14ac:dyDescent="0.15">
      <c r="A41" s="33" t="s">
        <v>104</v>
      </c>
      <c r="B41">
        <f ca="1">SUMIF(tables_603010!C:C,input_603010!A41,tables_603010!O:O)</f>
        <v>31239000</v>
      </c>
      <c r="C41" s="54">
        <f t="shared" ca="1" si="9"/>
        <v>0.45492507840315011</v>
      </c>
      <c r="E41">
        <v>4</v>
      </c>
      <c r="F41">
        <f ca="1">SUMIF(tables_603010!J:J,input_603010!E41,tables_603010!O:O)</f>
        <v>65475000.00009001</v>
      </c>
      <c r="G41">
        <f ca="1">F41/A36</f>
        <v>0.45000000000061863</v>
      </c>
    </row>
    <row r="42" spans="1:7" x14ac:dyDescent="0.15">
      <c r="A42" s="33" t="s">
        <v>106</v>
      </c>
      <c r="B42">
        <f ca="1">SUMIF(tables_603010!C:C,input_603010!A42,tables_603010!O:O)</f>
        <v>4617200</v>
      </c>
      <c r="C42" s="54">
        <f t="shared" ca="1" si="9"/>
        <v>6.7239030442812653E-2</v>
      </c>
      <c r="E42">
        <v>5</v>
      </c>
      <c r="F42">
        <f ca="1">SUMIF(tables_603010!J:J,input_603010!E42,tables_603010!O:O)</f>
        <v>21824999.999839999</v>
      </c>
      <c r="G42">
        <f ca="1">F42/A36</f>
        <v>0.14999999999890035</v>
      </c>
    </row>
    <row r="43" spans="1:7" x14ac:dyDescent="0.15">
      <c r="A43" s="33" t="s">
        <v>109</v>
      </c>
      <c r="B43">
        <f>SUMIF(tables_603010!C:C,input_603010!A43,tables_603010!O:O)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SUMIF(tables_603010!C:C,input_603010!A44,tables_603010!O:O)</f>
        <v>4229449.9998399969</v>
      </c>
      <c r="C44" s="54">
        <f t="shared" ca="1" si="9"/>
        <v>6.1592332429956584E-2</v>
      </c>
      <c r="E44" t="s">
        <v>54</v>
      </c>
      <c r="F44" s="55"/>
    </row>
    <row r="45" spans="1:7" x14ac:dyDescent="0.15">
      <c r="A45" s="33" t="s">
        <v>107</v>
      </c>
      <c r="B45">
        <f ca="1">SUMIF(tables_603010!C:C,input_603010!A45,tables_603010!O:O)</f>
        <v>814800</v>
      </c>
      <c r="C45" s="54">
        <f t="shared" ca="1" si="9"/>
        <v>1.1865711254613998E-2</v>
      </c>
      <c r="E45" t="s">
        <v>204</v>
      </c>
      <c r="F45" s="55">
        <f ca="1">SUMIF(tables_603010!I:I,input_603010!E45,tables_603010!P:P)</f>
        <v>0.23426151202760401</v>
      </c>
    </row>
    <row r="46" spans="1:7" x14ac:dyDescent="0.15">
      <c r="A46" s="33" t="s">
        <v>108</v>
      </c>
      <c r="B46">
        <f>SUMIF(tables_603010!C:C,input_603010!A46,tables_603010!O:O)</f>
        <v>0</v>
      </c>
      <c r="C46" s="54">
        <f t="shared" ca="1" si="9"/>
        <v>0</v>
      </c>
      <c r="E46" t="s">
        <v>205</v>
      </c>
      <c r="F46" s="55">
        <f ca="1">SUMIF(tables_603010!I:I,input_603010!E46,tables_603010!P:P)</f>
        <v>0.16961137324846637</v>
      </c>
    </row>
    <row r="47" spans="1:7" x14ac:dyDescent="0.15">
      <c r="A47" s="39" t="s">
        <v>59</v>
      </c>
      <c r="B47">
        <f ca="1">SUM(B40:B46)</f>
        <v>68668449.999839991</v>
      </c>
      <c r="C47" s="55">
        <f ca="1">SUM(C40:C46)</f>
        <v>1</v>
      </c>
      <c r="E47" t="s">
        <v>206</v>
      </c>
      <c r="F47" s="55">
        <f ca="1">SUMIF(tables_603010!I:I,input_603010!E47,tables_603010!P:P)</f>
        <v>0.48612711472387693</v>
      </c>
    </row>
    <row r="48" spans="1:7" x14ac:dyDescent="0.15">
      <c r="E48" t="s">
        <v>207</v>
      </c>
      <c r="F48" s="55">
        <f ca="1">SUMIF(tables_603010!I:I,input_603010!E48,tables_603010!P:P)</f>
        <v>8.6666666666708456E-2</v>
      </c>
      <c r="G48" s="55"/>
    </row>
    <row r="49" spans="5:6" x14ac:dyDescent="0.15">
      <c r="E49" t="s">
        <v>249</v>
      </c>
      <c r="F49" s="55">
        <f ca="1">SUMIF(tables_603010!I:I,input_603010!E49,tables_603010!P:P)</f>
        <v>1.3333333333339747E-2</v>
      </c>
    </row>
    <row r="50" spans="5:6" x14ac:dyDescent="0.15">
      <c r="E50" t="s">
        <v>254</v>
      </c>
      <c r="F50" s="55">
        <f ca="1">SUMIF(tables_603010!I:I,input_603010!E50,tables_603010!P:P)</f>
        <v>1.0000000000004811E-2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3"/>
  <sheetViews>
    <sheetView showGridLines="0" zoomScale="75" zoomScaleNormal="75" zoomScalePageLayoutView="75" workbookViewId="0">
      <pane ySplit="1" topLeftCell="A313" activePane="bottomLeft" state="frozen"/>
      <selection activeCell="H276" sqref="H276"/>
      <selection pane="bottomLeft" activeCell="P2" sqref="P2:P36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input_603010!A$2</f>
        <v>603010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IFERROR(VLOOKUP(B2,input_603010!L:R,7,FALSE),VLOOKUP(tables_603010!C2,input_603010!A:H,8,FALSE))</f>
        <v>1414800</v>
      </c>
      <c r="P2" s="46">
        <f t="shared" ref="P2:P65" ca="1" si="1">O2/SUM(O:O)</f>
        <v>9.7237113402108642E-3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input_603010!A$2</f>
        <v>603010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IFERROR(VLOOKUP(B3,input_603010!L:R,7,FALSE),VLOOKUP(tables_603010!C3,input_603010!A:H,8,FALSE))</f>
        <v>229377.5</v>
      </c>
      <c r="P3" s="46">
        <f t="shared" ca="1" si="1"/>
        <v>1.5764776632309992E-3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input_603010!A$2</f>
        <v>603010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IFERROR(VLOOKUP(B4,input_603010!L:R,7,FALSE),VLOOKUP(tables_603010!C4,input_603010!A:H,8,FALSE))</f>
        <v>1414800</v>
      </c>
      <c r="P4" s="46">
        <f t="shared" ca="1" si="1"/>
        <v>9.7237113402108642E-3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input_603010!A$2</f>
        <v>603010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IFERROR(VLOOKUP(B5,input_603010!L:R,7,FALSE),VLOOKUP(tables_603010!C5,input_603010!A:H,8,FALSE))</f>
        <v>229377.5</v>
      </c>
      <c r="P5" s="46">
        <f t="shared" ca="1" si="1"/>
        <v>1.5764776632309992E-3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input_603010!A$2</f>
        <v>603010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IFERROR(VLOOKUP(B6,input_603010!L:R,7,FALSE),VLOOKUP(tables_603010!C6,input_603010!A:H,8,FALSE))</f>
        <v>1414800</v>
      </c>
      <c r="P6" s="46">
        <f t="shared" ca="1" si="1"/>
        <v>9.7237113402108642E-3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input_603010!A$2</f>
        <v>603010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IFERROR(VLOOKUP(B7,input_603010!L:R,7,FALSE),VLOOKUP(tables_603010!C7,input_603010!A:H,8,FALSE))</f>
        <v>229377.5</v>
      </c>
      <c r="P7" s="46">
        <f t="shared" ca="1" si="1"/>
        <v>1.5764776632309992E-3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input_603010!A$2</f>
        <v>603010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IFERROR(VLOOKUP(B8,input_603010!L:R,7,FALSE),VLOOKUP(tables_603010!C8,input_603010!A:H,8,FALSE))</f>
        <v>1414800</v>
      </c>
      <c r="P8" s="46">
        <f t="shared" ca="1" si="1"/>
        <v>9.7237113402108642E-3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input_603010!A$2</f>
        <v>603010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IFERROR(VLOOKUP(B9,input_603010!L:R,7,FALSE),VLOOKUP(tables_603010!C9,input_603010!A:H,8,FALSE))</f>
        <v>229377.5</v>
      </c>
      <c r="P9" s="46">
        <f t="shared" ca="1" si="1"/>
        <v>1.5764776632309992E-3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input_603010!A$2</f>
        <v>603010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IFERROR(VLOOKUP(B10,input_603010!L:R,7,FALSE),VLOOKUP(tables_603010!C10,input_603010!A:H,8,FALSE))</f>
        <v>1414800</v>
      </c>
      <c r="P10" s="46">
        <f t="shared" ca="1" si="1"/>
        <v>9.7237113402108642E-3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input_603010!A$2</f>
        <v>603010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IFERROR(VLOOKUP(B11,input_603010!L:R,7,FALSE),VLOOKUP(tables_603010!C11,input_603010!A:H,8,FALSE))</f>
        <v>229377.5</v>
      </c>
      <c r="P11" s="46">
        <f t="shared" ca="1" si="1"/>
        <v>1.5764776632309992E-3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input_603010!A$2</f>
        <v>603010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IFERROR(VLOOKUP(B12,input_603010!L:R,7,FALSE),VLOOKUP(tables_603010!C12,input_603010!A:H,8,FALSE))</f>
        <v>1414800</v>
      </c>
      <c r="P12" s="46">
        <f t="shared" ca="1" si="1"/>
        <v>9.7237113402108642E-3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input_603010!A$2</f>
        <v>603010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IFERROR(VLOOKUP(B13,input_603010!L:R,7,FALSE),VLOOKUP(tables_603010!C13,input_603010!A:H,8,FALSE))</f>
        <v>229377.5</v>
      </c>
      <c r="P13" s="46">
        <f t="shared" ca="1" si="1"/>
        <v>1.5764776632309992E-3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input_603010!A$2</f>
        <v>603010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IFERROR(VLOOKUP(B14,input_603010!L:R,7,FALSE),VLOOKUP(tables_603010!C14,input_603010!A:H,8,FALSE))</f>
        <v>1414800</v>
      </c>
      <c r="P14" s="46">
        <f t="shared" ca="1" si="1"/>
        <v>9.7237113402108642E-3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input_603010!A$2</f>
        <v>603010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IFERROR(VLOOKUP(B15,input_603010!L:R,7,FALSE),VLOOKUP(tables_603010!C15,input_603010!A:H,8,FALSE))</f>
        <v>229377.5</v>
      </c>
      <c r="P15" s="46">
        <f t="shared" ca="1" si="1"/>
        <v>1.5764776632309992E-3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input_603010!A$2</f>
        <v>603010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IFERROR(VLOOKUP(B16,input_603010!L:R,7,FALSE),VLOOKUP(tables_603010!C16,input_603010!A:H,8,FALSE))</f>
        <v>1414800</v>
      </c>
      <c r="P16" s="46">
        <f t="shared" ca="1" si="1"/>
        <v>9.7237113402108642E-3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input_603010!A$2</f>
        <v>603010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IFERROR(VLOOKUP(B17,input_603010!L:R,7,FALSE),VLOOKUP(tables_603010!C17,input_603010!A:H,8,FALSE))</f>
        <v>229377.5</v>
      </c>
      <c r="P17" s="46">
        <f t="shared" ca="1" si="1"/>
        <v>1.5764776632309992E-3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input_603010!A$2</f>
        <v>603010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IFERROR(VLOOKUP(B18,input_603010!L:R,7,FALSE),VLOOKUP(tables_603010!C18,input_603010!A:H,8,FALSE))</f>
        <v>1414800</v>
      </c>
      <c r="P18" s="46">
        <f t="shared" ca="1" si="1"/>
        <v>9.7237113402108642E-3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input_603010!A$2</f>
        <v>603010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IFERROR(VLOOKUP(B19,input_603010!L:R,7,FALSE),VLOOKUP(tables_603010!C19,input_603010!A:H,8,FALSE))</f>
        <v>229377.5</v>
      </c>
      <c r="P19" s="46">
        <f t="shared" ca="1" si="1"/>
        <v>1.5764776632309992E-3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input_603010!A$2</f>
        <v>603010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IFERROR(VLOOKUP(B20,input_603010!L:R,7,FALSE),VLOOKUP(tables_603010!C20,input_603010!A:H,8,FALSE))</f>
        <v>1414800</v>
      </c>
      <c r="P20" s="46">
        <f t="shared" ca="1" si="1"/>
        <v>9.7237113402108642E-3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input_603010!A$2</f>
        <v>603010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IFERROR(VLOOKUP(B21,input_603010!L:R,7,FALSE),VLOOKUP(tables_603010!C21,input_603010!A:H,8,FALSE))</f>
        <v>229377.5</v>
      </c>
      <c r="P21" s="46">
        <f t="shared" ca="1" si="1"/>
        <v>1.5764776632309992E-3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input_603010!A$2</f>
        <v>603010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IFERROR(VLOOKUP(B22,input_603010!L:R,7,FALSE),VLOOKUP(tables_603010!C22,input_603010!A:H,8,FALSE))</f>
        <v>1414800</v>
      </c>
      <c r="P22" s="46">
        <f t="shared" ca="1" si="1"/>
        <v>9.7237113402108642E-3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input_603010!A$2</f>
        <v>603010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IFERROR(VLOOKUP(B23,input_603010!L:R,7,FALSE),VLOOKUP(tables_603010!C23,input_603010!A:H,8,FALSE))</f>
        <v>229377.5</v>
      </c>
      <c r="P23" s="46">
        <f t="shared" ca="1" si="1"/>
        <v>1.5764776632309992E-3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input_603010!A$2</f>
        <v>603010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IFERROR(VLOOKUP(B24,input_603010!L:R,7,FALSE),VLOOKUP(tables_603010!C24,input_603010!A:H,8,FALSE))</f>
        <v>1414800</v>
      </c>
      <c r="P24" s="46">
        <f t="shared" ca="1" si="1"/>
        <v>9.7237113402108642E-3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input_603010!A$2</f>
        <v>603010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IFERROR(VLOOKUP(B25,input_603010!L:R,7,FALSE),VLOOKUP(tables_603010!C25,input_603010!A:H,8,FALSE))</f>
        <v>229377.5</v>
      </c>
      <c r="P25" s="46">
        <f t="shared" ca="1" si="1"/>
        <v>1.5764776632309992E-3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input_603010!A$2</f>
        <v>603010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IFERROR(VLOOKUP(B26,input_603010!L:R,7,FALSE),VLOOKUP(tables_603010!C26,input_603010!A:H,8,FALSE))</f>
        <v>1414800</v>
      </c>
      <c r="P26" s="46">
        <f t="shared" ca="1" si="1"/>
        <v>9.7237113402108642E-3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input_603010!A$2</f>
        <v>603010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IFERROR(VLOOKUP(B27,input_603010!L:R,7,FALSE),VLOOKUP(tables_603010!C27,input_603010!A:H,8,FALSE))</f>
        <v>229377.5</v>
      </c>
      <c r="P27" s="46">
        <f t="shared" ca="1" si="1"/>
        <v>1.5764776632309992E-3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input_603010!A$2</f>
        <v>603010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IFERROR(VLOOKUP(B28,input_603010!L:R,7,FALSE),VLOOKUP(tables_603010!C28,input_603010!A:H,8,FALSE))</f>
        <v>1414800</v>
      </c>
      <c r="P28" s="46">
        <f t="shared" ca="1" si="1"/>
        <v>9.7237113402108642E-3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input_603010!A$2</f>
        <v>603010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IFERROR(VLOOKUP(B29,input_603010!L:R,7,FALSE),VLOOKUP(tables_603010!C29,input_603010!A:H,8,FALSE))</f>
        <v>229377.5</v>
      </c>
      <c r="P29" s="46">
        <f t="shared" ca="1" si="1"/>
        <v>1.5764776632309992E-3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input_603010!A$2</f>
        <v>603010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IFERROR(VLOOKUP(B30,input_603010!L:R,7,FALSE),VLOOKUP(tables_603010!C30,input_603010!A:H,8,FALSE))</f>
        <v>1414800</v>
      </c>
      <c r="P30" s="46">
        <f t="shared" ca="1" si="1"/>
        <v>9.7237113402108642E-3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input_603010!A$2</f>
        <v>603010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IFERROR(VLOOKUP(B31,input_603010!L:R,7,FALSE),VLOOKUP(tables_603010!C31,input_603010!A:H,8,FALSE))</f>
        <v>229377.5</v>
      </c>
      <c r="P31" s="46">
        <f t="shared" ca="1" si="1"/>
        <v>1.5764776632309992E-3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input_603010!A$2</f>
        <v>603010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IFERROR(VLOOKUP(B32,input_603010!L:R,7,FALSE),VLOOKUP(tables_603010!C32,input_603010!A:H,8,FALSE))</f>
        <v>1414800</v>
      </c>
      <c r="P32" s="46">
        <f t="shared" ca="1" si="1"/>
        <v>9.7237113402108642E-3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input_603010!A$2</f>
        <v>603010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IFERROR(VLOOKUP(B33,input_603010!L:R,7,FALSE),VLOOKUP(tables_603010!C33,input_603010!A:H,8,FALSE))</f>
        <v>229377.5</v>
      </c>
      <c r="P33" s="46">
        <f t="shared" ca="1" si="1"/>
        <v>1.5764776632309992E-3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input_603010!A$2</f>
        <v>603010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IFERROR(VLOOKUP(B34,input_603010!L:R,7,FALSE),VLOOKUP(tables_603010!C34,input_603010!A:H,8,FALSE))</f>
        <v>1414800</v>
      </c>
      <c r="P34" s="46">
        <f t="shared" ca="1" si="1"/>
        <v>9.7237113402108642E-3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input_603010!A$2</f>
        <v>603010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IFERROR(VLOOKUP(B35,input_603010!L:R,7,FALSE),VLOOKUP(tables_603010!C35,input_603010!A:H,8,FALSE))</f>
        <v>229377.5</v>
      </c>
      <c r="P35" s="46">
        <f t="shared" ca="1" si="1"/>
        <v>1.5764776632309992E-3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input_603010!A$2</f>
        <v>603010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IFERROR(VLOOKUP(B36,input_603010!L:R,7,FALSE),VLOOKUP(tables_603010!C36,input_603010!A:H,8,FALSE))</f>
        <v>1414800</v>
      </c>
      <c r="P36" s="46">
        <f t="shared" ca="1" si="1"/>
        <v>9.7237113402108642E-3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input_603010!A$2</f>
        <v>603010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IFERROR(VLOOKUP(B37,input_603010!L:R,7,FALSE),VLOOKUP(tables_603010!C37,input_603010!A:H,8,FALSE))</f>
        <v>229377.5</v>
      </c>
      <c r="P37" s="46">
        <f t="shared" ca="1" si="1"/>
        <v>1.5764776632309992E-3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input_603010!A$2</f>
        <v>603010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IFERROR(VLOOKUP(B38,input_603010!L:R,7,FALSE),VLOOKUP(tables_603010!C38,input_603010!A:H,8,FALSE))</f>
        <v>1414800</v>
      </c>
      <c r="P38" s="46">
        <f t="shared" ca="1" si="1"/>
        <v>9.7237113402108642E-3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input_603010!A$2</f>
        <v>603010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IFERROR(VLOOKUP(B39,input_603010!L:R,7,FALSE),VLOOKUP(tables_603010!C39,input_603010!A:H,8,FALSE))</f>
        <v>229377.5</v>
      </c>
      <c r="P39" s="46">
        <f t="shared" ca="1" si="1"/>
        <v>1.5764776632309992E-3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input_603010!A$2</f>
        <v>603010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IFERROR(VLOOKUP(B40,input_603010!L:R,7,FALSE),VLOOKUP(tables_603010!C40,input_603010!A:H,8,FALSE))</f>
        <v>1414800</v>
      </c>
      <c r="P40" s="46">
        <f t="shared" ca="1" si="1"/>
        <v>9.7237113402108642E-3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input_603010!A$2</f>
        <v>603010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IFERROR(VLOOKUP(B41,input_603010!L:R,7,FALSE),VLOOKUP(tables_603010!C41,input_603010!A:H,8,FALSE))</f>
        <v>229377.5</v>
      </c>
      <c r="P41" s="46">
        <f t="shared" ca="1" si="1"/>
        <v>1.5764776632309992E-3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input_603010!A$2</f>
        <v>603010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IFERROR(VLOOKUP(B42,input_603010!L:R,7,FALSE),VLOOKUP(tables_603010!C42,input_603010!A:H,8,FALSE))</f>
        <v>534000</v>
      </c>
      <c r="P42" s="46">
        <f t="shared" ca="1" si="1"/>
        <v>3.6701030927852709E-3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input_603010!A$2</f>
        <v>603010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IFERROR(VLOOKUP(B43,input_603010!L:R,7,FALSE),VLOOKUP(tables_603010!C43,input_603010!A:H,8,FALSE))</f>
        <v>600750</v>
      </c>
      <c r="P43" s="46">
        <f t="shared" ca="1" si="1"/>
        <v>4.1288659793834301E-3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input_603010!A$2</f>
        <v>603010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IFERROR(VLOOKUP(B44,input_603010!L:R,7,FALSE),VLOOKUP(tables_603010!C44,input_603010!A:H,8,FALSE))</f>
        <v>200250</v>
      </c>
      <c r="P44" s="46">
        <f t="shared" ca="1" si="1"/>
        <v>1.3762886597944767E-3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input_603010!A$2</f>
        <v>603010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IFERROR(VLOOKUP(B45,input_603010!L:R,7,FALSE),VLOOKUP(tables_603010!C45,input_603010!A:H,8,FALSE))</f>
        <v>534000</v>
      </c>
      <c r="P45" s="46">
        <f t="shared" ca="1" si="1"/>
        <v>3.6701030927852709E-3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input_603010!A$2</f>
        <v>603010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IFERROR(VLOOKUP(B46,input_603010!L:R,7,FALSE),VLOOKUP(tables_603010!C46,input_603010!A:H,8,FALSE))</f>
        <v>600750</v>
      </c>
      <c r="P46" s="46">
        <f t="shared" ca="1" si="1"/>
        <v>4.1288659793834301E-3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input_603010!A$2</f>
        <v>603010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IFERROR(VLOOKUP(B47,input_603010!L:R,7,FALSE),VLOOKUP(tables_603010!C47,input_603010!A:H,8,FALSE))</f>
        <v>200250</v>
      </c>
      <c r="P47" s="46">
        <f t="shared" ca="1" si="1"/>
        <v>1.3762886597944767E-3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input_603010!A$2</f>
        <v>603010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IFERROR(VLOOKUP(B48,input_603010!L:R,7,FALSE),VLOOKUP(tables_603010!C48,input_603010!A:H,8,FALSE))</f>
        <v>534000</v>
      </c>
      <c r="P48" s="46">
        <f t="shared" ca="1" si="1"/>
        <v>3.6701030927852709E-3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input_603010!A$2</f>
        <v>603010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IFERROR(VLOOKUP(B49,input_603010!L:R,7,FALSE),VLOOKUP(tables_603010!C49,input_603010!A:H,8,FALSE))</f>
        <v>600750</v>
      </c>
      <c r="P49" s="46">
        <f t="shared" ca="1" si="1"/>
        <v>4.1288659793834301E-3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input_603010!A$2</f>
        <v>603010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IFERROR(VLOOKUP(B50,input_603010!L:R,7,FALSE),VLOOKUP(tables_603010!C50,input_603010!A:H,8,FALSE))</f>
        <v>200250</v>
      </c>
      <c r="P50" s="46">
        <f t="shared" ca="1" si="1"/>
        <v>1.3762886597944767E-3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input_603010!A$2</f>
        <v>603010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IFERROR(VLOOKUP(B51,input_603010!L:R,7,FALSE),VLOOKUP(tables_603010!C51,input_603010!A:H,8,FALSE))</f>
        <v>534000</v>
      </c>
      <c r="P51" s="46">
        <f t="shared" ca="1" si="1"/>
        <v>3.6701030927852709E-3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input_603010!A$2</f>
        <v>603010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IFERROR(VLOOKUP(B52,input_603010!L:R,7,FALSE),VLOOKUP(tables_603010!C52,input_603010!A:H,8,FALSE))</f>
        <v>600750</v>
      </c>
      <c r="P52" s="46">
        <f t="shared" ca="1" si="1"/>
        <v>4.1288659793834301E-3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input_603010!A$2</f>
        <v>603010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IFERROR(VLOOKUP(B53,input_603010!L:R,7,FALSE),VLOOKUP(tables_603010!C53,input_603010!A:H,8,FALSE))</f>
        <v>81335.576920000007</v>
      </c>
      <c r="P53" s="46">
        <f t="shared" ca="1" si="1"/>
        <v>5.5900740151229654E-4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input_603010!A$2</f>
        <v>603010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IFERROR(VLOOKUP(B54,input_603010!L:R,7,FALSE),VLOOKUP(tables_603010!C54,input_603010!A:H,8,FALSE))</f>
        <v>534000</v>
      </c>
      <c r="P54" s="46">
        <f t="shared" ca="1" si="1"/>
        <v>3.6701030927852709E-3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input_603010!A$2</f>
        <v>603010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IFERROR(VLOOKUP(B55,input_603010!L:R,7,FALSE),VLOOKUP(tables_603010!C55,input_603010!A:H,8,FALSE))</f>
        <v>600750</v>
      </c>
      <c r="P55" s="46">
        <f t="shared" ca="1" si="1"/>
        <v>4.1288659793834301E-3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input_603010!A$2</f>
        <v>603010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IFERROR(VLOOKUP(B56,input_603010!L:R,7,FALSE),VLOOKUP(tables_603010!C56,input_603010!A:H,8,FALSE))</f>
        <v>81335.576920000007</v>
      </c>
      <c r="P56" s="46">
        <f t="shared" ca="1" si="1"/>
        <v>5.5900740151229654E-4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input_603010!A$2</f>
        <v>603010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IFERROR(VLOOKUP(B57,input_603010!L:R,7,FALSE),VLOOKUP(tables_603010!C57,input_603010!A:H,8,FALSE))</f>
        <v>534000</v>
      </c>
      <c r="P57" s="46">
        <f t="shared" ca="1" si="1"/>
        <v>3.6701030927852709E-3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input_603010!A$2</f>
        <v>603010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IFERROR(VLOOKUP(B58,input_603010!L:R,7,FALSE),VLOOKUP(tables_603010!C58,input_603010!A:H,8,FALSE))</f>
        <v>600750</v>
      </c>
      <c r="P58" s="46">
        <f t="shared" ca="1" si="1"/>
        <v>4.1288659793834301E-3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input_603010!A$2</f>
        <v>603010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IFERROR(VLOOKUP(B59,input_603010!L:R,7,FALSE),VLOOKUP(tables_603010!C59,input_603010!A:H,8,FALSE))</f>
        <v>81335.576920000007</v>
      </c>
      <c r="P59" s="46">
        <f t="shared" ca="1" si="1"/>
        <v>5.5900740151229654E-4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input_603010!A$2</f>
        <v>603010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IFERROR(VLOOKUP(B60,input_603010!L:R,7,FALSE),VLOOKUP(tables_603010!C60,input_603010!A:H,8,FALSE))</f>
        <v>534000</v>
      </c>
      <c r="P60" s="46">
        <f t="shared" ca="1" si="1"/>
        <v>3.6701030927852709E-3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input_603010!A$2</f>
        <v>603010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IFERROR(VLOOKUP(B61,input_603010!L:R,7,FALSE),VLOOKUP(tables_603010!C61,input_603010!A:H,8,FALSE))</f>
        <v>600750</v>
      </c>
      <c r="P61" s="46">
        <f t="shared" ca="1" si="1"/>
        <v>4.1288659793834301E-3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input_603010!A$2</f>
        <v>603010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IFERROR(VLOOKUP(B62,input_603010!L:R,7,FALSE),VLOOKUP(tables_603010!C62,input_603010!A:H,8,FALSE))</f>
        <v>81335.576920000007</v>
      </c>
      <c r="P62" s="46">
        <f t="shared" ca="1" si="1"/>
        <v>5.5900740151229654E-4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input_603010!A$2</f>
        <v>603010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IFERROR(VLOOKUP(B63,input_603010!L:R,7,FALSE),VLOOKUP(tables_603010!C63,input_603010!A:H,8,FALSE))</f>
        <v>534000</v>
      </c>
      <c r="P63" s="46">
        <f t="shared" ca="1" si="1"/>
        <v>3.6701030927852709E-3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input_603010!A$2</f>
        <v>603010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IFERROR(VLOOKUP(B64,input_603010!L:R,7,FALSE),VLOOKUP(tables_603010!C64,input_603010!A:H,8,FALSE))</f>
        <v>600750</v>
      </c>
      <c r="P64" s="46">
        <f t="shared" ca="1" si="1"/>
        <v>4.1288659793834301E-3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input_603010!A$2</f>
        <v>603010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IFERROR(VLOOKUP(B65,input_603010!L:R,7,FALSE),VLOOKUP(tables_603010!C65,input_603010!A:H,8,FALSE))</f>
        <v>81335.576920000007</v>
      </c>
      <c r="P65" s="46">
        <f t="shared" ca="1" si="1"/>
        <v>5.5900740151229654E-4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input_603010!A$2</f>
        <v>603010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IFERROR(VLOOKUP(B66,input_603010!L:R,7,FALSE),VLOOKUP(tables_603010!C66,input_603010!A:H,8,FALSE))</f>
        <v>534000</v>
      </c>
      <c r="P66" s="46">
        <f t="shared" ref="P66:P129" ca="1" si="4">O66/SUM(O:O)</f>
        <v>3.6701030927852709E-3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input_603010!A$2</f>
        <v>603010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IFERROR(VLOOKUP(B67,input_603010!L:R,7,FALSE),VLOOKUP(tables_603010!C67,input_603010!A:H,8,FALSE))</f>
        <v>600750</v>
      </c>
      <c r="P67" s="46">
        <f t="shared" ca="1" si="4"/>
        <v>4.1288659793834301E-3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input_603010!A$2</f>
        <v>603010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IFERROR(VLOOKUP(B68,input_603010!L:R,7,FALSE),VLOOKUP(tables_603010!C68,input_603010!A:H,8,FALSE))</f>
        <v>81335.576920000007</v>
      </c>
      <c r="P68" s="46">
        <f t="shared" ca="1" si="4"/>
        <v>5.5900740151229654E-4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input_603010!A$2</f>
        <v>603010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IFERROR(VLOOKUP(B69,input_603010!L:R,7,FALSE),VLOOKUP(tables_603010!C69,input_603010!A:H,8,FALSE))</f>
        <v>534000</v>
      </c>
      <c r="P69" s="46">
        <f t="shared" ca="1" si="4"/>
        <v>3.6701030927852709E-3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input_603010!A$2</f>
        <v>603010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IFERROR(VLOOKUP(B70,input_603010!L:R,7,FALSE),VLOOKUP(tables_603010!C70,input_603010!A:H,8,FALSE))</f>
        <v>600750</v>
      </c>
      <c r="P70" s="46">
        <f t="shared" ca="1" si="4"/>
        <v>4.1288659793834301E-3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input_603010!A$2</f>
        <v>603010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IFERROR(VLOOKUP(B71,input_603010!L:R,7,FALSE),VLOOKUP(tables_603010!C71,input_603010!A:H,8,FALSE))</f>
        <v>81335.576920000007</v>
      </c>
      <c r="P71" s="46">
        <f t="shared" ca="1" si="4"/>
        <v>5.5900740151229654E-4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input_603010!A$2</f>
        <v>603010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IFERROR(VLOOKUP(B72,input_603010!L:R,7,FALSE),VLOOKUP(tables_603010!C72,input_603010!A:H,8,FALSE))</f>
        <v>534000</v>
      </c>
      <c r="P72" s="46">
        <f t="shared" ca="1" si="4"/>
        <v>3.6701030927852709E-3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input_603010!A$2</f>
        <v>603010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IFERROR(VLOOKUP(B73,input_603010!L:R,7,FALSE),VLOOKUP(tables_603010!C73,input_603010!A:H,8,FALSE))</f>
        <v>600750</v>
      </c>
      <c r="P73" s="46">
        <f t="shared" ca="1" si="4"/>
        <v>4.1288659793834301E-3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input_603010!A$2</f>
        <v>603010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IFERROR(VLOOKUP(B74,input_603010!L:R,7,FALSE),VLOOKUP(tables_603010!C74,input_603010!A:H,8,FALSE))</f>
        <v>81335.576920000007</v>
      </c>
      <c r="P74" s="46">
        <f t="shared" ca="1" si="4"/>
        <v>5.5900740151229654E-4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input_603010!A$2</f>
        <v>603010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IFERROR(VLOOKUP(B75,input_603010!L:R,7,FALSE),VLOOKUP(tables_603010!C75,input_603010!A:H,8,FALSE))</f>
        <v>534000</v>
      </c>
      <c r="P75" s="46">
        <f t="shared" ca="1" si="4"/>
        <v>3.6701030927852709E-3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input_603010!A$2</f>
        <v>603010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IFERROR(VLOOKUP(B76,input_603010!L:R,7,FALSE),VLOOKUP(tables_603010!C76,input_603010!A:H,8,FALSE))</f>
        <v>600750</v>
      </c>
      <c r="P76" s="46">
        <f t="shared" ca="1" si="4"/>
        <v>4.1288659793834301E-3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input_603010!A$2</f>
        <v>603010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IFERROR(VLOOKUP(B77,input_603010!L:R,7,FALSE),VLOOKUP(tables_603010!C77,input_603010!A:H,8,FALSE))</f>
        <v>81335.576920000007</v>
      </c>
      <c r="P77" s="46">
        <f t="shared" ca="1" si="4"/>
        <v>5.5900740151229654E-4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input_603010!A$2</f>
        <v>603010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IFERROR(VLOOKUP(B78,input_603010!L:R,7,FALSE),VLOOKUP(tables_603010!C78,input_603010!A:H,8,FALSE))</f>
        <v>534000</v>
      </c>
      <c r="P78" s="46">
        <f t="shared" ca="1" si="4"/>
        <v>3.6701030927852709E-3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input_603010!A$2</f>
        <v>603010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IFERROR(VLOOKUP(B79,input_603010!L:R,7,FALSE),VLOOKUP(tables_603010!C79,input_603010!A:H,8,FALSE))</f>
        <v>600750</v>
      </c>
      <c r="P79" s="46">
        <f t="shared" ca="1" si="4"/>
        <v>4.1288659793834301E-3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input_603010!A$2</f>
        <v>603010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IFERROR(VLOOKUP(B80,input_603010!L:R,7,FALSE),VLOOKUP(tables_603010!C80,input_603010!A:H,8,FALSE))</f>
        <v>81335.576920000007</v>
      </c>
      <c r="P80" s="46">
        <f t="shared" ca="1" si="4"/>
        <v>5.5900740151229654E-4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input_603010!A$2</f>
        <v>603010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IFERROR(VLOOKUP(B81,input_603010!L:R,7,FALSE),VLOOKUP(tables_603010!C81,input_603010!A:H,8,FALSE))</f>
        <v>534000</v>
      </c>
      <c r="P81" s="46">
        <f t="shared" ca="1" si="4"/>
        <v>3.6701030927852709E-3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input_603010!A$2</f>
        <v>603010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IFERROR(VLOOKUP(B82,input_603010!L:R,7,FALSE),VLOOKUP(tables_603010!C82,input_603010!A:H,8,FALSE))</f>
        <v>600750</v>
      </c>
      <c r="P82" s="46">
        <f t="shared" ca="1" si="4"/>
        <v>4.1288659793834301E-3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input_603010!A$2</f>
        <v>603010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IFERROR(VLOOKUP(B83,input_603010!L:R,7,FALSE),VLOOKUP(tables_603010!C83,input_603010!A:H,8,FALSE))</f>
        <v>81335.576920000007</v>
      </c>
      <c r="P83" s="46">
        <f t="shared" ca="1" si="4"/>
        <v>5.5900740151229654E-4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input_603010!A$2</f>
        <v>603010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IFERROR(VLOOKUP(B84,input_603010!L:R,7,FALSE),VLOOKUP(tables_603010!C84,input_603010!A:H,8,FALSE))</f>
        <v>534000</v>
      </c>
      <c r="P84" s="46">
        <f t="shared" ca="1" si="4"/>
        <v>3.6701030927852709E-3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input_603010!A$2</f>
        <v>603010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IFERROR(VLOOKUP(B85,input_603010!L:R,7,FALSE),VLOOKUP(tables_603010!C85,input_603010!A:H,8,FALSE))</f>
        <v>600750</v>
      </c>
      <c r="P85" s="46">
        <f t="shared" ca="1" si="4"/>
        <v>4.1288659793834301E-3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input_603010!A$2</f>
        <v>603010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IFERROR(VLOOKUP(B86,input_603010!L:R,7,FALSE),VLOOKUP(tables_603010!C86,input_603010!A:H,8,FALSE))</f>
        <v>81335.576920000007</v>
      </c>
      <c r="P86" s="46">
        <f t="shared" ca="1" si="4"/>
        <v>5.5900740151229654E-4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input_603010!A$2</f>
        <v>603010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IFERROR(VLOOKUP(B87,input_603010!L:R,7,FALSE),VLOOKUP(tables_603010!C87,input_603010!A:H,8,FALSE))</f>
        <v>534000</v>
      </c>
      <c r="P87" s="46">
        <f t="shared" ca="1" si="4"/>
        <v>3.6701030927852709E-3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input_603010!A$2</f>
        <v>603010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IFERROR(VLOOKUP(B88,input_603010!L:R,7,FALSE),VLOOKUP(tables_603010!C88,input_603010!A:H,8,FALSE))</f>
        <v>600750</v>
      </c>
      <c r="P88" s="46">
        <f t="shared" ca="1" si="4"/>
        <v>4.1288659793834301E-3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input_603010!A$2</f>
        <v>603010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IFERROR(VLOOKUP(B89,input_603010!L:R,7,FALSE),VLOOKUP(tables_603010!C89,input_603010!A:H,8,FALSE))</f>
        <v>81335.576920000007</v>
      </c>
      <c r="P89" s="46">
        <f t="shared" ca="1" si="4"/>
        <v>5.5900740151229654E-4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input_603010!A$2</f>
        <v>603010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IFERROR(VLOOKUP(B90,input_603010!L:R,7,FALSE),VLOOKUP(tables_603010!C90,input_603010!A:H,8,FALSE))</f>
        <v>534000</v>
      </c>
      <c r="P90" s="46">
        <f t="shared" ca="1" si="4"/>
        <v>3.6701030927852709E-3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input_603010!A$2</f>
        <v>603010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IFERROR(VLOOKUP(B91,input_603010!L:R,7,FALSE),VLOOKUP(tables_603010!C91,input_603010!A:H,8,FALSE))</f>
        <v>600750</v>
      </c>
      <c r="P91" s="46">
        <f t="shared" ca="1" si="4"/>
        <v>4.1288659793834301E-3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input_603010!A$2</f>
        <v>603010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IFERROR(VLOOKUP(B92,input_603010!L:R,7,FALSE),VLOOKUP(tables_603010!C92,input_603010!A:H,8,FALSE))</f>
        <v>81335.576920000007</v>
      </c>
      <c r="P92" s="46">
        <f t="shared" ca="1" si="4"/>
        <v>5.5900740151229654E-4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input_603010!A$2</f>
        <v>603010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IFERROR(VLOOKUP(B93,input_603010!L:R,7,FALSE),VLOOKUP(tables_603010!C93,input_603010!A:H,8,FALSE))</f>
        <v>534000</v>
      </c>
      <c r="P93" s="46">
        <f t="shared" ca="1" si="4"/>
        <v>3.6701030927852709E-3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input_603010!A$2</f>
        <v>603010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IFERROR(VLOOKUP(B94,input_603010!L:R,7,FALSE),VLOOKUP(tables_603010!C94,input_603010!A:H,8,FALSE))</f>
        <v>600750</v>
      </c>
      <c r="P94" s="46">
        <f t="shared" ca="1" si="4"/>
        <v>4.1288659793834301E-3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input_603010!A$2</f>
        <v>603010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IFERROR(VLOOKUP(B95,input_603010!L:R,7,FALSE),VLOOKUP(tables_603010!C95,input_603010!A:H,8,FALSE))</f>
        <v>81335.576920000007</v>
      </c>
      <c r="P95" s="46">
        <f t="shared" ca="1" si="4"/>
        <v>5.5900740151229654E-4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input_603010!A$2</f>
        <v>603010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IFERROR(VLOOKUP(B96,input_603010!L:R,7,FALSE),VLOOKUP(tables_603010!C96,input_603010!A:H,8,FALSE))</f>
        <v>534000</v>
      </c>
      <c r="P96" s="46">
        <f t="shared" ca="1" si="4"/>
        <v>3.6701030927852709E-3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input_603010!A$2</f>
        <v>603010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IFERROR(VLOOKUP(B97,input_603010!L:R,7,FALSE),VLOOKUP(tables_603010!C97,input_603010!A:H,8,FALSE))</f>
        <v>600750</v>
      </c>
      <c r="P97" s="46">
        <f t="shared" ca="1" si="4"/>
        <v>4.1288659793834301E-3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input_603010!A$2</f>
        <v>603010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IFERROR(VLOOKUP(B98,input_603010!L:R,7,FALSE),VLOOKUP(tables_603010!C98,input_603010!A:H,8,FALSE))</f>
        <v>81335.576920000007</v>
      </c>
      <c r="P98" s="46">
        <f t="shared" ca="1" si="4"/>
        <v>5.5900740151229654E-4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input_603010!A$2</f>
        <v>603010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IFERROR(VLOOKUP(B99,input_603010!L:R,7,FALSE),VLOOKUP(tables_603010!C99,input_603010!A:H,8,FALSE))</f>
        <v>534000</v>
      </c>
      <c r="P99" s="46">
        <f t="shared" ca="1" si="4"/>
        <v>3.6701030927852709E-3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input_603010!A$2</f>
        <v>603010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IFERROR(VLOOKUP(B100,input_603010!L:R,7,FALSE),VLOOKUP(tables_603010!C100,input_603010!A:H,8,FALSE))</f>
        <v>600750</v>
      </c>
      <c r="P100" s="46">
        <f t="shared" ca="1" si="4"/>
        <v>4.1288659793834301E-3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input_603010!A$2</f>
        <v>603010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IFERROR(VLOOKUP(B101,input_603010!L:R,7,FALSE),VLOOKUP(tables_603010!C101,input_603010!A:H,8,FALSE))</f>
        <v>81335.576920000007</v>
      </c>
      <c r="P101" s="46">
        <f t="shared" ca="1" si="4"/>
        <v>5.5900740151229654E-4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input_603010!A$2</f>
        <v>603010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IFERROR(VLOOKUP(B102,input_603010!L:R,7,FALSE),VLOOKUP(tables_603010!C102,input_603010!A:H,8,FALSE))</f>
        <v>534000</v>
      </c>
      <c r="P102" s="46">
        <f t="shared" ca="1" si="4"/>
        <v>3.6701030927852709E-3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input_603010!A$2</f>
        <v>603010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IFERROR(VLOOKUP(B103,input_603010!L:R,7,FALSE),VLOOKUP(tables_603010!C103,input_603010!A:H,8,FALSE))</f>
        <v>600750</v>
      </c>
      <c r="P103" s="46">
        <f t="shared" ca="1" si="4"/>
        <v>4.1288659793834301E-3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input_603010!A$2</f>
        <v>603010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IFERROR(VLOOKUP(B104,input_603010!L:R,7,FALSE),VLOOKUP(tables_603010!C104,input_603010!A:H,8,FALSE))</f>
        <v>81335.576920000007</v>
      </c>
      <c r="P104" s="46">
        <f t="shared" ca="1" si="4"/>
        <v>5.5900740151229654E-4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input_603010!A$2</f>
        <v>603010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IFERROR(VLOOKUP(B105,input_603010!L:R,7,FALSE),VLOOKUP(tables_603010!C105,input_603010!A:H,8,FALSE))</f>
        <v>534000</v>
      </c>
      <c r="P105" s="46">
        <f t="shared" ca="1" si="4"/>
        <v>3.6701030927852709E-3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input_603010!A$2</f>
        <v>603010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IFERROR(VLOOKUP(B106,input_603010!L:R,7,FALSE),VLOOKUP(tables_603010!C106,input_603010!A:H,8,FALSE))</f>
        <v>600750</v>
      </c>
      <c r="P106" s="46">
        <f t="shared" ca="1" si="4"/>
        <v>4.1288659793834301E-3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input_603010!A$2</f>
        <v>603010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IFERROR(VLOOKUP(B107,input_603010!L:R,7,FALSE),VLOOKUP(tables_603010!C107,input_603010!A:H,8,FALSE))</f>
        <v>81335.576920000007</v>
      </c>
      <c r="P107" s="46">
        <f t="shared" ca="1" si="4"/>
        <v>5.5900740151229654E-4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input_603010!A$2</f>
        <v>603010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IFERROR(VLOOKUP(B108,input_603010!L:R,7,FALSE),VLOOKUP(tables_603010!C108,input_603010!A:H,8,FALSE))</f>
        <v>534000</v>
      </c>
      <c r="P108" s="46">
        <f t="shared" ca="1" si="4"/>
        <v>3.6701030927852709E-3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input_603010!A$2</f>
        <v>603010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IFERROR(VLOOKUP(B109,input_603010!L:R,7,FALSE),VLOOKUP(tables_603010!C109,input_603010!A:H,8,FALSE))</f>
        <v>600750</v>
      </c>
      <c r="P109" s="46">
        <f t="shared" ca="1" si="4"/>
        <v>4.1288659793834301E-3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input_603010!A$2</f>
        <v>603010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IFERROR(VLOOKUP(B110,input_603010!L:R,7,FALSE),VLOOKUP(tables_603010!C110,input_603010!A:H,8,FALSE))</f>
        <v>81335.576920000007</v>
      </c>
      <c r="P110" s="46">
        <f t="shared" ca="1" si="4"/>
        <v>5.5900740151229654E-4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input_603010!A$2</f>
        <v>603010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IFERROR(VLOOKUP(B111,input_603010!L:R,7,FALSE),VLOOKUP(tables_603010!C111,input_603010!A:H,8,FALSE))</f>
        <v>534000</v>
      </c>
      <c r="P111" s="46">
        <f t="shared" ca="1" si="4"/>
        <v>3.6701030927852709E-3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input_603010!A$2</f>
        <v>603010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IFERROR(VLOOKUP(B112,input_603010!L:R,7,FALSE),VLOOKUP(tables_603010!C112,input_603010!A:H,8,FALSE))</f>
        <v>600750</v>
      </c>
      <c r="P112" s="46">
        <f t="shared" ca="1" si="4"/>
        <v>4.1288659793834301E-3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input_603010!A$2</f>
        <v>603010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IFERROR(VLOOKUP(B113,input_603010!L:R,7,FALSE),VLOOKUP(tables_603010!C113,input_603010!A:H,8,FALSE))</f>
        <v>200250</v>
      </c>
      <c r="P113" s="46">
        <f t="shared" ca="1" si="4"/>
        <v>1.3762886597944767E-3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input_603010!A$2</f>
        <v>603010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IFERROR(VLOOKUP(B114,input_603010!L:R,7,FALSE),VLOOKUP(tables_603010!C114,input_603010!A:H,8,FALSE))</f>
        <v>534000</v>
      </c>
      <c r="P114" s="46">
        <f t="shared" ca="1" si="4"/>
        <v>3.6701030927852709E-3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input_603010!A$2</f>
        <v>603010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IFERROR(VLOOKUP(B115,input_603010!L:R,7,FALSE),VLOOKUP(tables_603010!C115,input_603010!A:H,8,FALSE))</f>
        <v>600750</v>
      </c>
      <c r="P115" s="46">
        <f t="shared" ca="1" si="4"/>
        <v>4.1288659793834301E-3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input_603010!A$2</f>
        <v>603010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IFERROR(VLOOKUP(B116,input_603010!L:R,7,FALSE),VLOOKUP(tables_603010!C116,input_603010!A:H,8,FALSE))</f>
        <v>81335.576920000007</v>
      </c>
      <c r="P116" s="46">
        <f t="shared" ca="1" si="4"/>
        <v>5.5900740151229654E-4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input_603010!A$2</f>
        <v>603010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IFERROR(VLOOKUP(B117,input_603010!L:R,7,FALSE),VLOOKUP(tables_603010!C117,input_603010!A:H,8,FALSE))</f>
        <v>534000</v>
      </c>
      <c r="P117" s="46">
        <f t="shared" ca="1" si="4"/>
        <v>3.6701030927852709E-3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input_603010!A$2</f>
        <v>603010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IFERROR(VLOOKUP(B118,input_603010!L:R,7,FALSE),VLOOKUP(tables_603010!C118,input_603010!A:H,8,FALSE))</f>
        <v>600750</v>
      </c>
      <c r="P118" s="46">
        <f t="shared" ca="1" si="4"/>
        <v>4.1288659793834301E-3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input_603010!A$2</f>
        <v>603010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IFERROR(VLOOKUP(B119,input_603010!L:R,7,FALSE),VLOOKUP(tables_603010!C119,input_603010!A:H,8,FALSE))</f>
        <v>81335.576920000007</v>
      </c>
      <c r="P119" s="46">
        <f t="shared" ca="1" si="4"/>
        <v>5.5900740151229654E-4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input_603010!A$2</f>
        <v>603010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IFERROR(VLOOKUP(B120,input_603010!L:R,7,FALSE),VLOOKUP(tables_603010!C120,input_603010!A:H,8,FALSE))</f>
        <v>534000</v>
      </c>
      <c r="P120" s="46">
        <f t="shared" ca="1" si="4"/>
        <v>3.6701030927852709E-3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input_603010!A$2</f>
        <v>603010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IFERROR(VLOOKUP(B121,input_603010!L:R,7,FALSE),VLOOKUP(tables_603010!C121,input_603010!A:H,8,FALSE))</f>
        <v>600750</v>
      </c>
      <c r="P121" s="46">
        <f t="shared" ca="1" si="4"/>
        <v>4.1288659793834301E-3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input_603010!A$2</f>
        <v>603010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IFERROR(VLOOKUP(B122,input_603010!L:R,7,FALSE),VLOOKUP(tables_603010!C122,input_603010!A:H,8,FALSE))</f>
        <v>81335.576920000007</v>
      </c>
      <c r="P122" s="46">
        <f t="shared" ca="1" si="4"/>
        <v>5.5900740151229654E-4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input_603010!A$2</f>
        <v>603010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IFERROR(VLOOKUP(B123,input_603010!L:R,7,FALSE),VLOOKUP(tables_603010!C123,input_603010!A:H,8,FALSE))</f>
        <v>534000</v>
      </c>
      <c r="P123" s="46">
        <f t="shared" ca="1" si="4"/>
        <v>3.6701030927852709E-3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input_603010!A$2</f>
        <v>603010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IFERROR(VLOOKUP(B124,input_603010!L:R,7,FALSE),VLOOKUP(tables_603010!C124,input_603010!A:H,8,FALSE))</f>
        <v>600750</v>
      </c>
      <c r="P124" s="46">
        <f t="shared" ca="1" si="4"/>
        <v>4.1288659793834301E-3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input_603010!A$2</f>
        <v>603010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IFERROR(VLOOKUP(B125,input_603010!L:R,7,FALSE),VLOOKUP(tables_603010!C125,input_603010!A:H,8,FALSE))</f>
        <v>81335.576920000007</v>
      </c>
      <c r="P125" s="46">
        <f t="shared" ca="1" si="4"/>
        <v>5.5900740151229654E-4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input_603010!A$2</f>
        <v>603010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IFERROR(VLOOKUP(B126,input_603010!L:R,7,FALSE),VLOOKUP(tables_603010!C126,input_603010!A:H,8,FALSE))</f>
        <v>534000</v>
      </c>
      <c r="P126" s="46">
        <f t="shared" ca="1" si="4"/>
        <v>3.6701030927852709E-3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input_603010!A$2</f>
        <v>603010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IFERROR(VLOOKUP(B127,input_603010!L:R,7,FALSE),VLOOKUP(tables_603010!C127,input_603010!A:H,8,FALSE))</f>
        <v>600750</v>
      </c>
      <c r="P127" s="46">
        <f t="shared" ca="1" si="4"/>
        <v>4.1288659793834301E-3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input_603010!A$2</f>
        <v>603010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IFERROR(VLOOKUP(B128,input_603010!L:R,7,FALSE),VLOOKUP(tables_603010!C128,input_603010!A:H,8,FALSE))</f>
        <v>81335.576920000007</v>
      </c>
      <c r="P128" s="46">
        <f t="shared" ca="1" si="4"/>
        <v>5.5900740151229654E-4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input_603010!A$2</f>
        <v>603010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IFERROR(VLOOKUP(B129,input_603010!L:R,7,FALSE),VLOOKUP(tables_603010!C129,input_603010!A:H,8,FALSE))</f>
        <v>534000</v>
      </c>
      <c r="P129" s="46">
        <f t="shared" ca="1" si="4"/>
        <v>3.6701030927852709E-3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input_603010!A$2</f>
        <v>603010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IFERROR(VLOOKUP(B130,input_603010!L:R,7,FALSE),VLOOKUP(tables_603010!C130,input_603010!A:H,8,FALSE))</f>
        <v>600750</v>
      </c>
      <c r="P130" s="46">
        <f t="shared" ref="P130:P193" ca="1" si="7">O130/SUM(O:O)</f>
        <v>4.1288659793834301E-3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input_603010!A$2</f>
        <v>603010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IFERROR(VLOOKUP(B131,input_603010!L:R,7,FALSE),VLOOKUP(tables_603010!C131,input_603010!A:H,8,FALSE))</f>
        <v>81335.576920000007</v>
      </c>
      <c r="P131" s="46">
        <f t="shared" ca="1" si="7"/>
        <v>5.5900740151229654E-4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input_603010!A$2</f>
        <v>603010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IFERROR(VLOOKUP(B132,input_603010!L:R,7,FALSE),VLOOKUP(tables_603010!C132,input_603010!A:H,8,FALSE))</f>
        <v>534000</v>
      </c>
      <c r="P132" s="46">
        <f t="shared" ca="1" si="7"/>
        <v>3.6701030927852709E-3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input_603010!A$2</f>
        <v>603010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IFERROR(VLOOKUP(B133,input_603010!L:R,7,FALSE),VLOOKUP(tables_603010!C133,input_603010!A:H,8,FALSE))</f>
        <v>600750</v>
      </c>
      <c r="P133" s="46">
        <f t="shared" ca="1" si="7"/>
        <v>4.1288659793834301E-3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input_603010!A$2</f>
        <v>603010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IFERROR(VLOOKUP(B134,input_603010!L:R,7,FALSE),VLOOKUP(tables_603010!C134,input_603010!A:H,8,FALSE))</f>
        <v>81335.576920000007</v>
      </c>
      <c r="P134" s="46">
        <f t="shared" ca="1" si="7"/>
        <v>5.5900740151229654E-4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input_603010!A$2</f>
        <v>603010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IFERROR(VLOOKUP(B135,input_603010!L:R,7,FALSE),VLOOKUP(tables_603010!C135,input_603010!A:H,8,FALSE))</f>
        <v>534000</v>
      </c>
      <c r="P135" s="46">
        <f t="shared" ca="1" si="7"/>
        <v>3.6701030927852709E-3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input_603010!A$2</f>
        <v>603010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IFERROR(VLOOKUP(B136,input_603010!L:R,7,FALSE),VLOOKUP(tables_603010!C136,input_603010!A:H,8,FALSE))</f>
        <v>600750</v>
      </c>
      <c r="P136" s="46">
        <f t="shared" ca="1" si="7"/>
        <v>4.1288659793834301E-3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input_603010!A$2</f>
        <v>603010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IFERROR(VLOOKUP(B137,input_603010!L:R,7,FALSE),VLOOKUP(tables_603010!C137,input_603010!A:H,8,FALSE))</f>
        <v>81335.576920000007</v>
      </c>
      <c r="P137" s="46">
        <f t="shared" ca="1" si="7"/>
        <v>5.5900740151229654E-4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input_603010!A$2</f>
        <v>603010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IFERROR(VLOOKUP(B138,input_603010!L:R,7,FALSE),VLOOKUP(tables_603010!C138,input_603010!A:H,8,FALSE))</f>
        <v>164900</v>
      </c>
      <c r="P138" s="46">
        <f t="shared" ca="1" si="7"/>
        <v>1.1333333333338786E-3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input_603010!A$2</f>
        <v>603010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IFERROR(VLOOKUP(B139,input_603010!L:R,7,FALSE),VLOOKUP(tables_603010!C139,input_603010!A:H,8,FALSE))</f>
        <v>29100</v>
      </c>
      <c r="P139" s="46">
        <f t="shared" ca="1" si="7"/>
        <v>2.0000000000009623E-4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input_603010!A$2</f>
        <v>603010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IFERROR(VLOOKUP(B140,input_603010!L:R,7,FALSE),VLOOKUP(tables_603010!C140,input_603010!A:H,8,FALSE))</f>
        <v>164900</v>
      </c>
      <c r="P140" s="46">
        <f t="shared" ca="1" si="7"/>
        <v>1.1333333333338786E-3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input_603010!A$2</f>
        <v>603010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IFERROR(VLOOKUP(B141,input_603010!L:R,7,FALSE),VLOOKUP(tables_603010!C141,input_603010!A:H,8,FALSE))</f>
        <v>29100</v>
      </c>
      <c r="P141" s="46">
        <f t="shared" ca="1" si="7"/>
        <v>2.0000000000009623E-4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input_603010!A$2</f>
        <v>603010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IFERROR(VLOOKUP(B142,input_603010!L:R,7,FALSE),VLOOKUP(tables_603010!C142,input_603010!A:H,8,FALSE))</f>
        <v>164900</v>
      </c>
      <c r="P142" s="46">
        <f t="shared" ca="1" si="7"/>
        <v>1.1333333333338786E-3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input_603010!A$2</f>
        <v>603010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IFERROR(VLOOKUP(B143,input_603010!L:R,7,FALSE),VLOOKUP(tables_603010!C143,input_603010!A:H,8,FALSE))</f>
        <v>29100</v>
      </c>
      <c r="P143" s="46">
        <f t="shared" ca="1" si="7"/>
        <v>2.0000000000009623E-4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input_603010!A$2</f>
        <v>603010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IFERROR(VLOOKUP(B144,input_603010!L:R,7,FALSE),VLOOKUP(tables_603010!C144,input_603010!A:H,8,FALSE))</f>
        <v>164900</v>
      </c>
      <c r="P144" s="46">
        <f t="shared" ca="1" si="7"/>
        <v>1.1333333333338786E-3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input_603010!A$2</f>
        <v>603010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IFERROR(VLOOKUP(B145,input_603010!L:R,7,FALSE),VLOOKUP(tables_603010!C145,input_603010!A:H,8,FALSE))</f>
        <v>29100</v>
      </c>
      <c r="P145" s="46">
        <f t="shared" ca="1" si="7"/>
        <v>2.0000000000009623E-4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input_603010!A$2</f>
        <v>603010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IFERROR(VLOOKUP(B146,input_603010!L:R,7,FALSE),VLOOKUP(tables_603010!C146,input_603010!A:H,8,FALSE))</f>
        <v>534000</v>
      </c>
      <c r="P146" s="46">
        <f t="shared" ca="1" si="7"/>
        <v>3.6701030927852709E-3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input_603010!A$2</f>
        <v>603010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IFERROR(VLOOKUP(B147,input_603010!L:R,7,FALSE),VLOOKUP(tables_603010!C147,input_603010!A:H,8,FALSE))</f>
        <v>600750</v>
      </c>
      <c r="P147" s="46">
        <f t="shared" ca="1" si="7"/>
        <v>4.1288659793834301E-3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input_603010!A$2</f>
        <v>603010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IFERROR(VLOOKUP(B148,input_603010!L:R,7,FALSE),VLOOKUP(tables_603010!C148,input_603010!A:H,8,FALSE))</f>
        <v>81335.576920000007</v>
      </c>
      <c r="P148" s="46">
        <f t="shared" ca="1" si="7"/>
        <v>5.5900740151229654E-4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input_603010!A$2</f>
        <v>603010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IFERROR(VLOOKUP(B149,input_603010!L:R,7,FALSE),VLOOKUP(tables_603010!C149,input_603010!A:H,8,FALSE))</f>
        <v>164900</v>
      </c>
      <c r="P149" s="46">
        <f t="shared" ca="1" si="7"/>
        <v>1.1333333333338786E-3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input_603010!A$2</f>
        <v>603010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IFERROR(VLOOKUP(B150,input_603010!L:R,7,FALSE),VLOOKUP(tables_603010!C150,input_603010!A:H,8,FALSE))</f>
        <v>29100</v>
      </c>
      <c r="P150" s="46">
        <f t="shared" ca="1" si="7"/>
        <v>2.0000000000009623E-4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input_603010!A$2</f>
        <v>603010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IFERROR(VLOOKUP(B151,input_603010!L:R,7,FALSE),VLOOKUP(tables_603010!C151,input_603010!A:H,8,FALSE))</f>
        <v>164900</v>
      </c>
      <c r="P151" s="46">
        <f t="shared" ca="1" si="7"/>
        <v>1.1333333333338786E-3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input_603010!A$2</f>
        <v>603010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IFERROR(VLOOKUP(B152,input_603010!L:R,7,FALSE),VLOOKUP(tables_603010!C152,input_603010!A:H,8,FALSE))</f>
        <v>29100</v>
      </c>
      <c r="P152" s="46">
        <f t="shared" ca="1" si="7"/>
        <v>2.0000000000009623E-4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input_603010!A$2</f>
        <v>603010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IFERROR(VLOOKUP(B153,input_603010!L:R,7,FALSE),VLOOKUP(tables_603010!C153,input_603010!A:H,8,FALSE))</f>
        <v>534000</v>
      </c>
      <c r="P153" s="46">
        <f t="shared" ca="1" si="7"/>
        <v>3.6701030927852709E-3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input_603010!A$2</f>
        <v>603010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IFERROR(VLOOKUP(B154,input_603010!L:R,7,FALSE),VLOOKUP(tables_603010!C154,input_603010!A:H,8,FALSE))</f>
        <v>600750</v>
      </c>
      <c r="P154" s="46">
        <f t="shared" ca="1" si="7"/>
        <v>4.1288659793834301E-3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input_603010!A$2</f>
        <v>603010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IFERROR(VLOOKUP(B155,input_603010!L:R,7,FALSE),VLOOKUP(tables_603010!C155,input_603010!A:H,8,FALSE))</f>
        <v>81335.576920000007</v>
      </c>
      <c r="P155" s="46">
        <f t="shared" ca="1" si="7"/>
        <v>5.5900740151229654E-4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input_603010!A$2</f>
        <v>603010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IFERROR(VLOOKUP(B156,input_603010!L:R,7,FALSE),VLOOKUP(tables_603010!C156,input_603010!A:H,8,FALSE))</f>
        <v>164900</v>
      </c>
      <c r="P156" s="46">
        <f t="shared" ca="1" si="7"/>
        <v>1.1333333333338786E-3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input_603010!A$2</f>
        <v>603010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IFERROR(VLOOKUP(B157,input_603010!L:R,7,FALSE),VLOOKUP(tables_603010!C157,input_603010!A:H,8,FALSE))</f>
        <v>29100</v>
      </c>
      <c r="P157" s="46">
        <f t="shared" ca="1" si="7"/>
        <v>2.0000000000009623E-4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input_603010!A$2</f>
        <v>603010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IFERROR(VLOOKUP(B158,input_603010!L:R,7,FALSE),VLOOKUP(tables_603010!C158,input_603010!A:H,8,FALSE))</f>
        <v>534000</v>
      </c>
      <c r="P158" s="46">
        <f t="shared" ca="1" si="7"/>
        <v>3.6701030927852709E-3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input_603010!A$2</f>
        <v>603010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IFERROR(VLOOKUP(B159,input_603010!L:R,7,FALSE),VLOOKUP(tables_603010!C159,input_603010!A:H,8,FALSE))</f>
        <v>600750</v>
      </c>
      <c r="P159" s="46">
        <f t="shared" ca="1" si="7"/>
        <v>4.1288659793834301E-3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input_603010!A$2</f>
        <v>603010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IFERROR(VLOOKUP(B160,input_603010!L:R,7,FALSE),VLOOKUP(tables_603010!C160,input_603010!A:H,8,FALSE))</f>
        <v>81335.576920000007</v>
      </c>
      <c r="P160" s="46">
        <f t="shared" ca="1" si="7"/>
        <v>5.5900740151229654E-4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input_603010!A$2</f>
        <v>603010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IFERROR(VLOOKUP(B161,input_603010!L:R,7,FALSE),VLOOKUP(tables_603010!C161,input_603010!A:H,8,FALSE))</f>
        <v>534000</v>
      </c>
      <c r="P161" s="46">
        <f t="shared" ca="1" si="7"/>
        <v>3.6701030927852709E-3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input_603010!A$2</f>
        <v>603010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IFERROR(VLOOKUP(B162,input_603010!L:R,7,FALSE),VLOOKUP(tables_603010!C162,input_603010!A:H,8,FALSE))</f>
        <v>600750</v>
      </c>
      <c r="P162" s="46">
        <f t="shared" ca="1" si="7"/>
        <v>4.1288659793834301E-3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input_603010!A$2</f>
        <v>603010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IFERROR(VLOOKUP(B163,input_603010!L:R,7,FALSE),VLOOKUP(tables_603010!C163,input_603010!A:H,8,FALSE))</f>
        <v>81335.576920000007</v>
      </c>
      <c r="P163" s="46">
        <f t="shared" ca="1" si="7"/>
        <v>5.5900740151229654E-4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input_603010!A$2</f>
        <v>603010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IFERROR(VLOOKUP(B164,input_603010!L:R,7,FALSE),VLOOKUP(tables_603010!C164,input_603010!A:H,8,FALSE))</f>
        <v>164900</v>
      </c>
      <c r="P164" s="46">
        <f t="shared" ca="1" si="7"/>
        <v>1.1333333333338786E-3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input_603010!A$2</f>
        <v>603010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IFERROR(VLOOKUP(B165,input_603010!L:R,7,FALSE),VLOOKUP(tables_603010!C165,input_603010!A:H,8,FALSE))</f>
        <v>29100</v>
      </c>
      <c r="P165" s="46">
        <f t="shared" ca="1" si="7"/>
        <v>2.0000000000009623E-4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input_603010!A$2</f>
        <v>603010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IFERROR(VLOOKUP(B166,input_603010!L:R,7,FALSE),VLOOKUP(tables_603010!C166,input_603010!A:H,8,FALSE))</f>
        <v>534000</v>
      </c>
      <c r="P166" s="46">
        <f t="shared" ca="1" si="7"/>
        <v>3.6701030927852709E-3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input_603010!A$2</f>
        <v>603010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IFERROR(VLOOKUP(B167,input_603010!L:R,7,FALSE),VLOOKUP(tables_603010!C167,input_603010!A:H,8,FALSE))</f>
        <v>600750</v>
      </c>
      <c r="P167" s="46">
        <f t="shared" ca="1" si="7"/>
        <v>4.1288659793834301E-3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input_603010!A$2</f>
        <v>603010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IFERROR(VLOOKUP(B168,input_603010!L:R,7,FALSE),VLOOKUP(tables_603010!C168,input_603010!A:H,8,FALSE))</f>
        <v>81335.576920000007</v>
      </c>
      <c r="P168" s="46">
        <f t="shared" ca="1" si="7"/>
        <v>5.5900740151229654E-4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input_603010!A$2</f>
        <v>603010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IFERROR(VLOOKUP(B169,input_603010!L:R,7,FALSE),VLOOKUP(tables_603010!C169,input_603010!A:H,8,FALSE))</f>
        <v>164900</v>
      </c>
      <c r="P169" s="46">
        <f t="shared" ca="1" si="7"/>
        <v>1.1333333333338786E-3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input_603010!A$2</f>
        <v>603010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IFERROR(VLOOKUP(B170,input_603010!L:R,7,FALSE),VLOOKUP(tables_603010!C170,input_603010!A:H,8,FALSE))</f>
        <v>29100</v>
      </c>
      <c r="P170" s="46">
        <f t="shared" ca="1" si="7"/>
        <v>2.0000000000009623E-4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input_603010!A$2</f>
        <v>603010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IFERROR(VLOOKUP(B171,input_603010!L:R,7,FALSE),VLOOKUP(tables_603010!C171,input_603010!A:H,8,FALSE))</f>
        <v>534000</v>
      </c>
      <c r="P171" s="46">
        <f t="shared" ca="1" si="7"/>
        <v>3.6701030927852709E-3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input_603010!A$2</f>
        <v>603010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IFERROR(VLOOKUP(B172,input_603010!L:R,7,FALSE),VLOOKUP(tables_603010!C172,input_603010!A:H,8,FALSE))</f>
        <v>600750</v>
      </c>
      <c r="P172" s="46">
        <f t="shared" ca="1" si="7"/>
        <v>4.1288659793834301E-3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input_603010!A$2</f>
        <v>603010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IFERROR(VLOOKUP(B173,input_603010!L:R,7,FALSE),VLOOKUP(tables_603010!C173,input_603010!A:H,8,FALSE))</f>
        <v>81335.576920000007</v>
      </c>
      <c r="P173" s="46">
        <f t="shared" ca="1" si="7"/>
        <v>5.5900740151229654E-4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input_603010!A$2</f>
        <v>603010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IFERROR(VLOOKUP(B174,input_603010!L:R,7,FALSE),VLOOKUP(tables_603010!C174,input_603010!A:H,8,FALSE))</f>
        <v>164900</v>
      </c>
      <c r="P174" s="46">
        <f t="shared" ca="1" si="7"/>
        <v>1.1333333333338786E-3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input_603010!A$2</f>
        <v>603010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IFERROR(VLOOKUP(B175,input_603010!L:R,7,FALSE),VLOOKUP(tables_603010!C175,input_603010!A:H,8,FALSE))</f>
        <v>29100</v>
      </c>
      <c r="P175" s="46">
        <f t="shared" ca="1" si="7"/>
        <v>2.0000000000009623E-4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input_603010!A$2</f>
        <v>603010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IFERROR(VLOOKUP(B176,input_603010!L:R,7,FALSE),VLOOKUP(tables_603010!C176,input_603010!A:H,8,FALSE))</f>
        <v>164900</v>
      </c>
      <c r="P176" s="46">
        <f t="shared" ca="1" si="7"/>
        <v>1.1333333333338786E-3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input_603010!A$2</f>
        <v>603010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IFERROR(VLOOKUP(B177,input_603010!L:R,7,FALSE),VLOOKUP(tables_603010!C177,input_603010!A:H,8,FALSE))</f>
        <v>29100</v>
      </c>
      <c r="P177" s="46">
        <f t="shared" ca="1" si="7"/>
        <v>2.0000000000009623E-4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input_603010!A$2</f>
        <v>603010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IFERROR(VLOOKUP(B178,input_603010!L:R,7,FALSE),VLOOKUP(tables_603010!C178,input_603010!A:H,8,FALSE))</f>
        <v>534000</v>
      </c>
      <c r="P178" s="46">
        <f t="shared" ca="1" si="7"/>
        <v>3.6701030927852709E-3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input_603010!A$2</f>
        <v>603010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IFERROR(VLOOKUP(B179,input_603010!L:R,7,FALSE),VLOOKUP(tables_603010!C179,input_603010!A:H,8,FALSE))</f>
        <v>600750</v>
      </c>
      <c r="P179" s="46">
        <f t="shared" ca="1" si="7"/>
        <v>4.1288659793834301E-3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input_603010!A$2</f>
        <v>603010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IFERROR(VLOOKUP(B180,input_603010!L:R,7,FALSE),VLOOKUP(tables_603010!C180,input_603010!A:H,8,FALSE))</f>
        <v>81335.576920000007</v>
      </c>
      <c r="P180" s="46">
        <f t="shared" ca="1" si="7"/>
        <v>5.5900740151229654E-4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input_603010!A$2</f>
        <v>603010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IFERROR(VLOOKUP(B181,input_603010!L:R,7,FALSE),VLOOKUP(tables_603010!C181,input_603010!A:H,8,FALSE))</f>
        <v>534000</v>
      </c>
      <c r="P181" s="46">
        <f t="shared" ca="1" si="7"/>
        <v>3.6701030927852709E-3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input_603010!A$2</f>
        <v>603010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IFERROR(VLOOKUP(B182,input_603010!L:R,7,FALSE),VLOOKUP(tables_603010!C182,input_603010!A:H,8,FALSE))</f>
        <v>600750</v>
      </c>
      <c r="P182" s="46">
        <f t="shared" ca="1" si="7"/>
        <v>4.1288659793834301E-3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input_603010!A$2</f>
        <v>603010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IFERROR(VLOOKUP(B183,input_603010!L:R,7,FALSE),VLOOKUP(tables_603010!C183,input_603010!A:H,8,FALSE))</f>
        <v>81335.576920000007</v>
      </c>
      <c r="P183" s="46">
        <f t="shared" ca="1" si="7"/>
        <v>5.5900740151229654E-4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input_603010!A$2</f>
        <v>603010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IFERROR(VLOOKUP(B184,input_603010!L:R,7,FALSE),VLOOKUP(tables_603010!C184,input_603010!A:H,8,FALSE))</f>
        <v>164900</v>
      </c>
      <c r="P184" s="46">
        <f t="shared" ca="1" si="7"/>
        <v>1.1333333333338786E-3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input_603010!A$2</f>
        <v>603010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IFERROR(VLOOKUP(B185,input_603010!L:R,7,FALSE),VLOOKUP(tables_603010!C185,input_603010!A:H,8,FALSE))</f>
        <v>29100</v>
      </c>
      <c r="P185" s="46">
        <f t="shared" ca="1" si="7"/>
        <v>2.0000000000009623E-4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input_603010!A$2</f>
        <v>603010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IFERROR(VLOOKUP(B186,input_603010!L:R,7,FALSE),VLOOKUP(tables_603010!C186,input_603010!A:H,8,FALSE))</f>
        <v>534000</v>
      </c>
      <c r="P186" s="46">
        <f t="shared" ca="1" si="7"/>
        <v>3.6701030927852709E-3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input_603010!A$2</f>
        <v>603010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IFERROR(VLOOKUP(B187,input_603010!L:R,7,FALSE),VLOOKUP(tables_603010!C187,input_603010!A:H,8,FALSE))</f>
        <v>600750</v>
      </c>
      <c r="P187" s="46">
        <f t="shared" ca="1" si="7"/>
        <v>4.1288659793834301E-3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input_603010!A$2</f>
        <v>603010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IFERROR(VLOOKUP(B188,input_603010!L:R,7,FALSE),VLOOKUP(tables_603010!C188,input_603010!A:H,8,FALSE))</f>
        <v>81335.576920000007</v>
      </c>
      <c r="P188" s="46">
        <f t="shared" ca="1" si="7"/>
        <v>5.5900740151229654E-4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input_603010!A$2</f>
        <v>603010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IFERROR(VLOOKUP(B189,input_603010!L:R,7,FALSE),VLOOKUP(tables_603010!C189,input_603010!A:H,8,FALSE))</f>
        <v>164900</v>
      </c>
      <c r="P189" s="46">
        <f t="shared" ca="1" si="7"/>
        <v>1.1333333333338786E-3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input_603010!A$2</f>
        <v>603010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IFERROR(VLOOKUP(B190,input_603010!L:R,7,FALSE),VLOOKUP(tables_603010!C190,input_603010!A:H,8,FALSE))</f>
        <v>29100</v>
      </c>
      <c r="P190" s="46">
        <f t="shared" ca="1" si="7"/>
        <v>2.0000000000009623E-4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input_603010!A$2</f>
        <v>603010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IFERROR(VLOOKUP(B191,input_603010!L:R,7,FALSE),VLOOKUP(tables_603010!C191,input_603010!A:H,8,FALSE))</f>
        <v>164900</v>
      </c>
      <c r="P191" s="46">
        <f t="shared" ca="1" si="7"/>
        <v>1.1333333333338786E-3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input_603010!A$2</f>
        <v>603010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IFERROR(VLOOKUP(B192,input_603010!L:R,7,FALSE),VLOOKUP(tables_603010!C192,input_603010!A:H,8,FALSE))</f>
        <v>29100</v>
      </c>
      <c r="P192" s="46">
        <f t="shared" ca="1" si="7"/>
        <v>2.0000000000009623E-4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input_603010!A$2</f>
        <v>603010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IFERROR(VLOOKUP(B193,input_603010!L:R,7,FALSE),VLOOKUP(tables_603010!C193,input_603010!A:H,8,FALSE))</f>
        <v>534000</v>
      </c>
      <c r="P193" s="46">
        <f t="shared" ca="1" si="7"/>
        <v>3.6701030927852709E-3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input_603010!A$2</f>
        <v>603010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IFERROR(VLOOKUP(B194,input_603010!L:R,7,FALSE),VLOOKUP(tables_603010!C194,input_603010!A:H,8,FALSE))</f>
        <v>600750</v>
      </c>
      <c r="P194" s="46">
        <f t="shared" ref="P194:P257" ca="1" si="10">O194/SUM(O:O)</f>
        <v>4.1288659793834301E-3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input_603010!A$2</f>
        <v>603010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IFERROR(VLOOKUP(B195,input_603010!L:R,7,FALSE),VLOOKUP(tables_603010!C195,input_603010!A:H,8,FALSE))</f>
        <v>81335.576920000007</v>
      </c>
      <c r="P195" s="46">
        <f t="shared" ca="1" si="10"/>
        <v>5.5900740151229654E-4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input_603010!A$2</f>
        <v>603010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IFERROR(VLOOKUP(B196,input_603010!L:R,7,FALSE),VLOOKUP(tables_603010!C196,input_603010!A:H,8,FALSE))</f>
        <v>164900</v>
      </c>
      <c r="P196" s="46">
        <f t="shared" ca="1" si="10"/>
        <v>1.1333333333338786E-3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input_603010!A$2</f>
        <v>603010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IFERROR(VLOOKUP(B197,input_603010!L:R,7,FALSE),VLOOKUP(tables_603010!C197,input_603010!A:H,8,FALSE))</f>
        <v>29100</v>
      </c>
      <c r="P197" s="46">
        <f t="shared" ca="1" si="10"/>
        <v>2.0000000000009623E-4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input_603010!A$2</f>
        <v>603010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IFERROR(VLOOKUP(B198,input_603010!L:R,7,FALSE),VLOOKUP(tables_603010!C198,input_603010!A:H,8,FALSE))</f>
        <v>534000</v>
      </c>
      <c r="P198" s="46">
        <f t="shared" ca="1" si="10"/>
        <v>3.6701030927852709E-3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input_603010!A$2</f>
        <v>603010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IFERROR(VLOOKUP(B199,input_603010!L:R,7,FALSE),VLOOKUP(tables_603010!C199,input_603010!A:H,8,FALSE))</f>
        <v>600750</v>
      </c>
      <c r="P199" s="46">
        <f t="shared" ca="1" si="10"/>
        <v>4.1288659793834301E-3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input_603010!A$2</f>
        <v>603010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IFERROR(VLOOKUP(B200,input_603010!L:R,7,FALSE),VLOOKUP(tables_603010!C200,input_603010!A:H,8,FALSE))</f>
        <v>81335.576920000007</v>
      </c>
      <c r="P200" s="46">
        <f t="shared" ca="1" si="10"/>
        <v>5.5900740151229654E-4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input_603010!A$2</f>
        <v>603010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IFERROR(VLOOKUP(B201,input_603010!L:R,7,FALSE),VLOOKUP(tables_603010!C201,input_603010!A:H,8,FALSE))</f>
        <v>164900</v>
      </c>
      <c r="P201" s="46">
        <f t="shared" ca="1" si="10"/>
        <v>1.1333333333338786E-3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input_603010!A$2</f>
        <v>603010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IFERROR(VLOOKUP(B202,input_603010!L:R,7,FALSE),VLOOKUP(tables_603010!C202,input_603010!A:H,8,FALSE))</f>
        <v>29100</v>
      </c>
      <c r="P202" s="46">
        <f t="shared" ca="1" si="10"/>
        <v>2.0000000000009623E-4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input_603010!A$2</f>
        <v>603010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IFERROR(VLOOKUP(B203,input_603010!L:R,7,FALSE),VLOOKUP(tables_603010!C203,input_603010!A:H,8,FALSE))</f>
        <v>534000</v>
      </c>
      <c r="P203" s="46">
        <f t="shared" ca="1" si="10"/>
        <v>3.6701030927852709E-3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input_603010!A$2</f>
        <v>603010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IFERROR(VLOOKUP(B204,input_603010!L:R,7,FALSE),VLOOKUP(tables_603010!C204,input_603010!A:H,8,FALSE))</f>
        <v>600750</v>
      </c>
      <c r="P204" s="46">
        <f t="shared" ca="1" si="10"/>
        <v>4.1288659793834301E-3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input_603010!A$2</f>
        <v>603010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IFERROR(VLOOKUP(B205,input_603010!L:R,7,FALSE),VLOOKUP(tables_603010!C205,input_603010!A:H,8,FALSE))</f>
        <v>81335.576920000007</v>
      </c>
      <c r="P205" s="46">
        <f t="shared" ca="1" si="10"/>
        <v>5.5900740151229654E-4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input_603010!A$2</f>
        <v>603010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IFERROR(VLOOKUP(B206,input_603010!L:R,7,FALSE),VLOOKUP(tables_603010!C206,input_603010!A:H,8,FALSE))</f>
        <v>164900</v>
      </c>
      <c r="P206" s="46">
        <f t="shared" ca="1" si="10"/>
        <v>1.1333333333338786E-3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input_603010!A$2</f>
        <v>603010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IFERROR(VLOOKUP(B207,input_603010!L:R,7,FALSE),VLOOKUP(tables_603010!C207,input_603010!A:H,8,FALSE))</f>
        <v>29100</v>
      </c>
      <c r="P207" s="46">
        <f t="shared" ca="1" si="10"/>
        <v>2.0000000000009623E-4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input_603010!A$2</f>
        <v>603010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IFERROR(VLOOKUP(B208,input_603010!L:R,7,FALSE),VLOOKUP(tables_603010!C208,input_603010!A:H,8,FALSE))</f>
        <v>164900</v>
      </c>
      <c r="P208" s="46">
        <f t="shared" ca="1" si="10"/>
        <v>1.1333333333338786E-3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input_603010!A$2</f>
        <v>603010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IFERROR(VLOOKUP(B209,input_603010!L:R,7,FALSE),VLOOKUP(tables_603010!C209,input_603010!A:H,8,FALSE))</f>
        <v>29100</v>
      </c>
      <c r="P209" s="46">
        <f t="shared" ca="1" si="10"/>
        <v>2.0000000000009623E-4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input_603010!A$2</f>
        <v>603010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IFERROR(VLOOKUP(B210,input_603010!L:R,7,FALSE),VLOOKUP(tables_603010!C210,input_603010!A:H,8,FALSE))</f>
        <v>534000</v>
      </c>
      <c r="P210" s="46">
        <f t="shared" ca="1" si="10"/>
        <v>3.6701030927852709E-3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input_603010!A$2</f>
        <v>603010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IFERROR(VLOOKUP(B211,input_603010!L:R,7,FALSE),VLOOKUP(tables_603010!C211,input_603010!A:H,8,FALSE))</f>
        <v>600750</v>
      </c>
      <c r="P211" s="46">
        <f t="shared" ca="1" si="10"/>
        <v>4.1288659793834301E-3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input_603010!A$2</f>
        <v>603010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IFERROR(VLOOKUP(B212,input_603010!L:R,7,FALSE),VLOOKUP(tables_603010!C212,input_603010!A:H,8,FALSE))</f>
        <v>81335.576920000007</v>
      </c>
      <c r="P212" s="46">
        <f t="shared" ca="1" si="10"/>
        <v>5.5900740151229654E-4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input_603010!A$2</f>
        <v>603010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IFERROR(VLOOKUP(B213,input_603010!L:R,7,FALSE),VLOOKUP(tables_603010!C213,input_603010!A:H,8,FALSE))</f>
        <v>164900</v>
      </c>
      <c r="P213" s="46">
        <f t="shared" ca="1" si="10"/>
        <v>1.1333333333338786E-3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input_603010!A$2</f>
        <v>603010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IFERROR(VLOOKUP(B214,input_603010!L:R,7,FALSE),VLOOKUP(tables_603010!C214,input_603010!A:H,8,FALSE))</f>
        <v>29100</v>
      </c>
      <c r="P214" s="46">
        <f t="shared" ca="1" si="10"/>
        <v>2.0000000000009623E-4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input_603010!A$2</f>
        <v>603010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IFERROR(VLOOKUP(B215,input_603010!L:R,7,FALSE),VLOOKUP(tables_603010!C215,input_603010!A:H,8,FALSE))</f>
        <v>200250</v>
      </c>
      <c r="P215" s="46">
        <f t="shared" ca="1" si="10"/>
        <v>1.3762886597944767E-3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input_603010!A$2</f>
        <v>603010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IFERROR(VLOOKUP(B216,input_603010!L:R,7,FALSE),VLOOKUP(tables_603010!C216,input_603010!A:H,8,FALSE))</f>
        <v>200250</v>
      </c>
      <c r="P216" s="46">
        <f t="shared" ca="1" si="10"/>
        <v>1.3762886597944767E-3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input_603010!A$2</f>
        <v>603010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IFERROR(VLOOKUP(B217,input_603010!L:R,7,FALSE),VLOOKUP(tables_603010!C217,input_603010!A:H,8,FALSE))</f>
        <v>200250</v>
      </c>
      <c r="P217" s="46">
        <f t="shared" ca="1" si="10"/>
        <v>1.3762886597944767E-3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input_603010!A$2</f>
        <v>603010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IFERROR(VLOOKUP(B218,input_603010!L:R,7,FALSE),VLOOKUP(tables_603010!C218,input_603010!A:H,8,FALSE))</f>
        <v>200250</v>
      </c>
      <c r="P218" s="46">
        <f t="shared" ca="1" si="10"/>
        <v>1.3762886597944767E-3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input_603010!A$2</f>
        <v>603010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IFERROR(VLOOKUP(B219,input_603010!L:R,7,FALSE),VLOOKUP(tables_603010!C219,input_603010!A:H,8,FALSE))</f>
        <v>200250</v>
      </c>
      <c r="P219" s="46">
        <f t="shared" ca="1" si="10"/>
        <v>1.3762886597944767E-3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input_603010!A$2</f>
        <v>603010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IFERROR(VLOOKUP(B220,input_603010!L:R,7,FALSE),VLOOKUP(tables_603010!C220,input_603010!A:H,8,FALSE))</f>
        <v>200250</v>
      </c>
      <c r="P220" s="46">
        <f t="shared" ca="1" si="10"/>
        <v>1.3762886597944767E-3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input_603010!A$2</f>
        <v>603010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IFERROR(VLOOKUP(B221,input_603010!L:R,7,FALSE),VLOOKUP(tables_603010!C221,input_603010!A:H,8,FALSE))</f>
        <v>164900</v>
      </c>
      <c r="P221" s="46">
        <f t="shared" ca="1" si="10"/>
        <v>1.1333333333338786E-3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input_603010!A$2</f>
        <v>603010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IFERROR(VLOOKUP(B222,input_603010!L:R,7,FALSE),VLOOKUP(tables_603010!C222,input_603010!A:H,8,FALSE))</f>
        <v>29100</v>
      </c>
      <c r="P222" s="46">
        <f t="shared" ca="1" si="10"/>
        <v>2.0000000000009623E-4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input_603010!A$2</f>
        <v>603010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IFERROR(VLOOKUP(B223,input_603010!L:R,7,FALSE),VLOOKUP(tables_603010!C223,input_603010!A:H,8,FALSE))</f>
        <v>534000</v>
      </c>
      <c r="P223" s="46">
        <f t="shared" ca="1" si="10"/>
        <v>3.6701030927852709E-3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input_603010!A$2</f>
        <v>603010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IFERROR(VLOOKUP(B224,input_603010!L:R,7,FALSE),VLOOKUP(tables_603010!C224,input_603010!A:H,8,FALSE))</f>
        <v>600750</v>
      </c>
      <c r="P224" s="46">
        <f t="shared" ca="1" si="10"/>
        <v>4.1288659793834301E-3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input_603010!A$2</f>
        <v>603010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IFERROR(VLOOKUP(B225,input_603010!L:R,7,FALSE),VLOOKUP(tables_603010!C225,input_603010!A:H,8,FALSE))</f>
        <v>81335.576920000007</v>
      </c>
      <c r="P225" s="46">
        <f t="shared" ca="1" si="10"/>
        <v>5.5900740151229654E-4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input_603010!A$2</f>
        <v>603010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IFERROR(VLOOKUP(B226,input_603010!L:R,7,FALSE),VLOOKUP(tables_603010!C226,input_603010!A:H,8,FALSE))</f>
        <v>534000</v>
      </c>
      <c r="P226" s="46">
        <f t="shared" ca="1" si="10"/>
        <v>3.6701030927852709E-3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input_603010!A$2</f>
        <v>603010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IFERROR(VLOOKUP(B227,input_603010!L:R,7,FALSE),VLOOKUP(tables_603010!C227,input_603010!A:H,8,FALSE))</f>
        <v>600750</v>
      </c>
      <c r="P227" s="46">
        <f t="shared" ca="1" si="10"/>
        <v>4.1288659793834301E-3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input_603010!A$2</f>
        <v>603010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IFERROR(VLOOKUP(B228,input_603010!L:R,7,FALSE),VLOOKUP(tables_603010!C228,input_603010!A:H,8,FALSE))</f>
        <v>81335.576920000007</v>
      </c>
      <c r="P228" s="46">
        <f t="shared" ca="1" si="10"/>
        <v>5.5900740151229654E-4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input_603010!A$2</f>
        <v>603010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IFERROR(VLOOKUP(B229,input_603010!L:R,7,FALSE),VLOOKUP(tables_603010!C229,input_603010!A:H,8,FALSE))</f>
        <v>164900</v>
      </c>
      <c r="P229" s="46">
        <f t="shared" ca="1" si="10"/>
        <v>1.1333333333338786E-3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input_603010!A$2</f>
        <v>603010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IFERROR(VLOOKUP(B230,input_603010!L:R,7,FALSE),VLOOKUP(tables_603010!C230,input_603010!A:H,8,FALSE))</f>
        <v>29100</v>
      </c>
      <c r="P230" s="46">
        <f t="shared" ca="1" si="10"/>
        <v>2.0000000000009623E-4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input_603010!A$2</f>
        <v>603010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IFERROR(VLOOKUP(B231,input_603010!L:R,7,FALSE),VLOOKUP(tables_603010!C231,input_603010!A:H,8,FALSE))</f>
        <v>534000</v>
      </c>
      <c r="P231" s="46">
        <f t="shared" ca="1" si="10"/>
        <v>3.6701030927852709E-3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input_603010!A$2</f>
        <v>603010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IFERROR(VLOOKUP(B232,input_603010!L:R,7,FALSE),VLOOKUP(tables_603010!C232,input_603010!A:H,8,FALSE))</f>
        <v>600750</v>
      </c>
      <c r="P232" s="46">
        <f t="shared" ca="1" si="10"/>
        <v>4.1288659793834301E-3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input_603010!A$2</f>
        <v>603010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IFERROR(VLOOKUP(B233,input_603010!L:R,7,FALSE),VLOOKUP(tables_603010!C233,input_603010!A:H,8,FALSE))</f>
        <v>81335.576920000007</v>
      </c>
      <c r="P233" s="46">
        <f t="shared" ca="1" si="10"/>
        <v>5.5900740151229654E-4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input_603010!A$2</f>
        <v>603010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IFERROR(VLOOKUP(B234,input_603010!L:R,7,FALSE),VLOOKUP(tables_603010!C234,input_603010!A:H,8,FALSE))</f>
        <v>534000</v>
      </c>
      <c r="P234" s="46">
        <f t="shared" ca="1" si="10"/>
        <v>3.6701030927852709E-3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input_603010!A$2</f>
        <v>603010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IFERROR(VLOOKUP(B235,input_603010!L:R,7,FALSE),VLOOKUP(tables_603010!C235,input_603010!A:H,8,FALSE))</f>
        <v>600750</v>
      </c>
      <c r="P235" s="46">
        <f t="shared" ca="1" si="10"/>
        <v>4.1288659793834301E-3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input_603010!A$2</f>
        <v>603010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IFERROR(VLOOKUP(B236,input_603010!L:R,7,FALSE),VLOOKUP(tables_603010!C236,input_603010!A:H,8,FALSE))</f>
        <v>81335.576920000007</v>
      </c>
      <c r="P236" s="46">
        <f t="shared" ca="1" si="10"/>
        <v>5.5900740151229654E-4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input_603010!A$2</f>
        <v>603010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IFERROR(VLOOKUP(B237,input_603010!L:R,7,FALSE),VLOOKUP(tables_603010!C237,input_603010!A:H,8,FALSE))</f>
        <v>164900</v>
      </c>
      <c r="P237" s="46">
        <f t="shared" ca="1" si="10"/>
        <v>1.1333333333338786E-3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input_603010!A$2</f>
        <v>603010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IFERROR(VLOOKUP(B238,input_603010!L:R,7,FALSE),VLOOKUP(tables_603010!C238,input_603010!A:H,8,FALSE))</f>
        <v>29100</v>
      </c>
      <c r="P238" s="46">
        <f t="shared" ca="1" si="10"/>
        <v>2.0000000000009623E-4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input_603010!A$2</f>
        <v>603010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IFERROR(VLOOKUP(B239,input_603010!L:R,7,FALSE),VLOOKUP(tables_603010!C239,input_603010!A:H,8,FALSE))</f>
        <v>534000</v>
      </c>
      <c r="P239" s="46">
        <f t="shared" ca="1" si="10"/>
        <v>3.6701030927852709E-3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input_603010!A$2</f>
        <v>603010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IFERROR(VLOOKUP(B240,input_603010!L:R,7,FALSE),VLOOKUP(tables_603010!C240,input_603010!A:H,8,FALSE))</f>
        <v>600750</v>
      </c>
      <c r="P240" s="46">
        <f t="shared" ca="1" si="10"/>
        <v>4.1288659793834301E-3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input_603010!A$2</f>
        <v>603010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IFERROR(VLOOKUP(B241,input_603010!L:R,7,FALSE),VLOOKUP(tables_603010!C241,input_603010!A:H,8,FALSE))</f>
        <v>81335.576920000007</v>
      </c>
      <c r="P241" s="46">
        <f t="shared" ca="1" si="10"/>
        <v>5.5900740151229654E-4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input_603010!A$2</f>
        <v>603010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IFERROR(VLOOKUP(B242,input_603010!L:R,7,FALSE),VLOOKUP(tables_603010!C242,input_603010!A:H,8,FALSE))</f>
        <v>164900</v>
      </c>
      <c r="P242" s="46">
        <f t="shared" ca="1" si="10"/>
        <v>1.1333333333338786E-3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input_603010!A$2</f>
        <v>603010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IFERROR(VLOOKUP(B243,input_603010!L:R,7,FALSE),VLOOKUP(tables_603010!C243,input_603010!A:H,8,FALSE))</f>
        <v>29100</v>
      </c>
      <c r="P243" s="46">
        <f t="shared" ca="1" si="10"/>
        <v>2.0000000000009623E-4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input_603010!A$2</f>
        <v>603010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IFERROR(VLOOKUP(B244,input_603010!L:R,7,FALSE),VLOOKUP(tables_603010!C244,input_603010!A:H,8,FALSE))</f>
        <v>164900</v>
      </c>
      <c r="P244" s="46">
        <f t="shared" ca="1" si="10"/>
        <v>1.1333333333338786E-3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input_603010!A$2</f>
        <v>603010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IFERROR(VLOOKUP(B245,input_603010!L:R,7,FALSE),VLOOKUP(tables_603010!C245,input_603010!A:H,8,FALSE))</f>
        <v>29100</v>
      </c>
      <c r="P245" s="46">
        <f t="shared" ca="1" si="10"/>
        <v>2.0000000000009623E-4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input_603010!A$2</f>
        <v>603010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IFERROR(VLOOKUP(B246,input_603010!L:R,7,FALSE),VLOOKUP(tables_603010!C246,input_603010!A:H,8,FALSE))</f>
        <v>534000</v>
      </c>
      <c r="P246" s="46">
        <f t="shared" ca="1" si="10"/>
        <v>3.6701030927852709E-3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input_603010!A$2</f>
        <v>603010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IFERROR(VLOOKUP(B247,input_603010!L:R,7,FALSE),VLOOKUP(tables_603010!C247,input_603010!A:H,8,FALSE))</f>
        <v>600750</v>
      </c>
      <c r="P247" s="46">
        <f t="shared" ca="1" si="10"/>
        <v>4.1288659793834301E-3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input_603010!A$2</f>
        <v>603010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IFERROR(VLOOKUP(B248,input_603010!L:R,7,FALSE),VLOOKUP(tables_603010!C248,input_603010!A:H,8,FALSE))</f>
        <v>81335.576920000007</v>
      </c>
      <c r="P248" s="46">
        <f t="shared" ca="1" si="10"/>
        <v>5.5900740151229654E-4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input_603010!A$2</f>
        <v>603010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IFERROR(VLOOKUP(B249,input_603010!L:R,7,FALSE),VLOOKUP(tables_603010!C249,input_603010!A:H,8,FALSE))</f>
        <v>534000</v>
      </c>
      <c r="P249" s="46">
        <f t="shared" ca="1" si="10"/>
        <v>3.6701030927852709E-3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input_603010!A$2</f>
        <v>603010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IFERROR(VLOOKUP(B250,input_603010!L:R,7,FALSE),VLOOKUP(tables_603010!C250,input_603010!A:H,8,FALSE))</f>
        <v>600750</v>
      </c>
      <c r="P250" s="46">
        <f t="shared" ca="1" si="10"/>
        <v>4.1288659793834301E-3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input_603010!A$2</f>
        <v>603010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IFERROR(VLOOKUP(B251,input_603010!L:R,7,FALSE),VLOOKUP(tables_603010!C251,input_603010!A:H,8,FALSE))</f>
        <v>81335.576920000007</v>
      </c>
      <c r="P251" s="46">
        <f t="shared" ca="1" si="10"/>
        <v>5.5900740151229654E-4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input_603010!A$2</f>
        <v>603010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IFERROR(VLOOKUP(B252,input_603010!L:R,7,FALSE),VLOOKUP(tables_603010!C252,input_603010!A:H,8,FALSE))</f>
        <v>534000</v>
      </c>
      <c r="P252" s="46">
        <f t="shared" ca="1" si="10"/>
        <v>3.6701030927852709E-3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input_603010!A$2</f>
        <v>603010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IFERROR(VLOOKUP(B253,input_603010!L:R,7,FALSE),VLOOKUP(tables_603010!C253,input_603010!A:H,8,FALSE))</f>
        <v>600750</v>
      </c>
      <c r="P253" s="46">
        <f t="shared" ca="1" si="10"/>
        <v>4.1288659793834301E-3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input_603010!A$2</f>
        <v>603010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IFERROR(VLOOKUP(B254,input_603010!L:R,7,FALSE),VLOOKUP(tables_603010!C254,input_603010!A:H,8,FALSE))</f>
        <v>81335.576920000007</v>
      </c>
      <c r="P254" s="46">
        <f t="shared" ca="1" si="10"/>
        <v>5.5900740151229654E-4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input_603010!A$2</f>
        <v>603010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IFERROR(VLOOKUP(B255,input_603010!L:R,7,FALSE),VLOOKUP(tables_603010!C255,input_603010!A:H,8,FALSE))</f>
        <v>534000</v>
      </c>
      <c r="P255" s="46">
        <f t="shared" ca="1" si="10"/>
        <v>3.6701030927852709E-3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input_603010!A$2</f>
        <v>603010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IFERROR(VLOOKUP(B256,input_603010!L:R,7,FALSE),VLOOKUP(tables_603010!C256,input_603010!A:H,8,FALSE))</f>
        <v>600750</v>
      </c>
      <c r="P256" s="46">
        <f t="shared" ca="1" si="10"/>
        <v>4.1288659793834301E-3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input_603010!A$2</f>
        <v>603010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IFERROR(VLOOKUP(B257,input_603010!L:R,7,FALSE),VLOOKUP(tables_603010!C257,input_603010!A:H,8,FALSE))</f>
        <v>81335.576920000007</v>
      </c>
      <c r="P257" s="46">
        <f t="shared" ca="1" si="10"/>
        <v>5.5900740151229654E-4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input_603010!A$2</f>
        <v>603010</v>
      </c>
      <c r="B258" s="98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IFERROR(VLOOKUP(B258,input_603010!L:R,7,FALSE),VLOOKUP(tables_603010!C258,input_603010!A:H,8,FALSE))</f>
        <v>164900</v>
      </c>
      <c r="P258" s="46">
        <f t="shared" ref="P258:P321" ca="1" si="13">O258/SUM(O:O)</f>
        <v>1.1333333333338786E-3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input_603010!A$2</f>
        <v>603010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IFERROR(VLOOKUP(B259,input_603010!L:R,7,FALSE),VLOOKUP(tables_603010!C259,input_603010!A:H,8,FALSE))</f>
        <v>29100</v>
      </c>
      <c r="P259" s="46">
        <f t="shared" ca="1" si="13"/>
        <v>2.0000000000009623E-4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input_603010!A$2</f>
        <v>603010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IFERROR(VLOOKUP(B260,input_603010!L:R,7,FALSE),VLOOKUP(tables_603010!C260,input_603010!A:H,8,FALSE))</f>
        <v>164900</v>
      </c>
      <c r="P260" s="46">
        <f t="shared" ca="1" si="13"/>
        <v>1.1333333333338786E-3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input_603010!A$2</f>
        <v>603010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IFERROR(VLOOKUP(B261,input_603010!L:R,7,FALSE),VLOOKUP(tables_603010!C261,input_603010!A:H,8,FALSE))</f>
        <v>29100</v>
      </c>
      <c r="P261" s="46">
        <f t="shared" ca="1" si="13"/>
        <v>2.0000000000009623E-4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input_603010!A$2</f>
        <v>603010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IFERROR(VLOOKUP(B262,input_603010!L:R,7,FALSE),VLOOKUP(tables_603010!C262,input_603010!A:H,8,FALSE))</f>
        <v>1077535.71429</v>
      </c>
      <c r="P262" s="46">
        <f t="shared" ca="1" si="13"/>
        <v>7.405743740828306E-3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input_603010!A$2</f>
        <v>603010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IFERROR(VLOOKUP(B263,input_603010!L:R,7,FALSE),VLOOKUP(tables_603010!C263,input_603010!A:H,8,FALSE))</f>
        <v>200250</v>
      </c>
      <c r="P263" s="46">
        <f t="shared" ca="1" si="13"/>
        <v>1.3762886597944767E-3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input_603010!A$2</f>
        <v>603010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IFERROR(VLOOKUP(B264,input_603010!L:R,7,FALSE),VLOOKUP(tables_603010!C264,input_603010!A:H,8,FALSE))</f>
        <v>1077535.71429</v>
      </c>
      <c r="P264" s="46">
        <f t="shared" ca="1" si="13"/>
        <v>7.405743740828306E-3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input_603010!A$2</f>
        <v>603010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IFERROR(VLOOKUP(B265,input_603010!L:R,7,FALSE),VLOOKUP(tables_603010!C265,input_603010!A:H,8,FALSE))</f>
        <v>200250</v>
      </c>
      <c r="P265" s="46">
        <f t="shared" ca="1" si="13"/>
        <v>1.3762886597944767E-3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input_603010!A$2</f>
        <v>603010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IFERROR(VLOOKUP(B266,input_603010!L:R,7,FALSE),VLOOKUP(tables_603010!C266,input_603010!A:H,8,FALSE))</f>
        <v>194000</v>
      </c>
      <c r="P266" s="46">
        <f t="shared" ca="1" si="13"/>
        <v>1.3333333333339749E-3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input_603010!A$2</f>
        <v>603010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IFERROR(VLOOKUP(B267,input_603010!L:R,7,FALSE),VLOOKUP(tables_603010!C267,input_603010!A:H,8,FALSE))</f>
        <v>194000</v>
      </c>
      <c r="P267" s="46">
        <f t="shared" ca="1" si="13"/>
        <v>1.3333333333339749E-3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input_603010!A$2</f>
        <v>603010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IFERROR(VLOOKUP(B268,input_603010!L:R,7,FALSE),VLOOKUP(tables_603010!C268,input_603010!A:H,8,FALSE))</f>
        <v>194000</v>
      </c>
      <c r="P268" s="46">
        <f t="shared" ca="1" si="13"/>
        <v>1.3333333333339749E-3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input_603010!A$2</f>
        <v>603010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IFERROR(VLOOKUP(B269,input_603010!L:R,7,FALSE),VLOOKUP(tables_603010!C269,input_603010!A:H,8,FALSE))</f>
        <v>194000</v>
      </c>
      <c r="P269" s="46">
        <f t="shared" ca="1" si="13"/>
        <v>1.3333333333339749E-3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input_603010!A$2</f>
        <v>603010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IFERROR(VLOOKUP(B270,input_603010!L:R,7,FALSE),VLOOKUP(tables_603010!C270,input_603010!A:H,8,FALSE))</f>
        <v>1077535.71429</v>
      </c>
      <c r="P270" s="46">
        <f t="shared" ca="1" si="13"/>
        <v>7.405743740828306E-3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input_603010!A$2</f>
        <v>603010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IFERROR(VLOOKUP(B271,input_603010!L:R,7,FALSE),VLOOKUP(tables_603010!C271,input_603010!A:H,8,FALSE))</f>
        <v>200250</v>
      </c>
      <c r="P271" s="46">
        <f t="shared" ca="1" si="13"/>
        <v>1.3762886597944767E-3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input_603010!A$2</f>
        <v>603010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IFERROR(VLOOKUP(B272,input_603010!L:R,7,FALSE),VLOOKUP(tables_603010!C272,input_603010!A:H,8,FALSE))</f>
        <v>1077535.71429</v>
      </c>
      <c r="P272" s="46">
        <f t="shared" ca="1" si="13"/>
        <v>7.405743740828306E-3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input_603010!A$2</f>
        <v>603010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IFERROR(VLOOKUP(B273,input_603010!L:R,7,FALSE),VLOOKUP(tables_603010!C273,input_603010!A:H,8,FALSE))</f>
        <v>200250</v>
      </c>
      <c r="P273" s="46">
        <f t="shared" ca="1" si="13"/>
        <v>1.3762886597944767E-3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input_603010!A$2</f>
        <v>603010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IFERROR(VLOOKUP(B274,input_603010!L:R,7,FALSE),VLOOKUP(tables_603010!C274,input_603010!A:H,8,FALSE))</f>
        <v>164900</v>
      </c>
      <c r="P274" s="46">
        <f t="shared" ca="1" si="13"/>
        <v>1.1333333333338786E-3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input_603010!A$2</f>
        <v>603010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IFERROR(VLOOKUP(B275,input_603010!L:R,7,FALSE),VLOOKUP(tables_603010!C275,input_603010!A:H,8,FALSE))</f>
        <v>29100</v>
      </c>
      <c r="P275" s="46">
        <f t="shared" ca="1" si="13"/>
        <v>2.0000000000009623E-4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input_603010!A$2</f>
        <v>603010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IFERROR(VLOOKUP(B276,input_603010!L:R,7,FALSE),VLOOKUP(tables_603010!C276,input_603010!A:H,8,FALSE))</f>
        <v>164900</v>
      </c>
      <c r="P276" s="46">
        <f t="shared" ca="1" si="13"/>
        <v>1.1333333333338786E-3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input_603010!A$2</f>
        <v>603010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IFERROR(VLOOKUP(B277,input_603010!L:R,7,FALSE),VLOOKUP(tables_603010!C277,input_603010!A:H,8,FALSE))</f>
        <v>29100</v>
      </c>
      <c r="P277" s="46">
        <f t="shared" ca="1" si="13"/>
        <v>2.0000000000009623E-4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input_603010!A$2</f>
        <v>603010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IFERROR(VLOOKUP(B278,input_603010!L:R,7,FALSE),VLOOKUP(tables_603010!C278,input_603010!A:H,8,FALSE))</f>
        <v>534000</v>
      </c>
      <c r="P278" s="46">
        <f t="shared" ca="1" si="13"/>
        <v>3.6701030927852709E-3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input_603010!A$2</f>
        <v>603010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IFERROR(VLOOKUP(B279,input_603010!L:R,7,FALSE),VLOOKUP(tables_603010!C279,input_603010!A:H,8,FALSE))</f>
        <v>600750</v>
      </c>
      <c r="P279" s="46">
        <f t="shared" ca="1" si="13"/>
        <v>4.1288659793834301E-3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input_603010!A$2</f>
        <v>603010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IFERROR(VLOOKUP(B280,input_603010!L:R,7,FALSE),VLOOKUP(tables_603010!C280,input_603010!A:H,8,FALSE))</f>
        <v>81335.576920000007</v>
      </c>
      <c r="P280" s="46">
        <f t="shared" ca="1" si="13"/>
        <v>5.5900740151229654E-4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input_603010!A$2</f>
        <v>603010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IFERROR(VLOOKUP(B281,input_603010!L:R,7,FALSE),VLOOKUP(tables_603010!C281,input_603010!A:H,8,FALSE))</f>
        <v>534000</v>
      </c>
      <c r="P281" s="46">
        <f t="shared" ca="1" si="13"/>
        <v>3.6701030927852709E-3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input_603010!A$2</f>
        <v>603010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IFERROR(VLOOKUP(B282,input_603010!L:R,7,FALSE),VLOOKUP(tables_603010!C282,input_603010!A:H,8,FALSE))</f>
        <v>600750</v>
      </c>
      <c r="P282" s="46">
        <f t="shared" ca="1" si="13"/>
        <v>4.1288659793834301E-3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input_603010!A$2</f>
        <v>603010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IFERROR(VLOOKUP(B283,input_603010!L:R,7,FALSE),VLOOKUP(tables_603010!C283,input_603010!A:H,8,FALSE))</f>
        <v>81335.576920000007</v>
      </c>
      <c r="P283" s="46">
        <f t="shared" ca="1" si="13"/>
        <v>5.5900740151229654E-4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input_603010!A$2</f>
        <v>603010</v>
      </c>
      <c r="B284" s="100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IFERROR(VLOOKUP(B284,input_603010!L:R,7,FALSE),VLOOKUP(tables_603010!C284,input_603010!A:H,8,FALSE))</f>
        <v>194000</v>
      </c>
      <c r="P284" s="46">
        <f t="shared" ca="1" si="13"/>
        <v>1.3333333333339749E-3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input_603010!A$2</f>
        <v>603010</v>
      </c>
      <c r="B285" s="100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IFERROR(VLOOKUP(B285,input_603010!L:R,7,FALSE),VLOOKUP(tables_603010!C285,input_603010!A:H,8,FALSE))</f>
        <v>194000</v>
      </c>
      <c r="P285" s="46">
        <f t="shared" ca="1" si="13"/>
        <v>1.3333333333339749E-3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input_603010!A$2</f>
        <v>603010</v>
      </c>
      <c r="B286" s="100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IFERROR(VLOOKUP(B286,input_603010!L:R,7,FALSE),VLOOKUP(tables_603010!C286,input_603010!A:H,8,FALSE))</f>
        <v>1077535.71429</v>
      </c>
      <c r="P286" s="46">
        <f t="shared" ca="1" si="13"/>
        <v>7.405743740828306E-3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input_603010!A$2</f>
        <v>603010</v>
      </c>
      <c r="B287" s="100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IFERROR(VLOOKUP(B287,input_603010!L:R,7,FALSE),VLOOKUP(tables_603010!C287,input_603010!A:H,8,FALSE))</f>
        <v>200250</v>
      </c>
      <c r="P287" s="46">
        <f t="shared" ca="1" si="13"/>
        <v>1.3762886597944767E-3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input_603010!A$2</f>
        <v>603010</v>
      </c>
      <c r="B288" s="100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IFERROR(VLOOKUP(B288,input_603010!L:R,7,FALSE),VLOOKUP(tables_603010!C288,input_603010!A:H,8,FALSE))</f>
        <v>1077535.71429</v>
      </c>
      <c r="P288" s="46">
        <f t="shared" ca="1" si="13"/>
        <v>7.405743740828306E-3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input_603010!A$2</f>
        <v>603010</v>
      </c>
      <c r="B289" s="100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IFERROR(VLOOKUP(B289,input_603010!L:R,7,FALSE),VLOOKUP(tables_603010!C289,input_603010!A:H,8,FALSE))</f>
        <v>200250</v>
      </c>
      <c r="P289" s="46">
        <f t="shared" ca="1" si="13"/>
        <v>1.3762886597944767E-3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input_603010!A$2</f>
        <v>603010</v>
      </c>
      <c r="B290" s="100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IFERROR(VLOOKUP(B290,input_603010!L:R,7,FALSE),VLOOKUP(tables_603010!C290,input_603010!A:H,8,FALSE))</f>
        <v>1077535.71429</v>
      </c>
      <c r="P290" s="46">
        <f t="shared" ca="1" si="13"/>
        <v>7.405743740828306E-3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input_603010!A$2</f>
        <v>603010</v>
      </c>
      <c r="B291" s="100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IFERROR(VLOOKUP(B291,input_603010!L:R,7,FALSE),VLOOKUP(tables_603010!C291,input_603010!A:H,8,FALSE))</f>
        <v>200250</v>
      </c>
      <c r="P291" s="46">
        <f t="shared" ca="1" si="13"/>
        <v>1.3762886597944767E-3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input_603010!A$2</f>
        <v>603010</v>
      </c>
      <c r="B292" s="100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IFERROR(VLOOKUP(B292,input_603010!L:R,7,FALSE),VLOOKUP(tables_603010!C292,input_603010!A:H,8,FALSE))</f>
        <v>1077535.71429</v>
      </c>
      <c r="P292" s="46">
        <f t="shared" ca="1" si="13"/>
        <v>7.405743740828306E-3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input_603010!A$2</f>
        <v>603010</v>
      </c>
      <c r="B293" s="100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IFERROR(VLOOKUP(B293,input_603010!L:R,7,FALSE),VLOOKUP(tables_603010!C293,input_603010!A:H,8,FALSE))</f>
        <v>200250</v>
      </c>
      <c r="P293" s="46">
        <f t="shared" ca="1" si="13"/>
        <v>1.3762886597944767E-3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input_603010!A$2</f>
        <v>603010</v>
      </c>
      <c r="B294" s="100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IFERROR(VLOOKUP(B294,input_603010!L:R,7,FALSE),VLOOKUP(tables_603010!C294,input_603010!A:H,8,FALSE))</f>
        <v>194000</v>
      </c>
      <c r="P294" s="46">
        <f t="shared" ca="1" si="13"/>
        <v>1.3333333333339749E-3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input_603010!A$2</f>
        <v>603010</v>
      </c>
      <c r="B295" s="100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IFERROR(VLOOKUP(B295,input_603010!L:R,7,FALSE),VLOOKUP(tables_603010!C295,input_603010!A:H,8,FALSE))</f>
        <v>194000</v>
      </c>
      <c r="P295" s="46">
        <f t="shared" ca="1" si="13"/>
        <v>1.3333333333339749E-3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input_603010!A$2</f>
        <v>603010</v>
      </c>
      <c r="B296" s="100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IFERROR(VLOOKUP(B296,input_603010!L:R,7,FALSE),VLOOKUP(tables_603010!C296,input_603010!A:H,8,FALSE))</f>
        <v>194000</v>
      </c>
      <c r="P296" s="46">
        <f t="shared" ca="1" si="13"/>
        <v>1.3333333333339749E-3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input_603010!A$2</f>
        <v>603010</v>
      </c>
      <c r="B297" s="100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IFERROR(VLOOKUP(B297,input_603010!L:R,7,FALSE),VLOOKUP(tables_603010!C297,input_603010!A:H,8,FALSE))</f>
        <v>1077535.71429</v>
      </c>
      <c r="P297" s="46">
        <f t="shared" ca="1" si="13"/>
        <v>7.405743740828306E-3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input_603010!A$2</f>
        <v>603010</v>
      </c>
      <c r="B298" s="100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IFERROR(VLOOKUP(B298,input_603010!L:R,7,FALSE),VLOOKUP(tables_603010!C298,input_603010!A:H,8,FALSE))</f>
        <v>200250</v>
      </c>
      <c r="P298" s="46">
        <f t="shared" ca="1" si="13"/>
        <v>1.3762886597944767E-3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input_603010!A$2</f>
        <v>603010</v>
      </c>
      <c r="B299" s="100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IFERROR(VLOOKUP(B299,input_603010!L:R,7,FALSE),VLOOKUP(tables_603010!C299,input_603010!A:H,8,FALSE))</f>
        <v>194000</v>
      </c>
      <c r="P299" s="46">
        <f t="shared" ca="1" si="13"/>
        <v>1.3333333333339749E-3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input_603010!A$2</f>
        <v>603010</v>
      </c>
      <c r="B300" s="100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IFERROR(VLOOKUP(B300,input_603010!L:R,7,FALSE),VLOOKUP(tables_603010!C300,input_603010!A:H,8,FALSE))</f>
        <v>194000</v>
      </c>
      <c r="P300" s="46">
        <f t="shared" ca="1" si="13"/>
        <v>1.3333333333339749E-3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input_603010!A$2</f>
        <v>603010</v>
      </c>
      <c r="B301" s="100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IFERROR(VLOOKUP(B301,input_603010!L:R,7,FALSE),VLOOKUP(tables_603010!C301,input_603010!A:H,8,FALSE))</f>
        <v>194000</v>
      </c>
      <c r="P301" s="46">
        <f t="shared" ca="1" si="13"/>
        <v>1.3333333333339749E-3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input_603010!A$2</f>
        <v>603010</v>
      </c>
      <c r="B302" s="100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IFERROR(VLOOKUP(B302,input_603010!L:R,7,FALSE),VLOOKUP(tables_603010!C302,input_603010!A:H,8,FALSE))</f>
        <v>194000</v>
      </c>
      <c r="P302" s="46">
        <f t="shared" ca="1" si="13"/>
        <v>1.3333333333339749E-3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input_603010!A$2</f>
        <v>603010</v>
      </c>
      <c r="B303" s="100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IFERROR(VLOOKUP(B303,input_603010!L:R,7,FALSE),VLOOKUP(tables_603010!C303,input_603010!A:H,8,FALSE))</f>
        <v>1077535.71429</v>
      </c>
      <c r="P303" s="46">
        <f t="shared" ca="1" si="13"/>
        <v>7.405743740828306E-3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input_603010!A$2</f>
        <v>603010</v>
      </c>
      <c r="B304" s="100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IFERROR(VLOOKUP(B304,input_603010!L:R,7,FALSE),VLOOKUP(tables_603010!C304,input_603010!A:H,8,FALSE))</f>
        <v>200250</v>
      </c>
      <c r="P304" s="46">
        <f t="shared" ca="1" si="13"/>
        <v>1.3762886597944767E-3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input_603010!A$2</f>
        <v>603010</v>
      </c>
      <c r="B305" s="100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IFERROR(VLOOKUP(B305,input_603010!L:R,7,FALSE),VLOOKUP(tables_603010!C305,input_603010!A:H,8,FALSE))</f>
        <v>194000</v>
      </c>
      <c r="P305" s="46">
        <f t="shared" ca="1" si="13"/>
        <v>1.3333333333339749E-3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input_603010!A$2</f>
        <v>603010</v>
      </c>
      <c r="B306" s="100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IFERROR(VLOOKUP(B306,input_603010!L:R,7,FALSE),VLOOKUP(tables_603010!C306,input_603010!A:H,8,FALSE))</f>
        <v>1077535.71429</v>
      </c>
      <c r="P306" s="46">
        <f t="shared" ca="1" si="13"/>
        <v>7.405743740828306E-3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input_603010!A$2</f>
        <v>603010</v>
      </c>
      <c r="B307" s="100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IFERROR(VLOOKUP(B307,input_603010!L:R,7,FALSE),VLOOKUP(tables_603010!C307,input_603010!A:H,8,FALSE))</f>
        <v>200250</v>
      </c>
      <c r="P307" s="46">
        <f t="shared" ca="1" si="13"/>
        <v>1.3762886597944767E-3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input_603010!A$2</f>
        <v>603010</v>
      </c>
      <c r="B308" s="100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IFERROR(VLOOKUP(B308,input_603010!L:R,7,FALSE),VLOOKUP(tables_603010!C308,input_603010!A:H,8,FALSE))</f>
        <v>194000</v>
      </c>
      <c r="P308" s="46">
        <f t="shared" ca="1" si="13"/>
        <v>1.3333333333339749E-3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input_603010!A$2</f>
        <v>603010</v>
      </c>
      <c r="B309" s="100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IFERROR(VLOOKUP(B309,input_603010!L:R,7,FALSE),VLOOKUP(tables_603010!C309,input_603010!A:H,8,FALSE))</f>
        <v>194000</v>
      </c>
      <c r="P309" s="46">
        <f t="shared" ca="1" si="13"/>
        <v>1.3333333333339749E-3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input_603010!A$2</f>
        <v>603010</v>
      </c>
      <c r="B310" s="100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IFERROR(VLOOKUP(B310,input_603010!L:R,7,FALSE),VLOOKUP(tables_603010!C310,input_603010!A:H,8,FALSE))</f>
        <v>194000</v>
      </c>
      <c r="P310" s="46">
        <f t="shared" ca="1" si="13"/>
        <v>1.3333333333339749E-3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input_603010!A$2</f>
        <v>603010</v>
      </c>
      <c r="B311" s="100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IFERROR(VLOOKUP(B311,input_603010!L:R,7,FALSE),VLOOKUP(tables_603010!C311,input_603010!A:H,8,FALSE))</f>
        <v>1077535.71429</v>
      </c>
      <c r="P311" s="46">
        <f t="shared" ca="1" si="13"/>
        <v>7.405743740828306E-3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input_603010!A$2</f>
        <v>603010</v>
      </c>
      <c r="B312" s="100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IFERROR(VLOOKUP(B312,input_603010!L:R,7,FALSE),VLOOKUP(tables_603010!C312,input_603010!A:H,8,FALSE))</f>
        <v>200250</v>
      </c>
      <c r="P312" s="46">
        <f t="shared" ca="1" si="13"/>
        <v>1.3762886597944767E-3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input_603010!A$2</f>
        <v>603010</v>
      </c>
      <c r="B313" s="100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IFERROR(VLOOKUP(B313,input_603010!L:R,7,FALSE),VLOOKUP(tables_603010!C313,input_603010!A:H,8,FALSE))</f>
        <v>194000</v>
      </c>
      <c r="P313" s="46">
        <f t="shared" ca="1" si="13"/>
        <v>1.3333333333339749E-3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input_603010!A$2</f>
        <v>603010</v>
      </c>
      <c r="B314" s="100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IFERROR(VLOOKUP(B314,input_603010!L:R,7,FALSE),VLOOKUP(tables_603010!C314,input_603010!A:H,8,FALSE))</f>
        <v>194000</v>
      </c>
      <c r="P314" s="46">
        <f t="shared" ca="1" si="13"/>
        <v>1.3333333333339749E-3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input_603010!A$2</f>
        <v>603010</v>
      </c>
      <c r="B315" s="100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IFERROR(VLOOKUP(B315,input_603010!L:R,7,FALSE),VLOOKUP(tables_603010!C315,input_603010!A:H,8,FALSE))</f>
        <v>194000</v>
      </c>
      <c r="P315" s="46">
        <f t="shared" ca="1" si="13"/>
        <v>1.3333333333339749E-3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input_603010!A$2</f>
        <v>603010</v>
      </c>
      <c r="B316" s="100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IFERROR(VLOOKUP(B316,input_603010!L:R,7,FALSE),VLOOKUP(tables_603010!C316,input_603010!A:H,8,FALSE))</f>
        <v>194000</v>
      </c>
      <c r="P316" s="46">
        <f t="shared" ca="1" si="13"/>
        <v>1.3333333333339749E-3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input_603010!A$2</f>
        <v>603010</v>
      </c>
      <c r="B317" s="100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IFERROR(VLOOKUP(B317,input_603010!L:R,7,FALSE),VLOOKUP(tables_603010!C317,input_603010!A:H,8,FALSE))</f>
        <v>194000</v>
      </c>
      <c r="P317" s="46">
        <f t="shared" ca="1" si="13"/>
        <v>1.3333333333339749E-3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input_603010!A$2</f>
        <v>603010</v>
      </c>
      <c r="B318" s="100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IFERROR(VLOOKUP(B318,input_603010!L:R,7,FALSE),VLOOKUP(tables_603010!C318,input_603010!A:H,8,FALSE))</f>
        <v>1077535.71429</v>
      </c>
      <c r="P318" s="46">
        <f t="shared" ca="1" si="13"/>
        <v>7.405743740828306E-3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input_603010!A$2</f>
        <v>603010</v>
      </c>
      <c r="B319" s="100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IFERROR(VLOOKUP(B319,input_603010!L:R,7,FALSE),VLOOKUP(tables_603010!C319,input_603010!A:H,8,FALSE))</f>
        <v>200250</v>
      </c>
      <c r="P319" s="46">
        <f t="shared" ca="1" si="13"/>
        <v>1.3762886597944767E-3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input_603010!A$2</f>
        <v>603010</v>
      </c>
      <c r="B320" s="100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IFERROR(VLOOKUP(B320,input_603010!L:R,7,FALSE),VLOOKUP(tables_603010!C320,input_603010!A:H,8,FALSE))</f>
        <v>194000</v>
      </c>
      <c r="P320" s="46">
        <f t="shared" ca="1" si="13"/>
        <v>1.3333333333339749E-3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input_603010!A$2</f>
        <v>603010</v>
      </c>
      <c r="B321" s="100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IFERROR(VLOOKUP(B321,input_603010!L:R,7,FALSE),VLOOKUP(tables_603010!C321,input_603010!A:H,8,FALSE))</f>
        <v>194000</v>
      </c>
      <c r="P321" s="46">
        <f t="shared" ca="1" si="13"/>
        <v>1.3333333333339749E-3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input_603010!A$2</f>
        <v>603010</v>
      </c>
      <c r="B322" s="100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IFERROR(VLOOKUP(B322,input_603010!L:R,7,FALSE),VLOOKUP(tables_603010!C322,input_603010!A:H,8,FALSE))</f>
        <v>194000</v>
      </c>
      <c r="P322" s="46">
        <f t="shared" ref="P322:P385" ca="1" si="23">O322/SUM(O:O)</f>
        <v>1.3333333333339749E-3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input_603010!A$2</f>
        <v>603010</v>
      </c>
      <c r="B323" s="100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IFERROR(VLOOKUP(B323,input_603010!L:R,7,FALSE),VLOOKUP(tables_603010!C323,input_603010!A:H,8,FALSE))</f>
        <v>194000</v>
      </c>
      <c r="P323" s="46">
        <f t="shared" ca="1" si="23"/>
        <v>1.3333333333339749E-3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input_603010!A$2</f>
        <v>603010</v>
      </c>
      <c r="B324" s="100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IFERROR(VLOOKUP(B324,input_603010!L:R,7,FALSE),VLOOKUP(tables_603010!C324,input_603010!A:H,8,FALSE))</f>
        <v>1077535.71429</v>
      </c>
      <c r="P324" s="46">
        <f t="shared" ca="1" si="23"/>
        <v>7.405743740828306E-3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input_603010!A$2</f>
        <v>603010</v>
      </c>
      <c r="B325" s="100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IFERROR(VLOOKUP(B325,input_603010!L:R,7,FALSE),VLOOKUP(tables_603010!C325,input_603010!A:H,8,FALSE))</f>
        <v>200250</v>
      </c>
      <c r="P325" s="46">
        <f t="shared" ca="1" si="23"/>
        <v>1.3762886597944767E-3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input_603010!A$2</f>
        <v>603010</v>
      </c>
      <c r="B326" s="100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IFERROR(VLOOKUP(B326,input_603010!L:R,7,FALSE),VLOOKUP(tables_603010!C326,input_603010!A:H,8,FALSE))</f>
        <v>1077535.71429</v>
      </c>
      <c r="P326" s="46">
        <f t="shared" ca="1" si="23"/>
        <v>7.405743740828306E-3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input_603010!A$2</f>
        <v>603010</v>
      </c>
      <c r="B327" s="100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IFERROR(VLOOKUP(B327,input_603010!L:R,7,FALSE),VLOOKUP(tables_603010!C327,input_603010!A:H,8,FALSE))</f>
        <v>200250</v>
      </c>
      <c r="P327" s="46">
        <f t="shared" ca="1" si="23"/>
        <v>1.3762886597944767E-3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input_603010!A$2</f>
        <v>603010</v>
      </c>
      <c r="B328" s="100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IFERROR(VLOOKUP(B328,input_603010!L:R,7,FALSE),VLOOKUP(tables_603010!C328,input_603010!A:H,8,FALSE))</f>
        <v>194000</v>
      </c>
      <c r="P328" s="46">
        <f t="shared" ca="1" si="23"/>
        <v>1.3333333333339749E-3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input_603010!A$2</f>
        <v>603010</v>
      </c>
      <c r="B329" s="100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IFERROR(VLOOKUP(B329,input_603010!L:R,7,FALSE),VLOOKUP(tables_603010!C329,input_603010!A:H,8,FALSE))</f>
        <v>194000</v>
      </c>
      <c r="P329" s="46">
        <f t="shared" ca="1" si="23"/>
        <v>1.3333333333339749E-3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input_603010!A$2</f>
        <v>603010</v>
      </c>
      <c r="B330" s="100">
        <v>1157</v>
      </c>
      <c r="C330" s="7" t="str">
        <f t="shared" si="25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IFERROR(VLOOKUP(B330,input_603010!L:R,7,FALSE),VLOOKUP(tables_603010!C330,input_603010!A:H,8,FALSE))</f>
        <v>194000</v>
      </c>
      <c r="P330" s="46">
        <f t="shared" ca="1" si="23"/>
        <v>1.3333333333339749E-3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input_603010!A$2</f>
        <v>603010</v>
      </c>
      <c r="B331" s="98">
        <v>1214</v>
      </c>
      <c r="C331" s="7" t="str">
        <f t="shared" ref="C331:C335" si="26">D331&amp;J331&amp;E331&amp;F331&amp;G331</f>
        <v>PremiumSS5R5only</v>
      </c>
      <c r="D331" s="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IFERROR(VLOOKUP(B331,input_603010!L:R,7,FALSE),VLOOKUP(tables_603010!C331,input_603010!A:H,8,FALSE))</f>
        <v>194000</v>
      </c>
      <c r="P331" s="46">
        <f t="shared" ca="1" si="23"/>
        <v>1.3333333333339749E-3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input_603010!A$2</f>
        <v>603010</v>
      </c>
      <c r="B332" s="98">
        <v>1212</v>
      </c>
      <c r="C332" s="7" t="str">
        <f t="shared" si="26"/>
        <v>PremiumSS5R5only</v>
      </c>
      <c r="D332" s="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IFERROR(VLOOKUP(B332,input_603010!L:R,7,FALSE),VLOOKUP(tables_603010!C332,input_603010!A:H,8,FALSE))</f>
        <v>194000</v>
      </c>
      <c r="P332" s="46">
        <f t="shared" ca="1" si="23"/>
        <v>1.3333333333339749E-3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input_603010!A$2</f>
        <v>603010</v>
      </c>
      <c r="B333" s="98">
        <v>1208</v>
      </c>
      <c r="C333" s="7" t="str">
        <f t="shared" si="26"/>
        <v>PremiumSS5R5only</v>
      </c>
      <c r="D333" s="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IFERROR(VLOOKUP(B333,input_603010!L:R,7,FALSE),VLOOKUP(tables_603010!C333,input_603010!A:H,8,FALSE))</f>
        <v>194000</v>
      </c>
      <c r="P333" s="46">
        <f t="shared" ca="1" si="23"/>
        <v>1.3333333333339749E-3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input_603010!A$2</f>
        <v>603010</v>
      </c>
      <c r="B334" s="99">
        <v>1210</v>
      </c>
      <c r="C334" s="7" t="str">
        <f t="shared" si="26"/>
        <v>Premium4R3less</v>
      </c>
      <c r="D334" s="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IFERROR(VLOOKUP(B334,input_603010!L:R,7,FALSE),VLOOKUP(tables_603010!C334,input_603010!A:H,8,FALSE))</f>
        <v>1077535.71429</v>
      </c>
      <c r="P334" s="46">
        <f t="shared" ca="1" si="23"/>
        <v>7.405743740828306E-3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input_603010!A$2</f>
        <v>603010</v>
      </c>
      <c r="B335" s="98">
        <v>1211</v>
      </c>
      <c r="C335" s="7" t="str">
        <f t="shared" si="26"/>
        <v>Premium5R3less</v>
      </c>
      <c r="D335" s="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IFERROR(VLOOKUP(B335,input_603010!L:R,7,FALSE),VLOOKUP(tables_603010!C335,input_603010!A:H,8,FALSE))</f>
        <v>200250</v>
      </c>
      <c r="P335" s="46">
        <f t="shared" ca="1" si="23"/>
        <v>1.3762886597944767E-3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input_603010!A$2</f>
        <v>603010</v>
      </c>
      <c r="B336" s="100">
        <v>1224</v>
      </c>
      <c r="C336" s="7" t="str">
        <f t="shared" ref="C336:C340" si="28">D336&amp;J336&amp;E336&amp;F336&amp;G336</f>
        <v>Premium4R3less</v>
      </c>
      <c r="D336" s="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IFERROR(VLOOKUP(B336,input_603010!L:R,7,FALSE),VLOOKUP(tables_603010!C336,input_603010!A:H,8,FALSE))</f>
        <v>1077535.71429</v>
      </c>
      <c r="P336" s="46">
        <f t="shared" ca="1" si="23"/>
        <v>7.405743740828306E-3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input_603010!A$2</f>
        <v>603010</v>
      </c>
      <c r="B337" s="100">
        <v>1225</v>
      </c>
      <c r="C337" s="7" t="str">
        <f t="shared" si="28"/>
        <v>Premium5R3less</v>
      </c>
      <c r="D337" s="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IFERROR(VLOOKUP(B337,input_603010!L:R,7,FALSE),VLOOKUP(tables_603010!C337,input_603010!A:H,8,FALSE))</f>
        <v>200250</v>
      </c>
      <c r="P337" s="46">
        <f t="shared" ca="1" si="23"/>
        <v>1.3762886597944767E-3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input_603010!A$2</f>
        <v>603010</v>
      </c>
      <c r="B338" s="100">
        <v>1226</v>
      </c>
      <c r="C338" s="7" t="str">
        <f t="shared" si="28"/>
        <v>PremiumSS5R5only</v>
      </c>
      <c r="D338" s="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IFERROR(VLOOKUP(B338,input_603010!L:R,7,FALSE),VLOOKUP(tables_603010!C338,input_603010!A:H,8,FALSE))</f>
        <v>194000</v>
      </c>
      <c r="P338" s="46">
        <f t="shared" ca="1" si="23"/>
        <v>1.3333333333339749E-3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input_603010!A$2</f>
        <v>603010</v>
      </c>
      <c r="B339" s="100">
        <v>1228</v>
      </c>
      <c r="C339" s="7" t="str">
        <f t="shared" si="28"/>
        <v>PremiumSS5R5only</v>
      </c>
      <c r="D339" s="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IFERROR(VLOOKUP(B339,input_603010!L:R,7,FALSE),VLOOKUP(tables_603010!C339,input_603010!A:H,8,FALSE))</f>
        <v>194000</v>
      </c>
      <c r="P339" s="46">
        <f t="shared" ca="1" si="23"/>
        <v>1.3333333333339749E-3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input_603010!A$2</f>
        <v>603010</v>
      </c>
      <c r="B340" s="100">
        <v>1230</v>
      </c>
      <c r="C340" s="7" t="str">
        <f t="shared" si="28"/>
        <v>PremiumSS5R5only</v>
      </c>
      <c r="D340" s="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IFERROR(VLOOKUP(B340,input_603010!L:R,7,FALSE),VLOOKUP(tables_603010!C340,input_603010!A:H,8,FALSE))</f>
        <v>194000</v>
      </c>
      <c r="P340" s="46">
        <f t="shared" ca="1" si="23"/>
        <v>1.3333333333339749E-3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input_603010!A$2</f>
        <v>603010</v>
      </c>
      <c r="B341" s="100">
        <v>1244</v>
      </c>
      <c r="C341" s="7" t="str">
        <f t="shared" ref="C341:C342" si="30">D341&amp;J341&amp;E341&amp;F341&amp;G341</f>
        <v>PremiumSS5R5only</v>
      </c>
      <c r="D341" s="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IFERROR(VLOOKUP(B341,input_603010!L:R,7,FALSE),VLOOKUP(tables_603010!C341,input_603010!A:H,8,FALSE))</f>
        <v>194000</v>
      </c>
      <c r="P341" s="46">
        <f t="shared" ca="1" si="23"/>
        <v>1.3333333333339749E-3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input_603010!A$2</f>
        <v>603010</v>
      </c>
      <c r="B342" s="100">
        <v>1246</v>
      </c>
      <c r="C342" s="7" t="str">
        <f t="shared" si="30"/>
        <v>PremiumSS5R5only</v>
      </c>
      <c r="D342" s="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IFERROR(VLOOKUP(B342,input_603010!L:R,7,FALSE),VLOOKUP(tables_603010!C342,input_603010!A:H,8,FALSE))</f>
        <v>194000</v>
      </c>
      <c r="P342" s="46">
        <f t="shared" ca="1" si="23"/>
        <v>1.3333333333339749E-3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input_603010!A$2</f>
        <v>603010</v>
      </c>
      <c r="B343" s="100">
        <v>1248</v>
      </c>
      <c r="C343" s="7" t="str">
        <f t="shared" ref="C343:C345" si="32">D343&amp;J343&amp;E343&amp;F343&amp;G343</f>
        <v>Premium4R3less</v>
      </c>
      <c r="D343" s="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IFERROR(VLOOKUP(B343,input_603010!L:R,7,FALSE),VLOOKUP(tables_603010!C343,input_603010!A:H,8,FALSE))</f>
        <v>1077535.71429</v>
      </c>
      <c r="P343" s="46">
        <f t="shared" ca="1" si="23"/>
        <v>7.405743740828306E-3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input_603010!A$2</f>
        <v>603010</v>
      </c>
      <c r="B344" s="100">
        <v>1249</v>
      </c>
      <c r="C344" s="7" t="str">
        <f t="shared" si="32"/>
        <v>Premium5R3less</v>
      </c>
      <c r="D344" s="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IFERROR(VLOOKUP(B344,input_603010!L:R,7,FALSE),VLOOKUP(tables_603010!C344,input_603010!A:H,8,FALSE))</f>
        <v>200250</v>
      </c>
      <c r="P344" s="46">
        <f t="shared" ca="1" si="23"/>
        <v>1.3762886597944767E-3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input_603010!A$2</f>
        <v>603010</v>
      </c>
      <c r="B345" s="100">
        <v>1250</v>
      </c>
      <c r="C345" s="7" t="str">
        <f t="shared" si="32"/>
        <v>PremiumSS5R5only</v>
      </c>
      <c r="D345" s="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IFERROR(VLOOKUP(B345,input_603010!L:R,7,FALSE),VLOOKUP(tables_603010!C345,input_603010!A:H,8,FALSE))</f>
        <v>194000</v>
      </c>
      <c r="P345" s="46">
        <f t="shared" ca="1" si="23"/>
        <v>1.3333333333339749E-3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input_603010!A$2</f>
        <v>603010</v>
      </c>
      <c r="B346" s="100">
        <v>1260</v>
      </c>
      <c r="C346" s="7" t="str">
        <f t="shared" ref="C346" si="34">D346&amp;J346&amp;E346&amp;F346&amp;G346</f>
        <v>PremiumSS5R5only</v>
      </c>
      <c r="D346" s="7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IFERROR(VLOOKUP(B346,input_603010!L:R,7,FALSE),VLOOKUP(tables_603010!C346,input_603010!A:H,8,FALSE))</f>
        <v>194000</v>
      </c>
      <c r="P346" s="46">
        <f t="shared" ca="1" si="23"/>
        <v>1.3333333333339749E-3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input_603010!A$2</f>
        <v>603010</v>
      </c>
      <c r="B347" s="100">
        <v>1262</v>
      </c>
      <c r="C347" s="7" t="str">
        <f t="shared" ref="C347:C348" si="36">D347&amp;J347&amp;E347&amp;F347&amp;G347</f>
        <v>PremiumSS5R5only</v>
      </c>
      <c r="D347" s="7" t="str">
        <f t="shared" ref="D347:D348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IFERROR(VLOOKUP(B347,input_603010!L:R,7,FALSE),VLOOKUP(tables_603010!C347,input_603010!A:H,8,FALSE))</f>
        <v>194000</v>
      </c>
      <c r="P347" s="46">
        <f t="shared" ca="1" si="23"/>
        <v>1.3333333333339749E-3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input_603010!A$2</f>
        <v>603010</v>
      </c>
      <c r="B348" s="100">
        <v>1264</v>
      </c>
      <c r="C348" s="7" t="str">
        <f t="shared" si="36"/>
        <v>PremiumSS5R5only</v>
      </c>
      <c r="D348" s="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IFERROR(VLOOKUP(B348,input_603010!L:R,7,FALSE),VLOOKUP(tables_603010!C348,input_603010!A:H,8,FALSE))</f>
        <v>194000</v>
      </c>
      <c r="P348" s="46">
        <f t="shared" ca="1" si="23"/>
        <v>1.3333333333339749E-3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input_603010!A$2</f>
        <v>603010</v>
      </c>
      <c r="B349" s="100">
        <v>1266</v>
      </c>
      <c r="C349" s="7" t="str">
        <f t="shared" ref="C349:C361" si="38">D349&amp;J349&amp;E349&amp;F349&amp;G349</f>
        <v>Premium4R3less</v>
      </c>
      <c r="D349" s="7" t="str">
        <f t="shared" ref="D349:D361" si="39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IFERROR(VLOOKUP(B349,input_603010!L:R,7,FALSE),VLOOKUP(tables_603010!C349,input_603010!A:H,8,FALSE))</f>
        <v>1077535.71429</v>
      </c>
      <c r="P349" s="46">
        <f t="shared" ca="1" si="23"/>
        <v>7.405743740828306E-3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input_603010!A$2</f>
        <v>603010</v>
      </c>
      <c r="B350" s="100">
        <v>1267</v>
      </c>
      <c r="C350" s="7" t="str">
        <f t="shared" si="38"/>
        <v>Premium5R3less</v>
      </c>
      <c r="D350" s="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IFERROR(VLOOKUP(B350,input_603010!L:R,7,FALSE),VLOOKUP(tables_603010!C350,input_603010!A:H,8,FALSE))</f>
        <v>200250</v>
      </c>
      <c r="P350" s="46">
        <f t="shared" ca="1" si="23"/>
        <v>1.3762886597944767E-3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input_603010!A$2</f>
        <v>603010</v>
      </c>
      <c r="B351" s="100">
        <v>1332</v>
      </c>
      <c r="C351" s="7" t="str">
        <f t="shared" si="38"/>
        <v>PremiumSS5R5only</v>
      </c>
      <c r="D351" s="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IFERROR(VLOOKUP(B351,input_603010!L:R,7,FALSE),VLOOKUP(tables_603010!C351,input_603010!A:H,8,FALSE))</f>
        <v>194000</v>
      </c>
      <c r="P351" s="46">
        <f t="shared" ca="1" si="23"/>
        <v>1.3333333333339749E-3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input_603010!A$2</f>
        <v>603010</v>
      </c>
      <c r="B352" s="100">
        <v>1336</v>
      </c>
      <c r="C352" s="7" t="str">
        <f t="shared" si="38"/>
        <v>PremiumSS5R5only</v>
      </c>
      <c r="D352" s="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IFERROR(VLOOKUP(B352,input_603010!L:R,7,FALSE),VLOOKUP(tables_603010!C352,input_603010!A:H,8,FALSE))</f>
        <v>194000</v>
      </c>
      <c r="P352" s="46">
        <f t="shared" ca="1" si="23"/>
        <v>1.3333333333339749E-3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input_603010!A$2</f>
        <v>603010</v>
      </c>
      <c r="B353" s="100">
        <v>1338</v>
      </c>
      <c r="C353" s="7" t="str">
        <f t="shared" si="38"/>
        <v>PremiumSS5R5only</v>
      </c>
      <c r="D353" s="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IFERROR(VLOOKUP(B353,input_603010!L:R,7,FALSE),VLOOKUP(tables_603010!C353,input_603010!A:H,8,FALSE))</f>
        <v>194000</v>
      </c>
      <c r="P353" s="46">
        <f t="shared" ca="1" si="23"/>
        <v>1.3333333333339749E-3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input_603010!A$2</f>
        <v>603010</v>
      </c>
      <c r="B354" s="100">
        <v>1334</v>
      </c>
      <c r="C354" s="7" t="str">
        <f t="shared" si="38"/>
        <v>Premium4R3less</v>
      </c>
      <c r="D354" s="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IFERROR(VLOOKUP(B354,input_603010!L:R,7,FALSE),VLOOKUP(tables_603010!C354,input_603010!A:H,8,FALSE))</f>
        <v>1077535.71429</v>
      </c>
      <c r="P354" s="46">
        <f t="shared" ca="1" si="23"/>
        <v>7.405743740828306E-3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input_603010!A$2</f>
        <v>603010</v>
      </c>
      <c r="B355" s="100">
        <v>1335</v>
      </c>
      <c r="C355" s="7" t="str">
        <f t="shared" si="38"/>
        <v>Premium5R3less</v>
      </c>
      <c r="D355" s="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IFERROR(VLOOKUP(B355,input_603010!L:R,7,FALSE),VLOOKUP(tables_603010!C355,input_603010!A:H,8,FALSE))</f>
        <v>200250</v>
      </c>
      <c r="P355" s="46">
        <f t="shared" ca="1" si="23"/>
        <v>1.3762886597944767E-3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input_603010!A$2</f>
        <v>603010</v>
      </c>
      <c r="B356" s="101">
        <v>1381</v>
      </c>
      <c r="C356" s="7" t="str">
        <f t="shared" ref="C356" si="40">D356&amp;J356&amp;E356&amp;F356&amp;G356</f>
        <v>Premium4R3less</v>
      </c>
      <c r="D356" s="7" t="str">
        <f t="shared" ref="D356" si="41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IFERROR(VLOOKUP(B356,input_603010!L:R,7,FALSE),VLOOKUP(tables_603010!C356,input_603010!A:H,8,FALSE))</f>
        <v>1077535.71429</v>
      </c>
      <c r="P356" s="46">
        <f t="shared" ca="1" si="23"/>
        <v>7.405743740828306E-3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input_603010!A$2</f>
        <v>603010</v>
      </c>
      <c r="B357" s="101">
        <v>1382</v>
      </c>
      <c r="C357" s="7" t="str">
        <f t="shared" ref="C357:C360" si="42">D357&amp;J357&amp;E357&amp;F357&amp;G357</f>
        <v>Premium5R3less</v>
      </c>
      <c r="D357" s="7" t="str">
        <f t="shared" ref="D357:D360" si="43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IFERROR(VLOOKUP(B357,input_603010!L:R,7,FALSE),VLOOKUP(tables_603010!C357,input_603010!A:H,8,FALSE))</f>
        <v>200250</v>
      </c>
      <c r="P357" s="46">
        <f t="shared" ca="1" si="23"/>
        <v>1.3762886597944767E-3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input_603010!A$2</f>
        <v>603010</v>
      </c>
      <c r="B358" s="101">
        <v>1383</v>
      </c>
      <c r="C358" s="7" t="str">
        <f t="shared" si="42"/>
        <v>PremiumSS5R5only</v>
      </c>
      <c r="D358" s="7" t="str">
        <f t="shared" si="4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IFERROR(VLOOKUP(B358,input_603010!L:R,7,FALSE),VLOOKUP(tables_603010!C358,input_603010!A:H,8,FALSE))</f>
        <v>194000</v>
      </c>
      <c r="P358" s="46">
        <f t="shared" ca="1" si="23"/>
        <v>1.3333333333339749E-3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input_603010!A$2</f>
        <v>603010</v>
      </c>
      <c r="B359" s="101">
        <v>1385</v>
      </c>
      <c r="C359" s="7" t="str">
        <f t="shared" si="42"/>
        <v>PremiumSS5R5only</v>
      </c>
      <c r="D359" s="7" t="str">
        <f t="shared" si="43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IFERROR(VLOOKUP(B359,input_603010!L:R,7,FALSE),VLOOKUP(tables_603010!C359,input_603010!A:H,8,FALSE))</f>
        <v>194000</v>
      </c>
      <c r="P359" s="46">
        <f t="shared" ca="1" si="23"/>
        <v>1.3333333333339749E-3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input_603010!A$2</f>
        <v>603010</v>
      </c>
      <c r="B360" s="101">
        <v>1387</v>
      </c>
      <c r="C360" s="7" t="str">
        <f t="shared" si="42"/>
        <v>PremiumSS5R5only</v>
      </c>
      <c r="D360" s="7" t="str">
        <f t="shared" si="43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IFERROR(VLOOKUP(B360,input_603010!L:R,7,FALSE),VLOOKUP(tables_603010!C360,input_603010!A:H,8,FALSE))</f>
        <v>194000</v>
      </c>
      <c r="P360" s="46">
        <f t="shared" ca="1" si="23"/>
        <v>1.3333333333339749E-3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input_603010!A$2</f>
        <v>603010</v>
      </c>
      <c r="B361" s="5">
        <v>953</v>
      </c>
      <c r="C361" s="7" t="str">
        <f t="shared" si="38"/>
        <v>PremiumSSS5R3less</v>
      </c>
      <c r="D361" s="7" t="str">
        <f t="shared" si="39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ハイゼンベルク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green</v>
      </c>
      <c r="L361" s="7" t="str">
        <f>VLOOKUP(B361,[1]characters!$A:$K,11,FALSE)</f>
        <v>attack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45">
        <f ca="1">IFERROR(VLOOKUP(B361,input_603010!L:R,7,FALSE),VLOOKUP(tables_603010!C361,input_603010!A:H,8,FALSE))</f>
        <v>1455000</v>
      </c>
      <c r="P361" s="46">
        <f t="shared" ca="1" si="23"/>
        <v>1.0000000000004811E-2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customFormat="1" ht="21" customHeight="1" x14ac:dyDescent="0.15"/>
    <row r="363" spans="1:22" customFormat="1" ht="21" customHeight="1" x14ac:dyDescent="0.15"/>
  </sheetData>
  <autoFilter ref="A1:V34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0"/>
  <sheetViews>
    <sheetView workbookViewId="0">
      <selection activeCell="E34" sqref="E34:F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1346</v>
      </c>
      <c r="M3" s="37" t="str">
        <f>VLOOKUP(L3,[1]characters!$A:$C,3,FALSE)</f>
        <v>セルシウス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e">
        <f>VLOOKUP(L3,tables_603100!B:C,2,FALSE)</f>
        <v>#N/A</v>
      </c>
      <c r="R3" s="62">
        <f t="shared" ref="R3:R20" si="1">N3*A$36</f>
        <v>1455000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VLOOKUP(L4,tables_603100!B:C,2,FALSE)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1.3333333333333335E-3</v>
      </c>
      <c r="F5">
        <f>(COUNTIF(tables_603100!C:C,input_603100!A28)+COUNTIF(tables_603100!C:C,input_603100!A29))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VLOOKUP(L5,tables_603100!B:C,2,FALSE)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0.85</v>
      </c>
      <c r="D6" t="s">
        <v>202</v>
      </c>
      <c r="E6" s="76">
        <f>(B10-H6)/(F6-I6)</f>
        <v>9.1752577319587636E-3</v>
      </c>
      <c r="F6">
        <f>(COUNTIF(tables_603100!C:C,input_603100!A25)+COUNTIF(tables_603100!C:C,input_603100!A18)+COUNTIF(tables_603100!C:C,input_603100!A20)+COUNTIF(tables_603100!C:C,input_603100!A22))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VLOOKUP(L6,tables_603100!B:C,2,FALSE)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VLOOKUP(L7,tables_603100!B:C,2,FALSE)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VLOOKUP(L8,tables_603100!B:C,2,FALSE)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VLOOKUP(L9,tables_603100!B:C,2,FALSE)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VLOOKUP(L10,tables_603100!B:C,2,FALSE)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VLOOKUP(L11,tables_603100!B:C,2,FALSE)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VLOOKUP(L12,tables_603100!B:C,2,FALSE)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VLOOKUP(L13,tables_603100!B:C,2,FALSE)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VLOOKUP(L14,tables_603100!B:C,2,FALSE)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VLOOKUP(L15,tables_603100!B:C,2,FALSE)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VLOOKUP(L16,tables_603100!B:C,2,FALSE)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COUNTIF(tables_603100!C:C,input_603100!A17)-COUNTIF(Q:Q,A17)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VLOOKUP(L17,tables_603100!B:C,2,FALSE)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0.22600378006872834</v>
      </c>
      <c r="C18" s="84">
        <f t="shared" si="2"/>
        <v>0</v>
      </c>
      <c r="D18" s="74">
        <f t="shared" si="3"/>
        <v>0.22600378006872834</v>
      </c>
      <c r="E18">
        <f>COUNTIF(tables_603100!C:C,input_603100!A18)-COUNTIF(Q:Q,A18)</f>
        <v>20</v>
      </c>
      <c r="F18" s="43">
        <f>IFERROR(B18/E18,0)</f>
        <v>1.1300189003436416E-2</v>
      </c>
      <c r="G18">
        <f t="shared" si="4"/>
        <v>32883549.999999974</v>
      </c>
      <c r="H18">
        <f t="shared" si="5"/>
        <v>1644177.5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VLOOKUP(L18,tables_603100!B:C,2,FALSE)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COUNTIF(tables_603100!C:C,input_603100!A19)-COUNTIF(Q:Q,A19)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VLOOKUP(L19,tables_603100!B:C,2,FALSE)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0.40554639175257734</v>
      </c>
      <c r="C20" s="84">
        <f t="shared" si="2"/>
        <v>0</v>
      </c>
      <c r="D20" s="74">
        <f t="shared" si="3"/>
        <v>0.40554639175257734</v>
      </c>
      <c r="E20">
        <f>COUNTIF(tables_603100!C:C,input_603100!A20)-COUNTIF(Q:Q,A20)</f>
        <v>52</v>
      </c>
      <c r="F20" s="43">
        <f t="shared" si="8"/>
        <v>7.7989690721649487E-3</v>
      </c>
      <c r="G20">
        <f t="shared" si="4"/>
        <v>59007000</v>
      </c>
      <c r="H20">
        <f t="shared" si="5"/>
        <v>1134750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VLOOKUP(L20,tables_603100!B:C,2,FALSE)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2.906838487972508E-2</v>
      </c>
      <c r="C21" s="84">
        <f t="shared" si="2"/>
        <v>0</v>
      </c>
      <c r="D21" s="74">
        <f t="shared" si="3"/>
        <v>2.906838487972508E-2</v>
      </c>
      <c r="E21">
        <f>COUNTIF(tables_603100!C:C,input_603100!A21)-COUNTIF(Q:Q,A21)</f>
        <v>52</v>
      </c>
      <c r="F21" s="43">
        <f t="shared" si="8"/>
        <v>5.5900740153317459E-4</v>
      </c>
      <c r="G21">
        <f t="shared" si="4"/>
        <v>4229449.9999999991</v>
      </c>
      <c r="H21">
        <f t="shared" si="5"/>
        <v>81335.576920000007</v>
      </c>
      <c r="I21">
        <f t="shared" si="6"/>
        <v>0.576920000006794</v>
      </c>
      <c r="J21">
        <f t="shared" si="7"/>
        <v>1.7333425778066693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0.15552061855670105</v>
      </c>
      <c r="C22" s="84">
        <f t="shared" si="2"/>
        <v>0</v>
      </c>
      <c r="D22" s="74">
        <f t="shared" si="3"/>
        <v>0.15552061855670105</v>
      </c>
      <c r="E22">
        <f>COUNTIF(tables_603100!C:C,input_603100!A22)-COUNTIF(Q:Q,A22)</f>
        <v>21</v>
      </c>
      <c r="F22" s="43">
        <f t="shared" si="8"/>
        <v>7.4057437407952882E-3</v>
      </c>
      <c r="G22">
        <f t="shared" si="4"/>
        <v>22628250.000000004</v>
      </c>
      <c r="H22">
        <f t="shared" si="5"/>
        <v>1077535.71429</v>
      </c>
      <c r="I22">
        <f t="shared" si="6"/>
        <v>0.71429000003263354</v>
      </c>
      <c r="J22">
        <f t="shared" si="7"/>
        <v>1.3999915999864387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3.715979381443299E-2</v>
      </c>
      <c r="C23" s="84">
        <f t="shared" si="2"/>
        <v>0</v>
      </c>
      <c r="D23" s="74">
        <f t="shared" si="3"/>
        <v>3.715979381443299E-2</v>
      </c>
      <c r="E23">
        <f>COUNTIF(tables_603100!C:C,input_603100!A23)-COUNTIF(Q:Q,A23)</f>
        <v>27</v>
      </c>
      <c r="F23" s="43">
        <f t="shared" si="8"/>
        <v>1.3762886597938145E-3</v>
      </c>
      <c r="G23">
        <f t="shared" si="4"/>
        <v>5406750</v>
      </c>
      <c r="H23">
        <f t="shared" si="5"/>
        <v>200250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COUNTIF(tables_603100!C:C,input_603100!A24)-COUNTIF(Q:Q,A24)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3.1195876288659795E-2</v>
      </c>
      <c r="C25" s="84">
        <f t="shared" si="2"/>
        <v>0</v>
      </c>
      <c r="D25" s="74">
        <f t="shared" si="3"/>
        <v>3.1195876288659795E-2</v>
      </c>
      <c r="E25">
        <f>COUNTIF(tables_603100!C:C,input_603100!A25)-COUNTIF(Q:Q,A25)</f>
        <v>4</v>
      </c>
      <c r="F25" s="43">
        <f t="shared" si="8"/>
        <v>7.7989690721649487E-3</v>
      </c>
      <c r="G25">
        <f t="shared" si="4"/>
        <v>4539000</v>
      </c>
      <c r="H25">
        <f t="shared" si="5"/>
        <v>1134750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5.5051546391752578E-3</v>
      </c>
      <c r="C26" s="84">
        <f t="shared" si="2"/>
        <v>0</v>
      </c>
      <c r="D26" s="74">
        <f t="shared" si="3"/>
        <v>5.5051546391752578E-3</v>
      </c>
      <c r="E26">
        <f>COUNTIF(tables_603100!C:C,input_603100!A26)-COUNTIF(Q:Q,A26)</f>
        <v>4</v>
      </c>
      <c r="F26" s="43">
        <f t="shared" si="8"/>
        <v>1.3762886597938145E-3</v>
      </c>
      <c r="G26">
        <f t="shared" si="4"/>
        <v>801000</v>
      </c>
      <c r="H26">
        <f t="shared" si="5"/>
        <v>200250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3.1733333333333336E-2</v>
      </c>
      <c r="C27" s="84">
        <f t="shared" si="2"/>
        <v>0</v>
      </c>
      <c r="D27" s="74">
        <f t="shared" si="3"/>
        <v>3.1733333333333336E-2</v>
      </c>
      <c r="E27">
        <f>COUNTIF(tables_603100!C:C,input_603100!A27)-COUNTIF(Q:Q,A27)</f>
        <v>28</v>
      </c>
      <c r="F27" s="43">
        <f>IFERROR(B27/E27,0)</f>
        <v>1.1333333333333334E-3</v>
      </c>
      <c r="G27">
        <f t="shared" si="4"/>
        <v>4617200</v>
      </c>
      <c r="H27">
        <f t="shared" si="5"/>
        <v>164900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5.5999999999999999E-3</v>
      </c>
      <c r="C28" s="84">
        <f t="shared" si="2"/>
        <v>0</v>
      </c>
      <c r="D28" s="74">
        <f t="shared" si="3"/>
        <v>5.5999999999999999E-3</v>
      </c>
      <c r="E28">
        <f>COUNTIF(tables_603100!C:C,input_603100!A28)-COUNTIF(Q:Q,A28)</f>
        <v>28</v>
      </c>
      <c r="F28" s="43">
        <f t="shared" si="8"/>
        <v>2.0000000000000001E-4</v>
      </c>
      <c r="G28">
        <f t="shared" si="4"/>
        <v>814800</v>
      </c>
      <c r="H28">
        <f t="shared" si="5"/>
        <v>29100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6.2666666666666676E-2</v>
      </c>
      <c r="C29" s="84">
        <f t="shared" si="2"/>
        <v>0</v>
      </c>
      <c r="D29" s="74">
        <f t="shared" si="3"/>
        <v>6.2666666666666676E-2</v>
      </c>
      <c r="E29">
        <f>COUNTIF(tables_603100!C:C,input_603100!A29)-COUNTIF(Q:Q,A29)</f>
        <v>47</v>
      </c>
      <c r="F29" s="43">
        <f t="shared" si="8"/>
        <v>1.3333333333333335E-3</v>
      </c>
      <c r="G29">
        <f t="shared" si="4"/>
        <v>9118000.0000000019</v>
      </c>
      <c r="H29">
        <f t="shared" si="5"/>
        <v>194000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COUNTIF(tables_603100!C:C,input_603100!A30)-COUNTIF(Q:Q,A30)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</v>
      </c>
      <c r="D31" s="74">
        <f t="shared" si="3"/>
        <v>0.01</v>
      </c>
      <c r="E31">
        <f>COUNTIF(tables_603100!C:C,input_603100!A31)-COUNTIF(Q:Q,A31)</f>
        <v>1</v>
      </c>
      <c r="F31" s="43">
        <f t="shared" si="8"/>
        <v>0.01</v>
      </c>
      <c r="G31">
        <f t="shared" si="4"/>
        <v>1455000</v>
      </c>
      <c r="H31">
        <f t="shared" si="5"/>
        <v>1455000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SUMIF(tables_603100!C:C,input_603100!A40,tables_603100!O:O)</f>
        <v>0</v>
      </c>
      <c r="C40" s="54">
        <f t="shared" ref="C40:C46" ca="1" si="9">B40/B$47</f>
        <v>0</v>
      </c>
      <c r="E40">
        <v>3</v>
      </c>
      <c r="F40">
        <f ca="1">SUMIF(tables_603100!J:J,input_603100!E40,tables_603100!O:O)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SUMIF(tables_603100!C:C,input_603100!A41,tables_603100!O:O)</f>
        <v>59007000</v>
      </c>
      <c r="C41" s="54">
        <f t="shared" ca="1" si="9"/>
        <v>0.85930292587261681</v>
      </c>
      <c r="E41">
        <v>4</v>
      </c>
      <c r="F41">
        <f ca="1">SUMIF(tables_603100!J:J,input_603100!E41,tables_603100!O:O)</f>
        <v>123675000.00008985</v>
      </c>
      <c r="G41">
        <f ca="1">F41/A36</f>
        <v>0.85000000000061759</v>
      </c>
    </row>
    <row r="42" spans="1:7" x14ac:dyDescent="0.15">
      <c r="A42" s="33" t="s">
        <v>106</v>
      </c>
      <c r="B42">
        <f ca="1">SUMIF(tables_603100!C:C,input_603100!A42,tables_603100!O:O)</f>
        <v>4617200</v>
      </c>
      <c r="C42" s="54">
        <f t="shared" ca="1" si="9"/>
        <v>6.7239030442812653E-2</v>
      </c>
      <c r="E42">
        <v>5</v>
      </c>
      <c r="F42">
        <f ca="1">SUMIF(tables_603100!J:J,input_603100!E42,tables_603100!O:O)</f>
        <v>21824999.999839999</v>
      </c>
      <c r="G42">
        <f ca="1">F42/A36</f>
        <v>0.14999999999890035</v>
      </c>
    </row>
    <row r="43" spans="1:7" x14ac:dyDescent="0.15">
      <c r="A43" s="33" t="s">
        <v>109</v>
      </c>
      <c r="B43">
        <f>SUMIF(tables_603100!C:C,input_603100!A43,tables_603100!O:O)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SUMIF(tables_603100!C:C,input_603100!A44,tables_603100!O:O)</f>
        <v>4229449.9998399969</v>
      </c>
      <c r="C44" s="54">
        <f t="shared" ca="1" si="9"/>
        <v>6.1592332429956584E-2</v>
      </c>
      <c r="E44" t="s">
        <v>54</v>
      </c>
      <c r="F44" s="55"/>
    </row>
    <row r="45" spans="1:7" x14ac:dyDescent="0.15">
      <c r="A45" s="33" t="s">
        <v>107</v>
      </c>
      <c r="B45">
        <f ca="1">SUMIF(tables_603100!C:C,input_603100!A45,tables_603100!O:O)</f>
        <v>814800</v>
      </c>
      <c r="C45" s="54">
        <f t="shared" ca="1" si="9"/>
        <v>1.1865711254613998E-2</v>
      </c>
      <c r="E45" t="s">
        <v>204</v>
      </c>
      <c r="F45" s="55">
        <f ca="1">SUMIF(tables_603100!I:I,input_603100!E45,tables_603100!P:P)</f>
        <v>0.23426151202760417</v>
      </c>
    </row>
    <row r="46" spans="1:7" x14ac:dyDescent="0.15">
      <c r="A46" s="33" t="s">
        <v>108</v>
      </c>
      <c r="B46">
        <f>SUMIF(tables_603100!C:C,input_603100!A46,tables_603100!O:O)</f>
        <v>0</v>
      </c>
      <c r="C46" s="54">
        <f t="shared" ca="1" si="9"/>
        <v>0</v>
      </c>
      <c r="E46" t="s">
        <v>205</v>
      </c>
      <c r="F46" s="55">
        <f ca="1">SUMIF(tables_603100!I:I,input_603100!E46,tables_603100!P:P)</f>
        <v>0.16961137324846653</v>
      </c>
    </row>
    <row r="47" spans="1:7" x14ac:dyDescent="0.15">
      <c r="A47" s="39" t="s">
        <v>59</v>
      </c>
      <c r="B47">
        <f ca="1">SUM(B40:B46)</f>
        <v>68668449.999839991</v>
      </c>
      <c r="C47" s="55">
        <f ca="1">SUM(C40:C46)</f>
        <v>1</v>
      </c>
      <c r="E47" t="s">
        <v>206</v>
      </c>
      <c r="F47" s="55">
        <f ca="1">SUMIF(tables_603100!I:I,input_603100!E47,tables_603100!P:P)</f>
        <v>0.48612711472387732</v>
      </c>
    </row>
    <row r="48" spans="1:7" x14ac:dyDescent="0.15">
      <c r="E48" t="s">
        <v>207</v>
      </c>
      <c r="F48" s="55">
        <f ca="1">SUMIF(tables_603100!I:I,input_603100!E48,tables_603100!P:P)</f>
        <v>8.6666666666708456E-2</v>
      </c>
      <c r="G48" s="55"/>
    </row>
    <row r="49" spans="5:6" x14ac:dyDescent="0.15">
      <c r="E49" t="s">
        <v>250</v>
      </c>
      <c r="F49" s="55">
        <f ca="1">SUMIF(tables_603100!I:I,input_603100!E49,tables_603100!P:P)</f>
        <v>1.3333333333339747E-2</v>
      </c>
    </row>
    <row r="50" spans="5:6" x14ac:dyDescent="0.15">
      <c r="E50" t="s">
        <v>254</v>
      </c>
      <c r="F50" s="55">
        <f ca="1">SUMIF(tables_603100!I:I,input_603100!E50,tables_603100!P:P)</f>
        <v>1.0000000000004811E-2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1"/>
  <sheetViews>
    <sheetView showGridLines="0" zoomScale="75" zoomScaleNormal="75" zoomScalePageLayoutView="75" workbookViewId="0">
      <pane ySplit="1" topLeftCell="A313" activePane="bottomLeft" state="frozen"/>
      <selection activeCell="B33" sqref="B33"/>
      <selection pane="bottomLeft" activeCell="P2" sqref="P2:P36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input_603100!A$2</f>
        <v>603100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IFERROR(VLOOKUP(B2,input_603100!L:R,7,FALSE),VLOOKUP(tables_603100!C2,input_603100!A:H,8,FALSE))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input_603100!A$2</f>
        <v>603100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IFERROR(VLOOKUP(B3,input_603100!L:R,7,FALSE),VLOOKUP(tables_603100!C3,input_603100!A:H,8,FALSE))</f>
        <v>1644177.5</v>
      </c>
      <c r="P3" s="46">
        <f t="shared" ca="1" si="1"/>
        <v>1.1300189003441864E-2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input_603100!A$2</f>
        <v>603100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IFERROR(VLOOKUP(B4,input_603100!L:R,7,FALSE),VLOOKUP(tables_603100!C4,input_603100!A:H,8,FALSE))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input_603100!A$2</f>
        <v>603100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IFERROR(VLOOKUP(B5,input_603100!L:R,7,FALSE),VLOOKUP(tables_603100!C5,input_603100!A:H,8,FALSE))</f>
        <v>1644177.5</v>
      </c>
      <c r="P5" s="46">
        <f t="shared" ca="1" si="1"/>
        <v>1.1300189003441864E-2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input_603100!A$2</f>
        <v>603100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IFERROR(VLOOKUP(B6,input_603100!L:R,7,FALSE),VLOOKUP(tables_603100!C6,input_603100!A:H,8,FALSE))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input_603100!A$2</f>
        <v>603100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IFERROR(VLOOKUP(B7,input_603100!L:R,7,FALSE),VLOOKUP(tables_603100!C7,input_603100!A:H,8,FALSE))</f>
        <v>1644177.5</v>
      </c>
      <c r="P7" s="46">
        <f t="shared" ca="1" si="1"/>
        <v>1.1300189003441864E-2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input_603100!A$2</f>
        <v>603100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IFERROR(VLOOKUP(B8,input_603100!L:R,7,FALSE),VLOOKUP(tables_603100!C8,input_603100!A:H,8,FALSE))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input_603100!A$2</f>
        <v>603100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IFERROR(VLOOKUP(B9,input_603100!L:R,7,FALSE),VLOOKUP(tables_603100!C9,input_603100!A:H,8,FALSE))</f>
        <v>1644177.5</v>
      </c>
      <c r="P9" s="46">
        <f t="shared" ca="1" si="1"/>
        <v>1.1300189003441864E-2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input_603100!A$2</f>
        <v>603100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IFERROR(VLOOKUP(B10,input_603100!L:R,7,FALSE),VLOOKUP(tables_603100!C10,input_603100!A:H,8,FALSE))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input_603100!A$2</f>
        <v>603100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IFERROR(VLOOKUP(B11,input_603100!L:R,7,FALSE),VLOOKUP(tables_603100!C11,input_603100!A:H,8,FALSE))</f>
        <v>1644177.5</v>
      </c>
      <c r="P11" s="46">
        <f t="shared" ca="1" si="1"/>
        <v>1.1300189003441864E-2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input_603100!A$2</f>
        <v>603100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IFERROR(VLOOKUP(B12,input_603100!L:R,7,FALSE),VLOOKUP(tables_603100!C12,input_603100!A:H,8,FALSE))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input_603100!A$2</f>
        <v>603100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IFERROR(VLOOKUP(B13,input_603100!L:R,7,FALSE),VLOOKUP(tables_603100!C13,input_603100!A:H,8,FALSE))</f>
        <v>1644177.5</v>
      </c>
      <c r="P13" s="46">
        <f t="shared" ca="1" si="1"/>
        <v>1.1300189003441864E-2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input_603100!A$2</f>
        <v>603100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IFERROR(VLOOKUP(B14,input_603100!L:R,7,FALSE),VLOOKUP(tables_603100!C14,input_603100!A:H,8,FALSE))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input_603100!A$2</f>
        <v>603100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IFERROR(VLOOKUP(B15,input_603100!L:R,7,FALSE),VLOOKUP(tables_603100!C15,input_603100!A:H,8,FALSE))</f>
        <v>1644177.5</v>
      </c>
      <c r="P15" s="46">
        <f t="shared" ca="1" si="1"/>
        <v>1.1300189003441864E-2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input_603100!A$2</f>
        <v>603100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IFERROR(VLOOKUP(B16,input_603100!L:R,7,FALSE),VLOOKUP(tables_603100!C16,input_603100!A:H,8,FALSE))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input_603100!A$2</f>
        <v>603100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IFERROR(VLOOKUP(B17,input_603100!L:R,7,FALSE),VLOOKUP(tables_603100!C17,input_603100!A:H,8,FALSE))</f>
        <v>1644177.5</v>
      </c>
      <c r="P17" s="46">
        <f t="shared" ca="1" si="1"/>
        <v>1.1300189003441864E-2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input_603100!A$2</f>
        <v>603100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IFERROR(VLOOKUP(B18,input_603100!L:R,7,FALSE),VLOOKUP(tables_603100!C18,input_603100!A:H,8,FALSE))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input_603100!A$2</f>
        <v>603100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IFERROR(VLOOKUP(B19,input_603100!L:R,7,FALSE),VLOOKUP(tables_603100!C19,input_603100!A:H,8,FALSE))</f>
        <v>1644177.5</v>
      </c>
      <c r="P19" s="46">
        <f t="shared" ca="1" si="1"/>
        <v>1.1300189003441864E-2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input_603100!A$2</f>
        <v>603100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IFERROR(VLOOKUP(B20,input_603100!L:R,7,FALSE),VLOOKUP(tables_603100!C20,input_603100!A:H,8,FALSE))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input_603100!A$2</f>
        <v>603100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IFERROR(VLOOKUP(B21,input_603100!L:R,7,FALSE),VLOOKUP(tables_603100!C21,input_603100!A:H,8,FALSE))</f>
        <v>1644177.5</v>
      </c>
      <c r="P21" s="46">
        <f t="shared" ca="1" si="1"/>
        <v>1.1300189003441864E-2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input_603100!A$2</f>
        <v>603100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IFERROR(VLOOKUP(B22,input_603100!L:R,7,FALSE),VLOOKUP(tables_603100!C22,input_603100!A:H,8,FALSE))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input_603100!A$2</f>
        <v>603100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IFERROR(VLOOKUP(B23,input_603100!L:R,7,FALSE),VLOOKUP(tables_603100!C23,input_603100!A:H,8,FALSE))</f>
        <v>1644177.5</v>
      </c>
      <c r="P23" s="46">
        <f t="shared" ca="1" si="1"/>
        <v>1.1300189003441864E-2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input_603100!A$2</f>
        <v>603100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IFERROR(VLOOKUP(B24,input_603100!L:R,7,FALSE),VLOOKUP(tables_603100!C24,input_603100!A:H,8,FALSE))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input_603100!A$2</f>
        <v>603100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IFERROR(VLOOKUP(B25,input_603100!L:R,7,FALSE),VLOOKUP(tables_603100!C25,input_603100!A:H,8,FALSE))</f>
        <v>1644177.5</v>
      </c>
      <c r="P25" s="46">
        <f t="shared" ca="1" si="1"/>
        <v>1.1300189003441864E-2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input_603100!A$2</f>
        <v>603100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IFERROR(VLOOKUP(B26,input_603100!L:R,7,FALSE),VLOOKUP(tables_603100!C26,input_603100!A:H,8,FALSE))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input_603100!A$2</f>
        <v>603100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IFERROR(VLOOKUP(B27,input_603100!L:R,7,FALSE),VLOOKUP(tables_603100!C27,input_603100!A:H,8,FALSE))</f>
        <v>1644177.5</v>
      </c>
      <c r="P27" s="46">
        <f t="shared" ca="1" si="1"/>
        <v>1.1300189003441864E-2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input_603100!A$2</f>
        <v>603100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IFERROR(VLOOKUP(B28,input_603100!L:R,7,FALSE),VLOOKUP(tables_603100!C28,input_603100!A:H,8,FALSE))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input_603100!A$2</f>
        <v>603100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IFERROR(VLOOKUP(B29,input_603100!L:R,7,FALSE),VLOOKUP(tables_603100!C29,input_603100!A:H,8,FALSE))</f>
        <v>1644177.5</v>
      </c>
      <c r="P29" s="46">
        <f t="shared" ca="1" si="1"/>
        <v>1.1300189003441864E-2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input_603100!A$2</f>
        <v>603100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IFERROR(VLOOKUP(B30,input_603100!L:R,7,FALSE),VLOOKUP(tables_603100!C30,input_603100!A:H,8,FALSE))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input_603100!A$2</f>
        <v>603100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IFERROR(VLOOKUP(B31,input_603100!L:R,7,FALSE),VLOOKUP(tables_603100!C31,input_603100!A:H,8,FALSE))</f>
        <v>1644177.5</v>
      </c>
      <c r="P31" s="46">
        <f t="shared" ca="1" si="1"/>
        <v>1.1300189003441864E-2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input_603100!A$2</f>
        <v>603100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IFERROR(VLOOKUP(B32,input_603100!L:R,7,FALSE),VLOOKUP(tables_603100!C32,input_603100!A:H,8,FALSE))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input_603100!A$2</f>
        <v>603100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IFERROR(VLOOKUP(B33,input_603100!L:R,7,FALSE),VLOOKUP(tables_603100!C33,input_603100!A:H,8,FALSE))</f>
        <v>1644177.5</v>
      </c>
      <c r="P33" s="46">
        <f t="shared" ca="1" si="1"/>
        <v>1.1300189003441864E-2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input_603100!A$2</f>
        <v>603100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IFERROR(VLOOKUP(B34,input_603100!L:R,7,FALSE),VLOOKUP(tables_603100!C34,input_603100!A:H,8,FALSE))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input_603100!A$2</f>
        <v>603100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IFERROR(VLOOKUP(B35,input_603100!L:R,7,FALSE),VLOOKUP(tables_603100!C35,input_603100!A:H,8,FALSE))</f>
        <v>1644177.5</v>
      </c>
      <c r="P35" s="46">
        <f t="shared" ca="1" si="1"/>
        <v>1.1300189003441864E-2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input_603100!A$2</f>
        <v>603100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IFERROR(VLOOKUP(B36,input_603100!L:R,7,FALSE),VLOOKUP(tables_603100!C36,input_603100!A:H,8,FALSE))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input_603100!A$2</f>
        <v>603100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IFERROR(VLOOKUP(B37,input_603100!L:R,7,FALSE),VLOOKUP(tables_603100!C37,input_603100!A:H,8,FALSE))</f>
        <v>1644177.5</v>
      </c>
      <c r="P37" s="46">
        <f t="shared" ca="1" si="1"/>
        <v>1.1300189003441864E-2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input_603100!A$2</f>
        <v>603100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IFERROR(VLOOKUP(B38,input_603100!L:R,7,FALSE),VLOOKUP(tables_603100!C38,input_603100!A:H,8,FALSE))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input_603100!A$2</f>
        <v>603100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IFERROR(VLOOKUP(B39,input_603100!L:R,7,FALSE),VLOOKUP(tables_603100!C39,input_603100!A:H,8,FALSE))</f>
        <v>1644177.5</v>
      </c>
      <c r="P39" s="46">
        <f t="shared" ca="1" si="1"/>
        <v>1.1300189003441864E-2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input_603100!A$2</f>
        <v>603100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IFERROR(VLOOKUP(B40,input_603100!L:R,7,FALSE),VLOOKUP(tables_603100!C40,input_603100!A:H,8,FALSE))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input_603100!A$2</f>
        <v>603100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IFERROR(VLOOKUP(B41,input_603100!L:R,7,FALSE),VLOOKUP(tables_603100!C41,input_603100!A:H,8,FALSE))</f>
        <v>1644177.5</v>
      </c>
      <c r="P41" s="46">
        <f t="shared" ca="1" si="1"/>
        <v>1.1300189003441864E-2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input_603100!A$2</f>
        <v>603100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IFERROR(VLOOKUP(B42,input_603100!L:R,7,FALSE),VLOOKUP(tables_603100!C42,input_603100!A:H,8,FALSE))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input_603100!A$2</f>
        <v>603100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IFERROR(VLOOKUP(B43,input_603100!L:R,7,FALSE),VLOOKUP(tables_603100!C43,input_603100!A:H,8,FALSE))</f>
        <v>1134750</v>
      </c>
      <c r="P43" s="46">
        <f t="shared" ca="1" si="1"/>
        <v>7.7989690721687009E-3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input_603100!A$2</f>
        <v>603100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IFERROR(VLOOKUP(B44,input_603100!L:R,7,FALSE),VLOOKUP(tables_603100!C44,input_603100!A:H,8,FALSE))</f>
        <v>200250</v>
      </c>
      <c r="P44" s="46">
        <f t="shared" ca="1" si="1"/>
        <v>1.3762886597944767E-3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input_603100!A$2</f>
        <v>603100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IFERROR(VLOOKUP(B45,input_603100!L:R,7,FALSE),VLOOKUP(tables_603100!C45,input_603100!A:H,8,FALSE))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input_603100!A$2</f>
        <v>603100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IFERROR(VLOOKUP(B46,input_603100!L:R,7,FALSE),VLOOKUP(tables_603100!C46,input_603100!A:H,8,FALSE))</f>
        <v>1134750</v>
      </c>
      <c r="P46" s="46">
        <f t="shared" ca="1" si="1"/>
        <v>7.7989690721687009E-3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input_603100!A$2</f>
        <v>603100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IFERROR(VLOOKUP(B47,input_603100!L:R,7,FALSE),VLOOKUP(tables_603100!C47,input_603100!A:H,8,FALSE))</f>
        <v>200250</v>
      </c>
      <c r="P47" s="46">
        <f t="shared" ca="1" si="1"/>
        <v>1.3762886597944767E-3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input_603100!A$2</f>
        <v>603100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IFERROR(VLOOKUP(B48,input_603100!L:R,7,FALSE),VLOOKUP(tables_603100!C48,input_603100!A:H,8,FALSE))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input_603100!A$2</f>
        <v>603100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IFERROR(VLOOKUP(B49,input_603100!L:R,7,FALSE),VLOOKUP(tables_603100!C49,input_603100!A:H,8,FALSE))</f>
        <v>1134750</v>
      </c>
      <c r="P49" s="46">
        <f t="shared" ca="1" si="1"/>
        <v>7.7989690721687009E-3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input_603100!A$2</f>
        <v>603100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IFERROR(VLOOKUP(B50,input_603100!L:R,7,FALSE),VLOOKUP(tables_603100!C50,input_603100!A:H,8,FALSE))</f>
        <v>200250</v>
      </c>
      <c r="P50" s="46">
        <f t="shared" ca="1" si="1"/>
        <v>1.3762886597944767E-3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input_603100!A$2</f>
        <v>603100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IFERROR(VLOOKUP(B51,input_603100!L:R,7,FALSE),VLOOKUP(tables_603100!C51,input_603100!A:H,8,FALSE))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input_603100!A$2</f>
        <v>603100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IFERROR(VLOOKUP(B52,input_603100!L:R,7,FALSE),VLOOKUP(tables_603100!C52,input_603100!A:H,8,FALSE))</f>
        <v>1134750</v>
      </c>
      <c r="P52" s="46">
        <f t="shared" ca="1" si="1"/>
        <v>7.7989690721687009E-3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input_603100!A$2</f>
        <v>603100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IFERROR(VLOOKUP(B53,input_603100!L:R,7,FALSE),VLOOKUP(tables_603100!C53,input_603100!A:H,8,FALSE))</f>
        <v>81335.576920000007</v>
      </c>
      <c r="P53" s="46">
        <f t="shared" ca="1" si="1"/>
        <v>5.5900740151229654E-4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input_603100!A$2</f>
        <v>603100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IFERROR(VLOOKUP(B54,input_603100!L:R,7,FALSE),VLOOKUP(tables_603100!C54,input_603100!A:H,8,FALSE))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input_603100!A$2</f>
        <v>603100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IFERROR(VLOOKUP(B55,input_603100!L:R,7,FALSE),VLOOKUP(tables_603100!C55,input_603100!A:H,8,FALSE))</f>
        <v>1134750</v>
      </c>
      <c r="P55" s="46">
        <f t="shared" ca="1" si="1"/>
        <v>7.7989690721687009E-3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input_603100!A$2</f>
        <v>603100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IFERROR(VLOOKUP(B56,input_603100!L:R,7,FALSE),VLOOKUP(tables_603100!C56,input_603100!A:H,8,FALSE))</f>
        <v>81335.576920000007</v>
      </c>
      <c r="P56" s="46">
        <f t="shared" ca="1" si="1"/>
        <v>5.5900740151229654E-4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input_603100!A$2</f>
        <v>603100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IFERROR(VLOOKUP(B57,input_603100!L:R,7,FALSE),VLOOKUP(tables_603100!C57,input_603100!A:H,8,FALSE))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input_603100!A$2</f>
        <v>603100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IFERROR(VLOOKUP(B58,input_603100!L:R,7,FALSE),VLOOKUP(tables_603100!C58,input_603100!A:H,8,FALSE))</f>
        <v>1134750</v>
      </c>
      <c r="P58" s="46">
        <f t="shared" ca="1" si="1"/>
        <v>7.7989690721687009E-3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input_603100!A$2</f>
        <v>603100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IFERROR(VLOOKUP(B59,input_603100!L:R,7,FALSE),VLOOKUP(tables_603100!C59,input_603100!A:H,8,FALSE))</f>
        <v>81335.576920000007</v>
      </c>
      <c r="P59" s="46">
        <f t="shared" ca="1" si="1"/>
        <v>5.5900740151229654E-4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input_603100!A$2</f>
        <v>603100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IFERROR(VLOOKUP(B60,input_603100!L:R,7,FALSE),VLOOKUP(tables_603100!C60,input_603100!A:H,8,FALSE))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input_603100!A$2</f>
        <v>603100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IFERROR(VLOOKUP(B61,input_603100!L:R,7,FALSE),VLOOKUP(tables_603100!C61,input_603100!A:H,8,FALSE))</f>
        <v>1134750</v>
      </c>
      <c r="P61" s="46">
        <f t="shared" ca="1" si="1"/>
        <v>7.7989690721687009E-3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input_603100!A$2</f>
        <v>603100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IFERROR(VLOOKUP(B62,input_603100!L:R,7,FALSE),VLOOKUP(tables_603100!C62,input_603100!A:H,8,FALSE))</f>
        <v>81335.576920000007</v>
      </c>
      <c r="P62" s="46">
        <f t="shared" ca="1" si="1"/>
        <v>5.5900740151229654E-4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input_603100!A$2</f>
        <v>603100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IFERROR(VLOOKUP(B63,input_603100!L:R,7,FALSE),VLOOKUP(tables_603100!C63,input_603100!A:H,8,FALSE))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input_603100!A$2</f>
        <v>603100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IFERROR(VLOOKUP(B64,input_603100!L:R,7,FALSE),VLOOKUP(tables_603100!C64,input_603100!A:H,8,FALSE))</f>
        <v>1134750</v>
      </c>
      <c r="P64" s="46">
        <f t="shared" ca="1" si="1"/>
        <v>7.7989690721687009E-3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input_603100!A$2</f>
        <v>603100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IFERROR(VLOOKUP(B65,input_603100!L:R,7,FALSE),VLOOKUP(tables_603100!C65,input_603100!A:H,8,FALSE))</f>
        <v>81335.576920000007</v>
      </c>
      <c r="P65" s="46">
        <f t="shared" ca="1" si="1"/>
        <v>5.5900740151229654E-4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input_603100!A$2</f>
        <v>603100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IFERROR(VLOOKUP(B66,input_603100!L:R,7,FALSE),VLOOKUP(tables_603100!C66,input_603100!A:H,8,FALSE))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input_603100!A$2</f>
        <v>603100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IFERROR(VLOOKUP(B67,input_603100!L:R,7,FALSE),VLOOKUP(tables_603100!C67,input_603100!A:H,8,FALSE))</f>
        <v>1134750</v>
      </c>
      <c r="P67" s="46">
        <f t="shared" ca="1" si="4"/>
        <v>7.7989690721687009E-3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input_603100!A$2</f>
        <v>603100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IFERROR(VLOOKUP(B68,input_603100!L:R,7,FALSE),VLOOKUP(tables_603100!C68,input_603100!A:H,8,FALSE))</f>
        <v>81335.576920000007</v>
      </c>
      <c r="P68" s="46">
        <f t="shared" ca="1" si="4"/>
        <v>5.5900740151229654E-4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input_603100!A$2</f>
        <v>603100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IFERROR(VLOOKUP(B69,input_603100!L:R,7,FALSE),VLOOKUP(tables_603100!C69,input_603100!A:H,8,FALSE))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input_603100!A$2</f>
        <v>603100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IFERROR(VLOOKUP(B70,input_603100!L:R,7,FALSE),VLOOKUP(tables_603100!C70,input_603100!A:H,8,FALSE))</f>
        <v>1134750</v>
      </c>
      <c r="P70" s="46">
        <f t="shared" ca="1" si="4"/>
        <v>7.7989690721687009E-3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input_603100!A$2</f>
        <v>603100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IFERROR(VLOOKUP(B71,input_603100!L:R,7,FALSE),VLOOKUP(tables_603100!C71,input_603100!A:H,8,FALSE))</f>
        <v>81335.576920000007</v>
      </c>
      <c r="P71" s="46">
        <f t="shared" ca="1" si="4"/>
        <v>5.5900740151229654E-4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input_603100!A$2</f>
        <v>603100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IFERROR(VLOOKUP(B72,input_603100!L:R,7,FALSE),VLOOKUP(tables_603100!C72,input_603100!A:H,8,FALSE))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input_603100!A$2</f>
        <v>603100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IFERROR(VLOOKUP(B73,input_603100!L:R,7,FALSE),VLOOKUP(tables_603100!C73,input_603100!A:H,8,FALSE))</f>
        <v>1134750</v>
      </c>
      <c r="P73" s="46">
        <f t="shared" ca="1" si="4"/>
        <v>7.7989690721687009E-3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input_603100!A$2</f>
        <v>603100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IFERROR(VLOOKUP(B74,input_603100!L:R,7,FALSE),VLOOKUP(tables_603100!C74,input_603100!A:H,8,FALSE))</f>
        <v>81335.576920000007</v>
      </c>
      <c r="P74" s="46">
        <f t="shared" ca="1" si="4"/>
        <v>5.5900740151229654E-4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input_603100!A$2</f>
        <v>603100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IFERROR(VLOOKUP(B75,input_603100!L:R,7,FALSE),VLOOKUP(tables_603100!C75,input_603100!A:H,8,FALSE))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input_603100!A$2</f>
        <v>603100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IFERROR(VLOOKUP(B76,input_603100!L:R,7,FALSE),VLOOKUP(tables_603100!C76,input_603100!A:H,8,FALSE))</f>
        <v>1134750</v>
      </c>
      <c r="P76" s="46">
        <f t="shared" ca="1" si="4"/>
        <v>7.7989690721687009E-3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input_603100!A$2</f>
        <v>603100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IFERROR(VLOOKUP(B77,input_603100!L:R,7,FALSE),VLOOKUP(tables_603100!C77,input_603100!A:H,8,FALSE))</f>
        <v>81335.576920000007</v>
      </c>
      <c r="P77" s="46">
        <f t="shared" ca="1" si="4"/>
        <v>5.5900740151229654E-4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input_603100!A$2</f>
        <v>603100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IFERROR(VLOOKUP(B78,input_603100!L:R,7,FALSE),VLOOKUP(tables_603100!C78,input_603100!A:H,8,FALSE))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input_603100!A$2</f>
        <v>603100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IFERROR(VLOOKUP(B79,input_603100!L:R,7,FALSE),VLOOKUP(tables_603100!C79,input_603100!A:H,8,FALSE))</f>
        <v>1134750</v>
      </c>
      <c r="P79" s="46">
        <f t="shared" ca="1" si="4"/>
        <v>7.7989690721687009E-3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input_603100!A$2</f>
        <v>603100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IFERROR(VLOOKUP(B80,input_603100!L:R,7,FALSE),VLOOKUP(tables_603100!C80,input_603100!A:H,8,FALSE))</f>
        <v>81335.576920000007</v>
      </c>
      <c r="P80" s="46">
        <f t="shared" ca="1" si="4"/>
        <v>5.5900740151229654E-4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input_603100!A$2</f>
        <v>603100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IFERROR(VLOOKUP(B81,input_603100!L:R,7,FALSE),VLOOKUP(tables_603100!C81,input_603100!A:H,8,FALSE))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input_603100!A$2</f>
        <v>603100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IFERROR(VLOOKUP(B82,input_603100!L:R,7,FALSE),VLOOKUP(tables_603100!C82,input_603100!A:H,8,FALSE))</f>
        <v>1134750</v>
      </c>
      <c r="P82" s="46">
        <f t="shared" ca="1" si="4"/>
        <v>7.7989690721687009E-3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input_603100!A$2</f>
        <v>603100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IFERROR(VLOOKUP(B83,input_603100!L:R,7,FALSE),VLOOKUP(tables_603100!C83,input_603100!A:H,8,FALSE))</f>
        <v>81335.576920000007</v>
      </c>
      <c r="P83" s="46">
        <f t="shared" ca="1" si="4"/>
        <v>5.5900740151229654E-4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input_603100!A$2</f>
        <v>603100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IFERROR(VLOOKUP(B84,input_603100!L:R,7,FALSE),VLOOKUP(tables_603100!C84,input_603100!A:H,8,FALSE))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input_603100!A$2</f>
        <v>603100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IFERROR(VLOOKUP(B85,input_603100!L:R,7,FALSE),VLOOKUP(tables_603100!C85,input_603100!A:H,8,FALSE))</f>
        <v>1134750</v>
      </c>
      <c r="P85" s="46">
        <f t="shared" ca="1" si="4"/>
        <v>7.7989690721687009E-3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input_603100!A$2</f>
        <v>603100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IFERROR(VLOOKUP(B86,input_603100!L:R,7,FALSE),VLOOKUP(tables_603100!C86,input_603100!A:H,8,FALSE))</f>
        <v>81335.576920000007</v>
      </c>
      <c r="P86" s="46">
        <f t="shared" ca="1" si="4"/>
        <v>5.5900740151229654E-4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input_603100!A$2</f>
        <v>603100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IFERROR(VLOOKUP(B87,input_603100!L:R,7,FALSE),VLOOKUP(tables_603100!C87,input_603100!A:H,8,FALSE))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input_603100!A$2</f>
        <v>603100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IFERROR(VLOOKUP(B88,input_603100!L:R,7,FALSE),VLOOKUP(tables_603100!C88,input_603100!A:H,8,FALSE))</f>
        <v>1134750</v>
      </c>
      <c r="P88" s="46">
        <f t="shared" ca="1" si="4"/>
        <v>7.7989690721687009E-3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input_603100!A$2</f>
        <v>603100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IFERROR(VLOOKUP(B89,input_603100!L:R,7,FALSE),VLOOKUP(tables_603100!C89,input_603100!A:H,8,FALSE))</f>
        <v>81335.576920000007</v>
      </c>
      <c r="P89" s="46">
        <f t="shared" ca="1" si="4"/>
        <v>5.5900740151229654E-4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input_603100!A$2</f>
        <v>603100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IFERROR(VLOOKUP(B90,input_603100!L:R,7,FALSE),VLOOKUP(tables_603100!C90,input_603100!A:H,8,FALSE))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input_603100!A$2</f>
        <v>603100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IFERROR(VLOOKUP(B91,input_603100!L:R,7,FALSE),VLOOKUP(tables_603100!C91,input_603100!A:H,8,FALSE))</f>
        <v>1134750</v>
      </c>
      <c r="P91" s="46">
        <f t="shared" ca="1" si="4"/>
        <v>7.7989690721687009E-3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input_603100!A$2</f>
        <v>603100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IFERROR(VLOOKUP(B92,input_603100!L:R,7,FALSE),VLOOKUP(tables_603100!C92,input_603100!A:H,8,FALSE))</f>
        <v>81335.576920000007</v>
      </c>
      <c r="P92" s="46">
        <f t="shared" ca="1" si="4"/>
        <v>5.5900740151229654E-4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input_603100!A$2</f>
        <v>603100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IFERROR(VLOOKUP(B93,input_603100!L:R,7,FALSE),VLOOKUP(tables_603100!C93,input_603100!A:H,8,FALSE))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input_603100!A$2</f>
        <v>603100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IFERROR(VLOOKUP(B94,input_603100!L:R,7,FALSE),VLOOKUP(tables_603100!C94,input_603100!A:H,8,FALSE))</f>
        <v>1134750</v>
      </c>
      <c r="P94" s="46">
        <f t="shared" ca="1" si="4"/>
        <v>7.7989690721687009E-3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input_603100!A$2</f>
        <v>603100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IFERROR(VLOOKUP(B95,input_603100!L:R,7,FALSE),VLOOKUP(tables_603100!C95,input_603100!A:H,8,FALSE))</f>
        <v>81335.576920000007</v>
      </c>
      <c r="P95" s="46">
        <f t="shared" ca="1" si="4"/>
        <v>5.5900740151229654E-4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input_603100!A$2</f>
        <v>603100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IFERROR(VLOOKUP(B96,input_603100!L:R,7,FALSE),VLOOKUP(tables_603100!C96,input_603100!A:H,8,FALSE))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input_603100!A$2</f>
        <v>603100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IFERROR(VLOOKUP(B97,input_603100!L:R,7,FALSE),VLOOKUP(tables_603100!C97,input_603100!A:H,8,FALSE))</f>
        <v>1134750</v>
      </c>
      <c r="P97" s="46">
        <f t="shared" ca="1" si="4"/>
        <v>7.7989690721687009E-3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input_603100!A$2</f>
        <v>603100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IFERROR(VLOOKUP(B98,input_603100!L:R,7,FALSE),VLOOKUP(tables_603100!C98,input_603100!A:H,8,FALSE))</f>
        <v>81335.576920000007</v>
      </c>
      <c r="P98" s="46">
        <f t="shared" ca="1" si="4"/>
        <v>5.5900740151229654E-4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input_603100!A$2</f>
        <v>603100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IFERROR(VLOOKUP(B99,input_603100!L:R,7,FALSE),VLOOKUP(tables_603100!C99,input_603100!A:H,8,FALSE))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input_603100!A$2</f>
        <v>603100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IFERROR(VLOOKUP(B100,input_603100!L:R,7,FALSE),VLOOKUP(tables_603100!C100,input_603100!A:H,8,FALSE))</f>
        <v>1134750</v>
      </c>
      <c r="P100" s="46">
        <f t="shared" ca="1" si="4"/>
        <v>7.7989690721687009E-3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input_603100!A$2</f>
        <v>603100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IFERROR(VLOOKUP(B101,input_603100!L:R,7,FALSE),VLOOKUP(tables_603100!C101,input_603100!A:H,8,FALSE))</f>
        <v>81335.576920000007</v>
      </c>
      <c r="P101" s="46">
        <f t="shared" ca="1" si="4"/>
        <v>5.5900740151229654E-4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input_603100!A$2</f>
        <v>603100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IFERROR(VLOOKUP(B102,input_603100!L:R,7,FALSE),VLOOKUP(tables_603100!C102,input_603100!A:H,8,FALSE))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input_603100!A$2</f>
        <v>603100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IFERROR(VLOOKUP(B103,input_603100!L:R,7,FALSE),VLOOKUP(tables_603100!C103,input_603100!A:H,8,FALSE))</f>
        <v>1134750</v>
      </c>
      <c r="P103" s="46">
        <f t="shared" ca="1" si="4"/>
        <v>7.7989690721687009E-3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input_603100!A$2</f>
        <v>603100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IFERROR(VLOOKUP(B104,input_603100!L:R,7,FALSE),VLOOKUP(tables_603100!C104,input_603100!A:H,8,FALSE))</f>
        <v>81335.576920000007</v>
      </c>
      <c r="P104" s="46">
        <f t="shared" ca="1" si="4"/>
        <v>5.5900740151229654E-4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input_603100!A$2</f>
        <v>603100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IFERROR(VLOOKUP(B105,input_603100!L:R,7,FALSE),VLOOKUP(tables_603100!C105,input_603100!A:H,8,FALSE))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input_603100!A$2</f>
        <v>603100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IFERROR(VLOOKUP(B106,input_603100!L:R,7,FALSE),VLOOKUP(tables_603100!C106,input_603100!A:H,8,FALSE))</f>
        <v>1134750</v>
      </c>
      <c r="P106" s="46">
        <f t="shared" ca="1" si="4"/>
        <v>7.7989690721687009E-3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input_603100!A$2</f>
        <v>603100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IFERROR(VLOOKUP(B107,input_603100!L:R,7,FALSE),VLOOKUP(tables_603100!C107,input_603100!A:H,8,FALSE))</f>
        <v>81335.576920000007</v>
      </c>
      <c r="P107" s="46">
        <f t="shared" ca="1" si="4"/>
        <v>5.5900740151229654E-4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input_603100!A$2</f>
        <v>603100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IFERROR(VLOOKUP(B108,input_603100!L:R,7,FALSE),VLOOKUP(tables_603100!C108,input_603100!A:H,8,FALSE))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input_603100!A$2</f>
        <v>603100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IFERROR(VLOOKUP(B109,input_603100!L:R,7,FALSE),VLOOKUP(tables_603100!C109,input_603100!A:H,8,FALSE))</f>
        <v>1134750</v>
      </c>
      <c r="P109" s="46">
        <f t="shared" ca="1" si="4"/>
        <v>7.7989690721687009E-3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input_603100!A$2</f>
        <v>603100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IFERROR(VLOOKUP(B110,input_603100!L:R,7,FALSE),VLOOKUP(tables_603100!C110,input_603100!A:H,8,FALSE))</f>
        <v>81335.576920000007</v>
      </c>
      <c r="P110" s="46">
        <f t="shared" ca="1" si="4"/>
        <v>5.5900740151229654E-4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input_603100!A$2</f>
        <v>603100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IFERROR(VLOOKUP(B111,input_603100!L:R,7,FALSE),VLOOKUP(tables_603100!C111,input_603100!A:H,8,FALSE))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input_603100!A$2</f>
        <v>603100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IFERROR(VLOOKUP(B112,input_603100!L:R,7,FALSE),VLOOKUP(tables_603100!C112,input_603100!A:H,8,FALSE))</f>
        <v>1134750</v>
      </c>
      <c r="P112" s="46">
        <f t="shared" ca="1" si="4"/>
        <v>7.7989690721687009E-3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input_603100!A$2</f>
        <v>603100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IFERROR(VLOOKUP(B113,input_603100!L:R,7,FALSE),VLOOKUP(tables_603100!C113,input_603100!A:H,8,FALSE))</f>
        <v>200250</v>
      </c>
      <c r="P113" s="46">
        <f t="shared" ca="1" si="4"/>
        <v>1.3762886597944767E-3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input_603100!A$2</f>
        <v>603100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IFERROR(VLOOKUP(B114,input_603100!L:R,7,FALSE),VLOOKUP(tables_603100!C114,input_603100!A:H,8,FALSE))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input_603100!A$2</f>
        <v>603100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IFERROR(VLOOKUP(B115,input_603100!L:R,7,FALSE),VLOOKUP(tables_603100!C115,input_603100!A:H,8,FALSE))</f>
        <v>1134750</v>
      </c>
      <c r="P115" s="46">
        <f t="shared" ca="1" si="4"/>
        <v>7.7989690721687009E-3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input_603100!A$2</f>
        <v>603100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IFERROR(VLOOKUP(B116,input_603100!L:R,7,FALSE),VLOOKUP(tables_603100!C116,input_603100!A:H,8,FALSE))</f>
        <v>81335.576920000007</v>
      </c>
      <c r="P116" s="46">
        <f t="shared" ca="1" si="4"/>
        <v>5.5900740151229654E-4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input_603100!A$2</f>
        <v>603100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IFERROR(VLOOKUP(B117,input_603100!L:R,7,FALSE),VLOOKUP(tables_603100!C117,input_603100!A:H,8,FALSE))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input_603100!A$2</f>
        <v>603100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IFERROR(VLOOKUP(B118,input_603100!L:R,7,FALSE),VLOOKUP(tables_603100!C118,input_603100!A:H,8,FALSE))</f>
        <v>1134750</v>
      </c>
      <c r="P118" s="46">
        <f t="shared" ca="1" si="4"/>
        <v>7.7989690721687009E-3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input_603100!A$2</f>
        <v>603100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IFERROR(VLOOKUP(B119,input_603100!L:R,7,FALSE),VLOOKUP(tables_603100!C119,input_603100!A:H,8,FALSE))</f>
        <v>81335.576920000007</v>
      </c>
      <c r="P119" s="46">
        <f t="shared" ca="1" si="4"/>
        <v>5.5900740151229654E-4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input_603100!A$2</f>
        <v>603100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IFERROR(VLOOKUP(B120,input_603100!L:R,7,FALSE),VLOOKUP(tables_603100!C120,input_603100!A:H,8,FALSE))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input_603100!A$2</f>
        <v>603100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IFERROR(VLOOKUP(B121,input_603100!L:R,7,FALSE),VLOOKUP(tables_603100!C121,input_603100!A:H,8,FALSE))</f>
        <v>1134750</v>
      </c>
      <c r="P121" s="46">
        <f t="shared" ca="1" si="4"/>
        <v>7.7989690721687009E-3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input_603100!A$2</f>
        <v>603100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IFERROR(VLOOKUP(B122,input_603100!L:R,7,FALSE),VLOOKUP(tables_603100!C122,input_603100!A:H,8,FALSE))</f>
        <v>81335.576920000007</v>
      </c>
      <c r="P122" s="46">
        <f t="shared" ca="1" si="4"/>
        <v>5.5900740151229654E-4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input_603100!A$2</f>
        <v>603100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IFERROR(VLOOKUP(B123,input_603100!L:R,7,FALSE),VLOOKUP(tables_603100!C123,input_603100!A:H,8,FALSE))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input_603100!A$2</f>
        <v>603100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IFERROR(VLOOKUP(B124,input_603100!L:R,7,FALSE),VLOOKUP(tables_603100!C124,input_603100!A:H,8,FALSE))</f>
        <v>1134750</v>
      </c>
      <c r="P124" s="46">
        <f t="shared" ca="1" si="4"/>
        <v>7.7989690721687009E-3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input_603100!A$2</f>
        <v>603100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IFERROR(VLOOKUP(B125,input_603100!L:R,7,FALSE),VLOOKUP(tables_603100!C125,input_603100!A:H,8,FALSE))</f>
        <v>81335.576920000007</v>
      </c>
      <c r="P125" s="46">
        <f t="shared" ca="1" si="4"/>
        <v>5.5900740151229654E-4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input_603100!A$2</f>
        <v>603100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IFERROR(VLOOKUP(B126,input_603100!L:R,7,FALSE),VLOOKUP(tables_603100!C126,input_603100!A:H,8,FALSE))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input_603100!A$2</f>
        <v>603100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IFERROR(VLOOKUP(B127,input_603100!L:R,7,FALSE),VLOOKUP(tables_603100!C127,input_603100!A:H,8,FALSE))</f>
        <v>1134750</v>
      </c>
      <c r="P127" s="46">
        <f t="shared" ca="1" si="4"/>
        <v>7.7989690721687009E-3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input_603100!A$2</f>
        <v>603100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IFERROR(VLOOKUP(B128,input_603100!L:R,7,FALSE),VLOOKUP(tables_603100!C128,input_603100!A:H,8,FALSE))</f>
        <v>81335.576920000007</v>
      </c>
      <c r="P128" s="46">
        <f t="shared" ca="1" si="4"/>
        <v>5.5900740151229654E-4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input_603100!A$2</f>
        <v>603100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IFERROR(VLOOKUP(B129,input_603100!L:R,7,FALSE),VLOOKUP(tables_603100!C129,input_603100!A:H,8,FALSE))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input_603100!A$2</f>
        <v>603100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IFERROR(VLOOKUP(B130,input_603100!L:R,7,FALSE),VLOOKUP(tables_603100!C130,input_603100!A:H,8,FALSE))</f>
        <v>1134750</v>
      </c>
      <c r="P130" s="46">
        <f t="shared" ref="P130:P193" ca="1" si="7">O130/SUM(O:O)</f>
        <v>7.7989690721687009E-3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input_603100!A$2</f>
        <v>603100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IFERROR(VLOOKUP(B131,input_603100!L:R,7,FALSE),VLOOKUP(tables_603100!C131,input_603100!A:H,8,FALSE))</f>
        <v>81335.576920000007</v>
      </c>
      <c r="P131" s="46">
        <f t="shared" ca="1" si="7"/>
        <v>5.5900740151229654E-4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input_603100!A$2</f>
        <v>603100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IFERROR(VLOOKUP(B132,input_603100!L:R,7,FALSE),VLOOKUP(tables_603100!C132,input_603100!A:H,8,FALSE))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input_603100!A$2</f>
        <v>603100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IFERROR(VLOOKUP(B133,input_603100!L:R,7,FALSE),VLOOKUP(tables_603100!C133,input_603100!A:H,8,FALSE))</f>
        <v>1134750</v>
      </c>
      <c r="P133" s="46">
        <f t="shared" ca="1" si="7"/>
        <v>7.7989690721687009E-3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input_603100!A$2</f>
        <v>603100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IFERROR(VLOOKUP(B134,input_603100!L:R,7,FALSE),VLOOKUP(tables_603100!C134,input_603100!A:H,8,FALSE))</f>
        <v>81335.576920000007</v>
      </c>
      <c r="P134" s="46">
        <f t="shared" ca="1" si="7"/>
        <v>5.5900740151229654E-4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input_603100!A$2</f>
        <v>603100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IFERROR(VLOOKUP(B135,input_603100!L:R,7,FALSE),VLOOKUP(tables_603100!C135,input_603100!A:H,8,FALSE))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input_603100!A$2</f>
        <v>603100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IFERROR(VLOOKUP(B136,input_603100!L:R,7,FALSE),VLOOKUP(tables_603100!C136,input_603100!A:H,8,FALSE))</f>
        <v>1134750</v>
      </c>
      <c r="P136" s="46">
        <f t="shared" ca="1" si="7"/>
        <v>7.7989690721687009E-3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input_603100!A$2</f>
        <v>603100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IFERROR(VLOOKUP(B137,input_603100!L:R,7,FALSE),VLOOKUP(tables_603100!C137,input_603100!A:H,8,FALSE))</f>
        <v>81335.576920000007</v>
      </c>
      <c r="P137" s="46">
        <f t="shared" ca="1" si="7"/>
        <v>5.5900740151229654E-4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input_603100!A$2</f>
        <v>603100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IFERROR(VLOOKUP(B138,input_603100!L:R,7,FALSE),VLOOKUP(tables_603100!C138,input_603100!A:H,8,FALSE))</f>
        <v>164900</v>
      </c>
      <c r="P138" s="46">
        <f t="shared" ca="1" si="7"/>
        <v>1.1333333333338786E-3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input_603100!A$2</f>
        <v>603100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IFERROR(VLOOKUP(B139,input_603100!L:R,7,FALSE),VLOOKUP(tables_603100!C139,input_603100!A:H,8,FALSE))</f>
        <v>29100</v>
      </c>
      <c r="P139" s="46">
        <f t="shared" ca="1" si="7"/>
        <v>2.0000000000009623E-4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input_603100!A$2</f>
        <v>603100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IFERROR(VLOOKUP(B140,input_603100!L:R,7,FALSE),VLOOKUP(tables_603100!C140,input_603100!A:H,8,FALSE))</f>
        <v>164900</v>
      </c>
      <c r="P140" s="46">
        <f t="shared" ca="1" si="7"/>
        <v>1.1333333333338786E-3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input_603100!A$2</f>
        <v>603100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IFERROR(VLOOKUP(B141,input_603100!L:R,7,FALSE),VLOOKUP(tables_603100!C141,input_603100!A:H,8,FALSE))</f>
        <v>29100</v>
      </c>
      <c r="P141" s="46">
        <f t="shared" ca="1" si="7"/>
        <v>2.0000000000009623E-4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input_603100!A$2</f>
        <v>603100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IFERROR(VLOOKUP(B142,input_603100!L:R,7,FALSE),VLOOKUP(tables_603100!C142,input_603100!A:H,8,FALSE))</f>
        <v>164900</v>
      </c>
      <c r="P142" s="46">
        <f t="shared" ca="1" si="7"/>
        <v>1.1333333333338786E-3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input_603100!A$2</f>
        <v>603100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IFERROR(VLOOKUP(B143,input_603100!L:R,7,FALSE),VLOOKUP(tables_603100!C143,input_603100!A:H,8,FALSE))</f>
        <v>29100</v>
      </c>
      <c r="P143" s="46">
        <f t="shared" ca="1" si="7"/>
        <v>2.0000000000009623E-4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input_603100!A$2</f>
        <v>603100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IFERROR(VLOOKUP(B144,input_603100!L:R,7,FALSE),VLOOKUP(tables_603100!C144,input_603100!A:H,8,FALSE))</f>
        <v>164900</v>
      </c>
      <c r="P144" s="46">
        <f t="shared" ca="1" si="7"/>
        <v>1.1333333333338786E-3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input_603100!A$2</f>
        <v>603100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IFERROR(VLOOKUP(B145,input_603100!L:R,7,FALSE),VLOOKUP(tables_603100!C145,input_603100!A:H,8,FALSE))</f>
        <v>29100</v>
      </c>
      <c r="P145" s="46">
        <f t="shared" ca="1" si="7"/>
        <v>2.0000000000009623E-4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input_603100!A$2</f>
        <v>603100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IFERROR(VLOOKUP(B146,input_603100!L:R,7,FALSE),VLOOKUP(tables_603100!C146,input_603100!A:H,8,FALSE))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input_603100!A$2</f>
        <v>603100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IFERROR(VLOOKUP(B147,input_603100!L:R,7,FALSE),VLOOKUP(tables_603100!C147,input_603100!A:H,8,FALSE))</f>
        <v>1134750</v>
      </c>
      <c r="P147" s="46">
        <f t="shared" ca="1" si="7"/>
        <v>7.7989690721687009E-3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input_603100!A$2</f>
        <v>603100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IFERROR(VLOOKUP(B148,input_603100!L:R,7,FALSE),VLOOKUP(tables_603100!C148,input_603100!A:H,8,FALSE))</f>
        <v>81335.576920000007</v>
      </c>
      <c r="P148" s="46">
        <f t="shared" ca="1" si="7"/>
        <v>5.5900740151229654E-4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input_603100!A$2</f>
        <v>603100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IFERROR(VLOOKUP(B149,input_603100!L:R,7,FALSE),VLOOKUP(tables_603100!C149,input_603100!A:H,8,FALSE))</f>
        <v>164900</v>
      </c>
      <c r="P149" s="46">
        <f t="shared" ca="1" si="7"/>
        <v>1.1333333333338786E-3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input_603100!A$2</f>
        <v>603100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IFERROR(VLOOKUP(B150,input_603100!L:R,7,FALSE),VLOOKUP(tables_603100!C150,input_603100!A:H,8,FALSE))</f>
        <v>29100</v>
      </c>
      <c r="P150" s="46">
        <f t="shared" ca="1" si="7"/>
        <v>2.0000000000009623E-4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input_603100!A$2</f>
        <v>603100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IFERROR(VLOOKUP(B151,input_603100!L:R,7,FALSE),VLOOKUP(tables_603100!C151,input_603100!A:H,8,FALSE))</f>
        <v>164900</v>
      </c>
      <c r="P151" s="46">
        <f t="shared" ca="1" si="7"/>
        <v>1.1333333333338786E-3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input_603100!A$2</f>
        <v>603100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IFERROR(VLOOKUP(B152,input_603100!L:R,7,FALSE),VLOOKUP(tables_603100!C152,input_603100!A:H,8,FALSE))</f>
        <v>29100</v>
      </c>
      <c r="P152" s="46">
        <f t="shared" ca="1" si="7"/>
        <v>2.0000000000009623E-4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input_603100!A$2</f>
        <v>603100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IFERROR(VLOOKUP(B153,input_603100!L:R,7,FALSE),VLOOKUP(tables_603100!C153,input_603100!A:H,8,FALSE))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input_603100!A$2</f>
        <v>603100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IFERROR(VLOOKUP(B154,input_603100!L:R,7,FALSE),VLOOKUP(tables_603100!C154,input_603100!A:H,8,FALSE))</f>
        <v>1134750</v>
      </c>
      <c r="P154" s="46">
        <f t="shared" ca="1" si="7"/>
        <v>7.7989690721687009E-3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input_603100!A$2</f>
        <v>603100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IFERROR(VLOOKUP(B155,input_603100!L:R,7,FALSE),VLOOKUP(tables_603100!C155,input_603100!A:H,8,FALSE))</f>
        <v>81335.576920000007</v>
      </c>
      <c r="P155" s="46">
        <f t="shared" ca="1" si="7"/>
        <v>5.5900740151229654E-4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input_603100!A$2</f>
        <v>603100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IFERROR(VLOOKUP(B156,input_603100!L:R,7,FALSE),VLOOKUP(tables_603100!C156,input_603100!A:H,8,FALSE))</f>
        <v>164900</v>
      </c>
      <c r="P156" s="46">
        <f t="shared" ca="1" si="7"/>
        <v>1.1333333333338786E-3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input_603100!A$2</f>
        <v>603100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IFERROR(VLOOKUP(B157,input_603100!L:R,7,FALSE),VLOOKUP(tables_603100!C157,input_603100!A:H,8,FALSE))</f>
        <v>29100</v>
      </c>
      <c r="P157" s="46">
        <f t="shared" ca="1" si="7"/>
        <v>2.0000000000009623E-4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input_603100!A$2</f>
        <v>603100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IFERROR(VLOOKUP(B158,input_603100!L:R,7,FALSE),VLOOKUP(tables_603100!C158,input_603100!A:H,8,FALSE))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input_603100!A$2</f>
        <v>603100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IFERROR(VLOOKUP(B159,input_603100!L:R,7,FALSE),VLOOKUP(tables_603100!C159,input_603100!A:H,8,FALSE))</f>
        <v>1134750</v>
      </c>
      <c r="P159" s="46">
        <f t="shared" ca="1" si="7"/>
        <v>7.7989690721687009E-3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input_603100!A$2</f>
        <v>603100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IFERROR(VLOOKUP(B160,input_603100!L:R,7,FALSE),VLOOKUP(tables_603100!C160,input_603100!A:H,8,FALSE))</f>
        <v>81335.576920000007</v>
      </c>
      <c r="P160" s="46">
        <f t="shared" ca="1" si="7"/>
        <v>5.5900740151229654E-4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input_603100!A$2</f>
        <v>603100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IFERROR(VLOOKUP(B161,input_603100!L:R,7,FALSE),VLOOKUP(tables_603100!C161,input_603100!A:H,8,FALSE))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input_603100!A$2</f>
        <v>603100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IFERROR(VLOOKUP(B162,input_603100!L:R,7,FALSE),VLOOKUP(tables_603100!C162,input_603100!A:H,8,FALSE))</f>
        <v>1134750</v>
      </c>
      <c r="P162" s="46">
        <f t="shared" ca="1" si="7"/>
        <v>7.7989690721687009E-3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input_603100!A$2</f>
        <v>603100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IFERROR(VLOOKUP(B163,input_603100!L:R,7,FALSE),VLOOKUP(tables_603100!C163,input_603100!A:H,8,FALSE))</f>
        <v>81335.576920000007</v>
      </c>
      <c r="P163" s="46">
        <f t="shared" ca="1" si="7"/>
        <v>5.5900740151229654E-4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input_603100!A$2</f>
        <v>603100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IFERROR(VLOOKUP(B164,input_603100!L:R,7,FALSE),VLOOKUP(tables_603100!C164,input_603100!A:H,8,FALSE))</f>
        <v>164900</v>
      </c>
      <c r="P164" s="46">
        <f t="shared" ca="1" si="7"/>
        <v>1.1333333333338786E-3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input_603100!A$2</f>
        <v>603100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IFERROR(VLOOKUP(B165,input_603100!L:R,7,FALSE),VLOOKUP(tables_603100!C165,input_603100!A:H,8,FALSE))</f>
        <v>29100</v>
      </c>
      <c r="P165" s="46">
        <f t="shared" ca="1" si="7"/>
        <v>2.0000000000009623E-4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input_603100!A$2</f>
        <v>603100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IFERROR(VLOOKUP(B166,input_603100!L:R,7,FALSE),VLOOKUP(tables_603100!C166,input_603100!A:H,8,FALSE))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input_603100!A$2</f>
        <v>603100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IFERROR(VLOOKUP(B167,input_603100!L:R,7,FALSE),VLOOKUP(tables_603100!C167,input_603100!A:H,8,FALSE))</f>
        <v>1134750</v>
      </c>
      <c r="P167" s="46">
        <f t="shared" ca="1" si="7"/>
        <v>7.7989690721687009E-3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input_603100!A$2</f>
        <v>603100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IFERROR(VLOOKUP(B168,input_603100!L:R,7,FALSE),VLOOKUP(tables_603100!C168,input_603100!A:H,8,FALSE))</f>
        <v>81335.576920000007</v>
      </c>
      <c r="P168" s="46">
        <f t="shared" ca="1" si="7"/>
        <v>5.5900740151229654E-4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input_603100!A$2</f>
        <v>603100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IFERROR(VLOOKUP(B169,input_603100!L:R,7,FALSE),VLOOKUP(tables_603100!C169,input_603100!A:H,8,FALSE))</f>
        <v>164900</v>
      </c>
      <c r="P169" s="46">
        <f t="shared" ca="1" si="7"/>
        <v>1.1333333333338786E-3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input_603100!A$2</f>
        <v>603100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IFERROR(VLOOKUP(B170,input_603100!L:R,7,FALSE),VLOOKUP(tables_603100!C170,input_603100!A:H,8,FALSE))</f>
        <v>29100</v>
      </c>
      <c r="P170" s="46">
        <f t="shared" ca="1" si="7"/>
        <v>2.0000000000009623E-4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input_603100!A$2</f>
        <v>603100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IFERROR(VLOOKUP(B171,input_603100!L:R,7,FALSE),VLOOKUP(tables_603100!C171,input_603100!A:H,8,FALSE))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input_603100!A$2</f>
        <v>603100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IFERROR(VLOOKUP(B172,input_603100!L:R,7,FALSE),VLOOKUP(tables_603100!C172,input_603100!A:H,8,FALSE))</f>
        <v>1134750</v>
      </c>
      <c r="P172" s="46">
        <f t="shared" ca="1" si="7"/>
        <v>7.7989690721687009E-3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input_603100!A$2</f>
        <v>603100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IFERROR(VLOOKUP(B173,input_603100!L:R,7,FALSE),VLOOKUP(tables_603100!C173,input_603100!A:H,8,FALSE))</f>
        <v>81335.576920000007</v>
      </c>
      <c r="P173" s="46">
        <f t="shared" ca="1" si="7"/>
        <v>5.5900740151229654E-4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input_603100!A$2</f>
        <v>603100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IFERROR(VLOOKUP(B174,input_603100!L:R,7,FALSE),VLOOKUP(tables_603100!C174,input_603100!A:H,8,FALSE))</f>
        <v>164900</v>
      </c>
      <c r="P174" s="46">
        <f t="shared" ca="1" si="7"/>
        <v>1.1333333333338786E-3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input_603100!A$2</f>
        <v>603100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IFERROR(VLOOKUP(B175,input_603100!L:R,7,FALSE),VLOOKUP(tables_603100!C175,input_603100!A:H,8,FALSE))</f>
        <v>29100</v>
      </c>
      <c r="P175" s="46">
        <f t="shared" ca="1" si="7"/>
        <v>2.0000000000009623E-4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input_603100!A$2</f>
        <v>603100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IFERROR(VLOOKUP(B176,input_603100!L:R,7,FALSE),VLOOKUP(tables_603100!C176,input_603100!A:H,8,FALSE))</f>
        <v>164900</v>
      </c>
      <c r="P176" s="46">
        <f t="shared" ca="1" si="7"/>
        <v>1.1333333333338786E-3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input_603100!A$2</f>
        <v>603100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IFERROR(VLOOKUP(B177,input_603100!L:R,7,FALSE),VLOOKUP(tables_603100!C177,input_603100!A:H,8,FALSE))</f>
        <v>29100</v>
      </c>
      <c r="P177" s="46">
        <f t="shared" ca="1" si="7"/>
        <v>2.0000000000009623E-4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input_603100!A$2</f>
        <v>603100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IFERROR(VLOOKUP(B178,input_603100!L:R,7,FALSE),VLOOKUP(tables_603100!C178,input_603100!A:H,8,FALSE))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input_603100!A$2</f>
        <v>603100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IFERROR(VLOOKUP(B179,input_603100!L:R,7,FALSE),VLOOKUP(tables_603100!C179,input_603100!A:H,8,FALSE))</f>
        <v>1134750</v>
      </c>
      <c r="P179" s="46">
        <f t="shared" ca="1" si="7"/>
        <v>7.7989690721687009E-3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input_603100!A$2</f>
        <v>603100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IFERROR(VLOOKUP(B180,input_603100!L:R,7,FALSE),VLOOKUP(tables_603100!C180,input_603100!A:H,8,FALSE))</f>
        <v>81335.576920000007</v>
      </c>
      <c r="P180" s="46">
        <f t="shared" ca="1" si="7"/>
        <v>5.5900740151229654E-4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input_603100!A$2</f>
        <v>603100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IFERROR(VLOOKUP(B181,input_603100!L:R,7,FALSE),VLOOKUP(tables_603100!C181,input_603100!A:H,8,FALSE))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input_603100!A$2</f>
        <v>603100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IFERROR(VLOOKUP(B182,input_603100!L:R,7,FALSE),VLOOKUP(tables_603100!C182,input_603100!A:H,8,FALSE))</f>
        <v>1134750</v>
      </c>
      <c r="P182" s="46">
        <f t="shared" ca="1" si="7"/>
        <v>7.7989690721687009E-3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input_603100!A$2</f>
        <v>603100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IFERROR(VLOOKUP(B183,input_603100!L:R,7,FALSE),VLOOKUP(tables_603100!C183,input_603100!A:H,8,FALSE))</f>
        <v>81335.576920000007</v>
      </c>
      <c r="P183" s="46">
        <f t="shared" ca="1" si="7"/>
        <v>5.5900740151229654E-4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input_603100!A$2</f>
        <v>603100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IFERROR(VLOOKUP(B184,input_603100!L:R,7,FALSE),VLOOKUP(tables_603100!C184,input_603100!A:H,8,FALSE))</f>
        <v>164900</v>
      </c>
      <c r="P184" s="46">
        <f t="shared" ca="1" si="7"/>
        <v>1.1333333333338786E-3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input_603100!A$2</f>
        <v>603100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IFERROR(VLOOKUP(B185,input_603100!L:R,7,FALSE),VLOOKUP(tables_603100!C185,input_603100!A:H,8,FALSE))</f>
        <v>29100</v>
      </c>
      <c r="P185" s="46">
        <f t="shared" ca="1" si="7"/>
        <v>2.0000000000009623E-4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input_603100!A$2</f>
        <v>603100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IFERROR(VLOOKUP(B186,input_603100!L:R,7,FALSE),VLOOKUP(tables_603100!C186,input_603100!A:H,8,FALSE))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input_603100!A$2</f>
        <v>603100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IFERROR(VLOOKUP(B187,input_603100!L:R,7,FALSE),VLOOKUP(tables_603100!C187,input_603100!A:H,8,FALSE))</f>
        <v>1134750</v>
      </c>
      <c r="P187" s="46">
        <f t="shared" ca="1" si="7"/>
        <v>7.7989690721687009E-3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input_603100!A$2</f>
        <v>603100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IFERROR(VLOOKUP(B188,input_603100!L:R,7,FALSE),VLOOKUP(tables_603100!C188,input_603100!A:H,8,FALSE))</f>
        <v>81335.576920000007</v>
      </c>
      <c r="P188" s="46">
        <f t="shared" ca="1" si="7"/>
        <v>5.5900740151229654E-4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input_603100!A$2</f>
        <v>603100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IFERROR(VLOOKUP(B189,input_603100!L:R,7,FALSE),VLOOKUP(tables_603100!C189,input_603100!A:H,8,FALSE))</f>
        <v>164900</v>
      </c>
      <c r="P189" s="46">
        <f t="shared" ca="1" si="7"/>
        <v>1.1333333333338786E-3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input_603100!A$2</f>
        <v>603100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IFERROR(VLOOKUP(B190,input_603100!L:R,7,FALSE),VLOOKUP(tables_603100!C190,input_603100!A:H,8,FALSE))</f>
        <v>29100</v>
      </c>
      <c r="P190" s="46">
        <f t="shared" ca="1" si="7"/>
        <v>2.0000000000009623E-4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input_603100!A$2</f>
        <v>603100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IFERROR(VLOOKUP(B191,input_603100!L:R,7,FALSE),VLOOKUP(tables_603100!C191,input_603100!A:H,8,FALSE))</f>
        <v>164900</v>
      </c>
      <c r="P191" s="46">
        <f t="shared" ca="1" si="7"/>
        <v>1.1333333333338786E-3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input_603100!A$2</f>
        <v>603100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IFERROR(VLOOKUP(B192,input_603100!L:R,7,FALSE),VLOOKUP(tables_603100!C192,input_603100!A:H,8,FALSE))</f>
        <v>29100</v>
      </c>
      <c r="P192" s="46">
        <f t="shared" ca="1" si="7"/>
        <v>2.0000000000009623E-4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input_603100!A$2</f>
        <v>603100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IFERROR(VLOOKUP(B193,input_603100!L:R,7,FALSE),VLOOKUP(tables_603100!C193,input_603100!A:H,8,FALSE))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input_603100!A$2</f>
        <v>603100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IFERROR(VLOOKUP(B194,input_603100!L:R,7,FALSE),VLOOKUP(tables_603100!C194,input_603100!A:H,8,FALSE))</f>
        <v>1134750</v>
      </c>
      <c r="P194" s="46">
        <f t="shared" ref="P194:P257" ca="1" si="10">O194/SUM(O:O)</f>
        <v>7.7989690721687009E-3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input_603100!A$2</f>
        <v>603100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IFERROR(VLOOKUP(B195,input_603100!L:R,7,FALSE),VLOOKUP(tables_603100!C195,input_603100!A:H,8,FALSE))</f>
        <v>81335.576920000007</v>
      </c>
      <c r="P195" s="46">
        <f t="shared" ca="1" si="10"/>
        <v>5.5900740151229654E-4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input_603100!A$2</f>
        <v>603100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IFERROR(VLOOKUP(B196,input_603100!L:R,7,FALSE),VLOOKUP(tables_603100!C196,input_603100!A:H,8,FALSE))</f>
        <v>164900</v>
      </c>
      <c r="P196" s="46">
        <f t="shared" ca="1" si="10"/>
        <v>1.1333333333338786E-3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input_603100!A$2</f>
        <v>603100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IFERROR(VLOOKUP(B197,input_603100!L:R,7,FALSE),VLOOKUP(tables_603100!C197,input_603100!A:H,8,FALSE))</f>
        <v>29100</v>
      </c>
      <c r="P197" s="46">
        <f t="shared" ca="1" si="10"/>
        <v>2.0000000000009623E-4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input_603100!A$2</f>
        <v>603100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IFERROR(VLOOKUP(B198,input_603100!L:R,7,FALSE),VLOOKUP(tables_603100!C198,input_603100!A:H,8,FALSE))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input_603100!A$2</f>
        <v>603100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IFERROR(VLOOKUP(B199,input_603100!L:R,7,FALSE),VLOOKUP(tables_603100!C199,input_603100!A:H,8,FALSE))</f>
        <v>1134750</v>
      </c>
      <c r="P199" s="46">
        <f t="shared" ca="1" si="10"/>
        <v>7.7989690721687009E-3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input_603100!A$2</f>
        <v>603100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IFERROR(VLOOKUP(B200,input_603100!L:R,7,FALSE),VLOOKUP(tables_603100!C200,input_603100!A:H,8,FALSE))</f>
        <v>81335.576920000007</v>
      </c>
      <c r="P200" s="46">
        <f t="shared" ca="1" si="10"/>
        <v>5.5900740151229654E-4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input_603100!A$2</f>
        <v>603100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IFERROR(VLOOKUP(B201,input_603100!L:R,7,FALSE),VLOOKUP(tables_603100!C201,input_603100!A:H,8,FALSE))</f>
        <v>164900</v>
      </c>
      <c r="P201" s="46">
        <f t="shared" ca="1" si="10"/>
        <v>1.1333333333338786E-3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input_603100!A$2</f>
        <v>603100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IFERROR(VLOOKUP(B202,input_603100!L:R,7,FALSE),VLOOKUP(tables_603100!C202,input_603100!A:H,8,FALSE))</f>
        <v>29100</v>
      </c>
      <c r="P202" s="46">
        <f t="shared" ca="1" si="10"/>
        <v>2.0000000000009623E-4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input_603100!A$2</f>
        <v>603100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IFERROR(VLOOKUP(B203,input_603100!L:R,7,FALSE),VLOOKUP(tables_603100!C203,input_603100!A:H,8,FALSE))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input_603100!A$2</f>
        <v>603100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IFERROR(VLOOKUP(B204,input_603100!L:R,7,FALSE),VLOOKUP(tables_603100!C204,input_603100!A:H,8,FALSE))</f>
        <v>1134750</v>
      </c>
      <c r="P204" s="46">
        <f t="shared" ca="1" si="10"/>
        <v>7.7989690721687009E-3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input_603100!A$2</f>
        <v>603100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IFERROR(VLOOKUP(B205,input_603100!L:R,7,FALSE),VLOOKUP(tables_603100!C205,input_603100!A:H,8,FALSE))</f>
        <v>81335.576920000007</v>
      </c>
      <c r="P205" s="46">
        <f t="shared" ca="1" si="10"/>
        <v>5.5900740151229654E-4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input_603100!A$2</f>
        <v>603100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IFERROR(VLOOKUP(B206,input_603100!L:R,7,FALSE),VLOOKUP(tables_603100!C206,input_603100!A:H,8,FALSE))</f>
        <v>164900</v>
      </c>
      <c r="P206" s="46">
        <f t="shared" ca="1" si="10"/>
        <v>1.1333333333338786E-3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input_603100!A$2</f>
        <v>603100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IFERROR(VLOOKUP(B207,input_603100!L:R,7,FALSE),VLOOKUP(tables_603100!C207,input_603100!A:H,8,FALSE))</f>
        <v>29100</v>
      </c>
      <c r="P207" s="46">
        <f t="shared" ca="1" si="10"/>
        <v>2.0000000000009623E-4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input_603100!A$2</f>
        <v>603100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IFERROR(VLOOKUP(B208,input_603100!L:R,7,FALSE),VLOOKUP(tables_603100!C208,input_603100!A:H,8,FALSE))</f>
        <v>164900</v>
      </c>
      <c r="P208" s="46">
        <f t="shared" ca="1" si="10"/>
        <v>1.1333333333338786E-3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input_603100!A$2</f>
        <v>603100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IFERROR(VLOOKUP(B209,input_603100!L:R,7,FALSE),VLOOKUP(tables_603100!C209,input_603100!A:H,8,FALSE))</f>
        <v>29100</v>
      </c>
      <c r="P209" s="46">
        <f t="shared" ca="1" si="10"/>
        <v>2.0000000000009623E-4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input_603100!A$2</f>
        <v>603100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IFERROR(VLOOKUP(B210,input_603100!L:R,7,FALSE),VLOOKUP(tables_603100!C210,input_603100!A:H,8,FALSE))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input_603100!A$2</f>
        <v>603100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IFERROR(VLOOKUP(B211,input_603100!L:R,7,FALSE),VLOOKUP(tables_603100!C211,input_603100!A:H,8,FALSE))</f>
        <v>1134750</v>
      </c>
      <c r="P211" s="46">
        <f t="shared" ca="1" si="10"/>
        <v>7.7989690721687009E-3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input_603100!A$2</f>
        <v>603100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IFERROR(VLOOKUP(B212,input_603100!L:R,7,FALSE),VLOOKUP(tables_603100!C212,input_603100!A:H,8,FALSE))</f>
        <v>81335.576920000007</v>
      </c>
      <c r="P212" s="46">
        <f t="shared" ca="1" si="10"/>
        <v>5.5900740151229654E-4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input_603100!A$2</f>
        <v>603100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IFERROR(VLOOKUP(B213,input_603100!L:R,7,FALSE),VLOOKUP(tables_603100!C213,input_603100!A:H,8,FALSE))</f>
        <v>164900</v>
      </c>
      <c r="P213" s="46">
        <f t="shared" ca="1" si="10"/>
        <v>1.1333333333338786E-3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input_603100!A$2</f>
        <v>603100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IFERROR(VLOOKUP(B214,input_603100!L:R,7,FALSE),VLOOKUP(tables_603100!C214,input_603100!A:H,8,FALSE))</f>
        <v>29100</v>
      </c>
      <c r="P214" s="46">
        <f t="shared" ca="1" si="10"/>
        <v>2.0000000000009623E-4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input_603100!A$2</f>
        <v>603100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IFERROR(VLOOKUP(B215,input_603100!L:R,7,FALSE),VLOOKUP(tables_603100!C215,input_603100!A:H,8,FALSE))</f>
        <v>200250</v>
      </c>
      <c r="P215" s="46">
        <f t="shared" ca="1" si="10"/>
        <v>1.3762886597944767E-3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input_603100!A$2</f>
        <v>603100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IFERROR(VLOOKUP(B216,input_603100!L:R,7,FALSE),VLOOKUP(tables_603100!C216,input_603100!A:H,8,FALSE))</f>
        <v>200250</v>
      </c>
      <c r="P216" s="46">
        <f t="shared" ca="1" si="10"/>
        <v>1.3762886597944767E-3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input_603100!A$2</f>
        <v>603100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IFERROR(VLOOKUP(B217,input_603100!L:R,7,FALSE),VLOOKUP(tables_603100!C217,input_603100!A:H,8,FALSE))</f>
        <v>200250</v>
      </c>
      <c r="P217" s="46">
        <f t="shared" ca="1" si="10"/>
        <v>1.3762886597944767E-3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input_603100!A$2</f>
        <v>603100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IFERROR(VLOOKUP(B218,input_603100!L:R,7,FALSE),VLOOKUP(tables_603100!C218,input_603100!A:H,8,FALSE))</f>
        <v>200250</v>
      </c>
      <c r="P218" s="46">
        <f t="shared" ca="1" si="10"/>
        <v>1.3762886597944767E-3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input_603100!A$2</f>
        <v>603100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IFERROR(VLOOKUP(B219,input_603100!L:R,7,FALSE),VLOOKUP(tables_603100!C219,input_603100!A:H,8,FALSE))</f>
        <v>200250</v>
      </c>
      <c r="P219" s="46">
        <f t="shared" ca="1" si="10"/>
        <v>1.3762886597944767E-3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input_603100!A$2</f>
        <v>603100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IFERROR(VLOOKUP(B220,input_603100!L:R,7,FALSE),VLOOKUP(tables_603100!C220,input_603100!A:H,8,FALSE))</f>
        <v>200250</v>
      </c>
      <c r="P220" s="46">
        <f t="shared" ca="1" si="10"/>
        <v>1.3762886597944767E-3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input_603100!A$2</f>
        <v>603100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IFERROR(VLOOKUP(B221,input_603100!L:R,7,FALSE),VLOOKUP(tables_603100!C221,input_603100!A:H,8,FALSE))</f>
        <v>164900</v>
      </c>
      <c r="P221" s="46">
        <f t="shared" ca="1" si="10"/>
        <v>1.1333333333338786E-3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input_603100!A$2</f>
        <v>603100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IFERROR(VLOOKUP(B222,input_603100!L:R,7,FALSE),VLOOKUP(tables_603100!C222,input_603100!A:H,8,FALSE))</f>
        <v>29100</v>
      </c>
      <c r="P222" s="46">
        <f t="shared" ca="1" si="10"/>
        <v>2.0000000000009623E-4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input_603100!A$2</f>
        <v>603100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IFERROR(VLOOKUP(B223,input_603100!L:R,7,FALSE),VLOOKUP(tables_603100!C223,input_603100!A:H,8,FALSE))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input_603100!A$2</f>
        <v>603100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IFERROR(VLOOKUP(B224,input_603100!L:R,7,FALSE),VLOOKUP(tables_603100!C224,input_603100!A:H,8,FALSE))</f>
        <v>1134750</v>
      </c>
      <c r="P224" s="46">
        <f t="shared" ca="1" si="10"/>
        <v>7.7989690721687009E-3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input_603100!A$2</f>
        <v>603100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IFERROR(VLOOKUP(B225,input_603100!L:R,7,FALSE),VLOOKUP(tables_603100!C225,input_603100!A:H,8,FALSE))</f>
        <v>81335.576920000007</v>
      </c>
      <c r="P225" s="46">
        <f t="shared" ca="1" si="10"/>
        <v>5.5900740151229654E-4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input_603100!A$2</f>
        <v>603100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IFERROR(VLOOKUP(B226,input_603100!L:R,7,FALSE),VLOOKUP(tables_603100!C226,input_603100!A:H,8,FALSE))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input_603100!A$2</f>
        <v>603100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IFERROR(VLOOKUP(B227,input_603100!L:R,7,FALSE),VLOOKUP(tables_603100!C227,input_603100!A:H,8,FALSE))</f>
        <v>1134750</v>
      </c>
      <c r="P227" s="46">
        <f t="shared" ca="1" si="10"/>
        <v>7.7989690721687009E-3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input_603100!A$2</f>
        <v>603100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IFERROR(VLOOKUP(B228,input_603100!L:R,7,FALSE),VLOOKUP(tables_603100!C228,input_603100!A:H,8,FALSE))</f>
        <v>81335.576920000007</v>
      </c>
      <c r="P228" s="46">
        <f t="shared" ca="1" si="10"/>
        <v>5.5900740151229654E-4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input_603100!A$2</f>
        <v>603100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IFERROR(VLOOKUP(B229,input_603100!L:R,7,FALSE),VLOOKUP(tables_603100!C229,input_603100!A:H,8,FALSE))</f>
        <v>164900</v>
      </c>
      <c r="P229" s="46">
        <f t="shared" ca="1" si="10"/>
        <v>1.1333333333338786E-3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input_603100!A$2</f>
        <v>603100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IFERROR(VLOOKUP(B230,input_603100!L:R,7,FALSE),VLOOKUP(tables_603100!C230,input_603100!A:H,8,FALSE))</f>
        <v>29100</v>
      </c>
      <c r="P230" s="46">
        <f t="shared" ca="1" si="10"/>
        <v>2.0000000000009623E-4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input_603100!A$2</f>
        <v>603100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IFERROR(VLOOKUP(B231,input_603100!L:R,7,FALSE),VLOOKUP(tables_603100!C231,input_603100!A:H,8,FALSE))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input_603100!A$2</f>
        <v>603100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IFERROR(VLOOKUP(B232,input_603100!L:R,7,FALSE),VLOOKUP(tables_603100!C232,input_603100!A:H,8,FALSE))</f>
        <v>1134750</v>
      </c>
      <c r="P232" s="46">
        <f t="shared" ca="1" si="10"/>
        <v>7.7989690721687009E-3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input_603100!A$2</f>
        <v>603100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IFERROR(VLOOKUP(B233,input_603100!L:R,7,FALSE),VLOOKUP(tables_603100!C233,input_603100!A:H,8,FALSE))</f>
        <v>81335.576920000007</v>
      </c>
      <c r="P233" s="46">
        <f t="shared" ca="1" si="10"/>
        <v>5.5900740151229654E-4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input_603100!A$2</f>
        <v>603100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IFERROR(VLOOKUP(B234,input_603100!L:R,7,FALSE),VLOOKUP(tables_603100!C234,input_603100!A:H,8,FALSE))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input_603100!A$2</f>
        <v>603100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IFERROR(VLOOKUP(B235,input_603100!L:R,7,FALSE),VLOOKUP(tables_603100!C235,input_603100!A:H,8,FALSE))</f>
        <v>1134750</v>
      </c>
      <c r="P235" s="46">
        <f t="shared" ca="1" si="10"/>
        <v>7.7989690721687009E-3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input_603100!A$2</f>
        <v>603100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IFERROR(VLOOKUP(B236,input_603100!L:R,7,FALSE),VLOOKUP(tables_603100!C236,input_603100!A:H,8,FALSE))</f>
        <v>81335.576920000007</v>
      </c>
      <c r="P236" s="46">
        <f t="shared" ca="1" si="10"/>
        <v>5.5900740151229654E-4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input_603100!A$2</f>
        <v>603100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IFERROR(VLOOKUP(B237,input_603100!L:R,7,FALSE),VLOOKUP(tables_603100!C237,input_603100!A:H,8,FALSE))</f>
        <v>164900</v>
      </c>
      <c r="P237" s="46">
        <f t="shared" ca="1" si="10"/>
        <v>1.1333333333338786E-3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input_603100!A$2</f>
        <v>603100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IFERROR(VLOOKUP(B238,input_603100!L:R,7,FALSE),VLOOKUP(tables_603100!C238,input_603100!A:H,8,FALSE))</f>
        <v>29100</v>
      </c>
      <c r="P238" s="46">
        <f t="shared" ca="1" si="10"/>
        <v>2.0000000000009623E-4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input_603100!A$2</f>
        <v>603100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IFERROR(VLOOKUP(B239,input_603100!L:R,7,FALSE),VLOOKUP(tables_603100!C239,input_603100!A:H,8,FALSE))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input_603100!A$2</f>
        <v>603100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IFERROR(VLOOKUP(B240,input_603100!L:R,7,FALSE),VLOOKUP(tables_603100!C240,input_603100!A:H,8,FALSE))</f>
        <v>1134750</v>
      </c>
      <c r="P240" s="46">
        <f t="shared" ca="1" si="10"/>
        <v>7.7989690721687009E-3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input_603100!A$2</f>
        <v>603100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IFERROR(VLOOKUP(B241,input_603100!L:R,7,FALSE),VLOOKUP(tables_603100!C241,input_603100!A:H,8,FALSE))</f>
        <v>81335.576920000007</v>
      </c>
      <c r="P241" s="46">
        <f t="shared" ca="1" si="10"/>
        <v>5.5900740151229654E-4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input_603100!A$2</f>
        <v>603100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IFERROR(VLOOKUP(B242,input_603100!L:R,7,FALSE),VLOOKUP(tables_603100!C242,input_603100!A:H,8,FALSE))</f>
        <v>164900</v>
      </c>
      <c r="P242" s="46">
        <f t="shared" ca="1" si="10"/>
        <v>1.1333333333338786E-3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input_603100!A$2</f>
        <v>603100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IFERROR(VLOOKUP(B243,input_603100!L:R,7,FALSE),VLOOKUP(tables_603100!C243,input_603100!A:H,8,FALSE))</f>
        <v>29100</v>
      </c>
      <c r="P243" s="46">
        <f t="shared" ca="1" si="10"/>
        <v>2.0000000000009623E-4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input_603100!A$2</f>
        <v>603100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IFERROR(VLOOKUP(B244,input_603100!L:R,7,FALSE),VLOOKUP(tables_603100!C244,input_603100!A:H,8,FALSE))</f>
        <v>164900</v>
      </c>
      <c r="P244" s="46">
        <f t="shared" ca="1" si="10"/>
        <v>1.1333333333338786E-3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input_603100!A$2</f>
        <v>603100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IFERROR(VLOOKUP(B245,input_603100!L:R,7,FALSE),VLOOKUP(tables_603100!C245,input_603100!A:H,8,FALSE))</f>
        <v>29100</v>
      </c>
      <c r="P245" s="46">
        <f t="shared" ca="1" si="10"/>
        <v>2.0000000000009623E-4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input_603100!A$2</f>
        <v>603100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IFERROR(VLOOKUP(B246,input_603100!L:R,7,FALSE),VLOOKUP(tables_603100!C246,input_603100!A:H,8,FALSE))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input_603100!A$2</f>
        <v>603100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IFERROR(VLOOKUP(B247,input_603100!L:R,7,FALSE),VLOOKUP(tables_603100!C247,input_603100!A:H,8,FALSE))</f>
        <v>1134750</v>
      </c>
      <c r="P247" s="46">
        <f t="shared" ca="1" si="10"/>
        <v>7.7989690721687009E-3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input_603100!A$2</f>
        <v>603100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IFERROR(VLOOKUP(B248,input_603100!L:R,7,FALSE),VLOOKUP(tables_603100!C248,input_603100!A:H,8,FALSE))</f>
        <v>81335.576920000007</v>
      </c>
      <c r="P248" s="46">
        <f t="shared" ca="1" si="10"/>
        <v>5.5900740151229654E-4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input_603100!A$2</f>
        <v>603100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IFERROR(VLOOKUP(B249,input_603100!L:R,7,FALSE),VLOOKUP(tables_603100!C249,input_603100!A:H,8,FALSE))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input_603100!A$2</f>
        <v>603100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IFERROR(VLOOKUP(B250,input_603100!L:R,7,FALSE),VLOOKUP(tables_603100!C250,input_603100!A:H,8,FALSE))</f>
        <v>1134750</v>
      </c>
      <c r="P250" s="46">
        <f t="shared" ca="1" si="10"/>
        <v>7.7989690721687009E-3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input_603100!A$2</f>
        <v>603100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IFERROR(VLOOKUP(B251,input_603100!L:R,7,FALSE),VLOOKUP(tables_603100!C251,input_603100!A:H,8,FALSE))</f>
        <v>81335.576920000007</v>
      </c>
      <c r="P251" s="46">
        <f t="shared" ca="1" si="10"/>
        <v>5.5900740151229654E-4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input_603100!A$2</f>
        <v>603100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IFERROR(VLOOKUP(B252,input_603100!L:R,7,FALSE),VLOOKUP(tables_603100!C252,input_603100!A:H,8,FALSE))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input_603100!A$2</f>
        <v>603100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IFERROR(VLOOKUP(B253,input_603100!L:R,7,FALSE),VLOOKUP(tables_603100!C253,input_603100!A:H,8,FALSE))</f>
        <v>1134750</v>
      </c>
      <c r="P253" s="46">
        <f t="shared" ca="1" si="10"/>
        <v>7.7989690721687009E-3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input_603100!A$2</f>
        <v>603100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IFERROR(VLOOKUP(B254,input_603100!L:R,7,FALSE),VLOOKUP(tables_603100!C254,input_603100!A:H,8,FALSE))</f>
        <v>81335.576920000007</v>
      </c>
      <c r="P254" s="46">
        <f t="shared" ca="1" si="10"/>
        <v>5.5900740151229654E-4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input_603100!A$2</f>
        <v>603100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IFERROR(VLOOKUP(B255,input_603100!L:R,7,FALSE),VLOOKUP(tables_603100!C255,input_603100!A:H,8,FALSE))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input_603100!A$2</f>
        <v>603100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IFERROR(VLOOKUP(B256,input_603100!L:R,7,FALSE),VLOOKUP(tables_603100!C256,input_603100!A:H,8,FALSE))</f>
        <v>1134750</v>
      </c>
      <c r="P256" s="46">
        <f t="shared" ca="1" si="10"/>
        <v>7.7989690721687009E-3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input_603100!A$2</f>
        <v>603100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IFERROR(VLOOKUP(B257,input_603100!L:R,7,FALSE),VLOOKUP(tables_603100!C257,input_603100!A:H,8,FALSE))</f>
        <v>81335.576920000007</v>
      </c>
      <c r="P257" s="46">
        <f t="shared" ca="1" si="10"/>
        <v>5.5900740151229654E-4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input_603100!A$2</f>
        <v>603100</v>
      </c>
      <c r="B258" s="98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IFERROR(VLOOKUP(B258,input_603100!L:R,7,FALSE),VLOOKUP(tables_603100!C258,input_603100!A:H,8,FALSE))</f>
        <v>164900</v>
      </c>
      <c r="P258" s="46">
        <f t="shared" ref="P258:P321" ca="1" si="13">O258/SUM(O:O)</f>
        <v>1.1333333333338786E-3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input_603100!A$2</f>
        <v>603100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IFERROR(VLOOKUP(B259,input_603100!L:R,7,FALSE),VLOOKUP(tables_603100!C259,input_603100!A:H,8,FALSE))</f>
        <v>29100</v>
      </c>
      <c r="P259" s="46">
        <f t="shared" ca="1" si="13"/>
        <v>2.0000000000009623E-4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input_603100!A$2</f>
        <v>603100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IFERROR(VLOOKUP(B260,input_603100!L:R,7,FALSE),VLOOKUP(tables_603100!C260,input_603100!A:H,8,FALSE))</f>
        <v>164900</v>
      </c>
      <c r="P260" s="46">
        <f t="shared" ca="1" si="13"/>
        <v>1.1333333333338786E-3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input_603100!A$2</f>
        <v>603100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IFERROR(VLOOKUP(B261,input_603100!L:R,7,FALSE),VLOOKUP(tables_603100!C261,input_603100!A:H,8,FALSE))</f>
        <v>29100</v>
      </c>
      <c r="P261" s="46">
        <f t="shared" ca="1" si="13"/>
        <v>2.0000000000009623E-4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input_603100!A$2</f>
        <v>603100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IFERROR(VLOOKUP(B262,input_603100!L:R,7,FALSE),VLOOKUP(tables_603100!C262,input_603100!A:H,8,FALSE))</f>
        <v>1077535.71429</v>
      </c>
      <c r="P262" s="46">
        <f t="shared" ca="1" si="13"/>
        <v>7.405743740828306E-3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input_603100!A$2</f>
        <v>603100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IFERROR(VLOOKUP(B263,input_603100!L:R,7,FALSE),VLOOKUP(tables_603100!C263,input_603100!A:H,8,FALSE))</f>
        <v>200250</v>
      </c>
      <c r="P263" s="46">
        <f t="shared" ca="1" si="13"/>
        <v>1.3762886597944767E-3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input_603100!A$2</f>
        <v>603100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IFERROR(VLOOKUP(B264,input_603100!L:R,7,FALSE),VLOOKUP(tables_603100!C264,input_603100!A:H,8,FALSE))</f>
        <v>1077535.71429</v>
      </c>
      <c r="P264" s="46">
        <f t="shared" ca="1" si="13"/>
        <v>7.405743740828306E-3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input_603100!A$2</f>
        <v>603100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IFERROR(VLOOKUP(B265,input_603100!L:R,7,FALSE),VLOOKUP(tables_603100!C265,input_603100!A:H,8,FALSE))</f>
        <v>200250</v>
      </c>
      <c r="P265" s="46">
        <f t="shared" ca="1" si="13"/>
        <v>1.3762886597944767E-3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input_603100!A$2</f>
        <v>603100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IFERROR(VLOOKUP(B266,input_603100!L:R,7,FALSE),VLOOKUP(tables_603100!C266,input_603100!A:H,8,FALSE))</f>
        <v>194000</v>
      </c>
      <c r="P266" s="46">
        <f t="shared" ca="1" si="13"/>
        <v>1.3333333333339749E-3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input_603100!A$2</f>
        <v>603100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IFERROR(VLOOKUP(B267,input_603100!L:R,7,FALSE),VLOOKUP(tables_603100!C267,input_603100!A:H,8,FALSE))</f>
        <v>194000</v>
      </c>
      <c r="P267" s="46">
        <f t="shared" ca="1" si="13"/>
        <v>1.3333333333339749E-3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input_603100!A$2</f>
        <v>603100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IFERROR(VLOOKUP(B268,input_603100!L:R,7,FALSE),VLOOKUP(tables_603100!C268,input_603100!A:H,8,FALSE))</f>
        <v>194000</v>
      </c>
      <c r="P268" s="46">
        <f t="shared" ca="1" si="13"/>
        <v>1.3333333333339749E-3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input_603100!A$2</f>
        <v>603100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IFERROR(VLOOKUP(B269,input_603100!L:R,7,FALSE),VLOOKUP(tables_603100!C269,input_603100!A:H,8,FALSE))</f>
        <v>194000</v>
      </c>
      <c r="P269" s="46">
        <f t="shared" ca="1" si="13"/>
        <v>1.3333333333339749E-3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input_603100!A$2</f>
        <v>603100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IFERROR(VLOOKUP(B270,input_603100!L:R,7,FALSE),VLOOKUP(tables_603100!C270,input_603100!A:H,8,FALSE))</f>
        <v>1077535.71429</v>
      </c>
      <c r="P270" s="46">
        <f t="shared" ca="1" si="13"/>
        <v>7.405743740828306E-3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input_603100!A$2</f>
        <v>603100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IFERROR(VLOOKUP(B271,input_603100!L:R,7,FALSE),VLOOKUP(tables_603100!C271,input_603100!A:H,8,FALSE))</f>
        <v>200250</v>
      </c>
      <c r="P271" s="46">
        <f t="shared" ca="1" si="13"/>
        <v>1.3762886597944767E-3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input_603100!A$2</f>
        <v>603100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IFERROR(VLOOKUP(B272,input_603100!L:R,7,FALSE),VLOOKUP(tables_603100!C272,input_603100!A:H,8,FALSE))</f>
        <v>1077535.71429</v>
      </c>
      <c r="P272" s="46">
        <f t="shared" ca="1" si="13"/>
        <v>7.405743740828306E-3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input_603100!A$2</f>
        <v>603100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IFERROR(VLOOKUP(B273,input_603100!L:R,7,FALSE),VLOOKUP(tables_603100!C273,input_603100!A:H,8,FALSE))</f>
        <v>200250</v>
      </c>
      <c r="P273" s="46">
        <f t="shared" ca="1" si="13"/>
        <v>1.3762886597944767E-3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input_603100!A$2</f>
        <v>603100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IFERROR(VLOOKUP(B274,input_603100!L:R,7,FALSE),VLOOKUP(tables_603100!C274,input_603100!A:H,8,FALSE))</f>
        <v>164900</v>
      </c>
      <c r="P274" s="46">
        <f t="shared" ca="1" si="13"/>
        <v>1.1333333333338786E-3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input_603100!A$2</f>
        <v>603100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IFERROR(VLOOKUP(B275,input_603100!L:R,7,FALSE),VLOOKUP(tables_603100!C275,input_603100!A:H,8,FALSE))</f>
        <v>29100</v>
      </c>
      <c r="P275" s="46">
        <f t="shared" ca="1" si="13"/>
        <v>2.0000000000009623E-4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input_603100!A$2</f>
        <v>603100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IFERROR(VLOOKUP(B276,input_603100!L:R,7,FALSE),VLOOKUP(tables_603100!C276,input_603100!A:H,8,FALSE))</f>
        <v>164900</v>
      </c>
      <c r="P276" s="46">
        <f t="shared" ca="1" si="13"/>
        <v>1.1333333333338786E-3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input_603100!A$2</f>
        <v>603100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IFERROR(VLOOKUP(B277,input_603100!L:R,7,FALSE),VLOOKUP(tables_603100!C277,input_603100!A:H,8,FALSE))</f>
        <v>29100</v>
      </c>
      <c r="P277" s="46">
        <f t="shared" ca="1" si="13"/>
        <v>2.0000000000009623E-4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input_603100!A$2</f>
        <v>603100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IFERROR(VLOOKUP(B278,input_603100!L:R,7,FALSE),VLOOKUP(tables_603100!C278,input_603100!A:H,8,FALSE))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input_603100!A$2</f>
        <v>603100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IFERROR(VLOOKUP(B279,input_603100!L:R,7,FALSE),VLOOKUP(tables_603100!C279,input_603100!A:H,8,FALSE))</f>
        <v>1134750</v>
      </c>
      <c r="P279" s="46">
        <f t="shared" ca="1" si="13"/>
        <v>7.7989690721687009E-3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input_603100!A$2</f>
        <v>603100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IFERROR(VLOOKUP(B280,input_603100!L:R,7,FALSE),VLOOKUP(tables_603100!C280,input_603100!A:H,8,FALSE))</f>
        <v>81335.576920000007</v>
      </c>
      <c r="P280" s="46">
        <f t="shared" ca="1" si="13"/>
        <v>5.5900740151229654E-4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input_603100!A$2</f>
        <v>603100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IFERROR(VLOOKUP(B281,input_603100!L:R,7,FALSE),VLOOKUP(tables_603100!C281,input_603100!A:H,8,FALSE))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input_603100!A$2</f>
        <v>603100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IFERROR(VLOOKUP(B282,input_603100!L:R,7,FALSE),VLOOKUP(tables_603100!C282,input_603100!A:H,8,FALSE))</f>
        <v>1134750</v>
      </c>
      <c r="P282" s="46">
        <f t="shared" ca="1" si="13"/>
        <v>7.7989690721687009E-3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input_603100!A$2</f>
        <v>603100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IFERROR(VLOOKUP(B283,input_603100!L:R,7,FALSE),VLOOKUP(tables_603100!C283,input_603100!A:H,8,FALSE))</f>
        <v>81335.576920000007</v>
      </c>
      <c r="P283" s="46">
        <f t="shared" ca="1" si="13"/>
        <v>5.5900740151229654E-4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input_603100!A$2</f>
        <v>603100</v>
      </c>
      <c r="B284" s="100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IFERROR(VLOOKUP(B284,input_603100!L:R,7,FALSE),VLOOKUP(tables_603100!C284,input_603100!A:H,8,FALSE))</f>
        <v>194000</v>
      </c>
      <c r="P284" s="46">
        <f t="shared" ca="1" si="13"/>
        <v>1.3333333333339749E-3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input_603100!A$2</f>
        <v>603100</v>
      </c>
      <c r="B285" s="100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IFERROR(VLOOKUP(B285,input_603100!L:R,7,FALSE),VLOOKUP(tables_603100!C285,input_603100!A:H,8,FALSE))</f>
        <v>194000</v>
      </c>
      <c r="P285" s="46">
        <f t="shared" ca="1" si="13"/>
        <v>1.3333333333339749E-3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input_603100!A$2</f>
        <v>603100</v>
      </c>
      <c r="B286" s="100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IFERROR(VLOOKUP(B286,input_603100!L:R,7,FALSE),VLOOKUP(tables_603100!C286,input_603100!A:H,8,FALSE))</f>
        <v>1077535.71429</v>
      </c>
      <c r="P286" s="46">
        <f t="shared" ca="1" si="13"/>
        <v>7.405743740828306E-3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input_603100!A$2</f>
        <v>603100</v>
      </c>
      <c r="B287" s="100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IFERROR(VLOOKUP(B287,input_603100!L:R,7,FALSE),VLOOKUP(tables_603100!C287,input_603100!A:H,8,FALSE))</f>
        <v>200250</v>
      </c>
      <c r="P287" s="46">
        <f t="shared" ca="1" si="13"/>
        <v>1.3762886597944767E-3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input_603100!A$2</f>
        <v>603100</v>
      </c>
      <c r="B288" s="100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IFERROR(VLOOKUP(B288,input_603100!L:R,7,FALSE),VLOOKUP(tables_603100!C288,input_603100!A:H,8,FALSE))</f>
        <v>1077535.71429</v>
      </c>
      <c r="P288" s="46">
        <f t="shared" ca="1" si="13"/>
        <v>7.405743740828306E-3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input_603100!A$2</f>
        <v>603100</v>
      </c>
      <c r="B289" s="100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IFERROR(VLOOKUP(B289,input_603100!L:R,7,FALSE),VLOOKUP(tables_603100!C289,input_603100!A:H,8,FALSE))</f>
        <v>200250</v>
      </c>
      <c r="P289" s="46">
        <f t="shared" ca="1" si="13"/>
        <v>1.3762886597944767E-3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input_603100!A$2</f>
        <v>603100</v>
      </c>
      <c r="B290" s="100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IFERROR(VLOOKUP(B290,input_603100!L:R,7,FALSE),VLOOKUP(tables_603100!C290,input_603100!A:H,8,FALSE))</f>
        <v>1077535.71429</v>
      </c>
      <c r="P290" s="46">
        <f t="shared" ca="1" si="13"/>
        <v>7.405743740828306E-3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input_603100!A$2</f>
        <v>603100</v>
      </c>
      <c r="B291" s="100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IFERROR(VLOOKUP(B291,input_603100!L:R,7,FALSE),VLOOKUP(tables_603100!C291,input_603100!A:H,8,FALSE))</f>
        <v>200250</v>
      </c>
      <c r="P291" s="46">
        <f t="shared" ca="1" si="13"/>
        <v>1.3762886597944767E-3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input_603100!A$2</f>
        <v>603100</v>
      </c>
      <c r="B292" s="100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IFERROR(VLOOKUP(B292,input_603100!L:R,7,FALSE),VLOOKUP(tables_603100!C292,input_603100!A:H,8,FALSE))</f>
        <v>1077535.71429</v>
      </c>
      <c r="P292" s="46">
        <f t="shared" ca="1" si="13"/>
        <v>7.405743740828306E-3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input_603100!A$2</f>
        <v>603100</v>
      </c>
      <c r="B293" s="100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IFERROR(VLOOKUP(B293,input_603100!L:R,7,FALSE),VLOOKUP(tables_603100!C293,input_603100!A:H,8,FALSE))</f>
        <v>200250</v>
      </c>
      <c r="P293" s="46">
        <f t="shared" ca="1" si="13"/>
        <v>1.3762886597944767E-3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input_603100!A$2</f>
        <v>603100</v>
      </c>
      <c r="B294" s="100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IFERROR(VLOOKUP(B294,input_603100!L:R,7,FALSE),VLOOKUP(tables_603100!C294,input_603100!A:H,8,FALSE))</f>
        <v>194000</v>
      </c>
      <c r="P294" s="46">
        <f t="shared" ca="1" si="13"/>
        <v>1.3333333333339749E-3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input_603100!A$2</f>
        <v>603100</v>
      </c>
      <c r="B295" s="100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IFERROR(VLOOKUP(B295,input_603100!L:R,7,FALSE),VLOOKUP(tables_603100!C295,input_603100!A:H,8,FALSE))</f>
        <v>194000</v>
      </c>
      <c r="P295" s="46">
        <f t="shared" ca="1" si="13"/>
        <v>1.3333333333339749E-3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input_603100!A$2</f>
        <v>603100</v>
      </c>
      <c r="B296" s="100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IFERROR(VLOOKUP(B296,input_603100!L:R,7,FALSE),VLOOKUP(tables_603100!C296,input_603100!A:H,8,FALSE))</f>
        <v>194000</v>
      </c>
      <c r="P296" s="46">
        <f t="shared" ca="1" si="13"/>
        <v>1.3333333333339749E-3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input_603100!A$2</f>
        <v>603100</v>
      </c>
      <c r="B297" s="100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IFERROR(VLOOKUP(B297,input_603100!L:R,7,FALSE),VLOOKUP(tables_603100!C297,input_603100!A:H,8,FALSE))</f>
        <v>1077535.71429</v>
      </c>
      <c r="P297" s="46">
        <f t="shared" ca="1" si="13"/>
        <v>7.405743740828306E-3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input_603100!A$2</f>
        <v>603100</v>
      </c>
      <c r="B298" s="100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IFERROR(VLOOKUP(B298,input_603100!L:R,7,FALSE),VLOOKUP(tables_603100!C298,input_603100!A:H,8,FALSE))</f>
        <v>200250</v>
      </c>
      <c r="P298" s="46">
        <f t="shared" ca="1" si="13"/>
        <v>1.3762886597944767E-3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input_603100!A$2</f>
        <v>603100</v>
      </c>
      <c r="B299" s="100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IFERROR(VLOOKUP(B299,input_603100!L:R,7,FALSE),VLOOKUP(tables_603100!C299,input_603100!A:H,8,FALSE))</f>
        <v>194000</v>
      </c>
      <c r="P299" s="46">
        <f t="shared" ca="1" si="13"/>
        <v>1.3333333333339749E-3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input_603100!A$2</f>
        <v>603100</v>
      </c>
      <c r="B300" s="100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IFERROR(VLOOKUP(B300,input_603100!L:R,7,FALSE),VLOOKUP(tables_603100!C300,input_603100!A:H,8,FALSE))</f>
        <v>194000</v>
      </c>
      <c r="P300" s="46">
        <f t="shared" ca="1" si="13"/>
        <v>1.3333333333339749E-3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input_603100!A$2</f>
        <v>603100</v>
      </c>
      <c r="B301" s="100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IFERROR(VLOOKUP(B301,input_603100!L:R,7,FALSE),VLOOKUP(tables_603100!C301,input_603100!A:H,8,FALSE))</f>
        <v>194000</v>
      </c>
      <c r="P301" s="46">
        <f t="shared" ca="1" si="13"/>
        <v>1.3333333333339749E-3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input_603100!A$2</f>
        <v>603100</v>
      </c>
      <c r="B302" s="100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IFERROR(VLOOKUP(B302,input_603100!L:R,7,FALSE),VLOOKUP(tables_603100!C302,input_603100!A:H,8,FALSE))</f>
        <v>194000</v>
      </c>
      <c r="P302" s="46">
        <f t="shared" ca="1" si="13"/>
        <v>1.3333333333339749E-3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input_603100!A$2</f>
        <v>603100</v>
      </c>
      <c r="B303" s="100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IFERROR(VLOOKUP(B303,input_603100!L:R,7,FALSE),VLOOKUP(tables_603100!C303,input_603100!A:H,8,FALSE))</f>
        <v>1077535.71429</v>
      </c>
      <c r="P303" s="46">
        <f t="shared" ca="1" si="13"/>
        <v>7.405743740828306E-3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input_603100!A$2</f>
        <v>603100</v>
      </c>
      <c r="B304" s="100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IFERROR(VLOOKUP(B304,input_603100!L:R,7,FALSE),VLOOKUP(tables_603100!C304,input_603100!A:H,8,FALSE))</f>
        <v>200250</v>
      </c>
      <c r="P304" s="46">
        <f t="shared" ca="1" si="13"/>
        <v>1.3762886597944767E-3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input_603100!A$2</f>
        <v>603100</v>
      </c>
      <c r="B305" s="100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IFERROR(VLOOKUP(B305,input_603100!L:R,7,FALSE),VLOOKUP(tables_603100!C305,input_603100!A:H,8,FALSE))</f>
        <v>194000</v>
      </c>
      <c r="P305" s="46">
        <f t="shared" ca="1" si="13"/>
        <v>1.3333333333339749E-3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input_603100!A$2</f>
        <v>603100</v>
      </c>
      <c r="B306" s="100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IFERROR(VLOOKUP(B306,input_603100!L:R,7,FALSE),VLOOKUP(tables_603100!C306,input_603100!A:H,8,FALSE))</f>
        <v>1077535.71429</v>
      </c>
      <c r="P306" s="46">
        <f t="shared" ca="1" si="13"/>
        <v>7.405743740828306E-3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input_603100!A$2</f>
        <v>603100</v>
      </c>
      <c r="B307" s="100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IFERROR(VLOOKUP(B307,input_603100!L:R,7,FALSE),VLOOKUP(tables_603100!C307,input_603100!A:H,8,FALSE))</f>
        <v>200250</v>
      </c>
      <c r="P307" s="46">
        <f t="shared" ca="1" si="13"/>
        <v>1.3762886597944767E-3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input_603100!A$2</f>
        <v>603100</v>
      </c>
      <c r="B308" s="100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IFERROR(VLOOKUP(B308,input_603100!L:R,7,FALSE),VLOOKUP(tables_603100!C308,input_603100!A:H,8,FALSE))</f>
        <v>194000</v>
      </c>
      <c r="P308" s="46">
        <f t="shared" ca="1" si="13"/>
        <v>1.3333333333339749E-3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input_603100!A$2</f>
        <v>603100</v>
      </c>
      <c r="B309" s="100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IFERROR(VLOOKUP(B309,input_603100!L:R,7,FALSE),VLOOKUP(tables_603100!C309,input_603100!A:H,8,FALSE))</f>
        <v>194000</v>
      </c>
      <c r="P309" s="46">
        <f t="shared" ca="1" si="13"/>
        <v>1.3333333333339749E-3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input_603100!A$2</f>
        <v>603100</v>
      </c>
      <c r="B310" s="100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IFERROR(VLOOKUP(B310,input_603100!L:R,7,FALSE),VLOOKUP(tables_603100!C310,input_603100!A:H,8,FALSE))</f>
        <v>194000</v>
      </c>
      <c r="P310" s="46">
        <f t="shared" ca="1" si="13"/>
        <v>1.3333333333339749E-3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input_603100!A$2</f>
        <v>603100</v>
      </c>
      <c r="B311" s="100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IFERROR(VLOOKUP(B311,input_603100!L:R,7,FALSE),VLOOKUP(tables_603100!C311,input_603100!A:H,8,FALSE))</f>
        <v>1077535.71429</v>
      </c>
      <c r="P311" s="46">
        <f t="shared" ca="1" si="13"/>
        <v>7.405743740828306E-3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input_603100!A$2</f>
        <v>603100</v>
      </c>
      <c r="B312" s="100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IFERROR(VLOOKUP(B312,input_603100!L:R,7,FALSE),VLOOKUP(tables_603100!C312,input_603100!A:H,8,FALSE))</f>
        <v>200250</v>
      </c>
      <c r="P312" s="46">
        <f t="shared" ca="1" si="13"/>
        <v>1.3762886597944767E-3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input_603100!A$2</f>
        <v>603100</v>
      </c>
      <c r="B313" s="100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IFERROR(VLOOKUP(B313,input_603100!L:R,7,FALSE),VLOOKUP(tables_603100!C313,input_603100!A:H,8,FALSE))</f>
        <v>194000</v>
      </c>
      <c r="P313" s="46">
        <f t="shared" ca="1" si="13"/>
        <v>1.3333333333339749E-3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input_603100!A$2</f>
        <v>603100</v>
      </c>
      <c r="B314" s="100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IFERROR(VLOOKUP(B314,input_603100!L:R,7,FALSE),VLOOKUP(tables_603100!C314,input_603100!A:H,8,FALSE))</f>
        <v>194000</v>
      </c>
      <c r="P314" s="46">
        <f t="shared" ca="1" si="13"/>
        <v>1.3333333333339749E-3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input_603100!A$2</f>
        <v>603100</v>
      </c>
      <c r="B315" s="100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IFERROR(VLOOKUP(B315,input_603100!L:R,7,FALSE),VLOOKUP(tables_603100!C315,input_603100!A:H,8,FALSE))</f>
        <v>194000</v>
      </c>
      <c r="P315" s="46">
        <f t="shared" ca="1" si="13"/>
        <v>1.3333333333339749E-3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input_603100!A$2</f>
        <v>603100</v>
      </c>
      <c r="B316" s="100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IFERROR(VLOOKUP(B316,input_603100!L:R,7,FALSE),VLOOKUP(tables_603100!C316,input_603100!A:H,8,FALSE))</f>
        <v>194000</v>
      </c>
      <c r="P316" s="46">
        <f t="shared" ca="1" si="13"/>
        <v>1.3333333333339749E-3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input_603100!A$2</f>
        <v>603100</v>
      </c>
      <c r="B317" s="100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IFERROR(VLOOKUP(B317,input_603100!L:R,7,FALSE),VLOOKUP(tables_603100!C317,input_603100!A:H,8,FALSE))</f>
        <v>194000</v>
      </c>
      <c r="P317" s="46">
        <f t="shared" ca="1" si="13"/>
        <v>1.3333333333339749E-3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input_603100!A$2</f>
        <v>603100</v>
      </c>
      <c r="B318" s="100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IFERROR(VLOOKUP(B318,input_603100!L:R,7,FALSE),VLOOKUP(tables_603100!C318,input_603100!A:H,8,FALSE))</f>
        <v>1077535.71429</v>
      </c>
      <c r="P318" s="46">
        <f t="shared" ca="1" si="13"/>
        <v>7.405743740828306E-3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input_603100!A$2</f>
        <v>603100</v>
      </c>
      <c r="B319" s="100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IFERROR(VLOOKUP(B319,input_603100!L:R,7,FALSE),VLOOKUP(tables_603100!C319,input_603100!A:H,8,FALSE))</f>
        <v>200250</v>
      </c>
      <c r="P319" s="46">
        <f t="shared" ca="1" si="13"/>
        <v>1.3762886597944767E-3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input_603100!A$2</f>
        <v>603100</v>
      </c>
      <c r="B320" s="100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IFERROR(VLOOKUP(B320,input_603100!L:R,7,FALSE),VLOOKUP(tables_603100!C320,input_603100!A:H,8,FALSE))</f>
        <v>194000</v>
      </c>
      <c r="P320" s="46">
        <f t="shared" ca="1" si="13"/>
        <v>1.3333333333339749E-3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input_603100!A$2</f>
        <v>603100</v>
      </c>
      <c r="B321" s="100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IFERROR(VLOOKUP(B321,input_603100!L:R,7,FALSE),VLOOKUP(tables_603100!C321,input_603100!A:H,8,FALSE))</f>
        <v>194000</v>
      </c>
      <c r="P321" s="46">
        <f t="shared" ca="1" si="13"/>
        <v>1.3333333333339749E-3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input_603100!A$2</f>
        <v>603100</v>
      </c>
      <c r="B322" s="100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IFERROR(VLOOKUP(B322,input_603100!L:R,7,FALSE),VLOOKUP(tables_603100!C322,input_603100!A:H,8,FALSE))</f>
        <v>194000</v>
      </c>
      <c r="P322" s="46">
        <f t="shared" ref="P322:P385" ca="1" si="26">O322/SUM(O:O)</f>
        <v>1.3333333333339749E-3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input_603100!A$2</f>
        <v>603100</v>
      </c>
      <c r="B323" s="100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IFERROR(VLOOKUP(B323,input_603100!L:R,7,FALSE),VLOOKUP(tables_603100!C323,input_603100!A:H,8,FALSE))</f>
        <v>194000</v>
      </c>
      <c r="P323" s="46">
        <f t="shared" ca="1" si="26"/>
        <v>1.3333333333339749E-3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input_603100!A$2</f>
        <v>603100</v>
      </c>
      <c r="B324" s="100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IFERROR(VLOOKUP(B324,input_603100!L:R,7,FALSE),VLOOKUP(tables_603100!C324,input_603100!A:H,8,FALSE))</f>
        <v>1077535.71429</v>
      </c>
      <c r="P324" s="46">
        <f t="shared" ca="1" si="26"/>
        <v>7.405743740828306E-3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input_603100!A$2</f>
        <v>603100</v>
      </c>
      <c r="B325" s="100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IFERROR(VLOOKUP(B325,input_603100!L:R,7,FALSE),VLOOKUP(tables_603100!C325,input_603100!A:H,8,FALSE))</f>
        <v>200250</v>
      </c>
      <c r="P325" s="46">
        <f t="shared" ca="1" si="26"/>
        <v>1.3762886597944767E-3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input_603100!A$2</f>
        <v>603100</v>
      </c>
      <c r="B326" s="100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IFERROR(VLOOKUP(B326,input_603100!L:R,7,FALSE),VLOOKUP(tables_603100!C326,input_603100!A:H,8,FALSE))</f>
        <v>1077535.71429</v>
      </c>
      <c r="P326" s="46">
        <f t="shared" ca="1" si="26"/>
        <v>7.405743740828306E-3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input_603100!A$2</f>
        <v>603100</v>
      </c>
      <c r="B327" s="100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IFERROR(VLOOKUP(B327,input_603100!L:R,7,FALSE),VLOOKUP(tables_603100!C327,input_603100!A:H,8,FALSE))</f>
        <v>200250</v>
      </c>
      <c r="P327" s="46">
        <f t="shared" ca="1" si="26"/>
        <v>1.3762886597944767E-3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input_603100!A$2</f>
        <v>603100</v>
      </c>
      <c r="B328" s="100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IFERROR(VLOOKUP(B328,input_603100!L:R,7,FALSE),VLOOKUP(tables_603100!C328,input_603100!A:H,8,FALSE))</f>
        <v>194000</v>
      </c>
      <c r="P328" s="46">
        <f t="shared" ca="1" si="26"/>
        <v>1.3333333333339749E-3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input_603100!A$2</f>
        <v>603100</v>
      </c>
      <c r="B329" s="100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IFERROR(VLOOKUP(B329,input_603100!L:R,7,FALSE),VLOOKUP(tables_603100!C329,input_603100!A:H,8,FALSE))</f>
        <v>194000</v>
      </c>
      <c r="P329" s="46">
        <f t="shared" ca="1" si="26"/>
        <v>1.3333333333339749E-3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input_603100!A$2</f>
        <v>603100</v>
      </c>
      <c r="B330" s="100">
        <v>1157</v>
      </c>
      <c r="C330" s="7" t="str">
        <f t="shared" si="28"/>
        <v>PremiumSS5R5only</v>
      </c>
      <c r="D330" s="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IFERROR(VLOOKUP(B330,input_603100!L:R,7,FALSE),VLOOKUP(tables_603100!C330,input_603100!A:H,8,FALSE))</f>
        <v>194000</v>
      </c>
      <c r="P330" s="46">
        <f t="shared" ca="1" si="26"/>
        <v>1.3333333333339749E-3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input_603100!A$2</f>
        <v>603100</v>
      </c>
      <c r="B331" s="98">
        <v>1214</v>
      </c>
      <c r="C331" s="7" t="str">
        <f t="shared" ref="C331:C335" si="29">D331&amp;J331&amp;E331&amp;F331&amp;G331</f>
        <v>PremiumSS5R5only</v>
      </c>
      <c r="D331" s="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IFERROR(VLOOKUP(B331,input_603100!L:R,7,FALSE),VLOOKUP(tables_603100!C331,input_603100!A:H,8,FALSE))</f>
        <v>194000</v>
      </c>
      <c r="P331" s="46">
        <f t="shared" ca="1" si="26"/>
        <v>1.3333333333339749E-3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input_603100!A$2</f>
        <v>603100</v>
      </c>
      <c r="B332" s="98">
        <v>1212</v>
      </c>
      <c r="C332" s="7" t="str">
        <f t="shared" si="29"/>
        <v>PremiumSS5R5only</v>
      </c>
      <c r="D332" s="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IFERROR(VLOOKUP(B332,input_603100!L:R,7,FALSE),VLOOKUP(tables_603100!C332,input_603100!A:H,8,FALSE))</f>
        <v>194000</v>
      </c>
      <c r="P332" s="46">
        <f t="shared" ca="1" si="26"/>
        <v>1.3333333333339749E-3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input_603100!A$2</f>
        <v>603100</v>
      </c>
      <c r="B333" s="98">
        <v>1208</v>
      </c>
      <c r="C333" s="7" t="str">
        <f t="shared" si="29"/>
        <v>PremiumSS5R5only</v>
      </c>
      <c r="D333" s="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IFERROR(VLOOKUP(B333,input_603100!L:R,7,FALSE),VLOOKUP(tables_603100!C333,input_603100!A:H,8,FALSE))</f>
        <v>194000</v>
      </c>
      <c r="P333" s="46">
        <f t="shared" ca="1" si="26"/>
        <v>1.3333333333339749E-3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input_603100!A$2</f>
        <v>603100</v>
      </c>
      <c r="B334" s="99">
        <v>1210</v>
      </c>
      <c r="C334" s="7" t="str">
        <f t="shared" si="29"/>
        <v>Premium4R3less</v>
      </c>
      <c r="D334" s="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IFERROR(VLOOKUP(B334,input_603100!L:R,7,FALSE),VLOOKUP(tables_603100!C334,input_603100!A:H,8,FALSE))</f>
        <v>1077535.71429</v>
      </c>
      <c r="P334" s="46">
        <f t="shared" ca="1" si="26"/>
        <v>7.405743740828306E-3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input_603100!A$2</f>
        <v>603100</v>
      </c>
      <c r="B335" s="98">
        <v>1211</v>
      </c>
      <c r="C335" s="7" t="str">
        <f t="shared" si="29"/>
        <v>Premium5R3less</v>
      </c>
      <c r="D335" s="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IFERROR(VLOOKUP(B335,input_603100!L:R,7,FALSE),VLOOKUP(tables_603100!C335,input_603100!A:H,8,FALSE))</f>
        <v>200250</v>
      </c>
      <c r="P335" s="46">
        <f t="shared" ca="1" si="26"/>
        <v>1.3762886597944767E-3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input_603100!A$2</f>
        <v>603100</v>
      </c>
      <c r="B336" s="100">
        <v>1224</v>
      </c>
      <c r="C336" s="7" t="str">
        <f t="shared" ref="C336:C340" si="31">D336&amp;J336&amp;E336&amp;F336&amp;G336</f>
        <v>Premium4R3less</v>
      </c>
      <c r="D336" s="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IFERROR(VLOOKUP(B336,input_603100!L:R,7,FALSE),VLOOKUP(tables_603100!C336,input_603100!A:H,8,FALSE))</f>
        <v>1077535.71429</v>
      </c>
      <c r="P336" s="46">
        <f t="shared" ca="1" si="26"/>
        <v>7.405743740828306E-3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input_603100!A$2</f>
        <v>603100</v>
      </c>
      <c r="B337" s="100">
        <v>1225</v>
      </c>
      <c r="C337" s="7" t="str">
        <f t="shared" si="31"/>
        <v>Premium5R3less</v>
      </c>
      <c r="D337" s="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IFERROR(VLOOKUP(B337,input_603100!L:R,7,FALSE),VLOOKUP(tables_603100!C337,input_603100!A:H,8,FALSE))</f>
        <v>200250</v>
      </c>
      <c r="P337" s="46">
        <f t="shared" ca="1" si="26"/>
        <v>1.3762886597944767E-3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input_603100!A$2</f>
        <v>603100</v>
      </c>
      <c r="B338" s="100">
        <v>1226</v>
      </c>
      <c r="C338" s="7" t="str">
        <f t="shared" si="31"/>
        <v>PremiumSS5R5only</v>
      </c>
      <c r="D338" s="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IFERROR(VLOOKUP(B338,input_603100!L:R,7,FALSE),VLOOKUP(tables_603100!C338,input_603100!A:H,8,FALSE))</f>
        <v>194000</v>
      </c>
      <c r="P338" s="46">
        <f t="shared" ca="1" si="26"/>
        <v>1.3333333333339749E-3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input_603100!A$2</f>
        <v>603100</v>
      </c>
      <c r="B339" s="100">
        <v>1228</v>
      </c>
      <c r="C339" s="7" t="str">
        <f t="shared" si="31"/>
        <v>PremiumSS5R5only</v>
      </c>
      <c r="D339" s="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IFERROR(VLOOKUP(B339,input_603100!L:R,7,FALSE),VLOOKUP(tables_603100!C339,input_603100!A:H,8,FALSE))</f>
        <v>194000</v>
      </c>
      <c r="P339" s="46">
        <f t="shared" ca="1" si="26"/>
        <v>1.3333333333339749E-3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input_603100!A$2</f>
        <v>603100</v>
      </c>
      <c r="B340" s="100">
        <v>1230</v>
      </c>
      <c r="C340" s="7" t="str">
        <f t="shared" si="31"/>
        <v>PremiumSS5R5only</v>
      </c>
      <c r="D340" s="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IFERROR(VLOOKUP(B340,input_603100!L:R,7,FALSE),VLOOKUP(tables_603100!C340,input_603100!A:H,8,FALSE))</f>
        <v>194000</v>
      </c>
      <c r="P340" s="46">
        <f t="shared" ca="1" si="26"/>
        <v>1.3333333333339749E-3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input_603100!A$2</f>
        <v>603100</v>
      </c>
      <c r="B341" s="100">
        <v>1244</v>
      </c>
      <c r="C341" s="7" t="str">
        <f t="shared" ref="C341:C346" si="33">D341&amp;J341&amp;E341&amp;F341&amp;G341</f>
        <v>PremiumSS5R5only</v>
      </c>
      <c r="D341" s="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IFERROR(VLOOKUP(B341,input_603100!L:R,7,FALSE),VLOOKUP(tables_603100!C341,input_603100!A:H,8,FALSE))</f>
        <v>194000</v>
      </c>
      <c r="P341" s="46">
        <f t="shared" ca="1" si="26"/>
        <v>1.3333333333339749E-3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input_603100!A$2</f>
        <v>603100</v>
      </c>
      <c r="B342" s="100">
        <v>1246</v>
      </c>
      <c r="C342" s="7" t="str">
        <f t="shared" si="33"/>
        <v>PremiumSS5R5only</v>
      </c>
      <c r="D342" s="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IFERROR(VLOOKUP(B342,input_603100!L:R,7,FALSE),VLOOKUP(tables_603100!C342,input_603100!A:H,8,FALSE))</f>
        <v>194000</v>
      </c>
      <c r="P342" s="46">
        <f t="shared" ca="1" si="26"/>
        <v>1.3333333333339749E-3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input_603100!A$2</f>
        <v>603100</v>
      </c>
      <c r="B343" s="100">
        <v>1248</v>
      </c>
      <c r="C343" s="7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IFERROR(VLOOKUP(B343,input_603100!L:R,7,FALSE),VLOOKUP(tables_603100!C343,input_603100!A:H,8,FALSE))</f>
        <v>1077535.71429</v>
      </c>
      <c r="P343" s="46">
        <f t="shared" ca="1" si="26"/>
        <v>7.405743740828306E-3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input_603100!A$2</f>
        <v>603100</v>
      </c>
      <c r="B344" s="100">
        <v>1249</v>
      </c>
      <c r="C344" s="7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IFERROR(VLOOKUP(B344,input_603100!L:R,7,FALSE),VLOOKUP(tables_603100!C344,input_603100!A:H,8,FALSE))</f>
        <v>200250</v>
      </c>
      <c r="P344" s="46">
        <f t="shared" ca="1" si="26"/>
        <v>1.3762886597944767E-3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input_603100!A$2</f>
        <v>603100</v>
      </c>
      <c r="B345" s="100">
        <v>1250</v>
      </c>
      <c r="C345" s="7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IFERROR(VLOOKUP(B345,input_603100!L:R,7,FALSE),VLOOKUP(tables_603100!C345,input_603100!A:H,8,FALSE))</f>
        <v>194000</v>
      </c>
      <c r="P345" s="46">
        <f t="shared" ca="1" si="26"/>
        <v>1.3333333333339749E-3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input_603100!A$2</f>
        <v>603100</v>
      </c>
      <c r="B346" s="100">
        <v>1260</v>
      </c>
      <c r="C346" s="7" t="str">
        <f t="shared" si="33"/>
        <v>PremiumSS5R5only</v>
      </c>
      <c r="D346" s="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IFERROR(VLOOKUP(B346,input_603100!L:R,7,FALSE),VLOOKUP(tables_603100!C346,input_603100!A:H,8,FALSE))</f>
        <v>194000</v>
      </c>
      <c r="P346" s="46">
        <f t="shared" ca="1" si="26"/>
        <v>1.3333333333339749E-3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input_603100!A$2</f>
        <v>603100</v>
      </c>
      <c r="B347" s="100">
        <v>1262</v>
      </c>
      <c r="C347" s="7" t="str">
        <f t="shared" ref="C347" si="35">D347&amp;J347&amp;E347&amp;F347&amp;G347</f>
        <v>PremiumSS5R5only</v>
      </c>
      <c r="D347" s="7" t="str">
        <f t="shared" ref="D347" si="36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IFERROR(VLOOKUP(B347,input_603100!L:R,7,FALSE),VLOOKUP(tables_603100!C347,input_603100!A:H,8,FALSE))</f>
        <v>194000</v>
      </c>
      <c r="P347" s="46">
        <f t="shared" ca="1" si="26"/>
        <v>1.3333333333339749E-3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input_603100!A$2</f>
        <v>603100</v>
      </c>
      <c r="B348" s="100">
        <v>1264</v>
      </c>
      <c r="C348" s="7" t="str">
        <f t="shared" ref="C348:C357" si="37">D348&amp;J348&amp;E348&amp;F348&amp;G348</f>
        <v>PremiumSS5R5only</v>
      </c>
      <c r="D348" s="7" t="str">
        <f t="shared" ref="D348:D357" si="38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IFERROR(VLOOKUP(B348,input_603100!L:R,7,FALSE),VLOOKUP(tables_603100!C348,input_603100!A:H,8,FALSE))</f>
        <v>194000</v>
      </c>
      <c r="P348" s="46">
        <f t="shared" ca="1" si="26"/>
        <v>1.3333333333339749E-3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input_603100!A$2</f>
        <v>603100</v>
      </c>
      <c r="B349" s="100">
        <v>1266</v>
      </c>
      <c r="C349" s="7" t="str">
        <f t="shared" si="37"/>
        <v>Premium4R3less</v>
      </c>
      <c r="D349" s="7" t="str">
        <f t="shared" si="3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IFERROR(VLOOKUP(B349,input_603100!L:R,7,FALSE),VLOOKUP(tables_603100!C349,input_603100!A:H,8,FALSE))</f>
        <v>1077535.71429</v>
      </c>
      <c r="P349" s="46">
        <f t="shared" ca="1" si="26"/>
        <v>7.405743740828306E-3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input_603100!A$2</f>
        <v>603100</v>
      </c>
      <c r="B350" s="100">
        <v>1267</v>
      </c>
      <c r="C350" s="7" t="str">
        <f t="shared" si="37"/>
        <v>Premium5R3less</v>
      </c>
      <c r="D350" s="7" t="str">
        <f t="shared" si="3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IFERROR(VLOOKUP(B350,input_603100!L:R,7,FALSE),VLOOKUP(tables_603100!C350,input_603100!A:H,8,FALSE))</f>
        <v>200250</v>
      </c>
      <c r="P350" s="46">
        <f t="shared" ca="1" si="26"/>
        <v>1.3762886597944767E-3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input_603100!A$2</f>
        <v>603100</v>
      </c>
      <c r="B351" s="100">
        <v>1332</v>
      </c>
      <c r="C351" s="7" t="str">
        <f t="shared" si="37"/>
        <v>PremiumSS5R5only</v>
      </c>
      <c r="D351" s="7" t="str">
        <f t="shared" si="38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IFERROR(VLOOKUP(B351,input_603100!L:R,7,FALSE),VLOOKUP(tables_603100!C351,input_603100!A:H,8,FALSE))</f>
        <v>194000</v>
      </c>
      <c r="P351" s="46">
        <f t="shared" ca="1" si="26"/>
        <v>1.3333333333339749E-3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input_603100!A$2</f>
        <v>603100</v>
      </c>
      <c r="B352" s="100">
        <v>1336</v>
      </c>
      <c r="C352" s="7" t="str">
        <f t="shared" si="37"/>
        <v>PremiumSS5R5only</v>
      </c>
      <c r="D352" s="7" t="str">
        <f t="shared" si="3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IFERROR(VLOOKUP(B352,input_603100!L:R,7,FALSE),VLOOKUP(tables_603100!C352,input_603100!A:H,8,FALSE))</f>
        <v>194000</v>
      </c>
      <c r="P352" s="46">
        <f t="shared" ca="1" si="26"/>
        <v>1.3333333333339749E-3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input_603100!A$2</f>
        <v>603100</v>
      </c>
      <c r="B353" s="100">
        <v>1338</v>
      </c>
      <c r="C353" s="7" t="str">
        <f t="shared" si="37"/>
        <v>PremiumSS5R5only</v>
      </c>
      <c r="D353" s="7" t="str">
        <f t="shared" si="38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IFERROR(VLOOKUP(B353,input_603100!L:R,7,FALSE),VLOOKUP(tables_603100!C353,input_603100!A:H,8,FALSE))</f>
        <v>194000</v>
      </c>
      <c r="P353" s="46">
        <f t="shared" ca="1" si="26"/>
        <v>1.3333333333339749E-3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input_603100!A$2</f>
        <v>603100</v>
      </c>
      <c r="B354" s="100">
        <v>1334</v>
      </c>
      <c r="C354" s="7" t="str">
        <f t="shared" si="37"/>
        <v>Premium4R3less</v>
      </c>
      <c r="D354" s="7" t="str">
        <f t="shared" si="3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IFERROR(VLOOKUP(B354,input_603100!L:R,7,FALSE),VLOOKUP(tables_603100!C354,input_603100!A:H,8,FALSE))</f>
        <v>1077535.71429</v>
      </c>
      <c r="P354" s="46">
        <f t="shared" ca="1" si="26"/>
        <v>7.405743740828306E-3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input_603100!A$2</f>
        <v>603100</v>
      </c>
      <c r="B355" s="100">
        <v>1335</v>
      </c>
      <c r="C355" s="7" t="str">
        <f t="shared" si="37"/>
        <v>Premium5R3less</v>
      </c>
      <c r="D355" s="7" t="str">
        <f t="shared" si="3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IFERROR(VLOOKUP(B355,input_603100!L:R,7,FALSE),VLOOKUP(tables_603100!C355,input_603100!A:H,8,FALSE))</f>
        <v>200250</v>
      </c>
      <c r="P355" s="46">
        <f t="shared" ca="1" si="26"/>
        <v>1.3762886597944767E-3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input_603100!A$2</f>
        <v>603100</v>
      </c>
      <c r="B356" s="101">
        <v>1381</v>
      </c>
      <c r="C356" s="7" t="str">
        <f t="shared" si="37"/>
        <v>Premium4R3less</v>
      </c>
      <c r="D356" s="7" t="str">
        <f t="shared" si="38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IFERROR(VLOOKUP(B356,input_603100!L:R,7,FALSE),VLOOKUP(tables_603100!C356,input_603100!A:H,8,FALSE))</f>
        <v>1077535.71429</v>
      </c>
      <c r="P356" s="46">
        <f t="shared" ca="1" si="26"/>
        <v>7.405743740828306E-3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input_603100!A$2</f>
        <v>603100</v>
      </c>
      <c r="B357" s="101">
        <v>1382</v>
      </c>
      <c r="C357" s="7" t="str">
        <f t="shared" si="37"/>
        <v>Premium5R3less</v>
      </c>
      <c r="D357" s="7" t="str">
        <f t="shared" si="38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IFERROR(VLOOKUP(B357,input_603100!L:R,7,FALSE),VLOOKUP(tables_603100!C357,input_603100!A:H,8,FALSE))</f>
        <v>200250</v>
      </c>
      <c r="P357" s="46">
        <f t="shared" ca="1" si="26"/>
        <v>1.3762886597944767E-3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input_603100!A$2</f>
        <v>603100</v>
      </c>
      <c r="B358" s="101">
        <v>1383</v>
      </c>
      <c r="C358" s="7" t="str">
        <f t="shared" ref="C358" si="39">D358&amp;J358&amp;E358&amp;F358&amp;G358</f>
        <v>PremiumSS5R5only</v>
      </c>
      <c r="D358" s="7" t="str">
        <f t="shared" ref="D358" si="40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IFERROR(VLOOKUP(B358,input_603100!L:R,7,FALSE),VLOOKUP(tables_603100!C358,input_603100!A:H,8,FALSE))</f>
        <v>194000</v>
      </c>
      <c r="P358" s="46">
        <f t="shared" ca="1" si="26"/>
        <v>1.3333333333339749E-3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input_603100!A$2</f>
        <v>603100</v>
      </c>
      <c r="B359" s="101">
        <v>1385</v>
      </c>
      <c r="C359" s="7" t="str">
        <f t="shared" ref="C359:C361" si="41">D359&amp;J359&amp;E359&amp;F359&amp;G359</f>
        <v>PremiumSS5R5only</v>
      </c>
      <c r="D359" s="7" t="str">
        <f t="shared" ref="D359:D361" si="42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IFERROR(VLOOKUP(B359,input_603100!L:R,7,FALSE),VLOOKUP(tables_603100!C359,input_603100!A:H,8,FALSE))</f>
        <v>194000</v>
      </c>
      <c r="P359" s="46">
        <f t="shared" ca="1" si="26"/>
        <v>1.3333333333339749E-3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input_603100!A$2</f>
        <v>603100</v>
      </c>
      <c r="B360" s="101">
        <v>1387</v>
      </c>
      <c r="C360" s="7" t="str">
        <f t="shared" si="41"/>
        <v>PremiumSS5R5only</v>
      </c>
      <c r="D360" s="7" t="str">
        <f t="shared" si="42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IFERROR(VLOOKUP(B360,input_603100!L:R,7,FALSE),VLOOKUP(tables_603100!C360,input_603100!A:H,8,FALSE))</f>
        <v>194000</v>
      </c>
      <c r="P360" s="46">
        <f t="shared" ca="1" si="26"/>
        <v>1.3333333333339749E-3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input_603100!A$2</f>
        <v>603100</v>
      </c>
      <c r="B361" s="5">
        <v>953</v>
      </c>
      <c r="C361" s="7" t="str">
        <f t="shared" si="41"/>
        <v>PremiumSSS5R3less</v>
      </c>
      <c r="D361" s="7" t="str">
        <f t="shared" si="42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ハイゼンベルク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green</v>
      </c>
      <c r="L361" s="7" t="str">
        <f>VLOOKUP(B361,[1]characters!$A:$K,11,FALSE)</f>
        <v>attack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45">
        <f ca="1">IFERROR(VLOOKUP(B361,input_603100!L:R,7,FALSE),VLOOKUP(tables_603100!C361,input_603100!A:H,8,FALSE))</f>
        <v>1455000</v>
      </c>
      <c r="P361" s="46">
        <f t="shared" ca="1" si="26"/>
        <v>1.0000000000004811E-2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0"/>
  <sheetViews>
    <sheetView workbookViewId="0">
      <selection activeCell="F48" sqref="F48:F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1346</v>
      </c>
      <c r="M3" s="37" t="str">
        <f>VLOOKUP(L3,[1]characters!$A:$C,3,FALSE)</f>
        <v>セルシウス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e">
        <f>VLOOKUP(L3,tables_settle_603100!B:C,2,FALSE)</f>
        <v>#N/A</v>
      </c>
      <c r="R3" s="62">
        <f t="shared" ref="R3:R20" si="1">N3*A$36</f>
        <v>1455000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VLOOKUP(L4,tables_settle_603100!B:C,2,FALSE)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1.3333333333333335E-3</v>
      </c>
      <c r="F5">
        <f>(COUNTIF(tables_settle_603100!C:C,input_settle_603100!A28)+COUNTIF(tables_settle_603100!C:C,input_settle_603100!A29))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VLOOKUP(L5,tables_settle_603100!B:C,2,FALSE)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9.1752577319587636E-3</v>
      </c>
      <c r="F6">
        <f>(COUNTIF(tables_settle_603100!C:C,input_settle_603100!A25)+COUNTIF(tables_settle_603100!C:C,input_settle_603100!A18)+COUNTIF(tables_settle_603100!C:C,input_settle_603100!A20)+COUNTIF(tables_settle_603100!C:C,input_settle_603100!A22))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VLOOKUP(L6,tables_settle_603100!B:C,2,FALSE)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VLOOKUP(L7,tables_settle_603100!B:C,2,FALSE)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VLOOKUP(L8,tables_settle_603100!B:C,2,FALSE)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VLOOKUP(L9,tables_settle_603100!B:C,2,FALSE)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VLOOKUP(L10,tables_settle_603100!B:C,2,FALSE)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VLOOKUP(L11,tables_settle_603100!B:C,2,FALSE)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VLOOKUP(L12,tables_settle_603100!B:C,2,FALSE)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VLOOKUP(L13,tables_settle_603100!B:C,2,FALSE)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VLOOKUP(L14,tables_settle_603100!B:C,2,FALSE)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VLOOKUP(L15,tables_settle_603100!B:C,2,FALSE)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VLOOKUP(L16,tables_settle_603100!B:C,2,FALSE)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COUNTIF(tables_settle_603100!C:C,input_settle_603100!A17)-COUNTIF(Q:Q,A17)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VLOOKUP(L17,tables_settle_603100!B:C,2,FALSE)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4">
        <f t="shared" si="2"/>
        <v>0</v>
      </c>
      <c r="D18" s="74">
        <f t="shared" si="3"/>
        <v>0</v>
      </c>
      <c r="E18">
        <f>COUNTIF(tables_settle_603100!C:C,input_settle_603100!A18)-COUNTIF(Q:Q,A18)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VLOOKUP(L18,tables_settle_603100!B:C,2,FALSE)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COUNTIF(tables_settle_603100!C:C,input_settle_603100!A19)-COUNTIF(Q:Q,A19)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VLOOKUP(L19,tables_settle_603100!B:C,2,FALSE)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</v>
      </c>
      <c r="C20" s="84">
        <f t="shared" si="2"/>
        <v>0</v>
      </c>
      <c r="D20" s="74">
        <f t="shared" si="3"/>
        <v>0</v>
      </c>
      <c r="E20">
        <f>COUNTIF(tables_settle_603100!C:C,input_settle_603100!A20)-COUNTIF(Q:Q,A20)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VLOOKUP(L20,tables_settle_603100!B:C,2,FALSE)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0.6055670103092784</v>
      </c>
      <c r="C21" s="84">
        <f t="shared" si="2"/>
        <v>0</v>
      </c>
      <c r="D21" s="74">
        <f t="shared" si="3"/>
        <v>0.6055670103092784</v>
      </c>
      <c r="E21">
        <f>COUNTIF(tables_settle_603100!C:C,input_settle_603100!A21)-COUNTIF(Q:Q,A21)</f>
        <v>52</v>
      </c>
      <c r="F21" s="43">
        <f t="shared" si="8"/>
        <v>1.1645519429024585E-2</v>
      </c>
      <c r="G21">
        <f t="shared" si="4"/>
        <v>88110000</v>
      </c>
      <c r="H21">
        <f t="shared" si="5"/>
        <v>1694423.0769199999</v>
      </c>
      <c r="I21">
        <f t="shared" si="6"/>
        <v>7.6919999904930592E-2</v>
      </c>
      <c r="J21">
        <f t="shared" si="7"/>
        <v>13.000520036868847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4">
        <f t="shared" si="2"/>
        <v>0</v>
      </c>
      <c r="D22" s="74">
        <f t="shared" si="3"/>
        <v>0</v>
      </c>
      <c r="E22">
        <f>COUNTIF(tables_settle_603100!C:C,input_settle_603100!A22)-COUNTIF(Q:Q,A22)</f>
        <v>21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0.24773195876288662</v>
      </c>
      <c r="C23" s="84">
        <f t="shared" si="2"/>
        <v>0</v>
      </c>
      <c r="D23" s="74">
        <f t="shared" si="3"/>
        <v>0.24773195876288662</v>
      </c>
      <c r="E23">
        <f>COUNTIF(tables_settle_603100!C:C,input_settle_603100!A23)-COUNTIF(Q:Q,A23)</f>
        <v>27</v>
      </c>
      <c r="F23" s="43">
        <f t="shared" si="8"/>
        <v>9.1752577319587636E-3</v>
      </c>
      <c r="G23">
        <f t="shared" si="4"/>
        <v>36045000</v>
      </c>
      <c r="H23">
        <f t="shared" si="5"/>
        <v>1335000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COUNTIF(tables_settle_603100!C:C,input_settle_603100!A24)-COUNTIF(Q:Q,A24)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4">
        <f t="shared" si="2"/>
        <v>0</v>
      </c>
      <c r="D25" s="74">
        <f t="shared" si="3"/>
        <v>0</v>
      </c>
      <c r="E25">
        <f>COUNTIF(tables_settle_603100!C:C,input_settle_603100!A25)-COUNTIF(Q:Q,A25)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3.6701030927835054E-2</v>
      </c>
      <c r="C26" s="84">
        <f t="shared" si="2"/>
        <v>0</v>
      </c>
      <c r="D26" s="74">
        <f t="shared" si="3"/>
        <v>3.6701030927835054E-2</v>
      </c>
      <c r="E26">
        <f>COUNTIF(tables_settle_603100!C:C,input_settle_603100!A26)-COUNTIF(Q:Q,A26)</f>
        <v>4</v>
      </c>
      <c r="F26" s="43">
        <f t="shared" si="8"/>
        <v>9.1752577319587636E-3</v>
      </c>
      <c r="G26">
        <f t="shared" si="4"/>
        <v>5340000</v>
      </c>
      <c r="H26">
        <f t="shared" si="5"/>
        <v>1335000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4">
        <f t="shared" si="2"/>
        <v>0</v>
      </c>
      <c r="D27" s="74">
        <f t="shared" si="3"/>
        <v>0</v>
      </c>
      <c r="E27">
        <f>COUNTIF(tables_settle_603100!C:C,input_settle_603100!A27)-COUNTIF(Q:Q,A27)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3.7333333333333336E-2</v>
      </c>
      <c r="C28" s="84">
        <f t="shared" si="2"/>
        <v>0</v>
      </c>
      <c r="D28" s="74">
        <f t="shared" si="3"/>
        <v>3.7333333333333336E-2</v>
      </c>
      <c r="E28">
        <f>COUNTIF(tables_settle_603100!C:C,input_settle_603100!A28)-COUNTIF(Q:Q,A28)</f>
        <v>28</v>
      </c>
      <c r="F28" s="43">
        <f t="shared" si="8"/>
        <v>1.3333333333333335E-3</v>
      </c>
      <c r="G28">
        <f t="shared" si="4"/>
        <v>5432000</v>
      </c>
      <c r="H28">
        <f t="shared" si="5"/>
        <v>194000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6.2666666666666676E-2</v>
      </c>
      <c r="C29" s="84">
        <f t="shared" si="2"/>
        <v>0</v>
      </c>
      <c r="D29" s="74">
        <f t="shared" si="3"/>
        <v>6.2666666666666676E-2</v>
      </c>
      <c r="E29">
        <f>COUNTIF(tables_settle_603100!C:C,input_settle_603100!A29)-COUNTIF(Q:Q,A29)</f>
        <v>47</v>
      </c>
      <c r="F29" s="43">
        <f t="shared" si="8"/>
        <v>1.3333333333333335E-3</v>
      </c>
      <c r="G29">
        <f t="shared" si="4"/>
        <v>9118000.0000000019</v>
      </c>
      <c r="H29">
        <f t="shared" si="5"/>
        <v>194000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COUNTIF(tables_settle_603100!C:C,input_settle_603100!A30)-COUNTIF(Q:Q,A30)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</v>
      </c>
      <c r="D31" s="74">
        <f t="shared" si="3"/>
        <v>0.01</v>
      </c>
      <c r="E31">
        <f>COUNTIF(tables_settle_603100!C:C,input_settle_603100!A31)-COUNTIF(Q:Q,A31)</f>
        <v>1</v>
      </c>
      <c r="F31" s="43">
        <f t="shared" si="8"/>
        <v>0.01</v>
      </c>
      <c r="G31">
        <f t="shared" si="4"/>
        <v>1455000</v>
      </c>
      <c r="H31">
        <f t="shared" si="5"/>
        <v>1455000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SUMIF(tables_settle_603100!C:C,input_settle_603100!A40,tables_settle_603100!O:O)</f>
        <v>0</v>
      </c>
      <c r="C40" s="54">
        <f t="shared" ref="C40:C46" ca="1" si="9">B40/B$47</f>
        <v>0</v>
      </c>
      <c r="E40">
        <v>3</v>
      </c>
      <c r="F40">
        <f ca="1">SUMIF(tables_settle_603100!J:J,input_settle_603100!E40,tables_settle_603100!O:O)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SUMIF(tables_settle_603100!C:C,input_settle_603100!A41,tables_settle_603100!O:O)</f>
        <v>0</v>
      </c>
      <c r="C41" s="54">
        <f t="shared" ca="1" si="9"/>
        <v>0</v>
      </c>
      <c r="E41">
        <v>4</v>
      </c>
      <c r="F41">
        <f ca="1">SUMIF(tables_settle_603100!J:J,input_settle_603100!E41,tables_settle_603100!O:O)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SUMIF(tables_settle_603100!C:C,input_settle_603100!A42,tables_settle_603100!O:O)</f>
        <v>0</v>
      </c>
      <c r="C42" s="54">
        <f t="shared" ca="1" si="9"/>
        <v>0</v>
      </c>
      <c r="E42">
        <v>5</v>
      </c>
      <c r="F42">
        <f ca="1">SUMIF(tables_settle_603100!J:J,input_settle_603100!E42,tables_settle_603100!O:O)</f>
        <v>145499999.99984008</v>
      </c>
      <c r="G42">
        <f ca="1">F42/A36</f>
        <v>0.99999999999890088</v>
      </c>
    </row>
    <row r="43" spans="1:7" x14ac:dyDescent="0.15">
      <c r="A43" s="33" t="s">
        <v>109</v>
      </c>
      <c r="B43">
        <f>SUMIF(tables_settle_603100!C:C,input_settle_603100!A43,tables_settle_603100!O:O)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SUMIF(tables_settle_603100!C:C,input_settle_603100!A44,tables_settle_603100!O:O)</f>
        <v>88109999.999840066</v>
      </c>
      <c r="C44" s="54">
        <f t="shared" ca="1" si="9"/>
        <v>0.94192982831231653</v>
      </c>
      <c r="E44" t="s">
        <v>54</v>
      </c>
      <c r="F44" s="55"/>
    </row>
    <row r="45" spans="1:7" x14ac:dyDescent="0.15">
      <c r="A45" s="33" t="s">
        <v>107</v>
      </c>
      <c r="B45">
        <f ca="1">SUMIF(tables_settle_603100!C:C,input_settle_603100!A45,tables_settle_603100!O:O)</f>
        <v>5432000</v>
      </c>
      <c r="C45" s="54">
        <f t="shared" ca="1" si="9"/>
        <v>5.8070171687683469E-2</v>
      </c>
      <c r="E45" t="s">
        <v>204</v>
      </c>
      <c r="F45" s="55">
        <f ca="1">SUMIF(tables_settle_603100!I:I,input_settle_603100!E45,tables_settle_603100!P:P)</f>
        <v>5.5051546391813082E-2</v>
      </c>
    </row>
    <row r="46" spans="1:7" x14ac:dyDescent="0.15">
      <c r="A46" s="33" t="s">
        <v>108</v>
      </c>
      <c r="B46">
        <f>SUMIF(tables_settle_603100!C:C,input_settle_603100!A46,tables_settle_603100!O:O)</f>
        <v>0</v>
      </c>
      <c r="C46" s="54">
        <f t="shared" ca="1" si="9"/>
        <v>0</v>
      </c>
      <c r="E46" t="s">
        <v>205</v>
      </c>
      <c r="F46" s="55">
        <f ca="1">SUMIF(tables_settle_603100!I:I,input_settle_603100!E46,tables_settle_603100!P:P)</f>
        <v>0.22549960348918249</v>
      </c>
    </row>
    <row r="47" spans="1:7" x14ac:dyDescent="0.15">
      <c r="A47" s="39" t="s">
        <v>59</v>
      </c>
      <c r="B47">
        <f ca="1">SUM(B40:B46)</f>
        <v>93541999.999840066</v>
      </c>
      <c r="C47" s="55">
        <f ca="1">SUM(C40:C46)</f>
        <v>1</v>
      </c>
      <c r="E47" t="s">
        <v>206</v>
      </c>
      <c r="F47" s="55">
        <f ca="1">SUMIF(tables_settle_603100!I:I,input_settle_603100!E47,tables_settle_603100!P:P)</f>
        <v>0.60944885011888295</v>
      </c>
    </row>
    <row r="48" spans="1:7" x14ac:dyDescent="0.15">
      <c r="E48" t="s">
        <v>207</v>
      </c>
      <c r="F48" s="55">
        <f ca="1">SUMIF(tables_settle_603100!I:I,input_settle_603100!E48,tables_settle_603100!P:P)</f>
        <v>8.666666666676183E-2</v>
      </c>
      <c r="G48" s="55"/>
    </row>
    <row r="49" spans="5:6" x14ac:dyDescent="0.15">
      <c r="E49" t="s">
        <v>249</v>
      </c>
      <c r="F49" s="55">
        <f ca="1">SUMIF(tables_settle_603100!I:I,input_settle_603100!E49,tables_settle_603100!P:P)</f>
        <v>1.3333333333347984E-2</v>
      </c>
    </row>
    <row r="50" spans="5:6" x14ac:dyDescent="0.15">
      <c r="E50" t="s">
        <v>253</v>
      </c>
      <c r="F50" s="55">
        <f ca="1">SUMIF(tables_settle_603100!I:I,input_settle_603100!E50,tables_settle_603100!P:P)</f>
        <v>1.0000000000010991E-2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61"/>
  <sheetViews>
    <sheetView showGridLines="0" zoomScale="75" zoomScaleNormal="75" zoomScalePageLayoutView="75" workbookViewId="0">
      <pane ySplit="1" topLeftCell="A313" activePane="bottomLeft" state="frozen"/>
      <selection activeCell="P347" sqref="P347"/>
      <selection pane="bottomLeft" activeCell="P2" sqref="P2:P36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input_settle_603100!A$2</f>
        <v>603100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IFERROR(VLOOKUP(B2,input_settle_603100!L:R,7,FALSE),VLOOKUP(tables_settle_603100!C2,input_settle_603100!A:H,8,FALSE))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input_settle_603100!A$2</f>
        <v>603100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IFERROR(VLOOKUP(B3,input_settle_603100!L:R,7,FALSE),VLOOKUP(tables_settle_603100!C3,input_settle_603100!A:H,8,FALSE))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input_settle_603100!A$2</f>
        <v>603100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IFERROR(VLOOKUP(B4,input_settle_603100!L:R,7,FALSE),VLOOKUP(tables_settle_603100!C4,input_settle_603100!A:H,8,FALSE))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input_settle_603100!A$2</f>
        <v>603100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IFERROR(VLOOKUP(B5,input_settle_603100!L:R,7,FALSE),VLOOKUP(tables_settle_603100!C5,input_settle_603100!A:H,8,FALSE))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input_settle_603100!A$2</f>
        <v>603100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IFERROR(VLOOKUP(B6,input_settle_603100!L:R,7,FALSE),VLOOKUP(tables_settle_603100!C6,input_settle_603100!A:H,8,FALSE))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input_settle_603100!A$2</f>
        <v>603100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IFERROR(VLOOKUP(B7,input_settle_603100!L:R,7,FALSE),VLOOKUP(tables_settle_603100!C7,input_settle_603100!A:H,8,FALSE))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input_settle_603100!A$2</f>
        <v>603100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IFERROR(VLOOKUP(B8,input_settle_603100!L:R,7,FALSE),VLOOKUP(tables_settle_603100!C8,input_settle_603100!A:H,8,FALSE))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input_settle_603100!A$2</f>
        <v>603100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IFERROR(VLOOKUP(B9,input_settle_603100!L:R,7,FALSE),VLOOKUP(tables_settle_603100!C9,input_settle_603100!A:H,8,FALSE))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input_settle_603100!A$2</f>
        <v>603100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IFERROR(VLOOKUP(B10,input_settle_603100!L:R,7,FALSE),VLOOKUP(tables_settle_603100!C10,input_settle_603100!A:H,8,FALSE))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input_settle_603100!A$2</f>
        <v>603100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IFERROR(VLOOKUP(B11,input_settle_603100!L:R,7,FALSE),VLOOKUP(tables_settle_603100!C11,input_settle_603100!A:H,8,FALSE))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input_settle_603100!A$2</f>
        <v>603100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IFERROR(VLOOKUP(B12,input_settle_603100!L:R,7,FALSE),VLOOKUP(tables_settle_603100!C12,input_settle_603100!A:H,8,FALSE))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input_settle_603100!A$2</f>
        <v>603100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IFERROR(VLOOKUP(B13,input_settle_603100!L:R,7,FALSE),VLOOKUP(tables_settle_603100!C13,input_settle_603100!A:H,8,FALSE))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input_settle_603100!A$2</f>
        <v>603100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IFERROR(VLOOKUP(B14,input_settle_603100!L:R,7,FALSE),VLOOKUP(tables_settle_603100!C14,input_settle_603100!A:H,8,FALSE))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input_settle_603100!A$2</f>
        <v>603100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IFERROR(VLOOKUP(B15,input_settle_603100!L:R,7,FALSE),VLOOKUP(tables_settle_603100!C15,input_settle_603100!A:H,8,FALSE))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input_settle_603100!A$2</f>
        <v>603100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IFERROR(VLOOKUP(B16,input_settle_603100!L:R,7,FALSE),VLOOKUP(tables_settle_603100!C16,input_settle_603100!A:H,8,FALSE))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input_settle_603100!A$2</f>
        <v>603100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IFERROR(VLOOKUP(B17,input_settle_603100!L:R,7,FALSE),VLOOKUP(tables_settle_603100!C17,input_settle_603100!A:H,8,FALSE))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input_settle_603100!A$2</f>
        <v>603100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IFERROR(VLOOKUP(B18,input_settle_603100!L:R,7,FALSE),VLOOKUP(tables_settle_603100!C18,input_settle_603100!A:H,8,FALSE))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input_settle_603100!A$2</f>
        <v>603100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IFERROR(VLOOKUP(B19,input_settle_603100!L:R,7,FALSE),VLOOKUP(tables_settle_603100!C19,input_settle_603100!A:H,8,FALSE))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input_settle_603100!A$2</f>
        <v>603100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IFERROR(VLOOKUP(B20,input_settle_603100!L:R,7,FALSE),VLOOKUP(tables_settle_603100!C20,input_settle_603100!A:H,8,FALSE))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input_settle_603100!A$2</f>
        <v>603100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IFERROR(VLOOKUP(B21,input_settle_603100!L:R,7,FALSE),VLOOKUP(tables_settle_603100!C21,input_settle_603100!A:H,8,FALSE))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input_settle_603100!A$2</f>
        <v>603100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IFERROR(VLOOKUP(B22,input_settle_603100!L:R,7,FALSE),VLOOKUP(tables_settle_603100!C22,input_settle_603100!A:H,8,FALSE))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input_settle_603100!A$2</f>
        <v>603100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IFERROR(VLOOKUP(B23,input_settle_603100!L:R,7,FALSE),VLOOKUP(tables_settle_603100!C23,input_settle_603100!A:H,8,FALSE))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input_settle_603100!A$2</f>
        <v>603100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IFERROR(VLOOKUP(B24,input_settle_603100!L:R,7,FALSE),VLOOKUP(tables_settle_603100!C24,input_settle_603100!A:H,8,FALSE))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input_settle_603100!A$2</f>
        <v>603100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IFERROR(VLOOKUP(B25,input_settle_603100!L:R,7,FALSE),VLOOKUP(tables_settle_603100!C25,input_settle_603100!A:H,8,FALSE))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input_settle_603100!A$2</f>
        <v>603100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IFERROR(VLOOKUP(B26,input_settle_603100!L:R,7,FALSE),VLOOKUP(tables_settle_603100!C26,input_settle_603100!A:H,8,FALSE))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input_settle_603100!A$2</f>
        <v>603100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IFERROR(VLOOKUP(B27,input_settle_603100!L:R,7,FALSE),VLOOKUP(tables_settle_603100!C27,input_settle_603100!A:H,8,FALSE))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input_settle_603100!A$2</f>
        <v>603100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IFERROR(VLOOKUP(B28,input_settle_603100!L:R,7,FALSE),VLOOKUP(tables_settle_603100!C28,input_settle_603100!A:H,8,FALSE))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input_settle_603100!A$2</f>
        <v>603100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IFERROR(VLOOKUP(B29,input_settle_603100!L:R,7,FALSE),VLOOKUP(tables_settle_603100!C29,input_settle_603100!A:H,8,FALSE))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input_settle_603100!A$2</f>
        <v>603100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IFERROR(VLOOKUP(B30,input_settle_603100!L:R,7,FALSE),VLOOKUP(tables_settle_603100!C30,input_settle_603100!A:H,8,FALSE))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input_settle_603100!A$2</f>
        <v>603100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IFERROR(VLOOKUP(B31,input_settle_603100!L:R,7,FALSE),VLOOKUP(tables_settle_603100!C31,input_settle_603100!A:H,8,FALSE))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input_settle_603100!A$2</f>
        <v>603100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IFERROR(VLOOKUP(B32,input_settle_603100!L:R,7,FALSE),VLOOKUP(tables_settle_603100!C32,input_settle_603100!A:H,8,FALSE))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input_settle_603100!A$2</f>
        <v>603100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IFERROR(VLOOKUP(B33,input_settle_603100!L:R,7,FALSE),VLOOKUP(tables_settle_603100!C33,input_settle_603100!A:H,8,FALSE))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input_settle_603100!A$2</f>
        <v>603100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IFERROR(VLOOKUP(B34,input_settle_603100!L:R,7,FALSE),VLOOKUP(tables_settle_603100!C34,input_settle_603100!A:H,8,FALSE))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input_settle_603100!A$2</f>
        <v>603100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IFERROR(VLOOKUP(B35,input_settle_603100!L:R,7,FALSE),VLOOKUP(tables_settle_603100!C35,input_settle_603100!A:H,8,FALSE))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input_settle_603100!A$2</f>
        <v>603100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IFERROR(VLOOKUP(B36,input_settle_603100!L:R,7,FALSE),VLOOKUP(tables_settle_603100!C36,input_settle_603100!A:H,8,FALSE))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input_settle_603100!A$2</f>
        <v>603100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IFERROR(VLOOKUP(B37,input_settle_603100!L:R,7,FALSE),VLOOKUP(tables_settle_603100!C37,input_settle_603100!A:H,8,FALSE))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input_settle_603100!A$2</f>
        <v>603100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IFERROR(VLOOKUP(B38,input_settle_603100!L:R,7,FALSE),VLOOKUP(tables_settle_603100!C38,input_settle_603100!A:H,8,FALSE))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input_settle_603100!A$2</f>
        <v>603100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IFERROR(VLOOKUP(B39,input_settle_603100!L:R,7,FALSE),VLOOKUP(tables_settle_603100!C39,input_settle_603100!A:H,8,FALSE))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input_settle_603100!A$2</f>
        <v>603100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IFERROR(VLOOKUP(B40,input_settle_603100!L:R,7,FALSE),VLOOKUP(tables_settle_603100!C40,input_settle_603100!A:H,8,FALSE))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input_settle_603100!A$2</f>
        <v>603100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IFERROR(VLOOKUP(B41,input_settle_603100!L:R,7,FALSE),VLOOKUP(tables_settle_603100!C41,input_settle_603100!A:H,8,FALSE))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input_settle_603100!A$2</f>
        <v>603100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IFERROR(VLOOKUP(B42,input_settle_603100!L:R,7,FALSE),VLOOKUP(tables_settle_603100!C42,input_settle_603100!A:H,8,FALSE))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input_settle_603100!A$2</f>
        <v>603100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IFERROR(VLOOKUP(B43,input_settle_603100!L:R,7,FALSE),VLOOKUP(tables_settle_603100!C43,input_settle_603100!A:H,8,FALSE))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input_settle_603100!A$2</f>
        <v>603100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IFERROR(VLOOKUP(B44,input_settle_603100!L:R,7,FALSE),VLOOKUP(tables_settle_603100!C44,input_settle_603100!A:H,8,FALSE))</f>
        <v>1335000</v>
      </c>
      <c r="P44" s="46">
        <f t="shared" ca="1" si="1"/>
        <v>9.1752577319688475E-3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input_settle_603100!A$2</f>
        <v>603100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IFERROR(VLOOKUP(B45,input_settle_603100!L:R,7,FALSE),VLOOKUP(tables_settle_603100!C45,input_settle_603100!A:H,8,FALSE))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input_settle_603100!A$2</f>
        <v>603100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IFERROR(VLOOKUP(B46,input_settle_603100!L:R,7,FALSE),VLOOKUP(tables_settle_603100!C46,input_settle_603100!A:H,8,FALSE))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input_settle_603100!A$2</f>
        <v>603100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IFERROR(VLOOKUP(B47,input_settle_603100!L:R,7,FALSE),VLOOKUP(tables_settle_603100!C47,input_settle_603100!A:H,8,FALSE))</f>
        <v>1335000</v>
      </c>
      <c r="P47" s="46">
        <f t="shared" ca="1" si="1"/>
        <v>9.1752577319688475E-3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input_settle_603100!A$2</f>
        <v>603100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IFERROR(VLOOKUP(B48,input_settle_603100!L:R,7,FALSE),VLOOKUP(tables_settle_603100!C48,input_settle_603100!A:H,8,FALSE))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input_settle_603100!A$2</f>
        <v>603100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IFERROR(VLOOKUP(B49,input_settle_603100!L:R,7,FALSE),VLOOKUP(tables_settle_603100!C49,input_settle_603100!A:H,8,FALSE))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input_settle_603100!A$2</f>
        <v>603100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IFERROR(VLOOKUP(B50,input_settle_603100!L:R,7,FALSE),VLOOKUP(tables_settle_603100!C50,input_settle_603100!A:H,8,FALSE))</f>
        <v>1335000</v>
      </c>
      <c r="P50" s="46">
        <f t="shared" ca="1" si="1"/>
        <v>9.1752577319688475E-3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input_settle_603100!A$2</f>
        <v>603100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IFERROR(VLOOKUP(B51,input_settle_603100!L:R,7,FALSE),VLOOKUP(tables_settle_603100!C51,input_settle_603100!A:H,8,FALSE))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input_settle_603100!A$2</f>
        <v>603100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IFERROR(VLOOKUP(B52,input_settle_603100!L:R,7,FALSE),VLOOKUP(tables_settle_603100!C52,input_settle_603100!A:H,8,FALSE))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input_settle_603100!A$2</f>
        <v>603100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IFERROR(VLOOKUP(B53,input_settle_603100!L:R,7,FALSE),VLOOKUP(tables_settle_603100!C53,input_settle_603100!A:H,8,FALSE))</f>
        <v>1694423.0769199999</v>
      </c>
      <c r="P53" s="46">
        <f t="shared" ca="1" si="1"/>
        <v>1.1645519429016236E-2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input_settle_603100!A$2</f>
        <v>603100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IFERROR(VLOOKUP(B54,input_settle_603100!L:R,7,FALSE),VLOOKUP(tables_settle_603100!C54,input_settle_603100!A:H,8,FALSE))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input_settle_603100!A$2</f>
        <v>603100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IFERROR(VLOOKUP(B55,input_settle_603100!L:R,7,FALSE),VLOOKUP(tables_settle_603100!C55,input_settle_603100!A:H,8,FALSE))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input_settle_603100!A$2</f>
        <v>603100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IFERROR(VLOOKUP(B56,input_settle_603100!L:R,7,FALSE),VLOOKUP(tables_settle_603100!C56,input_settle_603100!A:H,8,FALSE))</f>
        <v>1694423.0769199999</v>
      </c>
      <c r="P56" s="46">
        <f t="shared" ca="1" si="1"/>
        <v>1.1645519429016236E-2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input_settle_603100!A$2</f>
        <v>603100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IFERROR(VLOOKUP(B57,input_settle_603100!L:R,7,FALSE),VLOOKUP(tables_settle_603100!C57,input_settle_603100!A:H,8,FALSE))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input_settle_603100!A$2</f>
        <v>603100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IFERROR(VLOOKUP(B58,input_settle_603100!L:R,7,FALSE),VLOOKUP(tables_settle_603100!C58,input_settle_603100!A:H,8,FALSE))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input_settle_603100!A$2</f>
        <v>603100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IFERROR(VLOOKUP(B59,input_settle_603100!L:R,7,FALSE),VLOOKUP(tables_settle_603100!C59,input_settle_603100!A:H,8,FALSE))</f>
        <v>1694423.0769199999</v>
      </c>
      <c r="P59" s="46">
        <f t="shared" ca="1" si="1"/>
        <v>1.1645519429016236E-2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input_settle_603100!A$2</f>
        <v>603100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IFERROR(VLOOKUP(B60,input_settle_603100!L:R,7,FALSE),VLOOKUP(tables_settle_603100!C60,input_settle_603100!A:H,8,FALSE))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input_settle_603100!A$2</f>
        <v>603100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IFERROR(VLOOKUP(B61,input_settle_603100!L:R,7,FALSE),VLOOKUP(tables_settle_603100!C61,input_settle_603100!A:H,8,FALSE))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input_settle_603100!A$2</f>
        <v>603100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IFERROR(VLOOKUP(B62,input_settle_603100!L:R,7,FALSE),VLOOKUP(tables_settle_603100!C62,input_settle_603100!A:H,8,FALSE))</f>
        <v>1694423.0769199999</v>
      </c>
      <c r="P62" s="46">
        <f t="shared" ca="1" si="1"/>
        <v>1.1645519429016236E-2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input_settle_603100!A$2</f>
        <v>603100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IFERROR(VLOOKUP(B63,input_settle_603100!L:R,7,FALSE),VLOOKUP(tables_settle_603100!C63,input_settle_603100!A:H,8,FALSE))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input_settle_603100!A$2</f>
        <v>603100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IFERROR(VLOOKUP(B64,input_settle_603100!L:R,7,FALSE),VLOOKUP(tables_settle_603100!C64,input_settle_603100!A:H,8,FALSE))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input_settle_603100!A$2</f>
        <v>603100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IFERROR(VLOOKUP(B65,input_settle_603100!L:R,7,FALSE),VLOOKUP(tables_settle_603100!C65,input_settle_603100!A:H,8,FALSE))</f>
        <v>1694423.0769199999</v>
      </c>
      <c r="P65" s="46">
        <f t="shared" ca="1" si="1"/>
        <v>1.1645519429016236E-2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input_settle_603100!A$2</f>
        <v>603100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IFERROR(VLOOKUP(B66,input_settle_603100!L:R,7,FALSE),VLOOKUP(tables_settle_603100!C66,input_settle_603100!A:H,8,FALSE))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input_settle_603100!A$2</f>
        <v>603100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IFERROR(VLOOKUP(B67,input_settle_603100!L:R,7,FALSE),VLOOKUP(tables_settle_603100!C67,input_settle_603100!A:H,8,FALSE))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input_settle_603100!A$2</f>
        <v>603100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IFERROR(VLOOKUP(B68,input_settle_603100!L:R,7,FALSE),VLOOKUP(tables_settle_603100!C68,input_settle_603100!A:H,8,FALSE))</f>
        <v>1694423.0769199999</v>
      </c>
      <c r="P68" s="46">
        <f t="shared" ca="1" si="4"/>
        <v>1.1645519429016236E-2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input_settle_603100!A$2</f>
        <v>603100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IFERROR(VLOOKUP(B69,input_settle_603100!L:R,7,FALSE),VLOOKUP(tables_settle_603100!C69,input_settle_603100!A:H,8,FALSE))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input_settle_603100!A$2</f>
        <v>603100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IFERROR(VLOOKUP(B70,input_settle_603100!L:R,7,FALSE),VLOOKUP(tables_settle_603100!C70,input_settle_603100!A:H,8,FALSE))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input_settle_603100!A$2</f>
        <v>603100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IFERROR(VLOOKUP(B71,input_settle_603100!L:R,7,FALSE),VLOOKUP(tables_settle_603100!C71,input_settle_603100!A:H,8,FALSE))</f>
        <v>1694423.0769199999</v>
      </c>
      <c r="P71" s="46">
        <f t="shared" ca="1" si="4"/>
        <v>1.1645519429016236E-2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input_settle_603100!A$2</f>
        <v>603100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IFERROR(VLOOKUP(B72,input_settle_603100!L:R,7,FALSE),VLOOKUP(tables_settle_603100!C72,input_settle_603100!A:H,8,FALSE))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input_settle_603100!A$2</f>
        <v>603100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IFERROR(VLOOKUP(B73,input_settle_603100!L:R,7,FALSE),VLOOKUP(tables_settle_603100!C73,input_settle_603100!A:H,8,FALSE))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input_settle_603100!A$2</f>
        <v>603100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IFERROR(VLOOKUP(B74,input_settle_603100!L:R,7,FALSE),VLOOKUP(tables_settle_603100!C74,input_settle_603100!A:H,8,FALSE))</f>
        <v>1694423.0769199999</v>
      </c>
      <c r="P74" s="46">
        <f t="shared" ca="1" si="4"/>
        <v>1.1645519429016236E-2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input_settle_603100!A$2</f>
        <v>603100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IFERROR(VLOOKUP(B75,input_settle_603100!L:R,7,FALSE),VLOOKUP(tables_settle_603100!C75,input_settle_603100!A:H,8,FALSE))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input_settle_603100!A$2</f>
        <v>603100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IFERROR(VLOOKUP(B76,input_settle_603100!L:R,7,FALSE),VLOOKUP(tables_settle_603100!C76,input_settle_603100!A:H,8,FALSE))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input_settle_603100!A$2</f>
        <v>603100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IFERROR(VLOOKUP(B77,input_settle_603100!L:R,7,FALSE),VLOOKUP(tables_settle_603100!C77,input_settle_603100!A:H,8,FALSE))</f>
        <v>1694423.0769199999</v>
      </c>
      <c r="P77" s="46">
        <f t="shared" ca="1" si="4"/>
        <v>1.1645519429016236E-2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input_settle_603100!A$2</f>
        <v>603100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IFERROR(VLOOKUP(B78,input_settle_603100!L:R,7,FALSE),VLOOKUP(tables_settle_603100!C78,input_settle_603100!A:H,8,FALSE))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input_settle_603100!A$2</f>
        <v>603100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IFERROR(VLOOKUP(B79,input_settle_603100!L:R,7,FALSE),VLOOKUP(tables_settle_603100!C79,input_settle_603100!A:H,8,FALSE))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input_settle_603100!A$2</f>
        <v>603100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IFERROR(VLOOKUP(B80,input_settle_603100!L:R,7,FALSE),VLOOKUP(tables_settle_603100!C80,input_settle_603100!A:H,8,FALSE))</f>
        <v>1694423.0769199999</v>
      </c>
      <c r="P80" s="46">
        <f t="shared" ca="1" si="4"/>
        <v>1.1645519429016236E-2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input_settle_603100!A$2</f>
        <v>603100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IFERROR(VLOOKUP(B81,input_settle_603100!L:R,7,FALSE),VLOOKUP(tables_settle_603100!C81,input_settle_603100!A:H,8,FALSE))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input_settle_603100!A$2</f>
        <v>603100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IFERROR(VLOOKUP(B82,input_settle_603100!L:R,7,FALSE),VLOOKUP(tables_settle_603100!C82,input_settle_603100!A:H,8,FALSE))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input_settle_603100!A$2</f>
        <v>603100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IFERROR(VLOOKUP(B83,input_settle_603100!L:R,7,FALSE),VLOOKUP(tables_settle_603100!C83,input_settle_603100!A:H,8,FALSE))</f>
        <v>1694423.0769199999</v>
      </c>
      <c r="P83" s="46">
        <f t="shared" ca="1" si="4"/>
        <v>1.1645519429016236E-2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input_settle_603100!A$2</f>
        <v>603100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IFERROR(VLOOKUP(B84,input_settle_603100!L:R,7,FALSE),VLOOKUP(tables_settle_603100!C84,input_settle_603100!A:H,8,FALSE))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input_settle_603100!A$2</f>
        <v>603100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IFERROR(VLOOKUP(B85,input_settle_603100!L:R,7,FALSE),VLOOKUP(tables_settle_603100!C85,input_settle_603100!A:H,8,FALSE))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input_settle_603100!A$2</f>
        <v>603100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IFERROR(VLOOKUP(B86,input_settle_603100!L:R,7,FALSE),VLOOKUP(tables_settle_603100!C86,input_settle_603100!A:H,8,FALSE))</f>
        <v>1694423.0769199999</v>
      </c>
      <c r="P86" s="46">
        <f t="shared" ca="1" si="4"/>
        <v>1.1645519429016236E-2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input_settle_603100!A$2</f>
        <v>603100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IFERROR(VLOOKUP(B87,input_settle_603100!L:R,7,FALSE),VLOOKUP(tables_settle_603100!C87,input_settle_603100!A:H,8,FALSE))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input_settle_603100!A$2</f>
        <v>603100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IFERROR(VLOOKUP(B88,input_settle_603100!L:R,7,FALSE),VLOOKUP(tables_settle_603100!C88,input_settle_603100!A:H,8,FALSE))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input_settle_603100!A$2</f>
        <v>603100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IFERROR(VLOOKUP(B89,input_settle_603100!L:R,7,FALSE),VLOOKUP(tables_settle_603100!C89,input_settle_603100!A:H,8,FALSE))</f>
        <v>1694423.0769199999</v>
      </c>
      <c r="P89" s="46">
        <f t="shared" ca="1" si="4"/>
        <v>1.1645519429016236E-2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input_settle_603100!A$2</f>
        <v>603100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IFERROR(VLOOKUP(B90,input_settle_603100!L:R,7,FALSE),VLOOKUP(tables_settle_603100!C90,input_settle_603100!A:H,8,FALSE))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input_settle_603100!A$2</f>
        <v>603100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IFERROR(VLOOKUP(B91,input_settle_603100!L:R,7,FALSE),VLOOKUP(tables_settle_603100!C91,input_settle_603100!A:H,8,FALSE))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input_settle_603100!A$2</f>
        <v>603100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IFERROR(VLOOKUP(B92,input_settle_603100!L:R,7,FALSE),VLOOKUP(tables_settle_603100!C92,input_settle_603100!A:H,8,FALSE))</f>
        <v>1694423.0769199999</v>
      </c>
      <c r="P92" s="46">
        <f t="shared" ca="1" si="4"/>
        <v>1.1645519429016236E-2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input_settle_603100!A$2</f>
        <v>603100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IFERROR(VLOOKUP(B93,input_settle_603100!L:R,7,FALSE),VLOOKUP(tables_settle_603100!C93,input_settle_603100!A:H,8,FALSE))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input_settle_603100!A$2</f>
        <v>603100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IFERROR(VLOOKUP(B94,input_settle_603100!L:R,7,FALSE),VLOOKUP(tables_settle_603100!C94,input_settle_603100!A:H,8,FALSE))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input_settle_603100!A$2</f>
        <v>603100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IFERROR(VLOOKUP(B95,input_settle_603100!L:R,7,FALSE),VLOOKUP(tables_settle_603100!C95,input_settle_603100!A:H,8,FALSE))</f>
        <v>1694423.0769199999</v>
      </c>
      <c r="P95" s="46">
        <f t="shared" ca="1" si="4"/>
        <v>1.1645519429016236E-2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input_settle_603100!A$2</f>
        <v>603100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IFERROR(VLOOKUP(B96,input_settle_603100!L:R,7,FALSE),VLOOKUP(tables_settle_603100!C96,input_settle_603100!A:H,8,FALSE))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input_settle_603100!A$2</f>
        <v>603100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IFERROR(VLOOKUP(B97,input_settle_603100!L:R,7,FALSE),VLOOKUP(tables_settle_603100!C97,input_settle_603100!A:H,8,FALSE))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input_settle_603100!A$2</f>
        <v>603100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IFERROR(VLOOKUP(B98,input_settle_603100!L:R,7,FALSE),VLOOKUP(tables_settle_603100!C98,input_settle_603100!A:H,8,FALSE))</f>
        <v>1694423.0769199999</v>
      </c>
      <c r="P98" s="46">
        <f t="shared" ca="1" si="4"/>
        <v>1.1645519429016236E-2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input_settle_603100!A$2</f>
        <v>603100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IFERROR(VLOOKUP(B99,input_settle_603100!L:R,7,FALSE),VLOOKUP(tables_settle_603100!C99,input_settle_603100!A:H,8,FALSE))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input_settle_603100!A$2</f>
        <v>603100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IFERROR(VLOOKUP(B100,input_settle_603100!L:R,7,FALSE),VLOOKUP(tables_settle_603100!C100,input_settle_603100!A:H,8,FALSE))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input_settle_603100!A$2</f>
        <v>603100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IFERROR(VLOOKUP(B101,input_settle_603100!L:R,7,FALSE),VLOOKUP(tables_settle_603100!C101,input_settle_603100!A:H,8,FALSE))</f>
        <v>1694423.0769199999</v>
      </c>
      <c r="P101" s="46">
        <f t="shared" ca="1" si="4"/>
        <v>1.1645519429016236E-2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input_settle_603100!A$2</f>
        <v>603100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IFERROR(VLOOKUP(B102,input_settle_603100!L:R,7,FALSE),VLOOKUP(tables_settle_603100!C102,input_settle_603100!A:H,8,FALSE))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input_settle_603100!A$2</f>
        <v>603100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IFERROR(VLOOKUP(B103,input_settle_603100!L:R,7,FALSE),VLOOKUP(tables_settle_603100!C103,input_settle_603100!A:H,8,FALSE))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input_settle_603100!A$2</f>
        <v>603100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IFERROR(VLOOKUP(B104,input_settle_603100!L:R,7,FALSE),VLOOKUP(tables_settle_603100!C104,input_settle_603100!A:H,8,FALSE))</f>
        <v>1694423.0769199999</v>
      </c>
      <c r="P104" s="46">
        <f t="shared" ca="1" si="4"/>
        <v>1.1645519429016236E-2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input_settle_603100!A$2</f>
        <v>603100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IFERROR(VLOOKUP(B105,input_settle_603100!L:R,7,FALSE),VLOOKUP(tables_settle_603100!C105,input_settle_603100!A:H,8,FALSE))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input_settle_603100!A$2</f>
        <v>603100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IFERROR(VLOOKUP(B106,input_settle_603100!L:R,7,FALSE),VLOOKUP(tables_settle_603100!C106,input_settle_603100!A:H,8,FALSE))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input_settle_603100!A$2</f>
        <v>603100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IFERROR(VLOOKUP(B107,input_settle_603100!L:R,7,FALSE),VLOOKUP(tables_settle_603100!C107,input_settle_603100!A:H,8,FALSE))</f>
        <v>1694423.0769199999</v>
      </c>
      <c r="P107" s="46">
        <f t="shared" ca="1" si="4"/>
        <v>1.1645519429016236E-2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input_settle_603100!A$2</f>
        <v>603100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IFERROR(VLOOKUP(B108,input_settle_603100!L:R,7,FALSE),VLOOKUP(tables_settle_603100!C108,input_settle_603100!A:H,8,FALSE))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input_settle_603100!A$2</f>
        <v>603100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IFERROR(VLOOKUP(B109,input_settle_603100!L:R,7,FALSE),VLOOKUP(tables_settle_603100!C109,input_settle_603100!A:H,8,FALSE))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input_settle_603100!A$2</f>
        <v>603100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IFERROR(VLOOKUP(B110,input_settle_603100!L:R,7,FALSE),VLOOKUP(tables_settle_603100!C110,input_settle_603100!A:H,8,FALSE))</f>
        <v>1694423.0769199999</v>
      </c>
      <c r="P110" s="46">
        <f t="shared" ca="1" si="4"/>
        <v>1.1645519429016236E-2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input_settle_603100!A$2</f>
        <v>603100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IFERROR(VLOOKUP(B111,input_settle_603100!L:R,7,FALSE),VLOOKUP(tables_settle_603100!C111,input_settle_603100!A:H,8,FALSE))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input_settle_603100!A$2</f>
        <v>603100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IFERROR(VLOOKUP(B112,input_settle_603100!L:R,7,FALSE),VLOOKUP(tables_settle_603100!C112,input_settle_603100!A:H,8,FALSE))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input_settle_603100!A$2</f>
        <v>603100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IFERROR(VLOOKUP(B113,input_settle_603100!L:R,7,FALSE),VLOOKUP(tables_settle_603100!C113,input_settle_603100!A:H,8,FALSE))</f>
        <v>1335000</v>
      </c>
      <c r="P113" s="46">
        <f t="shared" ca="1" si="4"/>
        <v>9.1752577319688475E-3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input_settle_603100!A$2</f>
        <v>603100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IFERROR(VLOOKUP(B114,input_settle_603100!L:R,7,FALSE),VLOOKUP(tables_settle_603100!C114,input_settle_603100!A:H,8,FALSE))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input_settle_603100!A$2</f>
        <v>603100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IFERROR(VLOOKUP(B115,input_settle_603100!L:R,7,FALSE),VLOOKUP(tables_settle_603100!C115,input_settle_603100!A:H,8,FALSE))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input_settle_603100!A$2</f>
        <v>603100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IFERROR(VLOOKUP(B116,input_settle_603100!L:R,7,FALSE),VLOOKUP(tables_settle_603100!C116,input_settle_603100!A:H,8,FALSE))</f>
        <v>1694423.0769199999</v>
      </c>
      <c r="P116" s="46">
        <f t="shared" ca="1" si="4"/>
        <v>1.1645519429016236E-2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input_settle_603100!A$2</f>
        <v>603100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IFERROR(VLOOKUP(B117,input_settle_603100!L:R,7,FALSE),VLOOKUP(tables_settle_603100!C117,input_settle_603100!A:H,8,FALSE))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input_settle_603100!A$2</f>
        <v>603100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IFERROR(VLOOKUP(B118,input_settle_603100!L:R,7,FALSE),VLOOKUP(tables_settle_603100!C118,input_settle_603100!A:H,8,FALSE))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input_settle_603100!A$2</f>
        <v>603100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IFERROR(VLOOKUP(B119,input_settle_603100!L:R,7,FALSE),VLOOKUP(tables_settle_603100!C119,input_settle_603100!A:H,8,FALSE))</f>
        <v>1694423.0769199999</v>
      </c>
      <c r="P119" s="46">
        <f t="shared" ca="1" si="4"/>
        <v>1.1645519429016236E-2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input_settle_603100!A$2</f>
        <v>603100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IFERROR(VLOOKUP(B120,input_settle_603100!L:R,7,FALSE),VLOOKUP(tables_settle_603100!C120,input_settle_603100!A:H,8,FALSE))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input_settle_603100!A$2</f>
        <v>603100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IFERROR(VLOOKUP(B121,input_settle_603100!L:R,7,FALSE),VLOOKUP(tables_settle_603100!C121,input_settle_603100!A:H,8,FALSE))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input_settle_603100!A$2</f>
        <v>603100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IFERROR(VLOOKUP(B122,input_settle_603100!L:R,7,FALSE),VLOOKUP(tables_settle_603100!C122,input_settle_603100!A:H,8,FALSE))</f>
        <v>1694423.0769199999</v>
      </c>
      <c r="P122" s="46">
        <f t="shared" ca="1" si="4"/>
        <v>1.1645519429016236E-2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input_settle_603100!A$2</f>
        <v>603100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IFERROR(VLOOKUP(B123,input_settle_603100!L:R,7,FALSE),VLOOKUP(tables_settle_603100!C123,input_settle_603100!A:H,8,FALSE))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input_settle_603100!A$2</f>
        <v>603100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IFERROR(VLOOKUP(B124,input_settle_603100!L:R,7,FALSE),VLOOKUP(tables_settle_603100!C124,input_settle_603100!A:H,8,FALSE))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input_settle_603100!A$2</f>
        <v>603100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IFERROR(VLOOKUP(B125,input_settle_603100!L:R,7,FALSE),VLOOKUP(tables_settle_603100!C125,input_settle_603100!A:H,8,FALSE))</f>
        <v>1694423.0769199999</v>
      </c>
      <c r="P125" s="46">
        <f t="shared" ca="1" si="4"/>
        <v>1.1645519429016236E-2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input_settle_603100!A$2</f>
        <v>603100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IFERROR(VLOOKUP(B126,input_settle_603100!L:R,7,FALSE),VLOOKUP(tables_settle_603100!C126,input_settle_603100!A:H,8,FALSE))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input_settle_603100!A$2</f>
        <v>603100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IFERROR(VLOOKUP(B127,input_settle_603100!L:R,7,FALSE),VLOOKUP(tables_settle_603100!C127,input_settle_603100!A:H,8,FALSE))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input_settle_603100!A$2</f>
        <v>603100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IFERROR(VLOOKUP(B128,input_settle_603100!L:R,7,FALSE),VLOOKUP(tables_settle_603100!C128,input_settle_603100!A:H,8,FALSE))</f>
        <v>1694423.0769199999</v>
      </c>
      <c r="P128" s="46">
        <f t="shared" ca="1" si="4"/>
        <v>1.1645519429016236E-2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input_settle_603100!A$2</f>
        <v>603100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IFERROR(VLOOKUP(B129,input_settle_603100!L:R,7,FALSE),VLOOKUP(tables_settle_603100!C129,input_settle_603100!A:H,8,FALSE))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input_settle_603100!A$2</f>
        <v>603100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IFERROR(VLOOKUP(B130,input_settle_603100!L:R,7,FALSE),VLOOKUP(tables_settle_603100!C130,input_settle_603100!A:H,8,FALSE))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input_settle_603100!A$2</f>
        <v>603100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IFERROR(VLOOKUP(B131,input_settle_603100!L:R,7,FALSE),VLOOKUP(tables_settle_603100!C131,input_settle_603100!A:H,8,FALSE))</f>
        <v>1694423.0769199999</v>
      </c>
      <c r="P131" s="46">
        <f t="shared" ca="1" si="7"/>
        <v>1.1645519429016236E-2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input_settle_603100!A$2</f>
        <v>603100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IFERROR(VLOOKUP(B132,input_settle_603100!L:R,7,FALSE),VLOOKUP(tables_settle_603100!C132,input_settle_603100!A:H,8,FALSE))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input_settle_603100!A$2</f>
        <v>603100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IFERROR(VLOOKUP(B133,input_settle_603100!L:R,7,FALSE),VLOOKUP(tables_settle_603100!C133,input_settle_603100!A:H,8,FALSE))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input_settle_603100!A$2</f>
        <v>603100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IFERROR(VLOOKUP(B134,input_settle_603100!L:R,7,FALSE),VLOOKUP(tables_settle_603100!C134,input_settle_603100!A:H,8,FALSE))</f>
        <v>1694423.0769199999</v>
      </c>
      <c r="P134" s="46">
        <f t="shared" ca="1" si="7"/>
        <v>1.1645519429016236E-2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input_settle_603100!A$2</f>
        <v>603100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IFERROR(VLOOKUP(B135,input_settle_603100!L:R,7,FALSE),VLOOKUP(tables_settle_603100!C135,input_settle_603100!A:H,8,FALSE))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input_settle_603100!A$2</f>
        <v>603100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IFERROR(VLOOKUP(B136,input_settle_603100!L:R,7,FALSE),VLOOKUP(tables_settle_603100!C136,input_settle_603100!A:H,8,FALSE))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input_settle_603100!A$2</f>
        <v>603100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IFERROR(VLOOKUP(B137,input_settle_603100!L:R,7,FALSE),VLOOKUP(tables_settle_603100!C137,input_settle_603100!A:H,8,FALSE))</f>
        <v>1694423.0769199999</v>
      </c>
      <c r="P137" s="46">
        <f t="shared" ca="1" si="7"/>
        <v>1.1645519429016236E-2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input_settle_603100!A$2</f>
        <v>603100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IFERROR(VLOOKUP(B138,input_settle_603100!L:R,7,FALSE),VLOOKUP(tables_settle_603100!C138,input_settle_603100!A:H,8,FALSE))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input_settle_603100!A$2</f>
        <v>603100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IFERROR(VLOOKUP(B139,input_settle_603100!L:R,7,FALSE),VLOOKUP(tables_settle_603100!C139,input_settle_603100!A:H,8,FALSE))</f>
        <v>194000</v>
      </c>
      <c r="P139" s="46">
        <f t="shared" ca="1" si="7"/>
        <v>1.3333333333347987E-3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input_settle_603100!A$2</f>
        <v>603100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IFERROR(VLOOKUP(B140,input_settle_603100!L:R,7,FALSE),VLOOKUP(tables_settle_603100!C140,input_settle_603100!A:H,8,FALSE))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input_settle_603100!A$2</f>
        <v>603100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IFERROR(VLOOKUP(B141,input_settle_603100!L:R,7,FALSE),VLOOKUP(tables_settle_603100!C141,input_settle_603100!A:H,8,FALSE))</f>
        <v>194000</v>
      </c>
      <c r="P141" s="46">
        <f t="shared" ca="1" si="7"/>
        <v>1.3333333333347987E-3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input_settle_603100!A$2</f>
        <v>603100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IFERROR(VLOOKUP(B142,input_settle_603100!L:R,7,FALSE),VLOOKUP(tables_settle_603100!C142,input_settle_603100!A:H,8,FALSE))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input_settle_603100!A$2</f>
        <v>603100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IFERROR(VLOOKUP(B143,input_settle_603100!L:R,7,FALSE),VLOOKUP(tables_settle_603100!C143,input_settle_603100!A:H,8,FALSE))</f>
        <v>194000</v>
      </c>
      <c r="P143" s="46">
        <f t="shared" ca="1" si="7"/>
        <v>1.3333333333347987E-3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input_settle_603100!A$2</f>
        <v>603100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IFERROR(VLOOKUP(B144,input_settle_603100!L:R,7,FALSE),VLOOKUP(tables_settle_603100!C144,input_settle_603100!A:H,8,FALSE))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input_settle_603100!A$2</f>
        <v>603100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IFERROR(VLOOKUP(B145,input_settle_603100!L:R,7,FALSE),VLOOKUP(tables_settle_603100!C145,input_settle_603100!A:H,8,FALSE))</f>
        <v>194000</v>
      </c>
      <c r="P145" s="46">
        <f t="shared" ca="1" si="7"/>
        <v>1.3333333333347987E-3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input_settle_603100!A$2</f>
        <v>603100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IFERROR(VLOOKUP(B146,input_settle_603100!L:R,7,FALSE),VLOOKUP(tables_settle_603100!C146,input_settle_603100!A:H,8,FALSE))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input_settle_603100!A$2</f>
        <v>603100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IFERROR(VLOOKUP(B147,input_settle_603100!L:R,7,FALSE),VLOOKUP(tables_settle_603100!C147,input_settle_603100!A:H,8,FALSE))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input_settle_603100!A$2</f>
        <v>603100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IFERROR(VLOOKUP(B148,input_settle_603100!L:R,7,FALSE),VLOOKUP(tables_settle_603100!C148,input_settle_603100!A:H,8,FALSE))</f>
        <v>1694423.0769199999</v>
      </c>
      <c r="P148" s="46">
        <f t="shared" ca="1" si="7"/>
        <v>1.1645519429016236E-2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input_settle_603100!A$2</f>
        <v>603100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IFERROR(VLOOKUP(B149,input_settle_603100!L:R,7,FALSE),VLOOKUP(tables_settle_603100!C149,input_settle_603100!A:H,8,FALSE))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input_settle_603100!A$2</f>
        <v>603100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IFERROR(VLOOKUP(B150,input_settle_603100!L:R,7,FALSE),VLOOKUP(tables_settle_603100!C150,input_settle_603100!A:H,8,FALSE))</f>
        <v>194000</v>
      </c>
      <c r="P150" s="46">
        <f t="shared" ca="1" si="7"/>
        <v>1.3333333333347987E-3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input_settle_603100!A$2</f>
        <v>603100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IFERROR(VLOOKUP(B151,input_settle_603100!L:R,7,FALSE),VLOOKUP(tables_settle_603100!C151,input_settle_603100!A:H,8,FALSE))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input_settle_603100!A$2</f>
        <v>603100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IFERROR(VLOOKUP(B152,input_settle_603100!L:R,7,FALSE),VLOOKUP(tables_settle_603100!C152,input_settle_603100!A:H,8,FALSE))</f>
        <v>194000</v>
      </c>
      <c r="P152" s="46">
        <f t="shared" ca="1" si="7"/>
        <v>1.3333333333347987E-3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input_settle_603100!A$2</f>
        <v>603100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IFERROR(VLOOKUP(B153,input_settle_603100!L:R,7,FALSE),VLOOKUP(tables_settle_603100!C153,input_settle_603100!A:H,8,FALSE))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input_settle_603100!A$2</f>
        <v>603100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IFERROR(VLOOKUP(B154,input_settle_603100!L:R,7,FALSE),VLOOKUP(tables_settle_603100!C154,input_settle_603100!A:H,8,FALSE))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input_settle_603100!A$2</f>
        <v>603100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IFERROR(VLOOKUP(B155,input_settle_603100!L:R,7,FALSE),VLOOKUP(tables_settle_603100!C155,input_settle_603100!A:H,8,FALSE))</f>
        <v>1694423.0769199999</v>
      </c>
      <c r="P155" s="46">
        <f t="shared" ca="1" si="7"/>
        <v>1.1645519429016236E-2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input_settle_603100!A$2</f>
        <v>603100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IFERROR(VLOOKUP(B156,input_settle_603100!L:R,7,FALSE),VLOOKUP(tables_settle_603100!C156,input_settle_603100!A:H,8,FALSE))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input_settle_603100!A$2</f>
        <v>603100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IFERROR(VLOOKUP(B157,input_settle_603100!L:R,7,FALSE),VLOOKUP(tables_settle_603100!C157,input_settle_603100!A:H,8,FALSE))</f>
        <v>194000</v>
      </c>
      <c r="P157" s="46">
        <f t="shared" ca="1" si="7"/>
        <v>1.3333333333347987E-3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input_settle_603100!A$2</f>
        <v>603100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IFERROR(VLOOKUP(B158,input_settle_603100!L:R,7,FALSE),VLOOKUP(tables_settle_603100!C158,input_settle_603100!A:H,8,FALSE))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input_settle_603100!A$2</f>
        <v>603100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IFERROR(VLOOKUP(B159,input_settle_603100!L:R,7,FALSE),VLOOKUP(tables_settle_603100!C159,input_settle_603100!A:H,8,FALSE))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input_settle_603100!A$2</f>
        <v>603100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IFERROR(VLOOKUP(B160,input_settle_603100!L:R,7,FALSE),VLOOKUP(tables_settle_603100!C160,input_settle_603100!A:H,8,FALSE))</f>
        <v>1694423.0769199999</v>
      </c>
      <c r="P160" s="46">
        <f t="shared" ca="1" si="7"/>
        <v>1.1645519429016236E-2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input_settle_603100!A$2</f>
        <v>603100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IFERROR(VLOOKUP(B161,input_settle_603100!L:R,7,FALSE),VLOOKUP(tables_settle_603100!C161,input_settle_603100!A:H,8,FALSE))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input_settle_603100!A$2</f>
        <v>603100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IFERROR(VLOOKUP(B162,input_settle_603100!L:R,7,FALSE),VLOOKUP(tables_settle_603100!C162,input_settle_603100!A:H,8,FALSE))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input_settle_603100!A$2</f>
        <v>603100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IFERROR(VLOOKUP(B163,input_settle_603100!L:R,7,FALSE),VLOOKUP(tables_settle_603100!C163,input_settle_603100!A:H,8,FALSE))</f>
        <v>1694423.0769199999</v>
      </c>
      <c r="P163" s="46">
        <f t="shared" ca="1" si="7"/>
        <v>1.1645519429016236E-2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input_settle_603100!A$2</f>
        <v>603100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IFERROR(VLOOKUP(B164,input_settle_603100!L:R,7,FALSE),VLOOKUP(tables_settle_603100!C164,input_settle_603100!A:H,8,FALSE))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input_settle_603100!A$2</f>
        <v>603100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IFERROR(VLOOKUP(B165,input_settle_603100!L:R,7,FALSE),VLOOKUP(tables_settle_603100!C165,input_settle_603100!A:H,8,FALSE))</f>
        <v>194000</v>
      </c>
      <c r="P165" s="46">
        <f t="shared" ca="1" si="7"/>
        <v>1.3333333333347987E-3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input_settle_603100!A$2</f>
        <v>603100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IFERROR(VLOOKUP(B166,input_settle_603100!L:R,7,FALSE),VLOOKUP(tables_settle_603100!C166,input_settle_603100!A:H,8,FALSE))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input_settle_603100!A$2</f>
        <v>603100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IFERROR(VLOOKUP(B167,input_settle_603100!L:R,7,FALSE),VLOOKUP(tables_settle_603100!C167,input_settle_603100!A:H,8,FALSE))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input_settle_603100!A$2</f>
        <v>603100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IFERROR(VLOOKUP(B168,input_settle_603100!L:R,7,FALSE),VLOOKUP(tables_settle_603100!C168,input_settle_603100!A:H,8,FALSE))</f>
        <v>1694423.0769199999</v>
      </c>
      <c r="P168" s="46">
        <f t="shared" ca="1" si="7"/>
        <v>1.1645519429016236E-2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input_settle_603100!A$2</f>
        <v>603100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IFERROR(VLOOKUP(B169,input_settle_603100!L:R,7,FALSE),VLOOKUP(tables_settle_603100!C169,input_settle_603100!A:H,8,FALSE))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input_settle_603100!A$2</f>
        <v>603100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IFERROR(VLOOKUP(B170,input_settle_603100!L:R,7,FALSE),VLOOKUP(tables_settle_603100!C170,input_settle_603100!A:H,8,FALSE))</f>
        <v>194000</v>
      </c>
      <c r="P170" s="46">
        <f t="shared" ca="1" si="7"/>
        <v>1.3333333333347987E-3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input_settle_603100!A$2</f>
        <v>603100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IFERROR(VLOOKUP(B171,input_settle_603100!L:R,7,FALSE),VLOOKUP(tables_settle_603100!C171,input_settle_603100!A:H,8,FALSE))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input_settle_603100!A$2</f>
        <v>603100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IFERROR(VLOOKUP(B172,input_settle_603100!L:R,7,FALSE),VLOOKUP(tables_settle_603100!C172,input_settle_603100!A:H,8,FALSE))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input_settle_603100!A$2</f>
        <v>603100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IFERROR(VLOOKUP(B173,input_settle_603100!L:R,7,FALSE),VLOOKUP(tables_settle_603100!C173,input_settle_603100!A:H,8,FALSE))</f>
        <v>1694423.0769199999</v>
      </c>
      <c r="P173" s="46">
        <f t="shared" ca="1" si="7"/>
        <v>1.1645519429016236E-2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input_settle_603100!A$2</f>
        <v>603100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IFERROR(VLOOKUP(B174,input_settle_603100!L:R,7,FALSE),VLOOKUP(tables_settle_603100!C174,input_settle_603100!A:H,8,FALSE))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input_settle_603100!A$2</f>
        <v>603100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IFERROR(VLOOKUP(B175,input_settle_603100!L:R,7,FALSE),VLOOKUP(tables_settle_603100!C175,input_settle_603100!A:H,8,FALSE))</f>
        <v>194000</v>
      </c>
      <c r="P175" s="46">
        <f t="shared" ca="1" si="7"/>
        <v>1.3333333333347987E-3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input_settle_603100!A$2</f>
        <v>603100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IFERROR(VLOOKUP(B176,input_settle_603100!L:R,7,FALSE),VLOOKUP(tables_settle_603100!C176,input_settle_603100!A:H,8,FALSE))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input_settle_603100!A$2</f>
        <v>603100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IFERROR(VLOOKUP(B177,input_settle_603100!L:R,7,FALSE),VLOOKUP(tables_settle_603100!C177,input_settle_603100!A:H,8,FALSE))</f>
        <v>194000</v>
      </c>
      <c r="P177" s="46">
        <f t="shared" ca="1" si="7"/>
        <v>1.3333333333347987E-3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input_settle_603100!A$2</f>
        <v>603100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IFERROR(VLOOKUP(B178,input_settle_603100!L:R,7,FALSE),VLOOKUP(tables_settle_603100!C178,input_settle_603100!A:H,8,FALSE))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input_settle_603100!A$2</f>
        <v>603100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IFERROR(VLOOKUP(B179,input_settle_603100!L:R,7,FALSE),VLOOKUP(tables_settle_603100!C179,input_settle_603100!A:H,8,FALSE))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input_settle_603100!A$2</f>
        <v>603100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IFERROR(VLOOKUP(B180,input_settle_603100!L:R,7,FALSE),VLOOKUP(tables_settle_603100!C180,input_settle_603100!A:H,8,FALSE))</f>
        <v>1694423.0769199999</v>
      </c>
      <c r="P180" s="46">
        <f t="shared" ca="1" si="7"/>
        <v>1.1645519429016236E-2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input_settle_603100!A$2</f>
        <v>603100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IFERROR(VLOOKUP(B181,input_settle_603100!L:R,7,FALSE),VLOOKUP(tables_settle_603100!C181,input_settle_603100!A:H,8,FALSE))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input_settle_603100!A$2</f>
        <v>603100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IFERROR(VLOOKUP(B182,input_settle_603100!L:R,7,FALSE),VLOOKUP(tables_settle_603100!C182,input_settle_603100!A:H,8,FALSE))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input_settle_603100!A$2</f>
        <v>603100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IFERROR(VLOOKUP(B183,input_settle_603100!L:R,7,FALSE),VLOOKUP(tables_settle_603100!C183,input_settle_603100!A:H,8,FALSE))</f>
        <v>1694423.0769199999</v>
      </c>
      <c r="P183" s="46">
        <f t="shared" ca="1" si="7"/>
        <v>1.1645519429016236E-2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input_settle_603100!A$2</f>
        <v>603100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IFERROR(VLOOKUP(B184,input_settle_603100!L:R,7,FALSE),VLOOKUP(tables_settle_603100!C184,input_settle_603100!A:H,8,FALSE))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input_settle_603100!A$2</f>
        <v>603100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IFERROR(VLOOKUP(B185,input_settle_603100!L:R,7,FALSE),VLOOKUP(tables_settle_603100!C185,input_settle_603100!A:H,8,FALSE))</f>
        <v>194000</v>
      </c>
      <c r="P185" s="46">
        <f t="shared" ca="1" si="7"/>
        <v>1.3333333333347987E-3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input_settle_603100!A$2</f>
        <v>603100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IFERROR(VLOOKUP(B186,input_settle_603100!L:R,7,FALSE),VLOOKUP(tables_settle_603100!C186,input_settle_603100!A:H,8,FALSE))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input_settle_603100!A$2</f>
        <v>603100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IFERROR(VLOOKUP(B187,input_settle_603100!L:R,7,FALSE),VLOOKUP(tables_settle_603100!C187,input_settle_603100!A:H,8,FALSE))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input_settle_603100!A$2</f>
        <v>603100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IFERROR(VLOOKUP(B188,input_settle_603100!L:R,7,FALSE),VLOOKUP(tables_settle_603100!C188,input_settle_603100!A:H,8,FALSE))</f>
        <v>1694423.0769199999</v>
      </c>
      <c r="P188" s="46">
        <f t="shared" ca="1" si="7"/>
        <v>1.1645519429016236E-2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input_settle_603100!A$2</f>
        <v>603100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IFERROR(VLOOKUP(B189,input_settle_603100!L:R,7,FALSE),VLOOKUP(tables_settle_603100!C189,input_settle_603100!A:H,8,FALSE))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input_settle_603100!A$2</f>
        <v>603100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IFERROR(VLOOKUP(B190,input_settle_603100!L:R,7,FALSE),VLOOKUP(tables_settle_603100!C190,input_settle_603100!A:H,8,FALSE))</f>
        <v>194000</v>
      </c>
      <c r="P190" s="46">
        <f t="shared" ca="1" si="7"/>
        <v>1.3333333333347987E-3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input_settle_603100!A$2</f>
        <v>603100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IFERROR(VLOOKUP(B191,input_settle_603100!L:R,7,FALSE),VLOOKUP(tables_settle_603100!C191,input_settle_603100!A:H,8,FALSE))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input_settle_603100!A$2</f>
        <v>603100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IFERROR(VLOOKUP(B192,input_settle_603100!L:R,7,FALSE),VLOOKUP(tables_settle_603100!C192,input_settle_603100!A:H,8,FALSE))</f>
        <v>194000</v>
      </c>
      <c r="P192" s="46">
        <f t="shared" ca="1" si="7"/>
        <v>1.3333333333347987E-3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input_settle_603100!A$2</f>
        <v>603100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IFERROR(VLOOKUP(B193,input_settle_603100!L:R,7,FALSE),VLOOKUP(tables_settle_603100!C193,input_settle_603100!A:H,8,FALSE))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input_settle_603100!A$2</f>
        <v>603100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IFERROR(VLOOKUP(B194,input_settle_603100!L:R,7,FALSE),VLOOKUP(tables_settle_603100!C194,input_settle_603100!A:H,8,FALSE))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input_settle_603100!A$2</f>
        <v>603100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IFERROR(VLOOKUP(B195,input_settle_603100!L:R,7,FALSE),VLOOKUP(tables_settle_603100!C195,input_settle_603100!A:H,8,FALSE))</f>
        <v>1694423.0769199999</v>
      </c>
      <c r="P195" s="46">
        <f t="shared" ca="1" si="10"/>
        <v>1.1645519429016236E-2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input_settle_603100!A$2</f>
        <v>603100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IFERROR(VLOOKUP(B196,input_settle_603100!L:R,7,FALSE),VLOOKUP(tables_settle_603100!C196,input_settle_603100!A:H,8,FALSE))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input_settle_603100!A$2</f>
        <v>603100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IFERROR(VLOOKUP(B197,input_settle_603100!L:R,7,FALSE),VLOOKUP(tables_settle_603100!C197,input_settle_603100!A:H,8,FALSE))</f>
        <v>194000</v>
      </c>
      <c r="P197" s="46">
        <f t="shared" ca="1" si="10"/>
        <v>1.3333333333347987E-3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input_settle_603100!A$2</f>
        <v>603100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IFERROR(VLOOKUP(B198,input_settle_603100!L:R,7,FALSE),VLOOKUP(tables_settle_603100!C198,input_settle_603100!A:H,8,FALSE))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input_settle_603100!A$2</f>
        <v>603100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IFERROR(VLOOKUP(B199,input_settle_603100!L:R,7,FALSE),VLOOKUP(tables_settle_603100!C199,input_settle_603100!A:H,8,FALSE))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input_settle_603100!A$2</f>
        <v>603100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IFERROR(VLOOKUP(B200,input_settle_603100!L:R,7,FALSE),VLOOKUP(tables_settle_603100!C200,input_settle_603100!A:H,8,FALSE))</f>
        <v>1694423.0769199999</v>
      </c>
      <c r="P200" s="46">
        <f t="shared" ca="1" si="10"/>
        <v>1.1645519429016236E-2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input_settle_603100!A$2</f>
        <v>603100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IFERROR(VLOOKUP(B201,input_settle_603100!L:R,7,FALSE),VLOOKUP(tables_settle_603100!C201,input_settle_603100!A:H,8,FALSE))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input_settle_603100!A$2</f>
        <v>603100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IFERROR(VLOOKUP(B202,input_settle_603100!L:R,7,FALSE),VLOOKUP(tables_settle_603100!C202,input_settle_603100!A:H,8,FALSE))</f>
        <v>194000</v>
      </c>
      <c r="P202" s="46">
        <f t="shared" ca="1" si="10"/>
        <v>1.3333333333347987E-3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input_settle_603100!A$2</f>
        <v>603100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IFERROR(VLOOKUP(B203,input_settle_603100!L:R,7,FALSE),VLOOKUP(tables_settle_603100!C203,input_settle_603100!A:H,8,FALSE))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input_settle_603100!A$2</f>
        <v>603100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IFERROR(VLOOKUP(B204,input_settle_603100!L:R,7,FALSE),VLOOKUP(tables_settle_603100!C204,input_settle_603100!A:H,8,FALSE))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input_settle_603100!A$2</f>
        <v>603100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IFERROR(VLOOKUP(B205,input_settle_603100!L:R,7,FALSE),VLOOKUP(tables_settle_603100!C205,input_settle_603100!A:H,8,FALSE))</f>
        <v>1694423.0769199999</v>
      </c>
      <c r="P205" s="46">
        <f t="shared" ca="1" si="10"/>
        <v>1.1645519429016236E-2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input_settle_603100!A$2</f>
        <v>603100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IFERROR(VLOOKUP(B206,input_settle_603100!L:R,7,FALSE),VLOOKUP(tables_settle_603100!C206,input_settle_603100!A:H,8,FALSE))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input_settle_603100!A$2</f>
        <v>603100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IFERROR(VLOOKUP(B207,input_settle_603100!L:R,7,FALSE),VLOOKUP(tables_settle_603100!C207,input_settle_603100!A:H,8,FALSE))</f>
        <v>194000</v>
      </c>
      <c r="P207" s="46">
        <f t="shared" ca="1" si="10"/>
        <v>1.3333333333347987E-3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input_settle_603100!A$2</f>
        <v>603100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IFERROR(VLOOKUP(B208,input_settle_603100!L:R,7,FALSE),VLOOKUP(tables_settle_603100!C208,input_settle_603100!A:H,8,FALSE))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input_settle_603100!A$2</f>
        <v>603100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IFERROR(VLOOKUP(B209,input_settle_603100!L:R,7,FALSE),VLOOKUP(tables_settle_603100!C209,input_settle_603100!A:H,8,FALSE))</f>
        <v>194000</v>
      </c>
      <c r="P209" s="46">
        <f t="shared" ca="1" si="10"/>
        <v>1.3333333333347987E-3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input_settle_603100!A$2</f>
        <v>603100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IFERROR(VLOOKUP(B210,input_settle_603100!L:R,7,FALSE),VLOOKUP(tables_settle_603100!C210,input_settle_603100!A:H,8,FALSE))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input_settle_603100!A$2</f>
        <v>603100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IFERROR(VLOOKUP(B211,input_settle_603100!L:R,7,FALSE),VLOOKUP(tables_settle_603100!C211,input_settle_603100!A:H,8,FALSE))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input_settle_603100!A$2</f>
        <v>603100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IFERROR(VLOOKUP(B212,input_settle_603100!L:R,7,FALSE),VLOOKUP(tables_settle_603100!C212,input_settle_603100!A:H,8,FALSE))</f>
        <v>1694423.0769199999</v>
      </c>
      <c r="P212" s="46">
        <f t="shared" ca="1" si="10"/>
        <v>1.1645519429016236E-2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input_settle_603100!A$2</f>
        <v>603100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IFERROR(VLOOKUP(B213,input_settle_603100!L:R,7,FALSE),VLOOKUP(tables_settle_603100!C213,input_settle_603100!A:H,8,FALSE))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input_settle_603100!A$2</f>
        <v>603100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IFERROR(VLOOKUP(B214,input_settle_603100!L:R,7,FALSE),VLOOKUP(tables_settle_603100!C214,input_settle_603100!A:H,8,FALSE))</f>
        <v>194000</v>
      </c>
      <c r="P214" s="46">
        <f t="shared" ca="1" si="10"/>
        <v>1.3333333333347987E-3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input_settle_603100!A$2</f>
        <v>603100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IFERROR(VLOOKUP(B215,input_settle_603100!L:R,7,FALSE),VLOOKUP(tables_settle_603100!C215,input_settle_603100!A:H,8,FALSE))</f>
        <v>1335000</v>
      </c>
      <c r="P215" s="46">
        <f t="shared" ca="1" si="10"/>
        <v>9.1752577319688475E-3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input_settle_603100!A$2</f>
        <v>603100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IFERROR(VLOOKUP(B216,input_settle_603100!L:R,7,FALSE),VLOOKUP(tables_settle_603100!C216,input_settle_603100!A:H,8,FALSE))</f>
        <v>1335000</v>
      </c>
      <c r="P216" s="46">
        <f t="shared" ca="1" si="10"/>
        <v>9.1752577319688475E-3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input_settle_603100!A$2</f>
        <v>603100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IFERROR(VLOOKUP(B217,input_settle_603100!L:R,7,FALSE),VLOOKUP(tables_settle_603100!C217,input_settle_603100!A:H,8,FALSE))</f>
        <v>1335000</v>
      </c>
      <c r="P217" s="46">
        <f t="shared" ca="1" si="10"/>
        <v>9.1752577319688475E-3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input_settle_603100!A$2</f>
        <v>603100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IFERROR(VLOOKUP(B218,input_settle_603100!L:R,7,FALSE),VLOOKUP(tables_settle_603100!C218,input_settle_603100!A:H,8,FALSE))</f>
        <v>1335000</v>
      </c>
      <c r="P218" s="46">
        <f t="shared" ca="1" si="10"/>
        <v>9.1752577319688475E-3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input_settle_603100!A$2</f>
        <v>603100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IFERROR(VLOOKUP(B219,input_settle_603100!L:R,7,FALSE),VLOOKUP(tables_settle_603100!C219,input_settle_603100!A:H,8,FALSE))</f>
        <v>1335000</v>
      </c>
      <c r="P219" s="46">
        <f t="shared" ca="1" si="10"/>
        <v>9.1752577319688475E-3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input_settle_603100!A$2</f>
        <v>603100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IFERROR(VLOOKUP(B220,input_settle_603100!L:R,7,FALSE),VLOOKUP(tables_settle_603100!C220,input_settle_603100!A:H,8,FALSE))</f>
        <v>1335000</v>
      </c>
      <c r="P220" s="46">
        <f t="shared" ca="1" si="10"/>
        <v>9.1752577319688475E-3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input_settle_603100!A$2</f>
        <v>603100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IFERROR(VLOOKUP(B221,input_settle_603100!L:R,7,FALSE),VLOOKUP(tables_settle_603100!C221,input_settle_603100!A:H,8,FALSE))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input_settle_603100!A$2</f>
        <v>603100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IFERROR(VLOOKUP(B222,input_settle_603100!L:R,7,FALSE),VLOOKUP(tables_settle_603100!C222,input_settle_603100!A:H,8,FALSE))</f>
        <v>194000</v>
      </c>
      <c r="P222" s="46">
        <f t="shared" ca="1" si="10"/>
        <v>1.3333333333347987E-3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input_settle_603100!A$2</f>
        <v>603100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IFERROR(VLOOKUP(B223,input_settle_603100!L:R,7,FALSE),VLOOKUP(tables_settle_603100!C223,input_settle_603100!A:H,8,FALSE))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input_settle_603100!A$2</f>
        <v>603100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IFERROR(VLOOKUP(B224,input_settle_603100!L:R,7,FALSE),VLOOKUP(tables_settle_603100!C224,input_settle_603100!A:H,8,FALSE))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input_settle_603100!A$2</f>
        <v>603100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IFERROR(VLOOKUP(B225,input_settle_603100!L:R,7,FALSE),VLOOKUP(tables_settle_603100!C225,input_settle_603100!A:H,8,FALSE))</f>
        <v>1694423.0769199999</v>
      </c>
      <c r="P225" s="46">
        <f t="shared" ca="1" si="10"/>
        <v>1.1645519429016236E-2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input_settle_603100!A$2</f>
        <v>603100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IFERROR(VLOOKUP(B226,input_settle_603100!L:R,7,FALSE),VLOOKUP(tables_settle_603100!C226,input_settle_603100!A:H,8,FALSE))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input_settle_603100!A$2</f>
        <v>603100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IFERROR(VLOOKUP(B227,input_settle_603100!L:R,7,FALSE),VLOOKUP(tables_settle_603100!C227,input_settle_603100!A:H,8,FALSE))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input_settle_603100!A$2</f>
        <v>603100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IFERROR(VLOOKUP(B228,input_settle_603100!L:R,7,FALSE),VLOOKUP(tables_settle_603100!C228,input_settle_603100!A:H,8,FALSE))</f>
        <v>1694423.0769199999</v>
      </c>
      <c r="P228" s="46">
        <f t="shared" ca="1" si="10"/>
        <v>1.1645519429016236E-2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input_settle_603100!A$2</f>
        <v>603100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IFERROR(VLOOKUP(B229,input_settle_603100!L:R,7,FALSE),VLOOKUP(tables_settle_603100!C229,input_settle_603100!A:H,8,FALSE))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input_settle_603100!A$2</f>
        <v>603100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IFERROR(VLOOKUP(B230,input_settle_603100!L:R,7,FALSE),VLOOKUP(tables_settle_603100!C230,input_settle_603100!A:H,8,FALSE))</f>
        <v>194000</v>
      </c>
      <c r="P230" s="46">
        <f t="shared" ca="1" si="10"/>
        <v>1.3333333333347987E-3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input_settle_603100!A$2</f>
        <v>603100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IFERROR(VLOOKUP(B231,input_settle_603100!L:R,7,FALSE),VLOOKUP(tables_settle_603100!C231,input_settle_603100!A:H,8,FALSE))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input_settle_603100!A$2</f>
        <v>603100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IFERROR(VLOOKUP(B232,input_settle_603100!L:R,7,FALSE),VLOOKUP(tables_settle_603100!C232,input_settle_603100!A:H,8,FALSE))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input_settle_603100!A$2</f>
        <v>603100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IFERROR(VLOOKUP(B233,input_settle_603100!L:R,7,FALSE),VLOOKUP(tables_settle_603100!C233,input_settle_603100!A:H,8,FALSE))</f>
        <v>1694423.0769199999</v>
      </c>
      <c r="P233" s="46">
        <f t="shared" ca="1" si="10"/>
        <v>1.1645519429016236E-2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input_settle_603100!A$2</f>
        <v>603100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IFERROR(VLOOKUP(B234,input_settle_603100!L:R,7,FALSE),VLOOKUP(tables_settle_603100!C234,input_settle_603100!A:H,8,FALSE))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input_settle_603100!A$2</f>
        <v>603100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IFERROR(VLOOKUP(B235,input_settle_603100!L:R,7,FALSE),VLOOKUP(tables_settle_603100!C235,input_settle_603100!A:H,8,FALSE))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input_settle_603100!A$2</f>
        <v>603100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IFERROR(VLOOKUP(B236,input_settle_603100!L:R,7,FALSE),VLOOKUP(tables_settle_603100!C236,input_settle_603100!A:H,8,FALSE))</f>
        <v>1694423.0769199999</v>
      </c>
      <c r="P236" s="46">
        <f t="shared" ca="1" si="10"/>
        <v>1.1645519429016236E-2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input_settle_603100!A$2</f>
        <v>603100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IFERROR(VLOOKUP(B237,input_settle_603100!L:R,7,FALSE),VLOOKUP(tables_settle_603100!C237,input_settle_603100!A:H,8,FALSE))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input_settle_603100!A$2</f>
        <v>603100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IFERROR(VLOOKUP(B238,input_settle_603100!L:R,7,FALSE),VLOOKUP(tables_settle_603100!C238,input_settle_603100!A:H,8,FALSE))</f>
        <v>194000</v>
      </c>
      <c r="P238" s="46">
        <f t="shared" ca="1" si="10"/>
        <v>1.3333333333347987E-3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input_settle_603100!A$2</f>
        <v>603100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IFERROR(VLOOKUP(B239,input_settle_603100!L:R,7,FALSE),VLOOKUP(tables_settle_603100!C239,input_settle_603100!A:H,8,FALSE))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input_settle_603100!A$2</f>
        <v>603100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IFERROR(VLOOKUP(B240,input_settle_603100!L:R,7,FALSE),VLOOKUP(tables_settle_603100!C240,input_settle_603100!A:H,8,FALSE))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input_settle_603100!A$2</f>
        <v>603100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IFERROR(VLOOKUP(B241,input_settle_603100!L:R,7,FALSE),VLOOKUP(tables_settle_603100!C241,input_settle_603100!A:H,8,FALSE))</f>
        <v>1694423.0769199999</v>
      </c>
      <c r="P241" s="46">
        <f t="shared" ca="1" si="10"/>
        <v>1.1645519429016236E-2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input_settle_603100!A$2</f>
        <v>603100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IFERROR(VLOOKUP(B242,input_settle_603100!L:R,7,FALSE),VLOOKUP(tables_settle_603100!C242,input_settle_603100!A:H,8,FALSE))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input_settle_603100!A$2</f>
        <v>603100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IFERROR(VLOOKUP(B243,input_settle_603100!L:R,7,FALSE),VLOOKUP(tables_settle_603100!C243,input_settle_603100!A:H,8,FALSE))</f>
        <v>194000</v>
      </c>
      <c r="P243" s="46">
        <f t="shared" ca="1" si="10"/>
        <v>1.3333333333347987E-3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input_settle_603100!A$2</f>
        <v>603100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IFERROR(VLOOKUP(B244,input_settle_603100!L:R,7,FALSE),VLOOKUP(tables_settle_603100!C244,input_settle_603100!A:H,8,FALSE))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input_settle_603100!A$2</f>
        <v>603100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IFERROR(VLOOKUP(B245,input_settle_603100!L:R,7,FALSE),VLOOKUP(tables_settle_603100!C245,input_settle_603100!A:H,8,FALSE))</f>
        <v>194000</v>
      </c>
      <c r="P245" s="46">
        <f t="shared" ca="1" si="10"/>
        <v>1.3333333333347987E-3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input_settle_603100!A$2</f>
        <v>603100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IFERROR(VLOOKUP(B246,input_settle_603100!L:R,7,FALSE),VLOOKUP(tables_settle_603100!C246,input_settle_603100!A:H,8,FALSE))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input_settle_603100!A$2</f>
        <v>603100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IFERROR(VLOOKUP(B247,input_settle_603100!L:R,7,FALSE),VLOOKUP(tables_settle_603100!C247,input_settle_603100!A:H,8,FALSE))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input_settle_603100!A$2</f>
        <v>603100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IFERROR(VLOOKUP(B248,input_settle_603100!L:R,7,FALSE),VLOOKUP(tables_settle_603100!C248,input_settle_603100!A:H,8,FALSE))</f>
        <v>1694423.0769199999</v>
      </c>
      <c r="P248" s="46">
        <f t="shared" ca="1" si="10"/>
        <v>1.1645519429016236E-2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input_settle_603100!A$2</f>
        <v>603100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IFERROR(VLOOKUP(B249,input_settle_603100!L:R,7,FALSE),VLOOKUP(tables_settle_603100!C249,input_settle_603100!A:H,8,FALSE))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input_settle_603100!A$2</f>
        <v>603100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IFERROR(VLOOKUP(B250,input_settle_603100!L:R,7,FALSE),VLOOKUP(tables_settle_603100!C250,input_settle_603100!A:H,8,FALSE))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input_settle_603100!A$2</f>
        <v>603100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IFERROR(VLOOKUP(B251,input_settle_603100!L:R,7,FALSE),VLOOKUP(tables_settle_603100!C251,input_settle_603100!A:H,8,FALSE))</f>
        <v>1694423.0769199999</v>
      </c>
      <c r="P251" s="46">
        <f t="shared" ca="1" si="10"/>
        <v>1.1645519429016236E-2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input_settle_603100!A$2</f>
        <v>603100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IFERROR(VLOOKUP(B252,input_settle_603100!L:R,7,FALSE),VLOOKUP(tables_settle_603100!C252,input_settle_603100!A:H,8,FALSE))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input_settle_603100!A$2</f>
        <v>603100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IFERROR(VLOOKUP(B253,input_settle_603100!L:R,7,FALSE),VLOOKUP(tables_settle_603100!C253,input_settle_603100!A:H,8,FALSE))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input_settle_603100!A$2</f>
        <v>603100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IFERROR(VLOOKUP(B254,input_settle_603100!L:R,7,FALSE),VLOOKUP(tables_settle_603100!C254,input_settle_603100!A:H,8,FALSE))</f>
        <v>1694423.0769199999</v>
      </c>
      <c r="P254" s="46">
        <f t="shared" ca="1" si="10"/>
        <v>1.1645519429016236E-2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input_settle_603100!A$2</f>
        <v>603100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IFERROR(VLOOKUP(B255,input_settle_603100!L:R,7,FALSE),VLOOKUP(tables_settle_603100!C255,input_settle_603100!A:H,8,FALSE))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input_settle_603100!A$2</f>
        <v>603100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IFERROR(VLOOKUP(B256,input_settle_603100!L:R,7,FALSE),VLOOKUP(tables_settle_603100!C256,input_settle_603100!A:H,8,FALSE))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input_settle_603100!A$2</f>
        <v>603100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IFERROR(VLOOKUP(B257,input_settle_603100!L:R,7,FALSE),VLOOKUP(tables_settle_603100!C257,input_settle_603100!A:H,8,FALSE))</f>
        <v>1694423.0769199999</v>
      </c>
      <c r="P257" s="46">
        <f t="shared" ca="1" si="10"/>
        <v>1.1645519429016236E-2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input_settle_603100!A$2</f>
        <v>603100</v>
      </c>
      <c r="B258" s="98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IFERROR(VLOOKUP(B258,input_settle_603100!L:R,7,FALSE),VLOOKUP(tables_settle_603100!C258,input_settle_603100!A:H,8,FALSE))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input_settle_603100!A$2</f>
        <v>603100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IFERROR(VLOOKUP(B259,input_settle_603100!L:R,7,FALSE),VLOOKUP(tables_settle_603100!C259,input_settle_603100!A:H,8,FALSE))</f>
        <v>194000</v>
      </c>
      <c r="P259" s="46">
        <f t="shared" ca="1" si="13"/>
        <v>1.3333333333347987E-3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input_settle_603100!A$2</f>
        <v>603100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IFERROR(VLOOKUP(B260,input_settle_603100!L:R,7,FALSE),VLOOKUP(tables_settle_603100!C260,input_settle_603100!A:H,8,FALSE))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input_settle_603100!A$2</f>
        <v>603100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IFERROR(VLOOKUP(B261,input_settle_603100!L:R,7,FALSE),VLOOKUP(tables_settle_603100!C261,input_settle_603100!A:H,8,FALSE))</f>
        <v>194000</v>
      </c>
      <c r="P261" s="46">
        <f t="shared" ca="1" si="13"/>
        <v>1.3333333333347987E-3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input_settle_603100!A$2</f>
        <v>603100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IFERROR(VLOOKUP(B262,input_settle_603100!L:R,7,FALSE),VLOOKUP(tables_settle_603100!C262,input_settle_603100!A:H,8,FALSE))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input_settle_603100!A$2</f>
        <v>603100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IFERROR(VLOOKUP(B263,input_settle_603100!L:R,7,FALSE),VLOOKUP(tables_settle_603100!C263,input_settle_603100!A:H,8,FALSE))</f>
        <v>1335000</v>
      </c>
      <c r="P263" s="46">
        <f t="shared" ca="1" si="13"/>
        <v>9.1752577319688475E-3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input_settle_603100!A$2</f>
        <v>603100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IFERROR(VLOOKUP(B264,input_settle_603100!L:R,7,FALSE),VLOOKUP(tables_settle_603100!C264,input_settle_603100!A:H,8,FALSE))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input_settle_603100!A$2</f>
        <v>603100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IFERROR(VLOOKUP(B265,input_settle_603100!L:R,7,FALSE),VLOOKUP(tables_settle_603100!C265,input_settle_603100!A:H,8,FALSE))</f>
        <v>1335000</v>
      </c>
      <c r="P265" s="46">
        <f t="shared" ca="1" si="13"/>
        <v>9.1752577319688475E-3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input_settle_603100!A$2</f>
        <v>603100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IFERROR(VLOOKUP(B266,input_settle_603100!L:R,7,FALSE),VLOOKUP(tables_settle_603100!C266,input_settle_603100!A:H,8,FALSE))</f>
        <v>194000</v>
      </c>
      <c r="P266" s="46">
        <f t="shared" ca="1" si="13"/>
        <v>1.3333333333347987E-3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input_settle_603100!A$2</f>
        <v>603100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IFERROR(VLOOKUP(B267,input_settle_603100!L:R,7,FALSE),VLOOKUP(tables_settle_603100!C267,input_settle_603100!A:H,8,FALSE))</f>
        <v>194000</v>
      </c>
      <c r="P267" s="46">
        <f t="shared" ca="1" si="13"/>
        <v>1.3333333333347987E-3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input_settle_603100!A$2</f>
        <v>603100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IFERROR(VLOOKUP(B268,input_settle_603100!L:R,7,FALSE),VLOOKUP(tables_settle_603100!C268,input_settle_603100!A:H,8,FALSE))</f>
        <v>194000</v>
      </c>
      <c r="P268" s="46">
        <f t="shared" ca="1" si="13"/>
        <v>1.3333333333347987E-3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input_settle_603100!A$2</f>
        <v>603100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IFERROR(VLOOKUP(B269,input_settle_603100!L:R,7,FALSE),VLOOKUP(tables_settle_603100!C269,input_settle_603100!A:H,8,FALSE))</f>
        <v>194000</v>
      </c>
      <c r="P269" s="46">
        <f t="shared" ca="1" si="13"/>
        <v>1.3333333333347987E-3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input_settle_603100!A$2</f>
        <v>603100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IFERROR(VLOOKUP(B270,input_settle_603100!L:R,7,FALSE),VLOOKUP(tables_settle_603100!C270,input_settle_603100!A:H,8,FALSE))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input_settle_603100!A$2</f>
        <v>603100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IFERROR(VLOOKUP(B271,input_settle_603100!L:R,7,FALSE),VLOOKUP(tables_settle_603100!C271,input_settle_603100!A:H,8,FALSE))</f>
        <v>1335000</v>
      </c>
      <c r="P271" s="46">
        <f t="shared" ca="1" si="13"/>
        <v>9.1752577319688475E-3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input_settle_603100!A$2</f>
        <v>603100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IFERROR(VLOOKUP(B272,input_settle_603100!L:R,7,FALSE),VLOOKUP(tables_settle_603100!C272,input_settle_603100!A:H,8,FALSE))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input_settle_603100!A$2</f>
        <v>603100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IFERROR(VLOOKUP(B273,input_settle_603100!L:R,7,FALSE),VLOOKUP(tables_settle_603100!C273,input_settle_603100!A:H,8,FALSE))</f>
        <v>1335000</v>
      </c>
      <c r="P273" s="46">
        <f t="shared" ca="1" si="13"/>
        <v>9.1752577319688475E-3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input_settle_603100!A$2</f>
        <v>603100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IFERROR(VLOOKUP(B274,input_settle_603100!L:R,7,FALSE),VLOOKUP(tables_settle_603100!C274,input_settle_603100!A:H,8,FALSE))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input_settle_603100!A$2</f>
        <v>603100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IFERROR(VLOOKUP(B275,input_settle_603100!L:R,7,FALSE),VLOOKUP(tables_settle_603100!C275,input_settle_603100!A:H,8,FALSE))</f>
        <v>194000</v>
      </c>
      <c r="P275" s="46">
        <f t="shared" ca="1" si="13"/>
        <v>1.3333333333347987E-3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input_settle_603100!A$2</f>
        <v>603100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IFERROR(VLOOKUP(B276,input_settle_603100!L:R,7,FALSE),VLOOKUP(tables_settle_603100!C276,input_settle_603100!A:H,8,FALSE))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input_settle_603100!A$2</f>
        <v>603100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IFERROR(VLOOKUP(B277,input_settle_603100!L:R,7,FALSE),VLOOKUP(tables_settle_603100!C277,input_settle_603100!A:H,8,FALSE))</f>
        <v>194000</v>
      </c>
      <c r="P277" s="46">
        <f t="shared" ca="1" si="13"/>
        <v>1.3333333333347987E-3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input_settle_603100!A$2</f>
        <v>603100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IFERROR(VLOOKUP(B278,input_settle_603100!L:R,7,FALSE),VLOOKUP(tables_settle_603100!C278,input_settle_603100!A:H,8,FALSE))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input_settle_603100!A$2</f>
        <v>603100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IFERROR(VLOOKUP(B279,input_settle_603100!L:R,7,FALSE),VLOOKUP(tables_settle_603100!C279,input_settle_603100!A:H,8,FALSE))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input_settle_603100!A$2</f>
        <v>603100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IFERROR(VLOOKUP(B280,input_settle_603100!L:R,7,FALSE),VLOOKUP(tables_settle_603100!C280,input_settle_603100!A:H,8,FALSE))</f>
        <v>1694423.0769199999</v>
      </c>
      <c r="P280" s="46">
        <f t="shared" ca="1" si="13"/>
        <v>1.1645519429016236E-2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input_settle_603100!A$2</f>
        <v>603100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IFERROR(VLOOKUP(B281,input_settle_603100!L:R,7,FALSE),VLOOKUP(tables_settle_603100!C281,input_settle_603100!A:H,8,FALSE))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input_settle_603100!A$2</f>
        <v>603100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IFERROR(VLOOKUP(B282,input_settle_603100!L:R,7,FALSE),VLOOKUP(tables_settle_603100!C282,input_settle_603100!A:H,8,FALSE))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input_settle_603100!A$2</f>
        <v>603100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IFERROR(VLOOKUP(B283,input_settle_603100!L:R,7,FALSE),VLOOKUP(tables_settle_603100!C283,input_settle_603100!A:H,8,FALSE))</f>
        <v>1694423.0769199999</v>
      </c>
      <c r="P283" s="46">
        <f t="shared" ca="1" si="13"/>
        <v>1.1645519429016236E-2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input_settle_603100!A$2</f>
        <v>603100</v>
      </c>
      <c r="B284" s="100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IFERROR(VLOOKUP(B284,input_settle_603100!L:R,7,FALSE),VLOOKUP(tables_settle_603100!C284,input_settle_603100!A:H,8,FALSE))</f>
        <v>194000</v>
      </c>
      <c r="P284" s="46">
        <f t="shared" ca="1" si="13"/>
        <v>1.3333333333347987E-3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input_settle_603100!A$2</f>
        <v>603100</v>
      </c>
      <c r="B285" s="100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IFERROR(VLOOKUP(B285,input_settle_603100!L:R,7,FALSE),VLOOKUP(tables_settle_603100!C285,input_settle_603100!A:H,8,FALSE))</f>
        <v>194000</v>
      </c>
      <c r="P285" s="46">
        <f t="shared" ca="1" si="13"/>
        <v>1.3333333333347987E-3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input_settle_603100!A$2</f>
        <v>603100</v>
      </c>
      <c r="B286" s="100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IFERROR(VLOOKUP(B286,input_settle_603100!L:R,7,FALSE),VLOOKUP(tables_settle_603100!C286,input_settle_603100!A:H,8,FALSE))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input_settle_603100!A$2</f>
        <v>603100</v>
      </c>
      <c r="B287" s="100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IFERROR(VLOOKUP(B287,input_settle_603100!L:R,7,FALSE),VLOOKUP(tables_settle_603100!C287,input_settle_603100!A:H,8,FALSE))</f>
        <v>1335000</v>
      </c>
      <c r="P287" s="46">
        <f t="shared" ca="1" si="13"/>
        <v>9.1752577319688475E-3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input_settle_603100!A$2</f>
        <v>603100</v>
      </c>
      <c r="B288" s="100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IFERROR(VLOOKUP(B288,input_settle_603100!L:R,7,FALSE),VLOOKUP(tables_settle_603100!C288,input_settle_603100!A:H,8,FALSE))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input_settle_603100!A$2</f>
        <v>603100</v>
      </c>
      <c r="B289" s="100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IFERROR(VLOOKUP(B289,input_settle_603100!L:R,7,FALSE),VLOOKUP(tables_settle_603100!C289,input_settle_603100!A:H,8,FALSE))</f>
        <v>1335000</v>
      </c>
      <c r="P289" s="46">
        <f t="shared" ca="1" si="13"/>
        <v>9.1752577319688475E-3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input_settle_603100!A$2</f>
        <v>603100</v>
      </c>
      <c r="B290" s="100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IFERROR(VLOOKUP(B290,input_settle_603100!L:R,7,FALSE),VLOOKUP(tables_settle_603100!C290,input_settle_603100!A:H,8,FALSE))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input_settle_603100!A$2</f>
        <v>603100</v>
      </c>
      <c r="B291" s="100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IFERROR(VLOOKUP(B291,input_settle_603100!L:R,7,FALSE),VLOOKUP(tables_settle_603100!C291,input_settle_603100!A:H,8,FALSE))</f>
        <v>1335000</v>
      </c>
      <c r="P291" s="46">
        <f t="shared" ca="1" si="13"/>
        <v>9.1752577319688475E-3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input_settle_603100!A$2</f>
        <v>603100</v>
      </c>
      <c r="B292" s="100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IFERROR(VLOOKUP(B292,input_settle_603100!L:R,7,FALSE),VLOOKUP(tables_settle_603100!C292,input_settle_603100!A:H,8,FALSE))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input_settle_603100!A$2</f>
        <v>603100</v>
      </c>
      <c r="B293" s="100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IFERROR(VLOOKUP(B293,input_settle_603100!L:R,7,FALSE),VLOOKUP(tables_settle_603100!C293,input_settle_603100!A:H,8,FALSE))</f>
        <v>1335000</v>
      </c>
      <c r="P293" s="46">
        <f t="shared" ca="1" si="13"/>
        <v>9.1752577319688475E-3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input_settle_603100!A$2</f>
        <v>603100</v>
      </c>
      <c r="B294" s="100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IFERROR(VLOOKUP(B294,input_settle_603100!L:R,7,FALSE),VLOOKUP(tables_settle_603100!C294,input_settle_603100!A:H,8,FALSE))</f>
        <v>194000</v>
      </c>
      <c r="P294" s="46">
        <f t="shared" ca="1" si="13"/>
        <v>1.3333333333347987E-3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input_settle_603100!A$2</f>
        <v>603100</v>
      </c>
      <c r="B295" s="100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IFERROR(VLOOKUP(B295,input_settle_603100!L:R,7,FALSE),VLOOKUP(tables_settle_603100!C295,input_settle_603100!A:H,8,FALSE))</f>
        <v>194000</v>
      </c>
      <c r="P295" s="46">
        <f t="shared" ca="1" si="13"/>
        <v>1.3333333333347987E-3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input_settle_603100!A$2</f>
        <v>603100</v>
      </c>
      <c r="B296" s="100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IFERROR(VLOOKUP(B296,input_settle_603100!L:R,7,FALSE),VLOOKUP(tables_settle_603100!C296,input_settle_603100!A:H,8,FALSE))</f>
        <v>194000</v>
      </c>
      <c r="P296" s="46">
        <f t="shared" ca="1" si="13"/>
        <v>1.3333333333347987E-3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input_settle_603100!A$2</f>
        <v>603100</v>
      </c>
      <c r="B297" s="100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IFERROR(VLOOKUP(B297,input_settle_603100!L:R,7,FALSE),VLOOKUP(tables_settle_603100!C297,input_settle_603100!A:H,8,FALSE))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input_settle_603100!A$2</f>
        <v>603100</v>
      </c>
      <c r="B298" s="100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IFERROR(VLOOKUP(B298,input_settle_603100!L:R,7,FALSE),VLOOKUP(tables_settle_603100!C298,input_settle_603100!A:H,8,FALSE))</f>
        <v>1335000</v>
      </c>
      <c r="P298" s="46">
        <f t="shared" ca="1" si="13"/>
        <v>9.1752577319688475E-3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input_settle_603100!A$2</f>
        <v>603100</v>
      </c>
      <c r="B299" s="100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IFERROR(VLOOKUP(B299,input_settle_603100!L:R,7,FALSE),VLOOKUP(tables_settle_603100!C299,input_settle_603100!A:H,8,FALSE))</f>
        <v>194000</v>
      </c>
      <c r="P299" s="46">
        <f t="shared" ca="1" si="13"/>
        <v>1.3333333333347987E-3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input_settle_603100!A$2</f>
        <v>603100</v>
      </c>
      <c r="B300" s="100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IFERROR(VLOOKUP(B300,input_settle_603100!L:R,7,FALSE),VLOOKUP(tables_settle_603100!C300,input_settle_603100!A:H,8,FALSE))</f>
        <v>194000</v>
      </c>
      <c r="P300" s="46">
        <f t="shared" ca="1" si="13"/>
        <v>1.3333333333347987E-3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input_settle_603100!A$2</f>
        <v>603100</v>
      </c>
      <c r="B301" s="100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IFERROR(VLOOKUP(B301,input_settle_603100!L:R,7,FALSE),VLOOKUP(tables_settle_603100!C301,input_settle_603100!A:H,8,FALSE))</f>
        <v>194000</v>
      </c>
      <c r="P301" s="46">
        <f t="shared" ca="1" si="13"/>
        <v>1.3333333333347987E-3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input_settle_603100!A$2</f>
        <v>603100</v>
      </c>
      <c r="B302" s="100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IFERROR(VLOOKUP(B302,input_settle_603100!L:R,7,FALSE),VLOOKUP(tables_settle_603100!C302,input_settle_603100!A:H,8,FALSE))</f>
        <v>194000</v>
      </c>
      <c r="P302" s="46">
        <f t="shared" ca="1" si="13"/>
        <v>1.3333333333347987E-3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input_settle_603100!A$2</f>
        <v>603100</v>
      </c>
      <c r="B303" s="100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IFERROR(VLOOKUP(B303,input_settle_603100!L:R,7,FALSE),VLOOKUP(tables_settle_603100!C303,input_settle_603100!A:H,8,FALSE))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input_settle_603100!A$2</f>
        <v>603100</v>
      </c>
      <c r="B304" s="100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IFERROR(VLOOKUP(B304,input_settle_603100!L:R,7,FALSE),VLOOKUP(tables_settle_603100!C304,input_settle_603100!A:H,8,FALSE))</f>
        <v>1335000</v>
      </c>
      <c r="P304" s="46">
        <f t="shared" ca="1" si="13"/>
        <v>9.1752577319688475E-3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input_settle_603100!A$2</f>
        <v>603100</v>
      </c>
      <c r="B305" s="100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IFERROR(VLOOKUP(B305,input_settle_603100!L:R,7,FALSE),VLOOKUP(tables_settle_603100!C305,input_settle_603100!A:H,8,FALSE))</f>
        <v>194000</v>
      </c>
      <c r="P305" s="46">
        <f t="shared" ca="1" si="13"/>
        <v>1.3333333333347987E-3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input_settle_603100!A$2</f>
        <v>603100</v>
      </c>
      <c r="B306" s="100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IFERROR(VLOOKUP(B306,input_settle_603100!L:R,7,FALSE),VLOOKUP(tables_settle_603100!C306,input_settle_603100!A:H,8,FALSE))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input_settle_603100!A$2</f>
        <v>603100</v>
      </c>
      <c r="B307" s="100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IFERROR(VLOOKUP(B307,input_settle_603100!L:R,7,FALSE),VLOOKUP(tables_settle_603100!C307,input_settle_603100!A:H,8,FALSE))</f>
        <v>1335000</v>
      </c>
      <c r="P307" s="46">
        <f t="shared" ca="1" si="13"/>
        <v>9.1752577319688475E-3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input_settle_603100!A$2</f>
        <v>603100</v>
      </c>
      <c r="B308" s="100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IFERROR(VLOOKUP(B308,input_settle_603100!L:R,7,FALSE),VLOOKUP(tables_settle_603100!C308,input_settle_603100!A:H,8,FALSE))</f>
        <v>194000</v>
      </c>
      <c r="P308" s="46">
        <f t="shared" ca="1" si="13"/>
        <v>1.3333333333347987E-3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input_settle_603100!A$2</f>
        <v>603100</v>
      </c>
      <c r="B309" s="100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IFERROR(VLOOKUP(B309,input_settle_603100!L:R,7,FALSE),VLOOKUP(tables_settle_603100!C309,input_settle_603100!A:H,8,FALSE))</f>
        <v>194000</v>
      </c>
      <c r="P309" s="46">
        <f t="shared" ca="1" si="13"/>
        <v>1.3333333333347987E-3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input_settle_603100!A$2</f>
        <v>603100</v>
      </c>
      <c r="B310" s="100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IFERROR(VLOOKUP(B310,input_settle_603100!L:R,7,FALSE),VLOOKUP(tables_settle_603100!C310,input_settle_603100!A:H,8,FALSE))</f>
        <v>194000</v>
      </c>
      <c r="P310" s="46">
        <f t="shared" ca="1" si="13"/>
        <v>1.3333333333347987E-3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input_settle_603100!A$2</f>
        <v>603100</v>
      </c>
      <c r="B311" s="100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IFERROR(VLOOKUP(B311,input_settle_603100!L:R,7,FALSE),VLOOKUP(tables_settle_603100!C311,input_settle_603100!A:H,8,FALSE))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input_settle_603100!A$2</f>
        <v>603100</v>
      </c>
      <c r="B312" s="100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IFERROR(VLOOKUP(B312,input_settle_603100!L:R,7,FALSE),VLOOKUP(tables_settle_603100!C312,input_settle_603100!A:H,8,FALSE))</f>
        <v>1335000</v>
      </c>
      <c r="P312" s="46">
        <f t="shared" ca="1" si="13"/>
        <v>9.1752577319688475E-3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input_settle_603100!A$2</f>
        <v>603100</v>
      </c>
      <c r="B313" s="100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IFERROR(VLOOKUP(B313,input_settle_603100!L:R,7,FALSE),VLOOKUP(tables_settle_603100!C313,input_settle_603100!A:H,8,FALSE))</f>
        <v>194000</v>
      </c>
      <c r="P313" s="46">
        <f t="shared" ca="1" si="13"/>
        <v>1.3333333333347987E-3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input_settle_603100!A$2</f>
        <v>603100</v>
      </c>
      <c r="B314" s="100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IFERROR(VLOOKUP(B314,input_settle_603100!L:R,7,FALSE),VLOOKUP(tables_settle_603100!C314,input_settle_603100!A:H,8,FALSE))</f>
        <v>194000</v>
      </c>
      <c r="P314" s="46">
        <f t="shared" ca="1" si="13"/>
        <v>1.3333333333347987E-3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input_settle_603100!A$2</f>
        <v>603100</v>
      </c>
      <c r="B315" s="100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IFERROR(VLOOKUP(B315,input_settle_603100!L:R,7,FALSE),VLOOKUP(tables_settle_603100!C315,input_settle_603100!A:H,8,FALSE))</f>
        <v>194000</v>
      </c>
      <c r="P315" s="46">
        <f t="shared" ca="1" si="13"/>
        <v>1.3333333333347987E-3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input_settle_603100!A$2</f>
        <v>603100</v>
      </c>
      <c r="B316" s="100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IFERROR(VLOOKUP(B316,input_settle_603100!L:R,7,FALSE),VLOOKUP(tables_settle_603100!C316,input_settle_603100!A:H,8,FALSE))</f>
        <v>194000</v>
      </c>
      <c r="P316" s="46">
        <f t="shared" ca="1" si="13"/>
        <v>1.3333333333347987E-3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input_settle_603100!A$2</f>
        <v>603100</v>
      </c>
      <c r="B317" s="100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IFERROR(VLOOKUP(B317,input_settle_603100!L:R,7,FALSE),VLOOKUP(tables_settle_603100!C317,input_settle_603100!A:H,8,FALSE))</f>
        <v>194000</v>
      </c>
      <c r="P317" s="46">
        <f t="shared" ca="1" si="13"/>
        <v>1.3333333333347987E-3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input_settle_603100!A$2</f>
        <v>603100</v>
      </c>
      <c r="B318" s="100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IFERROR(VLOOKUP(B318,input_settle_603100!L:R,7,FALSE),VLOOKUP(tables_settle_603100!C318,input_settle_603100!A:H,8,FALSE))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input_settle_603100!A$2</f>
        <v>603100</v>
      </c>
      <c r="B319" s="100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IFERROR(VLOOKUP(B319,input_settle_603100!L:R,7,FALSE),VLOOKUP(tables_settle_603100!C319,input_settle_603100!A:H,8,FALSE))</f>
        <v>1335000</v>
      </c>
      <c r="P319" s="46">
        <f t="shared" ca="1" si="13"/>
        <v>9.1752577319688475E-3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input_settle_603100!A$2</f>
        <v>603100</v>
      </c>
      <c r="B320" s="100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IFERROR(VLOOKUP(B320,input_settle_603100!L:R,7,FALSE),VLOOKUP(tables_settle_603100!C320,input_settle_603100!A:H,8,FALSE))</f>
        <v>194000</v>
      </c>
      <c r="P320" s="46">
        <f t="shared" ca="1" si="13"/>
        <v>1.3333333333347987E-3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input_settle_603100!A$2</f>
        <v>603100</v>
      </c>
      <c r="B321" s="100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IFERROR(VLOOKUP(B321,input_settle_603100!L:R,7,FALSE),VLOOKUP(tables_settle_603100!C321,input_settle_603100!A:H,8,FALSE))</f>
        <v>194000</v>
      </c>
      <c r="P321" s="46">
        <f t="shared" ca="1" si="13"/>
        <v>1.3333333333347987E-3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input_settle_603100!A$2</f>
        <v>603100</v>
      </c>
      <c r="B322" s="100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IFERROR(VLOOKUP(B322,input_settle_603100!L:R,7,FALSE),VLOOKUP(tables_settle_603100!C322,input_settle_603100!A:H,8,FALSE))</f>
        <v>194000</v>
      </c>
      <c r="P322" s="46">
        <f t="shared" ref="P322:P385" ca="1" si="16">O322/SUM(O:O)</f>
        <v>1.3333333333347987E-3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input_settle_603100!A$2</f>
        <v>603100</v>
      </c>
      <c r="B323" s="100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IFERROR(VLOOKUP(B323,input_settle_603100!L:R,7,FALSE),VLOOKUP(tables_settle_603100!C323,input_settle_603100!A:H,8,FALSE))</f>
        <v>194000</v>
      </c>
      <c r="P323" s="46">
        <f t="shared" ca="1" si="16"/>
        <v>1.3333333333347987E-3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input_settle_603100!A$2</f>
        <v>603100</v>
      </c>
      <c r="B324" s="100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IFERROR(VLOOKUP(B324,input_settle_603100!L:R,7,FALSE),VLOOKUP(tables_settle_603100!C324,input_settle_603100!A:H,8,FALSE))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input_settle_603100!A$2</f>
        <v>603100</v>
      </c>
      <c r="B325" s="100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IFERROR(VLOOKUP(B325,input_settle_603100!L:R,7,FALSE),VLOOKUP(tables_settle_603100!C325,input_settle_603100!A:H,8,FALSE))</f>
        <v>1335000</v>
      </c>
      <c r="P325" s="46">
        <f t="shared" ca="1" si="16"/>
        <v>9.1752577319688475E-3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input_settle_603100!A$2</f>
        <v>603100</v>
      </c>
      <c r="B326" s="100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IFERROR(VLOOKUP(B326,input_settle_603100!L:R,7,FALSE),VLOOKUP(tables_settle_603100!C326,input_settle_603100!A:H,8,FALSE))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input_settle_603100!A$2</f>
        <v>603100</v>
      </c>
      <c r="B327" s="100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IFERROR(VLOOKUP(B327,input_settle_603100!L:R,7,FALSE),VLOOKUP(tables_settle_603100!C327,input_settle_603100!A:H,8,FALSE))</f>
        <v>1335000</v>
      </c>
      <c r="P327" s="46">
        <f t="shared" ca="1" si="16"/>
        <v>9.1752577319688475E-3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input_settle_603100!A$2</f>
        <v>603100</v>
      </c>
      <c r="B328" s="100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IFERROR(VLOOKUP(B328,input_settle_603100!L:R,7,FALSE),VLOOKUP(tables_settle_603100!C328,input_settle_603100!A:H,8,FALSE))</f>
        <v>194000</v>
      </c>
      <c r="P328" s="46">
        <f t="shared" ca="1" si="16"/>
        <v>1.3333333333347987E-3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input_settle_603100!A$2</f>
        <v>603100</v>
      </c>
      <c r="B329" s="100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IFERROR(VLOOKUP(B329,input_settle_603100!L:R,7,FALSE),VLOOKUP(tables_settle_603100!C329,input_settle_603100!A:H,8,FALSE))</f>
        <v>194000</v>
      </c>
      <c r="P329" s="46">
        <f t="shared" ca="1" si="16"/>
        <v>1.3333333333347987E-3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input_settle_603100!A$2</f>
        <v>603100</v>
      </c>
      <c r="B330" s="100">
        <v>1157</v>
      </c>
      <c r="C330" s="7" t="str">
        <f t="shared" si="15"/>
        <v>PremiumSS5R5only</v>
      </c>
      <c r="D330" s="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IFERROR(VLOOKUP(B330,input_settle_603100!L:R,7,FALSE),VLOOKUP(tables_settle_603100!C330,input_settle_603100!A:H,8,FALSE))</f>
        <v>194000</v>
      </c>
      <c r="P330" s="46">
        <f t="shared" ca="1" si="16"/>
        <v>1.3333333333347987E-3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input_settle_603100!A$2</f>
        <v>603100</v>
      </c>
      <c r="B331" s="98">
        <v>1214</v>
      </c>
      <c r="C331" s="7" t="str">
        <f t="shared" si="15"/>
        <v>PremiumSS5R5only</v>
      </c>
      <c r="D331" s="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IFERROR(VLOOKUP(B331,input_settle_603100!L:R,7,FALSE),VLOOKUP(tables_settle_603100!C331,input_settle_603100!A:H,8,FALSE))</f>
        <v>194000</v>
      </c>
      <c r="P331" s="46">
        <f t="shared" ca="1" si="16"/>
        <v>1.3333333333347987E-3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input_settle_603100!A$2</f>
        <v>603100</v>
      </c>
      <c r="B332" s="98">
        <v>1212</v>
      </c>
      <c r="C332" s="7" t="str">
        <f t="shared" si="15"/>
        <v>PremiumSS5R5only</v>
      </c>
      <c r="D332" s="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IFERROR(VLOOKUP(B332,input_settle_603100!L:R,7,FALSE),VLOOKUP(tables_settle_603100!C332,input_settle_603100!A:H,8,FALSE))</f>
        <v>194000</v>
      </c>
      <c r="P332" s="46">
        <f t="shared" ca="1" si="16"/>
        <v>1.3333333333347987E-3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input_settle_603100!A$2</f>
        <v>603100</v>
      </c>
      <c r="B333" s="98">
        <v>1208</v>
      </c>
      <c r="C333" s="7" t="str">
        <f t="shared" si="15"/>
        <v>PremiumSS5R5only</v>
      </c>
      <c r="D333" s="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IFERROR(VLOOKUP(B333,input_settle_603100!L:R,7,FALSE),VLOOKUP(tables_settle_603100!C333,input_settle_603100!A:H,8,FALSE))</f>
        <v>194000</v>
      </c>
      <c r="P333" s="46">
        <f t="shared" ca="1" si="16"/>
        <v>1.3333333333347987E-3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input_settle_603100!A$2</f>
        <v>603100</v>
      </c>
      <c r="B334" s="99">
        <v>1210</v>
      </c>
      <c r="C334" s="7" t="str">
        <f t="shared" si="15"/>
        <v>Premium4R3less</v>
      </c>
      <c r="D334" s="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IFERROR(VLOOKUP(B334,input_settle_603100!L:R,7,FALSE),VLOOKUP(tables_settle_603100!C334,input_settle_603100!A:H,8,FALSE))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input_settle_603100!A$2</f>
        <v>603100</v>
      </c>
      <c r="B335" s="98">
        <v>1211</v>
      </c>
      <c r="C335" s="7" t="str">
        <f t="shared" si="15"/>
        <v>Premium5R3less</v>
      </c>
      <c r="D335" s="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IFERROR(VLOOKUP(B335,input_settle_603100!L:R,7,FALSE),VLOOKUP(tables_settle_603100!C335,input_settle_603100!A:H,8,FALSE))</f>
        <v>1335000</v>
      </c>
      <c r="P335" s="46">
        <f t="shared" ca="1" si="16"/>
        <v>9.1752577319688475E-3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input_settle_603100!A$2</f>
        <v>603100</v>
      </c>
      <c r="B336" s="100">
        <v>1224</v>
      </c>
      <c r="C336" s="7" t="str">
        <f t="shared" si="15"/>
        <v>Premium4R3less</v>
      </c>
      <c r="D336" s="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IFERROR(VLOOKUP(B336,input_settle_603100!L:R,7,FALSE),VLOOKUP(tables_settle_603100!C336,input_settle_603100!A:H,8,FALSE))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input_settle_603100!A$2</f>
        <v>603100</v>
      </c>
      <c r="B337" s="100">
        <v>1225</v>
      </c>
      <c r="C337" s="7" t="str">
        <f t="shared" si="15"/>
        <v>Premium5R3less</v>
      </c>
      <c r="D337" s="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IFERROR(VLOOKUP(B337,input_settle_603100!L:R,7,FALSE),VLOOKUP(tables_settle_603100!C337,input_settle_603100!A:H,8,FALSE))</f>
        <v>1335000</v>
      </c>
      <c r="P337" s="46">
        <f t="shared" ca="1" si="16"/>
        <v>9.1752577319688475E-3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input_settle_603100!A$2</f>
        <v>603100</v>
      </c>
      <c r="B338" s="100">
        <v>1226</v>
      </c>
      <c r="C338" s="7" t="str">
        <f t="shared" si="15"/>
        <v>PremiumSS5R5only</v>
      </c>
      <c r="D338" s="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IFERROR(VLOOKUP(B338,input_settle_603100!L:R,7,FALSE),VLOOKUP(tables_settle_603100!C338,input_settle_603100!A:H,8,FALSE))</f>
        <v>194000</v>
      </c>
      <c r="P338" s="46">
        <f t="shared" ca="1" si="16"/>
        <v>1.3333333333347987E-3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input_settle_603100!A$2</f>
        <v>603100</v>
      </c>
      <c r="B339" s="100">
        <v>1228</v>
      </c>
      <c r="C339" s="7" t="str">
        <f t="shared" si="15"/>
        <v>PremiumSS5R5only</v>
      </c>
      <c r="D339" s="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IFERROR(VLOOKUP(B339,input_settle_603100!L:R,7,FALSE),VLOOKUP(tables_settle_603100!C339,input_settle_603100!A:H,8,FALSE))</f>
        <v>194000</v>
      </c>
      <c r="P339" s="46">
        <f t="shared" ca="1" si="16"/>
        <v>1.3333333333347987E-3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input_settle_603100!A$2</f>
        <v>603100</v>
      </c>
      <c r="B340" s="100">
        <v>1230</v>
      </c>
      <c r="C340" s="7" t="str">
        <f t="shared" si="15"/>
        <v>PremiumSS5R5only</v>
      </c>
      <c r="D340" s="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IFERROR(VLOOKUP(B340,input_settle_603100!L:R,7,FALSE),VLOOKUP(tables_settle_603100!C340,input_settle_603100!A:H,8,FALSE))</f>
        <v>194000</v>
      </c>
      <c r="P340" s="46">
        <f t="shared" ca="1" si="16"/>
        <v>1.3333333333347987E-3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input_settle_603100!A$2</f>
        <v>603100</v>
      </c>
      <c r="B341" s="100">
        <v>1244</v>
      </c>
      <c r="C341" s="7" t="str">
        <f t="shared" si="15"/>
        <v>PremiumSS5R5only</v>
      </c>
      <c r="D341" s="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IFERROR(VLOOKUP(B341,input_settle_603100!L:R,7,FALSE),VLOOKUP(tables_settle_603100!C341,input_settle_603100!A:H,8,FALSE))</f>
        <v>194000</v>
      </c>
      <c r="P341" s="46">
        <f t="shared" ca="1" si="16"/>
        <v>1.3333333333347987E-3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input_settle_603100!A$2</f>
        <v>603100</v>
      </c>
      <c r="B342" s="100">
        <v>1246</v>
      </c>
      <c r="C342" s="7" t="str">
        <f t="shared" si="15"/>
        <v>PremiumSS5R5only</v>
      </c>
      <c r="D342" s="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IFERROR(VLOOKUP(B342,input_settle_603100!L:R,7,FALSE),VLOOKUP(tables_settle_603100!C342,input_settle_603100!A:H,8,FALSE))</f>
        <v>194000</v>
      </c>
      <c r="P342" s="46">
        <f t="shared" ca="1" si="16"/>
        <v>1.3333333333347987E-3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input_settle_603100!A$2</f>
        <v>603100</v>
      </c>
      <c r="B343" s="100">
        <v>1248</v>
      </c>
      <c r="C343" s="7" t="str">
        <f t="shared" si="15"/>
        <v>Premium4R3less</v>
      </c>
      <c r="D343" s="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IFERROR(VLOOKUP(B343,input_settle_603100!L:R,7,FALSE),VLOOKUP(tables_settle_603100!C343,input_settle_603100!A:H,8,FALSE))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input_settle_603100!A$2</f>
        <v>603100</v>
      </c>
      <c r="B344" s="100">
        <v>1249</v>
      </c>
      <c r="C344" s="7" t="str">
        <f t="shared" si="15"/>
        <v>Premium5R3less</v>
      </c>
      <c r="D344" s="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IFERROR(VLOOKUP(B344,input_settle_603100!L:R,7,FALSE),VLOOKUP(tables_settle_603100!C344,input_settle_603100!A:H,8,FALSE))</f>
        <v>1335000</v>
      </c>
      <c r="P344" s="46">
        <f t="shared" ca="1" si="16"/>
        <v>9.1752577319688475E-3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input_settle_603100!A$2</f>
        <v>603100</v>
      </c>
      <c r="B345" s="100">
        <v>1250</v>
      </c>
      <c r="C345" s="7" t="str">
        <f t="shared" si="15"/>
        <v>PremiumSS5R5only</v>
      </c>
      <c r="D345" s="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IFERROR(VLOOKUP(B345,input_settle_603100!L:R,7,FALSE),VLOOKUP(tables_settle_603100!C345,input_settle_603100!A:H,8,FALSE))</f>
        <v>194000</v>
      </c>
      <c r="P345" s="46">
        <f t="shared" ca="1" si="16"/>
        <v>1.3333333333347987E-3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input_settle_603100!A$2</f>
        <v>603100</v>
      </c>
      <c r="B346" s="100">
        <v>1260</v>
      </c>
      <c r="C346" s="7" t="str">
        <f t="shared" si="15"/>
        <v>PremiumSS5R5only</v>
      </c>
      <c r="D346" s="7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IFERROR(VLOOKUP(B346,input_settle_603100!L:R,7,FALSE),VLOOKUP(tables_settle_603100!C346,input_settle_603100!A:H,8,FALSE))</f>
        <v>194000</v>
      </c>
      <c r="P346" s="46">
        <f t="shared" ca="1" si="16"/>
        <v>1.3333333333347987E-3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input_settle_603100!A$2</f>
        <v>603100</v>
      </c>
      <c r="B347" s="100">
        <v>1262</v>
      </c>
      <c r="C347" s="7" t="str">
        <f t="shared" si="15"/>
        <v>PremiumSS5R5only</v>
      </c>
      <c r="D347" s="7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IFERROR(VLOOKUP(B347,input_settle_603100!L:R,7,FALSE),VLOOKUP(tables_settle_603100!C347,input_settle_603100!A:H,8,FALSE))</f>
        <v>194000</v>
      </c>
      <c r="P347" s="46">
        <f t="shared" ca="1" si="16"/>
        <v>1.3333333333347987E-3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input_settle_603100!A$2</f>
        <v>603100</v>
      </c>
      <c r="B348" s="100">
        <v>1264</v>
      </c>
      <c r="C348" s="7" t="str">
        <f t="shared" ref="C348:C357" si="18">D348&amp;J348&amp;E348&amp;F348&amp;G348</f>
        <v>PremiumSS5R5only</v>
      </c>
      <c r="D348" s="7" t="str">
        <f t="shared" ref="D348:D357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IFERROR(VLOOKUP(B348,input_settle_603100!L:R,7,FALSE),VLOOKUP(tables_settle_603100!C348,input_settle_603100!A:H,8,FALSE))</f>
        <v>194000</v>
      </c>
      <c r="P348" s="46">
        <f t="shared" ca="1" si="16"/>
        <v>1.3333333333347987E-3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input_settle_603100!A$2</f>
        <v>603100</v>
      </c>
      <c r="B349" s="100">
        <v>1266</v>
      </c>
      <c r="C349" s="7" t="str">
        <f t="shared" si="18"/>
        <v>Premium4R3less</v>
      </c>
      <c r="D349" s="7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IFERROR(VLOOKUP(B349,input_settle_603100!L:R,7,FALSE),VLOOKUP(tables_settle_603100!C349,input_settle_603100!A:H,8,FALSE))</f>
        <v>0</v>
      </c>
      <c r="P349" s="46">
        <f t="shared" ca="1" si="16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input_settle_603100!A$2</f>
        <v>603100</v>
      </c>
      <c r="B350" s="100">
        <v>1267</v>
      </c>
      <c r="C350" s="7" t="str">
        <f t="shared" si="18"/>
        <v>Premium5R3less</v>
      </c>
      <c r="D350" s="7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IFERROR(VLOOKUP(B350,input_settle_603100!L:R,7,FALSE),VLOOKUP(tables_settle_603100!C350,input_settle_603100!A:H,8,FALSE))</f>
        <v>1335000</v>
      </c>
      <c r="P350" s="46">
        <f t="shared" ca="1" si="16"/>
        <v>9.1752577319688475E-3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input_settle_603100!A$2</f>
        <v>603100</v>
      </c>
      <c r="B351" s="100">
        <v>1332</v>
      </c>
      <c r="C351" s="7" t="str">
        <f t="shared" si="18"/>
        <v>PremiumSS5R5only</v>
      </c>
      <c r="D351" s="7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IFERROR(VLOOKUP(B351,input_settle_603100!L:R,7,FALSE),VLOOKUP(tables_settle_603100!C351,input_settle_603100!A:H,8,FALSE))</f>
        <v>194000</v>
      </c>
      <c r="P351" s="46">
        <f t="shared" ca="1" si="16"/>
        <v>1.3333333333347987E-3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input_settle_603100!A$2</f>
        <v>603100</v>
      </c>
      <c r="B352" s="100">
        <v>1336</v>
      </c>
      <c r="C352" s="7" t="str">
        <f t="shared" si="18"/>
        <v>PremiumSS5R5only</v>
      </c>
      <c r="D352" s="7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IFERROR(VLOOKUP(B352,input_settle_603100!L:R,7,FALSE),VLOOKUP(tables_settle_603100!C352,input_settle_603100!A:H,8,FALSE))</f>
        <v>194000</v>
      </c>
      <c r="P352" s="46">
        <f t="shared" ca="1" si="16"/>
        <v>1.3333333333347987E-3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input_settle_603100!A$2</f>
        <v>603100</v>
      </c>
      <c r="B353" s="100">
        <v>1338</v>
      </c>
      <c r="C353" s="7" t="str">
        <f t="shared" si="18"/>
        <v>PremiumSS5R5only</v>
      </c>
      <c r="D353" s="7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IFERROR(VLOOKUP(B353,input_settle_603100!L:R,7,FALSE),VLOOKUP(tables_settle_603100!C353,input_settle_603100!A:H,8,FALSE))</f>
        <v>194000</v>
      </c>
      <c r="P353" s="46">
        <f t="shared" ca="1" si="16"/>
        <v>1.3333333333347987E-3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input_settle_603100!A$2</f>
        <v>603100</v>
      </c>
      <c r="B354" s="100">
        <v>1334</v>
      </c>
      <c r="C354" s="7" t="str">
        <f t="shared" si="18"/>
        <v>Premium4R3less</v>
      </c>
      <c r="D354" s="7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IFERROR(VLOOKUP(B354,input_settle_603100!L:R,7,FALSE),VLOOKUP(tables_settle_603100!C354,input_settle_603100!A:H,8,FALSE))</f>
        <v>0</v>
      </c>
      <c r="P354" s="46">
        <f t="shared" ca="1" si="16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input_settle_603100!A$2</f>
        <v>603100</v>
      </c>
      <c r="B355" s="100">
        <v>1335</v>
      </c>
      <c r="C355" s="7" t="str">
        <f t="shared" si="18"/>
        <v>Premium5R3less</v>
      </c>
      <c r="D355" s="7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IFERROR(VLOOKUP(B355,input_settle_603100!L:R,7,FALSE),VLOOKUP(tables_settle_603100!C355,input_settle_603100!A:H,8,FALSE))</f>
        <v>1335000</v>
      </c>
      <c r="P355" s="46">
        <f t="shared" ca="1" si="16"/>
        <v>9.1752577319688475E-3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input_settle_603100!A$2</f>
        <v>603100</v>
      </c>
      <c r="B356" s="101">
        <v>1381</v>
      </c>
      <c r="C356" s="7" t="str">
        <f t="shared" si="18"/>
        <v>Premium4R3less</v>
      </c>
      <c r="D356" s="7" t="str">
        <f t="shared" si="19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IFERROR(VLOOKUP(B356,input_settle_603100!L:R,7,FALSE),VLOOKUP(tables_settle_603100!C356,input_settle_603100!A:H,8,FALSE))</f>
        <v>0</v>
      </c>
      <c r="P356" s="46">
        <f t="shared" ca="1" si="16"/>
        <v>0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input_settle_603100!A$2</f>
        <v>603100</v>
      </c>
      <c r="B357" s="101">
        <v>1382</v>
      </c>
      <c r="C357" s="7" t="str">
        <f t="shared" si="18"/>
        <v>Premium5R3less</v>
      </c>
      <c r="D357" s="7" t="str">
        <f t="shared" si="19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IFERROR(VLOOKUP(B357,input_settle_603100!L:R,7,FALSE),VLOOKUP(tables_settle_603100!C357,input_settle_603100!A:H,8,FALSE))</f>
        <v>1335000</v>
      </c>
      <c r="P357" s="46">
        <f t="shared" ca="1" si="16"/>
        <v>9.1752577319688475E-3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input_settle_603100!A$2</f>
        <v>603100</v>
      </c>
      <c r="B358" s="101">
        <v>1383</v>
      </c>
      <c r="C358" s="7" t="str">
        <f t="shared" ref="C358" si="20">D358&amp;J358&amp;E358&amp;F358&amp;G358</f>
        <v>PremiumSS5R5only</v>
      </c>
      <c r="D358" s="7" t="str">
        <f t="shared" ref="D358" si="21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IFERROR(VLOOKUP(B358,input_settle_603100!L:R,7,FALSE),VLOOKUP(tables_settle_603100!C358,input_settle_603100!A:H,8,FALSE))</f>
        <v>194000</v>
      </c>
      <c r="P358" s="46">
        <f t="shared" ca="1" si="16"/>
        <v>1.3333333333347987E-3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input_settle_603100!A$2</f>
        <v>603100</v>
      </c>
      <c r="B359" s="101">
        <v>1385</v>
      </c>
      <c r="C359" s="7" t="str">
        <f t="shared" ref="C359:C361" si="22">D359&amp;J359&amp;E359&amp;F359&amp;G359</f>
        <v>PremiumSS5R5only</v>
      </c>
      <c r="D359" s="7" t="str">
        <f t="shared" ref="D359:D361" si="23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IFERROR(VLOOKUP(B359,input_settle_603100!L:R,7,FALSE),VLOOKUP(tables_settle_603100!C359,input_settle_603100!A:H,8,FALSE))</f>
        <v>194000</v>
      </c>
      <c r="P359" s="46">
        <f t="shared" ca="1" si="16"/>
        <v>1.3333333333347987E-3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input_settle_603100!A$2</f>
        <v>603100</v>
      </c>
      <c r="B360" s="101">
        <v>1387</v>
      </c>
      <c r="C360" s="7" t="str">
        <f t="shared" si="22"/>
        <v>PremiumSS5R5only</v>
      </c>
      <c r="D360" s="7" t="str">
        <f t="shared" si="23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IFERROR(VLOOKUP(B360,input_settle_603100!L:R,7,FALSE),VLOOKUP(tables_settle_603100!C360,input_settle_603100!A:H,8,FALSE))</f>
        <v>194000</v>
      </c>
      <c r="P360" s="46">
        <f t="shared" ca="1" si="16"/>
        <v>1.3333333333347987E-3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input_settle_603100!A$2</f>
        <v>603100</v>
      </c>
      <c r="B361" s="5">
        <v>953</v>
      </c>
      <c r="C361" s="7" t="str">
        <f t="shared" si="22"/>
        <v>PremiumSSS5R3less</v>
      </c>
      <c r="D361" s="7" t="str">
        <f t="shared" si="23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ハイゼンベルク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green</v>
      </c>
      <c r="L361" s="7" t="str">
        <f>VLOOKUP(B361,[1]characters!$A:$K,11,FALSE)</f>
        <v>attack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45">
        <f ca="1">IFERROR(VLOOKUP(B361,input_settle_603100!L:R,7,FALSE),VLOOKUP(tables_settle_603100!C361,input_settle_603100!A:H,8,FALSE))</f>
        <v>1455000</v>
      </c>
      <c r="P361" s="46">
        <f t="shared" ca="1" si="16"/>
        <v>1.0000000000010991E-2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Y77"/>
  <sheetViews>
    <sheetView showGridLines="0" zoomScale="75" zoomScaleNormal="75" zoomScalePageLayoutView="75" workbookViewId="0">
      <pane ySplit="1" topLeftCell="A2" activePane="bottomLeft" state="frozen"/>
      <selection activeCell="P347" sqref="P347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</cols>
  <sheetData>
    <row r="1" spans="1:25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5" ht="21" customHeight="1" x14ac:dyDescent="0.15">
      <c r="A2" s="2">
        <v>603104</v>
      </c>
      <c r="B2" s="98">
        <v>321</v>
      </c>
      <c r="C2" s="7" t="str">
        <f t="shared" ref="C2:C15" si="0">D2&amp;J2&amp;E2&amp;F2&amp;G2</f>
        <v>PremiumSS5</v>
      </c>
      <c r="D2" s="7" t="str">
        <f t="shared" ref="D2:D15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巌鉄の烈志士 近藤勇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1320</v>
      </c>
      <c r="P2" s="46">
        <f t="shared" ref="P2:P33" si="2">O2/SUM(O:O)</f>
        <v>1.32E-2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  <c r="X2">
        <f>COUNTIF(D:D,I2)</f>
        <v>75</v>
      </c>
      <c r="Y2">
        <f>X5*0.99/X2</f>
        <v>1320</v>
      </c>
    </row>
    <row r="3" spans="1:25" ht="21" customHeight="1" x14ac:dyDescent="0.15">
      <c r="A3" s="2">
        <v>603104</v>
      </c>
      <c r="B3" s="98">
        <v>323</v>
      </c>
      <c r="C3" s="7" t="str">
        <f t="shared" si="0"/>
        <v>PremiumSS5</v>
      </c>
      <c r="D3" s="7" t="str">
        <f t="shared" si="1"/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流麗の愛志士 土方歳三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v>1320</v>
      </c>
      <c r="P3" s="46">
        <f t="shared" si="2"/>
        <v>1.32E-2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X3" s="102">
        <v>1</v>
      </c>
      <c r="Y3">
        <f>X3*X5*0.01</f>
        <v>1000</v>
      </c>
    </row>
    <row r="4" spans="1:25" ht="21" customHeight="1" x14ac:dyDescent="0.15">
      <c r="A4" s="2">
        <v>603104</v>
      </c>
      <c r="B4" s="98">
        <v>325</v>
      </c>
      <c r="C4" s="7" t="str">
        <f t="shared" si="0"/>
        <v>PremiumSS5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天賦の凛志士 沖田総司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1320</v>
      </c>
      <c r="P4" s="46">
        <f t="shared" si="2"/>
        <v>1.32E-2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5" ht="21" customHeight="1" x14ac:dyDescent="0.15">
      <c r="A5" s="2">
        <v>603104</v>
      </c>
      <c r="B5" s="98">
        <v>327</v>
      </c>
      <c r="C5" s="7" t="str">
        <f t="shared" si="0"/>
        <v>PremiumSS5</v>
      </c>
      <c r="D5" s="7" t="str">
        <f t="shared" si="1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千殺の妖志士 斎藤一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v>1320</v>
      </c>
      <c r="P5" s="46">
        <f t="shared" si="2"/>
        <v>1.32E-2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X5" s="102">
        <v>100000</v>
      </c>
    </row>
    <row r="6" spans="1:25" ht="21" customHeight="1" x14ac:dyDescent="0.15">
      <c r="A6" s="2">
        <v>603104</v>
      </c>
      <c r="B6" s="98">
        <v>384</v>
      </c>
      <c r="C6" s="7" t="str">
        <f t="shared" si="0"/>
        <v>PremiumSS5</v>
      </c>
      <c r="D6" s="7" t="str">
        <f t="shared" si="1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破国の呑龍 ヤマタノオロチ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45">
        <v>1320</v>
      </c>
      <c r="P6" s="46">
        <f t="shared" si="2"/>
        <v>1.32E-2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5" ht="21" customHeight="1" x14ac:dyDescent="0.15">
      <c r="A7" s="2">
        <v>603104</v>
      </c>
      <c r="B7" s="98">
        <v>386</v>
      </c>
      <c r="C7" s="7" t="str">
        <f t="shared" si="0"/>
        <v>PremiumSS5</v>
      </c>
      <c r="D7" s="7" t="str">
        <f t="shared" si="1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氾乱の海龍 リヴァイアサン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dragon</v>
      </c>
      <c r="N7" s="7" t="str">
        <f>VLOOKUP(B7,[1]characters!$A:$G,7,FALSE)</f>
        <v>女性</v>
      </c>
      <c r="O7" s="45">
        <v>1320</v>
      </c>
      <c r="P7" s="46">
        <f t="shared" si="2"/>
        <v>1.32E-2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5" ht="21" customHeight="1" x14ac:dyDescent="0.15">
      <c r="A8" s="2">
        <v>603104</v>
      </c>
      <c r="B8" s="98">
        <v>391</v>
      </c>
      <c r="C8" s="7" t="str">
        <f t="shared" si="0"/>
        <v>PremiumSS5</v>
      </c>
      <c r="D8" s="7" t="str">
        <f t="shared" si="1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燕翼の旅人 親指姫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heal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v>1320</v>
      </c>
      <c r="P8" s="46">
        <f t="shared" si="2"/>
        <v>1.32E-2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5" ht="21" customHeight="1" x14ac:dyDescent="0.15">
      <c r="A9" s="2">
        <v>603104</v>
      </c>
      <c r="B9" s="98">
        <v>399</v>
      </c>
      <c r="C9" s="7" t="str">
        <f t="shared" si="0"/>
        <v>PremiumSS5</v>
      </c>
      <c r="D9" s="7" t="str">
        <f t="shared" si="1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信愛の兄妹 ヘンゼル＆グレーテル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v>1320</v>
      </c>
      <c r="P9" s="46">
        <f t="shared" si="2"/>
        <v>1.32E-2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5" ht="21" customHeight="1" x14ac:dyDescent="0.15">
      <c r="A10" s="2">
        <v>603104</v>
      </c>
      <c r="B10" s="98">
        <v>404</v>
      </c>
      <c r="C10" s="7" t="str">
        <f t="shared" si="0"/>
        <v>PremiumSS5</v>
      </c>
      <c r="D10" s="7" t="str">
        <f t="shared" si="1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空襲の神眼 八咫烏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balance</v>
      </c>
      <c r="M10" s="7" t="str">
        <f>VLOOKUP(B10,[1]characters!$A:$M,13,FALSE)</f>
        <v>animal</v>
      </c>
      <c r="N10" s="7" t="str">
        <f>VLOOKUP(B10,[1]characters!$A:$G,7,FALSE)</f>
        <v>女性</v>
      </c>
      <c r="O10" s="45">
        <v>1320</v>
      </c>
      <c r="P10" s="46">
        <f t="shared" si="2"/>
        <v>1.32E-2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5" ht="21" customHeight="1" x14ac:dyDescent="0.15">
      <c r="A11" s="2">
        <v>603104</v>
      </c>
      <c r="B11" s="98">
        <v>409</v>
      </c>
      <c r="C11" s="7" t="str">
        <f t="shared" si="0"/>
        <v>PremiumSS5</v>
      </c>
      <c r="D11" s="7" t="str">
        <f t="shared" si="1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天眼の皇貴魔 アスタロト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attack</v>
      </c>
      <c r="M11" s="7" t="str">
        <f>VLOOKUP(B11,[1]characters!$A:$M,13,FALSE)</f>
        <v>god</v>
      </c>
      <c r="N11" s="7" t="str">
        <f>VLOOKUP(B11,[1]characters!$A:$G,7,FALSE)</f>
        <v>男性</v>
      </c>
      <c r="O11" s="45">
        <v>1320</v>
      </c>
      <c r="P11" s="46">
        <f t="shared" si="2"/>
        <v>1.32E-2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5" ht="21" customHeight="1" x14ac:dyDescent="0.15">
      <c r="A12" s="2">
        <v>603104</v>
      </c>
      <c r="B12" s="98">
        <v>435</v>
      </c>
      <c r="C12" s="7" t="str">
        <f t="shared" si="0"/>
        <v>PremiumSS5</v>
      </c>
      <c r="D12" s="7" t="str">
        <f t="shared" si="1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曝弾の密偵 D.R.T.H.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1320</v>
      </c>
      <c r="P12" s="46">
        <f t="shared" si="2"/>
        <v>1.32E-2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5" ht="21" customHeight="1" x14ac:dyDescent="0.15">
      <c r="A13" s="2">
        <v>603104</v>
      </c>
      <c r="B13" s="98">
        <v>443</v>
      </c>
      <c r="C13" s="7" t="str">
        <f t="shared" si="0"/>
        <v>PremiumSS5</v>
      </c>
      <c r="D13" s="7" t="str">
        <f t="shared" si="1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勇機結集 ブレイブリー・ライオン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hp</v>
      </c>
      <c r="M13" s="7" t="str">
        <f>VLOOKUP(B13,[1]characters!$A:$M,13,FALSE)</f>
        <v>animal</v>
      </c>
      <c r="N13" s="7" t="str">
        <f>VLOOKUP(B13,[1]characters!$A:$G,7,FALSE)</f>
        <v>不明</v>
      </c>
      <c r="O13" s="45">
        <v>1320</v>
      </c>
      <c r="P13" s="46">
        <f t="shared" si="2"/>
        <v>1.32E-2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5" ht="21" customHeight="1" x14ac:dyDescent="0.15">
      <c r="A14" s="2">
        <v>603104</v>
      </c>
      <c r="B14" s="98">
        <v>466</v>
      </c>
      <c r="C14" s="7" t="str">
        <f t="shared" si="0"/>
        <v>PremiumSS5</v>
      </c>
      <c r="D14" s="7" t="str">
        <f t="shared" si="1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真断の勇覇 ランスロット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5">
        <v>1320</v>
      </c>
      <c r="P14" s="46">
        <f t="shared" si="2"/>
        <v>1.32E-2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5" ht="21" customHeight="1" x14ac:dyDescent="0.15">
      <c r="A15" s="2">
        <v>603104</v>
      </c>
      <c r="B15" s="98">
        <v>468</v>
      </c>
      <c r="C15" s="7" t="str">
        <f t="shared" si="0"/>
        <v>PremiumSS5</v>
      </c>
      <c r="D15" s="7" t="str">
        <f t="shared" si="1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v>1320</v>
      </c>
      <c r="P15" s="46">
        <f t="shared" si="2"/>
        <v>1.32E-2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5" ht="21" customHeight="1" x14ac:dyDescent="0.15">
      <c r="A16" s="2">
        <v>603104</v>
      </c>
      <c r="B16" s="98">
        <v>475</v>
      </c>
      <c r="C16" s="7" t="str">
        <f t="shared" ref="C16:C25" si="3">D16&amp;J16&amp;E16&amp;F16&amp;G16</f>
        <v>PremiumSS5</v>
      </c>
      <c r="D16" s="7" t="str">
        <f t="shared" ref="D16:D25" si="4">IF(OR(I16="PremiumSS",I16="PremiumSSw"),"PremiumSS",IF(I16="PremiumSSS",I16,IF(I16="PremiumW",IF(J16=5,"premium",I16),"Premium")))</f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45">
        <v>1320</v>
      </c>
      <c r="P16" s="46">
        <f t="shared" si="2"/>
        <v>1.32E-2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603104</v>
      </c>
      <c r="B17" s="98">
        <v>480</v>
      </c>
      <c r="C17" s="7" t="str">
        <f t="shared" si="3"/>
        <v>PremiumSS5</v>
      </c>
      <c r="D17" s="7" t="str">
        <f t="shared" si="4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夢幻の愚者フール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god</v>
      </c>
      <c r="N17" s="7" t="str">
        <f>VLOOKUP(B17,[1]characters!$A:$G,7,FALSE)</f>
        <v>男性</v>
      </c>
      <c r="O17" s="45">
        <v>1320</v>
      </c>
      <c r="P17" s="46">
        <f t="shared" si="2"/>
        <v>1.32E-2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603104</v>
      </c>
      <c r="B18" s="98">
        <v>493</v>
      </c>
      <c r="C18" s="7" t="str">
        <f t="shared" si="3"/>
        <v>PremiumSS5</v>
      </c>
      <c r="D18" s="7" t="str">
        <f t="shared" si="4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5">
        <v>1320</v>
      </c>
      <c r="P18" s="46">
        <f t="shared" si="2"/>
        <v>1.32E-2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>
        <v>603104</v>
      </c>
      <c r="B19" s="98">
        <v>495</v>
      </c>
      <c r="C19" s="7" t="str">
        <f t="shared" si="3"/>
        <v>PremiumSS5</v>
      </c>
      <c r="D19" s="7" t="str">
        <f t="shared" si="4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5">
        <v>1320</v>
      </c>
      <c r="P19" s="46">
        <f t="shared" si="2"/>
        <v>1.32E-2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603104</v>
      </c>
      <c r="B20" s="98">
        <v>500</v>
      </c>
      <c r="C20" s="7" t="str">
        <f t="shared" si="3"/>
        <v>PremiumSS5</v>
      </c>
      <c r="D20" s="7" t="str">
        <f t="shared" si="4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脈動の禁髪 ラプンツェル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v>1320</v>
      </c>
      <c r="P20" s="46">
        <f t="shared" si="2"/>
        <v>1.32E-2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603104</v>
      </c>
      <c r="B21" s="98">
        <v>587</v>
      </c>
      <c r="C21" s="7" t="str">
        <f t="shared" si="3"/>
        <v>PremiumSS5</v>
      </c>
      <c r="D21" s="7" t="str">
        <f t="shared" si="4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原初の煉鋼巨刃 ユミル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hp</v>
      </c>
      <c r="M21" s="7" t="str">
        <f>VLOOKUP(B21,[1]characters!$A:$M,13,FALSE)</f>
        <v>machine</v>
      </c>
      <c r="N21" s="7" t="str">
        <f>VLOOKUP(B21,[1]characters!$A:$G,7,FALSE)</f>
        <v>不明</v>
      </c>
      <c r="O21" s="45">
        <v>1320</v>
      </c>
      <c r="P21" s="46">
        <f t="shared" si="2"/>
        <v>1.32E-2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603104</v>
      </c>
      <c r="B22" s="98">
        <v>595</v>
      </c>
      <c r="C22" s="7" t="str">
        <f t="shared" si="3"/>
        <v>PremiumSS5</v>
      </c>
      <c r="D22" s="7" t="str">
        <f t="shared" si="4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光華なる神域 アルフヘイム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45">
        <v>1320</v>
      </c>
      <c r="P22" s="46">
        <f t="shared" si="2"/>
        <v>1.32E-2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603104</v>
      </c>
      <c r="B23" s="98">
        <v>603</v>
      </c>
      <c r="C23" s="7" t="str">
        <f t="shared" si="3"/>
        <v>PremiumSS5</v>
      </c>
      <c r="D23" s="7" t="str">
        <f t="shared" si="4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5">
        <v>1320</v>
      </c>
      <c r="P23" s="46">
        <f t="shared" si="2"/>
        <v>1.32E-2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603104</v>
      </c>
      <c r="B24" s="98">
        <v>659</v>
      </c>
      <c r="C24" s="7" t="str">
        <f t="shared" si="3"/>
        <v>PremiumSS5</v>
      </c>
      <c r="D24" s="7" t="str">
        <f t="shared" si="4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跳梁する化猫 クルミ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animal</v>
      </c>
      <c r="N24" s="7" t="str">
        <f>VLOOKUP(B24,[1]characters!$A:$G,7,FALSE)</f>
        <v>女性</v>
      </c>
      <c r="O24" s="45">
        <v>1320</v>
      </c>
      <c r="P24" s="46">
        <f t="shared" si="2"/>
        <v>1.32E-2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603104</v>
      </c>
      <c r="B25" s="98">
        <v>661</v>
      </c>
      <c r="C25" s="7" t="str">
        <f t="shared" si="3"/>
        <v>PremiumSS5</v>
      </c>
      <c r="D25" s="7" t="str">
        <f t="shared" si="4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疾風の天狗礫 フウガ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男性</v>
      </c>
      <c r="O25" s="45">
        <v>1320</v>
      </c>
      <c r="P25" s="46">
        <f t="shared" si="2"/>
        <v>1.32E-2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603104</v>
      </c>
      <c r="B26" s="98">
        <v>675</v>
      </c>
      <c r="C26" s="7" t="str">
        <f t="shared" ref="C26:C53" si="5">D26&amp;J26&amp;E26&amp;F26&amp;G26</f>
        <v>PremiumSS5</v>
      </c>
      <c r="D26" s="7" t="str">
        <f t="shared" ref="D26:D54" si="6">IF(OR(I26="PremiumSS",I26="PremiumSSw"),"PremiumSS",IF(I26="PremiumSSS",I26,IF(I26="PremiumW",IF(J26=5,"premium",I26),"Premium")))</f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芸楽の奔流 サラスヴァティ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女性</v>
      </c>
      <c r="O26" s="45">
        <v>1320</v>
      </c>
      <c r="P26" s="46">
        <f t="shared" si="2"/>
        <v>1.32E-2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603104</v>
      </c>
      <c r="B27" s="98">
        <v>677</v>
      </c>
      <c r="C27" s="7" t="str">
        <f t="shared" si="5"/>
        <v>PremiumSS5</v>
      </c>
      <c r="D27" s="7" t="str">
        <f t="shared" si="6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武遊闊歩 ヴィシュヌ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god</v>
      </c>
      <c r="N27" s="7" t="str">
        <f>VLOOKUP(B27,[1]characters!$A:$G,7,FALSE)</f>
        <v>女性</v>
      </c>
      <c r="O27" s="45">
        <v>1320</v>
      </c>
      <c r="P27" s="46">
        <f t="shared" si="2"/>
        <v>1.32E-2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603104</v>
      </c>
      <c r="B28" s="98">
        <v>732</v>
      </c>
      <c r="C28" s="7" t="str">
        <f t="shared" si="5"/>
        <v>PremiumSS5R5only</v>
      </c>
      <c r="D28" s="7" t="str">
        <f t="shared" si="6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上杉謙信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v>1320</v>
      </c>
      <c r="P28" s="46">
        <f t="shared" si="2"/>
        <v>1.32E-2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603104</v>
      </c>
      <c r="B29" s="98">
        <v>734</v>
      </c>
      <c r="C29" s="7" t="str">
        <f t="shared" si="5"/>
        <v>PremiumSS5R5only</v>
      </c>
      <c r="D29" s="7" t="str">
        <f t="shared" si="6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伊達政宗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男性</v>
      </c>
      <c r="O29" s="45">
        <v>1320</v>
      </c>
      <c r="P29" s="46">
        <f t="shared" si="2"/>
        <v>1.32E-2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603104</v>
      </c>
      <c r="B30" s="98">
        <v>742</v>
      </c>
      <c r="C30" s="7" t="str">
        <f t="shared" si="5"/>
        <v>PremiumSS5R5only</v>
      </c>
      <c r="D30" s="7" t="str">
        <f t="shared" si="6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アポロン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45">
        <v>1320</v>
      </c>
      <c r="P30" s="46">
        <f t="shared" si="2"/>
        <v>1.32E-2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603104</v>
      </c>
      <c r="B31" s="98">
        <v>744</v>
      </c>
      <c r="C31" s="7" t="str">
        <f t="shared" si="5"/>
        <v>PremiumSS5R5only</v>
      </c>
      <c r="D31" s="7" t="str">
        <f t="shared" si="6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ヘルメス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45">
        <v>1320</v>
      </c>
      <c r="P31" s="46">
        <f t="shared" si="2"/>
        <v>1.32E-2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603104</v>
      </c>
      <c r="B32" s="100">
        <v>771</v>
      </c>
      <c r="C32" s="7" t="str">
        <f t="shared" si="5"/>
        <v>PremiumSS5</v>
      </c>
      <c r="D32" s="7" t="str">
        <f t="shared" si="6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天織羽鶴 ハヅル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女性</v>
      </c>
      <c r="O32" s="45">
        <v>1320</v>
      </c>
      <c r="P32" s="46">
        <f t="shared" si="2"/>
        <v>1.32E-2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v>603104</v>
      </c>
      <c r="B33" s="100">
        <v>773</v>
      </c>
      <c r="C33" s="7" t="str">
        <f t="shared" si="5"/>
        <v>PremiumSS5</v>
      </c>
      <c r="D33" s="7" t="str">
        <f t="shared" si="6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浮跳天兎 イナバ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animal</v>
      </c>
      <c r="N33" s="7" t="str">
        <f>VLOOKUP(B33,[1]characters!$A:$G,7,FALSE)</f>
        <v>女性</v>
      </c>
      <c r="O33" s="45">
        <v>1320</v>
      </c>
      <c r="P33" s="46">
        <f t="shared" si="2"/>
        <v>1.32E-2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603104</v>
      </c>
      <c r="B34" s="100">
        <v>848</v>
      </c>
      <c r="C34" s="7" t="str">
        <f t="shared" si="5"/>
        <v>PremiumSS5R5only</v>
      </c>
      <c r="D34" s="7" t="str">
        <f t="shared" si="6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メタトロン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balance</v>
      </c>
      <c r="M34" s="7" t="str">
        <f>VLOOKUP(B34,[1]characters!$A:$M,13,FALSE)</f>
        <v>god</v>
      </c>
      <c r="N34" s="7" t="str">
        <f>VLOOKUP(B34,[1]characters!$A:$G,7,FALSE)</f>
        <v>男性</v>
      </c>
      <c r="O34" s="45">
        <v>1320</v>
      </c>
      <c r="P34" s="46">
        <f t="shared" ref="P34:P65" si="7">O34/SUM(O:O)</f>
        <v>1.32E-2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603104</v>
      </c>
      <c r="B35" s="100">
        <v>850</v>
      </c>
      <c r="C35" s="7" t="str">
        <f t="shared" si="5"/>
        <v>PremiumSS5R5only</v>
      </c>
      <c r="D35" s="7" t="str">
        <f t="shared" si="6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バアル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technical</v>
      </c>
      <c r="M35" s="7" t="str">
        <f>VLOOKUP(B35,[1]characters!$A:$M,13,FALSE)</f>
        <v>god</v>
      </c>
      <c r="N35" s="7" t="str">
        <f>VLOOKUP(B35,[1]characters!$A:$G,7,FALSE)</f>
        <v>男性</v>
      </c>
      <c r="O35" s="45">
        <v>1320</v>
      </c>
      <c r="P35" s="46">
        <f t="shared" si="7"/>
        <v>1.32E-2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603104</v>
      </c>
      <c r="B36" s="100">
        <v>866</v>
      </c>
      <c r="C36" s="7" t="str">
        <f t="shared" si="5"/>
        <v>PremiumSS5R5only</v>
      </c>
      <c r="D36" s="7" t="str">
        <f t="shared" si="6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無敗の司令姫 白雪姫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男性</v>
      </c>
      <c r="O36" s="45">
        <v>1320</v>
      </c>
      <c r="P36" s="46">
        <f t="shared" si="7"/>
        <v>1.32E-2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603104</v>
      </c>
      <c r="B37" s="100">
        <v>868</v>
      </c>
      <c r="C37" s="7" t="str">
        <f t="shared" si="5"/>
        <v>PremiumSS5R5only</v>
      </c>
      <c r="D37" s="7" t="str">
        <f t="shared" si="6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アラジンと殲滅機兵LAMP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hp</v>
      </c>
      <c r="M37" s="7" t="str">
        <f>VLOOKUP(B37,[1]characters!$A:$M,13,FALSE)</f>
        <v>human</v>
      </c>
      <c r="N37" s="7" t="str">
        <f>VLOOKUP(B37,[1]characters!$A:$G,7,FALSE)</f>
        <v>男性</v>
      </c>
      <c r="O37" s="45">
        <v>1320</v>
      </c>
      <c r="P37" s="46">
        <f t="shared" si="7"/>
        <v>1.32E-2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603104</v>
      </c>
      <c r="B38" s="100">
        <v>937</v>
      </c>
      <c r="C38" s="7" t="str">
        <f t="shared" si="5"/>
        <v>PremiumSS5R5only</v>
      </c>
      <c r="D38" s="7" t="str">
        <f t="shared" si="6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ナポレオン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45">
        <v>1320</v>
      </c>
      <c r="P38" s="46">
        <f t="shared" si="7"/>
        <v>1.32E-2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603104</v>
      </c>
      <c r="B39" s="100">
        <v>941</v>
      </c>
      <c r="C39" s="7" t="str">
        <f t="shared" si="5"/>
        <v>PremiumSS5R5only</v>
      </c>
      <c r="D39" s="7" t="str">
        <f t="shared" si="6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アントワネット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45">
        <v>1320</v>
      </c>
      <c r="P39" s="46">
        <f t="shared" si="7"/>
        <v>1.32E-2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603104</v>
      </c>
      <c r="B40" s="100">
        <v>943</v>
      </c>
      <c r="C40" s="7" t="str">
        <f t="shared" si="5"/>
        <v>PremiumSS5R5only</v>
      </c>
      <c r="D40" s="7" t="str">
        <f t="shared" si="6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サンソン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human</v>
      </c>
      <c r="N40" s="7" t="str">
        <f>VLOOKUP(B40,[1]characters!$A:$G,7,FALSE)</f>
        <v>男性</v>
      </c>
      <c r="O40" s="45">
        <v>1320</v>
      </c>
      <c r="P40" s="46">
        <f t="shared" si="7"/>
        <v>1.32E-2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603104</v>
      </c>
      <c r="B41" s="100">
        <v>1012</v>
      </c>
      <c r="C41" s="7" t="str">
        <f t="shared" si="5"/>
        <v>PremiumSS5R5only</v>
      </c>
      <c r="D41" s="7" t="str">
        <f t="shared" si="6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ラー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v>1320</v>
      </c>
      <c r="P41" s="46">
        <f t="shared" si="7"/>
        <v>1.32E-2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603104</v>
      </c>
      <c r="B42" s="100">
        <v>1014</v>
      </c>
      <c r="C42" s="7" t="str">
        <f t="shared" si="5"/>
        <v>PremiumSS5R5only</v>
      </c>
      <c r="D42" s="7" t="str">
        <f t="shared" si="6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イシス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v>1320</v>
      </c>
      <c r="P42" s="46">
        <f t="shared" si="7"/>
        <v>1.32E-2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603104</v>
      </c>
      <c r="B43" s="100">
        <v>1018</v>
      </c>
      <c r="C43" s="7" t="str">
        <f t="shared" si="5"/>
        <v>PremiumSS5R5only</v>
      </c>
      <c r="D43" s="7" t="str">
        <f t="shared" si="6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バステト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v>1320</v>
      </c>
      <c r="P43" s="46">
        <f t="shared" si="7"/>
        <v>1.32E-2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>
        <v>603104</v>
      </c>
      <c r="B44" s="100">
        <v>1028</v>
      </c>
      <c r="C44" s="7" t="str">
        <f t="shared" si="5"/>
        <v>PremiumSS5R5only</v>
      </c>
      <c r="D44" s="7" t="str">
        <f t="shared" si="6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牛若丸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45">
        <v>1320</v>
      </c>
      <c r="P44" s="46">
        <f t="shared" si="7"/>
        <v>1.32E-2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603104</v>
      </c>
      <c r="B45" s="100">
        <v>1031</v>
      </c>
      <c r="C45" s="7" t="str">
        <f t="shared" si="5"/>
        <v>PremiumSS5R5only</v>
      </c>
      <c r="D45" s="7" t="str">
        <f t="shared" si="6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紫式部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45">
        <v>1320</v>
      </c>
      <c r="P45" s="46">
        <f t="shared" si="7"/>
        <v>1.32E-2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603104</v>
      </c>
      <c r="B46" s="100">
        <v>1033</v>
      </c>
      <c r="C46" s="7" t="str">
        <f t="shared" si="5"/>
        <v>PremiumSS5R5only</v>
      </c>
      <c r="D46" s="7" t="str">
        <f t="shared" si="6"/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清少納言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45">
        <v>1320</v>
      </c>
      <c r="P46" s="46">
        <f t="shared" si="7"/>
        <v>1.32E-2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603104</v>
      </c>
      <c r="B47" s="100">
        <v>1069</v>
      </c>
      <c r="C47" s="7" t="str">
        <f t="shared" si="5"/>
        <v>PremiumSS5R5only</v>
      </c>
      <c r="D47" s="7" t="str">
        <f t="shared" si="6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イシュタル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45">
        <v>1320</v>
      </c>
      <c r="P47" s="46">
        <f t="shared" si="7"/>
        <v>1.32E-2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603104</v>
      </c>
      <c r="B48" s="100">
        <v>1072</v>
      </c>
      <c r="C48" s="7" t="str">
        <f t="shared" si="5"/>
        <v>PremiumSS5R5only</v>
      </c>
      <c r="D48" s="7" t="str">
        <f t="shared" si="6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エンキドゥ</v>
      </c>
      <c r="I48" s="7" t="str">
        <f>VLOOKUP(B48,[1]characters!$A:$J,10,FALSE)</f>
        <v>PremiumSSw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男性</v>
      </c>
      <c r="O48" s="45">
        <v>1320</v>
      </c>
      <c r="P48" s="46">
        <f t="shared" si="7"/>
        <v>1.32E-2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603104</v>
      </c>
      <c r="B49" s="100">
        <v>1074</v>
      </c>
      <c r="C49" s="7" t="str">
        <f t="shared" si="5"/>
        <v>PremiumSS5R5only</v>
      </c>
      <c r="D49" s="7" t="str">
        <f t="shared" si="6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マルドゥク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v>1320</v>
      </c>
      <c r="P49" s="46">
        <f t="shared" si="7"/>
        <v>1.32E-2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603104</v>
      </c>
      <c r="B50" s="100">
        <v>1100</v>
      </c>
      <c r="C50" s="7" t="str">
        <f t="shared" si="5"/>
        <v>PremiumSS5R5only</v>
      </c>
      <c r="D50" s="7" t="str">
        <f t="shared" si="6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北斎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45">
        <v>1320</v>
      </c>
      <c r="P50" s="46">
        <f t="shared" si="7"/>
        <v>1.32E-2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603104</v>
      </c>
      <c r="B51" s="100">
        <v>1102</v>
      </c>
      <c r="C51" s="7" t="str">
        <f t="shared" si="5"/>
        <v>PremiumSS5R5only</v>
      </c>
      <c r="D51" s="7" t="str">
        <f t="shared" si="6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ドガ</v>
      </c>
      <c r="I51" s="7" t="str">
        <f>VLOOKUP(B51,[1]characters!$A:$J,10,FALSE)</f>
        <v>PremiumSSw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不明</v>
      </c>
      <c r="O51" s="45">
        <v>1320</v>
      </c>
      <c r="P51" s="46">
        <f t="shared" si="7"/>
        <v>1.32E-2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603104</v>
      </c>
      <c r="B52" s="100">
        <v>1106</v>
      </c>
      <c r="C52" s="7" t="str">
        <f t="shared" si="5"/>
        <v>PremiumSS5R5only</v>
      </c>
      <c r="D52" s="7" t="str">
        <f t="shared" si="6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ラファエロ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human</v>
      </c>
      <c r="N52" s="7" t="str">
        <f>VLOOKUP(B52,[1]characters!$A:$G,7,FALSE)</f>
        <v>不明</v>
      </c>
      <c r="O52" s="45">
        <v>1320</v>
      </c>
      <c r="P52" s="46">
        <f t="shared" si="7"/>
        <v>1.32E-2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603104</v>
      </c>
      <c r="B53" s="100">
        <v>1137</v>
      </c>
      <c r="C53" s="7" t="str">
        <f t="shared" si="5"/>
        <v>PremiumSS5R5only</v>
      </c>
      <c r="D53" s="7" t="str">
        <f t="shared" si="6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諸葛亮</v>
      </c>
      <c r="I53" s="7" t="str">
        <f>VLOOKUP(B53,[1]characters!$A:$J,10,FALSE)</f>
        <v>PremiumSSw</v>
      </c>
      <c r="J53" s="7">
        <f>VLOOKUP(B53,[1]characters!$A:$I,9,FALSE)</f>
        <v>5</v>
      </c>
      <c r="K53" s="7" t="str">
        <f>VLOOKUP(B53,[1]characters!$A:$H,8,FALSE)</f>
        <v>red</v>
      </c>
      <c r="L53" s="7" t="str">
        <f>VLOOKUP(B53,[1]characters!$A:$K,11,FALSE)</f>
        <v>technical</v>
      </c>
      <c r="M53" s="7" t="str">
        <f>VLOOKUP(B53,[1]characters!$A:$M,13,FALSE)</f>
        <v>samurai</v>
      </c>
      <c r="N53" s="7" t="str">
        <f>VLOOKUP(B53,[1]characters!$A:$G,7,FALSE)</f>
        <v>不明</v>
      </c>
      <c r="O53" s="45">
        <v>1320</v>
      </c>
      <c r="P53" s="46">
        <f t="shared" si="7"/>
        <v>1.32E-2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603104</v>
      </c>
      <c r="B54" s="100">
        <v>1139</v>
      </c>
      <c r="C54" s="7" t="str">
        <f t="shared" ref="C54:C77" si="8">D54&amp;J54&amp;E54&amp;F54&amp;G54</f>
        <v>PremiumSS5R5only</v>
      </c>
      <c r="D54" s="7" t="str">
        <f t="shared" si="6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趙雲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balance</v>
      </c>
      <c r="M54" s="7" t="str">
        <f>VLOOKUP(B54,[1]characters!$A:$M,13,FALSE)</f>
        <v>samurai</v>
      </c>
      <c r="N54" s="7" t="str">
        <f>VLOOKUP(B54,[1]characters!$A:$G,7,FALSE)</f>
        <v>不明</v>
      </c>
      <c r="O54" s="45">
        <v>1320</v>
      </c>
      <c r="P54" s="46">
        <f t="shared" si="7"/>
        <v>1.32E-2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603104</v>
      </c>
      <c r="B55" s="100">
        <v>1141</v>
      </c>
      <c r="C55" s="7" t="str">
        <f t="shared" si="8"/>
        <v>PremiumSS5R5only</v>
      </c>
      <c r="D55" s="7" t="str">
        <f t="shared" ref="D55:D77" si="9">IF(OR(I55="PremiumSS",I55="PremiumSSw"),"PremiumSS",IF(I55="PremiumSSS",I55,IF(I55="PremiumW",IF(J55=5,"premium",I55),"Premium")))</f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月英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不明</v>
      </c>
      <c r="O55" s="45">
        <v>1320</v>
      </c>
      <c r="P55" s="46">
        <f t="shared" si="7"/>
        <v>1.32E-2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603104</v>
      </c>
      <c r="B56" s="100">
        <v>1153</v>
      </c>
      <c r="C56" s="7" t="str">
        <f t="shared" si="8"/>
        <v>PremiumSS5R5only</v>
      </c>
      <c r="D56" s="7" t="str">
        <f t="shared" si="9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ラクシュミー</v>
      </c>
      <c r="I56" s="7" t="str">
        <f>VLOOKUP(B56,[1]characters!$A:$J,10,FALSE)</f>
        <v>PremiumSSw</v>
      </c>
      <c r="J56" s="7">
        <f>VLOOKUP(B56,[1]characters!$A:$I,9,FALSE)</f>
        <v>5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god</v>
      </c>
      <c r="N56" s="7" t="str">
        <f>VLOOKUP(B56,[1]characters!$A:$G,7,FALSE)</f>
        <v>不明</v>
      </c>
      <c r="O56" s="45">
        <v>1320</v>
      </c>
      <c r="P56" s="46">
        <f t="shared" si="7"/>
        <v>1.32E-2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603104</v>
      </c>
      <c r="B57" s="100">
        <v>1155</v>
      </c>
      <c r="C57" s="7" t="str">
        <f t="shared" si="8"/>
        <v>PremiumSS5R5only</v>
      </c>
      <c r="D57" s="7" t="str">
        <f t="shared" si="9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ドゥルガー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blue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不明</v>
      </c>
      <c r="O57" s="45">
        <v>1320</v>
      </c>
      <c r="P57" s="46">
        <f t="shared" si="7"/>
        <v>1.32E-2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603104</v>
      </c>
      <c r="B58" s="100">
        <v>1157</v>
      </c>
      <c r="C58" s="7" t="str">
        <f t="shared" si="8"/>
        <v>PremiumSS5R5only</v>
      </c>
      <c r="D58" s="7" t="str">
        <f t="shared" si="9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インドラ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不明</v>
      </c>
      <c r="O58" s="45">
        <v>1320</v>
      </c>
      <c r="P58" s="46">
        <f t="shared" si="7"/>
        <v>1.32E-2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603104</v>
      </c>
      <c r="B59" s="98">
        <v>1214</v>
      </c>
      <c r="C59" s="7" t="str">
        <f t="shared" si="8"/>
        <v>PremiumSS5R5only</v>
      </c>
      <c r="D59" s="7" t="str">
        <f t="shared" si="9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アルテミス</v>
      </c>
      <c r="I59" s="7" t="str">
        <f>VLOOKUP(B59,[1]characters!$A:$J,10,FALSE)</f>
        <v>PremiumSSw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balance</v>
      </c>
      <c r="M59" s="7" t="str">
        <f>VLOOKUP(B59,[1]characters!$A:$M,13,FALSE)</f>
        <v>god</v>
      </c>
      <c r="N59" s="7">
        <f>VLOOKUP(B59,[1]characters!$A:$G,7,FALSE)</f>
        <v>0</v>
      </c>
      <c r="O59" s="45">
        <v>1320</v>
      </c>
      <c r="P59" s="46">
        <f t="shared" si="7"/>
        <v>1.32E-2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603104</v>
      </c>
      <c r="B60" s="98">
        <v>1212</v>
      </c>
      <c r="C60" s="7" t="str">
        <f t="shared" si="8"/>
        <v>PremiumSS5R5only</v>
      </c>
      <c r="D60" s="7" t="str">
        <f t="shared" si="9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クロノス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>
        <f>VLOOKUP(B60,[1]characters!$A:$G,7,FALSE)</f>
        <v>0</v>
      </c>
      <c r="O60" s="45">
        <v>1320</v>
      </c>
      <c r="P60" s="46">
        <f t="shared" si="7"/>
        <v>1.32E-2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603104</v>
      </c>
      <c r="B61" s="98">
        <v>1208</v>
      </c>
      <c r="C61" s="7" t="str">
        <f t="shared" si="8"/>
        <v>PremiumSS5R5only</v>
      </c>
      <c r="D61" s="7" t="str">
        <f t="shared" si="9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ネメシス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red</v>
      </c>
      <c r="L61" s="7" t="str">
        <f>VLOOKUP(B61,[1]characters!$A:$K,11,FALSE)</f>
        <v>hp</v>
      </c>
      <c r="M61" s="7" t="str">
        <f>VLOOKUP(B61,[1]characters!$A:$M,13,FALSE)</f>
        <v>god</v>
      </c>
      <c r="N61" s="7">
        <f>VLOOKUP(B61,[1]characters!$A:$G,7,FALSE)</f>
        <v>0</v>
      </c>
      <c r="O61" s="45">
        <v>1320</v>
      </c>
      <c r="P61" s="46">
        <f t="shared" si="7"/>
        <v>1.32E-2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603104</v>
      </c>
      <c r="B62" s="100">
        <v>1226</v>
      </c>
      <c r="C62" s="7" t="str">
        <f t="shared" si="8"/>
        <v>PremiumSS5R5only</v>
      </c>
      <c r="D62" s="7" t="str">
        <f t="shared" si="9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トルストイ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green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>
        <f>VLOOKUP(B62,[1]characters!$A:$G,7,FALSE)</f>
        <v>0</v>
      </c>
      <c r="O62" s="45">
        <v>1320</v>
      </c>
      <c r="P62" s="46">
        <f t="shared" si="7"/>
        <v>1.32E-2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603104</v>
      </c>
      <c r="B63" s="100">
        <v>1228</v>
      </c>
      <c r="C63" s="7" t="str">
        <f t="shared" si="8"/>
        <v>PremiumSS5R5only</v>
      </c>
      <c r="D63" s="7" t="str">
        <f t="shared" si="9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芥川龍之介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>
        <f>VLOOKUP(B63,[1]characters!$A:$G,7,FALSE)</f>
        <v>0</v>
      </c>
      <c r="O63" s="45">
        <v>1320</v>
      </c>
      <c r="P63" s="46">
        <f t="shared" si="7"/>
        <v>1.32E-2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603104</v>
      </c>
      <c r="B64" s="100">
        <v>1230</v>
      </c>
      <c r="C64" s="7" t="str">
        <f t="shared" si="8"/>
        <v>PremiumSS5R5only</v>
      </c>
      <c r="D64" s="7" t="str">
        <f t="shared" si="9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夏目漱石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heal</v>
      </c>
      <c r="M64" s="7" t="str">
        <f>VLOOKUP(B64,[1]characters!$A:$M,13,FALSE)</f>
        <v>animal</v>
      </c>
      <c r="N64" s="7">
        <f>VLOOKUP(B64,[1]characters!$A:$G,7,FALSE)</f>
        <v>0</v>
      </c>
      <c r="O64" s="45">
        <v>1320</v>
      </c>
      <c r="P64" s="46">
        <f t="shared" si="7"/>
        <v>1.32E-2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603104</v>
      </c>
      <c r="B65" s="100">
        <v>1244</v>
      </c>
      <c r="C65" s="7" t="str">
        <f t="shared" si="8"/>
        <v>PremiumSS5R5only</v>
      </c>
      <c r="D65" s="7" t="str">
        <f t="shared" si="9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猿飛佐助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red</v>
      </c>
      <c r="L65" s="7" t="str">
        <f>VLOOKUP(B65,[1]characters!$A:$K,11,FALSE)</f>
        <v>attack</v>
      </c>
      <c r="M65" s="7" t="str">
        <f>VLOOKUP(B65,[1]characters!$A:$M,13,FALSE)</f>
        <v>human</v>
      </c>
      <c r="N65" s="7">
        <f>VLOOKUP(B65,[1]characters!$A:$G,7,FALSE)</f>
        <v>0</v>
      </c>
      <c r="O65" s="45">
        <v>1320</v>
      </c>
      <c r="P65" s="46">
        <f t="shared" si="7"/>
        <v>1.32E-2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>
        <v>603104</v>
      </c>
      <c r="B66" s="100">
        <v>1246</v>
      </c>
      <c r="C66" s="7" t="str">
        <f t="shared" si="8"/>
        <v>PremiumSS5R5only</v>
      </c>
      <c r="D66" s="7" t="str">
        <f t="shared" si="9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望月千代女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green</v>
      </c>
      <c r="L66" s="7" t="str">
        <f>VLOOKUP(B66,[1]characters!$A:$K,11,FALSE)</f>
        <v>heal</v>
      </c>
      <c r="M66" s="7" t="str">
        <f>VLOOKUP(B66,[1]characters!$A:$M,13,FALSE)</f>
        <v>human</v>
      </c>
      <c r="N66" s="7">
        <f>VLOOKUP(B66,[1]characters!$A:$G,7,FALSE)</f>
        <v>0</v>
      </c>
      <c r="O66" s="45">
        <v>1320</v>
      </c>
      <c r="P66" s="46">
        <f t="shared" ref="P66:P97" si="10">O66/SUM(O:O)</f>
        <v>1.32E-2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603104</v>
      </c>
      <c r="B67" s="100">
        <v>1250</v>
      </c>
      <c r="C67" s="7" t="str">
        <f t="shared" si="8"/>
        <v>PremiumSS5R5only</v>
      </c>
      <c r="D67" s="7" t="str">
        <f t="shared" si="9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真田幸村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45">
        <v>1320</v>
      </c>
      <c r="P67" s="46">
        <f t="shared" si="10"/>
        <v>1.32E-2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603104</v>
      </c>
      <c r="B68" s="100">
        <v>1260</v>
      </c>
      <c r="C68" s="7" t="str">
        <f t="shared" si="8"/>
        <v>PremiumSS5R5only</v>
      </c>
      <c r="D68" s="7" t="str">
        <f t="shared" si="9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トール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god</v>
      </c>
      <c r="N68" s="7">
        <f>VLOOKUP(B68,[1]characters!$A:$G,7,FALSE)</f>
        <v>0</v>
      </c>
      <c r="O68" s="45">
        <v>1320</v>
      </c>
      <c r="P68" s="46">
        <f t="shared" si="10"/>
        <v>1.32E-2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603104</v>
      </c>
      <c r="B69" s="100">
        <v>1262</v>
      </c>
      <c r="C69" s="7" t="str">
        <f t="shared" si="8"/>
        <v>PremiumSS5R5only</v>
      </c>
      <c r="D69" s="7" t="str">
        <f t="shared" si="9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イズン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green</v>
      </c>
      <c r="L69" s="7" t="str">
        <f>VLOOKUP(B69,[1]characters!$A:$K,11,FALSE)</f>
        <v>heal</v>
      </c>
      <c r="M69" s="7" t="str">
        <f>VLOOKUP(B69,[1]characters!$A:$M,13,FALSE)</f>
        <v>god</v>
      </c>
      <c r="N69" s="7">
        <f>VLOOKUP(B69,[1]characters!$A:$G,7,FALSE)</f>
        <v>0</v>
      </c>
      <c r="O69" s="45">
        <v>1320</v>
      </c>
      <c r="P69" s="46">
        <f t="shared" si="10"/>
        <v>1.32E-2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603104</v>
      </c>
      <c r="B70" s="100">
        <v>1264</v>
      </c>
      <c r="C70" s="7" t="str">
        <f t="shared" si="8"/>
        <v>PremiumSS5R5only</v>
      </c>
      <c r="D70" s="7" t="str">
        <f t="shared" si="9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ウルズ</v>
      </c>
      <c r="I70" s="7" t="str">
        <f>VLOOKUP(B70,[1]characters!$A:$J,10,FALSE)</f>
        <v>PremiumSS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heal</v>
      </c>
      <c r="M70" s="7" t="str">
        <f>VLOOKUP(B70,[1]characters!$A:$M,13,FALSE)</f>
        <v>god</v>
      </c>
      <c r="N70" s="7">
        <f>VLOOKUP(B70,[1]characters!$A:$G,7,FALSE)</f>
        <v>0</v>
      </c>
      <c r="O70" s="45">
        <v>1320</v>
      </c>
      <c r="P70" s="46">
        <f t="shared" si="10"/>
        <v>1.32E-2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603104</v>
      </c>
      <c r="B71" s="100">
        <v>1332</v>
      </c>
      <c r="C71" s="7" t="str">
        <f t="shared" si="8"/>
        <v>PremiumSS5R5only</v>
      </c>
      <c r="D71" s="7" t="str">
        <f t="shared" si="9"/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クシナダヒメ</v>
      </c>
      <c r="I71" s="7" t="str">
        <f>VLOOKUP(B71,[1]characters!$A:$J,10,FALSE)</f>
        <v>PremiumSSw</v>
      </c>
      <c r="J71" s="7">
        <f>VLOOKUP(B71,[1]characters!$A:$I,9,FALSE)</f>
        <v>5</v>
      </c>
      <c r="K71" s="7" t="str">
        <f>VLOOKUP(B71,[1]characters!$A:$H,8,FALSE)</f>
        <v>red</v>
      </c>
      <c r="L71" s="7" t="str">
        <f>VLOOKUP(B71,[1]characters!$A:$K,11,FALSE)</f>
        <v>hp</v>
      </c>
      <c r="M71" s="7" t="str">
        <f>VLOOKUP(B71,[1]characters!$A:$M,13,FALSE)</f>
        <v>god</v>
      </c>
      <c r="N71" s="7">
        <f>VLOOKUP(B71,[1]characters!$A:$G,7,FALSE)</f>
        <v>0</v>
      </c>
      <c r="O71" s="45">
        <v>1320</v>
      </c>
      <c r="P71" s="46">
        <f t="shared" si="10"/>
        <v>1.32E-2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603104</v>
      </c>
      <c r="B72" s="100">
        <v>1336</v>
      </c>
      <c r="C72" s="7" t="str">
        <f t="shared" si="8"/>
        <v>PremiumSS5R5only</v>
      </c>
      <c r="D72" s="7" t="str">
        <f t="shared" si="9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イザナギ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technical</v>
      </c>
      <c r="M72" s="7" t="str">
        <f>VLOOKUP(B72,[1]characters!$A:$M,13,FALSE)</f>
        <v>god</v>
      </c>
      <c r="N72" s="7">
        <f>VLOOKUP(B72,[1]characters!$A:$G,7,FALSE)</f>
        <v>0</v>
      </c>
      <c r="O72" s="45">
        <v>1320</v>
      </c>
      <c r="P72" s="46">
        <f t="shared" si="10"/>
        <v>1.32E-2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603104</v>
      </c>
      <c r="B73" s="100">
        <v>1338</v>
      </c>
      <c r="C73" s="7" t="str">
        <f t="shared" si="8"/>
        <v>PremiumSS5R5only</v>
      </c>
      <c r="D73" s="7" t="str">
        <f t="shared" si="9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アメノウズメ</v>
      </c>
      <c r="I73" s="7" t="str">
        <f>VLOOKUP(B73,[1]characters!$A:$J,10,FALSE)</f>
        <v>PremiumSS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attack</v>
      </c>
      <c r="M73" s="7" t="str">
        <f>VLOOKUP(B73,[1]characters!$A:$M,13,FALSE)</f>
        <v>god</v>
      </c>
      <c r="N73" s="7">
        <f>VLOOKUP(B73,[1]characters!$A:$G,7,FALSE)</f>
        <v>0</v>
      </c>
      <c r="O73" s="45">
        <v>1320</v>
      </c>
      <c r="P73" s="46">
        <f t="shared" si="10"/>
        <v>1.32E-2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v>603104</v>
      </c>
      <c r="B74" s="101">
        <v>1383</v>
      </c>
      <c r="C74" s="7" t="str">
        <f t="shared" si="8"/>
        <v>PremiumSS5R5only</v>
      </c>
      <c r="D74" s="7" t="str">
        <f t="shared" si="9"/>
        <v>PremiumSS</v>
      </c>
      <c r="E74" s="7" t="str">
        <f>IF(COUNTIF('R6追加前'!A:A,B74)=0,IF(OR(I74="PremiumSS",I74="PremiumSSw"),"R5only","R3less"),"")</f>
        <v>R5only</v>
      </c>
      <c r="F74" s="7" t="str">
        <f>IF(COUNTIF('R6開放'!A:A,B74)&gt;0,"R6release","")</f>
        <v/>
      </c>
      <c r="G74" s="7"/>
      <c r="H74" s="7" t="str">
        <f>VLOOKUP(B74,[1]characters!$A:$C,3,FALSE)</f>
        <v>シンドバッド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green</v>
      </c>
      <c r="L74" s="7" t="str">
        <f>VLOOKUP(B74,[1]characters!$A:$K,11,FALSE)</f>
        <v>technical</v>
      </c>
      <c r="M74" s="7" t="str">
        <f>VLOOKUP(B74,[1]characters!$A:$M,13,FALSE)</f>
        <v>hero</v>
      </c>
      <c r="N74" s="7">
        <f>VLOOKUP(B74,[1]characters!$A:$G,7,FALSE)</f>
        <v>0</v>
      </c>
      <c r="O74" s="45">
        <v>1320</v>
      </c>
      <c r="P74" s="46">
        <f t="shared" si="10"/>
        <v>1.32E-2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>
        <v>603104</v>
      </c>
      <c r="B75" s="101">
        <v>1385</v>
      </c>
      <c r="C75" s="7" t="str">
        <f t="shared" si="8"/>
        <v>PremiumSS5R5only</v>
      </c>
      <c r="D75" s="7" t="str">
        <f t="shared" si="9"/>
        <v>PremiumSS</v>
      </c>
      <c r="E75" s="7" t="str">
        <f>IF(COUNTIF('R6追加前'!A:A,B75)=0,IF(OR(I75="PremiumSS",I75="PremiumSSw"),"R5only","R3less"),"")</f>
        <v>R5only</v>
      </c>
      <c r="F75" s="7" t="str">
        <f>IF(COUNTIF('R6開放'!A:A,B75)&gt;0,"R6release","")</f>
        <v/>
      </c>
      <c r="G75" s="7"/>
      <c r="H75" s="7" t="str">
        <f>VLOOKUP(B75,[1]characters!$A:$C,3,FALSE)</f>
        <v>いばら姫</v>
      </c>
      <c r="I75" s="7" t="str">
        <f>VLOOKUP(B75,[1]characters!$A:$J,10,FALSE)</f>
        <v>PremiumSSw</v>
      </c>
      <c r="J75" s="7">
        <f>VLOOKUP(B75,[1]characters!$A:$I,9,FALSE)</f>
        <v>5</v>
      </c>
      <c r="K75" s="7" t="str">
        <f>VLOOKUP(B75,[1]characters!$A:$H,8,FALSE)</f>
        <v>blue</v>
      </c>
      <c r="L75" s="7" t="str">
        <f>VLOOKUP(B75,[1]characters!$A:$K,11,FALSE)</f>
        <v>attack</v>
      </c>
      <c r="M75" s="7" t="str">
        <f>VLOOKUP(B75,[1]characters!$A:$M,13,FALSE)</f>
        <v>fantasy</v>
      </c>
      <c r="N75" s="7">
        <f>VLOOKUP(B75,[1]characters!$A:$G,7,FALSE)</f>
        <v>0</v>
      </c>
      <c r="O75" s="45">
        <v>1320</v>
      </c>
      <c r="P75" s="46">
        <f t="shared" si="10"/>
        <v>1.32E-2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>
        <v>603104</v>
      </c>
      <c r="B76" s="101">
        <v>1387</v>
      </c>
      <c r="C76" s="7" t="str">
        <f t="shared" si="8"/>
        <v>PremiumSS5R5only</v>
      </c>
      <c r="D76" s="7" t="str">
        <f t="shared" si="9"/>
        <v>PremiumSS</v>
      </c>
      <c r="E76" s="7" t="str">
        <f>IF(COUNTIF('R6追加前'!A:A,B76)=0,IF(OR(I76="PremiumSS",I76="PremiumSSw"),"R5only","R3less"),"")</f>
        <v>R5only</v>
      </c>
      <c r="F76" s="7" t="str">
        <f>IF(COUNTIF('R6開放'!A:A,B76)&gt;0,"R6release","")</f>
        <v/>
      </c>
      <c r="G76" s="7"/>
      <c r="H76" s="7" t="str">
        <f>VLOOKUP(B76,[1]characters!$A:$C,3,FALSE)</f>
        <v>ダルタニャン</v>
      </c>
      <c r="I76" s="7" t="str">
        <f>VLOOKUP(B76,[1]characters!$A:$J,10,FALSE)</f>
        <v>PremiumSS</v>
      </c>
      <c r="J76" s="7">
        <f>VLOOKUP(B76,[1]characters!$A:$I,9,FALSE)</f>
        <v>5</v>
      </c>
      <c r="K76" s="7" t="str">
        <f>VLOOKUP(B76,[1]characters!$A:$H,8,FALSE)</f>
        <v>yellow</v>
      </c>
      <c r="L76" s="7" t="str">
        <f>VLOOKUP(B76,[1]characters!$A:$K,11,FALSE)</f>
        <v>attack</v>
      </c>
      <c r="M76" s="7" t="str">
        <f>VLOOKUP(B76,[1]characters!$A:$M,13,FALSE)</f>
        <v>hero</v>
      </c>
      <c r="N76" s="7">
        <f>VLOOKUP(B76,[1]characters!$A:$G,7,FALSE)</f>
        <v>0</v>
      </c>
      <c r="O76" s="45">
        <v>1320</v>
      </c>
      <c r="P76" s="46">
        <f t="shared" si="10"/>
        <v>1.32E-2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>
        <v>603104</v>
      </c>
      <c r="B77" s="5">
        <v>953</v>
      </c>
      <c r="C77" s="7" t="str">
        <f t="shared" si="8"/>
        <v>PremiumSSS5R3less</v>
      </c>
      <c r="D77" s="7" t="str">
        <f t="shared" si="9"/>
        <v>PremiumSSS</v>
      </c>
      <c r="E77" s="7" t="str">
        <f>IF(COUNTIF('R6追加前'!A:A,B77)=0,IF(OR(I77="PremiumSS",I77="PremiumSSw"),"R5only","R3less"),"")</f>
        <v>R3less</v>
      </c>
      <c r="F77" s="7" t="str">
        <f>IF(COUNTIF('R6開放'!A:A,B77)&gt;0,"R6release","")</f>
        <v/>
      </c>
      <c r="G77" s="7"/>
      <c r="H77" s="7" t="str">
        <f>VLOOKUP(B77,[1]characters!$A:$C,3,FALSE)</f>
        <v>ハイゼンベルク</v>
      </c>
      <c r="I77" s="7" t="str">
        <f>VLOOKUP(B77,[1]characters!$A:$J,10,FALSE)</f>
        <v>PremiumSSS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academia</v>
      </c>
      <c r="N77" s="7" t="str">
        <f>VLOOKUP(B77,[1]characters!$A:$G,7,FALSE)</f>
        <v>男性</v>
      </c>
      <c r="O77" s="45">
        <v>1000</v>
      </c>
      <c r="P77" s="46">
        <f t="shared" si="10"/>
        <v>0.01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</sheetData>
  <autoFilter ref="A1:V77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XFD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/>
      <c r="B2" s="97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input_603010</vt:lpstr>
      <vt:lpstr>tables_603010</vt:lpstr>
      <vt:lpstr>input_603100</vt:lpstr>
      <vt:lpstr>tables_603100</vt:lpstr>
      <vt:lpstr>input_settle_603100</vt:lpstr>
      <vt:lpstr>tables_settle_603100</vt:lpstr>
      <vt:lpstr>tables_settle_603104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2017-05-22T08:09:13Z</dcterms:modified>
</cp:coreProperties>
</file>