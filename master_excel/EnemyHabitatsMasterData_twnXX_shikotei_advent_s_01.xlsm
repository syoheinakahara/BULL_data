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BULL_data/master_excel/"/>
    </mc:Choice>
  </mc:AlternateContent>
  <bookViews>
    <workbookView xWindow="0" yWindow="460" windowWidth="27320" windowHeight="13880" tabRatio="740" activeTab="6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8" l="1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76" i="9"/>
  <c r="N76" i="9"/>
  <c r="M76" i="9"/>
  <c r="L76" i="9"/>
  <c r="K76" i="9"/>
  <c r="J76" i="9"/>
  <c r="I76" i="9"/>
  <c r="H76" i="9"/>
  <c r="G76" i="9"/>
  <c r="E76" i="9"/>
  <c r="D76" i="9"/>
  <c r="A76" i="9"/>
  <c r="AD114" i="10"/>
  <c r="AC114" i="10"/>
  <c r="M114" i="10"/>
  <c r="T114" i="10"/>
  <c r="W114" i="10"/>
  <c r="V114" i="10"/>
  <c r="X114" i="10"/>
  <c r="U114" i="10"/>
  <c r="Y114" i="10"/>
  <c r="N114" i="10"/>
  <c r="Q114" i="10"/>
  <c r="P114" i="10"/>
  <c r="R114" i="10"/>
  <c r="O114" i="10"/>
  <c r="S114" i="10"/>
  <c r="G114" i="10"/>
  <c r="J114" i="10"/>
  <c r="I114" i="10"/>
  <c r="K114" i="10"/>
  <c r="H114" i="10"/>
  <c r="L114" i="10"/>
  <c r="AD113" i="10"/>
  <c r="AC113" i="10"/>
  <c r="M113" i="10"/>
  <c r="T113" i="10"/>
  <c r="W113" i="10"/>
  <c r="V113" i="10"/>
  <c r="X113" i="10"/>
  <c r="U113" i="10"/>
  <c r="Y113" i="10"/>
  <c r="N113" i="10"/>
  <c r="Q113" i="10"/>
  <c r="P113" i="10"/>
  <c r="R113" i="10"/>
  <c r="O113" i="10"/>
  <c r="S113" i="10"/>
  <c r="G113" i="10"/>
  <c r="J113" i="10"/>
  <c r="I113" i="10"/>
  <c r="K113" i="10"/>
  <c r="H113" i="10"/>
  <c r="L113" i="10"/>
  <c r="AD112" i="10"/>
  <c r="AC112" i="10"/>
  <c r="M112" i="10"/>
  <c r="T112" i="10"/>
  <c r="W112" i="10"/>
  <c r="V112" i="10"/>
  <c r="X112" i="10"/>
  <c r="U112" i="10"/>
  <c r="Y112" i="10"/>
  <c r="N112" i="10"/>
  <c r="Q112" i="10"/>
  <c r="P112" i="10"/>
  <c r="R112" i="10"/>
  <c r="O112" i="10"/>
  <c r="S112" i="10"/>
  <c r="G112" i="10"/>
  <c r="J112" i="10"/>
  <c r="I112" i="10"/>
  <c r="K112" i="10"/>
  <c r="H112" i="10"/>
  <c r="L112" i="10"/>
  <c r="J114" i="11"/>
  <c r="J113" i="11"/>
  <c r="J112" i="11"/>
  <c r="J70" i="11"/>
  <c r="O49" i="9"/>
  <c r="N49" i="9"/>
  <c r="M49" i="9"/>
  <c r="L49" i="9"/>
  <c r="K49" i="9"/>
  <c r="J49" i="9"/>
  <c r="I49" i="9"/>
  <c r="H49" i="9"/>
  <c r="G49" i="9"/>
  <c r="E49" i="9"/>
  <c r="D49" i="9"/>
  <c r="A49" i="9"/>
  <c r="J69" i="11"/>
  <c r="O48" i="9"/>
  <c r="N48" i="9"/>
  <c r="M48" i="9"/>
  <c r="L48" i="9"/>
  <c r="K48" i="9"/>
  <c r="J48" i="9"/>
  <c r="I48" i="9"/>
  <c r="H48" i="9"/>
  <c r="G48" i="9"/>
  <c r="E48" i="9"/>
  <c r="D48" i="9"/>
  <c r="A48" i="9"/>
  <c r="J68" i="11"/>
  <c r="O47" i="9"/>
  <c r="N47" i="9"/>
  <c r="M47" i="9"/>
  <c r="L47" i="9"/>
  <c r="K47" i="9"/>
  <c r="J47" i="9"/>
  <c r="I47" i="9"/>
  <c r="H47" i="9"/>
  <c r="G47" i="9"/>
  <c r="E47" i="9"/>
  <c r="D47" i="9"/>
  <c r="A47" i="9"/>
  <c r="J109" i="11"/>
  <c r="O74" i="9"/>
  <c r="N74" i="9"/>
  <c r="M74" i="9"/>
  <c r="L74" i="9"/>
  <c r="K74" i="9"/>
  <c r="J74" i="9"/>
  <c r="I74" i="9"/>
  <c r="H74" i="9"/>
  <c r="G74" i="9"/>
  <c r="J108" i="11"/>
  <c r="O73" i="9"/>
  <c r="N73" i="9"/>
  <c r="M73" i="9"/>
  <c r="L73" i="9"/>
  <c r="K73" i="9"/>
  <c r="J73" i="9"/>
  <c r="I73" i="9"/>
  <c r="H73" i="9"/>
  <c r="G73" i="9"/>
  <c r="J107" i="11"/>
  <c r="O72" i="9"/>
  <c r="N72" i="9"/>
  <c r="M72" i="9"/>
  <c r="L72" i="9"/>
  <c r="K72" i="9"/>
  <c r="J72" i="9"/>
  <c r="I72" i="9"/>
  <c r="H72" i="9"/>
  <c r="G72" i="9"/>
  <c r="J106" i="11"/>
  <c r="O71" i="9"/>
  <c r="N71" i="9"/>
  <c r="M71" i="9"/>
  <c r="L71" i="9"/>
  <c r="K71" i="9"/>
  <c r="J71" i="9"/>
  <c r="I71" i="9"/>
  <c r="H71" i="9"/>
  <c r="G71" i="9"/>
  <c r="J105" i="11"/>
  <c r="O70" i="9"/>
  <c r="N70" i="9"/>
  <c r="M70" i="9"/>
  <c r="L70" i="9"/>
  <c r="K70" i="9"/>
  <c r="J70" i="9"/>
  <c r="I70" i="9"/>
  <c r="H70" i="9"/>
  <c r="G70" i="9"/>
  <c r="J104" i="11"/>
  <c r="O69" i="9"/>
  <c r="N69" i="9"/>
  <c r="M69" i="9"/>
  <c r="L69" i="9"/>
  <c r="K69" i="9"/>
  <c r="J69" i="9"/>
  <c r="I69" i="9"/>
  <c r="H69" i="9"/>
  <c r="G69" i="9"/>
  <c r="E74" i="9"/>
  <c r="D74" i="9"/>
  <c r="E73" i="9"/>
  <c r="D73" i="9"/>
  <c r="E72" i="9"/>
  <c r="D72" i="9"/>
  <c r="E71" i="9"/>
  <c r="D71" i="9"/>
  <c r="E70" i="9"/>
  <c r="D70" i="9"/>
  <c r="E69" i="9"/>
  <c r="D69" i="9"/>
  <c r="A74" i="9"/>
  <c r="A73" i="9"/>
  <c r="A72" i="9"/>
  <c r="A71" i="9"/>
  <c r="A70" i="9"/>
  <c r="A69" i="9"/>
  <c r="AC3" i="10"/>
  <c r="AD3" i="10"/>
  <c r="AC4" i="10"/>
  <c r="AD4" i="10"/>
  <c r="AC5" i="10"/>
  <c r="AD5" i="10"/>
  <c r="AC6" i="10"/>
  <c r="AD6" i="10"/>
  <c r="AC7" i="10"/>
  <c r="AD7" i="10"/>
  <c r="AC8" i="10"/>
  <c r="AD8" i="10"/>
  <c r="AC9" i="10"/>
  <c r="AD9" i="10"/>
  <c r="AC10" i="10"/>
  <c r="AD10" i="10"/>
  <c r="AC11" i="10"/>
  <c r="AD11" i="10"/>
  <c r="AC12" i="10"/>
  <c r="AD12" i="10"/>
  <c r="AC13" i="10"/>
  <c r="AD13" i="10"/>
  <c r="AC14" i="10"/>
  <c r="AD14" i="10"/>
  <c r="AC15" i="10"/>
  <c r="AD15" i="10"/>
  <c r="AC16" i="10"/>
  <c r="AD16" i="10"/>
  <c r="AC17" i="10"/>
  <c r="AD17" i="10"/>
  <c r="AC18" i="10"/>
  <c r="AD18" i="10"/>
  <c r="AC19" i="10"/>
  <c r="AD19" i="10"/>
  <c r="AC20" i="10"/>
  <c r="AD20" i="10"/>
  <c r="AC21" i="10"/>
  <c r="AD21" i="10"/>
  <c r="AC22" i="10"/>
  <c r="AD22" i="10"/>
  <c r="AC23" i="10"/>
  <c r="AD23" i="10"/>
  <c r="AC24" i="10"/>
  <c r="AD24" i="10"/>
  <c r="AC25" i="10"/>
  <c r="AD25" i="10"/>
  <c r="AC26" i="10"/>
  <c r="AD26" i="10"/>
  <c r="AC27" i="10"/>
  <c r="AD27" i="10"/>
  <c r="AC28" i="10"/>
  <c r="AD28" i="10"/>
  <c r="AC29" i="10"/>
  <c r="AD29" i="10"/>
  <c r="AC30" i="10"/>
  <c r="AD30" i="10"/>
  <c r="AC31" i="10"/>
  <c r="AD31" i="10"/>
  <c r="AC32" i="10"/>
  <c r="AD32" i="10"/>
  <c r="AC33" i="10"/>
  <c r="AD33" i="10"/>
  <c r="AC34" i="10"/>
  <c r="AD34" i="10"/>
  <c r="AC35" i="10"/>
  <c r="AD35" i="10"/>
  <c r="AC36" i="10"/>
  <c r="AD36" i="10"/>
  <c r="AC37" i="10"/>
  <c r="AD37" i="10"/>
  <c r="AC38" i="10"/>
  <c r="AD38" i="10"/>
  <c r="AC39" i="10"/>
  <c r="AD39" i="10"/>
  <c r="AC40" i="10"/>
  <c r="AD40" i="10"/>
  <c r="AC41" i="10"/>
  <c r="AD41" i="10"/>
  <c r="AC42" i="10"/>
  <c r="AD42" i="10"/>
  <c r="AC43" i="10"/>
  <c r="AD43" i="10"/>
  <c r="AC44" i="10"/>
  <c r="AD44" i="10"/>
  <c r="AC45" i="10"/>
  <c r="AD45" i="10"/>
  <c r="AC46" i="10"/>
  <c r="AD46" i="10"/>
  <c r="AC47" i="10"/>
  <c r="AD47" i="10"/>
  <c r="AC48" i="10"/>
  <c r="AD48" i="10"/>
  <c r="AC49" i="10"/>
  <c r="AD49" i="10"/>
  <c r="AC50" i="10"/>
  <c r="AD50" i="10"/>
  <c r="AC51" i="10"/>
  <c r="AD51" i="10"/>
  <c r="AC52" i="10"/>
  <c r="AD52" i="10"/>
  <c r="AC53" i="10"/>
  <c r="AD53" i="10"/>
  <c r="AC54" i="10"/>
  <c r="AD54" i="10"/>
  <c r="AC55" i="10"/>
  <c r="AD55" i="10"/>
  <c r="AC56" i="10"/>
  <c r="AD56" i="10"/>
  <c r="AC57" i="10"/>
  <c r="AD57" i="10"/>
  <c r="AC58" i="10"/>
  <c r="AD58" i="10"/>
  <c r="AC59" i="10"/>
  <c r="AD59" i="10"/>
  <c r="AC60" i="10"/>
  <c r="AD60" i="10"/>
  <c r="AC61" i="10"/>
  <c r="AD61" i="10"/>
  <c r="AC62" i="10"/>
  <c r="AD62" i="10"/>
  <c r="AC63" i="10"/>
  <c r="AD63" i="10"/>
  <c r="AC64" i="10"/>
  <c r="AD64" i="10"/>
  <c r="AC65" i="10"/>
  <c r="AD65" i="10"/>
  <c r="AC66" i="10"/>
  <c r="AD66" i="10"/>
  <c r="AC67" i="10"/>
  <c r="AD67" i="10"/>
  <c r="AC68" i="10"/>
  <c r="AD68" i="10"/>
  <c r="AC69" i="10"/>
  <c r="AD69" i="10"/>
  <c r="AC70" i="10"/>
  <c r="AD70" i="10"/>
  <c r="AC71" i="10"/>
  <c r="AD71" i="10"/>
  <c r="AC72" i="10"/>
  <c r="AD72" i="10"/>
  <c r="AC73" i="10"/>
  <c r="AD73" i="10"/>
  <c r="AC74" i="10"/>
  <c r="AD74" i="10"/>
  <c r="AC75" i="10"/>
  <c r="AD75" i="10"/>
  <c r="AC76" i="10"/>
  <c r="AD76" i="10"/>
  <c r="AC77" i="10"/>
  <c r="AD77" i="10"/>
  <c r="AC78" i="10"/>
  <c r="AD78" i="10"/>
  <c r="AC79" i="10"/>
  <c r="AD79" i="10"/>
  <c r="AC80" i="10"/>
  <c r="AD80" i="10"/>
  <c r="AC81" i="10"/>
  <c r="AD81" i="10"/>
  <c r="AC82" i="10"/>
  <c r="AD82" i="10"/>
  <c r="AC83" i="10"/>
  <c r="AD83" i="10"/>
  <c r="AC84" i="10"/>
  <c r="AD84" i="10"/>
  <c r="AC85" i="10"/>
  <c r="AD85" i="10"/>
  <c r="AC86" i="10"/>
  <c r="AD86" i="10"/>
  <c r="AC87" i="10"/>
  <c r="AD87" i="10"/>
  <c r="AC88" i="10"/>
  <c r="AD88" i="10"/>
  <c r="AC89" i="10"/>
  <c r="AD89" i="10"/>
  <c r="AC90" i="10"/>
  <c r="AD90" i="10"/>
  <c r="AC91" i="10"/>
  <c r="AD91" i="10"/>
  <c r="AC92" i="10"/>
  <c r="AD92" i="10"/>
  <c r="AC93" i="10"/>
  <c r="AD93" i="10"/>
  <c r="AC94" i="10"/>
  <c r="AD94" i="10"/>
  <c r="AC95" i="10"/>
  <c r="AD95" i="10"/>
  <c r="AC96" i="10"/>
  <c r="AD96" i="10"/>
  <c r="AC97" i="10"/>
  <c r="AD97" i="10"/>
  <c r="AC98" i="10"/>
  <c r="AD98" i="10"/>
  <c r="AC99" i="10"/>
  <c r="AD99" i="10"/>
  <c r="AC100" i="10"/>
  <c r="AD100" i="10"/>
  <c r="AC101" i="10"/>
  <c r="AD101" i="10"/>
  <c r="AC102" i="10"/>
  <c r="AD102" i="10"/>
  <c r="AC103" i="10"/>
  <c r="AD103" i="10"/>
  <c r="AC104" i="10"/>
  <c r="AD104" i="10"/>
  <c r="AC105" i="10"/>
  <c r="AD105" i="10"/>
  <c r="AC106" i="10"/>
  <c r="AD106" i="10"/>
  <c r="AC107" i="10"/>
  <c r="AD107" i="10"/>
  <c r="AC108" i="10"/>
  <c r="AD108" i="10"/>
  <c r="AC109" i="10"/>
  <c r="AD109" i="10"/>
  <c r="AC110" i="10"/>
  <c r="AD110" i="10"/>
  <c r="AC111" i="10"/>
  <c r="AD111" i="10"/>
  <c r="AD2" i="10"/>
  <c r="AC2" i="10"/>
  <c r="J10" i="11"/>
  <c r="O7" i="9"/>
  <c r="N7" i="9"/>
  <c r="M7" i="9"/>
  <c r="L7" i="9"/>
  <c r="K7" i="9"/>
  <c r="J7" i="9"/>
  <c r="I7" i="9"/>
  <c r="H7" i="9"/>
  <c r="G7" i="9"/>
  <c r="E7" i="9"/>
  <c r="D7" i="9"/>
  <c r="A7" i="9"/>
  <c r="J16" i="11"/>
  <c r="O12" i="9"/>
  <c r="N12" i="9"/>
  <c r="M12" i="9"/>
  <c r="L12" i="9"/>
  <c r="K12" i="9"/>
  <c r="J12" i="9"/>
  <c r="I12" i="9"/>
  <c r="H12" i="9"/>
  <c r="G12" i="9"/>
  <c r="E12" i="9"/>
  <c r="D12" i="9"/>
  <c r="A12" i="9"/>
  <c r="J62" i="11"/>
  <c r="O43" i="9"/>
  <c r="N43" i="9"/>
  <c r="M43" i="9"/>
  <c r="L43" i="9"/>
  <c r="K43" i="9"/>
  <c r="J43" i="9"/>
  <c r="I43" i="9"/>
  <c r="H43" i="9"/>
  <c r="G43" i="9"/>
  <c r="E43" i="9"/>
  <c r="D43" i="9"/>
  <c r="A43" i="9"/>
  <c r="J110" i="11"/>
  <c r="O75" i="9"/>
  <c r="N75" i="9"/>
  <c r="M75" i="9"/>
  <c r="L75" i="9"/>
  <c r="K75" i="9"/>
  <c r="J75" i="9"/>
  <c r="I75" i="9"/>
  <c r="H75" i="9"/>
  <c r="G75" i="9"/>
  <c r="E75" i="9"/>
  <c r="D75" i="9"/>
  <c r="A75" i="9"/>
  <c r="J56" i="11"/>
  <c r="O37" i="9"/>
  <c r="N37" i="9"/>
  <c r="M37" i="9"/>
  <c r="L37" i="9"/>
  <c r="K37" i="9"/>
  <c r="J37" i="9"/>
  <c r="I37" i="9"/>
  <c r="H37" i="9"/>
  <c r="G37" i="9"/>
  <c r="E37" i="9"/>
  <c r="D37" i="9"/>
  <c r="A37" i="9"/>
  <c r="J55" i="11"/>
  <c r="O36" i="9"/>
  <c r="N36" i="9"/>
  <c r="M36" i="9"/>
  <c r="L36" i="9"/>
  <c r="K36" i="9"/>
  <c r="J36" i="9"/>
  <c r="I36" i="9"/>
  <c r="H36" i="9"/>
  <c r="G36" i="9"/>
  <c r="E36" i="9"/>
  <c r="D36" i="9"/>
  <c r="A36" i="9"/>
  <c r="J103" i="11"/>
  <c r="O68" i="9"/>
  <c r="N68" i="9"/>
  <c r="M68" i="9"/>
  <c r="L68" i="9"/>
  <c r="K68" i="9"/>
  <c r="J68" i="9"/>
  <c r="I68" i="9"/>
  <c r="H68" i="9"/>
  <c r="G68" i="9"/>
  <c r="E68" i="9"/>
  <c r="D68" i="9"/>
  <c r="A68" i="9"/>
  <c r="J102" i="11"/>
  <c r="O67" i="9"/>
  <c r="N67" i="9"/>
  <c r="M67" i="9"/>
  <c r="L67" i="9"/>
  <c r="K67" i="9"/>
  <c r="J67" i="9"/>
  <c r="I67" i="9"/>
  <c r="H67" i="9"/>
  <c r="G67" i="9"/>
  <c r="E67" i="9"/>
  <c r="D67" i="9"/>
  <c r="A67" i="9"/>
  <c r="J101" i="11"/>
  <c r="O66" i="9"/>
  <c r="N66" i="9"/>
  <c r="M66" i="9"/>
  <c r="L66" i="9"/>
  <c r="K66" i="9"/>
  <c r="J66" i="9"/>
  <c r="I66" i="9"/>
  <c r="H66" i="9"/>
  <c r="G66" i="9"/>
  <c r="E66" i="9"/>
  <c r="D66" i="9"/>
  <c r="A66" i="9"/>
  <c r="J100" i="11"/>
  <c r="O65" i="9"/>
  <c r="N65" i="9"/>
  <c r="M65" i="9"/>
  <c r="L65" i="9"/>
  <c r="K65" i="9"/>
  <c r="J65" i="9"/>
  <c r="I65" i="9"/>
  <c r="H65" i="9"/>
  <c r="G65" i="9"/>
  <c r="E65" i="9"/>
  <c r="D65" i="9"/>
  <c r="A65" i="9"/>
  <c r="J99" i="11"/>
  <c r="O64" i="9"/>
  <c r="N64" i="9"/>
  <c r="M64" i="9"/>
  <c r="L64" i="9"/>
  <c r="K64" i="9"/>
  <c r="J64" i="9"/>
  <c r="I64" i="9"/>
  <c r="H64" i="9"/>
  <c r="G64" i="9"/>
  <c r="E64" i="9"/>
  <c r="D64" i="9"/>
  <c r="A64" i="9"/>
  <c r="J98" i="11"/>
  <c r="O63" i="9"/>
  <c r="N63" i="9"/>
  <c r="M63" i="9"/>
  <c r="L63" i="9"/>
  <c r="K63" i="9"/>
  <c r="J63" i="9"/>
  <c r="I63" i="9"/>
  <c r="H63" i="9"/>
  <c r="G63" i="9"/>
  <c r="E63" i="9"/>
  <c r="D63" i="9"/>
  <c r="A63" i="9"/>
  <c r="J97" i="11"/>
  <c r="O62" i="9"/>
  <c r="N62" i="9"/>
  <c r="M62" i="9"/>
  <c r="L62" i="9"/>
  <c r="K62" i="9"/>
  <c r="J62" i="9"/>
  <c r="I62" i="9"/>
  <c r="H62" i="9"/>
  <c r="G62" i="9"/>
  <c r="E62" i="9"/>
  <c r="D62" i="9"/>
  <c r="A62" i="9"/>
  <c r="J88" i="11"/>
  <c r="O61" i="9"/>
  <c r="N61" i="9"/>
  <c r="M61" i="9"/>
  <c r="L61" i="9"/>
  <c r="K61" i="9"/>
  <c r="J61" i="9"/>
  <c r="I61" i="9"/>
  <c r="H61" i="9"/>
  <c r="G61" i="9"/>
  <c r="E61" i="9"/>
  <c r="D61" i="9"/>
  <c r="A61" i="9"/>
  <c r="J87" i="11"/>
  <c r="O60" i="9"/>
  <c r="N60" i="9"/>
  <c r="M60" i="9"/>
  <c r="L60" i="9"/>
  <c r="K60" i="9"/>
  <c r="J60" i="9"/>
  <c r="I60" i="9"/>
  <c r="H60" i="9"/>
  <c r="G60" i="9"/>
  <c r="E60" i="9"/>
  <c r="D60" i="9"/>
  <c r="A60" i="9"/>
  <c r="J86" i="11"/>
  <c r="O59" i="9"/>
  <c r="N59" i="9"/>
  <c r="M59" i="9"/>
  <c r="L59" i="9"/>
  <c r="K59" i="9"/>
  <c r="J59" i="9"/>
  <c r="I59" i="9"/>
  <c r="H59" i="9"/>
  <c r="G59" i="9"/>
  <c r="E59" i="9"/>
  <c r="D59" i="9"/>
  <c r="A59" i="9"/>
  <c r="J85" i="11"/>
  <c r="O58" i="9"/>
  <c r="N58" i="9"/>
  <c r="M58" i="9"/>
  <c r="L58" i="9"/>
  <c r="K58" i="9"/>
  <c r="J58" i="9"/>
  <c r="I58" i="9"/>
  <c r="H58" i="9"/>
  <c r="G58" i="9"/>
  <c r="E58" i="9"/>
  <c r="D58" i="9"/>
  <c r="A58" i="9"/>
  <c r="J84" i="11"/>
  <c r="O57" i="9"/>
  <c r="N57" i="9"/>
  <c r="M57" i="9"/>
  <c r="L57" i="9"/>
  <c r="K57" i="9"/>
  <c r="J57" i="9"/>
  <c r="I57" i="9"/>
  <c r="H57" i="9"/>
  <c r="G57" i="9"/>
  <c r="E57" i="9"/>
  <c r="D57" i="9"/>
  <c r="A57" i="9"/>
  <c r="J83" i="11"/>
  <c r="O56" i="9"/>
  <c r="N56" i="9"/>
  <c r="M56" i="9"/>
  <c r="L56" i="9"/>
  <c r="K56" i="9"/>
  <c r="J56" i="9"/>
  <c r="I56" i="9"/>
  <c r="H56" i="9"/>
  <c r="G56" i="9"/>
  <c r="E56" i="9"/>
  <c r="D56" i="9"/>
  <c r="A56" i="9"/>
  <c r="J82" i="11"/>
  <c r="O55" i="9"/>
  <c r="N55" i="9"/>
  <c r="M55" i="9"/>
  <c r="L55" i="9"/>
  <c r="K55" i="9"/>
  <c r="J55" i="9"/>
  <c r="I55" i="9"/>
  <c r="H55" i="9"/>
  <c r="G55" i="9"/>
  <c r="E55" i="9"/>
  <c r="D55" i="9"/>
  <c r="A55" i="9"/>
  <c r="J75" i="11"/>
  <c r="O54" i="9"/>
  <c r="N54" i="9"/>
  <c r="M54" i="9"/>
  <c r="L54" i="9"/>
  <c r="K54" i="9"/>
  <c r="J54" i="9"/>
  <c r="I54" i="9"/>
  <c r="H54" i="9"/>
  <c r="G54" i="9"/>
  <c r="E54" i="9"/>
  <c r="D54" i="9"/>
  <c r="A54" i="9"/>
  <c r="J74" i="11"/>
  <c r="O53" i="9"/>
  <c r="N53" i="9"/>
  <c r="M53" i="9"/>
  <c r="L53" i="9"/>
  <c r="K53" i="9"/>
  <c r="J53" i="9"/>
  <c r="I53" i="9"/>
  <c r="H53" i="9"/>
  <c r="G53" i="9"/>
  <c r="E53" i="9"/>
  <c r="D53" i="9"/>
  <c r="A53" i="9"/>
  <c r="J73" i="11"/>
  <c r="O52" i="9"/>
  <c r="N52" i="9"/>
  <c r="M52" i="9"/>
  <c r="L52" i="9"/>
  <c r="K52" i="9"/>
  <c r="J52" i="9"/>
  <c r="I52" i="9"/>
  <c r="H52" i="9"/>
  <c r="G52" i="9"/>
  <c r="E52" i="9"/>
  <c r="D52" i="9"/>
  <c r="A52" i="9"/>
  <c r="J72" i="11"/>
  <c r="O51" i="9"/>
  <c r="N51" i="9"/>
  <c r="M51" i="9"/>
  <c r="L51" i="9"/>
  <c r="K51" i="9"/>
  <c r="J51" i="9"/>
  <c r="I51" i="9"/>
  <c r="H51" i="9"/>
  <c r="G51" i="9"/>
  <c r="E51" i="9"/>
  <c r="D51" i="9"/>
  <c r="A51" i="9"/>
  <c r="J71" i="11"/>
  <c r="O50" i="9"/>
  <c r="N50" i="9"/>
  <c r="M50" i="9"/>
  <c r="L50" i="9"/>
  <c r="K50" i="9"/>
  <c r="J50" i="9"/>
  <c r="I50" i="9"/>
  <c r="H50" i="9"/>
  <c r="G50" i="9"/>
  <c r="E50" i="9"/>
  <c r="D50" i="9"/>
  <c r="A50" i="9"/>
  <c r="J67" i="11"/>
  <c r="O46" i="9"/>
  <c r="N46" i="9"/>
  <c r="M46" i="9"/>
  <c r="L46" i="9"/>
  <c r="K46" i="9"/>
  <c r="J46" i="9"/>
  <c r="I46" i="9"/>
  <c r="H46" i="9"/>
  <c r="G46" i="9"/>
  <c r="E46" i="9"/>
  <c r="D46" i="9"/>
  <c r="A46" i="9"/>
  <c r="J64" i="11"/>
  <c r="O45" i="9"/>
  <c r="N45" i="9"/>
  <c r="M45" i="9"/>
  <c r="L45" i="9"/>
  <c r="K45" i="9"/>
  <c r="J45" i="9"/>
  <c r="I45" i="9"/>
  <c r="H45" i="9"/>
  <c r="G45" i="9"/>
  <c r="E45" i="9"/>
  <c r="D45" i="9"/>
  <c r="A45" i="9"/>
  <c r="J63" i="11"/>
  <c r="O44" i="9"/>
  <c r="N44" i="9"/>
  <c r="M44" i="9"/>
  <c r="L44" i="9"/>
  <c r="K44" i="9"/>
  <c r="J44" i="9"/>
  <c r="I44" i="9"/>
  <c r="H44" i="9"/>
  <c r="G44" i="9"/>
  <c r="E44" i="9"/>
  <c r="D44" i="9"/>
  <c r="A44" i="9"/>
  <c r="J61" i="11"/>
  <c r="O42" i="9"/>
  <c r="N42" i="9"/>
  <c r="M42" i="9"/>
  <c r="L42" i="9"/>
  <c r="K42" i="9"/>
  <c r="J42" i="9"/>
  <c r="I42" i="9"/>
  <c r="H42" i="9"/>
  <c r="G42" i="9"/>
  <c r="E42" i="9"/>
  <c r="D42" i="9"/>
  <c r="A42" i="9"/>
  <c r="J60" i="11"/>
  <c r="O41" i="9"/>
  <c r="N41" i="9"/>
  <c r="M41" i="9"/>
  <c r="L41" i="9"/>
  <c r="K41" i="9"/>
  <c r="J41" i="9"/>
  <c r="I41" i="9"/>
  <c r="H41" i="9"/>
  <c r="G41" i="9"/>
  <c r="E41" i="9"/>
  <c r="D41" i="9"/>
  <c r="A41" i="9"/>
  <c r="J59" i="11"/>
  <c r="O40" i="9"/>
  <c r="N40" i="9"/>
  <c r="M40" i="9"/>
  <c r="L40" i="9"/>
  <c r="K40" i="9"/>
  <c r="J40" i="9"/>
  <c r="I40" i="9"/>
  <c r="H40" i="9"/>
  <c r="G40" i="9"/>
  <c r="E40" i="9"/>
  <c r="D40" i="9"/>
  <c r="A40" i="9"/>
  <c r="J58" i="11"/>
  <c r="O39" i="9"/>
  <c r="N39" i="9"/>
  <c r="M39" i="9"/>
  <c r="L39" i="9"/>
  <c r="K39" i="9"/>
  <c r="J39" i="9"/>
  <c r="I39" i="9"/>
  <c r="H39" i="9"/>
  <c r="G39" i="9"/>
  <c r="E39" i="9"/>
  <c r="D39" i="9"/>
  <c r="A39" i="9"/>
  <c r="J57" i="11"/>
  <c r="O38" i="9"/>
  <c r="N38" i="9"/>
  <c r="M38" i="9"/>
  <c r="L38" i="9"/>
  <c r="K38" i="9"/>
  <c r="J38" i="9"/>
  <c r="I38" i="9"/>
  <c r="H38" i="9"/>
  <c r="G38" i="9"/>
  <c r="E38" i="9"/>
  <c r="D38" i="9"/>
  <c r="A38" i="9"/>
  <c r="J54" i="11"/>
  <c r="O35" i="9"/>
  <c r="N35" i="9"/>
  <c r="M35" i="9"/>
  <c r="L35" i="9"/>
  <c r="K35" i="9"/>
  <c r="J35" i="9"/>
  <c r="I35" i="9"/>
  <c r="H35" i="9"/>
  <c r="G35" i="9"/>
  <c r="E35" i="9"/>
  <c r="D35" i="9"/>
  <c r="A35" i="9"/>
  <c r="J53" i="11"/>
  <c r="O34" i="9"/>
  <c r="N34" i="9"/>
  <c r="M34" i="9"/>
  <c r="L34" i="9"/>
  <c r="K34" i="9"/>
  <c r="J34" i="9"/>
  <c r="I34" i="9"/>
  <c r="H34" i="9"/>
  <c r="G34" i="9"/>
  <c r="E34" i="9"/>
  <c r="D34" i="9"/>
  <c r="A34" i="9"/>
  <c r="J50" i="11"/>
  <c r="O33" i="9"/>
  <c r="N33" i="9"/>
  <c r="M33" i="9"/>
  <c r="L33" i="9"/>
  <c r="K33" i="9"/>
  <c r="J33" i="9"/>
  <c r="I33" i="9"/>
  <c r="H33" i="9"/>
  <c r="G33" i="9"/>
  <c r="E33" i="9"/>
  <c r="D33" i="9"/>
  <c r="A33" i="9"/>
  <c r="J49" i="11"/>
  <c r="O32" i="9"/>
  <c r="N32" i="9"/>
  <c r="M32" i="9"/>
  <c r="L32" i="9"/>
  <c r="K32" i="9"/>
  <c r="J32" i="9"/>
  <c r="I32" i="9"/>
  <c r="H32" i="9"/>
  <c r="G32" i="9"/>
  <c r="E32" i="9"/>
  <c r="D32" i="9"/>
  <c r="A32" i="9"/>
  <c r="J48" i="11"/>
  <c r="O31" i="9"/>
  <c r="N31" i="9"/>
  <c r="M31" i="9"/>
  <c r="L31" i="9"/>
  <c r="K31" i="9"/>
  <c r="J31" i="9"/>
  <c r="I31" i="9"/>
  <c r="H31" i="9"/>
  <c r="G31" i="9"/>
  <c r="E31" i="9"/>
  <c r="D31" i="9"/>
  <c r="A31" i="9"/>
  <c r="J47" i="11"/>
  <c r="O30" i="9"/>
  <c r="N30" i="9"/>
  <c r="M30" i="9"/>
  <c r="L30" i="9"/>
  <c r="K30" i="9"/>
  <c r="J30" i="9"/>
  <c r="I30" i="9"/>
  <c r="H30" i="9"/>
  <c r="G30" i="9"/>
  <c r="E30" i="9"/>
  <c r="D30" i="9"/>
  <c r="A30" i="9"/>
  <c r="J44" i="11"/>
  <c r="O29" i="9"/>
  <c r="N29" i="9"/>
  <c r="M29" i="9"/>
  <c r="L29" i="9"/>
  <c r="K29" i="9"/>
  <c r="J29" i="9"/>
  <c r="I29" i="9"/>
  <c r="H29" i="9"/>
  <c r="G29" i="9"/>
  <c r="E29" i="9"/>
  <c r="D29" i="9"/>
  <c r="A29" i="9"/>
  <c r="J43" i="11"/>
  <c r="O28" i="9"/>
  <c r="N28" i="9"/>
  <c r="M28" i="9"/>
  <c r="L28" i="9"/>
  <c r="K28" i="9"/>
  <c r="J28" i="9"/>
  <c r="I28" i="9"/>
  <c r="H28" i="9"/>
  <c r="G28" i="9"/>
  <c r="E28" i="9"/>
  <c r="D28" i="9"/>
  <c r="A28" i="9"/>
  <c r="J42" i="11"/>
  <c r="O27" i="9"/>
  <c r="N27" i="9"/>
  <c r="M27" i="9"/>
  <c r="L27" i="9"/>
  <c r="K27" i="9"/>
  <c r="J27" i="9"/>
  <c r="I27" i="9"/>
  <c r="H27" i="9"/>
  <c r="G27" i="9"/>
  <c r="E27" i="9"/>
  <c r="D27" i="9"/>
  <c r="A27" i="9"/>
  <c r="J41" i="11"/>
  <c r="O26" i="9"/>
  <c r="N26" i="9"/>
  <c r="M26" i="9"/>
  <c r="L26" i="9"/>
  <c r="K26" i="9"/>
  <c r="J26" i="9"/>
  <c r="I26" i="9"/>
  <c r="H26" i="9"/>
  <c r="G26" i="9"/>
  <c r="E26" i="9"/>
  <c r="D26" i="9"/>
  <c r="A26" i="9"/>
  <c r="J40" i="11"/>
  <c r="O25" i="9"/>
  <c r="N25" i="9"/>
  <c r="M25" i="9"/>
  <c r="L25" i="9"/>
  <c r="K25" i="9"/>
  <c r="J25" i="9"/>
  <c r="I25" i="9"/>
  <c r="H25" i="9"/>
  <c r="G25" i="9"/>
  <c r="E25" i="9"/>
  <c r="D25" i="9"/>
  <c r="A25" i="9"/>
  <c r="J39" i="11"/>
  <c r="O24" i="9"/>
  <c r="N24" i="9"/>
  <c r="M24" i="9"/>
  <c r="L24" i="9"/>
  <c r="K24" i="9"/>
  <c r="J24" i="9"/>
  <c r="I24" i="9"/>
  <c r="H24" i="9"/>
  <c r="G24" i="9"/>
  <c r="E24" i="9"/>
  <c r="D24" i="9"/>
  <c r="A24" i="9"/>
  <c r="J38" i="11"/>
  <c r="O23" i="9"/>
  <c r="N23" i="9"/>
  <c r="M23" i="9"/>
  <c r="L23" i="9"/>
  <c r="K23" i="9"/>
  <c r="J23" i="9"/>
  <c r="I23" i="9"/>
  <c r="H23" i="9"/>
  <c r="G23" i="9"/>
  <c r="E23" i="9"/>
  <c r="D23" i="9"/>
  <c r="A23" i="9"/>
  <c r="J37" i="11"/>
  <c r="O22" i="9"/>
  <c r="N22" i="9"/>
  <c r="M22" i="9"/>
  <c r="L22" i="9"/>
  <c r="K22" i="9"/>
  <c r="J22" i="9"/>
  <c r="I22" i="9"/>
  <c r="H22" i="9"/>
  <c r="G22" i="9"/>
  <c r="E22" i="9"/>
  <c r="D22" i="9"/>
  <c r="A22" i="9"/>
  <c r="J33" i="11"/>
  <c r="O21" i="9"/>
  <c r="N21" i="9"/>
  <c r="M21" i="9"/>
  <c r="L21" i="9"/>
  <c r="K21" i="9"/>
  <c r="J21" i="9"/>
  <c r="I21" i="9"/>
  <c r="H21" i="9"/>
  <c r="G21" i="9"/>
  <c r="E21" i="9"/>
  <c r="D21" i="9"/>
  <c r="A21" i="9"/>
  <c r="J32" i="11"/>
  <c r="O20" i="9"/>
  <c r="N20" i="9"/>
  <c r="M20" i="9"/>
  <c r="L20" i="9"/>
  <c r="K20" i="9"/>
  <c r="J20" i="9"/>
  <c r="I20" i="9"/>
  <c r="H20" i="9"/>
  <c r="G20" i="9"/>
  <c r="E20" i="9"/>
  <c r="D20" i="9"/>
  <c r="A20" i="9"/>
  <c r="J31" i="11"/>
  <c r="O19" i="9"/>
  <c r="N19" i="9"/>
  <c r="M19" i="9"/>
  <c r="L19" i="9"/>
  <c r="K19" i="9"/>
  <c r="J19" i="9"/>
  <c r="I19" i="9"/>
  <c r="H19" i="9"/>
  <c r="G19" i="9"/>
  <c r="E19" i="9"/>
  <c r="D19" i="9"/>
  <c r="A19" i="9"/>
  <c r="J30" i="11"/>
  <c r="O18" i="9"/>
  <c r="N18" i="9"/>
  <c r="M18" i="9"/>
  <c r="L18" i="9"/>
  <c r="K18" i="9"/>
  <c r="J18" i="9"/>
  <c r="I18" i="9"/>
  <c r="H18" i="9"/>
  <c r="G18" i="9"/>
  <c r="E18" i="9"/>
  <c r="D18" i="9"/>
  <c r="A18" i="9"/>
  <c r="J29" i="11"/>
  <c r="O17" i="9"/>
  <c r="N17" i="9"/>
  <c r="M17" i="9"/>
  <c r="L17" i="9"/>
  <c r="K17" i="9"/>
  <c r="J17" i="9"/>
  <c r="I17" i="9"/>
  <c r="H17" i="9"/>
  <c r="G17" i="9"/>
  <c r="E17" i="9"/>
  <c r="D17" i="9"/>
  <c r="A17" i="9"/>
  <c r="J28" i="11"/>
  <c r="O16" i="9"/>
  <c r="N16" i="9"/>
  <c r="M16" i="9"/>
  <c r="L16" i="9"/>
  <c r="K16" i="9"/>
  <c r="J16" i="9"/>
  <c r="I16" i="9"/>
  <c r="H16" i="9"/>
  <c r="G16" i="9"/>
  <c r="E16" i="9"/>
  <c r="D16" i="9"/>
  <c r="A16" i="9"/>
  <c r="J27" i="11"/>
  <c r="O15" i="9"/>
  <c r="N15" i="9"/>
  <c r="M15" i="9"/>
  <c r="L15" i="9"/>
  <c r="K15" i="9"/>
  <c r="J15" i="9"/>
  <c r="I15" i="9"/>
  <c r="H15" i="9"/>
  <c r="G15" i="9"/>
  <c r="E15" i="9"/>
  <c r="D15" i="9"/>
  <c r="A15" i="9"/>
  <c r="J23" i="11"/>
  <c r="O14" i="9"/>
  <c r="N14" i="9"/>
  <c r="M14" i="9"/>
  <c r="L14" i="9"/>
  <c r="K14" i="9"/>
  <c r="J14" i="9"/>
  <c r="I14" i="9"/>
  <c r="H14" i="9"/>
  <c r="G14" i="9"/>
  <c r="E14" i="9"/>
  <c r="D14" i="9"/>
  <c r="A14" i="9"/>
  <c r="J22" i="11"/>
  <c r="O13" i="9"/>
  <c r="N13" i="9"/>
  <c r="M13" i="9"/>
  <c r="L13" i="9"/>
  <c r="K13" i="9"/>
  <c r="J13" i="9"/>
  <c r="I13" i="9"/>
  <c r="H13" i="9"/>
  <c r="G13" i="9"/>
  <c r="E13" i="9"/>
  <c r="D13" i="9"/>
  <c r="A13" i="9"/>
  <c r="J15" i="11"/>
  <c r="O11" i="9"/>
  <c r="N11" i="9"/>
  <c r="M11" i="9"/>
  <c r="L11" i="9"/>
  <c r="K11" i="9"/>
  <c r="J11" i="9"/>
  <c r="I11" i="9"/>
  <c r="H11" i="9"/>
  <c r="G11" i="9"/>
  <c r="E11" i="9"/>
  <c r="D11" i="9"/>
  <c r="A11" i="9"/>
  <c r="J14" i="11"/>
  <c r="O10" i="9"/>
  <c r="N10" i="9"/>
  <c r="M10" i="9"/>
  <c r="L10" i="9"/>
  <c r="K10" i="9"/>
  <c r="J10" i="9"/>
  <c r="I10" i="9"/>
  <c r="H10" i="9"/>
  <c r="G10" i="9"/>
  <c r="E10" i="9"/>
  <c r="D10" i="9"/>
  <c r="A10" i="9"/>
  <c r="J13" i="11"/>
  <c r="O9" i="9"/>
  <c r="N9" i="9"/>
  <c r="M9" i="9"/>
  <c r="L9" i="9"/>
  <c r="K9" i="9"/>
  <c r="J9" i="9"/>
  <c r="I9" i="9"/>
  <c r="H9" i="9"/>
  <c r="G9" i="9"/>
  <c r="E9" i="9"/>
  <c r="D9" i="9"/>
  <c r="A9" i="9"/>
  <c r="J12" i="11"/>
  <c r="O8" i="9"/>
  <c r="N8" i="9"/>
  <c r="M8" i="9"/>
  <c r="L8" i="9"/>
  <c r="K8" i="9"/>
  <c r="J8" i="9"/>
  <c r="I8" i="9"/>
  <c r="H8" i="9"/>
  <c r="G8" i="9"/>
  <c r="E8" i="9"/>
  <c r="D8" i="9"/>
  <c r="A8" i="9"/>
  <c r="J9" i="11"/>
  <c r="O6" i="9"/>
  <c r="N6" i="9"/>
  <c r="M6" i="9"/>
  <c r="L6" i="9"/>
  <c r="K6" i="9"/>
  <c r="J6" i="9"/>
  <c r="I6" i="9"/>
  <c r="H6" i="9"/>
  <c r="G6" i="9"/>
  <c r="E6" i="9"/>
  <c r="D6" i="9"/>
  <c r="A6" i="9"/>
  <c r="J7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J111" i="11"/>
  <c r="J96" i="11"/>
  <c r="J95" i="11"/>
  <c r="J94" i="11"/>
  <c r="J93" i="11"/>
  <c r="J92" i="11"/>
  <c r="J91" i="11"/>
  <c r="J90" i="11"/>
  <c r="J89" i="11"/>
  <c r="J81" i="11"/>
  <c r="J80" i="11"/>
  <c r="J79" i="11"/>
  <c r="J78" i="11"/>
  <c r="J77" i="11"/>
  <c r="J76" i="11"/>
  <c r="J66" i="11"/>
  <c r="J65" i="11"/>
  <c r="J52" i="11"/>
  <c r="J51" i="11"/>
  <c r="J46" i="11"/>
  <c r="J45" i="11"/>
  <c r="J36" i="11"/>
  <c r="J35" i="11"/>
  <c r="J34" i="11"/>
  <c r="J26" i="11"/>
  <c r="J25" i="11"/>
  <c r="J24" i="11"/>
  <c r="J21" i="11"/>
  <c r="J20" i="11"/>
  <c r="J19" i="11"/>
  <c r="J18" i="11"/>
  <c r="J17" i="11"/>
  <c r="J11" i="11"/>
  <c r="J8" i="11"/>
  <c r="J6" i="11"/>
  <c r="J5" i="11"/>
  <c r="M111" i="10"/>
  <c r="T111" i="10"/>
  <c r="W111" i="10"/>
  <c r="V111" i="10"/>
  <c r="X111" i="10"/>
  <c r="U111" i="10"/>
  <c r="Y111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M110" i="10"/>
  <c r="T110" i="10"/>
  <c r="W110" i="10"/>
  <c r="V110" i="10"/>
  <c r="X110" i="10"/>
  <c r="U110" i="10"/>
  <c r="Y110" i="10"/>
  <c r="N110" i="10"/>
  <c r="Q110" i="10"/>
  <c r="P110" i="10"/>
  <c r="R110" i="10"/>
  <c r="O110" i="10"/>
  <c r="S110" i="10"/>
  <c r="G110" i="10"/>
  <c r="J110" i="10"/>
  <c r="I110" i="10"/>
  <c r="K110" i="10"/>
  <c r="H110" i="10"/>
  <c r="L110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M106" i="10"/>
  <c r="T106" i="10"/>
  <c r="W106" i="10"/>
  <c r="V106" i="10"/>
  <c r="X106" i="10"/>
  <c r="U106" i="10"/>
  <c r="Y106" i="10"/>
  <c r="N106" i="10"/>
  <c r="Q106" i="10"/>
  <c r="P106" i="10"/>
  <c r="R106" i="10"/>
  <c r="O106" i="10"/>
  <c r="S106" i="10"/>
  <c r="G106" i="10"/>
  <c r="J106" i="10"/>
  <c r="I106" i="10"/>
  <c r="K106" i="10"/>
  <c r="H106" i="10"/>
  <c r="L106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M104" i="10"/>
  <c r="T104" i="10"/>
  <c r="W104" i="10"/>
  <c r="V104" i="10"/>
  <c r="X104" i="10"/>
  <c r="U104" i="10"/>
  <c r="Y104" i="10"/>
  <c r="N104" i="10"/>
  <c r="Q104" i="10"/>
  <c r="P104" i="10"/>
  <c r="R104" i="10"/>
  <c r="O104" i="10"/>
  <c r="S104" i="10"/>
  <c r="G104" i="10"/>
  <c r="J104" i="10"/>
  <c r="I104" i="10"/>
  <c r="K104" i="10"/>
  <c r="H104" i="10"/>
  <c r="L104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5" i="7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G6" i="2"/>
  <c r="A6" i="2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8" i="1"/>
  <c r="AF8" i="1"/>
  <c r="AI8" i="1"/>
  <c r="AG8" i="1"/>
  <c r="AE8" i="1"/>
  <c r="E2" i="9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H6" i="2"/>
  <c r="E6" i="2"/>
  <c r="D6" i="2"/>
  <c r="H2" i="1"/>
  <c r="H3" i="1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3" i="1"/>
  <c r="V2" i="1"/>
  <c r="T3" i="1"/>
  <c r="T2" i="1"/>
  <c r="C13" i="16"/>
  <c r="E13" i="16"/>
  <c r="N2" i="22"/>
  <c r="G2" i="22"/>
  <c r="F2" i="22"/>
  <c r="D2" i="22"/>
  <c r="C2" i="22"/>
  <c r="A2" i="22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Y2" i="7"/>
  <c r="X2" i="1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<sst xmlns="http://schemas.openxmlformats.org/spreadsheetml/2006/main" count="1414" uniqueCount="468">
  <si>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</si>
  <si>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</si>
  <si>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</si>
  <si>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</si>
  <si>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</si>
  <si>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</si>
  <si>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</si>
  <si>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</si>
  <si>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</si>
  <si>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</si>
  <si>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</si>
  <si>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</si>
  <si>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</si>
  <si>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</si>
  <si>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</si>
  <si>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</si>
  <si>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</si>
  <si>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</si>
  <si>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</si>
  <si>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</si>
  <si>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</si>
  <si>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</si>
  <si>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</si>
  <si>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</si>
  <si>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</si>
  <si>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</si>
  <si>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</si>
  <si>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</si>
  <si>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</si>
  <si>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</si>
  <si>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</si>
  <si>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</si>
  <si>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</si>
  <si>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</si>
  <si>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</si>
  <si>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</si>
  <si>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</si>
  <si>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</si>
  <si>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</si>
  <si>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</si>
  <si>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</si>
  <si>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</si>
  <si>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</si>
  <si>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</si>
  <si>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</si>
  <si>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</si>
  <si>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</si>
  <si>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</si>
  <si>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</si>
  <si>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</si>
  <si>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</si>
  <si>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</si>
  <si>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</si>
  <si>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</si>
  <si>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</si>
  <si>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</si>
  <si>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</si>
  <si>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</si>
  <si>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</si>
  <si>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</si>
  <si>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</si>
  <si>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</si>
  <si>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</si>
  <si>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</si>
  <si>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</si>
  <si>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</si>
  <si>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</si>
  <si>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</si>
  <si>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</si>
  <si>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</si>
  <si>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</si>
  <si>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</si>
  <si>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</si>
  <si>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</si>
  <si>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</si>
  <si>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</si>
  <si>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</si>
  <si>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</si>
  <si>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</si>
  <si>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</si>
  <si>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</si>
  <si>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</si>
  <si>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</si>
  <si>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</si>
  <si>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</si>
  <si>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</si>
  <si>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</si>
  <si>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</si>
  <si>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</si>
  <si>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</si>
  <si>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</si>
  <si>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</si>
  <si>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</si>
  <si>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</si>
  <si>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</si>
  <si>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</si>
  <si>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</si>
  <si>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</si>
  <si>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</si>
  <si>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</si>
  <si>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</si>
  <si>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</si>
  <si>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</si>
  <si>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</si>
  <si>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</si>
  <si>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</si>
  <si>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</si>
  <si>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</si>
  <si>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</si>
  <si>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</si>
  <si>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</si>
  <si>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</si>
  <si>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</si>
  <si>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</si>
  <si>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</si>
  <si>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</si>
  <si>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</si>
  <si>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</si>
  <si>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</si>
  <si>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</si>
  <si>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</si>
  <si>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</si>
  <si>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</si>
  <si>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</si>
  <si>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</si>
  <si>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</si>
  <si>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</si>
  <si>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</si>
  <si>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</si>
  <si>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</si>
  <si>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</si>
  <si>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</si>
  <si>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</si>
  <si>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</si>
  <si>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</si>
  <si>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</si>
  <si>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</si>
  <si>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</si>
  <si>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</si>
  <si>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</si>
  <si>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</si>
  <si>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</si>
  <si>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</si>
  <si>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</si>
  <si>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</si>
  <si>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</si>
  <si>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</si>
  <si>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</si>
  <si>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</si>
  <si>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</si>
  <si>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</si>
  <si>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</si>
  <si>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</si>
  <si>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</si>
  <si>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</si>
  <si>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</si>
  <si>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</si>
  <si>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</si>
  <si>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</si>
  <si>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</si>
  <si>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</si>
  <si>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</si>
  <si>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</si>
  <si>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</si>
  <si>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</si>
  <si>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</si>
  <si>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</si>
  <si>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</si>
  <si>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</si>
  <si>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</si>
  <si>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</si>
  <si>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</si>
  <si>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</si>
  <si>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</si>
  <si>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</si>
  <si>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</si>
  <si>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</si>
  <si>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</si>
  <si>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</si>
  <si>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</si>
  <si>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</si>
  <si>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</si>
  <si>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</si>
  <si>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</si>
  <si>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</si>
  <si>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</si>
  <si>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</si>
  <si>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</si>
  <si>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</si>
  <si>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</si>
  <si>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</si>
  <si>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</si>
  <si>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</si>
  <si>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</si>
  <si>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</si>
  <si>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</si>
  <si>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</si>
  <si>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</si>
  <si>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</si>
  <si>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</si>
  <si>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</si>
  <si>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</si>
  <si>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</si>
  <si>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</si>
  <si>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</si>
  <si>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</si>
  <si>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</si>
  <si>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</si>
  <si>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</si>
  <si>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</si>
  <si>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</si>
  <si>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</si>
  <si>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</si>
  <si>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</si>
  <si>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</si>
  <si>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</si>
  <si>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</si>
  <si>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</si>
  <si>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</si>
  <si>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</si>
  <si>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</si>
  <si>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</si>
  <si>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</si>
  <si>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</si>
  <si>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</si>
  <si>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</si>
  <si>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</si>
  <si>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</si>
  <si>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</si>
  <si>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</si>
  <si>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</si>
  <si>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</si>
  <si>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</si>
  <si>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</si>
  <si>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</si>
  <si>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</si>
  <si>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</si>
  <si>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</si>
  <si>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</si>
  <si>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</si>
  <si>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</si>
  <si>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</si>
  <si>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</si>
  <si>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</si>
  <si>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</si>
  <si>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</si>
  <si>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</si>
  <si>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</si>
  <si>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</si>
  <si>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</si>
  <si>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</si>
  <si>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</si>
  <si>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</si>
  <si>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</si>
  <si>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</si>
  <si>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</si>
  <si>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[effect:enemy_message, val1:1.2, val2:1.2]</t>
    <phoneticPr fontId="5"/>
  </si>
  <si>
    <t>ハンナ</t>
    <phoneticPr fontId="5"/>
  </si>
  <si>
    <t>予備枠</t>
    <rPh sb="0" eb="3">
      <t>ヨビワｋ</t>
    </rPh>
    <phoneticPr fontId="5"/>
  </si>
  <si>
    <t>ケンジ</t>
    <phoneticPr fontId="5"/>
  </si>
  <si>
    <t>クリティカル</t>
    <phoneticPr fontId="5"/>
  </si>
  <si>
    <t>エキドナ</t>
    <phoneticPr fontId="5"/>
  </si>
  <si>
    <t>予備枠</t>
    <rPh sb="0" eb="3">
      <t>ヨｂ</t>
    </rPh>
    <phoneticPr fontId="5"/>
  </si>
  <si>
    <t>ジョー</t>
    <phoneticPr fontId="5"/>
  </si>
  <si>
    <t>ミズチ1</t>
    <phoneticPr fontId="5"/>
  </si>
  <si>
    <t>ミズチ2</t>
    <phoneticPr fontId="5"/>
  </si>
  <si>
    <t>状態異常耐性</t>
    <rPh sb="0" eb="6">
      <t>ｊｙ</t>
    </rPh>
    <phoneticPr fontId="5"/>
  </si>
  <si>
    <t>青龍2</t>
    <rPh sb="0" eb="2">
      <t>セイリュ</t>
    </rPh>
    <phoneticPr fontId="5"/>
  </si>
  <si>
    <t>始皇帝1</t>
    <rPh sb="0" eb="3">
      <t>シコ</t>
    </rPh>
    <phoneticPr fontId="5"/>
  </si>
  <si>
    <t>始皇帝2</t>
    <rPh sb="0" eb="3">
      <t>シコ</t>
    </rPh>
    <phoneticPr fontId="5"/>
  </si>
  <si>
    <t>ハートパネルを吸収して全体攻撃</t>
    <rPh sb="7" eb="9">
      <t>キュウシュ</t>
    </rPh>
    <rPh sb="11" eb="15">
      <t>ゼｎ</t>
    </rPh>
    <phoneticPr fontId="5"/>
  </si>
  <si>
    <t>[effect:enemy_message, val1:1.2, val2:1.2],[effect:enemy_resurrection, target:id_53, val:0.5, animation:enemy_resurrection]</t>
    <phoneticPr fontId="5"/>
  </si>
  <si>
    <t>[effect:enemy_message, val1:1.2, val2:1.2],[effect:critical, val:1.2, animation:enemy_critical]</t>
    <phoneticPr fontId="5"/>
  </si>
  <si>
    <t>[effect:enemy_message, val1:1.2, val2:1.2],[effect:enhance_enemy, target:myself, turn:-1, status:defense, val:2000, calc:add, animation:enemy_enhance_defense]</t>
    <phoneticPr fontId="5"/>
  </si>
  <si>
    <t>[effect:enemy_message, val1:1.2, val2:1.2],[effect:heal, target:myself, val:0.3, animation:enemy_heal]</t>
    <phoneticPr fontId="5"/>
  </si>
  <si>
    <t>[effect:enemy_message, val1:1.2, val2:1.2],[effect:spread, val:2.0],[effect:spread, val:2.0],[effect:spread, val:2.0],[effect:spread, val:2.0],[effect:spread, val:2.0]</t>
    <phoneticPr fontId="5"/>
  </si>
  <si>
    <t>ハートパネルを吸収して攻撃力UP</t>
    <rPh sb="7" eb="9">
      <t>キュウシュ</t>
    </rPh>
    <rPh sb="11" eb="14">
      <t>コウゲｋ</t>
    </rPh>
    <phoneticPr fontId="5"/>
  </si>
  <si>
    <t>[effect:enemy_message, val1:1.2, val2:1.2]</t>
    <phoneticPr fontId="5"/>
  </si>
  <si>
    <t>old</t>
    <phoneticPr fontId="5"/>
  </si>
  <si>
    <t>ウィルス状態のユニットに大ダメージの全体攻撃</t>
    <rPh sb="4" eb="6">
      <t>ジョウタ</t>
    </rPh>
    <rPh sb="12" eb="13">
      <t>ダ</t>
    </rPh>
    <rPh sb="18" eb="22">
      <t>ゼｎ</t>
    </rPh>
    <phoneticPr fontId="5"/>
  </si>
  <si>
    <t>[effect:enemy_message, val1:1.2, val2:1.2],[effect:fix_speed, target:myself, turn:1],[effect:tolerance, target:myself, turn:-1, count:-1, tolerance_effect:all, animation:enemy_tolerance]</t>
    <phoneticPr fontId="5"/>
  </si>
  <si>
    <t>1ターン緑パネルをダメージパネルにしてドロップ</t>
    <rPh sb="4" eb="5">
      <t>ミドｒ</t>
    </rPh>
    <phoneticPr fontId="5"/>
  </si>
  <si>
    <t>[effect:enemy_message, val1:1.2, val2:1.2],[effect:rush, count:5, val:0.3]</t>
    <phoneticPr fontId="5"/>
  </si>
  <si>
    <t>ハートパネルをプロテクト</t>
    <phoneticPr fontId="5"/>
  </si>
  <si>
    <t>[effect:enemy_message, val1:1.2, val2:1.2],[effect:enhance_enemy, target:myself, turn:-1, status:defense, val:2000, calc:add, animation:enemy_enhance_defense]</t>
    <phoneticPr fontId="5"/>
  </si>
  <si>
    <t>[effect:enemy_message, val1:1.2, val2:1.2],[effect:suicide, target:enemy_all, val:1, dead_type:escape, animation:enemy_suicide]</t>
    <phoneticPr fontId="5"/>
  </si>
  <si>
    <t>緑パネルをお邪魔パネルに変換</t>
    <rPh sb="0" eb="1">
      <t>ミドｒ</t>
    </rPh>
    <rPh sb="12" eb="14">
      <t>ヘｎ</t>
    </rPh>
    <phoneticPr fontId="5"/>
  </si>
  <si>
    <t>[effect:enemy_message, val1:1.2, val2:1.2],[effect:invalidate_crash_panel, target:unit_all, turn:-1, count:8, animation:enemy_dis_crashPanel]</t>
    <phoneticPr fontId="5"/>
  </si>
  <si>
    <t>4ターン全ユニットの攻撃力30%DOWN</t>
    <rPh sb="4" eb="5">
      <t>ゼｎ</t>
    </rPh>
    <rPh sb="10" eb="13">
      <t>コウゲｋ</t>
    </rPh>
    <phoneticPr fontId="5"/>
  </si>
  <si>
    <t>ケンジを復活</t>
    <rPh sb="4" eb="6">
      <t>フッカｔ</t>
    </rPh>
    <phoneticPr fontId="5"/>
  </si>
  <si>
    <t>自身に防御力UP</t>
    <rPh sb="0" eb="2">
      <t>ジシｎ</t>
    </rPh>
    <rPh sb="3" eb="6">
      <t>ボ</t>
    </rPh>
    <phoneticPr fontId="5"/>
  </si>
  <si>
    <t>クリティカル！</t>
    <phoneticPr fontId="5"/>
  </si>
  <si>
    <t>逃走</t>
    <rPh sb="0" eb="2">
      <t>トウソ</t>
    </rPh>
    <phoneticPr fontId="5"/>
  </si>
  <si>
    <t>[effect:enemy_message, val1:1.2, val2:1.2],[effect:invalidate_crash_panel, target:unit_all, turn:5, count:8, animation:enemy_dis_crashPanel]</t>
    <phoneticPr fontId="5"/>
  </si>
  <si>
    <t>5ターンCパネル無効</t>
    <rPh sb="8" eb="10">
      <t>ムコ</t>
    </rPh>
    <phoneticPr fontId="5"/>
  </si>
  <si>
    <t>お邪魔パネルを吸収して全体攻撃</t>
    <rPh sb="7" eb="9">
      <t>キュウシュ</t>
    </rPh>
    <rPh sb="11" eb="13">
      <t>ゼｎ</t>
    </rPh>
    <rPh sb="13" eb="15">
      <t>コウゲｋ</t>
    </rPh>
    <phoneticPr fontId="5"/>
  </si>
  <si>
    <t>Cパネル無効</t>
    <rPh sb="4" eb="6">
      <t>ムコ</t>
    </rPh>
    <phoneticPr fontId="5"/>
  </si>
  <si>
    <t>1ターンCパネル生成延長（効果大）</t>
    <rPh sb="8" eb="12">
      <t>セ</t>
    </rPh>
    <rPh sb="13" eb="16">
      <t>コウｋ</t>
    </rPh>
    <phoneticPr fontId="5"/>
  </si>
  <si>
    <t>状態異常耐性+防御力UP</t>
    <rPh sb="0" eb="6">
      <t>ｊｙ</t>
    </rPh>
    <rPh sb="7" eb="10">
      <t>ボ</t>
    </rPh>
    <phoneticPr fontId="5"/>
  </si>
  <si>
    <t>時限式ダメージパネルを吸収して全体攻撃</t>
    <rPh sb="0" eb="3">
      <t>ジゲンシｋ</t>
    </rPh>
    <rPh sb="11" eb="13">
      <t>9ｓｙ</t>
    </rPh>
    <rPh sb="15" eb="17">
      <t>ゼｎ</t>
    </rPh>
    <rPh sb="17" eb="19">
      <t>コウゲｋ</t>
    </rPh>
    <phoneticPr fontId="5"/>
  </si>
  <si>
    <t>防御力DOWN+攻撃力50%UP</t>
    <rPh sb="0" eb="3">
      <t>ボ</t>
    </rPh>
    <rPh sb="8" eb="11">
      <t>コウゲｋ</t>
    </rPh>
    <phoneticPr fontId="5"/>
  </si>
  <si>
    <t>自己回復</t>
    <rPh sb="0" eb="4">
      <t>ジｋ</t>
    </rPh>
    <phoneticPr fontId="5"/>
  </si>
  <si>
    <t>4回連続全体攻撃</t>
    <rPh sb="1" eb="4">
      <t>カ</t>
    </rPh>
    <rPh sb="4" eb="8">
      <t>ゼｎ</t>
    </rPh>
    <phoneticPr fontId="5"/>
  </si>
  <si>
    <t>次のターン強力な攻撃</t>
    <rPh sb="0" eb="1">
      <t>ツｇ</t>
    </rPh>
    <rPh sb="5" eb="7">
      <t>キョウリョｋ</t>
    </rPh>
    <rPh sb="8" eb="10">
      <t>コウゲｋ</t>
    </rPh>
    <phoneticPr fontId="5"/>
  </si>
  <si>
    <t>ダメージパネルを吸収して全体攻撃</t>
    <rPh sb="12" eb="14">
      <t>ゼｎ</t>
    </rPh>
    <phoneticPr fontId="5"/>
  </si>
  <si>
    <t>[effect:enemy_message, val1:1.2, val2:1.2],[effect:panel_freeze, target:normal, color:block_heart, count:-1]</t>
    <phoneticPr fontId="5"/>
  </si>
  <si>
    <t>[effect:enemy_message, val1:1.2, val2:1.2],[effect:fix_speed, target:myself, turn:1],[effect:tolerance, target:myself, turn:-1, count:-1, tolerance_effect:all, animation:enemy_tolerance]</t>
    <phoneticPr fontId="5"/>
  </si>
  <si>
    <t>6ターン赤パネルドロップ率UP</t>
    <rPh sb="4" eb="5">
      <t>アｋ</t>
    </rPh>
    <rPh sb="12" eb="13">
      <t>リｔ</t>
    </rPh>
    <phoneticPr fontId="5"/>
  </si>
  <si>
    <t>[effect:enemy_message, val1:1.2, val2:1.2],[effect:panel_freeze, target:normal, color:block_red, count:-1]</t>
    <phoneticPr fontId="5"/>
  </si>
  <si>
    <t>赤パネルをプロテクト</t>
    <rPh sb="0" eb="1">
      <t>アカパネｒ</t>
    </rPh>
    <phoneticPr fontId="5"/>
  </si>
  <si>
    <t>[effect:enemy_message, val1:1.2, val2:1.2],[effect:enhance_enemy, target:myself, turn:-1, status:attack, val:0.5, calc:mul, animation:enemy_enhance_attack]</t>
    <phoneticPr fontId="5"/>
  </si>
  <si>
    <t>攻撃力50%UP</t>
    <rPh sb="0" eb="3">
      <t>コウゲｋ</t>
    </rPh>
    <phoneticPr fontId="5"/>
  </si>
  <si>
    <t>5回連続攻撃</t>
    <rPh sb="1" eb="2">
      <t>カ</t>
    </rPh>
    <rPh sb="2" eb="6">
      <t>レンゾｋ</t>
    </rPh>
    <phoneticPr fontId="5"/>
  </si>
  <si>
    <t>単体攻撃
【次のターン緑パネルをダメージパネルに変換してドロップ】</t>
    <rPh sb="0" eb="4">
      <t>タンタ</t>
    </rPh>
    <rPh sb="6" eb="7">
      <t>ツｇ</t>
    </rPh>
    <rPh sb="11" eb="12">
      <t>ミドｒ</t>
    </rPh>
    <rPh sb="24" eb="26">
      <t>ヘｎ</t>
    </rPh>
    <phoneticPr fontId="5"/>
  </si>
  <si>
    <t>お邪魔パネルを吸収して攻撃力UP</t>
    <rPh sb="7" eb="9">
      <t>キュウシュ</t>
    </rPh>
    <rPh sb="11" eb="14">
      <t>コウゲｋ</t>
    </rPh>
    <phoneticPr fontId="5"/>
  </si>
  <si>
    <t>5回連続攻撃</t>
    <rPh sb="1" eb="2">
      <t>カ</t>
    </rPh>
    <rPh sb="2" eb="4">
      <t>レンゾｋ</t>
    </rPh>
    <rPh sb="4" eb="6">
      <t>コウゲｋ</t>
    </rPh>
    <phoneticPr fontId="5"/>
  </si>
  <si>
    <t>状態異常耐性+
5ターンCパネル無効+
5ターンCパネル生成延長</t>
    <rPh sb="0" eb="6">
      <t>ｊｙ</t>
    </rPh>
    <rPh sb="16" eb="18">
      <t>ムコ</t>
    </rPh>
    <rPh sb="28" eb="32">
      <t>セ</t>
    </rPh>
    <phoneticPr fontId="5"/>
  </si>
  <si>
    <t>特定のエリアをパネル変換</t>
    <rPh sb="0" eb="2">
      <t>トクテ</t>
    </rPh>
    <rPh sb="10" eb="12">
      <t>ヘｎ</t>
    </rPh>
    <phoneticPr fontId="5"/>
  </si>
  <si>
    <t>攻撃力50%UP+
全ユニットの攻撃力30%DOWN
【次のターン黄パネルを吸収する程ダメージがDOWNする攻撃】</t>
    <rPh sb="0" eb="3">
      <t>コウゲｋ</t>
    </rPh>
    <rPh sb="10" eb="11">
      <t>ゼｎ</t>
    </rPh>
    <rPh sb="16" eb="19">
      <t>コウゲｋ</t>
    </rPh>
    <rPh sb="28" eb="29">
      <t>ツｇ</t>
    </rPh>
    <phoneticPr fontId="5"/>
  </si>
  <si>
    <t>特定エリアをお邪魔パネルに変換</t>
    <rPh sb="0" eb="2">
      <t>トクテ</t>
    </rPh>
    <rPh sb="13" eb="15">
      <t>ヘｎ</t>
    </rPh>
    <phoneticPr fontId="5"/>
  </si>
  <si>
    <t>黄パネルを吸収する程ダメージがDOWNする攻撃</t>
    <rPh sb="0" eb="1">
      <t>キ</t>
    </rPh>
    <phoneticPr fontId="5"/>
  </si>
  <si>
    <t>死者蘇生</t>
    <rPh sb="0" eb="4">
      <t>シｓｙ</t>
    </rPh>
    <phoneticPr fontId="5"/>
  </si>
  <si>
    <t>医療ミス</t>
    <rPh sb="0" eb="2">
      <t>イリョ</t>
    </rPh>
    <phoneticPr fontId="5"/>
  </si>
  <si>
    <t>暴れちゃダメよ</t>
    <rPh sb="0" eb="1">
      <t>アバｒ</t>
    </rPh>
    <phoneticPr fontId="5"/>
  </si>
  <si>
    <t>石化</t>
    <rPh sb="0" eb="2">
      <t>セｋ</t>
    </rPh>
    <phoneticPr fontId="5"/>
  </si>
  <si>
    <t>ウィルスクラッシャー</t>
    <phoneticPr fontId="5"/>
  </si>
  <si>
    <t>エスケープ</t>
    <phoneticPr fontId="5"/>
  </si>
  <si>
    <t>石化感染</t>
    <rPh sb="0" eb="2">
      <t>セキｋ</t>
    </rPh>
    <rPh sb="2" eb="4">
      <t>カンセｎ</t>
    </rPh>
    <phoneticPr fontId="5"/>
  </si>
  <si>
    <t>危ないことしちゃイヤよ？</t>
    <rPh sb="0" eb="1">
      <t>アブｎ</t>
    </rPh>
    <phoneticPr fontId="5"/>
  </si>
  <si>
    <t>身動き取れなくしてあげる</t>
    <rPh sb="0" eb="2">
      <t>ミウゴｋ</t>
    </rPh>
    <rPh sb="3" eb="4">
      <t>トｒ</t>
    </rPh>
    <phoneticPr fontId="5"/>
  </si>
  <si>
    <t>力が抜けちゃうでしょ？</t>
    <rPh sb="0" eb="1">
      <t>チカｒ</t>
    </rPh>
    <rPh sb="2" eb="3">
      <t>ヌｋ</t>
    </rPh>
    <phoneticPr fontId="5"/>
  </si>
  <si>
    <t>カラミティテンペスト</t>
    <phoneticPr fontId="5"/>
  </si>
  <si>
    <t>あなたはずっと私のもの…</t>
    <rPh sb="7" eb="8">
      <t>ワタｓ</t>
    </rPh>
    <phoneticPr fontId="5"/>
  </si>
  <si>
    <t>これで静まるがよい</t>
    <rPh sb="3" eb="4">
      <t>シズマｒ</t>
    </rPh>
    <phoneticPr fontId="5"/>
  </si>
  <si>
    <t>我に刃向かうとは愚かなり</t>
    <rPh sb="0" eb="1">
      <t>ワｒ</t>
    </rPh>
    <rPh sb="2" eb="4">
      <t>ハムカウトハ</t>
    </rPh>
    <rPh sb="8" eb="9">
      <t>オロｋ</t>
    </rPh>
    <phoneticPr fontId="5"/>
  </si>
  <si>
    <t>攻めに転じよう</t>
    <rPh sb="0" eb="1">
      <t>セメｎ</t>
    </rPh>
    <rPh sb="3" eb="4">
      <t>テｎ</t>
    </rPh>
    <phoneticPr fontId="5"/>
  </si>
  <si>
    <t>せいぜい心折られぬようにな</t>
    <rPh sb="4" eb="5">
      <t>ココｒ</t>
    </rPh>
    <rPh sb="5" eb="6">
      <t>オラｒ</t>
    </rPh>
    <phoneticPr fontId="5"/>
  </si>
  <si>
    <t>手心は加えぬぞ</t>
    <rPh sb="0" eb="2">
      <t>テゴコｒ</t>
    </rPh>
    <rPh sb="3" eb="4">
      <t>クワ</t>
    </rPh>
    <phoneticPr fontId="5"/>
  </si>
  <si>
    <t>未熟…</t>
    <rPh sb="0" eb="2">
      <t>ミジュｋ</t>
    </rPh>
    <phoneticPr fontId="5"/>
  </si>
  <si>
    <t>これで終わらせよう</t>
    <rPh sb="3" eb="4">
      <t>オワラセ</t>
    </rPh>
    <phoneticPr fontId="5"/>
  </si>
  <si>
    <t>自由にはさせぬぞ</t>
    <rPh sb="0" eb="2">
      <t>ジユ</t>
    </rPh>
    <phoneticPr fontId="5"/>
  </si>
  <si>
    <t>我が手を下すまでもない</t>
    <rPh sb="0" eb="1">
      <t>ワｒ</t>
    </rPh>
    <rPh sb="4" eb="5">
      <t>クダスマｄ</t>
    </rPh>
    <phoneticPr fontId="5"/>
  </si>
  <si>
    <t>覚悟せよ</t>
    <rPh sb="0" eb="2">
      <t>カクゴ</t>
    </rPh>
    <phoneticPr fontId="5"/>
  </si>
  <si>
    <t>命の芽を摘もうぞ</t>
    <rPh sb="0" eb="1">
      <t>イｎ</t>
    </rPh>
    <rPh sb="2" eb="3">
      <t>メ</t>
    </rPh>
    <rPh sb="4" eb="5">
      <t>ツモ</t>
    </rPh>
    <phoneticPr fontId="5"/>
  </si>
  <si>
    <t>油断せぬようにな</t>
    <rPh sb="0" eb="2">
      <t>ユダｎ</t>
    </rPh>
    <phoneticPr fontId="5"/>
  </si>
  <si>
    <t>我が生命が滾るぞ</t>
    <rPh sb="0" eb="1">
      <t>ワｇ</t>
    </rPh>
    <rPh sb="5" eb="6">
      <t>タギルゾ</t>
    </rPh>
    <phoneticPr fontId="5"/>
  </si>
  <si>
    <t>ここまでだ</t>
    <phoneticPr fontId="5"/>
  </si>
  <si>
    <t>若輩にしてはよくもったな</t>
    <rPh sb="0" eb="2">
      <t>ジャｋ</t>
    </rPh>
    <phoneticPr fontId="5"/>
  </si>
  <si>
    <t>スリープブレス</t>
    <phoneticPr fontId="5"/>
  </si>
  <si>
    <t>暑苦しいのは苦手でな…</t>
    <rPh sb="0" eb="2">
      <t>アｔ</t>
    </rPh>
    <rPh sb="6" eb="8">
      <t>ニｇ</t>
    </rPh>
    <phoneticPr fontId="5"/>
  </si>
  <si>
    <t>力を解放する…</t>
    <rPh sb="0" eb="1">
      <t>チカｒ</t>
    </rPh>
    <phoneticPr fontId="5"/>
  </si>
  <si>
    <t>相手に取って不足はない…</t>
    <rPh sb="0" eb="2">
      <t>ア</t>
    </rPh>
    <rPh sb="6" eb="8">
      <t>フソｋ</t>
    </rPh>
    <phoneticPr fontId="5"/>
  </si>
  <si>
    <t>これに耐えられるか…</t>
    <phoneticPr fontId="5"/>
  </si>
  <si>
    <t>（力を溜めている）</t>
    <rPh sb="1" eb="2">
      <t>チカｒ</t>
    </rPh>
    <rPh sb="3" eb="4">
      <t>タメテイル</t>
    </rPh>
    <phoneticPr fontId="5"/>
  </si>
  <si>
    <t>龍神乱舞</t>
    <rPh sb="0" eb="4">
      <t>リュ</t>
    </rPh>
    <phoneticPr fontId="5"/>
  </si>
  <si>
    <t>もう少し遊んでやろう…</t>
    <rPh sb="4" eb="5">
      <t>アソｎ</t>
    </rPh>
    <phoneticPr fontId="5"/>
  </si>
  <si>
    <t>割れると痛いぞ…</t>
    <rPh sb="0" eb="1">
      <t>ワｒ</t>
    </rPh>
    <rPh sb="4" eb="5">
      <t>イタ</t>
    </rPh>
    <phoneticPr fontId="5"/>
  </si>
  <si>
    <t>我も本気を出そう…</t>
    <rPh sb="0" eb="1">
      <t>ワレｍ</t>
    </rPh>
    <rPh sb="2" eb="4">
      <t>ホｎ</t>
    </rPh>
    <phoneticPr fontId="5"/>
  </si>
  <si>
    <t>（巨体から熱気が立ち上る）</t>
    <rPh sb="1" eb="3">
      <t>キョタ</t>
    </rPh>
    <rPh sb="5" eb="7">
      <t>ネｋｋ</t>
    </rPh>
    <rPh sb="8" eb="9">
      <t>タｔ</t>
    </rPh>
    <phoneticPr fontId="5"/>
  </si>
  <si>
    <t>少しおとなしくしてもらおう…</t>
    <rPh sb="0" eb="1">
      <t>スコｓ</t>
    </rPh>
    <phoneticPr fontId="5"/>
  </si>
  <si>
    <t>これで動けまい…</t>
    <phoneticPr fontId="5"/>
  </si>
  <si>
    <t>この力を受け止められるか…？</t>
    <rPh sb="2" eb="3">
      <t>チカｒ</t>
    </rPh>
    <rPh sb="4" eb="5">
      <t>ウｋ</t>
    </rPh>
    <phoneticPr fontId="5"/>
  </si>
  <si>
    <t>聖なる獣か...ペットにしては最適だな</t>
    <phoneticPr fontId="5"/>
  </si>
  <si>
    <t>礼教学部の設立者か…！</t>
    <phoneticPr fontId="5"/>
  </si>
  <si>
    <t>天下の梟雄か…よかろう、かかってこい</t>
    <phoneticPr fontId="5"/>
  </si>
  <si>
    <t>朕の前に立つことを許そう…</t>
    <rPh sb="0" eb="1">
      <t>チンノ</t>
    </rPh>
    <rPh sb="2" eb="3">
      <t>マ</t>
    </rPh>
    <rPh sb="4" eb="5">
      <t>タツコ</t>
    </rPh>
    <rPh sb="9" eb="10">
      <t>ユルソ</t>
    </rPh>
    <phoneticPr fontId="5"/>
  </si>
  <si>
    <t>未熟だな…</t>
    <rPh sb="0" eb="2">
      <t>ミジュｋ</t>
    </rPh>
    <phoneticPr fontId="5"/>
  </si>
  <si>
    <t>朕の前より立ち去るがいい！</t>
    <rPh sb="0" eb="1">
      <t>チンｎ</t>
    </rPh>
    <rPh sb="2" eb="3">
      <t>マ</t>
    </rPh>
    <rPh sb="5" eb="6">
      <t>タチサｒ</t>
    </rPh>
    <phoneticPr fontId="5"/>
  </si>
  <si>
    <t>ふむ…朕に傷をつけるとはな</t>
    <rPh sb="3" eb="4">
      <t>チ</t>
    </rPh>
    <rPh sb="5" eb="6">
      <t>キｚ</t>
    </rPh>
    <phoneticPr fontId="5"/>
  </si>
  <si>
    <t>ハハハッ、相手になってやろう！</t>
    <rPh sb="5" eb="7">
      <t>ア</t>
    </rPh>
    <phoneticPr fontId="5"/>
  </si>
  <si>
    <t>三叉斬撃</t>
    <rPh sb="0" eb="2">
      <t>サンサ</t>
    </rPh>
    <rPh sb="2" eb="4">
      <t>ザｎ</t>
    </rPh>
    <phoneticPr fontId="5"/>
  </si>
  <si>
    <t>赤色封印</t>
    <rPh sb="0" eb="4">
      <t>セキショクフウ</t>
    </rPh>
    <phoneticPr fontId="5"/>
  </si>
  <si>
    <t>フフ…どうだ、美しいだろう</t>
    <rPh sb="7" eb="8">
      <t>ウｔ</t>
    </rPh>
    <phoneticPr fontId="5"/>
  </si>
  <si>
    <t>朕の前に消え去るが良い</t>
    <rPh sb="0" eb="1">
      <t>チｎ</t>
    </rPh>
    <rPh sb="2" eb="3">
      <t>マ</t>
    </rPh>
    <rPh sb="4" eb="5">
      <t>キ</t>
    </rPh>
    <phoneticPr fontId="5"/>
  </si>
  <si>
    <t>ここまでよくもったと言っておこう</t>
    <rPh sb="10" eb="11">
      <t>イｔｔ</t>
    </rPh>
    <phoneticPr fontId="5"/>
  </si>
  <si>
    <t>これで終わりだ！去れっ！</t>
    <rPh sb="8" eb="9">
      <t>サレッ</t>
    </rPh>
    <phoneticPr fontId="5"/>
  </si>
  <si>
    <t>朕がここまで追い詰められるとはな…</t>
    <rPh sb="0" eb="1">
      <t>チｎ</t>
    </rPh>
    <rPh sb="6" eb="7">
      <t>オイツメラレル</t>
    </rPh>
    <phoneticPr fontId="5"/>
  </si>
  <si>
    <t>これが皇帝の力だ！</t>
    <rPh sb="3" eb="5">
      <t>コウテ</t>
    </rPh>
    <rPh sb="6" eb="7">
      <t>チカｒ</t>
    </rPh>
    <phoneticPr fontId="5"/>
  </si>
  <si>
    <t>これが我が勢力の証…</t>
    <rPh sb="3" eb="4">
      <t>ワｇ</t>
    </rPh>
    <rPh sb="5" eb="7">
      <t>セイリョｋ</t>
    </rPh>
    <phoneticPr fontId="5"/>
  </si>
  <si>
    <t>どうだ、もう後がないぞ！</t>
    <phoneticPr fontId="5"/>
  </si>
  <si>
    <t>その首、貰い受ける！</t>
    <rPh sb="4" eb="5">
      <t>モライウｋ</t>
    </rPh>
    <phoneticPr fontId="5"/>
  </si>
  <si>
    <t>朕の天下は安泰だな…！</t>
    <rPh sb="0" eb="1">
      <t>チｎ</t>
    </rPh>
    <rPh sb="2" eb="4">
      <t>テンカｈ</t>
    </rPh>
    <rPh sb="5" eb="7">
      <t>アンタ</t>
    </rPh>
    <phoneticPr fontId="5"/>
  </si>
  <si>
    <t>ぐっ…まだだ、まだ終わらせぬ…</t>
    <rPh sb="9" eb="10">
      <t>オワラｓ</t>
    </rPh>
    <phoneticPr fontId="5"/>
  </si>
  <si>
    <t>何度でも相見えようぞ…！（孔子）</t>
    <rPh sb="0" eb="2">
      <t>ナンｄ</t>
    </rPh>
    <rPh sb="4" eb="6">
      <t>ア</t>
    </rPh>
    <rPh sb="13" eb="15">
      <t>コウｓ</t>
    </rPh>
    <phoneticPr fontId="5"/>
  </si>
  <si>
    <t>今は引こう…だが…！</t>
    <phoneticPr fontId="5"/>
  </si>
  <si>
    <t>何度でも歴史は繰り返す…（曹操）</t>
    <rPh sb="0" eb="2">
      <t>ナンｄ</t>
    </rPh>
    <rPh sb="13" eb="15">
      <t>ソウソ</t>
    </rPh>
    <phoneticPr fontId="5"/>
  </si>
  <si>
    <t>これが神の獣の力…</t>
    <rPh sb="3" eb="4">
      <t>カｍ</t>
    </rPh>
    <rPh sb="7" eb="8">
      <t>チカｒ</t>
    </rPh>
    <phoneticPr fontId="5"/>
  </si>
  <si>
    <t>いつか…朕も神となろう…（麒麟）</t>
    <rPh sb="4" eb="5">
      <t>チンモ</t>
    </rPh>
    <rPh sb="6" eb="7">
      <t>カｍ</t>
    </rPh>
    <rPh sb="13" eb="15">
      <t>キリｎ</t>
    </rPh>
    <phoneticPr fontId="5"/>
  </si>
  <si>
    <t>4ターンユニット1体にウィルス+
単体攻撃</t>
    <rPh sb="9" eb="10">
      <t>タ</t>
    </rPh>
    <rPh sb="17" eb="21">
      <t>タンタ</t>
    </rPh>
    <phoneticPr fontId="5"/>
  </si>
  <si>
    <t>単体攻撃+
属性パネルをお邪魔パネルに2個変換</t>
    <rPh sb="0" eb="4">
      <t>タンタ</t>
    </rPh>
    <rPh sb="6" eb="8">
      <t>ゾクセイ</t>
    </rPh>
    <rPh sb="20" eb="21">
      <t>コ</t>
    </rPh>
    <rPh sb="21" eb="23">
      <t>ヘンカｎ</t>
    </rPh>
    <phoneticPr fontId="5"/>
  </si>
  <si>
    <t>3回連続攻撃+
属性パネルを時限式ダメージパネル3個変換</t>
    <rPh sb="1" eb="2">
      <t>カ</t>
    </rPh>
    <rPh sb="2" eb="6">
      <t>レンゾｋ</t>
    </rPh>
    <rPh sb="8" eb="10">
      <t>ゾクセ</t>
    </rPh>
    <rPh sb="14" eb="17">
      <t>ジゲｎ</t>
    </rPh>
    <rPh sb="25" eb="26">
      <t>コ</t>
    </rPh>
    <phoneticPr fontId="5"/>
  </si>
  <si>
    <t>状態異常耐性+
全パネルプロテクト</t>
    <rPh sb="0" eb="6">
      <t>ｊｙ</t>
    </rPh>
    <rPh sb="8" eb="9">
      <t>ゼンパネｒ</t>
    </rPh>
    <phoneticPr fontId="5"/>
  </si>
  <si>
    <t>3回連続攻撃+
属性パネルをダメージパネルに5個変換</t>
    <rPh sb="1" eb="2">
      <t>カイ</t>
    </rPh>
    <rPh sb="2" eb="6">
      <t>レンゾｋ</t>
    </rPh>
    <rPh sb="8" eb="10">
      <t>ゾクセ</t>
    </rPh>
    <rPh sb="23" eb="24">
      <t>コ</t>
    </rPh>
    <phoneticPr fontId="5"/>
  </si>
  <si>
    <t>1ターンユニット1体にスリープ+
単体攻撃</t>
    <rPh sb="9" eb="10">
      <t>タ</t>
    </rPh>
    <rPh sb="17" eb="21">
      <t>タンタ</t>
    </rPh>
    <phoneticPr fontId="5"/>
  </si>
  <si>
    <t>1ターンユニット1体にスキルバインド+
単体攻撃</t>
    <rPh sb="9" eb="10">
      <t>タ</t>
    </rPh>
    <rPh sb="20" eb="24">
      <t>タンタ</t>
    </rPh>
    <phoneticPr fontId="5"/>
  </si>
  <si>
    <t>3ターン赤パネルドロップ率UP+
単体攻撃</t>
    <rPh sb="4" eb="5">
      <t>アｋ</t>
    </rPh>
    <rPh sb="12" eb="13">
      <t>リｔ</t>
    </rPh>
    <rPh sb="17" eb="21">
      <t>タンタ</t>
    </rPh>
    <phoneticPr fontId="5"/>
  </si>
  <si>
    <t>赤パネルをお邪魔パネルに変換+
単体攻撃</t>
    <rPh sb="0" eb="1">
      <t>アカパネｒ</t>
    </rPh>
    <phoneticPr fontId="5"/>
  </si>
  <si>
    <t>状態異常耐性+
防御力UP</t>
    <rPh sb="0" eb="6">
      <t>ｊｙ</t>
    </rPh>
    <rPh sb="8" eb="11">
      <t>ボ</t>
    </rPh>
    <phoneticPr fontId="5"/>
  </si>
  <si>
    <t>状態異常耐性+
防御力UP（孔子特殊セリフ）</t>
    <rPh sb="0" eb="6">
      <t>ｊｙ</t>
    </rPh>
    <rPh sb="8" eb="11">
      <t>ボ</t>
    </rPh>
    <rPh sb="14" eb="16">
      <t>コウｓ</t>
    </rPh>
    <rPh sb="16" eb="18">
      <t>トｋ</t>
    </rPh>
    <phoneticPr fontId="5"/>
  </si>
  <si>
    <t>状態異常耐性+
防御力UP（曹操特殊セリフ）</t>
    <rPh sb="0" eb="6">
      <t>ｊｙ</t>
    </rPh>
    <rPh sb="8" eb="11">
      <t>ボ</t>
    </rPh>
    <rPh sb="14" eb="16">
      <t>ソウソウ</t>
    </rPh>
    <rPh sb="16" eb="18">
      <t>トｋ</t>
    </rPh>
    <phoneticPr fontId="5"/>
  </si>
  <si>
    <t>状態異常耐性+
防御力UP（麒麟特殊セリフ）</t>
    <rPh sb="0" eb="6">
      <t>ｊｙ</t>
    </rPh>
    <rPh sb="8" eb="11">
      <t>ボ</t>
    </rPh>
    <rPh sb="14" eb="16">
      <t>キリｎ</t>
    </rPh>
    <rPh sb="16" eb="18">
      <t>トｋ</t>
    </rPh>
    <phoneticPr fontId="5"/>
  </si>
  <si>
    <t>防御力DOWN+
攻撃力50%UP</t>
    <rPh sb="0" eb="3">
      <t>ボ</t>
    </rPh>
    <rPh sb="9" eb="12">
      <t>コウゲｋ</t>
    </rPh>
    <phoneticPr fontId="5"/>
  </si>
  <si>
    <t>特定エリアを赤パネルに変換+
3回連続攻撃</t>
    <rPh sb="0" eb="2">
      <t>トクテ</t>
    </rPh>
    <rPh sb="6" eb="7">
      <t>アｋ</t>
    </rPh>
    <rPh sb="16" eb="17">
      <t>カ</t>
    </rPh>
    <rPh sb="17" eb="21">
      <t>レｎ</t>
    </rPh>
    <phoneticPr fontId="5"/>
  </si>
  <si>
    <t>赤パネルをプロテクト+
単体攻撃</t>
    <rPh sb="0" eb="1">
      <t>アカパネルプロテクｔ</t>
    </rPh>
    <rPh sb="12" eb="14">
      <t>タンタ</t>
    </rPh>
    <rPh sb="14" eb="16">
      <t>コウゲｋ</t>
    </rPh>
    <phoneticPr fontId="5"/>
  </si>
  <si>
    <t>[effect:enemy_message, val1:1.2, val2:2.0],[effect:attack_break, target:unit_all, turn:4, val:0.3, calc:mul, animation:attack_break01]</t>
    <phoneticPr fontId="5"/>
  </si>
  <si>
    <t>[effect:enemy_message, val1:1.2, val2:2.1],[effect:damage_abnormal, target:unit_one, val:1, status:virus, turn:4, val_abnormal:0.1, animation:enemy_virus]</t>
    <phoneticPr fontId="5"/>
  </si>
  <si>
    <t>[effect:enemy_message, val1:1.2, val2:2.2],[effect:damage_anti_abnormal, target:unit_all, target_effect01:virus, val1:0.5, val2:0.2]</t>
    <phoneticPr fontId="5"/>
  </si>
  <si>
    <t>[effect:enemy_message, val1:1.2, val2:1.7],[effect:crash_condition, target:unit_all, turn:1, val:2, animation:crash_panel_reduce04]</t>
    <phoneticPr fontId="5"/>
  </si>
  <si>
    <t>[effect:enemy_message, val1:1.2, val2:1.4],[effect:force_change_block, new_block:jammer, target:block_green, count:-1, val:0, animation:change_block]</t>
    <phoneticPr fontId="5"/>
  </si>
  <si>
    <t>[effect:enemy_message, val1:1.2, val2:1.5],[effect:break_attack, target:unit_all, val:0.02, lowest_val:1000, count:-1, color:blue, block01:jammer]</t>
    <phoneticPr fontId="5"/>
  </si>
  <si>
    <t>[effect:enemy_message, val1:1.2, val2:2.3],[effect:rush, count:1, val:1],[effect:force_change_block, new_block:jammer, target:normal, color:block_green, count:2, val:0, animation:change_block]</t>
    <phoneticPr fontId="5"/>
  </si>
  <si>
    <t>[effect:enemy_message, val1:1.2, val2:2.8],[effect:rush, count:3, val:0.4],[effect:force_change_block, new_block:time_bomb, target:normal, color:block_green, count:3, val:0.1, animation:change_block],[effect:panel_freeze, target:time_bomb, count:-1]</t>
    <phoneticPr fontId="5"/>
  </si>
  <si>
    <t>[effect:enemy_message, val1:1.2, val2:1.9],[effect:break_attack, target:unit_all, val:0.03, lowest_val:3000, count:-1, color:blue, block01:time_bomb]</t>
    <phoneticPr fontId="5"/>
  </si>
  <si>
    <t>[effect:enemy_message, val1:1.2, val2:1.6],[effect:guard_break, target:myself, turn:-1, val:999999, calc:add, animation:guard_break01],[effect:enhance_enemy, target:myself, turn:-1, status:attack, val:0.5, calc:mul, animation:enemy_enhance_attack]</t>
    <phoneticPr fontId="5"/>
  </si>
  <si>
    <t>[effect:enemy_message, val1:1.3, val2:1.2],[effect:heal, target:myself, val:0.3, animation:enemy_heal]</t>
    <phoneticPr fontId="5"/>
  </si>
  <si>
    <t>[effect:enemy_message, val1:1.2, val2:1.7],[effect:fix_speed, target:myself, turn:1],[effect:tolerance, target:myself, turn:-1, count:-1, tolerance_effect:all, animation:enemy_tolerance],[effect:panel_freeze, target:normal, count:-1]</t>
    <phoneticPr fontId="5"/>
  </si>
  <si>
    <t>[effect:enemy_message, val1:1.2, val2:2.6],[effect:rush, count:3, val:0.4],[effect:force_change_block, new_block:damage, target:normal, color:block_green, count:5, val:0.1, animation:change_block]</t>
    <phoneticPr fontId="5"/>
  </si>
  <si>
    <t>[effect:enemy_message, val1:1.2, val2:1.6],[effect:break_attack, target:unit_all, val:0.03, lowest_val:3000, count:-1, color:blue, block01:damage]</t>
    <phoneticPr fontId="5"/>
  </si>
  <si>
    <t>[effect:enemy_message, val1:1.2, val2:1.6],[effect:break_enchance_enemy, target:myself, val:0.05, lowest_val:1, count:-1, status:attack, turn:-1, block01:block_heart, calc:mul, animation:enemy_enhance_attack]</t>
    <phoneticPr fontId="5"/>
  </si>
  <si>
    <t>[effect:enemy_message, val1:1.2, val2:2.1],[effect:damage_abnormal, target:unit_one, val:1, status:sleep, turn:1, animation:sleep01]</t>
    <phoneticPr fontId="5"/>
  </si>
  <si>
    <t>[effect:enemy_message, val1:1.3, val2:1.5],[effect:change_panel_ratio, turn:6, block_type:red, val:0.4, animation:block_incidence04]</t>
    <phoneticPr fontId="5"/>
  </si>
  <si>
    <t>[effect:enemy_message, val1:1.2, val2:3.3],[effect:rush, count:1, val:1]</t>
    <phoneticPr fontId="5"/>
  </si>
  <si>
    <t>[effect:enemy_message, val1:1.2, val2:2.3],[effect:drop_block, block_type:damage, block_color:block_green, color:block_green, val:0.2, rate:1, turn:1, animation:damage_influence04]</t>
    <phoneticPr fontId="5"/>
  </si>
  <si>
    <t xml:space="preserve">[effect:enemy_message, val1:1.4, val2:2.4],[effect:damage_abnormal, target:unit_one, val:1, status:hungup, turn:1, animation:hungup01]    </t>
    <phoneticPr fontId="5"/>
  </si>
  <si>
    <t>[effect:enemy_message, val1:1.3, val2:2.1],[effect:change_panel_ratio, turn:3, block_type:red, val:0.4, animation:block_incidence04],[effect:rush, count:1, val:1]</t>
    <phoneticPr fontId="5"/>
  </si>
  <si>
    <t>[effect:enemy_message, val1:1.2, val2:2.0],[effect:force_change_block, new_block:jammer, target:block_red, count:0, val:0],[effect:rush, count:1, val:1]</t>
    <phoneticPr fontId="5"/>
  </si>
  <si>
    <t>[effect:enemy_message, val1:1.4, val2:1.6],[effect:break_enchance_enemy, target:myself, val:0.05, lowest_val:0.3, count:-1, status:attack, turn:-1, block01:jammer, calc:mul, animation:enemy_enhance_attack]</t>
    <phoneticPr fontId="5"/>
  </si>
  <si>
    <t>[effect:enemy_message, val1:1.3, val2:1.2],[effect:spread, val:2.0],[effect:spread, val:2.0],[effect:spread, val:2.0],[effect:spread, val:2.0],[effect:spread, val:2.0]</t>
    <phoneticPr fontId="5"/>
  </si>
  <si>
    <t>[effect:enemy_message, val1:1.3, val2:1.7],[effect:guard_break, target:myself, turn:-1, val:999999, calc:add, animation:guard_break01],[effect:enhance_enemy, target:myself, turn:-1, status:attack, val:0.5, calc:mul, animation:enemy_enhance_attack]</t>
    <phoneticPr fontId="5"/>
  </si>
  <si>
    <t>[effect:enemy_message, val1:1.2, val2:2.1],[effect:change_range_block, block_change:1, base_type:0, square_count:5, position01:10, value_h01:1, value_w01:5, new_block:block_red, target:block_all, count:0, val:0, animation:change_block],[effect:rush, count:3, val:0.4]</t>
    <phoneticPr fontId="5"/>
  </si>
  <si>
    <t>[effect:enemy_message, val1:1.2, val2:1.6],[effect:panel_freeze, target:normal, color:block_red, count:-1],[effect:rush, count:1, val:1]</t>
    <phoneticPr fontId="5"/>
  </si>
  <si>
    <t>[effect:enemy_message, val1:1.5, val2:3.2],[effect:fix_speed, target:myself, turn:1],[effect:tolerance, target:myself, turn:-1, count:-1, tolerance_effect:all, animation:enemy_tolerance],[effect:invalidate_crash_panel, target:unit_all, turn:5, count:6, animation:enemy_dis_crashPanel],[effect:crash_condition, target:unit_all, turn:5, val:2, animation:crash_panel_reduce04]</t>
    <phoneticPr fontId="5"/>
  </si>
  <si>
    <t>[effect:enemy_message, val1:1.2, val2:2.1],[effect:change_range_block, block_change:1, base_type:0, square_count:5, position01:10, value_h01:1, value_w01:5, new_block:block_red, target:block_all, count:0, val:0, animation:change_block],[effect:rush, count:3, val:0.4]</t>
    <phoneticPr fontId="5"/>
  </si>
  <si>
    <t xml:space="preserve">[effect:enemy_message, val1:1.3, val2:1.2],[effect:force_change_block, new_block:block_red, target:block_all, count:0, val:0, animation:change_block],[effect:change_range_block, block_change:1, base_type:0, square_count:5, position01:10, position02:2, value_h01:1, value_h02:5, value_w01:5, value_w02:1, new_block:jammer, target:block_red, count:0, val:0, animation:change_block]    </t>
    <phoneticPr fontId="5"/>
  </si>
  <si>
    <t>[effect:enemy_message, val1:1.2, val2:1.5],[effect:break_attack, target:unit_all, val:0.02, lowest_val:4000, count:-1, color:blue, block01:block_heart]</t>
    <phoneticPr fontId="5"/>
  </si>
  <si>
    <t>[effect:enemy_message, val1:1.6, val2:1.2]</t>
    <phoneticPr fontId="5"/>
  </si>
  <si>
    <t>[effect:enemy_message, val1:1.7, val2:1.2],[effect:fix_speed, target:myself, turn:1],[effect:tolerance, target:myself, turn:-1, count:-1, tolerance_effect:all, animation:enemy_tolerance]</t>
    <phoneticPr fontId="5"/>
  </si>
  <si>
    <t>[effect:enemy_message, val1:1.2, val2:5.7],[effect:enhance_enemy, target:myself, turn:-1, status:attack, val:0.5, calc:mul, animation:enemy_enhance_attack],[effect:attack_break, target:unit_all, turn:4, val:0.3, calc:mul, animation:attack_break01]</t>
    <phoneticPr fontId="5"/>
  </si>
  <si>
    <t>[effect:enemy_message, val1:1.2, val2:2.1],[effect:change_range_block, block_change:1, base_type:0, square_count:5, position01:10, value_h01:1, value_w01:5, new_block:block_red, target:block_all, count:0, val:0, animation:change_block],[effect:rush, count:3, val:0.4]</t>
    <phoneticPr fontId="5"/>
  </si>
  <si>
    <t>[effect:enemy_message, val1:1.2, val2:1.6],[effect:panel_freeze, target:normal, color:block_red, count:-1],[effect:rush, count:1, val:1]</t>
    <phoneticPr fontId="5"/>
  </si>
  <si>
    <t xml:space="preserve">[effect:enemy_message, val1:1.2, val2:1.5],[effect:force_change_block, new_block:block_red, target:block_all, count:0, val:0, animation:change_block],[effect:change_range_block, block_change:1, base_type:0, square_count:5, position01:10, position02:2, value_h01:1, value_h02:5, value_w01:5, value_w02:1, new_block:jammer, target:block_red, count:0, val:0, animation:change_block]    </t>
    <phoneticPr fontId="5"/>
  </si>
  <si>
    <t>[effect:enemy_message, val1:2.0, val2:1.7]</t>
    <phoneticPr fontId="5"/>
  </si>
  <si>
    <t>[effect:enemy_message, val1:1.7, val2:1.7]</t>
    <phoneticPr fontId="5"/>
  </si>
  <si>
    <t>[effect:enemy_message, val1:1.2, val2:2.3],[effect:break_attack_fix, target:unit_one, val:-2000, lowest_val:35000, count:15, block01:block_yellow]</t>
    <phoneticPr fontId="5"/>
  </si>
  <si>
    <t>ケンジは倒してもすぐに復活します
復活させるハンナを先に倒しましょう</t>
    <phoneticPr fontId="5"/>
  </si>
  <si>
    <t>ハンナは開幕で攻撃力DOWNを使用します
攻撃力UPできるCスキルがあれば
序盤を有利に進めることができます</t>
    <phoneticPr fontId="5"/>
  </si>
  <si>
    <t>ミズチは防御力アップをして守りを固めます
ある程度HPを削ると守りを解くので
スキルを駆使して攻略しましょう</t>
    <phoneticPr fontId="5"/>
  </si>
  <si>
    <t>エキドナはCパネル無効を使用します
時間がかかると永続でのCパネル無効を
さらに重ねてかけてくるので
このフロアは時間をかけずに突破しましょう</t>
    <phoneticPr fontId="5"/>
  </si>
  <si>
    <t>青龍はパネルプロテクトやダメージパネルを
使用してじわじわと妨害を行います
攻撃自体も強力なので
スキルを出し惜しみせず攻略しましょう</t>
    <phoneticPr fontId="5"/>
  </si>
  <si>
    <t>贏政は防御力アップをして守りを固めます
ある程度HPを削ると守りを解くので
スキルを駆使して攻略しましょう</t>
    <phoneticPr fontId="5"/>
  </si>
  <si>
    <t>贏政はCパネル無効と
Cパネル生成延長を使用します
Cパネルによる攻撃は困難になるため
スキルやフィーバーを使いましょう</t>
    <phoneticPr fontId="5"/>
  </si>
  <si>
    <t>贏政は特定のタイミングで
大量のお邪魔パネル変換を使用します
お邪魔パネルをCパネルに変換するスキルが
あればこの局面をチャンスに変えられます</t>
    <phoneticPr fontId="5"/>
  </si>
  <si>
    <t>AI管理計画の核になる機密文書です
うまく使えばAIの暴走を抑えることが
できますが逆に暴走を激化させることも
可能な諸刃の剣です</t>
    <phoneticPr fontId="5"/>
  </si>
  <si>
    <t>論語10号文書</t>
    <phoneticPr fontId="5"/>
  </si>
  <si>
    <t>QINは女王の勢力を信奉する団体です
ALICEのアバターでありながら自身の意思で
女王に従うある種危険な思想を持っています</t>
    <phoneticPr fontId="5"/>
  </si>
  <si>
    <t>QIN</t>
    <phoneticPr fontId="5"/>
  </si>
  <si>
    <t>贏政はQINの中でもリーダー格の人物であり
カリスマ的な存在として君臨しています</t>
    <phoneticPr fontId="5"/>
  </si>
  <si>
    <t>贏政</t>
    <phoneticPr fontId="5"/>
  </si>
  <si>
    <t>孔子が組織した平和維持団体です
倫理と正義によってAIの暴走を止め
ALICEに平和をもたらすために作られました</t>
    <phoneticPr fontId="5"/>
  </si>
  <si>
    <t>太学礼教学部</t>
    <phoneticPr fontId="5"/>
  </si>
  <si>
    <t>complete</t>
    <phoneticPr fontId="5"/>
  </si>
  <si>
    <t>unit</t>
  </si>
  <si>
    <t>full_member</t>
    <phoneticPr fontId="5"/>
  </si>
  <si>
    <t>[effect:enemy_message, val1:1.3, val2:1.3],[effect:fix_speed, target:myself, turn:1],[effect:tolerance, target:myself, turn:-1, count:-1, tolerance_effect:all, animation:enemy_tolerance],[effect:enhance_enemy, target:myself, turn:-1, status:defense, val:50000, calc:add, animation:enemy_enhance_defense]</t>
    <phoneticPr fontId="5"/>
  </si>
  <si>
    <t>[effect:enemy_message, val1:1.2, val2:1.3],[effect:tolerance, target:myself, turn:-1, count:-1, tolerance_effect:all, animation:enemy_tolerance],[effect:enhance_enemy, target:myself, turn:-1, status:defense, val:50000, calc:add, animation:enemy_enhance_defense]</t>
    <phoneticPr fontId="5"/>
  </si>
  <si>
    <t>[effect:enemy_message, val1:1.8, val2:1.3],[effect:tolerance, target:myself, turn:-1, count:-1, tolerance_effect:all, animation:enemy_tolerance],[effect:enhance_enemy, target:myself, turn:-1, status:defense, val:50000, calc:add, animation:enemy_enhance_defense]</t>
    <phoneticPr fontId="5"/>
  </si>
  <si>
    <t>[effect:enemy_message, val1:1.9, val2:1.3],[effect:tolerance, target:myself, turn:-1, count:-1, tolerance_effect:all, animation:enemy_tolerance],[effect:enhance_enemy, target:myself, turn:-1, status:defense, val:50000, calc:add, animation:enemy_enhance_defense]</t>
    <phoneticPr fontId="5"/>
  </si>
  <si>
    <t>[effect:enemy_message, val1:1.2, val2:1.2],[effect:fix_speed, target:myself, turn:1],[effect:tolerance, target:myself, turn:-1, count:-1, tolerance_effect:all, animation:enemy_tolerance],[effect:enhance_enemy, target:myself, turn:-1, status:defense, val:50000, calc:add, animation:enemy_enhance_defense]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</si>
</sst>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48101</v>
          </cell>
        </row>
        <row r="258">
          <cell r="A258">
            <v>48501</v>
          </cell>
        </row>
        <row r="259">
          <cell r="A259">
            <v>48502</v>
          </cell>
        </row>
        <row r="260">
          <cell r="A260">
            <v>48503</v>
          </cell>
        </row>
        <row r="261">
          <cell r="A261">
            <v>48701</v>
          </cell>
        </row>
        <row r="262">
          <cell r="A262">
            <v>48702</v>
          </cell>
        </row>
        <row r="263">
          <cell r="A263">
            <v>41001</v>
          </cell>
        </row>
        <row r="264">
          <cell r="A264">
            <v>41002</v>
          </cell>
        </row>
        <row r="265">
          <cell r="A265">
            <v>41003</v>
          </cell>
        </row>
        <row r="266">
          <cell r="A266">
            <v>41004</v>
          </cell>
        </row>
        <row r="267">
          <cell r="A267">
            <v>41005</v>
          </cell>
        </row>
        <row r="268">
          <cell r="A268">
            <v>41006</v>
          </cell>
        </row>
        <row r="269">
          <cell r="A269">
            <v>41007</v>
          </cell>
        </row>
        <row r="270">
          <cell r="A270">
            <v>41008</v>
          </cell>
        </row>
        <row r="271">
          <cell r="A271">
            <v>41009</v>
          </cell>
        </row>
        <row r="272">
          <cell r="A272">
            <v>41010</v>
          </cell>
        </row>
        <row r="273">
          <cell r="A273">
            <v>41011</v>
          </cell>
        </row>
        <row r="274">
          <cell r="A274">
            <v>41012</v>
          </cell>
        </row>
        <row r="275">
          <cell r="A275">
            <v>41013</v>
          </cell>
        </row>
        <row r="276">
          <cell r="A276">
            <v>41014</v>
          </cell>
        </row>
        <row r="277">
          <cell r="A277">
            <v>41015</v>
          </cell>
        </row>
        <row r="278">
          <cell r="A278">
            <v>47001</v>
          </cell>
        </row>
        <row r="279">
          <cell r="A279">
            <v>47002</v>
          </cell>
        </row>
        <row r="280">
          <cell r="A280">
            <v>47003</v>
          </cell>
        </row>
        <row r="281">
          <cell r="A281">
            <v>47004</v>
          </cell>
        </row>
        <row r="282">
          <cell r="A282">
            <v>47005</v>
          </cell>
        </row>
        <row r="283">
          <cell r="A283">
            <v>47006</v>
          </cell>
        </row>
        <row r="284">
          <cell r="A284">
            <v>47007</v>
          </cell>
        </row>
        <row r="285">
          <cell r="A285">
            <v>47008</v>
          </cell>
        </row>
        <row r="286">
          <cell r="A286">
            <v>47009</v>
          </cell>
        </row>
        <row r="287">
          <cell r="A287">
            <v>47010</v>
          </cell>
        </row>
        <row r="288">
          <cell r="A288">
            <v>47011</v>
          </cell>
        </row>
        <row r="289">
          <cell r="A289">
            <v>47012</v>
          </cell>
        </row>
        <row r="290">
          <cell r="A290">
            <v>47013</v>
          </cell>
        </row>
        <row r="291">
          <cell r="A291">
            <v>47014</v>
          </cell>
        </row>
        <row r="292">
          <cell r="A292">
            <v>49001</v>
          </cell>
        </row>
        <row r="293">
          <cell r="A293">
            <v>49002</v>
          </cell>
        </row>
        <row r="294">
          <cell r="A294">
            <v>49003</v>
          </cell>
        </row>
        <row r="295">
          <cell r="A295">
            <v>49004</v>
          </cell>
        </row>
        <row r="296">
          <cell r="A296">
            <v>49005</v>
          </cell>
        </row>
        <row r="297">
          <cell r="A297">
            <v>49006</v>
          </cell>
        </row>
        <row r="298">
          <cell r="A298">
            <v>49007</v>
          </cell>
        </row>
        <row r="299">
          <cell r="A299">
            <v>49008</v>
          </cell>
        </row>
        <row r="300">
          <cell r="A300">
            <v>49009</v>
          </cell>
        </row>
        <row r="301">
          <cell r="A301">
            <v>49010</v>
          </cell>
        </row>
        <row r="302">
          <cell r="A302">
            <v>49011</v>
          </cell>
        </row>
        <row r="303">
          <cell r="A303">
            <v>49012</v>
          </cell>
        </row>
        <row r="304">
          <cell r="A304">
            <v>49013</v>
          </cell>
        </row>
        <row r="305">
          <cell r="A305">
            <v>49014</v>
          </cell>
        </row>
        <row r="306">
          <cell r="A306">
            <v>49015</v>
          </cell>
        </row>
        <row r="307">
          <cell r="A307">
            <v>49016</v>
          </cell>
        </row>
        <row r="308">
          <cell r="A308">
            <v>50001</v>
          </cell>
        </row>
        <row r="309">
          <cell r="A309">
            <v>50002</v>
          </cell>
        </row>
        <row r="310">
          <cell r="A310">
            <v>50003</v>
          </cell>
        </row>
        <row r="311">
          <cell r="A311">
            <v>50004</v>
          </cell>
        </row>
        <row r="312">
          <cell r="A312">
            <v>50005</v>
          </cell>
        </row>
        <row r="313">
          <cell r="A313">
            <v>50006</v>
          </cell>
        </row>
        <row r="314">
          <cell r="A314">
            <v>50007</v>
          </cell>
        </row>
        <row r="315">
          <cell r="A315">
            <v>50008</v>
          </cell>
        </row>
        <row r="316">
          <cell r="A316">
            <v>50009</v>
          </cell>
        </row>
        <row r="317">
          <cell r="A317">
            <v>50010</v>
          </cell>
        </row>
        <row r="318">
          <cell r="A318">
            <v>50011</v>
          </cell>
        </row>
        <row r="319">
          <cell r="A319">
            <v>50012</v>
          </cell>
        </row>
        <row r="320">
          <cell r="A320">
            <v>50013</v>
          </cell>
        </row>
        <row r="321">
          <cell r="A321">
            <v>50014</v>
          </cell>
        </row>
        <row r="322">
          <cell r="A322">
            <v>50015</v>
          </cell>
        </row>
        <row r="323">
          <cell r="A323">
            <v>50016</v>
          </cell>
        </row>
        <row r="324">
          <cell r="A324">
            <v>51001</v>
          </cell>
        </row>
        <row r="325">
          <cell r="A325">
            <v>51002</v>
          </cell>
        </row>
        <row r="326">
          <cell r="A326">
            <v>58001</v>
          </cell>
        </row>
        <row r="327">
          <cell r="A327">
            <v>58002</v>
          </cell>
        </row>
        <row r="328">
          <cell r="A328">
            <v>58003</v>
          </cell>
        </row>
        <row r="329">
          <cell r="A329">
            <v>58101</v>
          </cell>
        </row>
        <row r="330">
          <cell r="A330">
            <v>59001</v>
          </cell>
        </row>
        <row r="331">
          <cell r="A331">
            <v>59002</v>
          </cell>
        </row>
        <row r="332">
          <cell r="A332">
            <v>59003</v>
          </cell>
        </row>
        <row r="333">
          <cell r="A333">
            <v>60001</v>
          </cell>
        </row>
        <row r="334">
          <cell r="A334">
            <v>60002</v>
          </cell>
        </row>
        <row r="335">
          <cell r="A335">
            <v>60003</v>
          </cell>
        </row>
        <row r="336">
          <cell r="A336">
            <v>60004</v>
          </cell>
        </row>
        <row r="337">
          <cell r="A337">
            <v>60005</v>
          </cell>
        </row>
        <row r="338">
          <cell r="A338">
            <v>60006</v>
          </cell>
        </row>
        <row r="339">
          <cell r="A339">
            <v>60007</v>
          </cell>
        </row>
        <row r="340">
          <cell r="A340">
            <v>60010</v>
          </cell>
        </row>
        <row r="341">
          <cell r="A341">
            <v>60011</v>
          </cell>
        </row>
        <row r="342">
          <cell r="A342">
            <v>61011</v>
          </cell>
        </row>
        <row r="343">
          <cell r="A343">
            <v>60012</v>
          </cell>
        </row>
        <row r="344">
          <cell r="A344">
            <v>60013</v>
          </cell>
        </row>
        <row r="345">
          <cell r="A345">
            <v>60014</v>
          </cell>
        </row>
        <row r="346">
          <cell r="A346">
            <v>60015</v>
          </cell>
        </row>
        <row r="347">
          <cell r="A347">
            <v>60016</v>
          </cell>
        </row>
        <row r="348">
          <cell r="A348">
            <v>60017</v>
          </cell>
        </row>
        <row r="349">
          <cell r="A349">
            <v>60018</v>
          </cell>
        </row>
        <row r="350">
          <cell r="A350">
            <v>60019</v>
          </cell>
        </row>
        <row r="351">
          <cell r="A351">
            <v>60020</v>
          </cell>
        </row>
        <row r="352">
          <cell r="A352">
            <v>60025</v>
          </cell>
        </row>
        <row r="353">
          <cell r="A353">
            <v>60026</v>
          </cell>
        </row>
        <row r="354">
          <cell r="A354">
            <v>60027</v>
          </cell>
        </row>
        <row r="355">
          <cell r="A355">
            <v>60028</v>
          </cell>
        </row>
        <row r="356">
          <cell r="A356">
            <v>60029</v>
          </cell>
        </row>
        <row r="357">
          <cell r="A357">
            <v>60030</v>
          </cell>
        </row>
        <row r="358">
          <cell r="A358">
            <v>60031</v>
          </cell>
        </row>
        <row r="359">
          <cell r="A359">
            <v>65523</v>
          </cell>
        </row>
        <row r="360">
          <cell r="A360">
            <v>65524</v>
          </cell>
        </row>
        <row r="361">
          <cell r="A361">
            <v>65525</v>
          </cell>
        </row>
        <row r="362">
          <cell r="A362">
            <v>65526</v>
          </cell>
        </row>
        <row r="363">
          <cell r="A363">
            <v>65527</v>
          </cell>
        </row>
        <row r="364">
          <cell r="A364">
            <v>65528</v>
          </cell>
        </row>
        <row r="365">
          <cell r="A365">
            <v>65529</v>
          </cell>
        </row>
        <row r="366">
          <cell r="A366">
            <v>65530</v>
          </cell>
        </row>
        <row r="367">
          <cell r="A367">
            <v>65531</v>
          </cell>
        </row>
        <row r="368">
          <cell r="A368">
            <v>65532</v>
          </cell>
        </row>
        <row r="369">
          <cell r="A369">
            <v>65533</v>
          </cell>
        </row>
        <row r="370">
          <cell r="A370">
            <v>65534</v>
          </cell>
        </row>
        <row r="371">
          <cell r="A371">
            <v>65535</v>
          </cell>
        </row>
        <row r="372">
          <cell r="A372">
            <v>60021</v>
          </cell>
        </row>
        <row r="373">
          <cell r="A373">
            <v>60022</v>
          </cell>
        </row>
        <row r="374">
          <cell r="A374">
            <v>60023</v>
          </cell>
        </row>
        <row r="375">
          <cell r="A37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41002_1</v>
          </cell>
        </row>
        <row r="813">
          <cell r="A813" t="str">
            <v>41002_2</v>
          </cell>
        </row>
        <row r="814">
          <cell r="A814" t="str">
            <v>41002_3</v>
          </cell>
        </row>
        <row r="815">
          <cell r="A815" t="str">
            <v>41003_1</v>
          </cell>
        </row>
        <row r="816">
          <cell r="A816" t="str">
            <v>41003_2</v>
          </cell>
        </row>
        <row r="817">
          <cell r="A817" t="str">
            <v>41003_3</v>
          </cell>
        </row>
        <row r="818">
          <cell r="A818" t="str">
            <v>41004_1</v>
          </cell>
        </row>
        <row r="819">
          <cell r="A819" t="str">
            <v>41004_2</v>
          </cell>
        </row>
        <row r="820">
          <cell r="A820" t="str">
            <v>41004_3</v>
          </cell>
        </row>
        <row r="821">
          <cell r="A821" t="str">
            <v>41005_1</v>
          </cell>
        </row>
        <row r="822">
          <cell r="A822" t="str">
            <v>41005_2</v>
          </cell>
        </row>
        <row r="823">
          <cell r="A823" t="str">
            <v>41005_3</v>
          </cell>
        </row>
        <row r="824">
          <cell r="A824" t="str">
            <v>41006_1</v>
          </cell>
        </row>
        <row r="825">
          <cell r="A825" t="str">
            <v>41006_2</v>
          </cell>
        </row>
        <row r="826">
          <cell r="A826" t="str">
            <v>41006_3</v>
          </cell>
        </row>
        <row r="827">
          <cell r="A827" t="str">
            <v>41007_1</v>
          </cell>
        </row>
        <row r="828">
          <cell r="A828" t="str">
            <v>41007_2</v>
          </cell>
        </row>
        <row r="829">
          <cell r="A829" t="str">
            <v>41007_3</v>
          </cell>
        </row>
        <row r="830">
          <cell r="A830" t="str">
            <v>41008_1</v>
          </cell>
        </row>
        <row r="831">
          <cell r="A831" t="str">
            <v>41008_2</v>
          </cell>
        </row>
        <row r="832">
          <cell r="A832" t="str">
            <v>41008_3</v>
          </cell>
        </row>
        <row r="833">
          <cell r="A833" t="str">
            <v>41009_1</v>
          </cell>
        </row>
        <row r="834">
          <cell r="A834" t="str">
            <v>41009_2</v>
          </cell>
        </row>
        <row r="835">
          <cell r="A835" t="str">
            <v>41009_3</v>
          </cell>
        </row>
        <row r="836">
          <cell r="A836" t="str">
            <v>41010_1</v>
          </cell>
        </row>
        <row r="837">
          <cell r="A837" t="str">
            <v>41010_2</v>
          </cell>
        </row>
        <row r="838">
          <cell r="A838" t="str">
            <v>41010_3</v>
          </cell>
        </row>
        <row r="839">
          <cell r="A839" t="str">
            <v>41011_1</v>
          </cell>
        </row>
        <row r="840">
          <cell r="A840" t="str">
            <v>41011_2</v>
          </cell>
        </row>
        <row r="841">
          <cell r="A841" t="str">
            <v>41012_1</v>
          </cell>
        </row>
        <row r="842">
          <cell r="A842" t="str">
            <v>41012_2</v>
          </cell>
        </row>
        <row r="843">
          <cell r="A843" t="str">
            <v>41013_1</v>
          </cell>
        </row>
        <row r="844">
          <cell r="A844" t="str">
            <v>41013_2</v>
          </cell>
        </row>
        <row r="845">
          <cell r="A845" t="str">
            <v>41014_1</v>
          </cell>
        </row>
        <row r="846">
          <cell r="A846" t="str">
            <v>41014_2</v>
          </cell>
        </row>
        <row r="847">
          <cell r="A847" t="str">
            <v>41015_1</v>
          </cell>
        </row>
        <row r="848">
          <cell r="A848" t="str">
            <v>41015_2</v>
          </cell>
        </row>
        <row r="849">
          <cell r="A849" t="str">
            <v>47001_1</v>
          </cell>
        </row>
        <row r="850">
          <cell r="A850" t="str">
            <v>47001_2</v>
          </cell>
        </row>
        <row r="851">
          <cell r="A851" t="str">
            <v>47002_1</v>
          </cell>
        </row>
        <row r="852">
          <cell r="A852" t="str">
            <v>47002_2</v>
          </cell>
        </row>
        <row r="853">
          <cell r="A853" t="str">
            <v>47003_1</v>
          </cell>
        </row>
        <row r="854">
          <cell r="A854" t="str">
            <v>47003_2</v>
          </cell>
        </row>
        <row r="855">
          <cell r="A855" t="str">
            <v>47003_3</v>
          </cell>
        </row>
        <row r="856">
          <cell r="A856" t="str">
            <v>47003_4</v>
          </cell>
        </row>
        <row r="857">
          <cell r="A857" t="str">
            <v>47004_1</v>
          </cell>
        </row>
        <row r="858">
          <cell r="A858" t="str">
            <v>47004_2</v>
          </cell>
        </row>
        <row r="859">
          <cell r="A859" t="str">
            <v>47004_3</v>
          </cell>
        </row>
        <row r="860">
          <cell r="A860" t="str">
            <v>47004_4</v>
          </cell>
        </row>
        <row r="861">
          <cell r="A861" t="str">
            <v>47005_1</v>
          </cell>
        </row>
        <row r="862">
          <cell r="A862" t="str">
            <v>47006_1</v>
          </cell>
        </row>
        <row r="863">
          <cell r="A863" t="str">
            <v>47006_2</v>
          </cell>
        </row>
        <row r="864">
          <cell r="A864" t="str">
            <v>47007_1</v>
          </cell>
        </row>
        <row r="865">
          <cell r="A865" t="str">
            <v>47007_2</v>
          </cell>
        </row>
        <row r="866">
          <cell r="A866" t="str">
            <v>47008_1</v>
          </cell>
        </row>
        <row r="867">
          <cell r="A867" t="str">
            <v>47008_2</v>
          </cell>
        </row>
        <row r="868">
          <cell r="A868" t="str">
            <v>47009_1</v>
          </cell>
        </row>
        <row r="869">
          <cell r="A869" t="str">
            <v>47009_2</v>
          </cell>
        </row>
        <row r="870">
          <cell r="A870" t="str">
            <v>47010_1</v>
          </cell>
        </row>
        <row r="871">
          <cell r="A871" t="str">
            <v>47010_2</v>
          </cell>
        </row>
        <row r="872">
          <cell r="A872" t="str">
            <v>47011_1</v>
          </cell>
        </row>
        <row r="873">
          <cell r="A873" t="str">
            <v>47012_1</v>
          </cell>
        </row>
        <row r="874">
          <cell r="A874" t="str">
            <v>47012_2</v>
          </cell>
        </row>
        <row r="875">
          <cell r="A875" t="str">
            <v>47013_1</v>
          </cell>
        </row>
        <row r="876">
          <cell r="A876" t="str">
            <v>47013_2</v>
          </cell>
        </row>
        <row r="877">
          <cell r="A877" t="str">
            <v>47013_3</v>
          </cell>
        </row>
        <row r="878">
          <cell r="A878" t="str">
            <v>47013_4</v>
          </cell>
        </row>
        <row r="879">
          <cell r="A879" t="str">
            <v>47014_1</v>
          </cell>
        </row>
        <row r="880">
          <cell r="A880" t="str">
            <v>47014_2</v>
          </cell>
        </row>
        <row r="881">
          <cell r="A881" t="str">
            <v>47014_3</v>
          </cell>
        </row>
        <row r="882">
          <cell r="A882" t="str">
            <v>48001_1</v>
          </cell>
        </row>
        <row r="883">
          <cell r="A883" t="str">
            <v>48002_1</v>
          </cell>
        </row>
        <row r="884">
          <cell r="A884" t="str">
            <v>48002_2</v>
          </cell>
        </row>
        <row r="885">
          <cell r="A885" t="str">
            <v>48002_3</v>
          </cell>
        </row>
        <row r="886">
          <cell r="A886" t="str">
            <v>48003_1</v>
          </cell>
        </row>
        <row r="887">
          <cell r="A887" t="str">
            <v>48003_2</v>
          </cell>
        </row>
        <row r="888">
          <cell r="A888" t="str">
            <v>48004_1</v>
          </cell>
        </row>
        <row r="889">
          <cell r="A889" t="str">
            <v>48004_2</v>
          </cell>
        </row>
        <row r="890">
          <cell r="A890" t="str">
            <v>48005_1</v>
          </cell>
        </row>
        <row r="891">
          <cell r="A891" t="str">
            <v>48005_2</v>
          </cell>
        </row>
        <row r="892">
          <cell r="A892" t="str">
            <v>48006_1</v>
          </cell>
        </row>
        <row r="893">
          <cell r="A893" t="str">
            <v>48006_2</v>
          </cell>
        </row>
        <row r="894">
          <cell r="A894" t="str">
            <v>48007_1</v>
          </cell>
        </row>
        <row r="895">
          <cell r="A895" t="str">
            <v>48007_2</v>
          </cell>
        </row>
        <row r="896">
          <cell r="A896" t="str">
            <v>48008_1</v>
          </cell>
        </row>
        <row r="897">
          <cell r="A897" t="str">
            <v>48008_2</v>
          </cell>
        </row>
        <row r="898">
          <cell r="A898" t="str">
            <v>48009_1</v>
          </cell>
        </row>
        <row r="899">
          <cell r="A899" t="str">
            <v>48009_2</v>
          </cell>
        </row>
        <row r="900">
          <cell r="A900" t="str">
            <v>48010_1</v>
          </cell>
        </row>
        <row r="901">
          <cell r="A901" t="str">
            <v>48011_1</v>
          </cell>
        </row>
        <row r="902">
          <cell r="A902" t="str">
            <v>48011_2</v>
          </cell>
        </row>
        <row r="903">
          <cell r="A903" t="str">
            <v>48012_1</v>
          </cell>
        </row>
        <row r="904">
          <cell r="A904" t="str">
            <v>48012_2</v>
          </cell>
        </row>
        <row r="905">
          <cell r="A905" t="str">
            <v>48013_1</v>
          </cell>
        </row>
        <row r="906">
          <cell r="A906" t="str">
            <v>48013_2</v>
          </cell>
        </row>
        <row r="907">
          <cell r="A907" t="str">
            <v>48014_1</v>
          </cell>
        </row>
        <row r="908">
          <cell r="A908" t="str">
            <v>48014_2</v>
          </cell>
        </row>
        <row r="909">
          <cell r="A909" t="str">
            <v>48101_1</v>
          </cell>
        </row>
        <row r="910">
          <cell r="A910" t="str">
            <v>48101_2</v>
          </cell>
        </row>
        <row r="911">
          <cell r="A911" t="str">
            <v>48501_1</v>
          </cell>
        </row>
        <row r="912">
          <cell r="A912" t="str">
            <v>48501_2</v>
          </cell>
        </row>
        <row r="913">
          <cell r="A913" t="str">
            <v>48502_1</v>
          </cell>
        </row>
        <row r="914">
          <cell r="A914" t="str">
            <v>48502_2</v>
          </cell>
        </row>
        <row r="915">
          <cell r="A915" t="str">
            <v>48503_1</v>
          </cell>
        </row>
        <row r="916">
          <cell r="A916" t="str">
            <v>48503_2</v>
          </cell>
        </row>
        <row r="917">
          <cell r="A917" t="str">
            <v>48701_1</v>
          </cell>
        </row>
        <row r="918">
          <cell r="A918" t="str">
            <v>48701_2</v>
          </cell>
        </row>
        <row r="919">
          <cell r="A919" t="str">
            <v>48702_1</v>
          </cell>
        </row>
        <row r="920">
          <cell r="A920" t="str">
            <v>48702_2</v>
          </cell>
        </row>
        <row r="921">
          <cell r="A921" t="str">
            <v>49001_1</v>
          </cell>
        </row>
        <row r="922">
          <cell r="A922" t="str">
            <v>49002_1</v>
          </cell>
        </row>
        <row r="923">
          <cell r="A923" t="str">
            <v>49002_2</v>
          </cell>
        </row>
        <row r="924">
          <cell r="A924" t="str">
            <v>49003_1</v>
          </cell>
        </row>
        <row r="925">
          <cell r="A925" t="str">
            <v>49003_2</v>
          </cell>
        </row>
        <row r="926">
          <cell r="A926" t="str">
            <v>49004_1</v>
          </cell>
        </row>
        <row r="927">
          <cell r="A927" t="str">
            <v>49004_2</v>
          </cell>
        </row>
        <row r="928">
          <cell r="A928" t="str">
            <v>49004_3</v>
          </cell>
        </row>
        <row r="929">
          <cell r="A929" t="str">
            <v>49005_1</v>
          </cell>
        </row>
        <row r="930">
          <cell r="A930" t="str">
            <v>49006_1</v>
          </cell>
        </row>
        <row r="931">
          <cell r="A931" t="str">
            <v>49006_2</v>
          </cell>
        </row>
        <row r="932">
          <cell r="A932" t="str">
            <v>49007_1</v>
          </cell>
        </row>
        <row r="933">
          <cell r="A933" t="str">
            <v>49007_2</v>
          </cell>
        </row>
        <row r="934">
          <cell r="A934" t="str">
            <v>49007_3</v>
          </cell>
        </row>
        <row r="935">
          <cell r="A935" t="str">
            <v>49008_1</v>
          </cell>
        </row>
        <row r="936">
          <cell r="A936" t="str">
            <v>49009_1</v>
          </cell>
        </row>
        <row r="937">
          <cell r="A937" t="str">
            <v>49010_1</v>
          </cell>
        </row>
        <row r="938">
          <cell r="A938" t="str">
            <v>49011_1</v>
          </cell>
        </row>
        <row r="939">
          <cell r="A939" t="str">
            <v>49012_1</v>
          </cell>
        </row>
        <row r="940">
          <cell r="A940" t="str">
            <v>49013_1</v>
          </cell>
        </row>
        <row r="941">
          <cell r="A941" t="str">
            <v>49014_1</v>
          </cell>
        </row>
        <row r="942">
          <cell r="A942" t="str">
            <v>49014_2</v>
          </cell>
        </row>
        <row r="943">
          <cell r="A943" t="str">
            <v>49015_1</v>
          </cell>
        </row>
        <row r="944">
          <cell r="A944" t="str">
            <v>49015_2</v>
          </cell>
        </row>
        <row r="945">
          <cell r="A945" t="str">
            <v>49015_3</v>
          </cell>
        </row>
        <row r="946">
          <cell r="A946" t="str">
            <v>49016_1</v>
          </cell>
        </row>
        <row r="947">
          <cell r="A947" t="str">
            <v>49016_2</v>
          </cell>
        </row>
        <row r="948">
          <cell r="A948" t="str">
            <v>50001_1</v>
          </cell>
        </row>
        <row r="949">
          <cell r="A949" t="str">
            <v>50002_1</v>
          </cell>
        </row>
        <row r="950">
          <cell r="A950" t="str">
            <v>50003_1</v>
          </cell>
        </row>
        <row r="951">
          <cell r="A951" t="str">
            <v>50004_1</v>
          </cell>
        </row>
        <row r="952">
          <cell r="A952" t="str">
            <v>50005_1</v>
          </cell>
        </row>
        <row r="953">
          <cell r="A953" t="str">
            <v>50006_1</v>
          </cell>
        </row>
        <row r="954">
          <cell r="A954" t="str">
            <v>50007_1</v>
          </cell>
        </row>
        <row r="955">
          <cell r="A955" t="str">
            <v>50008_1</v>
          </cell>
        </row>
        <row r="956">
          <cell r="A956" t="str">
            <v>50009_1</v>
          </cell>
        </row>
        <row r="957">
          <cell r="A957" t="str">
            <v>50010_1</v>
          </cell>
        </row>
        <row r="958">
          <cell r="A958" t="str">
            <v>50011_1</v>
          </cell>
        </row>
        <row r="959">
          <cell r="A959" t="str">
            <v>50012_1</v>
          </cell>
        </row>
        <row r="960">
          <cell r="A960" t="str">
            <v>50013_1</v>
          </cell>
        </row>
        <row r="961">
          <cell r="A961" t="str">
            <v>50014_1</v>
          </cell>
        </row>
        <row r="962">
          <cell r="A962" t="str">
            <v>50015_1</v>
          </cell>
        </row>
        <row r="963">
          <cell r="A963" t="str">
            <v>50016_1</v>
          </cell>
        </row>
        <row r="964">
          <cell r="A964" t="str">
            <v>51001_1</v>
          </cell>
        </row>
        <row r="965">
          <cell r="A965" t="str">
            <v>51002_1</v>
          </cell>
        </row>
        <row r="966">
          <cell r="A966" t="str">
            <v>58001_1</v>
          </cell>
        </row>
        <row r="967">
          <cell r="A967" t="str">
            <v>58002_1</v>
          </cell>
        </row>
        <row r="968">
          <cell r="A968" t="str">
            <v>58003_1</v>
          </cell>
        </row>
        <row r="969">
          <cell r="A969" t="str">
            <v>58101_1</v>
          </cell>
        </row>
        <row r="970">
          <cell r="A970" t="str">
            <v>59001_1</v>
          </cell>
        </row>
        <row r="971">
          <cell r="A971" t="str">
            <v>59002_1</v>
          </cell>
        </row>
        <row r="972">
          <cell r="A972" t="str">
            <v>59003_1</v>
          </cell>
        </row>
        <row r="973">
          <cell r="A973" t="str">
            <v>59003_2</v>
          </cell>
        </row>
        <row r="974">
          <cell r="A974" t="str">
            <v>60001_1</v>
          </cell>
        </row>
        <row r="975">
          <cell r="A975" t="str">
            <v>60002_1</v>
          </cell>
        </row>
        <row r="976">
          <cell r="A976" t="str">
            <v>60002_2</v>
          </cell>
        </row>
        <row r="977">
          <cell r="A977" t="str">
            <v>60003_1</v>
          </cell>
        </row>
        <row r="978">
          <cell r="A978" t="str">
            <v>60003_2</v>
          </cell>
        </row>
        <row r="979">
          <cell r="A979" t="str">
            <v>60003_3</v>
          </cell>
        </row>
        <row r="980">
          <cell r="A980" t="str">
            <v>60004_1</v>
          </cell>
        </row>
        <row r="981">
          <cell r="A981" t="str">
            <v>60005_1</v>
          </cell>
        </row>
        <row r="982">
          <cell r="A982" t="str">
            <v>60006_1</v>
          </cell>
        </row>
        <row r="983">
          <cell r="A983" t="str">
            <v>60006_2</v>
          </cell>
        </row>
        <row r="984">
          <cell r="A984" t="str">
            <v>60006_3</v>
          </cell>
        </row>
        <row r="985">
          <cell r="A985" t="str">
            <v>60007_1</v>
          </cell>
        </row>
        <row r="986">
          <cell r="A986" t="str">
            <v>60007_2</v>
          </cell>
        </row>
        <row r="987">
          <cell r="A987" t="str">
            <v>60007_3</v>
          </cell>
        </row>
        <row r="988">
          <cell r="A988" t="str">
            <v>60010_1</v>
          </cell>
        </row>
        <row r="989">
          <cell r="A989" t="str">
            <v>60011_1</v>
          </cell>
        </row>
        <row r="990">
          <cell r="A990" t="str">
            <v>60011_2</v>
          </cell>
        </row>
        <row r="991">
          <cell r="A991" t="str">
            <v>60012_1</v>
          </cell>
        </row>
        <row r="992">
          <cell r="A992" t="str">
            <v>60013_1</v>
          </cell>
        </row>
        <row r="993">
          <cell r="A993" t="str">
            <v>60013_2</v>
          </cell>
        </row>
        <row r="994">
          <cell r="A994" t="str">
            <v>60013_3</v>
          </cell>
        </row>
        <row r="995">
          <cell r="A995" t="str">
            <v>60014_1</v>
          </cell>
        </row>
        <row r="996">
          <cell r="A996" t="str">
            <v>60015_1</v>
          </cell>
        </row>
        <row r="997">
          <cell r="A997" t="str">
            <v>60016_1</v>
          </cell>
        </row>
        <row r="998">
          <cell r="A998" t="str">
            <v>60017_1</v>
          </cell>
        </row>
        <row r="999">
          <cell r="A999" t="str">
            <v>60018_1</v>
          </cell>
        </row>
        <row r="1000">
          <cell r="A1000" t="str">
            <v>60019_1</v>
          </cell>
        </row>
        <row r="1001">
          <cell r="A1001" t="str">
            <v>60020_1</v>
          </cell>
        </row>
        <row r="1002">
          <cell r="A1002" t="str">
            <v>60021_3</v>
          </cell>
        </row>
        <row r="1003">
          <cell r="A1003" t="str">
            <v>60022_3</v>
          </cell>
        </row>
        <row r="1004">
          <cell r="A1004" t="str">
            <v>60023_3</v>
          </cell>
        </row>
        <row r="1005">
          <cell r="A1005" t="str">
            <v>60024_3</v>
          </cell>
        </row>
        <row r="1006">
          <cell r="A1006" t="str">
            <v>60025_1</v>
          </cell>
        </row>
        <row r="1007">
          <cell r="A1007" t="str">
            <v>60026_1</v>
          </cell>
        </row>
        <row r="1008">
          <cell r="A1008" t="str">
            <v>61011_1</v>
          </cell>
        </row>
        <row r="1009">
          <cell r="A1009" t="str">
            <v>60027_1</v>
          </cell>
        </row>
        <row r="1010">
          <cell r="A1010" t="str">
            <v>60028_1</v>
          </cell>
        </row>
        <row r="1011">
          <cell r="A1011" t="str">
            <v>60029_1</v>
          </cell>
        </row>
        <row r="1012">
          <cell r="A1012" t="str">
            <v>60030_1</v>
          </cell>
        </row>
        <row r="1013">
          <cell r="A1013" t="str">
            <v>60031_1</v>
          </cell>
        </row>
        <row r="1014">
          <cell r="A1014" t="str">
            <v>65523_1</v>
          </cell>
        </row>
        <row r="1015">
          <cell r="A1015" t="str">
            <v>65523_2</v>
          </cell>
        </row>
        <row r="1016">
          <cell r="A1016" t="str">
            <v>65523_3</v>
          </cell>
        </row>
        <row r="1017">
          <cell r="A1017" t="str">
            <v>65524_1</v>
          </cell>
        </row>
        <row r="1018">
          <cell r="A1018" t="str">
            <v>65524_2</v>
          </cell>
        </row>
        <row r="1019">
          <cell r="A1019" t="str">
            <v>65525_1</v>
          </cell>
        </row>
        <row r="1020">
          <cell r="A1020" t="str">
            <v>65526_1</v>
          </cell>
        </row>
        <row r="1021">
          <cell r="A1021" t="str">
            <v>65526_2</v>
          </cell>
        </row>
        <row r="1022">
          <cell r="A1022" t="str">
            <v>65527_1</v>
          </cell>
        </row>
        <row r="1023">
          <cell r="A1023" t="str">
            <v>65528_1</v>
          </cell>
        </row>
        <row r="1024">
          <cell r="A1024" t="str">
            <v>65529_1</v>
          </cell>
        </row>
        <row r="1025">
          <cell r="A1025" t="str">
            <v>65530_1</v>
          </cell>
        </row>
        <row r="1026">
          <cell r="A1026" t="str">
            <v>65531_1</v>
          </cell>
        </row>
        <row r="1027">
          <cell r="A1027" t="str">
            <v>65531_2</v>
          </cell>
        </row>
        <row r="1028">
          <cell r="A1028" t="str">
            <v>65532_1</v>
          </cell>
        </row>
        <row r="1029">
          <cell r="A1029" t="str">
            <v>65532_2</v>
          </cell>
        </row>
        <row r="1030">
          <cell r="A1030" t="str">
            <v>65533_1</v>
          </cell>
        </row>
        <row r="1031">
          <cell r="A1031" t="str">
            <v>65533_2</v>
          </cell>
        </row>
        <row r="1032">
          <cell r="A1032" t="str">
            <v>65534_1</v>
          </cell>
        </row>
        <row r="1033">
          <cell r="A1033" t="str">
            <v>65535_1</v>
          </cell>
        </row>
        <row r="1034">
          <cell r="A1034" t="str">
            <v>65535_2</v>
          </cell>
        </row>
        <row r="1035">
          <cell r="A1035" t="str">
            <v>65535_3</v>
          </cell>
        </row>
        <row r="1036">
          <cell r="A1036" t="str">
            <v>65535_4</v>
          </cell>
        </row>
        <row r="1037">
          <cell r="A1037" t="str">
            <v>65535_5</v>
          </cell>
        </row>
        <row r="1038">
          <cell r="A1038" t="str">
            <v>65535_6</v>
          </cell>
        </row>
        <row r="1039">
          <cell r="A1039" t="str">
            <v>65535_7</v>
          </cell>
        </row>
        <row r="1040">
          <cell r="A1040" t="str">
            <v>65535_8</v>
          </cell>
        </row>
        <row r="1041">
          <cell r="A1041" t="str">
            <v>65535_9</v>
          </cell>
        </row>
        <row r="1042">
          <cell r="A104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5001</v>
          </cell>
        </row>
        <row r="1434">
          <cell r="A1434">
            <v>5002</v>
          </cell>
        </row>
        <row r="1435">
          <cell r="A1435">
            <v>5003</v>
          </cell>
        </row>
        <row r="1436">
          <cell r="A1436">
            <v>5004</v>
          </cell>
        </row>
        <row r="1437">
          <cell r="A1437">
            <v>5005</v>
          </cell>
        </row>
        <row r="1438">
          <cell r="A1438">
            <v>5006</v>
          </cell>
        </row>
        <row r="1439">
          <cell r="A1439">
            <v>5007</v>
          </cell>
        </row>
        <row r="1440">
          <cell r="A1440">
            <v>5008</v>
          </cell>
        </row>
        <row r="1441">
          <cell r="A1441">
            <v>6001</v>
          </cell>
        </row>
        <row r="1442">
          <cell r="A1442">
            <v>6002</v>
          </cell>
        </row>
        <row r="1443">
          <cell r="A1443">
            <v>6003</v>
          </cell>
        </row>
        <row r="1444">
          <cell r="A1444">
            <v>6004</v>
          </cell>
        </row>
        <row r="1445">
          <cell r="A1445">
            <v>6005</v>
          </cell>
        </row>
        <row r="1446">
          <cell r="A1446">
            <v>6006</v>
          </cell>
        </row>
        <row r="1447">
          <cell r="A1447">
            <v>6007</v>
          </cell>
        </row>
        <row r="1448">
          <cell r="A1448">
            <v>6008</v>
          </cell>
        </row>
        <row r="1449">
          <cell r="A1449">
            <v>6009</v>
          </cell>
        </row>
        <row r="1450">
          <cell r="A1450">
            <v>6010</v>
          </cell>
        </row>
        <row r="1451">
          <cell r="A1451">
            <v>6011</v>
          </cell>
        </row>
        <row r="1452">
          <cell r="A1452">
            <v>6012</v>
          </cell>
        </row>
        <row r="1453">
          <cell r="A1453">
            <v>6013</v>
          </cell>
        </row>
        <row r="1454">
          <cell r="A1454">
            <v>6014</v>
          </cell>
        </row>
        <row r="1455">
          <cell r="A1455">
            <v>6015</v>
          </cell>
        </row>
        <row r="1456">
          <cell r="A1456">
            <v>6016</v>
          </cell>
        </row>
        <row r="1457">
          <cell r="A1457">
            <v>6017</v>
          </cell>
        </row>
        <row r="1458">
          <cell r="A1458">
            <v>6018</v>
          </cell>
        </row>
        <row r="1459">
          <cell r="A1459">
            <v>6019</v>
          </cell>
        </row>
        <row r="1460">
          <cell r="A1460">
            <v>6020</v>
          </cell>
        </row>
        <row r="1461">
          <cell r="A1461">
            <v>8001</v>
          </cell>
        </row>
        <row r="1462">
          <cell r="A1462">
            <v>8002</v>
          </cell>
        </row>
        <row r="1463">
          <cell r="A1463">
            <v>8003</v>
          </cell>
        </row>
        <row r="1464">
          <cell r="A1464">
            <v>8004</v>
          </cell>
        </row>
        <row r="1465">
          <cell r="A1465">
            <v>8005</v>
          </cell>
        </row>
        <row r="1466">
          <cell r="A1466">
            <v>8006</v>
          </cell>
        </row>
        <row r="1467">
          <cell r="A1467">
            <v>8007</v>
          </cell>
        </row>
        <row r="1468">
          <cell r="A1468">
            <v>8008</v>
          </cell>
        </row>
        <row r="1469">
          <cell r="A1469">
            <v>8009</v>
          </cell>
        </row>
        <row r="1470">
          <cell r="A1470">
            <v>8010</v>
          </cell>
        </row>
        <row r="1471">
          <cell r="A1471">
            <v>8011</v>
          </cell>
        </row>
        <row r="1472">
          <cell r="A1472">
            <v>8012</v>
          </cell>
        </row>
        <row r="1473">
          <cell r="A1473">
            <v>8013</v>
          </cell>
        </row>
        <row r="1474">
          <cell r="A1474">
            <v>8014</v>
          </cell>
        </row>
        <row r="1475">
          <cell r="A1475">
            <v>8015</v>
          </cell>
        </row>
        <row r="1476">
          <cell r="A1476">
            <v>8016</v>
          </cell>
        </row>
        <row r="1477">
          <cell r="A1477">
            <v>8017</v>
          </cell>
        </row>
        <row r="1478">
          <cell r="A1478">
            <v>8018</v>
          </cell>
        </row>
        <row r="1479">
          <cell r="A1479">
            <v>8019</v>
          </cell>
        </row>
        <row r="1480">
          <cell r="A1480">
            <v>8020</v>
          </cell>
        </row>
        <row r="1481">
          <cell r="A1481">
            <v>8021</v>
          </cell>
        </row>
        <row r="1482">
          <cell r="A1482">
            <v>8022</v>
          </cell>
        </row>
        <row r="1483">
          <cell r="A1483">
            <v>8023</v>
          </cell>
        </row>
        <row r="1484">
          <cell r="A1484">
            <v>8024</v>
          </cell>
        </row>
        <row r="1485">
          <cell r="A1485">
            <v>8025</v>
          </cell>
        </row>
        <row r="1486">
          <cell r="A1486">
            <v>8026</v>
          </cell>
        </row>
        <row r="1487">
          <cell r="A1487">
            <v>8027</v>
          </cell>
        </row>
        <row r="1488">
          <cell r="A1488">
            <v>8028</v>
          </cell>
        </row>
        <row r="1489">
          <cell r="A1489">
            <v>8029</v>
          </cell>
        </row>
        <row r="1490">
          <cell r="A1490">
            <v>8030</v>
          </cell>
        </row>
        <row r="1491">
          <cell r="A1491">
            <v>8031</v>
          </cell>
        </row>
        <row r="1492">
          <cell r="A1492">
            <v>8032</v>
          </cell>
        </row>
        <row r="1493">
          <cell r="A1493">
            <v>8033</v>
          </cell>
        </row>
        <row r="1494">
          <cell r="A1494">
            <v>8034</v>
          </cell>
        </row>
        <row r="1495">
          <cell r="A1495">
            <v>8035</v>
          </cell>
        </row>
        <row r="1496">
          <cell r="A1496">
            <v>8036</v>
          </cell>
        </row>
        <row r="1497">
          <cell r="A1497">
            <v>8037</v>
          </cell>
        </row>
        <row r="1498">
          <cell r="A1498">
            <v>8038</v>
          </cell>
        </row>
        <row r="1499">
          <cell r="A1499">
            <v>8039</v>
          </cell>
        </row>
        <row r="1500">
          <cell r="A1500">
            <v>8040</v>
          </cell>
        </row>
        <row r="1501">
          <cell r="A1501">
            <v>8041</v>
          </cell>
        </row>
        <row r="1502">
          <cell r="A1502">
            <v>8042</v>
          </cell>
        </row>
        <row r="1503">
          <cell r="A1503">
            <v>8043</v>
          </cell>
        </row>
        <row r="1504">
          <cell r="A1504">
            <v>8044</v>
          </cell>
        </row>
        <row r="1505">
          <cell r="A1505">
            <v>8045</v>
          </cell>
        </row>
        <row r="1506">
          <cell r="A1506">
            <v>8046</v>
          </cell>
        </row>
        <row r="1507">
          <cell r="A1507">
            <v>8047</v>
          </cell>
        </row>
        <row r="1508">
          <cell r="A1508">
            <v>8048</v>
          </cell>
        </row>
        <row r="1509">
          <cell r="A1509">
            <v>8049</v>
          </cell>
        </row>
        <row r="1510">
          <cell r="A1510">
            <v>8050</v>
          </cell>
        </row>
        <row r="1511">
          <cell r="A1511">
            <v>8051</v>
          </cell>
        </row>
        <row r="1512">
          <cell r="A1512">
            <v>8052</v>
          </cell>
        </row>
        <row r="1513">
          <cell r="A1513">
            <v>8053</v>
          </cell>
        </row>
        <row r="1514">
          <cell r="A1514">
            <v>8054</v>
          </cell>
        </row>
        <row r="1515">
          <cell r="A1515">
            <v>8055</v>
          </cell>
        </row>
        <row r="1516">
          <cell r="A1516">
            <v>8056</v>
          </cell>
        </row>
        <row r="1517">
          <cell r="A1517">
            <v>8057</v>
          </cell>
        </row>
        <row r="1518">
          <cell r="A1518">
            <v>8058</v>
          </cell>
        </row>
        <row r="1519">
          <cell r="A1519">
            <v>8059</v>
          </cell>
        </row>
        <row r="1520">
          <cell r="A1520">
            <v>8060</v>
          </cell>
        </row>
        <row r="1521">
          <cell r="A1521">
            <v>8061</v>
          </cell>
        </row>
        <row r="1522">
          <cell r="A1522">
            <v>8062</v>
          </cell>
        </row>
        <row r="1523">
          <cell r="A1523">
            <v>8063</v>
          </cell>
        </row>
        <row r="1524">
          <cell r="A1524">
            <v>8064</v>
          </cell>
        </row>
        <row r="1525">
          <cell r="A1525">
            <v>8065</v>
          </cell>
        </row>
        <row r="1526">
          <cell r="A1526">
            <v>8066</v>
          </cell>
        </row>
        <row r="1527">
          <cell r="A1527">
            <v>8067</v>
          </cell>
        </row>
        <row r="1528">
          <cell r="A1528">
            <v>8068</v>
          </cell>
        </row>
        <row r="1529">
          <cell r="A1529">
            <v>8069</v>
          </cell>
        </row>
        <row r="1530">
          <cell r="A1530">
            <v>8070</v>
          </cell>
        </row>
        <row r="1531">
          <cell r="A1531">
            <v>8071</v>
          </cell>
        </row>
        <row r="1532">
          <cell r="A1532">
            <v>8072</v>
          </cell>
        </row>
        <row r="1533">
          <cell r="A1533">
            <v>8073</v>
          </cell>
        </row>
        <row r="1534">
          <cell r="A1534">
            <v>8074</v>
          </cell>
        </row>
        <row r="1535">
          <cell r="A1535">
            <v>8077</v>
          </cell>
        </row>
        <row r="1536">
          <cell r="A1536">
            <v>8078</v>
          </cell>
        </row>
        <row r="1537">
          <cell r="A1537">
            <v>8079</v>
          </cell>
        </row>
        <row r="1538">
          <cell r="A1538">
            <v>8080</v>
          </cell>
        </row>
        <row r="1539">
          <cell r="A1539">
            <v>8081</v>
          </cell>
        </row>
        <row r="1540">
          <cell r="A1540">
            <v>8082</v>
          </cell>
        </row>
        <row r="1541">
          <cell r="A1541">
            <v>8083</v>
          </cell>
        </row>
        <row r="1542">
          <cell r="A1542">
            <v>8084</v>
          </cell>
        </row>
        <row r="1543">
          <cell r="A1543">
            <v>8085</v>
          </cell>
        </row>
        <row r="1544">
          <cell r="A1544">
            <v>8086</v>
          </cell>
        </row>
        <row r="1545">
          <cell r="A1545">
            <v>8087</v>
          </cell>
        </row>
        <row r="1546">
          <cell r="A1546">
            <v>8088</v>
          </cell>
        </row>
        <row r="1547">
          <cell r="A1547">
            <v>8089</v>
          </cell>
        </row>
        <row r="1548">
          <cell r="A1548">
            <v>8090</v>
          </cell>
        </row>
        <row r="1549">
          <cell r="A1549">
            <v>8095</v>
          </cell>
        </row>
        <row r="1550">
          <cell r="A1550">
            <v>8096</v>
          </cell>
        </row>
        <row r="1551">
          <cell r="A1551">
            <v>8097</v>
          </cell>
        </row>
        <row r="1552">
          <cell r="A1552">
            <v>8098</v>
          </cell>
        </row>
        <row r="1553">
          <cell r="A1553">
            <v>8099</v>
          </cell>
        </row>
        <row r="1554">
          <cell r="A1554">
            <v>8100</v>
          </cell>
        </row>
        <row r="1555">
          <cell r="A1555">
            <v>8101</v>
          </cell>
        </row>
        <row r="1556">
          <cell r="A1556">
            <v>8102</v>
          </cell>
        </row>
        <row r="1557">
          <cell r="A1557">
            <v>8103</v>
          </cell>
        </row>
        <row r="1558">
          <cell r="A1558">
            <v>8104</v>
          </cell>
        </row>
        <row r="1559">
          <cell r="A1559">
            <v>8105</v>
          </cell>
        </row>
        <row r="1560">
          <cell r="A1560">
            <v>8106</v>
          </cell>
        </row>
        <row r="1561">
          <cell r="A1561">
            <v>8111</v>
          </cell>
        </row>
        <row r="1562">
          <cell r="A1562">
            <v>8112</v>
          </cell>
        </row>
        <row r="1563">
          <cell r="A1563">
            <v>8113</v>
          </cell>
        </row>
        <row r="1564">
          <cell r="A1564">
            <v>8114</v>
          </cell>
        </row>
        <row r="1565">
          <cell r="A1565">
            <v>8115</v>
          </cell>
        </row>
        <row r="1566">
          <cell r="A1566">
            <v>8116</v>
          </cell>
        </row>
        <row r="1567">
          <cell r="A1567">
            <v>8117</v>
          </cell>
        </row>
        <row r="1568">
          <cell r="A1568">
            <v>8118</v>
          </cell>
        </row>
        <row r="1569">
          <cell r="A1569">
            <v>8119</v>
          </cell>
        </row>
        <row r="1570">
          <cell r="A1570">
            <v>8120</v>
          </cell>
        </row>
        <row r="1571">
          <cell r="A1571">
            <v>8121</v>
          </cell>
        </row>
        <row r="1572">
          <cell r="A1572">
            <v>8122</v>
          </cell>
        </row>
        <row r="1573">
          <cell r="A1573">
            <v>8127</v>
          </cell>
        </row>
        <row r="1574">
          <cell r="A1574">
            <v>8128</v>
          </cell>
        </row>
        <row r="1575">
          <cell r="A1575">
            <v>8129</v>
          </cell>
        </row>
        <row r="1576">
          <cell r="A1576">
            <v>8130</v>
          </cell>
        </row>
        <row r="1577">
          <cell r="A1577">
            <v>8131</v>
          </cell>
        </row>
        <row r="1578">
          <cell r="A1578">
            <v>8132</v>
          </cell>
        </row>
        <row r="1579">
          <cell r="A1579">
            <v>8133</v>
          </cell>
        </row>
        <row r="1580">
          <cell r="A1580">
            <v>8134</v>
          </cell>
        </row>
        <row r="1581">
          <cell r="A1581">
            <v>8135</v>
          </cell>
        </row>
        <row r="1582">
          <cell r="A1582">
            <v>8136</v>
          </cell>
        </row>
        <row r="1583">
          <cell r="A1583">
            <v>8137</v>
          </cell>
        </row>
        <row r="1584">
          <cell r="A1584">
            <v>8138</v>
          </cell>
        </row>
        <row r="1585">
          <cell r="A1585">
            <v>9001</v>
          </cell>
        </row>
        <row r="1586">
          <cell r="A1586">
            <v>9002</v>
          </cell>
        </row>
        <row r="1587">
          <cell r="A1587">
            <v>9003</v>
          </cell>
        </row>
        <row r="1588">
          <cell r="A1588">
            <v>9004</v>
          </cell>
        </row>
        <row r="1589">
          <cell r="A1589">
            <v>9005</v>
          </cell>
        </row>
        <row r="1590">
          <cell r="A1590">
            <v>9006</v>
          </cell>
        </row>
        <row r="1591">
          <cell r="A1591">
            <v>9007</v>
          </cell>
        </row>
        <row r="1592">
          <cell r="A1592">
            <v>9008</v>
          </cell>
        </row>
        <row r="1593">
          <cell r="A1593">
            <v>10101</v>
          </cell>
        </row>
        <row r="1594">
          <cell r="A1594">
            <v>10102</v>
          </cell>
        </row>
        <row r="1595">
          <cell r="A1595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5001</v>
          </cell>
        </row>
        <row r="1587">
          <cell r="A1587">
            <v>5002</v>
          </cell>
        </row>
        <row r="1588">
          <cell r="A1588">
            <v>5003</v>
          </cell>
        </row>
        <row r="1589">
          <cell r="A1589">
            <v>5004</v>
          </cell>
        </row>
        <row r="1590">
          <cell r="A1590">
            <v>5005</v>
          </cell>
        </row>
        <row r="1591">
          <cell r="A1591">
            <v>5006</v>
          </cell>
        </row>
        <row r="1592">
          <cell r="A1592">
            <v>5007</v>
          </cell>
        </row>
        <row r="1593">
          <cell r="A1593">
            <v>5008</v>
          </cell>
        </row>
        <row r="1594">
          <cell r="A1594">
            <v>6001</v>
          </cell>
        </row>
        <row r="1595">
          <cell r="A1595">
            <v>6002</v>
          </cell>
        </row>
        <row r="1596">
          <cell r="A1596">
            <v>6003</v>
          </cell>
        </row>
        <row r="1597">
          <cell r="A1597">
            <v>6004</v>
          </cell>
        </row>
        <row r="1598">
          <cell r="A1598">
            <v>6005</v>
          </cell>
        </row>
        <row r="1599">
          <cell r="A1599">
            <v>6006</v>
          </cell>
        </row>
        <row r="1600">
          <cell r="A1600">
            <v>6007</v>
          </cell>
        </row>
        <row r="1601">
          <cell r="A1601">
            <v>6008</v>
          </cell>
        </row>
        <row r="1602">
          <cell r="A1602">
            <v>6009</v>
          </cell>
        </row>
        <row r="1603">
          <cell r="A1603">
            <v>6010</v>
          </cell>
        </row>
        <row r="1604">
          <cell r="A1604">
            <v>6011</v>
          </cell>
        </row>
        <row r="1605">
          <cell r="A1605">
            <v>6012</v>
          </cell>
        </row>
        <row r="1606">
          <cell r="A1606">
            <v>6013</v>
          </cell>
        </row>
        <row r="1607">
          <cell r="A1607">
            <v>6014</v>
          </cell>
        </row>
        <row r="1608">
          <cell r="A1608">
            <v>6015</v>
          </cell>
        </row>
        <row r="1609">
          <cell r="A1609">
            <v>6016</v>
          </cell>
        </row>
        <row r="1610">
          <cell r="A1610">
            <v>6017</v>
          </cell>
        </row>
        <row r="1611">
          <cell r="A1611">
            <v>6018</v>
          </cell>
        </row>
        <row r="1612">
          <cell r="A1612">
            <v>6019</v>
          </cell>
        </row>
        <row r="1613">
          <cell r="A1613">
            <v>6020</v>
          </cell>
        </row>
        <row r="1614">
          <cell r="A1614">
            <v>8001</v>
          </cell>
        </row>
        <row r="1615">
          <cell r="A1615">
            <v>8002</v>
          </cell>
        </row>
        <row r="1616">
          <cell r="A1616">
            <v>8003</v>
          </cell>
        </row>
        <row r="1617">
          <cell r="A1617">
            <v>8004</v>
          </cell>
        </row>
        <row r="1618">
          <cell r="A1618">
            <v>8005</v>
          </cell>
        </row>
        <row r="1619">
          <cell r="A1619">
            <v>8006</v>
          </cell>
        </row>
        <row r="1620">
          <cell r="A1620">
            <v>8007</v>
          </cell>
        </row>
        <row r="1621">
          <cell r="A1621">
            <v>8008</v>
          </cell>
        </row>
        <row r="1622">
          <cell r="A1622">
            <v>8009</v>
          </cell>
        </row>
        <row r="1623">
          <cell r="A1623">
            <v>8010</v>
          </cell>
        </row>
        <row r="1624">
          <cell r="A1624">
            <v>8011</v>
          </cell>
        </row>
        <row r="1625">
          <cell r="A1625">
            <v>8012</v>
          </cell>
        </row>
        <row r="1626">
          <cell r="A1626">
            <v>8013</v>
          </cell>
        </row>
        <row r="1627">
          <cell r="A1627">
            <v>8014</v>
          </cell>
        </row>
        <row r="1628">
          <cell r="A1628">
            <v>8015</v>
          </cell>
        </row>
        <row r="1629">
          <cell r="A1629">
            <v>8016</v>
          </cell>
        </row>
        <row r="1630">
          <cell r="A1630">
            <v>8017</v>
          </cell>
        </row>
        <row r="1631">
          <cell r="A1631">
            <v>8018</v>
          </cell>
        </row>
        <row r="1632">
          <cell r="A1632">
            <v>8019</v>
          </cell>
        </row>
        <row r="1633">
          <cell r="A1633">
            <v>8020</v>
          </cell>
        </row>
        <row r="1634">
          <cell r="A1634">
            <v>8021</v>
          </cell>
        </row>
        <row r="1635">
          <cell r="A1635">
            <v>8022</v>
          </cell>
        </row>
        <row r="1636">
          <cell r="A1636">
            <v>8023</v>
          </cell>
        </row>
        <row r="1637">
          <cell r="A1637">
            <v>8024</v>
          </cell>
        </row>
        <row r="1638">
          <cell r="A1638">
            <v>8025</v>
          </cell>
        </row>
        <row r="1639">
          <cell r="A1639">
            <v>8026</v>
          </cell>
        </row>
        <row r="1640">
          <cell r="A1640">
            <v>8027</v>
          </cell>
        </row>
        <row r="1641">
          <cell r="A1641">
            <v>8028</v>
          </cell>
        </row>
        <row r="1642">
          <cell r="A1642">
            <v>8029</v>
          </cell>
        </row>
        <row r="1643">
          <cell r="A1643">
            <v>8030</v>
          </cell>
        </row>
        <row r="1644">
          <cell r="A1644">
            <v>8031</v>
          </cell>
        </row>
        <row r="1645">
          <cell r="A1645">
            <v>8032</v>
          </cell>
        </row>
        <row r="1646">
          <cell r="A1646">
            <v>8033</v>
          </cell>
        </row>
        <row r="1647">
          <cell r="A1647">
            <v>8034</v>
          </cell>
        </row>
        <row r="1648">
          <cell r="A1648">
            <v>8035</v>
          </cell>
        </row>
        <row r="1649">
          <cell r="A1649">
            <v>8036</v>
          </cell>
        </row>
        <row r="1650">
          <cell r="A1650">
            <v>8037</v>
          </cell>
        </row>
        <row r="1651">
          <cell r="A1651">
            <v>8038</v>
          </cell>
        </row>
        <row r="1652">
          <cell r="A1652">
            <v>8039</v>
          </cell>
        </row>
        <row r="1653">
          <cell r="A1653">
            <v>8040</v>
          </cell>
        </row>
        <row r="1654">
          <cell r="A1654">
            <v>8041</v>
          </cell>
        </row>
        <row r="1655">
          <cell r="A1655">
            <v>8042</v>
          </cell>
        </row>
        <row r="1656">
          <cell r="A1656">
            <v>8043</v>
          </cell>
        </row>
        <row r="1657">
          <cell r="A1657">
            <v>8044</v>
          </cell>
        </row>
        <row r="1658">
          <cell r="A1658">
            <v>8045</v>
          </cell>
        </row>
        <row r="1659">
          <cell r="A1659">
            <v>8046</v>
          </cell>
        </row>
        <row r="1660">
          <cell r="A1660">
            <v>8047</v>
          </cell>
        </row>
        <row r="1661">
          <cell r="A1661">
            <v>8048</v>
          </cell>
        </row>
        <row r="1662">
          <cell r="A1662">
            <v>8049</v>
          </cell>
        </row>
        <row r="1663">
          <cell r="A1663">
            <v>8050</v>
          </cell>
        </row>
        <row r="1664">
          <cell r="A1664">
            <v>8051</v>
          </cell>
        </row>
        <row r="1665">
          <cell r="A1665">
            <v>8052</v>
          </cell>
        </row>
        <row r="1666">
          <cell r="A1666">
            <v>8053</v>
          </cell>
        </row>
        <row r="1667">
          <cell r="A1667">
            <v>8054</v>
          </cell>
        </row>
        <row r="1668">
          <cell r="A1668">
            <v>8055</v>
          </cell>
        </row>
        <row r="1669">
          <cell r="A1669">
            <v>8056</v>
          </cell>
        </row>
        <row r="1670">
          <cell r="A1670">
            <v>8057</v>
          </cell>
        </row>
        <row r="1671">
          <cell r="A1671">
            <v>8058</v>
          </cell>
        </row>
        <row r="1672">
          <cell r="A1672">
            <v>8059</v>
          </cell>
        </row>
        <row r="1673">
          <cell r="A1673">
            <v>8060</v>
          </cell>
        </row>
        <row r="1674">
          <cell r="A1674">
            <v>8061</v>
          </cell>
        </row>
        <row r="1675">
          <cell r="A1675">
            <v>8062</v>
          </cell>
        </row>
        <row r="1676">
          <cell r="A1676">
            <v>8063</v>
          </cell>
        </row>
        <row r="1677">
          <cell r="A1677">
            <v>8064</v>
          </cell>
        </row>
        <row r="1678">
          <cell r="A1678">
            <v>8065</v>
          </cell>
        </row>
        <row r="1679">
          <cell r="A1679">
            <v>8066</v>
          </cell>
        </row>
        <row r="1680">
          <cell r="A1680">
            <v>8067</v>
          </cell>
        </row>
        <row r="1681">
          <cell r="A1681">
            <v>8068</v>
          </cell>
        </row>
        <row r="1682">
          <cell r="A1682">
            <v>8069</v>
          </cell>
        </row>
        <row r="1683">
          <cell r="A1683">
            <v>8070</v>
          </cell>
        </row>
        <row r="1684">
          <cell r="A1684">
            <v>8071</v>
          </cell>
        </row>
        <row r="1685">
          <cell r="A1685">
            <v>8072</v>
          </cell>
        </row>
        <row r="1686">
          <cell r="A1686">
            <v>8073</v>
          </cell>
        </row>
        <row r="1687">
          <cell r="A1687">
            <v>8074</v>
          </cell>
        </row>
        <row r="1688">
          <cell r="A1688">
            <v>8075</v>
          </cell>
        </row>
        <row r="1689">
          <cell r="A1689">
            <v>8076</v>
          </cell>
        </row>
        <row r="1690">
          <cell r="A1690">
            <v>8077</v>
          </cell>
        </row>
        <row r="1691">
          <cell r="A1691">
            <v>8078</v>
          </cell>
        </row>
        <row r="1692">
          <cell r="A1692">
            <v>8079</v>
          </cell>
        </row>
        <row r="1693">
          <cell r="A1693">
            <v>8080</v>
          </cell>
        </row>
        <row r="1694">
          <cell r="A1694">
            <v>8081</v>
          </cell>
        </row>
        <row r="1695">
          <cell r="A1695">
            <v>8082</v>
          </cell>
        </row>
        <row r="1696">
          <cell r="A1696">
            <v>8083</v>
          </cell>
        </row>
        <row r="1697">
          <cell r="A1697">
            <v>8084</v>
          </cell>
        </row>
        <row r="1698">
          <cell r="A1698">
            <v>8085</v>
          </cell>
        </row>
        <row r="1699">
          <cell r="A1699">
            <v>8086</v>
          </cell>
        </row>
        <row r="1700">
          <cell r="A1700">
            <v>8087</v>
          </cell>
        </row>
        <row r="1701">
          <cell r="A1701">
            <v>8088</v>
          </cell>
        </row>
        <row r="1702">
          <cell r="A1702">
            <v>8089</v>
          </cell>
        </row>
        <row r="1703">
          <cell r="A1703">
            <v>8090</v>
          </cell>
        </row>
        <row r="1704">
          <cell r="A1704">
            <v>8095</v>
          </cell>
        </row>
        <row r="1705">
          <cell r="A1705">
            <v>8096</v>
          </cell>
        </row>
        <row r="1706">
          <cell r="A1706">
            <v>8097</v>
          </cell>
        </row>
        <row r="1707">
          <cell r="A1707">
            <v>8098</v>
          </cell>
        </row>
        <row r="1708">
          <cell r="A1708">
            <v>8099</v>
          </cell>
        </row>
        <row r="1709">
          <cell r="A1709">
            <v>8100</v>
          </cell>
        </row>
        <row r="1710">
          <cell r="A1710">
            <v>8101</v>
          </cell>
        </row>
        <row r="1711">
          <cell r="A1711">
            <v>8102</v>
          </cell>
        </row>
        <row r="1712">
          <cell r="A1712">
            <v>8103</v>
          </cell>
        </row>
        <row r="1713">
          <cell r="A1713">
            <v>8104</v>
          </cell>
        </row>
        <row r="1714">
          <cell r="A1714">
            <v>8105</v>
          </cell>
        </row>
        <row r="1715">
          <cell r="A1715">
            <v>8106</v>
          </cell>
        </row>
        <row r="1716">
          <cell r="A1716">
            <v>8111</v>
          </cell>
        </row>
        <row r="1717">
          <cell r="A1717">
            <v>8112</v>
          </cell>
        </row>
        <row r="1718">
          <cell r="A1718">
            <v>8113</v>
          </cell>
        </row>
        <row r="1719">
          <cell r="A1719">
            <v>8114</v>
          </cell>
        </row>
        <row r="1720">
          <cell r="A1720">
            <v>8115</v>
          </cell>
        </row>
        <row r="1721">
          <cell r="A1721">
            <v>8116</v>
          </cell>
        </row>
        <row r="1722">
          <cell r="A1722">
            <v>8117</v>
          </cell>
        </row>
        <row r="1723">
          <cell r="A1723">
            <v>8118</v>
          </cell>
        </row>
        <row r="1724">
          <cell r="A1724">
            <v>8119</v>
          </cell>
        </row>
        <row r="1725">
          <cell r="A1725">
            <v>8120</v>
          </cell>
        </row>
        <row r="1726">
          <cell r="A1726">
            <v>8121</v>
          </cell>
        </row>
        <row r="1727">
          <cell r="A1727">
            <v>8122</v>
          </cell>
        </row>
        <row r="1728">
          <cell r="A1728">
            <v>8123</v>
          </cell>
        </row>
        <row r="1729">
          <cell r="A1729">
            <v>8124</v>
          </cell>
        </row>
        <row r="1730">
          <cell r="A1730">
            <v>8125</v>
          </cell>
        </row>
        <row r="1731">
          <cell r="A1731">
            <v>8126</v>
          </cell>
        </row>
        <row r="1732">
          <cell r="A1732">
            <v>8127</v>
          </cell>
        </row>
        <row r="1733">
          <cell r="A1733">
            <v>8128</v>
          </cell>
        </row>
        <row r="1734">
          <cell r="A1734">
            <v>8129</v>
          </cell>
        </row>
        <row r="1735">
          <cell r="A1735">
            <v>8130</v>
          </cell>
        </row>
        <row r="1736">
          <cell r="A1736">
            <v>8131</v>
          </cell>
        </row>
        <row r="1737">
          <cell r="A1737">
            <v>8132</v>
          </cell>
        </row>
        <row r="1738">
          <cell r="A1738">
            <v>8133</v>
          </cell>
        </row>
        <row r="1739">
          <cell r="A1739">
            <v>8134</v>
          </cell>
        </row>
        <row r="1740">
          <cell r="A1740">
            <v>8135</v>
          </cell>
        </row>
        <row r="1741">
          <cell r="A1741">
            <v>8136</v>
          </cell>
        </row>
        <row r="1742">
          <cell r="A1742">
            <v>8137</v>
          </cell>
        </row>
        <row r="1743">
          <cell r="A1743">
            <v>8138</v>
          </cell>
        </row>
        <row r="1744">
          <cell r="A1744">
            <v>9001</v>
          </cell>
        </row>
        <row r="1745">
          <cell r="A1745">
            <v>9002</v>
          </cell>
        </row>
        <row r="1746">
          <cell r="A1746">
            <v>9003</v>
          </cell>
        </row>
        <row r="1747">
          <cell r="A1747">
            <v>9004</v>
          </cell>
        </row>
        <row r="1748">
          <cell r="A1748">
            <v>9005</v>
          </cell>
        </row>
        <row r="1749">
          <cell r="A1749">
            <v>9006</v>
          </cell>
        </row>
        <row r="1750">
          <cell r="A1750">
            <v>9007</v>
          </cell>
        </row>
        <row r="1751">
          <cell r="A1751">
            <v>9008</v>
          </cell>
        </row>
        <row r="1752">
          <cell r="A1752">
            <v>10001</v>
          </cell>
        </row>
        <row r="1753">
          <cell r="A1753">
            <v>10002</v>
          </cell>
        </row>
        <row r="1754">
          <cell r="A1754">
            <v>10003</v>
          </cell>
        </row>
        <row r="1755">
          <cell r="A1755">
            <v>10004</v>
          </cell>
        </row>
        <row r="1756">
          <cell r="A1756">
            <v>10005</v>
          </cell>
        </row>
        <row r="1757">
          <cell r="A1757">
            <v>10006</v>
          </cell>
        </row>
        <row r="1758">
          <cell r="A1758">
            <v>10007</v>
          </cell>
        </row>
        <row r="1759">
          <cell r="A1759">
            <v>10008</v>
          </cell>
        </row>
        <row r="1760">
          <cell r="A1760">
            <v>10009</v>
          </cell>
        </row>
        <row r="1761">
          <cell r="A1761">
            <v>10010</v>
          </cell>
        </row>
        <row r="1762">
          <cell r="A1762">
            <v>10011</v>
          </cell>
        </row>
        <row r="1763">
          <cell r="A1763">
            <v>10012</v>
          </cell>
        </row>
        <row r="1764">
          <cell r="A1764">
            <v>10013</v>
          </cell>
        </row>
        <row r="1765">
          <cell r="A1765">
            <v>10014</v>
          </cell>
        </row>
        <row r="1766">
          <cell r="A1766">
            <v>10015</v>
          </cell>
        </row>
        <row r="1767">
          <cell r="A1767">
            <v>10016</v>
          </cell>
        </row>
        <row r="1768">
          <cell r="A1768">
            <v>10017</v>
          </cell>
        </row>
        <row r="1769">
          <cell r="A1769">
            <v>10018</v>
          </cell>
        </row>
        <row r="1770">
          <cell r="A1770">
            <v>10019</v>
          </cell>
        </row>
        <row r="1771">
          <cell r="A1771">
            <v>10020</v>
          </cell>
        </row>
        <row r="1772">
          <cell r="A1772">
            <v>10021</v>
          </cell>
        </row>
        <row r="1773">
          <cell r="A1773">
            <v>10022</v>
          </cell>
        </row>
        <row r="1774">
          <cell r="A1774">
            <v>10023</v>
          </cell>
        </row>
        <row r="1775">
          <cell r="A1775">
            <v>10024</v>
          </cell>
        </row>
        <row r="1776">
          <cell r="A1776">
            <v>10025</v>
          </cell>
        </row>
        <row r="1777">
          <cell r="A1777">
            <v>10026</v>
          </cell>
        </row>
        <row r="1778">
          <cell r="A1778">
            <v>10027</v>
          </cell>
        </row>
        <row r="1779">
          <cell r="A1779">
            <v>10028</v>
          </cell>
        </row>
        <row r="1780">
          <cell r="A1780">
            <v>10029</v>
          </cell>
        </row>
        <row r="1781">
          <cell r="A1781">
            <v>10030</v>
          </cell>
        </row>
        <row r="1782">
          <cell r="A1782">
            <v>10031</v>
          </cell>
        </row>
        <row r="1783">
          <cell r="A1783">
            <v>10032</v>
          </cell>
        </row>
        <row r="1784">
          <cell r="A1784">
            <v>10033</v>
          </cell>
        </row>
        <row r="1785">
          <cell r="A1785">
            <v>10034</v>
          </cell>
        </row>
        <row r="1786">
          <cell r="A1786">
            <v>10035</v>
          </cell>
        </row>
        <row r="1787">
          <cell r="A1787">
            <v>10036</v>
          </cell>
        </row>
        <row r="1788">
          <cell r="A1788">
            <v>10037</v>
          </cell>
        </row>
        <row r="1789">
          <cell r="A1789">
            <v>10038</v>
          </cell>
        </row>
        <row r="1790">
          <cell r="A1790">
            <v>10039</v>
          </cell>
        </row>
        <row r="1791">
          <cell r="A1791">
            <v>10040</v>
          </cell>
        </row>
        <row r="1792">
          <cell r="A1792">
            <v>10041</v>
          </cell>
        </row>
        <row r="1793">
          <cell r="A1793">
            <v>10042</v>
          </cell>
        </row>
        <row r="1794">
          <cell r="A1794">
            <v>10043</v>
          </cell>
        </row>
        <row r="1795">
          <cell r="A1795">
            <v>10044</v>
          </cell>
        </row>
        <row r="1796">
          <cell r="A1796">
            <v>10045</v>
          </cell>
        </row>
        <row r="1797">
          <cell r="A1797">
            <v>10046</v>
          </cell>
        </row>
        <row r="1798">
          <cell r="A1798">
            <v>10047</v>
          </cell>
        </row>
        <row r="1799">
          <cell r="A1799">
            <v>10048</v>
          </cell>
        </row>
        <row r="1800">
          <cell r="A1800">
            <v>10049</v>
          </cell>
        </row>
        <row r="1801">
          <cell r="A1801">
            <v>10050</v>
          </cell>
        </row>
        <row r="1802">
          <cell r="A1802">
            <v>10051</v>
          </cell>
        </row>
        <row r="1803">
          <cell r="A1803">
            <v>10052</v>
          </cell>
        </row>
        <row r="1804">
          <cell r="A1804">
            <v>10053</v>
          </cell>
        </row>
        <row r="1805">
          <cell r="A1805">
            <v>10054</v>
          </cell>
        </row>
        <row r="1806">
          <cell r="A1806">
            <v>10055</v>
          </cell>
        </row>
        <row r="1807">
          <cell r="A1807">
            <v>10056</v>
          </cell>
        </row>
        <row r="1808">
          <cell r="A1808">
            <v>10057</v>
          </cell>
        </row>
        <row r="1809">
          <cell r="A1809">
            <v>10058</v>
          </cell>
        </row>
        <row r="1810">
          <cell r="A1810">
            <v>10059</v>
          </cell>
        </row>
        <row r="1811">
          <cell r="A1811">
            <v>10060</v>
          </cell>
        </row>
        <row r="1812">
          <cell r="A1812">
            <v>10061</v>
          </cell>
        </row>
        <row r="1813">
          <cell r="A1813">
            <v>10062</v>
          </cell>
        </row>
        <row r="1814">
          <cell r="A1814">
            <v>10063</v>
          </cell>
        </row>
        <row r="1815">
          <cell r="A1815">
            <v>10064</v>
          </cell>
        </row>
        <row r="1816">
          <cell r="A1816">
            <v>10065</v>
          </cell>
        </row>
        <row r="1817">
          <cell r="A1817">
            <v>10066</v>
          </cell>
        </row>
        <row r="1818">
          <cell r="A1818">
            <v>10067</v>
          </cell>
        </row>
        <row r="1819">
          <cell r="A1819">
            <v>10068</v>
          </cell>
        </row>
        <row r="1820">
          <cell r="A1820">
            <v>10069</v>
          </cell>
        </row>
        <row r="1821">
          <cell r="A1821">
            <v>10070</v>
          </cell>
        </row>
        <row r="1822">
          <cell r="A1822">
            <v>10071</v>
          </cell>
        </row>
        <row r="1823">
          <cell r="A1823">
            <v>10072</v>
          </cell>
        </row>
        <row r="1824">
          <cell r="A1824">
            <v>10073</v>
          </cell>
        </row>
        <row r="1825">
          <cell r="A1825">
            <v>10074</v>
          </cell>
        </row>
        <row r="1826">
          <cell r="A1826">
            <v>10075</v>
          </cell>
        </row>
        <row r="1827">
          <cell r="A1827">
            <v>10076</v>
          </cell>
        </row>
        <row r="1828">
          <cell r="A1828">
            <v>10077</v>
          </cell>
        </row>
        <row r="1829">
          <cell r="A1829">
            <v>10078</v>
          </cell>
        </row>
        <row r="1830">
          <cell r="A1830">
            <v>10079</v>
          </cell>
        </row>
        <row r="1831">
          <cell r="A1831">
            <v>10080</v>
          </cell>
        </row>
        <row r="1832">
          <cell r="A1832">
            <v>10081</v>
          </cell>
        </row>
        <row r="1833">
          <cell r="A1833">
            <v>10082</v>
          </cell>
        </row>
        <row r="1834">
          <cell r="A1834">
            <v>10083</v>
          </cell>
        </row>
        <row r="1835">
          <cell r="A1835">
            <v>10084</v>
          </cell>
        </row>
        <row r="1836">
          <cell r="A1836">
            <v>10085</v>
          </cell>
        </row>
        <row r="1837">
          <cell r="A1837">
            <v>10086</v>
          </cell>
        </row>
        <row r="1838">
          <cell r="A1838">
            <v>10087</v>
          </cell>
        </row>
        <row r="1839">
          <cell r="A1839">
            <v>10088</v>
          </cell>
        </row>
        <row r="1840">
          <cell r="A1840">
            <v>10089</v>
          </cell>
        </row>
        <row r="1841">
          <cell r="A1841">
            <v>10090</v>
          </cell>
        </row>
        <row r="1842">
          <cell r="A1842">
            <v>10101</v>
          </cell>
        </row>
        <row r="1843">
          <cell r="A1843">
            <v>10102</v>
          </cell>
        </row>
        <row r="1844">
          <cell r="A1844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F10" sqref="F1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278</v>
      </c>
      <c r="B2" s="56" t="s">
        <v>107</v>
      </c>
      <c r="C2" s="61">
        <v>58002</v>
      </c>
      <c r="D2" s="56" t="s">
        <v>108</v>
      </c>
      <c r="E2" s="55" t="str">
        <f>B2&amp;C2&amp;D2</f>
        <v>floors_58002.tmp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278</v>
      </c>
      <c r="B3" s="56" t="s">
        <v>110</v>
      </c>
      <c r="C3" s="61">
        <f>C$2</f>
        <v>58002</v>
      </c>
      <c r="D3" s="56" t="s">
        <v>108</v>
      </c>
      <c r="E3" s="55" t="str">
        <f>B3&amp;C3&amp;D3</f>
        <v>enemy_habitats_58002.tmp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180</v>
      </c>
    </row>
    <row r="4" spans="1:30" x14ac:dyDescent="0.15">
      <c r="A4" s="60" t="s">
        <v>278</v>
      </c>
      <c r="B4" s="56" t="s">
        <v>112</v>
      </c>
      <c r="C4" s="61">
        <f t="shared" ref="C4:C13" si="0">C$2</f>
        <v>58002</v>
      </c>
      <c r="D4" s="56" t="s">
        <v>108</v>
      </c>
      <c r="E4" s="55" t="str">
        <f>B4&amp;C4&amp;D4</f>
        <v>enemy_habitat_S_58002.tmp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278</v>
      </c>
      <c r="B5" s="56" t="s">
        <v>114</v>
      </c>
      <c r="C5" s="61">
        <f t="shared" si="0"/>
        <v>58002</v>
      </c>
      <c r="D5" s="56" t="s">
        <v>108</v>
      </c>
      <c r="E5" s="55" t="str">
        <f>B5&amp;C5&amp;D5</f>
        <v>enemy_skill_sets_58002.tmp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278</v>
      </c>
      <c r="B6" s="56" t="s">
        <v>116</v>
      </c>
      <c r="C6" s="61">
        <f t="shared" si="0"/>
        <v>58002</v>
      </c>
      <c r="D6" s="56" t="s">
        <v>117</v>
      </c>
      <c r="E6" s="55" t="str">
        <f t="shared" ref="E6:E10" si="1">B6&amp;C6&amp;D6</f>
        <v>enemy_skills_tmp_58002.tmp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278</v>
      </c>
      <c r="B7" s="56" t="s">
        <v>118</v>
      </c>
      <c r="C7" s="61">
        <f t="shared" si="0"/>
        <v>58002</v>
      </c>
      <c r="D7" s="56" t="s">
        <v>108</v>
      </c>
      <c r="E7" s="55" t="str">
        <f>B7&amp;C7&amp;D7</f>
        <v>enemy_skills_i18n_58002.tmp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278</v>
      </c>
      <c r="B8" s="56" t="s">
        <v>120</v>
      </c>
      <c r="C8" s="61">
        <f t="shared" si="0"/>
        <v>58002</v>
      </c>
      <c r="D8" s="56" t="s">
        <v>121</v>
      </c>
      <c r="E8" s="55" t="str">
        <f t="shared" si="1"/>
        <v>enemy_skill_triggers_58002.tmp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278</v>
      </c>
      <c r="B9" s="66" t="s">
        <v>179</v>
      </c>
      <c r="C9" s="61">
        <f t="shared" si="0"/>
        <v>58002</v>
      </c>
      <c r="D9" s="66" t="s">
        <v>173</v>
      </c>
      <c r="E9" s="67" t="str">
        <f t="shared" si="1"/>
        <v>stage_bug_bonuses_58002.tmp</v>
      </c>
      <c r="F9" s="66" t="s">
        <v>174</v>
      </c>
      <c r="G9" s="63" t="s">
        <v>151</v>
      </c>
      <c r="H9" s="63" t="s">
        <v>175</v>
      </c>
      <c r="I9" s="63" t="s">
        <v>176</v>
      </c>
      <c r="J9" s="65" t="s">
        <v>177</v>
      </c>
      <c r="K9" s="63" t="s">
        <v>178</v>
      </c>
      <c r="L9" s="63" t="s">
        <v>157</v>
      </c>
      <c r="M9" s="63" t="s">
        <v>158</v>
      </c>
      <c r="N9" s="63" t="s">
        <v>159</v>
      </c>
      <c r="O9" s="63" t="s">
        <v>160</v>
      </c>
      <c r="P9" s="63" t="s">
        <v>161</v>
      </c>
      <c r="Q9" s="63" t="s">
        <v>162</v>
      </c>
      <c r="R9" s="63" t="s">
        <v>163</v>
      </c>
      <c r="S9" s="63" t="s">
        <v>164</v>
      </c>
      <c r="T9" s="63" t="s">
        <v>165</v>
      </c>
      <c r="U9" s="63" t="s">
        <v>166</v>
      </c>
      <c r="V9" s="63" t="s">
        <v>167</v>
      </c>
      <c r="W9" s="63" t="s">
        <v>168</v>
      </c>
      <c r="X9" s="56"/>
      <c r="Y9" s="56"/>
      <c r="Z9" s="56"/>
      <c r="AA9" s="56"/>
      <c r="AB9" s="56"/>
      <c r="AC9" s="56"/>
      <c r="AD9" s="56"/>
    </row>
    <row r="10" spans="1:30" s="74" customFormat="1" x14ac:dyDescent="0.15">
      <c r="A10" s="60" t="s">
        <v>189</v>
      </c>
      <c r="B10" s="66" t="s">
        <v>202</v>
      </c>
      <c r="C10" s="61">
        <f>C$2</f>
        <v>58002</v>
      </c>
      <c r="D10" s="66" t="s">
        <v>182</v>
      </c>
      <c r="E10" s="67" t="str">
        <f t="shared" si="1"/>
        <v>stage_hints_data_c_58002.tmp</v>
      </c>
      <c r="F10" s="66" t="s">
        <v>210</v>
      </c>
      <c r="G10" s="72" t="s">
        <v>183</v>
      </c>
      <c r="H10" s="72" t="s">
        <v>175</v>
      </c>
      <c r="I10" s="73" t="s">
        <v>184</v>
      </c>
      <c r="J10" s="65" t="s">
        <v>185</v>
      </c>
      <c r="K10" s="65" t="s">
        <v>186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4" customFormat="1" x14ac:dyDescent="0.15">
      <c r="A11" s="60" t="s">
        <v>278</v>
      </c>
      <c r="B11" s="66" t="s">
        <v>203</v>
      </c>
      <c r="C11" s="61">
        <f t="shared" si="0"/>
        <v>58002</v>
      </c>
      <c r="D11" s="66" t="s">
        <v>173</v>
      </c>
      <c r="E11" s="67" t="str">
        <f t="shared" ref="E11:E13" si="2">B11&amp;C11&amp;D11</f>
        <v>stage_hints_data_f_58002.tmp</v>
      </c>
      <c r="F11" s="66" t="s">
        <v>211</v>
      </c>
      <c r="G11" s="72" t="s">
        <v>183</v>
      </c>
      <c r="H11" s="72" t="s">
        <v>175</v>
      </c>
      <c r="I11" s="73" t="s">
        <v>184</v>
      </c>
      <c r="J11" s="65" t="s">
        <v>185</v>
      </c>
      <c r="K11" s="65" t="s">
        <v>186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4" customFormat="1" x14ac:dyDescent="0.15">
      <c r="A12" s="60" t="s">
        <v>278</v>
      </c>
      <c r="B12" s="66" t="s">
        <v>204</v>
      </c>
      <c r="C12" s="61">
        <f t="shared" si="0"/>
        <v>58002</v>
      </c>
      <c r="D12" s="66" t="s">
        <v>173</v>
      </c>
      <c r="E12" s="67" t="str">
        <f t="shared" si="2"/>
        <v>stage_hints_i18n_58002.tmp</v>
      </c>
      <c r="F12" s="66" t="s">
        <v>212</v>
      </c>
      <c r="G12" s="73" t="s">
        <v>205</v>
      </c>
      <c r="H12" s="92" t="s">
        <v>206</v>
      </c>
      <c r="I12" s="72" t="s">
        <v>207</v>
      </c>
      <c r="J12" s="100" t="s">
        <v>208</v>
      </c>
      <c r="K12" s="65" t="s">
        <v>209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4" customFormat="1" x14ac:dyDescent="0.15">
      <c r="A13" s="60" t="s">
        <v>278</v>
      </c>
      <c r="B13" s="66" t="s">
        <v>251</v>
      </c>
      <c r="C13" s="61">
        <f t="shared" si="0"/>
        <v>58002</v>
      </c>
      <c r="D13" s="66" t="s">
        <v>232</v>
      </c>
      <c r="E13" s="67" t="str">
        <f t="shared" si="2"/>
        <v>stage_bonuses_58002.tmp</v>
      </c>
      <c r="F13" s="66" t="s">
        <v>231</v>
      </c>
      <c r="G13" s="72" t="s">
        <v>233</v>
      </c>
      <c r="H13" s="72" t="s">
        <v>234</v>
      </c>
      <c r="I13" s="72" t="s">
        <v>235</v>
      </c>
      <c r="J13" s="72" t="s">
        <v>236</v>
      </c>
      <c r="K13" s="72" t="s">
        <v>237</v>
      </c>
      <c r="L13" s="72" t="s">
        <v>238</v>
      </c>
      <c r="M13" s="72" t="s">
        <v>239</v>
      </c>
      <c r="N13" s="72" t="s">
        <v>240</v>
      </c>
      <c r="O13" s="72" t="s">
        <v>241</v>
      </c>
      <c r="P13" s="72" t="s">
        <v>242</v>
      </c>
      <c r="Q13" s="72" t="s">
        <v>243</v>
      </c>
      <c r="R13" s="72" t="s">
        <v>244</v>
      </c>
      <c r="S13" s="72" t="s">
        <v>245</v>
      </c>
      <c r="T13" s="72" t="s">
        <v>246</v>
      </c>
      <c r="U13" s="72" t="s">
        <v>247</v>
      </c>
      <c r="V13" s="72" t="s">
        <v>248</v>
      </c>
      <c r="W13" s="72" t="s">
        <v>249</v>
      </c>
      <c r="X13" s="72" t="s">
        <v>250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C2" sqref="C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58002_1-1</v>
      </c>
      <c r="B2" s="16" t="str">
        <f>IF(COUNTIF(enemy_habitats!$H:$H,A2),"OK","NG")</f>
        <v>OK</v>
      </c>
      <c r="C2" s="7">
        <v>58002</v>
      </c>
      <c r="D2" s="11" t="str">
        <f ca="1">VLOOKUP($C2,OFFSET([2]quests!$A$1,0,0,COUNTA([2]quests!$A:$A),MATCH(D$1,[2]quests!$1:$1,0)-MATCH($C$1,[2]quests!$1:$1,0)+1),MATCH(D$1,[2]quests!$1:$1,0)-MATCH($C$1,[2]quests!$1:$1,0)+1,FALSE)</f>
        <v>始皇贏政襲来！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繁体字版超降臨2</v>
      </c>
      <c r="F2" s="21">
        <v>1</v>
      </c>
      <c r="G2" s="22" t="str">
        <f>C2&amp;"_"&amp;F2</f>
        <v>58002_1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【超ウィザード級】始皇贏政襲来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58002_1-2</v>
      </c>
      <c r="B3" s="16" t="str">
        <f>IF(COUNTIF(enemy_habitats!$H:$H,A3),"OK","NG")</f>
        <v>OK</v>
      </c>
      <c r="C3" s="7">
        <v>58002</v>
      </c>
      <c r="D3" s="11" t="str">
        <f ca="1">VLOOKUP($C3,OFFSET([2]quests!$A$1,0,0,COUNTA([2]quests!$A:$A),MATCH(D$1,[2]quests!$1:$1,0)-MATCH($C$1,[2]quests!$1:$1,0)+1),MATCH(D$1,[2]quests!$1:$1,0)-MATCH($C$1,[2]quests!$1:$1,0)+1,FALSE)</f>
        <v>始皇贏政襲来！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繁体字版超降臨2</v>
      </c>
      <c r="F3" s="21">
        <v>1</v>
      </c>
      <c r="G3" s="22" t="str">
        <f t="shared" ref="G3:G5" si="1">C3&amp;"_"&amp;F3</f>
        <v>58002_1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【超ウィザード級】始皇贏政襲来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58002_1-3</v>
      </c>
      <c r="B4" s="16" t="str">
        <f>IF(COUNTIF(enemy_habitats!$H:$H,A4),"OK","NG")</f>
        <v>OK</v>
      </c>
      <c r="C4" s="7">
        <v>58002</v>
      </c>
      <c r="D4" s="11" t="str">
        <f ca="1">VLOOKUP($C4,OFFSET([2]quests!$A$1,0,0,COUNTA([2]quests!$A:$A),MATCH(D$1,[2]quests!$1:$1,0)-MATCH($C$1,[2]quests!$1:$1,0)+1),MATCH(D$1,[2]quests!$1:$1,0)-MATCH($C$1,[2]quests!$1:$1,0)+1,FALSE)</f>
        <v>始皇贏政襲来！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繁体字版超降臨2</v>
      </c>
      <c r="F4" s="21">
        <v>1</v>
      </c>
      <c r="G4" s="22" t="str">
        <f t="shared" si="1"/>
        <v>58002_1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【超ウィザード級】始皇贏政襲来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58002_1-4</v>
      </c>
      <c r="B5" s="16" t="str">
        <f>IF(COUNTIF(enemy_habitats!$H:$H,A5),"OK","NG")</f>
        <v>OK</v>
      </c>
      <c r="C5" s="7">
        <v>58002</v>
      </c>
      <c r="D5" s="11" t="str">
        <f ca="1">VLOOKUP($C5,OFFSET([2]quests!$A$1,0,0,COUNTA([2]quests!$A:$A),MATCH(D$1,[2]quests!$1:$1,0)-MATCH($C$1,[2]quests!$1:$1,0)+1),MATCH(D$1,[2]quests!$1:$1,0)-MATCH($C$1,[2]quests!$1:$1,0)+1,FALSE)</f>
        <v>始皇贏政襲来！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繁体字版超降臨2</v>
      </c>
      <c r="F5" s="21">
        <v>1</v>
      </c>
      <c r="G5" s="22" t="str">
        <f t="shared" si="1"/>
        <v>58002_1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【超ウィザード級】始皇贏政襲来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>G6&amp;"-"&amp;I6</f>
        <v>58002_1-5</v>
      </c>
      <c r="B6" s="16" t="str">
        <f>IF(COUNTIF(enemy_habitats!$H:$H,A6),"OK","NG")</f>
        <v>OK</v>
      </c>
      <c r="C6" s="7">
        <v>58002</v>
      </c>
      <c r="D6" s="11" t="str">
        <f ca="1">VLOOKUP($C6,OFFSET([2]quests!$A$1,0,0,COUNTA([2]quests!$A:$A),MATCH(D$1,[2]quests!$1:$1,0)-MATCH($C$1,[2]quests!$1:$1,0)+1),MATCH(D$1,[2]quests!$1:$1,0)-MATCH($C$1,[2]quests!$1:$1,0)+1,FALSE)</f>
        <v>始皇贏政襲来！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繁体字版超降臨2</v>
      </c>
      <c r="F6" s="21">
        <v>1</v>
      </c>
      <c r="G6" s="22" t="str">
        <f>C6&amp;"_"&amp;F6</f>
        <v>58002_1</v>
      </c>
      <c r="H6" s="15" t="str">
        <f ca="1">VLOOKUP($G6,OFFSET([2]stages!$A$1,0,0,COUNTA([2]stages!$A:$A),MATCH(H$1,[2]stages!$2:$2,0)-MATCH($G$1,[2]stages!$2:$2,0)+1),MATCH(H$1,[2]stages!$2:$2,0)-MATCH($G$1,[2]stages!$2:$2,0)+1,FALSE)</f>
        <v>【超ウィザード級】始皇贏政襲来</v>
      </c>
      <c r="I6" s="21">
        <v>5</v>
      </c>
      <c r="J6" s="12">
        <v>60</v>
      </c>
      <c r="K6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8"/>
  <sheetViews>
    <sheetView showGridLines="0" workbookViewId="0">
      <pane xSplit="17" ySplit="1" topLeftCell="AB2" activePane="bottomRight" state="frozen"/>
      <selection pane="topRight" activeCell="N1" sqref="N1"/>
      <selection pane="bottomLeft" activeCell="A2" sqref="A2"/>
      <selection pane="bottomRight" activeCell="AJ9" sqref="AJ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101" t="s">
        <v>252</v>
      </c>
      <c r="U1" s="25" t="s">
        <v>50</v>
      </c>
      <c r="V1" s="101" t="s">
        <v>253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181</v>
      </c>
    </row>
    <row r="2" spans="1:42" ht="21" customHeight="1" x14ac:dyDescent="0.15">
      <c r="A2" s="16" t="str">
        <f>B2&amp;"_"&amp;C2&amp;"-"&amp;G2&amp;"/"&amp;L2&amp;"&lt;lv"&amp;R2&amp;"&gt;s"&amp;AC2</f>
        <v>58002_1-1/154&lt;lv80&gt;s2</v>
      </c>
      <c r="B2" s="7">
        <v>58002</v>
      </c>
      <c r="C2" s="21">
        <v>1</v>
      </c>
      <c r="D2" s="2" t="str">
        <f>B2&amp;"_"&amp;C2</f>
        <v>58002_1</v>
      </c>
      <c r="E2" s="4" t="str">
        <f ca="1">VLOOKUP($B2,OFFSET([2]quests!$A$1,0,0,COUNTA([2]quests!$A:$A),MATCH(E$1,[2]quests!$1:$1,0)-MATCH($B$1,[2]quests!$1:$1,0)+1),MATCH(E$1,[2]quests!$1:$1,0)-MATCH($B$1,[2]quests!$1:$1,0)+1,FALSE)</f>
        <v>始皇贏政襲来！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【超ウィザード級】始皇贏政襲来</v>
      </c>
      <c r="G2" s="21">
        <v>1</v>
      </c>
      <c r="H2" s="15" t="str">
        <f>B2&amp;"_"&amp;C2&amp;"-"&amp;G2</f>
        <v>58002_1-1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20">
        <v>154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始末屋 ハンナ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80</v>
      </c>
      <c r="S2" s="24">
        <v>3.7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249442.90000000002</v>
      </c>
      <c r="U2" s="24">
        <v>0.6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3463.7999999999997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7">
        <v>58002000</v>
      </c>
      <c r="Z2" s="6">
        <v>1</v>
      </c>
      <c r="AA2" s="6">
        <v>100</v>
      </c>
      <c r="AB2" s="6">
        <v>1</v>
      </c>
      <c r="AC2" s="17">
        <v>2</v>
      </c>
      <c r="AD2" s="23">
        <f>L2</f>
        <v>154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始末屋 ハンナ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" s="7">
        <v>1</v>
      </c>
      <c r="AI2" s="23">
        <f ca="1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>B3&amp;"_"&amp;C3&amp;"-"&amp;G3&amp;"/"&amp;L3&amp;"&lt;lv"&amp;R3&amp;"&gt;s"&amp;AC3</f>
        <v>58002_1-1/53&lt;lv80&gt;s1</v>
      </c>
      <c r="B3" s="7">
        <v>58002</v>
      </c>
      <c r="C3" s="21">
        <v>1</v>
      </c>
      <c r="D3" s="2" t="str">
        <f>B3&amp;"_"&amp;C3</f>
        <v>58002_1</v>
      </c>
      <c r="E3" s="4" t="str">
        <f ca="1">VLOOKUP($B3,OFFSET([2]quests!$A$1,0,0,COUNTA([2]quests!$A:$A),MATCH(E$1,[2]quests!$1:$1,0)-MATCH($B$1,[2]quests!$1:$1,0)+1),MATCH(E$1,[2]quests!$1:$1,0)-MATCH($B$1,[2]quests!$1:$1,0)+1,FALSE)</f>
        <v>始皇贏政襲来！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【超ウィザード級】始皇贏政襲来</v>
      </c>
      <c r="G3" s="21">
        <v>1</v>
      </c>
      <c r="H3" s="15" t="str">
        <f>B3&amp;"_"&amp;C3&amp;"-"&amp;G3</f>
        <v>58002_1-1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20">
        <v>53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ケンジ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4">
        <v>5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76610</v>
      </c>
      <c r="U3" s="24">
        <v>1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4744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自身に防御力UP</v>
      </c>
      <c r="Y3" s="7">
        <v>58002001</v>
      </c>
      <c r="Z3" s="6">
        <v>2</v>
      </c>
      <c r="AA3" s="6">
        <v>100</v>
      </c>
      <c r="AB3" s="6">
        <v>0</v>
      </c>
      <c r="AC3" s="17">
        <v>1</v>
      </c>
      <c r="AD3" s="23">
        <f>L3</f>
        <v>53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ケンジ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3">
        <f ca="1">AF3</f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>B4&amp;"_"&amp;C4&amp;"-"&amp;G4&amp;"/"&amp;L4&amp;"&lt;lv"&amp;R4&amp;"&gt;s"&amp;AC4</f>
        <v>58002_1-2/775&lt;lv80&gt;s1</v>
      </c>
      <c r="B4" s="7">
        <v>58002</v>
      </c>
      <c r="C4" s="21">
        <v>1</v>
      </c>
      <c r="D4" s="2" t="str">
        <f>B4&amp;"_"&amp;C4</f>
        <v>58002_1</v>
      </c>
      <c r="E4" s="4" t="str">
        <f ca="1">VLOOKUP($B4,OFFSET([2]quests!$A$1,0,0,COUNTA([2]quests!$A:$A),MATCH(E$1,[2]quests!$1:$1,0)-MATCH($B$1,[2]quests!$1:$1,0)+1),MATCH(E$1,[2]quests!$1:$1,0)-MATCH($B$1,[2]quests!$1:$1,0)+1,FALSE)</f>
        <v>始皇贏政襲来！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【超ウィザード級】始皇贏政襲来</v>
      </c>
      <c r="G4" s="21">
        <v>2</v>
      </c>
      <c r="H4" s="15" t="str">
        <f>B4&amp;"_"&amp;C4&amp;"-"&amp;G4</f>
        <v>58002_1-2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1</v>
      </c>
      <c r="L4" s="20">
        <v>775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水底霊竜 ミズチ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80</v>
      </c>
      <c r="S4" s="24">
        <v>7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682318</v>
      </c>
      <c r="U4" s="24">
        <v>1.3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9033.7000000000007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状態異常耐性+防御力UP</v>
      </c>
      <c r="Y4" s="7">
        <v>58002004</v>
      </c>
      <c r="Z4" s="6">
        <v>1</v>
      </c>
      <c r="AA4" s="6">
        <v>100</v>
      </c>
      <c r="AB4" s="6">
        <v>1</v>
      </c>
      <c r="AC4" s="17">
        <v>1</v>
      </c>
      <c r="AD4" s="23">
        <f>L4</f>
        <v>775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水底霊竜 ミズチ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3">
        <f ca="1">AF4</f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ref="A5:A8" si="0">B5&amp;"_"&amp;C5&amp;"-"&amp;G5&amp;"/"&amp;L5&amp;"&lt;lv"&amp;R5&amp;"&gt;s"&amp;AC5</f>
        <v>58002_1-3/406&lt;lv80&gt;s2</v>
      </c>
      <c r="B5" s="7">
        <v>58002</v>
      </c>
      <c r="C5" s="21">
        <v>1</v>
      </c>
      <c r="D5" s="2" t="str">
        <f t="shared" ref="D5:D8" si="1">B5&amp;"_"&amp;C5</f>
        <v>58002_1</v>
      </c>
      <c r="E5" s="4" t="str">
        <f ca="1">VLOOKUP($B5,OFFSET([2]quests!$A$1,0,0,COUNTA([2]quests!$A:$A),MATCH(E$1,[2]quests!$1:$1,0)-MATCH($B$1,[2]quests!$1:$1,0)+1),MATCH(E$1,[2]quests!$1:$1,0)-MATCH($B$1,[2]quests!$1:$1,0)+1,FALSE)</f>
        <v>始皇贏政襲来！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【超ウィザード級】始皇贏政襲来</v>
      </c>
      <c r="G5" s="21">
        <v>3</v>
      </c>
      <c r="H5" s="15" t="str">
        <f t="shared" ref="H5:H8" si="2">B5&amp;"_"&amp;C5&amp;"-"&amp;G5</f>
        <v>58002_1-3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53</v>
      </c>
      <c r="L5" s="20">
        <v>406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美笑の蒼蛇 エキドナ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4">
        <v>6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572130</v>
      </c>
      <c r="U5" s="24">
        <v>1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8018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5ターンCパネル無効</v>
      </c>
      <c r="Y5" s="7">
        <v>58002002</v>
      </c>
      <c r="Z5" s="6">
        <v>1</v>
      </c>
      <c r="AA5" s="6">
        <v>100</v>
      </c>
      <c r="AB5" s="6">
        <v>1</v>
      </c>
      <c r="AC5" s="17">
        <v>2</v>
      </c>
      <c r="AD5" s="23">
        <f t="shared" ref="AD5:AD8" si="3">L5</f>
        <v>406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美笑の蒼蛇 エキドナ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3">
        <f t="shared" ref="AI5:AI8" ca="1" si="4">AF5</f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6" t="str">
        <f t="shared" si="0"/>
        <v>58002_1-3/3&lt;lv80&gt;s1</v>
      </c>
      <c r="B6" s="7">
        <v>58002</v>
      </c>
      <c r="C6" s="21">
        <v>1</v>
      </c>
      <c r="D6" s="2" t="str">
        <f t="shared" si="1"/>
        <v>58002_1</v>
      </c>
      <c r="E6" s="4" t="str">
        <f ca="1">VLOOKUP($B6,OFFSET([2]quests!$A$1,0,0,COUNTA([2]quests!$A:$A),MATCH(E$1,[2]quests!$1:$1,0)-MATCH($B$1,[2]quests!$1:$1,0)+1),MATCH(E$1,[2]quests!$1:$1,0)-MATCH($B$1,[2]quests!$1:$1,0)+1,FALSE)</f>
        <v>始皇贏政襲来！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【超ウィザード級】始皇贏政襲来</v>
      </c>
      <c r="G6" s="21">
        <v>3</v>
      </c>
      <c r="H6" s="15" t="str">
        <f t="shared" si="2"/>
        <v>58002_1-3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 t="s">
        <v>53</v>
      </c>
      <c r="L6" s="20">
        <v>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エージェント ジョー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Drop1T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80</v>
      </c>
      <c r="S6" s="24">
        <v>2.8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46552.799999999996</v>
      </c>
      <c r="U6" s="24">
        <v>0.8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3833.6000000000004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自身に防御力UP</v>
      </c>
      <c r="Y6" s="7">
        <v>58002003</v>
      </c>
      <c r="Z6" s="6">
        <v>2</v>
      </c>
      <c r="AA6" s="6">
        <v>100</v>
      </c>
      <c r="AB6" s="6">
        <v>0</v>
      </c>
      <c r="AC6" s="17">
        <v>1</v>
      </c>
      <c r="AD6" s="23">
        <f t="shared" si="3"/>
        <v>3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エージェント ジョー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1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Drop1T</v>
      </c>
      <c r="AH6" s="7">
        <v>1</v>
      </c>
      <c r="AI6" s="23">
        <f t="shared" ca="1" si="4"/>
        <v>1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6" t="str">
        <f t="shared" si="0"/>
        <v>58002_1-4/93&lt;lv80&gt;s2</v>
      </c>
      <c r="B7" s="7">
        <v>58002</v>
      </c>
      <c r="C7" s="21">
        <v>1</v>
      </c>
      <c r="D7" s="2" t="str">
        <f t="shared" si="1"/>
        <v>58002_1</v>
      </c>
      <c r="E7" s="4" t="str">
        <f ca="1">VLOOKUP($B7,OFFSET([2]quests!$A$1,0,0,COUNTA([2]quests!$A:$A),MATCH(E$1,[2]quests!$1:$1,0)-MATCH($B$1,[2]quests!$1:$1,0)+1),MATCH(E$1,[2]quests!$1:$1,0)-MATCH($B$1,[2]quests!$1:$1,0)+1,FALSE)</f>
        <v>始皇贏政襲来！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【超ウィザード級】始皇贏政襲来</v>
      </c>
      <c r="G7" s="21">
        <v>4</v>
      </c>
      <c r="H7" s="15" t="str">
        <f t="shared" si="2"/>
        <v>58002_1-4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2</v>
      </c>
      <c r="L7" s="20">
        <v>93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碧東の守護神 青龍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80</v>
      </c>
      <c r="S7" s="24">
        <v>7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1115331</v>
      </c>
      <c r="U7" s="24">
        <v>1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9594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7" s="7">
        <v>58002006</v>
      </c>
      <c r="Z7" s="6">
        <v>1</v>
      </c>
      <c r="AA7" s="6">
        <v>100</v>
      </c>
      <c r="AB7" s="6">
        <v>1</v>
      </c>
      <c r="AC7" s="17">
        <v>2</v>
      </c>
      <c r="AD7" s="23">
        <f t="shared" si="3"/>
        <v>93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碧東の守護神 青龍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3">
        <f t="shared" ca="1" si="4"/>
        <v>5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x14ac:dyDescent="0.15">
      <c r="A8" s="16" t="str">
        <f t="shared" si="0"/>
        <v>58002_1-5/8115&lt;lv80&gt;s1</v>
      </c>
      <c r="B8" s="7">
        <v>58002</v>
      </c>
      <c r="C8" s="21">
        <v>1</v>
      </c>
      <c r="D8" s="2" t="str">
        <f t="shared" si="1"/>
        <v>58002_1</v>
      </c>
      <c r="E8" s="4" t="str">
        <f ca="1">VLOOKUP($B8,OFFSET([2]quests!$A$1,0,0,COUNTA([2]quests!$A:$A),MATCH(E$1,[2]quests!$1:$1,0)-MATCH($B$1,[2]quests!$1:$1,0)+1),MATCH(E$1,[2]quests!$1:$1,0)-MATCH($B$1,[2]quests!$1:$1,0)+1,FALSE)</f>
        <v>始皇贏政襲来！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【超ウィザード級】始皇贏政襲来</v>
      </c>
      <c r="G8" s="21">
        <v>5</v>
      </c>
      <c r="H8" s="15" t="str">
        <f t="shared" si="2"/>
        <v>58002_1-5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>
        <v>3</v>
      </c>
      <c r="L8" s="20">
        <v>8115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贏政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80</v>
      </c>
      <c r="S8" s="24">
        <v>7.5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0</v>
      </c>
      <c r="U8" s="24">
        <v>1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0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状態異常耐性+_x000D_防御力UP</v>
      </c>
      <c r="Y8" s="7">
        <v>58002008</v>
      </c>
      <c r="Z8" s="6">
        <v>1</v>
      </c>
      <c r="AA8" s="6">
        <v>100</v>
      </c>
      <c r="AB8" s="6">
        <v>1</v>
      </c>
      <c r="AC8" s="17">
        <v>1</v>
      </c>
      <c r="AD8" s="23">
        <f t="shared" si="3"/>
        <v>8115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贏政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8" s="7">
        <v>1</v>
      </c>
      <c r="AI8" s="23">
        <f t="shared" ca="1" si="4"/>
        <v>5</v>
      </c>
      <c r="AJ8" s="8">
        <v>85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4" sqref="T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101" t="s">
        <v>252</v>
      </c>
      <c r="V1" s="25" t="s">
        <v>50</v>
      </c>
      <c r="W1" s="101" t="s">
        <v>253</v>
      </c>
      <c r="X1" s="25" t="s">
        <v>52</v>
      </c>
      <c r="Y1" s="27" t="s">
        <v>130</v>
      </c>
      <c r="Z1" s="28" t="s">
        <v>129</v>
      </c>
      <c r="AA1" s="27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58002_1-2/776&lt;lv80&gt;sq1st2</v>
      </c>
      <c r="B2" s="7">
        <v>58002</v>
      </c>
      <c r="C2" s="21">
        <v>1</v>
      </c>
      <c r="D2" s="2" t="str">
        <f>B2&amp;"_"&amp;C2</f>
        <v>58002_1</v>
      </c>
      <c r="E2" s="4" t="str">
        <f ca="1">VLOOKUP($B2,OFFSET([2]quests!$A$1,0,0,COUNTA([2]quests!$A:$A),MATCH(E$1,[2]quests!$1:$1,0)-MATCH($B$1,[2]quests!$1:$1,0)+1),MATCH(E$1,[2]quests!$1:$1,0)-MATCH($B$1,[2]quests!$1:$1,0)+1,FALSE)</f>
        <v>始皇贏政襲来！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【超ウィザード級】始皇贏政襲来</v>
      </c>
      <c r="G2" s="21">
        <v>2</v>
      </c>
      <c r="H2" s="15" t="str">
        <f>B2&amp;"_"&amp;C2&amp;"-"&amp;G2</f>
        <v>58002_1-2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20">
        <v>776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水竜底主 ミズチ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4">
        <v>7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892262</v>
      </c>
      <c r="V2" s="24">
        <v>1.3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9727.9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7">
        <v>58002005</v>
      </c>
      <c r="AA2" s="69">
        <v>1</v>
      </c>
    </row>
    <row r="3" spans="1:27" ht="21" customHeight="1" x14ac:dyDescent="0.15">
      <c r="A3" s="16" t="str">
        <f t="shared" ref="A3:A5" si="0">B3&amp;"_"&amp;C3&amp;"-"&amp;G3&amp;"/"&amp;M3&amp;"&lt;lv"&amp;S3&amp;"&gt;sq"&amp;K3&amp;"st"&amp;L3</f>
        <v>58002_1-4/1405&lt;lv80&gt;sq2st2</v>
      </c>
      <c r="B3" s="7">
        <v>58002</v>
      </c>
      <c r="C3" s="21">
        <v>1</v>
      </c>
      <c r="D3" s="2" t="str">
        <f t="shared" ref="D3:D5" si="1">B3&amp;"_"&amp;C3</f>
        <v>58002_1</v>
      </c>
      <c r="E3" s="4" t="str">
        <f ca="1">VLOOKUP($B3,OFFSET([2]quests!$A$1,0,0,COUNTA([2]quests!$A:$A),MATCH(E$1,[2]quests!$1:$1,0)-MATCH($B$1,[2]quests!$1:$1,0)+1),MATCH(E$1,[2]quests!$1:$1,0)-MATCH($B$1,[2]quests!$1:$1,0)+1,FALSE)</f>
        <v>始皇贏政襲来！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【超ウィザード級】始皇贏政襲来</v>
      </c>
      <c r="G3" s="21">
        <v>4</v>
      </c>
      <c r="H3" s="15" t="str">
        <f t="shared" ref="H3:H5" si="2">B3&amp;"_"&amp;C3&amp;"-"&amp;G3</f>
        <v>58002_1-4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20">
        <v>1405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蒼帝の守護獣神 青龍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4">
        <v>7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893424</v>
      </c>
      <c r="V3" s="24">
        <v>1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8899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7">
        <v>58002007</v>
      </c>
      <c r="AA3" s="69">
        <v>1</v>
      </c>
    </row>
    <row r="4" spans="1:27" ht="21" customHeight="1" x14ac:dyDescent="0.15">
      <c r="A4" s="16" t="str">
        <f t="shared" si="0"/>
        <v>58002_1-5/8116&lt;lv80&gt;sq3st2</v>
      </c>
      <c r="B4" s="7">
        <v>58002</v>
      </c>
      <c r="C4" s="21">
        <v>1</v>
      </c>
      <c r="D4" s="2" t="str">
        <f t="shared" si="1"/>
        <v>58002_1</v>
      </c>
      <c r="E4" s="4" t="str">
        <f ca="1">VLOOKUP($B4,OFFSET([2]quests!$A$1,0,0,COUNTA([2]quests!$A:$A),MATCH(E$1,[2]quests!$1:$1,0)-MATCH($B$1,[2]quests!$1:$1,0)+1),MATCH(E$1,[2]quests!$1:$1,0)-MATCH($B$1,[2]quests!$1:$1,0)+1,FALSE)</f>
        <v>始皇贏政襲来！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【超ウィザード級】始皇贏政襲来</v>
      </c>
      <c r="G4" s="21">
        <v>5</v>
      </c>
      <c r="H4" s="15" t="str">
        <f t="shared" si="2"/>
        <v>58002_1-5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3</v>
      </c>
      <c r="L4" s="37">
        <v>2</v>
      </c>
      <c r="M4" s="20">
        <v>8116</v>
      </c>
      <c r="N4" s="17" t="str">
        <f ca="1">VLOOKUP($M4,OFFSET([3]enemies!$A$1,0,0,COUNTA([3]enemies!$A:$A),MATCH(N$1,[3]enemies!$1:$1,0)-MATCH($M$1,[3]enemies!$1:$1,0)+1),MATCH(N$1,[3]enemies!$1:$1,0)-MATCH($M$1,[3]enemies!$1:$1,0)+1,FALSE)</f>
        <v>贏政★６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4">
        <v>8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24">
        <v>1.1000000000000001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7">
        <v>58002009</v>
      </c>
      <c r="AA4" s="69">
        <v>1</v>
      </c>
    </row>
    <row r="5" spans="1:27" ht="21" customHeight="1" x14ac:dyDescent="0.15">
      <c r="A5" s="16" t="str">
        <f t="shared" si="0"/>
        <v>58002_1-5/8116&lt;lv80&gt;sq3st3</v>
      </c>
      <c r="B5" s="7">
        <v>58002</v>
      </c>
      <c r="C5" s="21">
        <v>1</v>
      </c>
      <c r="D5" s="2" t="str">
        <f t="shared" si="1"/>
        <v>58002_1</v>
      </c>
      <c r="E5" s="4" t="str">
        <f ca="1">VLOOKUP($B5,OFFSET([2]quests!$A$1,0,0,COUNTA([2]quests!$A:$A),MATCH(E$1,[2]quests!$1:$1,0)-MATCH($B$1,[2]quests!$1:$1,0)+1),MATCH(E$1,[2]quests!$1:$1,0)-MATCH($B$1,[2]quests!$1:$1,0)+1,FALSE)</f>
        <v>始皇贏政襲来！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【超ウィザード級】始皇贏政襲来</v>
      </c>
      <c r="G5" s="21">
        <v>5</v>
      </c>
      <c r="H5" s="15" t="str">
        <f t="shared" si="2"/>
        <v>58002_1-5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3</v>
      </c>
      <c r="L5" s="37">
        <v>3</v>
      </c>
      <c r="M5" s="20">
        <v>8116</v>
      </c>
      <c r="N5" s="17" t="str">
        <f ca="1">VLOOKUP($M5,OFFSET([3]enemies!$A$1,0,0,COUNTA([3]enemies!$A:$A),MATCH(N$1,[3]enemies!$1:$1,0)-MATCH($M$1,[3]enemies!$1:$1,0)+1),MATCH(N$1,[3]enemies!$1:$1,0)-MATCH($M$1,[3]enemies!$1:$1,0)+1,FALSE)</f>
        <v>贏政★６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4">
        <v>8</v>
      </c>
      <c r="U5" s="10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0</v>
      </c>
      <c r="V5" s="24">
        <v>1.1000000000000001</v>
      </c>
      <c r="W5" s="10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0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7">
        <v>58002010</v>
      </c>
      <c r="AA5" s="69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79"/>
  <sheetViews>
    <sheetView showGridLines="0" workbookViewId="0">
      <pane xSplit="5" ySplit="1" topLeftCell="F44" activePane="bottomRight" state="frozen"/>
      <selection pane="topRight"/>
      <selection pane="bottomLeft"/>
      <selection pane="bottomRight" activeCell="H47" sqref="H47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58002000_58002000</v>
      </c>
      <c r="B2" s="7">
        <v>58002000</v>
      </c>
      <c r="C2" s="7">
        <v>58002000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暴れちゃダメよ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4ターン全ユニットの攻撃力30%DOWN</v>
      </c>
      <c r="F2" s="7">
        <v>58002000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:A45" si="1">B3&amp;"_"&amp;C3</f>
        <v>58002000_58002001</v>
      </c>
      <c r="B3" s="7">
        <v>58002000</v>
      </c>
      <c r="C3" s="7">
        <v>58002001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医療ミス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4ターンユニット1体にウィルス+_x000D_単体攻撃</v>
      </c>
      <c r="F3" s="7">
        <v>58002001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3" s="46"/>
      <c r="Q3" s="46"/>
      <c r="R3" s="46"/>
    </row>
    <row r="4" spans="1:18" ht="21" customHeight="1" x14ac:dyDescent="0.15">
      <c r="A4" s="38" t="str">
        <f t="shared" si="1"/>
        <v>58002000_58002002</v>
      </c>
      <c r="B4" s="7">
        <v>58002000</v>
      </c>
      <c r="C4" s="7">
        <v>58002002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死者蘇生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ケンジを復活</v>
      </c>
      <c r="F4" s="7">
        <v>58002002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53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1"/>
        <v>58002001_58002005</v>
      </c>
      <c r="B5" s="7">
        <v>58002001</v>
      </c>
      <c r="C5" s="7">
        <v>58002005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石化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自身に防御力UP</v>
      </c>
      <c r="F5" s="7">
        <v>58002005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1"/>
        <v>58002001_58002007</v>
      </c>
      <c r="B6" s="7">
        <v>58002001</v>
      </c>
      <c r="C6" s="7">
        <v>58002007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ウィルスクラッシャー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6" s="7">
        <v>58002007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6"/>
      <c r="Q6" s="46"/>
      <c r="R6" s="46"/>
    </row>
    <row r="7" spans="1:18" ht="21" customHeight="1" x14ac:dyDescent="0.15">
      <c r="A7" s="38" t="str">
        <f t="shared" ref="A7" si="2">B7&amp;"_"&amp;C7</f>
        <v>58002001_58002008</v>
      </c>
      <c r="B7" s="7">
        <v>58002001</v>
      </c>
      <c r="C7" s="7">
        <v>58002008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エスケープ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逃走</v>
      </c>
      <c r="F7" s="7">
        <v>58002008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154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58002002_58002010</v>
      </c>
      <c r="B8" s="7">
        <v>58002002</v>
      </c>
      <c r="C8" s="7">
        <v>58002010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危ないことしちゃイヤよ？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5ターンCパネル無効</v>
      </c>
      <c r="F8" s="7">
        <v>58002010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7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1"/>
        <v>58002002_58002011</v>
      </c>
      <c r="B9" s="7">
        <v>58002002</v>
      </c>
      <c r="C9" s="7">
        <v>58002011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力が抜けちゃうでしょ？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1ターンCパネル生成延長（効果大）</v>
      </c>
      <c r="F9" s="7">
        <v>58002011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1"/>
        <v>58002002_58002012</v>
      </c>
      <c r="B10" s="7">
        <v>58002002</v>
      </c>
      <c r="C10" s="7">
        <v>58002012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身動き取れなくしてあげる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緑パネルをお邪魔パネルに変換</v>
      </c>
      <c r="F10" s="7">
        <v>58002012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tr">
        <f t="shared" si="1"/>
        <v>58002002_58002013</v>
      </c>
      <c r="B11" s="7">
        <v>58002002</v>
      </c>
      <c r="C11" s="7">
        <v>58002013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カラミティテンペスト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1" s="7">
        <v>58002013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ref="A12" si="3">B12&amp;"_"&amp;C12</f>
        <v>58002002_58002014</v>
      </c>
      <c r="B12" s="7">
        <v>58002002</v>
      </c>
      <c r="C12" s="7">
        <v>58002014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あなたはずっと私のもの…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Cパネル無効</v>
      </c>
      <c r="F12" s="7">
        <v>58002014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1"/>
        <v>58002003_58002020</v>
      </c>
      <c r="B13" s="7">
        <v>58002003</v>
      </c>
      <c r="C13" s="7">
        <v>58002020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石化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自身に防御力UP</v>
      </c>
      <c r="F13" s="7">
        <v>58002020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1"/>
        <v>58002003_58002021</v>
      </c>
      <c r="B14" s="7">
        <v>58002003</v>
      </c>
      <c r="C14" s="7">
        <v>58002021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石化感染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単体攻撃+_x000D_属性パネルをお邪魔パネルに2個変換</v>
      </c>
      <c r="F14" s="7">
        <v>58002021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46"/>
      <c r="Q14" s="46"/>
      <c r="R14" s="46"/>
    </row>
    <row r="15" spans="1:18" ht="21" customHeight="1" x14ac:dyDescent="0.15">
      <c r="A15" s="38" t="str">
        <f t="shared" si="1"/>
        <v>58002004_58002025</v>
      </c>
      <c r="B15" s="7">
        <v>58002004</v>
      </c>
      <c r="C15" s="7">
        <v>58002025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我に刃向かうとは愚かなり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状態異常耐性+防御力UP</v>
      </c>
      <c r="F15" s="7">
        <v>58002025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7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58002004_58002026</v>
      </c>
      <c r="B16" s="7">
        <v>58002004</v>
      </c>
      <c r="C16" s="7">
        <v>58002026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これで静まるがよい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3回連続攻撃+_x000D_属性パネルを時限式ダメージパネル3個変換</v>
      </c>
      <c r="F16" s="7">
        <v>58002026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" s="46"/>
      <c r="Q16" s="46"/>
      <c r="R16" s="46"/>
    </row>
    <row r="17" spans="1:18" ht="21" customHeight="1" x14ac:dyDescent="0.15">
      <c r="A17" s="38" t="str">
        <f t="shared" si="1"/>
        <v>58002004_58002027</v>
      </c>
      <c r="B17" s="7">
        <v>58002004</v>
      </c>
      <c r="C17" s="7">
        <v>58002027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手心は加えぬぞ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時限式ダメージパネルを吸収して全体攻撃</v>
      </c>
      <c r="F17" s="7">
        <v>58002027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58002004_58002028</v>
      </c>
      <c r="B18" s="7">
        <v>58002004</v>
      </c>
      <c r="C18" s="7">
        <v>58002028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攻めに転じよう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防御力DOWN+攻撃力50%UP</v>
      </c>
      <c r="F18" s="7">
        <v>58002028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61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58002004_58002029</v>
      </c>
      <c r="B19" s="7">
        <v>58002004</v>
      </c>
      <c r="C19" s="7">
        <v>58002029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せいぜい心折られぬようにな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自己回復</v>
      </c>
      <c r="F19" s="7">
        <v>58002029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si="1"/>
        <v>58002004_58002030</v>
      </c>
      <c r="B20" s="7">
        <v>58002004</v>
      </c>
      <c r="C20" s="7">
        <v>58002030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未熟…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20" s="7">
        <v>58002030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1"/>
        <v>58002004_58002031</v>
      </c>
      <c r="B21" s="7">
        <v>58002004</v>
      </c>
      <c r="C21" s="7">
        <v>58002031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これで終わらせよう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4回連続全体攻撃</v>
      </c>
      <c r="F21" s="7">
        <v>58002031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1"/>
        <v>58002005_58002035</v>
      </c>
      <c r="B22" s="7">
        <v>58002005</v>
      </c>
      <c r="C22" s="7">
        <v>58002035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自由にはさせぬぞ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状態異常耐性+_x000D_全パネルプロテクト</v>
      </c>
      <c r="F22" s="7">
        <v>58002035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7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1"/>
        <v>58002005_58002036</v>
      </c>
      <c r="B23" s="7">
        <v>58002005</v>
      </c>
      <c r="C23" s="7">
        <v>58002036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我が手を下すまでもない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3回連続攻撃+_x000D_属性パネルをダメージパネルに5個変換</v>
      </c>
      <c r="F23" s="7">
        <v>58002036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tr">
        <f t="shared" si="1"/>
        <v>58002005_58002037</v>
      </c>
      <c r="B24" s="7">
        <v>58002005</v>
      </c>
      <c r="C24" s="7">
        <v>58002037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覚悟せよ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24" s="7">
        <v>58002037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1"/>
        <v>58002005_58002038</v>
      </c>
      <c r="B25" s="7">
        <v>58002005</v>
      </c>
      <c r="C25" s="7">
        <v>58002038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油断せぬようにな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ハートパネルをプロテクト</v>
      </c>
      <c r="F25" s="7">
        <v>58002038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1"/>
        <v>58002005_58002039</v>
      </c>
      <c r="B26" s="7">
        <v>58002005</v>
      </c>
      <c r="C26" s="7">
        <v>58002039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命の芽を摘もうぞ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ハートパネルを吸収して攻撃力UP</v>
      </c>
      <c r="F26" s="7">
        <v>58002039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1" customHeight="1" x14ac:dyDescent="0.15">
      <c r="A27" s="38" t="str">
        <f t="shared" si="1"/>
        <v>58002005_58002040</v>
      </c>
      <c r="B27" s="7">
        <v>58002005</v>
      </c>
      <c r="C27" s="7">
        <v>58002040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我が生命が滾るぞ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自己回復</v>
      </c>
      <c r="F27" s="7">
        <v>58002040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si="1"/>
        <v>58002005_58002041</v>
      </c>
      <c r="B28" s="7">
        <v>58002005</v>
      </c>
      <c r="C28" s="7">
        <v>58002041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若輩にしてはよくもったな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28" s="7">
        <v>58002041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38" t="str">
        <f t="shared" si="1"/>
        <v>58002005_58002042</v>
      </c>
      <c r="B29" s="7">
        <v>58002005</v>
      </c>
      <c r="C29" s="7">
        <v>58002042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ここまでだ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4回連続全体攻撃</v>
      </c>
      <c r="F29" s="7">
        <v>58002042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si="1"/>
        <v>58002006_58002045</v>
      </c>
      <c r="B30" s="7">
        <v>58002006</v>
      </c>
      <c r="C30" s="7">
        <v>58002045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相手に取って不足はない…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0" s="7">
        <v>58002045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7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ht="21" customHeight="1" x14ac:dyDescent="0.15">
      <c r="A31" s="38" t="str">
        <f t="shared" si="1"/>
        <v>58002006_58002046</v>
      </c>
      <c r="B31" s="7">
        <v>58002006</v>
      </c>
      <c r="C31" s="7">
        <v>58002046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スリープブレス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1ターンユニット1体にスリープ+_x000D_単体攻撃</v>
      </c>
      <c r="F31" s="7">
        <v>58002046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1" s="46"/>
      <c r="Q31" s="46"/>
      <c r="R31" s="46"/>
    </row>
    <row r="32" spans="1:18" ht="21" customHeight="1" x14ac:dyDescent="0.15">
      <c r="A32" s="38" t="str">
        <f t="shared" si="1"/>
        <v>58002006_58002047</v>
      </c>
      <c r="B32" s="7">
        <v>58002006</v>
      </c>
      <c r="C32" s="7">
        <v>58002047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（巨体から熱気が立ち上る）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6ターン赤パネルドロップ率UP</v>
      </c>
      <c r="F32" s="7">
        <v>58002047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si="1"/>
        <v>58002006_58002048</v>
      </c>
      <c r="B33" s="7">
        <v>58002006</v>
      </c>
      <c r="C33" s="7">
        <v>58002048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暑苦しいのは苦手でな…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赤パネルをプロテクト</v>
      </c>
      <c r="F33" s="7">
        <v>58002048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si="1"/>
        <v>58002006_58002051</v>
      </c>
      <c r="B34" s="7">
        <v>58002006</v>
      </c>
      <c r="C34" s="7">
        <v>58002051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（力を溜めている）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34" s="7">
        <v>58002051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si="1"/>
        <v>58002006_58002052</v>
      </c>
      <c r="B35" s="7">
        <v>58002006</v>
      </c>
      <c r="C35" s="7">
        <v>58002052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龍神乱舞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4回連続全体攻撃</v>
      </c>
      <c r="F35" s="7">
        <v>58002052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ref="A36:A37" si="4">B36&amp;"_"&amp;C36</f>
        <v>58002006_58002053</v>
      </c>
      <c r="B36" s="7">
        <v>58002006</v>
      </c>
      <c r="C36" s="7">
        <v>58002053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もう少し遊んでやろう…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単体攻撃_x000D_【次のターン緑パネルをダメージパネルに変換してドロップ】</v>
      </c>
      <c r="F36" s="7">
        <v>58002053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143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ht="21" customHeight="1" x14ac:dyDescent="0.15">
      <c r="A37" s="38" t="str">
        <f t="shared" si="4"/>
        <v>58002006_58002054</v>
      </c>
      <c r="B37" s="7">
        <v>58002006</v>
      </c>
      <c r="C37" s="7">
        <v>58002054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割れると痛いぞ…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1ターン緑パネルをダメージパネルにしてドロップ</v>
      </c>
      <c r="F37" s="7">
        <v>58002054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145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38" t="str">
        <f t="shared" si="1"/>
        <v>58002007_58002055</v>
      </c>
      <c r="B38" s="7">
        <v>58002007</v>
      </c>
      <c r="C38" s="7">
        <v>58002055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我も本気を出そう…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8" s="7">
        <v>58002055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7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ht="21" customHeight="1" x14ac:dyDescent="0.15">
      <c r="A39" s="38" t="str">
        <f t="shared" si="1"/>
        <v>58002007_58002056</v>
      </c>
      <c r="B39" s="7">
        <v>58002007</v>
      </c>
      <c r="C39" s="7">
        <v>58002056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少しおとなしくしてもらおう…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1ターンユニット1体にスキルバインド+_x000D_単体攻撃</v>
      </c>
      <c r="F39" s="7">
        <v>58002056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9" s="46"/>
      <c r="Q39" s="46"/>
      <c r="R39" s="46"/>
    </row>
    <row r="40" spans="1:18" ht="21" customHeight="1" x14ac:dyDescent="0.15">
      <c r="A40" s="38" t="str">
        <f t="shared" si="1"/>
        <v>58002007_58002057</v>
      </c>
      <c r="B40" s="7">
        <v>58002007</v>
      </c>
      <c r="C40" s="7">
        <v>58002057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（巨体から熱気が立ち上る）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3ターン赤パネルドロップ率UP+_x000D_単体攻撃</v>
      </c>
      <c r="F40" s="7">
        <v>58002057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0" s="47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7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ht="21" customHeight="1" x14ac:dyDescent="0.15">
      <c r="A41" s="38" t="str">
        <f t="shared" si="1"/>
        <v>58002007_58002058</v>
      </c>
      <c r="B41" s="7">
        <v>58002007</v>
      </c>
      <c r="C41" s="7">
        <v>58002058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これで動けまい…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赤パネルをお邪魔パネルに変換+_x000D_単体攻撃</v>
      </c>
      <c r="F41" s="7">
        <v>58002058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1" s="47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7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6"/>
      <c r="R41" s="46"/>
    </row>
    <row r="42" spans="1:18" ht="21" customHeight="1" x14ac:dyDescent="0.15">
      <c r="A42" s="38" t="str">
        <f t="shared" si="1"/>
        <v>58002007_58002059</v>
      </c>
      <c r="B42" s="7">
        <v>58002007</v>
      </c>
      <c r="C42" s="7">
        <v>58002059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この力を受け止められるか…？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お邪魔パネルを吸収して攻撃力UP</v>
      </c>
      <c r="F42" s="7">
        <v>58002059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7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ht="21" customHeight="1" x14ac:dyDescent="0.15">
      <c r="A43" s="38" t="str">
        <f t="shared" ref="A43" si="5">B43&amp;"_"&amp;C43</f>
        <v>58002007_58002060</v>
      </c>
      <c r="B43" s="7">
        <v>58002007</v>
      </c>
      <c r="C43" s="7">
        <v>58002060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これに耐えられるか…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43" s="7">
        <v>58002060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7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46"/>
    </row>
    <row r="44" spans="1:18" ht="21" customHeight="1" x14ac:dyDescent="0.15">
      <c r="A44" s="38" t="str">
        <f t="shared" si="1"/>
        <v>58002007_58002061</v>
      </c>
      <c r="B44" s="7">
        <v>58002007</v>
      </c>
      <c r="C44" s="7">
        <v>58002061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（力を溜めている）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44" s="7">
        <v>58002061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7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ht="21" customHeight="1" x14ac:dyDescent="0.15">
      <c r="A45" s="38" t="str">
        <f t="shared" si="1"/>
        <v>58002007_58002062</v>
      </c>
      <c r="B45" s="7">
        <v>58002007</v>
      </c>
      <c r="C45" s="7">
        <v>58002062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龍神乱舞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4回連続全体攻撃</v>
      </c>
      <c r="F45" s="7">
        <v>58002062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7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ht="21" customHeight="1" x14ac:dyDescent="0.15">
      <c r="A46" s="38" t="str">
        <f t="shared" ref="A46:A74" si="6">B46&amp;"_"&amp;C46</f>
        <v>58002008_58002065</v>
      </c>
      <c r="B46" s="7">
        <v>58002008</v>
      </c>
      <c r="C46" s="7">
        <v>58002065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朕の前に立つことを許そう…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状態異常耐性+_x000D_防御力UP</v>
      </c>
      <c r="F46" s="7">
        <v>58002065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7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ht="21" customHeight="1" x14ac:dyDescent="0.15">
      <c r="A47" s="38" t="str">
        <f t="shared" ref="A47:A49" si="7">B47&amp;"_"&amp;C47</f>
        <v>58002008_58002066</v>
      </c>
      <c r="B47" s="7">
        <v>58002008</v>
      </c>
      <c r="C47" s="7">
        <v>58002066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礼教学部の設立者か…！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状態異常耐性+_x000D_防御力UP（孔子特殊セリフ）</v>
      </c>
      <c r="F47" s="7">
        <v>58002066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7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8113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6"/>
      <c r="R47" s="46"/>
    </row>
    <row r="48" spans="1:18" ht="21" customHeight="1" x14ac:dyDescent="0.15">
      <c r="A48" s="38" t="str">
        <f t="shared" si="7"/>
        <v>58002008_58002067</v>
      </c>
      <c r="B48" s="7">
        <v>58002008</v>
      </c>
      <c r="C48" s="7">
        <v>58002067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天下の梟雄か…よかろう、かかってこい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状態異常耐性+_x000D_防御力UP（曹操特殊セリフ）</v>
      </c>
      <c r="F48" s="7">
        <v>58002067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149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8083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/>
      <c r="Q48" s="46"/>
      <c r="R48" s="46"/>
    </row>
    <row r="49" spans="1:18" ht="21" customHeight="1" x14ac:dyDescent="0.15">
      <c r="A49" s="38" t="str">
        <f t="shared" si="7"/>
        <v>58002008_58002068</v>
      </c>
      <c r="B49" s="7">
        <v>58002008</v>
      </c>
      <c r="C49" s="7">
        <v>58002068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聖なる獣か...ペットにしては最適だな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状態異常耐性+_x000D_防御力UP（麒麟特殊セリフ）</v>
      </c>
      <c r="F49" s="7">
        <v>58002068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148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432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6"/>
      <c r="R49" s="46"/>
    </row>
    <row r="50" spans="1:18" ht="21" customHeight="1" x14ac:dyDescent="0.15">
      <c r="A50" s="38" t="str">
        <f t="shared" si="6"/>
        <v>58002008_58002069</v>
      </c>
      <c r="B50" s="7">
        <v>58002008</v>
      </c>
      <c r="C50" s="7">
        <v>58002069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未熟だな…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50" s="7">
        <v>58002069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7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/>
      <c r="Q50" s="46"/>
      <c r="R50" s="46"/>
    </row>
    <row r="51" spans="1:18" ht="21" customHeight="1" x14ac:dyDescent="0.15">
      <c r="A51" s="38" t="str">
        <f t="shared" si="6"/>
        <v>58002008_58002070</v>
      </c>
      <c r="B51" s="7">
        <v>58002008</v>
      </c>
      <c r="C51" s="7">
        <v>58002070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朕の前より立ち去るがいい！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4回連続全体攻撃</v>
      </c>
      <c r="F51" s="7">
        <v>58002070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7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/>
      <c r="Q51" s="46"/>
      <c r="R51" s="46"/>
    </row>
    <row r="52" spans="1:18" ht="21" customHeight="1" x14ac:dyDescent="0.15">
      <c r="A52" s="38" t="str">
        <f t="shared" si="6"/>
        <v>58002008_58002071</v>
      </c>
      <c r="B52" s="7">
        <v>58002008</v>
      </c>
      <c r="C52" s="7">
        <v>58002071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ふむ…朕に傷をつけるとはな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防御力DOWN+_x000D_攻撃力50%UP</v>
      </c>
      <c r="F52" s="7">
        <v>58002071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61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7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/>
      <c r="Q52" s="46"/>
      <c r="R52" s="46"/>
    </row>
    <row r="53" spans="1:18" ht="21" customHeight="1" x14ac:dyDescent="0.15">
      <c r="A53" s="38" t="str">
        <f t="shared" si="6"/>
        <v>58002008_58002072</v>
      </c>
      <c r="B53" s="7">
        <v>58002008</v>
      </c>
      <c r="C53" s="7">
        <v>58002072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三叉斬撃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特定エリアを赤パネルに変換+_x000D_3回連続攻撃</v>
      </c>
      <c r="F53" s="7">
        <v>58002072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53" s="47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53" s="46"/>
      <c r="Q53" s="46"/>
      <c r="R53" s="46"/>
    </row>
    <row r="54" spans="1:18" ht="21" customHeight="1" x14ac:dyDescent="0.15">
      <c r="A54" s="38" t="str">
        <f t="shared" si="6"/>
        <v>58002008_58002073</v>
      </c>
      <c r="B54" s="7">
        <v>58002008</v>
      </c>
      <c r="C54" s="7">
        <v>58002073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赤色封印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赤パネルをプロテクト+_x000D_単体攻撃</v>
      </c>
      <c r="F54" s="7">
        <v>58002073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4" s="47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4" s="46"/>
      <c r="Q54" s="46"/>
      <c r="R54" s="46"/>
    </row>
    <row r="55" spans="1:18" ht="21" customHeight="1" x14ac:dyDescent="0.15">
      <c r="A55" s="38" t="str">
        <f t="shared" si="6"/>
        <v>58002009_58002080</v>
      </c>
      <c r="B55" s="7">
        <v>58002009</v>
      </c>
      <c r="C55" s="7">
        <v>58002080</v>
      </c>
      <c r="D55" s="4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ハハハッ、相手になってやろう！</v>
      </c>
      <c r="E55" s="4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状態異常耐性+_x000D_5ターンCパネル無効+_x000D_5ターンCパネル生成延長</v>
      </c>
      <c r="F55" s="7">
        <v>58002080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7" t="str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6"/>
      <c r="Q55" s="46"/>
      <c r="R55" s="46"/>
    </row>
    <row r="56" spans="1:18" ht="21" customHeight="1" x14ac:dyDescent="0.15">
      <c r="A56" s="38" t="str">
        <f t="shared" si="6"/>
        <v>58002009_58002081</v>
      </c>
      <c r="B56" s="7">
        <v>58002009</v>
      </c>
      <c r="C56" s="7">
        <v>58002081</v>
      </c>
      <c r="D56" s="4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三叉斬撃</v>
      </c>
      <c r="E56" s="4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特定エリアを赤パネルに変換+_x000D_3回連続攻撃</v>
      </c>
      <c r="F56" s="7">
        <v>58002081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56" s="47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56" s="46"/>
      <c r="Q56" s="46"/>
      <c r="R56" s="46"/>
    </row>
    <row r="57" spans="1:18" ht="21" customHeight="1" x14ac:dyDescent="0.15">
      <c r="A57" s="38" t="str">
        <f t="shared" si="6"/>
        <v>58002009_58002082</v>
      </c>
      <c r="B57" s="7">
        <v>58002009</v>
      </c>
      <c r="C57" s="7">
        <v>58002082</v>
      </c>
      <c r="D57" s="45" t="str">
        <f ca="1">VLOOKUP($C57,OFFSET(enemy_skills!$A$1,0,0,COUNTA(enemy_skills!$A:$A),MATCH(D$1,enemy_skills!$1:$1,0)-MATCH("enemy_skill_id",enemy_skills!$1:$1,0)+1),MATCH(D$1,enemy_skills!$1:$1,0)-MATCH("enemy_skill_id",enemy_skills!$1:$1,0)+1,FALSE)</f>
        <v>赤色封印</v>
      </c>
      <c r="E57" s="45" t="str">
        <f ca="1">VLOOKUP($C57,OFFSET(enemy_skills!$A$1,0,0,COUNTA(enemy_skills!$A:$A),MATCH(E$1,enemy_skills!$1:$1,0)-MATCH("enemy_skill_id",enemy_skills!$1:$1,0)+1),MATCH(E$1,enemy_skills!$1:$1,0)-MATCH("enemy_skill_id",enemy_skills!$1:$1,0)+1,FALSE)</f>
        <v>赤パネルをプロテクト+_x000D_単体攻撃</v>
      </c>
      <c r="F57" s="7">
        <v>58002082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7" s="47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7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7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7" s="46"/>
      <c r="Q57" s="46"/>
      <c r="R57" s="46"/>
    </row>
    <row r="58" spans="1:18" ht="21" customHeight="1" x14ac:dyDescent="0.15">
      <c r="A58" s="38" t="str">
        <f t="shared" si="6"/>
        <v>58002009_58002083</v>
      </c>
      <c r="B58" s="7">
        <v>58002009</v>
      </c>
      <c r="C58" s="7">
        <v>58002083</v>
      </c>
      <c r="D58" s="4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フフ…どうだ、美しいだろう</v>
      </c>
      <c r="E58" s="4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特定のエリアをパネル変換</v>
      </c>
      <c r="F58" s="7">
        <v>58002083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7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7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7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6"/>
      <c r="Q58" s="46"/>
      <c r="R58" s="46"/>
    </row>
    <row r="59" spans="1:18" ht="21" customHeight="1" x14ac:dyDescent="0.15">
      <c r="A59" s="38" t="str">
        <f t="shared" si="6"/>
        <v>58002009_58002084</v>
      </c>
      <c r="B59" s="7">
        <v>58002009</v>
      </c>
      <c r="C59" s="7">
        <v>58002084</v>
      </c>
      <c r="D59" s="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朕の前に消え去るが良い</v>
      </c>
      <c r="E59" s="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59" s="7">
        <v>58002084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7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7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7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6"/>
      <c r="R59" s="46"/>
    </row>
    <row r="60" spans="1:18" ht="21" customHeight="1" x14ac:dyDescent="0.15">
      <c r="A60" s="38" t="str">
        <f t="shared" si="6"/>
        <v>58002009_58002085</v>
      </c>
      <c r="B60" s="7">
        <v>58002009</v>
      </c>
      <c r="C60" s="7">
        <v>58002085</v>
      </c>
      <c r="D60" s="45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ここまでよくもったと言っておこう</v>
      </c>
      <c r="E60" s="45" t="str">
        <f ca="1">VLOOKUP($C60,OFFSET(enemy_skills!$A$1,0,0,COUNTA(enemy_skills!$A:$A),MATCH(E$1,enemy_skills!$1:$1,0)-MATCH("enemy_skill_id",enemy_skills!$1:$1,0)+1),MATCH(E$1,enemy_skills!$1:$1,0)-MATCH("enemy_skill_id",enemy_skills!$1:$1,0)+1,FALSE)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60" s="7">
        <v>58002085</v>
      </c>
      <c r="G60" s="47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7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60" s="4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7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7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7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7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60" s="47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6"/>
      <c r="Q60" s="46"/>
      <c r="R60" s="46"/>
    </row>
    <row r="61" spans="1:18" ht="21" customHeight="1" x14ac:dyDescent="0.15">
      <c r="A61" s="38" t="str">
        <f t="shared" si="6"/>
        <v>58002009_58002086</v>
      </c>
      <c r="B61" s="7">
        <v>58002009</v>
      </c>
      <c r="C61" s="7">
        <v>58002086</v>
      </c>
      <c r="D61" s="45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これで終わりだ！去れっ！</v>
      </c>
      <c r="E61" s="45" t="str">
        <f ca="1">VLOOKUP($C61,OFFSET(enemy_skills!$A$1,0,0,COUNTA(enemy_skills!$A:$A),MATCH(E$1,enemy_skills!$1:$1,0)-MATCH("enemy_skill_id",enemy_skills!$1:$1,0)+1),MATCH(E$1,enemy_skills!$1:$1,0)-MATCH("enemy_skill_id",enemy_skills!$1:$1,0)+1,FALSE)</f>
        <v>4回連続全体攻撃</v>
      </c>
      <c r="F61" s="7">
        <v>58002086</v>
      </c>
      <c r="G61" s="47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7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61" s="47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7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7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7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7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61" s="47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7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6"/>
      <c r="Q61" s="46"/>
      <c r="R61" s="46"/>
    </row>
    <row r="62" spans="1:18" ht="21" customHeight="1" x14ac:dyDescent="0.15">
      <c r="A62" s="38" t="str">
        <f t="shared" si="6"/>
        <v>58002010_58002095</v>
      </c>
      <c r="B62" s="7">
        <v>58002010</v>
      </c>
      <c r="C62" s="7">
        <v>58002095</v>
      </c>
      <c r="D62" s="45" t="str">
        <f ca="1">VLOOKUP($C62,OFFSET(enemy_skills!$A$1,0,0,COUNTA(enemy_skills!$A:$A),MATCH(D$1,enemy_skills!$1:$1,0)-MATCH("enemy_skill_id",enemy_skills!$1:$1,0)+1),MATCH(D$1,enemy_skills!$1:$1,0)-MATCH("enemy_skill_id",enemy_skills!$1:$1,0)+1,FALSE)</f>
        <v>朕がここまで追い詰められるとはな…</v>
      </c>
      <c r="E62" s="45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2" s="7">
        <v>58002095</v>
      </c>
      <c r="G62" s="47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7" t="str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2" s="47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7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7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7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7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7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7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6"/>
      <c r="Q62" s="46"/>
      <c r="R62" s="46"/>
    </row>
    <row r="63" spans="1:18" ht="21" customHeight="1" x14ac:dyDescent="0.15">
      <c r="A63" s="38" t="str">
        <f t="shared" si="6"/>
        <v>58002010_58002096</v>
      </c>
      <c r="B63" s="7">
        <v>58002010</v>
      </c>
      <c r="C63" s="7">
        <v>58002096</v>
      </c>
      <c r="D63" s="45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これが皇帝の力だ！</v>
      </c>
      <c r="E63" s="45" t="str">
        <f ca="1">VLOOKUP($C63,OFFSET(enemy_skills!$A$1,0,0,COUNTA(enemy_skills!$A:$A),MATCH(E$1,enemy_skills!$1:$1,0)-MATCH("enemy_skill_id",enemy_skills!$1:$1,0)+1),MATCH(E$1,enemy_skills!$1:$1,0)-MATCH("enemy_skill_id",enemy_skills!$1:$1,0)+1,FALSE)</f>
        <v>攻撃力50%UP+_x000D_全ユニットの攻撃力30%DOWN_x000D_【次のターン黄パネルを吸収する程ダメージがDOWNする攻撃】</v>
      </c>
      <c r="F63" s="7">
        <v>58002096</v>
      </c>
      <c r="G63" s="47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7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63" s="47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7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7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7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7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3" s="47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7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6"/>
      <c r="Q63" s="46"/>
      <c r="R63" s="46"/>
    </row>
    <row r="64" spans="1:18" ht="21" customHeight="1" x14ac:dyDescent="0.15">
      <c r="A64" s="38" t="str">
        <f t="shared" si="6"/>
        <v>58002010_58002097</v>
      </c>
      <c r="B64" s="7">
        <v>58002010</v>
      </c>
      <c r="C64" s="7">
        <v>58002097</v>
      </c>
      <c r="D64" s="45" t="str">
        <f ca="1">VLOOKUP($C64,OFFSET(enemy_skills!$A$1,0,0,COUNTA(enemy_skills!$A:$A),MATCH(D$1,enemy_skills!$1:$1,0)-MATCH("enemy_skill_id",enemy_skills!$1:$1,0)+1),MATCH(D$1,enemy_skills!$1:$1,0)-MATCH("enemy_skill_id",enemy_skills!$1:$1,0)+1,FALSE)</f>
        <v>三叉斬撃</v>
      </c>
      <c r="E64" s="45" t="str">
        <f ca="1">VLOOKUP($C64,OFFSET(enemy_skills!$A$1,0,0,COUNTA(enemy_skills!$A:$A),MATCH(E$1,enemy_skills!$1:$1,0)-MATCH("enemy_skill_id",enemy_skills!$1:$1,0)+1),MATCH(E$1,enemy_skills!$1:$1,0)-MATCH("enemy_skill_id",enemy_skills!$1:$1,0)+1,FALSE)</f>
        <v>特定エリアを赤パネルに変換+_x000D_3回連続攻撃</v>
      </c>
      <c r="F64" s="7">
        <v>58002097</v>
      </c>
      <c r="G64" s="47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7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4" s="47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64" s="47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7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7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47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7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7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64" s="46"/>
      <c r="Q64" s="46"/>
      <c r="R64" s="46"/>
    </row>
    <row r="65" spans="1:18" ht="21" customHeight="1" x14ac:dyDescent="0.15">
      <c r="A65" s="38" t="str">
        <f t="shared" si="6"/>
        <v>58002010_58002098</v>
      </c>
      <c r="B65" s="7">
        <v>58002010</v>
      </c>
      <c r="C65" s="7">
        <v>58002098</v>
      </c>
      <c r="D65" s="45" t="str">
        <f ca="1">VLOOKUP($C65,OFFSET(enemy_skills!$A$1,0,0,COUNTA(enemy_skills!$A:$A),MATCH(D$1,enemy_skills!$1:$1,0)-MATCH("enemy_skill_id",enemy_skills!$1:$1,0)+1),MATCH(D$1,enemy_skills!$1:$1,0)-MATCH("enemy_skill_id",enemy_skills!$1:$1,0)+1,FALSE)</f>
        <v>赤色封印</v>
      </c>
      <c r="E65" s="45" t="str">
        <f ca="1">VLOOKUP($C65,OFFSET(enemy_skills!$A$1,0,0,COUNTA(enemy_skills!$A:$A),MATCH(E$1,enemy_skills!$1:$1,0)-MATCH("enemy_skill_id",enemy_skills!$1:$1,0)+1),MATCH(E$1,enemy_skills!$1:$1,0)-MATCH("enemy_skill_id",enemy_skills!$1:$1,0)+1,FALSE)</f>
        <v>赤パネルをプロテクト+_x000D_単体攻撃</v>
      </c>
      <c r="F65" s="7">
        <v>58002098</v>
      </c>
      <c r="G65" s="47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7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5" s="47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5" s="47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7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7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47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7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7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5" s="46"/>
      <c r="Q65" s="46"/>
      <c r="R65" s="46"/>
    </row>
    <row r="66" spans="1:18" ht="21" customHeight="1" x14ac:dyDescent="0.15">
      <c r="A66" s="38" t="str">
        <f t="shared" si="6"/>
        <v>58002010_58002099</v>
      </c>
      <c r="B66" s="7">
        <v>58002010</v>
      </c>
      <c r="C66" s="7">
        <v>58002099</v>
      </c>
      <c r="D66" s="45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これが我が勢力の証…</v>
      </c>
      <c r="E66" s="45" t="str">
        <f ca="1">VLOOKUP($C66,OFFSET(enemy_skills!$A$1,0,0,COUNTA(enemy_skills!$A:$A),MATCH(E$1,enemy_skills!$1:$1,0)-MATCH("enemy_skill_id",enemy_skills!$1:$1,0)+1),MATCH(E$1,enemy_skills!$1:$1,0)-MATCH("enemy_skill_id",enemy_skills!$1:$1,0)+1,FALSE)</f>
        <v>特定エリアをお邪魔パネルに変換</v>
      </c>
      <c r="F66" s="7">
        <v>58002099</v>
      </c>
      <c r="G66" s="47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7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66" s="47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7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6" s="47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7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7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7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7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6"/>
      <c r="Q66" s="46"/>
      <c r="R66" s="46"/>
    </row>
    <row r="67" spans="1:18" ht="21" customHeight="1" x14ac:dyDescent="0.15">
      <c r="A67" s="38" t="str">
        <f t="shared" si="6"/>
        <v>58002010_58002100</v>
      </c>
      <c r="B67" s="7">
        <v>58002010</v>
      </c>
      <c r="C67" s="7">
        <v>58002100</v>
      </c>
      <c r="D67" s="45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その首、貰い受ける！</v>
      </c>
      <c r="E67" s="45" t="str">
        <f ca="1">VLOOKUP($C67,OFFSET(enemy_skills!$A$1,0,0,COUNTA(enemy_skills!$A:$A),MATCH(E$1,enemy_skills!$1:$1,0)-MATCH("enemy_skill_id",enemy_skills!$1:$1,0)+1),MATCH(E$1,enemy_skills!$1:$1,0)-MATCH("enemy_skill_id",enemy_skills!$1:$1,0)+1,FALSE)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67" s="7">
        <v>58002100</v>
      </c>
      <c r="G67" s="47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7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67" s="47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7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7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7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7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67" s="47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7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6"/>
      <c r="Q67" s="46"/>
      <c r="R67" s="46"/>
    </row>
    <row r="68" spans="1:18" ht="21" customHeight="1" x14ac:dyDescent="0.15">
      <c r="A68" s="38" t="str">
        <f t="shared" si="6"/>
        <v>58002010_58002101</v>
      </c>
      <c r="B68" s="7">
        <v>58002010</v>
      </c>
      <c r="C68" s="7">
        <v>58002101</v>
      </c>
      <c r="D68" s="45" t="str">
        <f ca="1">VLOOKUP($C68,OFFSET(enemy_skills!$A$1,0,0,COUNTA(enemy_skills!$A:$A),MATCH(D$1,enemy_skills!$1:$1,0)-MATCH("enemy_skill_id",enemy_skills!$1:$1,0)+1),MATCH(D$1,enemy_skills!$1:$1,0)-MATCH("enemy_skill_id",enemy_skills!$1:$1,0)+1,FALSE)</f>
        <v>朕の天下は安泰だな…！</v>
      </c>
      <c r="E68" s="45" t="str">
        <f ca="1">VLOOKUP($C68,OFFSET(enemy_skills!$A$1,0,0,COUNTA(enemy_skills!$A:$A),MATCH(E$1,enemy_skills!$1:$1,0)-MATCH("enemy_skill_id",enemy_skills!$1:$1,0)+1),MATCH(E$1,enemy_skills!$1:$1,0)-MATCH("enemy_skill_id",enemy_skills!$1:$1,0)+1,FALSE)</f>
        <v>4回連続全体攻撃</v>
      </c>
      <c r="F68" s="7">
        <v>58002101</v>
      </c>
      <c r="G68" s="47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7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68" s="47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7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7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7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7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68" s="47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7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6"/>
      <c r="Q68" s="46"/>
      <c r="R68" s="46"/>
    </row>
    <row r="69" spans="1:18" ht="21" customHeight="1" x14ac:dyDescent="0.15">
      <c r="A69" s="38" t="str">
        <f t="shared" si="6"/>
        <v>58002010_58002102</v>
      </c>
      <c r="B69" s="7">
        <v>58002010</v>
      </c>
      <c r="C69" s="7">
        <v>58002102</v>
      </c>
      <c r="D69" s="45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ぐっ…まだだ、まだ終わらせぬ…</v>
      </c>
      <c r="E69" s="45" t="str">
        <f ca="1">VLOOKUP($C69,OFFSET(enemy_skills!$A$1,0,0,COUNTA(enemy_skills!$A:$A),MATCH(E$1,enemy_skills!$1:$1,0)-MATCH("enemy_skill_id",enemy_skills!$1:$1,0)+1),MATCH(E$1,enemy_skills!$1:$1,0)-MATCH("enemy_skill_id",enemy_skills!$1:$1,0)+1,FALSE)</f>
        <v>何度でも相見えようぞ…！（孔子）</v>
      </c>
      <c r="F69" s="7">
        <v>58002102</v>
      </c>
      <c r="G69" s="47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7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199</v>
      </c>
      <c r="I69" s="47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7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7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7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7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7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8113</v>
      </c>
      <c r="O69" s="47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6"/>
      <c r="Q69" s="46"/>
      <c r="R69" s="46"/>
    </row>
    <row r="70" spans="1:18" ht="21" customHeight="1" x14ac:dyDescent="0.15">
      <c r="A70" s="38" t="str">
        <f t="shared" si="6"/>
        <v>58002010_58002103</v>
      </c>
      <c r="B70" s="7">
        <v>58002010</v>
      </c>
      <c r="C70" s="7">
        <v>58002103</v>
      </c>
      <c r="D70" s="45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ぐっ…まだだ、まだ終わらせぬ…</v>
      </c>
      <c r="E70" s="45" t="str">
        <f ca="1">VLOOKUP($C70,OFFSET(enemy_skills!$A$1,0,0,COUNTA(enemy_skills!$A:$A),MATCH(E$1,enemy_skills!$1:$1,0)-MATCH("enemy_skill_id",enemy_skills!$1:$1,0)+1),MATCH(E$1,enemy_skills!$1:$1,0)-MATCH("enemy_skill_id",enemy_skills!$1:$1,0)+1,FALSE)</f>
        <v>何度でも相見えようぞ…！（孔子）</v>
      </c>
      <c r="F70" s="7">
        <v>58002103</v>
      </c>
      <c r="G70" s="47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7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70" s="47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7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7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7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0" s="47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7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8114</v>
      </c>
      <c r="O70" s="47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6"/>
      <c r="Q70" s="46"/>
      <c r="R70" s="46"/>
    </row>
    <row r="71" spans="1:18" ht="21" customHeight="1" x14ac:dyDescent="0.15">
      <c r="A71" s="38" t="str">
        <f t="shared" si="6"/>
        <v>58002010_58002104</v>
      </c>
      <c r="B71" s="7">
        <v>58002010</v>
      </c>
      <c r="C71" s="7">
        <v>58002104</v>
      </c>
      <c r="D71" s="45" t="str">
        <f ca="1">VLOOKUP($C71,OFFSET(enemy_skills!$A$1,0,0,COUNTA(enemy_skills!$A:$A),MATCH(D$1,enemy_skills!$1:$1,0)-MATCH("enemy_skill_id",enemy_skills!$1:$1,0)+1),MATCH(D$1,enemy_skills!$1:$1,0)-MATCH("enemy_skill_id",enemy_skills!$1:$1,0)+1,FALSE)</f>
        <v>今は引こう…だが…！</v>
      </c>
      <c r="E71" s="45" t="str">
        <f ca="1">VLOOKUP($C71,OFFSET(enemy_skills!$A$1,0,0,COUNTA(enemy_skills!$A:$A),MATCH(E$1,enemy_skills!$1:$1,0)-MATCH("enemy_skill_id",enemy_skills!$1:$1,0)+1),MATCH(E$1,enemy_skills!$1:$1,0)-MATCH("enemy_skill_id",enemy_skills!$1:$1,0)+1,FALSE)</f>
        <v>何度でも歴史は繰り返す…（曹操）</v>
      </c>
      <c r="F71" s="7">
        <v>58002104</v>
      </c>
      <c r="G71" s="47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7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197</v>
      </c>
      <c r="I71" s="47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7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7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7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1" s="47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7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8083</v>
      </c>
      <c r="O71" s="47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6"/>
      <c r="Q71" s="46"/>
      <c r="R71" s="46"/>
    </row>
    <row r="72" spans="1:18" ht="21" customHeight="1" x14ac:dyDescent="0.15">
      <c r="A72" s="38" t="str">
        <f t="shared" si="6"/>
        <v>58002010_58002105</v>
      </c>
      <c r="B72" s="7">
        <v>58002010</v>
      </c>
      <c r="C72" s="7">
        <v>58002105</v>
      </c>
      <c r="D72" s="45" t="str">
        <f ca="1">VLOOKUP($C72,OFFSET(enemy_skills!$A$1,0,0,COUNTA(enemy_skills!$A:$A),MATCH(D$1,enemy_skills!$1:$1,0)-MATCH("enemy_skill_id",enemy_skills!$1:$1,0)+1),MATCH(D$1,enemy_skills!$1:$1,0)-MATCH("enemy_skill_id",enemy_skills!$1:$1,0)+1,FALSE)</f>
        <v>今は引こう…だが…！</v>
      </c>
      <c r="E72" s="45" t="str">
        <f ca="1">VLOOKUP($C72,OFFSET(enemy_skills!$A$1,0,0,COUNTA(enemy_skills!$A:$A),MATCH(E$1,enemy_skills!$1:$1,0)-MATCH("enemy_skill_id",enemy_skills!$1:$1,0)+1),MATCH(E$1,enemy_skills!$1:$1,0)-MATCH("enemy_skill_id",enemy_skills!$1:$1,0)+1,FALSE)</f>
        <v>何度でも歴史は繰り返す…（曹操）</v>
      </c>
      <c r="F72" s="7">
        <v>58002105</v>
      </c>
      <c r="G72" s="47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7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198</v>
      </c>
      <c r="I72" s="47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7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7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7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2" s="47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7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8084</v>
      </c>
      <c r="O72" s="47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6"/>
      <c r="Q72" s="46"/>
      <c r="R72" s="46"/>
    </row>
    <row r="73" spans="1:18" ht="21" customHeight="1" x14ac:dyDescent="0.15">
      <c r="A73" s="38" t="str">
        <f t="shared" si="6"/>
        <v>58002010_58002106</v>
      </c>
      <c r="B73" s="7">
        <v>58002010</v>
      </c>
      <c r="C73" s="7">
        <v>58002106</v>
      </c>
      <c r="D73" s="45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これが神の獣の力…</v>
      </c>
      <c r="E73" s="45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いつか…朕も神となろう…（麒麟）</v>
      </c>
      <c r="F73" s="7">
        <v>58002106</v>
      </c>
      <c r="G73" s="47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7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193</v>
      </c>
      <c r="I73" s="47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7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7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7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" s="47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7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432</v>
      </c>
      <c r="O73" s="47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6"/>
      <c r="Q73" s="46"/>
      <c r="R73" s="46"/>
    </row>
    <row r="74" spans="1:18" ht="21" customHeight="1" x14ac:dyDescent="0.15">
      <c r="A74" s="38" t="str">
        <f t="shared" si="6"/>
        <v>58002010_58002107</v>
      </c>
      <c r="B74" s="7">
        <v>58002010</v>
      </c>
      <c r="C74" s="7">
        <v>58002107</v>
      </c>
      <c r="D74" s="45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これが神の獣の力…</v>
      </c>
      <c r="E74" s="45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いつか…朕も神となろう…（麒麟）</v>
      </c>
      <c r="F74" s="7">
        <v>58002107</v>
      </c>
      <c r="G74" s="47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7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194</v>
      </c>
      <c r="I74" s="47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7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7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7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" s="47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7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433</v>
      </c>
      <c r="O74" s="47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6"/>
      <c r="Q74" s="46"/>
      <c r="R74" s="46"/>
    </row>
    <row r="75" spans="1:18" ht="21" customHeight="1" x14ac:dyDescent="0.15">
      <c r="A75" s="38" t="str">
        <f t="shared" ref="A75" si="8">B75&amp;"_"&amp;C75</f>
        <v>58002010_58002108</v>
      </c>
      <c r="B75" s="7">
        <v>58002010</v>
      </c>
      <c r="C75" s="7">
        <v>58002108</v>
      </c>
      <c r="D75" s="45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どうだ、もう後がないぞ！</v>
      </c>
      <c r="E75" s="45" t="str">
        <f ca="1">VLOOKUP($C75,OFFSET(enemy_skills!$A$1,0,0,COUNTA(enemy_skills!$A:$A),MATCH(E$1,enemy_skills!$1:$1,0)-MATCH("enemy_skill_id",enemy_skills!$1:$1,0)+1),MATCH(E$1,enemy_skills!$1:$1,0)-MATCH("enemy_skill_id",enemy_skills!$1:$1,0)+1,FALSE)</f>
        <v>黄パネルを吸収する程ダメージがDOWNする攻撃</v>
      </c>
      <c r="F75" s="7">
        <v>58002108</v>
      </c>
      <c r="G75" s="47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7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135</v>
      </c>
      <c r="I75" s="47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7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7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7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7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5" s="47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7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6"/>
      <c r="Q75" s="46"/>
      <c r="R75" s="46"/>
    </row>
    <row r="76" spans="1:18" ht="21" customHeight="1" x14ac:dyDescent="0.15">
      <c r="A76" s="38" t="str">
        <f t="shared" ref="A76:A79" si="9">B76&amp;"_"&amp;C76</f>
        <v>58002010_58002109</v>
      </c>
      <c r="B76" s="7">
        <v>58002010</v>
      </c>
      <c r="C76" s="7">
        <v>58002109</v>
      </c>
      <c r="D76" s="45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これが神の獣の力…</v>
      </c>
      <c r="E76" s="45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いつか…朕も神となろう…（麒麟）</v>
      </c>
      <c r="F76" s="7">
        <v>58002109</v>
      </c>
      <c r="G76" s="47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7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195</v>
      </c>
      <c r="I76" s="47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7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7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7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" s="47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7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802</v>
      </c>
      <c r="O76" s="47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6"/>
      <c r="Q76" s="46"/>
      <c r="R76" s="46"/>
    </row>
    <row r="77" spans="1:18" ht="21" customHeight="1" x14ac:dyDescent="0.15">
      <c r="A77" s="38" t="str">
        <f t="shared" si="9"/>
        <v>58002010_58002110</v>
      </c>
      <c r="B77" s="7">
        <v>58002010</v>
      </c>
      <c r="C77" s="7">
        <v>58002110</v>
      </c>
      <c r="D77" s="45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これが神の獣の力…</v>
      </c>
      <c r="E77" s="45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いつか…朕も神となろう…（麒麟）</v>
      </c>
      <c r="F77" s="7">
        <v>58002110</v>
      </c>
      <c r="G77" s="47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7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191</v>
      </c>
      <c r="I77" s="47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7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7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7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" s="47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7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1053</v>
      </c>
      <c r="O77" s="47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6"/>
      <c r="Q77" s="46"/>
      <c r="R77" s="46"/>
    </row>
    <row r="78" spans="1:18" ht="21" customHeight="1" x14ac:dyDescent="0.15">
      <c r="A78" s="38" t="str">
        <f t="shared" si="9"/>
        <v>58002010_58002111</v>
      </c>
      <c r="B78" s="7">
        <v>58002010</v>
      </c>
      <c r="C78" s="7">
        <v>58002111</v>
      </c>
      <c r="D78" s="45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これが神の獣の力…</v>
      </c>
      <c r="E78" s="45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いつか…朕も神となろう…（麒麟）</v>
      </c>
      <c r="F78" s="7">
        <v>58002111</v>
      </c>
      <c r="G78" s="47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7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192</v>
      </c>
      <c r="I78" s="47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7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7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7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" s="47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7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1054</v>
      </c>
      <c r="O78" s="47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6"/>
      <c r="Q78" s="46"/>
      <c r="R78" s="46"/>
    </row>
    <row r="79" spans="1:18" ht="21" customHeight="1" x14ac:dyDescent="0.15">
      <c r="A79" s="38" t="str">
        <f t="shared" si="9"/>
        <v>58002010_58002112</v>
      </c>
      <c r="B79" s="7">
        <v>58002010</v>
      </c>
      <c r="C79" s="7">
        <v>58002112</v>
      </c>
      <c r="D79" s="45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これが神の獣の力…</v>
      </c>
      <c r="E79" s="45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いつか…朕も神となろう…（麒麟）</v>
      </c>
      <c r="F79" s="7">
        <v>58002112</v>
      </c>
      <c r="G79" s="47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7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196</v>
      </c>
      <c r="I79" s="47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7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7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7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9" s="47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7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1120</v>
      </c>
      <c r="O79" s="47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6"/>
      <c r="Q79" s="46"/>
      <c r="R79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114"/>
  <sheetViews>
    <sheetView showGridLines="0" workbookViewId="0">
      <pane ySplit="1" topLeftCell="A24" activePane="bottomLeft" state="frozenSplit"/>
      <selection pane="bottomLeft" activeCell="C38" sqref="C38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3.33203125" style="48" customWidth="1" collapsed="1"/>
    <col min="13" max="18" width="3.33203125" style="48" hidden="1" customWidth="1" outlineLevel="1"/>
    <col min="19" max="19" width="3.33203125" style="48" customWidth="1" collapsed="1"/>
    <col min="20" max="24" width="3.33203125" style="48" hidden="1" customWidth="1" outlineLevel="1"/>
    <col min="25" max="25" width="3.33203125" style="48" customWidth="1" collapsed="1"/>
    <col min="26" max="28" width="3.33203125" style="48" customWidth="1"/>
    <col min="29" max="16384" width="12.83203125" style="48"/>
  </cols>
  <sheetData>
    <row r="1" spans="1:30" ht="21" customHeight="1" x14ac:dyDescent="0.15">
      <c r="A1" s="39" t="s">
        <v>79</v>
      </c>
      <c r="B1" s="39" t="s">
        <v>80</v>
      </c>
      <c r="C1" s="39" t="s">
        <v>81</v>
      </c>
      <c r="D1" s="39" t="s">
        <v>127</v>
      </c>
      <c r="E1" s="39" t="s">
        <v>82</v>
      </c>
      <c r="F1" s="39" t="s">
        <v>83</v>
      </c>
      <c r="G1" s="40" t="s">
        <v>133</v>
      </c>
      <c r="H1" s="40" t="s">
        <v>139</v>
      </c>
      <c r="I1" s="40" t="s">
        <v>141</v>
      </c>
      <c r="J1" s="40" t="s">
        <v>140</v>
      </c>
      <c r="K1" s="40" t="s">
        <v>142</v>
      </c>
      <c r="L1" s="40" t="s">
        <v>134</v>
      </c>
      <c r="M1" s="40" t="s">
        <v>132</v>
      </c>
      <c r="N1" s="40" t="s">
        <v>135</v>
      </c>
      <c r="O1" s="40" t="s">
        <v>143</v>
      </c>
      <c r="P1" s="40" t="s">
        <v>144</v>
      </c>
      <c r="Q1" s="40" t="s">
        <v>145</v>
      </c>
      <c r="R1" s="40" t="s">
        <v>146</v>
      </c>
      <c r="S1" s="40" t="s">
        <v>136</v>
      </c>
      <c r="T1" s="40" t="s">
        <v>137</v>
      </c>
      <c r="U1" s="40" t="s">
        <v>147</v>
      </c>
      <c r="V1" s="40" t="s">
        <v>148</v>
      </c>
      <c r="W1" s="40" t="s">
        <v>149</v>
      </c>
      <c r="X1" s="40" t="s">
        <v>150</v>
      </c>
      <c r="Y1" s="40" t="s">
        <v>138</v>
      </c>
      <c r="Z1" s="40" t="s">
        <v>76</v>
      </c>
      <c r="AA1" s="40" t="s">
        <v>77</v>
      </c>
      <c r="AB1" s="40" t="s">
        <v>78</v>
      </c>
    </row>
    <row r="2" spans="1:30" ht="21" customHeight="1" x14ac:dyDescent="0.15">
      <c r="A2" s="7">
        <v>58002000</v>
      </c>
      <c r="B2" s="46" t="s">
        <v>404</v>
      </c>
      <c r="C2" s="49">
        <v>1</v>
      </c>
      <c r="D2" s="49" t="s">
        <v>128</v>
      </c>
      <c r="E2" s="50" t="s">
        <v>323</v>
      </c>
      <c r="F2" s="50" t="s">
        <v>288</v>
      </c>
      <c r="G2" s="62" t="str">
        <f>IFERROR(LEFT(B2,FIND("],",B2)),B2)</f>
        <v>[effect:enemy_message, val1:1.2, val2:2.0]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IFERROR(VLOOKUP(MID(G2,J2,K2-J2),[6]skilldef!$C:$D,2,FALSE),"-") &amp; " / " &amp; IFERROR(VLOOKUP(MID(G2,H2,I2-H2),[6]skilldef!$A:$B,2,FALSE),"-")</f>
        <v>- / -</v>
      </c>
      <c r="M2" s="62" t="str">
        <f>IFERROR(RIGHT(B2,LEN(B2)-FIND("],",B2)-1),"none")</f>
        <v>[effect:attack_break, target:unit_all, turn:4, val:0.3, calc:mul, animation:attack_break01]</v>
      </c>
      <c r="N2" s="47" t="str">
        <f>IFERROR(LEFT(M2,FIND("],",M2)+S12),M2)</f>
        <v>[effect:attack_break, target:unit_all, turn:4, val:0.3, calc:mul, animation:attack_break01]</v>
      </c>
      <c r="O2" s="62">
        <f>FIND("effect:",N2)+7</f>
        <v>9</v>
      </c>
      <c r="P2" s="62">
        <f>IFERROR(FIND(",",N2),LEN(N2))</f>
        <v>21</v>
      </c>
      <c r="Q2" s="62">
        <f>FIND("target:",N2)+7</f>
        <v>30</v>
      </c>
      <c r="R2" s="62">
        <f>FIND(",",N2,P2+1)</f>
        <v>38</v>
      </c>
      <c r="S2" s="62" t="str">
        <f>IFERROR(VLOOKUP(MID(N2,Q2,R2-Q2),[6]skilldef!$C:$D,2,FALSE),"-") &amp; " / " &amp; IFERROR(VLOOKUP(MID(N2,O2,P2-O2),[6]skilldef!$A:$B,2,FALSE),"-")</f>
        <v>味方全体に / -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49"/>
      <c r="AA2" s="51"/>
      <c r="AB2" s="49"/>
      <c r="AC2" s="48">
        <f>LEN(E2)</f>
        <v>7</v>
      </c>
      <c r="AD2" s="48">
        <f>LEN(F2)</f>
        <v>20</v>
      </c>
    </row>
    <row r="3" spans="1:30" ht="21" customHeight="1" x14ac:dyDescent="0.15">
      <c r="A3" s="7">
        <v>58002001</v>
      </c>
      <c r="B3" s="46" t="s">
        <v>405</v>
      </c>
      <c r="C3" s="49">
        <v>1</v>
      </c>
      <c r="D3" s="49" t="s">
        <v>128</v>
      </c>
      <c r="E3" s="50" t="s">
        <v>322</v>
      </c>
      <c r="F3" s="50" t="s">
        <v>388</v>
      </c>
      <c r="G3" s="62" t="str">
        <f t="shared" ref="G3:G66" si="0">IFERROR(LEFT(B3,FIND("],",B3)),B3)</f>
        <v>[effect:enemy_message, val1:1.2, val2:2.1]</v>
      </c>
      <c r="H3" s="62">
        <f t="shared" ref="H3:H66" si="1">FIND("effect:",G3)+7</f>
        <v>9</v>
      </c>
      <c r="I3" s="62">
        <f t="shared" ref="I3:I66" si="2">IFERROR(FIND(",",G3),LEN(G3))</f>
        <v>22</v>
      </c>
      <c r="J3" s="62" t="e">
        <f t="shared" ref="J3:J66" si="3">FIND("target:",G3)+7</f>
        <v>#VALUE!</v>
      </c>
      <c r="K3" s="62">
        <f t="shared" ref="K3:K66" si="4">FIND(",",G3,I3+1)</f>
        <v>32</v>
      </c>
      <c r="L3" s="62" t="str">
        <f>IFERROR(VLOOKUP(MID(G3,J3,K3-J3),[6]skilldef!$C:$D,2,FALSE),"-") &amp; " / " &amp; IFERROR(VLOOKUP(MID(G3,H3,I3-H3),[6]skilldef!$A:$B,2,FALSE),"-")</f>
        <v>- / -</v>
      </c>
      <c r="M3" s="62" t="str">
        <f t="shared" ref="M3:M66" si="5">IFERROR(RIGHT(B3,LEN(B3)-FIND("],",B3)-1),"none")</f>
        <v>[effect:damage_abnormal, target:unit_one, val:1, status:virus, turn:4, val_abnormal:0.1, animation:enemy_virus]</v>
      </c>
      <c r="N3" s="47" t="str">
        <f t="shared" ref="N3:N66" si="6">IFERROR(LEFT(M3,FIND("],",M3)+S13),M3)</f>
        <v>[effect:damage_abnormal, target:unit_one, val:1, status:virus, turn:4, val_abnormal:0.1, animation:enemy_virus]</v>
      </c>
      <c r="O3" s="62">
        <f t="shared" ref="O3:O66" si="7">FIND("effect:",N3)+7</f>
        <v>9</v>
      </c>
      <c r="P3" s="62">
        <f t="shared" ref="P3:P66" si="8">IFERROR(FIND(",",N3),LEN(N3))</f>
        <v>24</v>
      </c>
      <c r="Q3" s="62">
        <f t="shared" ref="Q3:Q66" si="9">FIND("target:",N3)+7</f>
        <v>33</v>
      </c>
      <c r="R3" s="62">
        <f t="shared" ref="R3:R66" si="10">FIND(",",N3,P3+1)</f>
        <v>41</v>
      </c>
      <c r="S3" s="62" t="str">
        <f>IFERROR(VLOOKUP(MID(N3,Q3,R3-Q3),[6]skilldef!$C:$D,2,FALSE),"-") &amp; " / " &amp; IFERROR(VLOOKUP(MID(N3,O3,P3-O3),[6]skilldef!$A:$B,2,FALSE),"-")</f>
        <v>味方単体に / -</v>
      </c>
      <c r="T3" s="47" t="str">
        <f t="shared" ref="T3:T66" si="11">IFERROR(RIGHT(M3,LEN(M3)-FIND("],",M3)-1),"none")</f>
        <v>none</v>
      </c>
      <c r="U3" s="62" t="e">
        <f t="shared" ref="U3:U66" si="12">FIND("effect:",T3)+7</f>
        <v>#VALUE!</v>
      </c>
      <c r="V3" s="62">
        <f t="shared" ref="V3:V66" si="13">IFERROR(FIND(",",T3),LEN(T3))</f>
        <v>4</v>
      </c>
      <c r="W3" s="62" t="e">
        <f t="shared" ref="W3:W66" si="14">FIND("target:",T3)+7</f>
        <v>#VALUE!</v>
      </c>
      <c r="X3" s="62" t="e">
        <f t="shared" ref="X3:X66" si="15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49"/>
      <c r="AA3" s="51"/>
      <c r="AB3" s="49"/>
      <c r="AC3" s="48">
        <f t="shared" ref="AC3:AC66" si="16">LEN(E3)</f>
        <v>4</v>
      </c>
      <c r="AD3" s="48">
        <f t="shared" ref="AD3:AD66" si="17">LEN(F3)</f>
        <v>21</v>
      </c>
    </row>
    <row r="4" spans="1:30" ht="21" customHeight="1" x14ac:dyDescent="0.15">
      <c r="A4" s="7">
        <v>58002002</v>
      </c>
      <c r="B4" s="46" t="s">
        <v>271</v>
      </c>
      <c r="C4" s="49">
        <v>1</v>
      </c>
      <c r="D4" s="49" t="s">
        <v>128</v>
      </c>
      <c r="E4" s="50" t="s">
        <v>321</v>
      </c>
      <c r="F4" s="50" t="s">
        <v>289</v>
      </c>
      <c r="G4" s="62" t="str">
        <f t="shared" si="0"/>
        <v>[effect:enemy_message, val1:1.2, val2:1.2]</v>
      </c>
      <c r="H4" s="62">
        <f t="shared" si="1"/>
        <v>9</v>
      </c>
      <c r="I4" s="62">
        <f t="shared" si="2"/>
        <v>22</v>
      </c>
      <c r="J4" s="62" t="e">
        <f t="shared" si="3"/>
        <v>#VALUE!</v>
      </c>
      <c r="K4" s="62">
        <f t="shared" si="4"/>
        <v>32</v>
      </c>
      <c r="L4" s="62" t="str">
        <f>IFERROR(VLOOKUP(MID(G4,J4,K4-J4),[6]skilldef!$C:$D,2,FALSE),"-") &amp; " / " &amp; IFERROR(VLOOKUP(MID(G4,H4,I4-H4),[6]skilldef!$A:$B,2,FALSE),"-")</f>
        <v>- / -</v>
      </c>
      <c r="M4" s="62" t="str">
        <f t="shared" si="5"/>
        <v>[effect:enemy_resurrection, target:id_53, val:0.5, animation:enemy_resurrection]</v>
      </c>
      <c r="N4" s="47" t="str">
        <f t="shared" si="6"/>
        <v>[effect:enemy_resurrection, target:id_53, val:0.5, animation:enemy_resurrection]</v>
      </c>
      <c r="O4" s="62">
        <f t="shared" si="7"/>
        <v>9</v>
      </c>
      <c r="P4" s="62">
        <f t="shared" si="8"/>
        <v>27</v>
      </c>
      <c r="Q4" s="62">
        <f t="shared" si="9"/>
        <v>36</v>
      </c>
      <c r="R4" s="62">
        <f t="shared" si="10"/>
        <v>41</v>
      </c>
      <c r="S4" s="62" t="str">
        <f>IFERROR(VLOOKUP(MID(N4,Q4,R4-Q4),[6]skilldef!$C:$D,2,FALSE),"-") &amp; " / " &amp; IFERROR(VLOOKUP(MID(N4,O4,P4-O4),[6]skilldef!$A:$B,2,FALSE),"-")</f>
        <v>- / -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49"/>
      <c r="AA4" s="51"/>
      <c r="AB4" s="49"/>
      <c r="AC4" s="48">
        <f t="shared" si="16"/>
        <v>4</v>
      </c>
      <c r="AD4" s="48">
        <f t="shared" si="17"/>
        <v>6</v>
      </c>
    </row>
    <row r="5" spans="1:30" ht="21" customHeight="1" x14ac:dyDescent="0.15">
      <c r="A5" s="7">
        <v>58002003</v>
      </c>
      <c r="B5" s="46" t="s">
        <v>256</v>
      </c>
      <c r="C5" s="49">
        <v>1</v>
      </c>
      <c r="D5" s="49" t="s">
        <v>128</v>
      </c>
      <c r="E5" s="50" t="s">
        <v>257</v>
      </c>
      <c r="F5" s="50" t="s">
        <v>258</v>
      </c>
      <c r="G5" s="62" t="str">
        <f t="shared" si="0"/>
        <v>[effect:enemy_message, val1:1.2, val2:1.2]</v>
      </c>
      <c r="H5" s="62">
        <f t="shared" si="1"/>
        <v>9</v>
      </c>
      <c r="I5" s="62">
        <f t="shared" si="2"/>
        <v>22</v>
      </c>
      <c r="J5" s="62" t="e">
        <f t="shared" si="3"/>
        <v>#VALUE!</v>
      </c>
      <c r="K5" s="62">
        <f t="shared" si="4"/>
        <v>32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si="5"/>
        <v>none</v>
      </c>
      <c r="N5" s="47" t="str">
        <f t="shared" si="6"/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IFERROR(VLOOKUP(MID(N5,Q5,R5-Q5),[6]skilldef!$C:$D,2,FALSE),"-") &amp; " / " &amp; IFERROR(VLOOKUP(MID(N5,O5,P5-O5),[6]skilldef!$A:$B,2,FALSE),"-")</f>
        <v>- / -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9"/>
      <c r="AA5" s="51"/>
      <c r="AB5" s="49"/>
      <c r="AC5" s="48">
        <f t="shared" si="16"/>
        <v>3</v>
      </c>
      <c r="AD5" s="48">
        <f t="shared" si="17"/>
        <v>3</v>
      </c>
    </row>
    <row r="6" spans="1:30" ht="21" customHeight="1" x14ac:dyDescent="0.15">
      <c r="A6" s="7">
        <v>58002004</v>
      </c>
      <c r="B6" s="46" t="s">
        <v>256</v>
      </c>
      <c r="C6" s="49">
        <v>1</v>
      </c>
      <c r="D6" s="49" t="s">
        <v>128</v>
      </c>
      <c r="E6" s="50" t="s">
        <v>257</v>
      </c>
      <c r="F6" s="50" t="s">
        <v>258</v>
      </c>
      <c r="G6" s="62" t="str">
        <f t="shared" si="0"/>
        <v>[effect:enemy_message, val1:1.2, val2:1.2]</v>
      </c>
      <c r="H6" s="62">
        <f t="shared" si="1"/>
        <v>9</v>
      </c>
      <c r="I6" s="62">
        <f t="shared" si="2"/>
        <v>22</v>
      </c>
      <c r="J6" s="62" t="e">
        <f t="shared" si="3"/>
        <v>#VALUE!</v>
      </c>
      <c r="K6" s="62">
        <f t="shared" si="4"/>
        <v>32</v>
      </c>
      <c r="L6" s="62" t="str">
        <f>IFERROR(VLOOKUP(MID(G6,J6,K6-J6),[6]skilldef!$C:$D,2,FALSE),"-") &amp; " / " &amp; IFERROR(VLOOKUP(MID(G6,H6,I6-H6),[6]skilldef!$A:$B,2,FALSE),"-")</f>
        <v>- / -</v>
      </c>
      <c r="M6" s="62" t="str">
        <f t="shared" si="5"/>
        <v>none</v>
      </c>
      <c r="N6" s="47" t="str">
        <f t="shared" si="6"/>
        <v>none</v>
      </c>
      <c r="O6" s="62" t="e">
        <f t="shared" si="7"/>
        <v>#VALUE!</v>
      </c>
      <c r="P6" s="62">
        <f t="shared" si="8"/>
        <v>4</v>
      </c>
      <c r="Q6" s="62" t="e">
        <f t="shared" si="9"/>
        <v>#VALUE!</v>
      </c>
      <c r="R6" s="62" t="e">
        <f t="shared" si="10"/>
        <v>#VALUE!</v>
      </c>
      <c r="S6" s="62" t="str">
        <f>IFERROR(VLOOKUP(MID(N6,Q6,R6-Q6),[6]skilldef!$C:$D,2,FALSE),"-") &amp; " / " &amp; IFERROR(VLOOKUP(MID(N6,O6,P6-O6),[6]skilldef!$A:$B,2,FALSE),"-")</f>
        <v>- / -</v>
      </c>
      <c r="T6" s="47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49"/>
      <c r="AA6" s="51"/>
      <c r="AB6" s="49"/>
      <c r="AC6" s="48">
        <f t="shared" si="16"/>
        <v>3</v>
      </c>
      <c r="AD6" s="48">
        <f t="shared" si="17"/>
        <v>3</v>
      </c>
    </row>
    <row r="7" spans="1:30" ht="21" customHeight="1" x14ac:dyDescent="0.15">
      <c r="A7" s="7">
        <v>58002005</v>
      </c>
      <c r="B7" s="46" t="s">
        <v>284</v>
      </c>
      <c r="C7" s="49">
        <v>1</v>
      </c>
      <c r="D7" s="49" t="s">
        <v>128</v>
      </c>
      <c r="E7" s="50" t="s">
        <v>324</v>
      </c>
      <c r="F7" s="50" t="s">
        <v>290</v>
      </c>
      <c r="G7" s="62" t="str">
        <f t="shared" si="0"/>
        <v>[effect:enemy_message, val1:1.2, val2:1.2]</v>
      </c>
      <c r="H7" s="62">
        <f t="shared" si="1"/>
        <v>9</v>
      </c>
      <c r="I7" s="62">
        <f t="shared" si="2"/>
        <v>22</v>
      </c>
      <c r="J7" s="62" t="e">
        <f t="shared" si="3"/>
        <v>#VALUE!</v>
      </c>
      <c r="K7" s="62">
        <f t="shared" si="4"/>
        <v>32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5"/>
        <v>[effect:enhance_enemy, target:myself, turn:-1, status:defense, val:2000, calc:add, animation:enemy_enhance_defense]</v>
      </c>
      <c r="N7" s="47" t="str">
        <f t="shared" si="6"/>
        <v>[effect:enhance_enemy, target:myself, turn:-1, status:defense, val:2000, calc:add, animation:enemy_enhance_defense]</v>
      </c>
      <c r="O7" s="62">
        <f t="shared" si="7"/>
        <v>9</v>
      </c>
      <c r="P7" s="62">
        <f t="shared" si="8"/>
        <v>22</v>
      </c>
      <c r="Q7" s="62">
        <f t="shared" si="9"/>
        <v>31</v>
      </c>
      <c r="R7" s="62">
        <f t="shared" si="10"/>
        <v>37</v>
      </c>
      <c r="S7" s="62" t="str">
        <f>IFERROR(VLOOKUP(MID(N7,Q7,R7-Q7),[6]skilldef!$C:$D,2,FALSE),"-") &amp; " / " &amp; IFERROR(VLOOKUP(MID(N7,O7,P7-O7),[6]skilldef!$A:$B,2,FALSE),"-")</f>
        <v>自分自身に / ステータス強化</v>
      </c>
      <c r="T7" s="47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49"/>
      <c r="AA7" s="51"/>
      <c r="AB7" s="49"/>
      <c r="AC7" s="48">
        <f t="shared" si="16"/>
        <v>2</v>
      </c>
      <c r="AD7" s="48">
        <f t="shared" si="17"/>
        <v>8</v>
      </c>
    </row>
    <row r="8" spans="1:30" ht="21" customHeight="1" x14ac:dyDescent="0.15">
      <c r="A8" s="7">
        <v>58002006</v>
      </c>
      <c r="B8" s="46" t="s">
        <v>272</v>
      </c>
      <c r="C8" s="49">
        <v>1</v>
      </c>
      <c r="D8" s="49" t="s">
        <v>128</v>
      </c>
      <c r="E8" s="50" t="s">
        <v>260</v>
      </c>
      <c r="F8" s="50" t="s">
        <v>291</v>
      </c>
      <c r="G8" s="62" t="str">
        <f t="shared" si="0"/>
        <v>[effect:enemy_message, val1:1.2, val2:1.2]</v>
      </c>
      <c r="H8" s="62">
        <f t="shared" si="1"/>
        <v>9</v>
      </c>
      <c r="I8" s="62">
        <f t="shared" si="2"/>
        <v>22</v>
      </c>
      <c r="J8" s="62" t="e">
        <f t="shared" si="3"/>
        <v>#VALUE!</v>
      </c>
      <c r="K8" s="62">
        <f t="shared" si="4"/>
        <v>32</v>
      </c>
      <c r="L8" s="62" t="str">
        <f>IFERROR(VLOOKUP(MID(G8,J8,K8-J8),[6]skilldef!$C:$D,2,FALSE),"-") &amp; " / " &amp; IFERROR(VLOOKUP(MID(G8,H8,I8-H8),[6]skilldef!$A:$B,2,FALSE),"-")</f>
        <v>- / -</v>
      </c>
      <c r="M8" s="62" t="str">
        <f t="shared" si="5"/>
        <v>[effect:critical, val:1.2, animation:enemy_critical]</v>
      </c>
      <c r="N8" s="47" t="str">
        <f t="shared" si="6"/>
        <v>[effect:critical, val:1.2, animation:enemy_critical]</v>
      </c>
      <c r="O8" s="62">
        <f t="shared" si="7"/>
        <v>9</v>
      </c>
      <c r="P8" s="62">
        <f t="shared" si="8"/>
        <v>17</v>
      </c>
      <c r="Q8" s="62" t="e">
        <f t="shared" si="9"/>
        <v>#VALUE!</v>
      </c>
      <c r="R8" s="62">
        <f t="shared" si="10"/>
        <v>26</v>
      </c>
      <c r="S8" s="62" t="str">
        <f>IFERROR(VLOOKUP(MID(N8,Q8,R8-Q8),[6]skilldef!$C:$D,2,FALSE),"-") &amp; " / " &amp; IFERROR(VLOOKUP(MID(N8,O8,P8-O8),[6]skilldef!$A:$B,2,FALSE),"-")</f>
        <v>- / 大攻撃</v>
      </c>
      <c r="T8" s="47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49"/>
      <c r="AA8" s="51"/>
      <c r="AB8" s="49"/>
      <c r="AC8" s="48">
        <f t="shared" si="16"/>
        <v>6</v>
      </c>
      <c r="AD8" s="48">
        <f t="shared" si="17"/>
        <v>7</v>
      </c>
    </row>
    <row r="9" spans="1:30" ht="21" customHeight="1" x14ac:dyDescent="0.15">
      <c r="A9" s="7">
        <v>58002007</v>
      </c>
      <c r="B9" s="46" t="s">
        <v>406</v>
      </c>
      <c r="C9" s="49">
        <v>1</v>
      </c>
      <c r="D9" s="49" t="s">
        <v>128</v>
      </c>
      <c r="E9" s="50" t="s">
        <v>325</v>
      </c>
      <c r="F9" s="50" t="s">
        <v>279</v>
      </c>
      <c r="G9" s="62" t="str">
        <f t="shared" si="0"/>
        <v>[effect:enemy_message, val1:1.2, val2:2.2]</v>
      </c>
      <c r="H9" s="62">
        <f t="shared" si="1"/>
        <v>9</v>
      </c>
      <c r="I9" s="62">
        <f t="shared" si="2"/>
        <v>22</v>
      </c>
      <c r="J9" s="62" t="e">
        <f t="shared" si="3"/>
        <v>#VALUE!</v>
      </c>
      <c r="K9" s="62">
        <f t="shared" si="4"/>
        <v>32</v>
      </c>
      <c r="L9" s="62" t="str">
        <f>IFERROR(VLOOKUP(MID(G9,J9,K9-J9),[6]skilldef!$C:$D,2,FALSE),"-") &amp; " / " &amp; IFERROR(VLOOKUP(MID(G9,H9,I9-H9),[6]skilldef!$A:$B,2,FALSE),"-")</f>
        <v>- / -</v>
      </c>
      <c r="M9" s="62" t="str">
        <f t="shared" si="5"/>
        <v>[effect:damage_anti_abnormal, target:unit_all, target_effect01:virus, val1:0.5, val2:0.2]</v>
      </c>
      <c r="N9" s="47" t="str">
        <f t="shared" si="6"/>
        <v>[effect:damage_anti_abnormal, target:unit_all, target_effect01:virus, val1:0.5, val2:0.2]</v>
      </c>
      <c r="O9" s="62">
        <f t="shared" si="7"/>
        <v>9</v>
      </c>
      <c r="P9" s="62">
        <f t="shared" si="8"/>
        <v>29</v>
      </c>
      <c r="Q9" s="62">
        <f t="shared" si="9"/>
        <v>38</v>
      </c>
      <c r="R9" s="62">
        <f t="shared" si="10"/>
        <v>46</v>
      </c>
      <c r="S9" s="62" t="str">
        <f>IFERROR(VLOOKUP(MID(N9,Q9,R9-Q9),[6]skilldef!$C:$D,2,FALSE),"-") &amp; " / " &amp; IFERROR(VLOOKUP(MID(N9,O9,P9-O9),[6]skilldef!$A:$B,2,FALSE),"-")</f>
        <v>味方全体に / -</v>
      </c>
      <c r="T9" s="47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49"/>
      <c r="AA9" s="51"/>
      <c r="AB9" s="49"/>
      <c r="AC9" s="48">
        <f t="shared" si="16"/>
        <v>10</v>
      </c>
      <c r="AD9" s="48">
        <f t="shared" si="17"/>
        <v>22</v>
      </c>
    </row>
    <row r="10" spans="1:30" ht="21" customHeight="1" x14ac:dyDescent="0.15">
      <c r="A10" s="7">
        <v>58002008</v>
      </c>
      <c r="B10" s="46" t="s">
        <v>285</v>
      </c>
      <c r="C10" s="49">
        <v>1</v>
      </c>
      <c r="D10" s="49" t="s">
        <v>128</v>
      </c>
      <c r="E10" s="50" t="s">
        <v>326</v>
      </c>
      <c r="F10" s="50" t="s">
        <v>292</v>
      </c>
      <c r="G10" s="62" t="str">
        <f t="shared" si="0"/>
        <v>[effect:enemy_message, val1:1.2, val2:1.2]</v>
      </c>
      <c r="H10" s="62">
        <f t="shared" si="1"/>
        <v>9</v>
      </c>
      <c r="I10" s="62">
        <f t="shared" si="2"/>
        <v>22</v>
      </c>
      <c r="J10" s="62" t="e">
        <f t="shared" si="3"/>
        <v>#VALUE!</v>
      </c>
      <c r="K10" s="62">
        <f t="shared" si="4"/>
        <v>32</v>
      </c>
      <c r="L10" s="62" t="str">
        <f>IFERROR(VLOOKUP(MID(G10,J10,K10-J10),[6]skilldef!$C:$D,2,FALSE),"-") &amp; " / " &amp; IFERROR(VLOOKUP(MID(G10,H10,I10-H10),[6]skilldef!$A:$B,2,FALSE),"-")</f>
        <v>- / -</v>
      </c>
      <c r="M10" s="62" t="str">
        <f t="shared" si="5"/>
        <v>[effect:suicide, target:enemy_all, val:1, dead_type:escape, animation:enemy_suicide]</v>
      </c>
      <c r="N10" s="47" t="str">
        <f t="shared" si="6"/>
        <v>[effect:suicide, target:enemy_all, val:1, dead_type:escape, animation:enemy_suicide]</v>
      </c>
      <c r="O10" s="62">
        <f t="shared" si="7"/>
        <v>9</v>
      </c>
      <c r="P10" s="62">
        <f t="shared" si="8"/>
        <v>16</v>
      </c>
      <c r="Q10" s="62">
        <f t="shared" si="9"/>
        <v>25</v>
      </c>
      <c r="R10" s="62">
        <f t="shared" si="10"/>
        <v>34</v>
      </c>
      <c r="S10" s="62" t="str">
        <f>IFERROR(VLOOKUP(MID(N10,Q10,R10-Q10),[6]skilldef!$C:$D,2,FALSE),"-") &amp; " / " &amp; IFERROR(VLOOKUP(MID(N10,O10,P10-O10),[6]skilldef!$A:$B,2,FALSE),"-")</f>
        <v>敵全体に / -</v>
      </c>
      <c r="T10" s="47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49"/>
      <c r="AA10" s="51"/>
      <c r="AB10" s="49"/>
      <c r="AC10" s="48">
        <f t="shared" si="16"/>
        <v>5</v>
      </c>
      <c r="AD10" s="48">
        <f t="shared" si="17"/>
        <v>2</v>
      </c>
    </row>
    <row r="11" spans="1:30" ht="21" customHeight="1" x14ac:dyDescent="0.15">
      <c r="A11" s="7">
        <v>58002009</v>
      </c>
      <c r="B11" s="46" t="s">
        <v>256</v>
      </c>
      <c r="C11" s="49">
        <v>1</v>
      </c>
      <c r="D11" s="49" t="s">
        <v>128</v>
      </c>
      <c r="E11" s="50" t="s">
        <v>259</v>
      </c>
      <c r="F11" s="50" t="s">
        <v>258</v>
      </c>
      <c r="G11" s="62" t="str">
        <f t="shared" si="0"/>
        <v>[effect:enemy_message, val1:1.2, val2:1.2]</v>
      </c>
      <c r="H11" s="62">
        <f t="shared" si="1"/>
        <v>9</v>
      </c>
      <c r="I11" s="62">
        <f t="shared" si="2"/>
        <v>22</v>
      </c>
      <c r="J11" s="62" t="e">
        <f t="shared" si="3"/>
        <v>#VALUE!</v>
      </c>
      <c r="K11" s="62">
        <f t="shared" si="4"/>
        <v>32</v>
      </c>
      <c r="L11" s="62" t="str">
        <f>IFERROR(VLOOKUP(MID(G11,J11,K11-J11),[6]skilldef!$C:$D,2,FALSE),"-") &amp; " / " &amp; IFERROR(VLOOKUP(MID(G11,H11,I11-H11),[6]skilldef!$A:$B,2,FALSE),"-")</f>
        <v>- / -</v>
      </c>
      <c r="M11" s="62" t="str">
        <f t="shared" si="5"/>
        <v>none</v>
      </c>
      <c r="N11" s="47" t="str">
        <f t="shared" si="6"/>
        <v>none</v>
      </c>
      <c r="O11" s="62" t="e">
        <f t="shared" si="7"/>
        <v>#VALUE!</v>
      </c>
      <c r="P11" s="62">
        <f t="shared" si="8"/>
        <v>4</v>
      </c>
      <c r="Q11" s="62" t="e">
        <f t="shared" si="9"/>
        <v>#VALUE!</v>
      </c>
      <c r="R11" s="62" t="e">
        <f t="shared" si="10"/>
        <v>#VALUE!</v>
      </c>
      <c r="S11" s="62" t="str">
        <f>IFERROR(VLOOKUP(MID(N11,Q11,R11-Q11),[6]skilldef!$C:$D,2,FALSE),"-") &amp; " / " &amp; IFERROR(VLOOKUP(MID(N11,O11,P11-O11),[6]skilldef!$A:$B,2,FALSE),"-")</f>
        <v>- / -</v>
      </c>
      <c r="T11" s="47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49"/>
      <c r="AA11" s="51"/>
      <c r="AB11" s="49"/>
      <c r="AC11" s="48">
        <f t="shared" si="16"/>
        <v>3</v>
      </c>
      <c r="AD11" s="48">
        <f t="shared" si="17"/>
        <v>3</v>
      </c>
    </row>
    <row r="12" spans="1:30" ht="21" customHeight="1" x14ac:dyDescent="0.15">
      <c r="A12" s="7">
        <v>58002010</v>
      </c>
      <c r="B12" s="46" t="s">
        <v>293</v>
      </c>
      <c r="C12" s="49">
        <v>1</v>
      </c>
      <c r="D12" s="49" t="s">
        <v>128</v>
      </c>
      <c r="E12" s="50" t="s">
        <v>328</v>
      </c>
      <c r="F12" s="50" t="s">
        <v>294</v>
      </c>
      <c r="G12" s="62" t="str">
        <f t="shared" si="0"/>
        <v>[effect:enemy_message, val1:1.2, val2:1.2]</v>
      </c>
      <c r="H12" s="62">
        <f t="shared" si="1"/>
        <v>9</v>
      </c>
      <c r="I12" s="62">
        <f t="shared" si="2"/>
        <v>22</v>
      </c>
      <c r="J12" s="62" t="e">
        <f t="shared" si="3"/>
        <v>#VALUE!</v>
      </c>
      <c r="K12" s="62">
        <f t="shared" si="4"/>
        <v>32</v>
      </c>
      <c r="L12" s="62" t="str">
        <f>IFERROR(VLOOKUP(MID(G12,J12,K12-J12),[6]skilldef!$C:$D,2,FALSE),"-") &amp; " / " &amp; IFERROR(VLOOKUP(MID(G12,H12,I12-H12),[6]skilldef!$A:$B,2,FALSE),"-")</f>
        <v>- / -</v>
      </c>
      <c r="M12" s="62" t="str">
        <f t="shared" si="5"/>
        <v>[effect:invalidate_crash_panel, target:unit_all, turn:5, count:8, animation:enemy_dis_crashPanel]</v>
      </c>
      <c r="N12" s="47" t="str">
        <f t="shared" si="6"/>
        <v>[effect:invalidate_crash_panel, target:unit_all, turn:5, count:8, animation:enemy_dis_crashPanel]</v>
      </c>
      <c r="O12" s="62">
        <f t="shared" si="7"/>
        <v>9</v>
      </c>
      <c r="P12" s="62">
        <f t="shared" si="8"/>
        <v>31</v>
      </c>
      <c r="Q12" s="62">
        <f t="shared" si="9"/>
        <v>40</v>
      </c>
      <c r="R12" s="62">
        <f t="shared" si="10"/>
        <v>48</v>
      </c>
      <c r="S12" s="62" t="str">
        <f>IFERROR(VLOOKUP(MID(N12,Q12,R12-Q12),[6]skilldef!$C:$D,2,FALSE),"-") &amp; " / " &amp; IFERROR(VLOOKUP(MID(N12,O12,P12-O12),[6]skilldef!$A:$B,2,FALSE),"-")</f>
        <v>味方全体に / -</v>
      </c>
      <c r="T12" s="47" t="str">
        <f t="shared" si="11"/>
        <v>none</v>
      </c>
      <c r="U12" s="62" t="e">
        <f t="shared" si="12"/>
        <v>#VALUE!</v>
      </c>
      <c r="V12" s="62">
        <f t="shared" si="13"/>
        <v>4</v>
      </c>
      <c r="W12" s="62" t="e">
        <f t="shared" si="14"/>
        <v>#VALUE!</v>
      </c>
      <c r="X12" s="62" t="e">
        <f t="shared" si="15"/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49"/>
      <c r="AA12" s="51"/>
      <c r="AB12" s="49"/>
      <c r="AC12" s="48">
        <f t="shared" si="16"/>
        <v>12</v>
      </c>
      <c r="AD12" s="48">
        <f t="shared" si="17"/>
        <v>10</v>
      </c>
    </row>
    <row r="13" spans="1:30" ht="21" customHeight="1" x14ac:dyDescent="0.15">
      <c r="A13" s="7">
        <v>58002011</v>
      </c>
      <c r="B13" s="46" t="s">
        <v>407</v>
      </c>
      <c r="C13" s="49">
        <v>1</v>
      </c>
      <c r="D13" s="49" t="s">
        <v>128</v>
      </c>
      <c r="E13" s="50" t="s">
        <v>330</v>
      </c>
      <c r="F13" s="50" t="s">
        <v>297</v>
      </c>
      <c r="G13" s="62" t="str">
        <f t="shared" si="0"/>
        <v>[effect:enemy_message, val1:1.2, val2:1.7]</v>
      </c>
      <c r="H13" s="62">
        <f t="shared" si="1"/>
        <v>9</v>
      </c>
      <c r="I13" s="62">
        <f t="shared" si="2"/>
        <v>22</v>
      </c>
      <c r="J13" s="62" t="e">
        <f t="shared" si="3"/>
        <v>#VALUE!</v>
      </c>
      <c r="K13" s="62">
        <f t="shared" si="4"/>
        <v>32</v>
      </c>
      <c r="L13" s="62" t="str">
        <f>IFERROR(VLOOKUP(MID(G13,J13,K13-J13),[6]skilldef!$C:$D,2,FALSE),"-") &amp; " / " &amp; IFERROR(VLOOKUP(MID(G13,H13,I13-H13),[6]skilldef!$A:$B,2,FALSE),"-")</f>
        <v>- / -</v>
      </c>
      <c r="M13" s="62" t="str">
        <f t="shared" si="5"/>
        <v>[effect:crash_condition, target:unit_all, turn:1, val:2, animation:crash_panel_reduce04]</v>
      </c>
      <c r="N13" s="47" t="str">
        <f t="shared" si="6"/>
        <v>[effect:crash_condition, target:unit_all, turn:1, val:2, animation:crash_panel_reduce04]</v>
      </c>
      <c r="O13" s="62">
        <f t="shared" si="7"/>
        <v>9</v>
      </c>
      <c r="P13" s="62">
        <f t="shared" si="8"/>
        <v>24</v>
      </c>
      <c r="Q13" s="62">
        <f t="shared" si="9"/>
        <v>33</v>
      </c>
      <c r="R13" s="62">
        <f t="shared" si="10"/>
        <v>41</v>
      </c>
      <c r="S13" s="62" t="str">
        <f>IFERROR(VLOOKUP(MID(N13,Q13,R13-Q13),[6]skilldef!$C:$D,2,FALSE),"-") &amp; " / " &amp; IFERROR(VLOOKUP(MID(N13,O13,P13-O13),[6]skilldef!$A:$B,2,FALSE),"-")</f>
        <v>味方全体に / -</v>
      </c>
      <c r="T13" s="47" t="str">
        <f t="shared" si="11"/>
        <v>none</v>
      </c>
      <c r="U13" s="62" t="e">
        <f t="shared" si="12"/>
        <v>#VALUE!</v>
      </c>
      <c r="V13" s="62">
        <f t="shared" si="13"/>
        <v>4</v>
      </c>
      <c r="W13" s="62" t="e">
        <f t="shared" si="14"/>
        <v>#VALUE!</v>
      </c>
      <c r="X13" s="62" t="e">
        <f t="shared" si="15"/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49"/>
      <c r="AA13" s="51"/>
      <c r="AB13" s="49"/>
      <c r="AC13" s="48">
        <f t="shared" si="16"/>
        <v>11</v>
      </c>
      <c r="AD13" s="48">
        <f t="shared" si="17"/>
        <v>17</v>
      </c>
    </row>
    <row r="14" spans="1:30" ht="21" customHeight="1" x14ac:dyDescent="0.15">
      <c r="A14" s="7">
        <v>58002012</v>
      </c>
      <c r="B14" s="46" t="s">
        <v>408</v>
      </c>
      <c r="C14" s="49">
        <v>1</v>
      </c>
      <c r="D14" s="49" t="s">
        <v>128</v>
      </c>
      <c r="E14" s="50" t="s">
        <v>329</v>
      </c>
      <c r="F14" s="50" t="s">
        <v>286</v>
      </c>
      <c r="G14" s="62" t="str">
        <f t="shared" si="0"/>
        <v>[effect:enemy_message, val1:1.2, val2:1.4]</v>
      </c>
      <c r="H14" s="62">
        <f t="shared" si="1"/>
        <v>9</v>
      </c>
      <c r="I14" s="62">
        <f t="shared" si="2"/>
        <v>22</v>
      </c>
      <c r="J14" s="62" t="e">
        <f t="shared" si="3"/>
        <v>#VALUE!</v>
      </c>
      <c r="K14" s="62">
        <f t="shared" si="4"/>
        <v>32</v>
      </c>
      <c r="L14" s="62" t="str">
        <f>IFERROR(VLOOKUP(MID(G14,J14,K14-J14),[6]skilldef!$C:$D,2,FALSE),"-") &amp; " / " &amp; IFERROR(VLOOKUP(MID(G14,H14,I14-H14),[6]skilldef!$A:$B,2,FALSE),"-")</f>
        <v>- / -</v>
      </c>
      <c r="M14" s="62" t="str">
        <f t="shared" si="5"/>
        <v>[effect:force_change_block, new_block:jammer, target:block_green, count:-1, val:0, animation:change_block]</v>
      </c>
      <c r="N14" s="47" t="str">
        <f t="shared" si="6"/>
        <v>[effect:force_change_block, new_block:jammer, target:block_green, count:-1, val:0, animation:change_block]</v>
      </c>
      <c r="O14" s="62">
        <f t="shared" si="7"/>
        <v>9</v>
      </c>
      <c r="P14" s="62">
        <f t="shared" si="8"/>
        <v>27</v>
      </c>
      <c r="Q14" s="62">
        <f t="shared" si="9"/>
        <v>54</v>
      </c>
      <c r="R14" s="62">
        <f t="shared" si="10"/>
        <v>45</v>
      </c>
      <c r="S14" s="62" t="str">
        <f>IFERROR(VLOOKUP(MID(N14,Q14,R14-Q14),[6]skilldef!$C:$D,2,FALSE),"-") &amp; " / " &amp; IFERROR(VLOOKUP(MID(N14,O14,P14-O14),[6]skilldef!$A:$B,2,FALSE),"-")</f>
        <v>- / -</v>
      </c>
      <c r="T14" s="47" t="str">
        <f t="shared" si="11"/>
        <v>none</v>
      </c>
      <c r="U14" s="62" t="e">
        <f t="shared" si="12"/>
        <v>#VALUE!</v>
      </c>
      <c r="V14" s="62">
        <f t="shared" si="13"/>
        <v>4</v>
      </c>
      <c r="W14" s="62" t="e">
        <f t="shared" si="14"/>
        <v>#VALUE!</v>
      </c>
      <c r="X14" s="62" t="e">
        <f t="shared" si="15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49"/>
      <c r="AA14" s="51"/>
      <c r="AB14" s="49"/>
      <c r="AC14" s="48">
        <f t="shared" si="16"/>
        <v>12</v>
      </c>
      <c r="AD14" s="48">
        <f t="shared" si="17"/>
        <v>14</v>
      </c>
    </row>
    <row r="15" spans="1:30" ht="21" customHeight="1" x14ac:dyDescent="0.15">
      <c r="A15" s="7">
        <v>58002013</v>
      </c>
      <c r="B15" s="46" t="s">
        <v>409</v>
      </c>
      <c r="C15" s="49">
        <v>1</v>
      </c>
      <c r="D15" s="49" t="s">
        <v>128</v>
      </c>
      <c r="E15" s="50" t="s">
        <v>331</v>
      </c>
      <c r="F15" s="50" t="s">
        <v>295</v>
      </c>
      <c r="G15" s="62" t="str">
        <f t="shared" si="0"/>
        <v>[effect:enemy_message, val1:1.2, val2:1.5]</v>
      </c>
      <c r="H15" s="62">
        <f t="shared" si="1"/>
        <v>9</v>
      </c>
      <c r="I15" s="62">
        <f t="shared" si="2"/>
        <v>22</v>
      </c>
      <c r="J15" s="62" t="e">
        <f t="shared" si="3"/>
        <v>#VALUE!</v>
      </c>
      <c r="K15" s="62">
        <f t="shared" si="4"/>
        <v>32</v>
      </c>
      <c r="L15" s="62" t="str">
        <f>IFERROR(VLOOKUP(MID(G15,J15,K15-J15),[6]skilldef!$C:$D,2,FALSE),"-") &amp; " / " &amp; IFERROR(VLOOKUP(MID(G15,H15,I15-H15),[6]skilldef!$A:$B,2,FALSE),"-")</f>
        <v>- / -</v>
      </c>
      <c r="M15" s="62" t="str">
        <f t="shared" si="5"/>
        <v>[effect:break_attack, target:unit_all, val:0.02, lowest_val:1000, count:-1, color:blue, block01:jammer]</v>
      </c>
      <c r="N15" s="47" t="str">
        <f t="shared" si="6"/>
        <v>[effect:break_attack, target:unit_all, val:0.02, lowest_val:1000, count:-1, color:blue, block01:jammer]</v>
      </c>
      <c r="O15" s="62">
        <f t="shared" si="7"/>
        <v>9</v>
      </c>
      <c r="P15" s="62">
        <f t="shared" si="8"/>
        <v>21</v>
      </c>
      <c r="Q15" s="62">
        <f t="shared" si="9"/>
        <v>30</v>
      </c>
      <c r="R15" s="62">
        <f t="shared" si="10"/>
        <v>38</v>
      </c>
      <c r="S15" s="62" t="str">
        <f>IFERROR(VLOOKUP(MID(N15,Q15,R15-Q15),[6]skilldef!$C:$D,2,FALSE),"-") &amp; " / " &amp; IFERROR(VLOOKUP(MID(N15,O15,P15-O15),[6]skilldef!$A:$B,2,FALSE),"-")</f>
        <v>味方全体に / -</v>
      </c>
      <c r="T15" s="47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49"/>
      <c r="AA15" s="51"/>
      <c r="AB15" s="49"/>
      <c r="AC15" s="48">
        <f t="shared" si="16"/>
        <v>10</v>
      </c>
      <c r="AD15" s="48">
        <f t="shared" si="17"/>
        <v>15</v>
      </c>
    </row>
    <row r="16" spans="1:30" ht="21" customHeight="1" x14ac:dyDescent="0.15">
      <c r="A16" s="7">
        <v>58002014</v>
      </c>
      <c r="B16" s="46" t="s">
        <v>287</v>
      </c>
      <c r="C16" s="49">
        <v>1</v>
      </c>
      <c r="D16" s="49" t="s">
        <v>128</v>
      </c>
      <c r="E16" s="50" t="s">
        <v>332</v>
      </c>
      <c r="F16" s="50" t="s">
        <v>296</v>
      </c>
      <c r="G16" s="62" t="str">
        <f t="shared" si="0"/>
        <v>[effect:enemy_message, val1:1.2, val2:1.2]</v>
      </c>
      <c r="H16" s="62">
        <f t="shared" si="1"/>
        <v>9</v>
      </c>
      <c r="I16" s="62">
        <f t="shared" si="2"/>
        <v>22</v>
      </c>
      <c r="J16" s="62" t="e">
        <f t="shared" si="3"/>
        <v>#VALUE!</v>
      </c>
      <c r="K16" s="62">
        <f t="shared" si="4"/>
        <v>32</v>
      </c>
      <c r="L16" s="62" t="str">
        <f>IFERROR(VLOOKUP(MID(G16,J16,K16-J16),[6]skilldef!$C:$D,2,FALSE),"-") &amp; " / " &amp; IFERROR(VLOOKUP(MID(G16,H16,I16-H16),[6]skilldef!$A:$B,2,FALSE),"-")</f>
        <v>- / -</v>
      </c>
      <c r="M16" s="62" t="str">
        <f t="shared" si="5"/>
        <v>[effect:invalidate_crash_panel, target:unit_all, turn:-1, count:8, animation:enemy_dis_crashPanel]</v>
      </c>
      <c r="N16" s="47" t="str">
        <f t="shared" si="6"/>
        <v>[effect:invalidate_crash_panel, target:unit_all, turn:-1, count:8, animation:enemy_dis_crashPanel]</v>
      </c>
      <c r="O16" s="62">
        <f t="shared" si="7"/>
        <v>9</v>
      </c>
      <c r="P16" s="62">
        <f t="shared" si="8"/>
        <v>31</v>
      </c>
      <c r="Q16" s="62">
        <f t="shared" si="9"/>
        <v>40</v>
      </c>
      <c r="R16" s="62">
        <f t="shared" si="10"/>
        <v>48</v>
      </c>
      <c r="S16" s="62" t="str">
        <f>IFERROR(VLOOKUP(MID(N16,Q16,R16-Q16),[6]skilldef!$C:$D,2,FALSE),"-") &amp; " / " &amp; IFERROR(VLOOKUP(MID(N16,O16,P16-O16),[6]skilldef!$A:$B,2,FALSE),"-")</f>
        <v>味方全体に / -</v>
      </c>
      <c r="T16" s="47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9"/>
      <c r="AA16" s="51"/>
      <c r="AB16" s="49"/>
      <c r="AC16" s="48">
        <f t="shared" si="16"/>
        <v>12</v>
      </c>
      <c r="AD16" s="48">
        <f t="shared" si="17"/>
        <v>6</v>
      </c>
    </row>
    <row r="17" spans="1:30" ht="21" customHeight="1" x14ac:dyDescent="0.15">
      <c r="A17" s="7">
        <v>58002015</v>
      </c>
      <c r="B17" s="46" t="s">
        <v>256</v>
      </c>
      <c r="C17" s="49">
        <v>1</v>
      </c>
      <c r="D17" s="49" t="s">
        <v>128</v>
      </c>
      <c r="E17" s="50" t="s">
        <v>261</v>
      </c>
      <c r="F17" s="50" t="s">
        <v>262</v>
      </c>
      <c r="G17" s="62" t="str">
        <f t="shared" si="0"/>
        <v>[effect:enemy_message, val1:1.2, val2:1.2]</v>
      </c>
      <c r="H17" s="62">
        <f t="shared" si="1"/>
        <v>9</v>
      </c>
      <c r="I17" s="62">
        <f t="shared" si="2"/>
        <v>22</v>
      </c>
      <c r="J17" s="62" t="e">
        <f t="shared" si="3"/>
        <v>#VALUE!</v>
      </c>
      <c r="K17" s="62">
        <f t="shared" si="4"/>
        <v>32</v>
      </c>
      <c r="L17" s="62" t="str">
        <f>IFERROR(VLOOKUP(MID(G17,J17,K17-J17),[6]skilldef!$C:$D,2,FALSE),"-") &amp; " / " &amp; IFERROR(VLOOKUP(MID(G17,H17,I17-H17),[6]skilldef!$A:$B,2,FALSE),"-")</f>
        <v>- / -</v>
      </c>
      <c r="M17" s="62" t="str">
        <f t="shared" si="5"/>
        <v>none</v>
      </c>
      <c r="N17" s="47" t="str">
        <f t="shared" si="6"/>
        <v>none</v>
      </c>
      <c r="O17" s="62" t="e">
        <f t="shared" si="7"/>
        <v>#VALUE!</v>
      </c>
      <c r="P17" s="62">
        <f t="shared" si="8"/>
        <v>4</v>
      </c>
      <c r="Q17" s="62" t="e">
        <f t="shared" si="9"/>
        <v>#VALUE!</v>
      </c>
      <c r="R17" s="62" t="e">
        <f t="shared" si="10"/>
        <v>#VALUE!</v>
      </c>
      <c r="S17" s="62" t="str">
        <f>IFERROR(VLOOKUP(MID(N17,Q17,R17-Q17),[6]skilldef!$C:$D,2,FALSE),"-") &amp; " / " &amp; IFERROR(VLOOKUP(MID(N17,O17,P17-O17),[6]skilldef!$A:$B,2,FALSE),"-")</f>
        <v>- / -</v>
      </c>
      <c r="T17" s="47" t="str">
        <f t="shared" si="11"/>
        <v>none</v>
      </c>
      <c r="U17" s="62" t="e">
        <f t="shared" si="12"/>
        <v>#VALUE!</v>
      </c>
      <c r="V17" s="62">
        <f t="shared" si="13"/>
        <v>4</v>
      </c>
      <c r="W17" s="62" t="e">
        <f t="shared" si="14"/>
        <v>#VALUE!</v>
      </c>
      <c r="X17" s="62" t="e">
        <f t="shared" si="15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9"/>
      <c r="AA17" s="51"/>
      <c r="AB17" s="49"/>
      <c r="AC17" s="48">
        <f t="shared" si="16"/>
        <v>4</v>
      </c>
      <c r="AD17" s="48">
        <f t="shared" si="17"/>
        <v>3</v>
      </c>
    </row>
    <row r="18" spans="1:30" ht="21" customHeight="1" x14ac:dyDescent="0.15">
      <c r="A18" s="7">
        <v>58002016</v>
      </c>
      <c r="B18" s="46" t="s">
        <v>256</v>
      </c>
      <c r="C18" s="49">
        <v>1</v>
      </c>
      <c r="D18" s="49" t="s">
        <v>128</v>
      </c>
      <c r="E18" s="50" t="s">
        <v>261</v>
      </c>
      <c r="F18" s="50" t="s">
        <v>262</v>
      </c>
      <c r="G18" s="62" t="str">
        <f t="shared" si="0"/>
        <v>[effect:enemy_message, val1:1.2, val2:1.2]</v>
      </c>
      <c r="H18" s="62">
        <f t="shared" si="1"/>
        <v>9</v>
      </c>
      <c r="I18" s="62">
        <f t="shared" si="2"/>
        <v>22</v>
      </c>
      <c r="J18" s="62" t="e">
        <f t="shared" si="3"/>
        <v>#VALUE!</v>
      </c>
      <c r="K18" s="62">
        <f t="shared" si="4"/>
        <v>32</v>
      </c>
      <c r="L18" s="62" t="str">
        <f>IFERROR(VLOOKUP(MID(G18,J18,K18-J18),[6]skilldef!$C:$D,2,FALSE),"-") &amp; " / " &amp; IFERROR(VLOOKUP(MID(G18,H18,I18-H18),[6]skilldef!$A:$B,2,FALSE),"-")</f>
        <v>- / -</v>
      </c>
      <c r="M18" s="62" t="str">
        <f t="shared" si="5"/>
        <v>none</v>
      </c>
      <c r="N18" s="47" t="str">
        <f t="shared" si="6"/>
        <v>none</v>
      </c>
      <c r="O18" s="62" t="e">
        <f t="shared" si="7"/>
        <v>#VALUE!</v>
      </c>
      <c r="P18" s="62">
        <f t="shared" si="8"/>
        <v>4</v>
      </c>
      <c r="Q18" s="62" t="e">
        <f t="shared" si="9"/>
        <v>#VALUE!</v>
      </c>
      <c r="R18" s="62" t="e">
        <f t="shared" si="10"/>
        <v>#VALUE!</v>
      </c>
      <c r="S18" s="62" t="str">
        <f>IFERROR(VLOOKUP(MID(N18,Q18,R18-Q18),[6]skilldef!$C:$D,2,FALSE),"-") &amp; " / " &amp; IFERROR(VLOOKUP(MID(N18,O18,P18-O18),[6]skilldef!$A:$B,2,FALSE),"-")</f>
        <v>- / -</v>
      </c>
      <c r="T18" s="47" t="str">
        <f t="shared" si="11"/>
        <v>none</v>
      </c>
      <c r="U18" s="62" t="e">
        <f t="shared" si="12"/>
        <v>#VALUE!</v>
      </c>
      <c r="V18" s="62">
        <f t="shared" si="13"/>
        <v>4</v>
      </c>
      <c r="W18" s="62" t="e">
        <f t="shared" si="14"/>
        <v>#VALUE!</v>
      </c>
      <c r="X18" s="62" t="e">
        <f t="shared" si="15"/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49"/>
      <c r="AA18" s="51"/>
      <c r="AB18" s="49"/>
      <c r="AC18" s="48">
        <f t="shared" si="16"/>
        <v>4</v>
      </c>
      <c r="AD18" s="48">
        <f t="shared" si="17"/>
        <v>3</v>
      </c>
    </row>
    <row r="19" spans="1:30" ht="21" customHeight="1" x14ac:dyDescent="0.15">
      <c r="A19" s="7">
        <v>58002017</v>
      </c>
      <c r="B19" s="46" t="s">
        <v>256</v>
      </c>
      <c r="C19" s="49">
        <v>1</v>
      </c>
      <c r="D19" s="49" t="s">
        <v>128</v>
      </c>
      <c r="E19" s="50" t="s">
        <v>261</v>
      </c>
      <c r="F19" s="50" t="s">
        <v>262</v>
      </c>
      <c r="G19" s="62" t="str">
        <f t="shared" si="0"/>
        <v>[effect:enemy_message, val1:1.2, val2:1.2]</v>
      </c>
      <c r="H19" s="62">
        <f t="shared" si="1"/>
        <v>9</v>
      </c>
      <c r="I19" s="62">
        <f t="shared" si="2"/>
        <v>22</v>
      </c>
      <c r="J19" s="62" t="e">
        <f t="shared" si="3"/>
        <v>#VALUE!</v>
      </c>
      <c r="K19" s="62">
        <f t="shared" si="4"/>
        <v>32</v>
      </c>
      <c r="L19" s="62" t="str">
        <f>IFERROR(VLOOKUP(MID(G19,J19,K19-J19),[6]skilldef!$C:$D,2,FALSE),"-") &amp; " / " &amp; IFERROR(VLOOKUP(MID(G19,H19,I19-H19),[6]skilldef!$A:$B,2,FALSE),"-")</f>
        <v>- / -</v>
      </c>
      <c r="M19" s="62" t="str">
        <f t="shared" si="5"/>
        <v>none</v>
      </c>
      <c r="N19" s="47" t="str">
        <f t="shared" si="6"/>
        <v>none</v>
      </c>
      <c r="O19" s="62" t="e">
        <f t="shared" si="7"/>
        <v>#VALUE!</v>
      </c>
      <c r="P19" s="62">
        <f t="shared" si="8"/>
        <v>4</v>
      </c>
      <c r="Q19" s="62" t="e">
        <f t="shared" si="9"/>
        <v>#VALUE!</v>
      </c>
      <c r="R19" s="62" t="e">
        <f t="shared" si="10"/>
        <v>#VALUE!</v>
      </c>
      <c r="S19" s="62" t="str">
        <f>IFERROR(VLOOKUP(MID(N19,Q19,R19-Q19),[6]skilldef!$C:$D,2,FALSE),"-") &amp; " / " &amp; IFERROR(VLOOKUP(MID(N19,O19,P19-O19),[6]skilldef!$A:$B,2,FALSE),"-")</f>
        <v>- / -</v>
      </c>
      <c r="T19" s="47" t="str">
        <f t="shared" si="11"/>
        <v>none</v>
      </c>
      <c r="U19" s="62" t="e">
        <f t="shared" si="12"/>
        <v>#VALUE!</v>
      </c>
      <c r="V19" s="62">
        <f t="shared" si="13"/>
        <v>4</v>
      </c>
      <c r="W19" s="62" t="e">
        <f t="shared" si="14"/>
        <v>#VALUE!</v>
      </c>
      <c r="X19" s="62" t="e">
        <f t="shared" si="15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9"/>
      <c r="AA19" s="51"/>
      <c r="AB19" s="49"/>
      <c r="AC19" s="48">
        <f t="shared" si="16"/>
        <v>4</v>
      </c>
      <c r="AD19" s="48">
        <f t="shared" si="17"/>
        <v>3</v>
      </c>
    </row>
    <row r="20" spans="1:30" ht="21" customHeight="1" x14ac:dyDescent="0.15">
      <c r="A20" s="7">
        <v>58002018</v>
      </c>
      <c r="B20" s="46" t="s">
        <v>256</v>
      </c>
      <c r="C20" s="49">
        <v>1</v>
      </c>
      <c r="D20" s="49" t="s">
        <v>128</v>
      </c>
      <c r="E20" s="50" t="s">
        <v>261</v>
      </c>
      <c r="F20" s="50" t="s">
        <v>262</v>
      </c>
      <c r="G20" s="62" t="str">
        <f t="shared" si="0"/>
        <v>[effect:enemy_message, val1:1.2, val2:1.2]</v>
      </c>
      <c r="H20" s="62">
        <f t="shared" si="1"/>
        <v>9</v>
      </c>
      <c r="I20" s="62">
        <f t="shared" si="2"/>
        <v>22</v>
      </c>
      <c r="J20" s="62" t="e">
        <f t="shared" si="3"/>
        <v>#VALUE!</v>
      </c>
      <c r="K20" s="62">
        <f t="shared" si="4"/>
        <v>32</v>
      </c>
      <c r="L20" s="62" t="str">
        <f>IFERROR(VLOOKUP(MID(G20,J20,K20-J20),[6]skilldef!$C:$D,2,FALSE),"-") &amp; " / " &amp; IFERROR(VLOOKUP(MID(G20,H20,I20-H20),[6]skilldef!$A:$B,2,FALSE),"-")</f>
        <v>- / -</v>
      </c>
      <c r="M20" s="62" t="str">
        <f t="shared" si="5"/>
        <v>none</v>
      </c>
      <c r="N20" s="47" t="str">
        <f t="shared" si="6"/>
        <v>none</v>
      </c>
      <c r="O20" s="62" t="e">
        <f t="shared" si="7"/>
        <v>#VALUE!</v>
      </c>
      <c r="P20" s="62">
        <f t="shared" si="8"/>
        <v>4</v>
      </c>
      <c r="Q20" s="62" t="e">
        <f t="shared" si="9"/>
        <v>#VALUE!</v>
      </c>
      <c r="R20" s="62" t="e">
        <f t="shared" si="10"/>
        <v>#VALUE!</v>
      </c>
      <c r="S20" s="62" t="str">
        <f>IFERROR(VLOOKUP(MID(N20,Q20,R20-Q20),[6]skilldef!$C:$D,2,FALSE),"-") &amp; " / " &amp; IFERROR(VLOOKUP(MID(N20,O20,P20-O20),[6]skilldef!$A:$B,2,FALSE),"-")</f>
        <v>- / -</v>
      </c>
      <c r="T20" s="47" t="str">
        <f t="shared" si="11"/>
        <v>none</v>
      </c>
      <c r="U20" s="62" t="e">
        <f t="shared" si="12"/>
        <v>#VALUE!</v>
      </c>
      <c r="V20" s="62">
        <f t="shared" si="13"/>
        <v>4</v>
      </c>
      <c r="W20" s="62" t="e">
        <f t="shared" si="14"/>
        <v>#VALUE!</v>
      </c>
      <c r="X20" s="62" t="e">
        <f t="shared" si="15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49"/>
      <c r="AA20" s="51"/>
      <c r="AB20" s="49"/>
      <c r="AC20" s="48">
        <f t="shared" si="16"/>
        <v>4</v>
      </c>
      <c r="AD20" s="48">
        <f t="shared" si="17"/>
        <v>3</v>
      </c>
    </row>
    <row r="21" spans="1:30" ht="21" customHeight="1" x14ac:dyDescent="0.15">
      <c r="A21" s="7">
        <v>58002019</v>
      </c>
      <c r="B21" s="46" t="s">
        <v>256</v>
      </c>
      <c r="C21" s="49">
        <v>1</v>
      </c>
      <c r="D21" s="49" t="s">
        <v>128</v>
      </c>
      <c r="E21" s="50" t="s">
        <v>261</v>
      </c>
      <c r="F21" s="50" t="s">
        <v>262</v>
      </c>
      <c r="G21" s="62" t="str">
        <f t="shared" si="0"/>
        <v>[effect:enemy_message, val1:1.2, val2:1.2]</v>
      </c>
      <c r="H21" s="62">
        <f t="shared" si="1"/>
        <v>9</v>
      </c>
      <c r="I21" s="62">
        <f t="shared" si="2"/>
        <v>22</v>
      </c>
      <c r="J21" s="62" t="e">
        <f t="shared" si="3"/>
        <v>#VALUE!</v>
      </c>
      <c r="K21" s="62">
        <f t="shared" si="4"/>
        <v>32</v>
      </c>
      <c r="L21" s="62" t="str">
        <f>IFERROR(VLOOKUP(MID(G21,J21,K21-J21),[6]skilldef!$C:$D,2,FALSE),"-") &amp; " / " &amp; IFERROR(VLOOKUP(MID(G21,H21,I21-H21),[6]skilldef!$A:$B,2,FALSE),"-")</f>
        <v>- / -</v>
      </c>
      <c r="M21" s="62" t="str">
        <f t="shared" si="5"/>
        <v>none</v>
      </c>
      <c r="N21" s="47" t="str">
        <f t="shared" si="6"/>
        <v>none</v>
      </c>
      <c r="O21" s="62" t="e">
        <f t="shared" si="7"/>
        <v>#VALUE!</v>
      </c>
      <c r="P21" s="62">
        <f t="shared" si="8"/>
        <v>4</v>
      </c>
      <c r="Q21" s="62" t="e">
        <f t="shared" si="9"/>
        <v>#VALUE!</v>
      </c>
      <c r="R21" s="62" t="e">
        <f t="shared" si="10"/>
        <v>#VALUE!</v>
      </c>
      <c r="S21" s="62" t="str">
        <f>IFERROR(VLOOKUP(MID(N21,Q21,R21-Q21),[6]skilldef!$C:$D,2,FALSE),"-") &amp; " / " &amp; IFERROR(VLOOKUP(MID(N21,O21,P21-O21),[6]skilldef!$A:$B,2,FALSE),"-")</f>
        <v>- / -</v>
      </c>
      <c r="T21" s="47" t="str">
        <f t="shared" si="11"/>
        <v>none</v>
      </c>
      <c r="U21" s="62" t="e">
        <f t="shared" si="12"/>
        <v>#VALUE!</v>
      </c>
      <c r="V21" s="62">
        <f t="shared" si="13"/>
        <v>4</v>
      </c>
      <c r="W21" s="62" t="e">
        <f t="shared" si="14"/>
        <v>#VALUE!</v>
      </c>
      <c r="X21" s="62" t="e">
        <f t="shared" si="15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49"/>
      <c r="AA21" s="51"/>
      <c r="AB21" s="49"/>
      <c r="AC21" s="48">
        <f t="shared" si="16"/>
        <v>4</v>
      </c>
      <c r="AD21" s="48">
        <f t="shared" si="17"/>
        <v>3</v>
      </c>
    </row>
    <row r="22" spans="1:30" ht="21" customHeight="1" x14ac:dyDescent="0.15">
      <c r="A22" s="7">
        <v>58002020</v>
      </c>
      <c r="B22" s="46" t="s">
        <v>273</v>
      </c>
      <c r="C22" s="49">
        <v>1</v>
      </c>
      <c r="D22" s="49" t="s">
        <v>128</v>
      </c>
      <c r="E22" s="50" t="s">
        <v>324</v>
      </c>
      <c r="F22" s="50" t="s">
        <v>290</v>
      </c>
      <c r="G22" s="62" t="str">
        <f t="shared" si="0"/>
        <v>[effect:enemy_message, val1:1.2, val2:1.2]</v>
      </c>
      <c r="H22" s="62">
        <f t="shared" si="1"/>
        <v>9</v>
      </c>
      <c r="I22" s="62">
        <f t="shared" si="2"/>
        <v>22</v>
      </c>
      <c r="J22" s="62" t="e">
        <f t="shared" si="3"/>
        <v>#VALUE!</v>
      </c>
      <c r="K22" s="62">
        <f t="shared" si="4"/>
        <v>32</v>
      </c>
      <c r="L22" s="62" t="str">
        <f>IFERROR(VLOOKUP(MID(G22,J22,K22-J22),[6]skilldef!$C:$D,2,FALSE),"-") &amp; " / " &amp; IFERROR(VLOOKUP(MID(G22,H22,I22-H22),[6]skilldef!$A:$B,2,FALSE),"-")</f>
        <v>- / -</v>
      </c>
      <c r="M22" s="62" t="str">
        <f t="shared" si="5"/>
        <v>[effect:enhance_enemy, target:myself, turn:-1, status:defense, val:2000, calc:add, animation:enemy_enhance_defense]</v>
      </c>
      <c r="N22" s="47" t="str">
        <f t="shared" si="6"/>
        <v>[effect:enhance_enemy, target:myself, turn:-1, status:defense, val:2000, calc:add, animation:enemy_enhance_defense]</v>
      </c>
      <c r="O22" s="62">
        <f t="shared" si="7"/>
        <v>9</v>
      </c>
      <c r="P22" s="62">
        <f t="shared" si="8"/>
        <v>22</v>
      </c>
      <c r="Q22" s="62">
        <f t="shared" si="9"/>
        <v>31</v>
      </c>
      <c r="R22" s="62">
        <f t="shared" si="10"/>
        <v>37</v>
      </c>
      <c r="S22" s="62" t="str">
        <f>IFERROR(VLOOKUP(MID(N22,Q22,R22-Q22),[6]skilldef!$C:$D,2,FALSE),"-") &amp; " / " &amp; IFERROR(VLOOKUP(MID(N22,O22,P22-O22),[6]skilldef!$A:$B,2,FALSE),"-")</f>
        <v>自分自身に / ステータス強化</v>
      </c>
      <c r="T22" s="47" t="str">
        <f t="shared" si="11"/>
        <v>none</v>
      </c>
      <c r="U22" s="62" t="e">
        <f t="shared" si="12"/>
        <v>#VALUE!</v>
      </c>
      <c r="V22" s="62">
        <f t="shared" si="13"/>
        <v>4</v>
      </c>
      <c r="W22" s="62" t="e">
        <f t="shared" si="14"/>
        <v>#VALUE!</v>
      </c>
      <c r="X22" s="62" t="e">
        <f t="shared" si="15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49"/>
      <c r="AA22" s="51"/>
      <c r="AB22" s="49"/>
      <c r="AC22" s="48">
        <f t="shared" si="16"/>
        <v>2</v>
      </c>
      <c r="AD22" s="48">
        <f t="shared" si="17"/>
        <v>8</v>
      </c>
    </row>
    <row r="23" spans="1:30" ht="21" customHeight="1" x14ac:dyDescent="0.15">
      <c r="A23" s="7">
        <v>58002021</v>
      </c>
      <c r="B23" s="46" t="s">
        <v>410</v>
      </c>
      <c r="C23" s="49">
        <v>1</v>
      </c>
      <c r="D23" s="49" t="s">
        <v>128</v>
      </c>
      <c r="E23" s="50" t="s">
        <v>327</v>
      </c>
      <c r="F23" s="50" t="s">
        <v>389</v>
      </c>
      <c r="G23" s="62" t="str">
        <f t="shared" si="0"/>
        <v>[effect:enemy_message, val1:1.2, val2:2.3]</v>
      </c>
      <c r="H23" s="62">
        <f t="shared" si="1"/>
        <v>9</v>
      </c>
      <c r="I23" s="62">
        <f t="shared" si="2"/>
        <v>22</v>
      </c>
      <c r="J23" s="62" t="e">
        <f t="shared" si="3"/>
        <v>#VALUE!</v>
      </c>
      <c r="K23" s="62">
        <f t="shared" si="4"/>
        <v>32</v>
      </c>
      <c r="L23" s="62" t="str">
        <f>IFERROR(VLOOKUP(MID(G23,J23,K23-J23),[6]skilldef!$C:$D,2,FALSE),"-") &amp; " / " &amp; IFERROR(VLOOKUP(MID(G23,H23,I23-H23),[6]skilldef!$A:$B,2,FALSE),"-")</f>
        <v>- / -</v>
      </c>
      <c r="M23" s="62" t="str">
        <f t="shared" si="5"/>
        <v>[effect:rush, count:1, val:1],[effect:force_change_block, new_block:jammer, target:normal, color:block_green, count:2, val:0, animation:change_block]</v>
      </c>
      <c r="N23" s="47" t="str">
        <f t="shared" si="6"/>
        <v>[effect:rush, count:1, val:1],[effect:force_change_block, new_block:jammer, target:normal, color:block_green, count:2, val:0, animation:change_block]</v>
      </c>
      <c r="O23" s="62">
        <f t="shared" si="7"/>
        <v>9</v>
      </c>
      <c r="P23" s="62">
        <f t="shared" si="8"/>
        <v>13</v>
      </c>
      <c r="Q23" s="62">
        <f t="shared" si="9"/>
        <v>84</v>
      </c>
      <c r="R23" s="62">
        <f t="shared" si="10"/>
        <v>22</v>
      </c>
      <c r="S23" s="62" t="str">
        <f>IFERROR(VLOOKUP(MID(N23,Q23,R23-Q23),[6]skilldef!$C:$D,2,FALSE),"-") &amp; " / " &amp; IFERROR(VLOOKUP(MID(N23,O23,P23-O23),[6]skilldef!$A:$B,2,FALSE),"-")</f>
        <v>- / 連続攻撃</v>
      </c>
      <c r="T23" s="47" t="str">
        <f t="shared" si="11"/>
        <v>[effect:force_change_block, new_block:jammer, target:normal, color:block_green, count:2, val:0, animation:change_block]</v>
      </c>
      <c r="U23" s="62">
        <f t="shared" si="12"/>
        <v>9</v>
      </c>
      <c r="V23" s="62">
        <f t="shared" si="13"/>
        <v>27</v>
      </c>
      <c r="W23" s="62">
        <f t="shared" si="14"/>
        <v>54</v>
      </c>
      <c r="X23" s="62">
        <f t="shared" si="15"/>
        <v>45</v>
      </c>
      <c r="Y23" s="62" t="str">
        <f>IFERROR(VLOOKUP(MID(T23,W23,X23-W23),[6]skilldef!$C:$D,2,FALSE),"-") &amp; " / " &amp; IFERROR(VLOOKUP(MID(T23,U23,V23-U23),[6]skilldef!$A:$B,2,FALSE),"-")</f>
        <v>- / -</v>
      </c>
      <c r="Z23" s="49"/>
      <c r="AA23" s="51"/>
      <c r="AB23" s="49"/>
      <c r="AC23" s="48">
        <f t="shared" si="16"/>
        <v>4</v>
      </c>
      <c r="AD23" s="48">
        <f t="shared" si="17"/>
        <v>23</v>
      </c>
    </row>
    <row r="24" spans="1:30" ht="21" customHeight="1" x14ac:dyDescent="0.15">
      <c r="A24" s="7">
        <v>58002022</v>
      </c>
      <c r="B24" s="46" t="s">
        <v>256</v>
      </c>
      <c r="C24" s="49">
        <v>1</v>
      </c>
      <c r="D24" s="49" t="s">
        <v>128</v>
      </c>
      <c r="E24" s="50" t="s">
        <v>263</v>
      </c>
      <c r="F24" s="50" t="s">
        <v>262</v>
      </c>
      <c r="G24" s="62" t="str">
        <f t="shared" si="0"/>
        <v>[effect:enemy_message, val1:1.2, val2:1.2]</v>
      </c>
      <c r="H24" s="62">
        <f t="shared" si="1"/>
        <v>9</v>
      </c>
      <c r="I24" s="62">
        <f t="shared" si="2"/>
        <v>22</v>
      </c>
      <c r="J24" s="62" t="e">
        <f t="shared" si="3"/>
        <v>#VALUE!</v>
      </c>
      <c r="K24" s="62">
        <f t="shared" si="4"/>
        <v>32</v>
      </c>
      <c r="L24" s="62" t="str">
        <f>IFERROR(VLOOKUP(MID(G24,J24,K24-J24),[6]skilldef!$C:$D,2,FALSE),"-") &amp; " / " &amp; IFERROR(VLOOKUP(MID(G24,H24,I24-H24),[6]skilldef!$A:$B,2,FALSE),"-")</f>
        <v>- / -</v>
      </c>
      <c r="M24" s="62" t="str">
        <f t="shared" si="5"/>
        <v>none</v>
      </c>
      <c r="N24" s="47" t="str">
        <f t="shared" si="6"/>
        <v>none</v>
      </c>
      <c r="O24" s="62" t="e">
        <f t="shared" si="7"/>
        <v>#VALUE!</v>
      </c>
      <c r="P24" s="62">
        <f t="shared" si="8"/>
        <v>4</v>
      </c>
      <c r="Q24" s="62" t="e">
        <f t="shared" si="9"/>
        <v>#VALUE!</v>
      </c>
      <c r="R24" s="62" t="e">
        <f t="shared" si="10"/>
        <v>#VALUE!</v>
      </c>
      <c r="S24" s="62" t="str">
        <f>IFERROR(VLOOKUP(MID(N24,Q24,R24-Q24),[6]skilldef!$C:$D,2,FALSE),"-") &amp; " / " &amp; IFERROR(VLOOKUP(MID(N24,O24,P24-O24),[6]skilldef!$A:$B,2,FALSE),"-")</f>
        <v>- / -</v>
      </c>
      <c r="T24" s="47" t="str">
        <f t="shared" si="11"/>
        <v>none</v>
      </c>
      <c r="U24" s="62" t="e">
        <f t="shared" si="12"/>
        <v>#VALUE!</v>
      </c>
      <c r="V24" s="62">
        <f t="shared" si="13"/>
        <v>4</v>
      </c>
      <c r="W24" s="62" t="e">
        <f t="shared" si="14"/>
        <v>#VALUE!</v>
      </c>
      <c r="X24" s="62" t="e">
        <f t="shared" si="15"/>
        <v>#VALUE!</v>
      </c>
      <c r="Y24" s="62" t="str">
        <f>IFERROR(VLOOKUP(MID(T24,W24,X24-W24),[6]skilldef!$C:$D,2,FALSE),"-") &amp; " / " &amp; IFERROR(VLOOKUP(MID(T24,U24,V24-U24),[6]skilldef!$A:$B,2,FALSE),"-")</f>
        <v>- / -</v>
      </c>
      <c r="Z24" s="49"/>
      <c r="AA24" s="51"/>
      <c r="AB24" s="49"/>
      <c r="AC24" s="48">
        <f t="shared" si="16"/>
        <v>3</v>
      </c>
      <c r="AD24" s="48">
        <f t="shared" si="17"/>
        <v>3</v>
      </c>
    </row>
    <row r="25" spans="1:30" ht="21" customHeight="1" x14ac:dyDescent="0.15">
      <c r="A25" s="7">
        <v>58002023</v>
      </c>
      <c r="B25" s="46" t="s">
        <v>256</v>
      </c>
      <c r="C25" s="49">
        <v>1</v>
      </c>
      <c r="D25" s="49" t="s">
        <v>128</v>
      </c>
      <c r="E25" s="50" t="s">
        <v>263</v>
      </c>
      <c r="F25" s="50" t="s">
        <v>262</v>
      </c>
      <c r="G25" s="62" t="str">
        <f t="shared" si="0"/>
        <v>[effect:enemy_message, val1:1.2, val2:1.2]</v>
      </c>
      <c r="H25" s="62">
        <f t="shared" si="1"/>
        <v>9</v>
      </c>
      <c r="I25" s="62">
        <f t="shared" si="2"/>
        <v>22</v>
      </c>
      <c r="J25" s="62" t="e">
        <f t="shared" si="3"/>
        <v>#VALUE!</v>
      </c>
      <c r="K25" s="62">
        <f t="shared" si="4"/>
        <v>32</v>
      </c>
      <c r="L25" s="62" t="str">
        <f>IFERROR(VLOOKUP(MID(G25,J25,K25-J25),[6]skilldef!$C:$D,2,FALSE),"-") &amp; " / " &amp; IFERROR(VLOOKUP(MID(G25,H25,I25-H25),[6]skilldef!$A:$B,2,FALSE),"-")</f>
        <v>- / -</v>
      </c>
      <c r="M25" s="62" t="str">
        <f t="shared" si="5"/>
        <v>none</v>
      </c>
      <c r="N25" s="47" t="str">
        <f t="shared" si="6"/>
        <v>none</v>
      </c>
      <c r="O25" s="62" t="e">
        <f t="shared" si="7"/>
        <v>#VALUE!</v>
      </c>
      <c r="P25" s="62">
        <f t="shared" si="8"/>
        <v>4</v>
      </c>
      <c r="Q25" s="62" t="e">
        <f t="shared" si="9"/>
        <v>#VALUE!</v>
      </c>
      <c r="R25" s="62" t="e">
        <f t="shared" si="10"/>
        <v>#VALUE!</v>
      </c>
      <c r="S25" s="62" t="str">
        <f>IFERROR(VLOOKUP(MID(N25,Q25,R25-Q25),[6]skilldef!$C:$D,2,FALSE),"-") &amp; " / " &amp; IFERROR(VLOOKUP(MID(N25,O25,P25-O25),[6]skilldef!$A:$B,2,FALSE),"-")</f>
        <v>- / -</v>
      </c>
      <c r="T25" s="47" t="str">
        <f t="shared" si="11"/>
        <v>none</v>
      </c>
      <c r="U25" s="62" t="e">
        <f t="shared" si="12"/>
        <v>#VALUE!</v>
      </c>
      <c r="V25" s="62">
        <f t="shared" si="13"/>
        <v>4</v>
      </c>
      <c r="W25" s="62" t="e">
        <f t="shared" si="14"/>
        <v>#VALUE!</v>
      </c>
      <c r="X25" s="62" t="e">
        <f t="shared" si="15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49"/>
      <c r="AA25" s="51"/>
      <c r="AB25" s="49"/>
      <c r="AC25" s="48">
        <f t="shared" si="16"/>
        <v>3</v>
      </c>
      <c r="AD25" s="48">
        <f t="shared" si="17"/>
        <v>3</v>
      </c>
    </row>
    <row r="26" spans="1:30" ht="21" customHeight="1" x14ac:dyDescent="0.15">
      <c r="A26" s="7">
        <v>58002024</v>
      </c>
      <c r="B26" s="46" t="s">
        <v>256</v>
      </c>
      <c r="C26" s="49">
        <v>1</v>
      </c>
      <c r="D26" s="49" t="s">
        <v>128</v>
      </c>
      <c r="E26" s="50" t="s">
        <v>263</v>
      </c>
      <c r="F26" s="50" t="s">
        <v>262</v>
      </c>
      <c r="G26" s="62" t="str">
        <f t="shared" si="0"/>
        <v>[effect:enemy_message, val1:1.2, val2:1.2]</v>
      </c>
      <c r="H26" s="62">
        <f t="shared" si="1"/>
        <v>9</v>
      </c>
      <c r="I26" s="62">
        <f t="shared" si="2"/>
        <v>22</v>
      </c>
      <c r="J26" s="62" t="e">
        <f t="shared" si="3"/>
        <v>#VALUE!</v>
      </c>
      <c r="K26" s="62">
        <f t="shared" si="4"/>
        <v>32</v>
      </c>
      <c r="L26" s="62" t="str">
        <f>IFERROR(VLOOKUP(MID(G26,J26,K26-J26),[6]skilldef!$C:$D,2,FALSE),"-") &amp; " / " &amp; IFERROR(VLOOKUP(MID(G26,H26,I26-H26),[6]skilldef!$A:$B,2,FALSE),"-")</f>
        <v>- / -</v>
      </c>
      <c r="M26" s="62" t="str">
        <f t="shared" si="5"/>
        <v>none</v>
      </c>
      <c r="N26" s="47" t="str">
        <f t="shared" si="6"/>
        <v>none</v>
      </c>
      <c r="O26" s="62" t="e">
        <f t="shared" si="7"/>
        <v>#VALUE!</v>
      </c>
      <c r="P26" s="62">
        <f t="shared" si="8"/>
        <v>4</v>
      </c>
      <c r="Q26" s="62" t="e">
        <f t="shared" si="9"/>
        <v>#VALUE!</v>
      </c>
      <c r="R26" s="62" t="e">
        <f t="shared" si="10"/>
        <v>#VALUE!</v>
      </c>
      <c r="S26" s="62" t="str">
        <f>IFERROR(VLOOKUP(MID(N26,Q26,R26-Q26),[6]skilldef!$C:$D,2,FALSE),"-") &amp; " / " &amp; IFERROR(VLOOKUP(MID(N26,O26,P26-O26),[6]skilldef!$A:$B,2,FALSE),"-")</f>
        <v>- / -</v>
      </c>
      <c r="T26" s="47" t="str">
        <f t="shared" si="11"/>
        <v>none</v>
      </c>
      <c r="U26" s="62" t="e">
        <f t="shared" si="12"/>
        <v>#VALUE!</v>
      </c>
      <c r="V26" s="62">
        <f t="shared" si="13"/>
        <v>4</v>
      </c>
      <c r="W26" s="62" t="e">
        <f t="shared" si="14"/>
        <v>#VALUE!</v>
      </c>
      <c r="X26" s="62" t="e">
        <f t="shared" si="15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49"/>
      <c r="AA26" s="51"/>
      <c r="AB26" s="49"/>
      <c r="AC26" s="48">
        <f t="shared" si="16"/>
        <v>3</v>
      </c>
      <c r="AD26" s="48">
        <f t="shared" si="17"/>
        <v>3</v>
      </c>
    </row>
    <row r="27" spans="1:30" ht="21" customHeight="1" x14ac:dyDescent="0.15">
      <c r="A27" s="7">
        <v>58002025</v>
      </c>
      <c r="B27" s="46" t="s">
        <v>467</v>
      </c>
      <c r="C27" s="49">
        <v>1</v>
      </c>
      <c r="D27" s="49" t="s">
        <v>128</v>
      </c>
      <c r="E27" s="50" t="s">
        <v>334</v>
      </c>
      <c r="F27" s="50" t="s">
        <v>298</v>
      </c>
      <c r="G27" s="62" t="str">
        <f t="shared" si="0"/>
        <v>[effect:enemy_message, val1:1.2, val2:1.2]</v>
      </c>
      <c r="H27" s="62">
        <f t="shared" si="1"/>
        <v>9</v>
      </c>
      <c r="I27" s="62">
        <f t="shared" si="2"/>
        <v>22</v>
      </c>
      <c r="J27" s="62" t="e">
        <f t="shared" si="3"/>
        <v>#VALUE!</v>
      </c>
      <c r="K27" s="62">
        <f t="shared" si="4"/>
        <v>32</v>
      </c>
      <c r="L27" s="62" t="str">
        <f>IFERROR(VLOOKUP(MID(G27,J27,K27-J27),[6]skilldef!$C:$D,2,FALSE),"-") &amp; " / " &amp; IFERROR(VLOOKUP(MID(G27,H27,I27-H27),[6]skilldef!$A:$B,2,FALSE),"-")</f>
        <v>- / -</v>
      </c>
      <c r="M27" s="62" t="str">
        <f t="shared" si="5"/>
        <v>[effect:fix_speed, target:myself, turn:1],[effect:tolerance, target:myself, turn:-1, count:-1, tolerance_effect:all, animation:enemy_tolerance],[effect:enhance_enemy, target:myself, turn:-1, status:defense, val:50000, calc:add, animation:enemy_enhance_defense]</v>
      </c>
      <c r="N27" s="47" t="str">
        <f t="shared" si="6"/>
        <v>[effect:fix_speed, target:myself, turn:1],[effect:tolerance, target:myself, turn:-1, count:-1, tolerance_effect:all, animation:enemy_tolerance],[effect:enhance_enemy, target:myself, turn:-1, status:defense, val:50000, calc:add, animation:enemy_enhance_defense]</v>
      </c>
      <c r="O27" s="62">
        <f t="shared" si="7"/>
        <v>9</v>
      </c>
      <c r="P27" s="62">
        <f t="shared" si="8"/>
        <v>18</v>
      </c>
      <c r="Q27" s="62">
        <f t="shared" si="9"/>
        <v>27</v>
      </c>
      <c r="R27" s="62">
        <f t="shared" si="10"/>
        <v>33</v>
      </c>
      <c r="S27" s="62" t="str">
        <f>IFERROR(VLOOKUP(MID(N27,Q27,R27-Q27),[6]skilldef!$C:$D,2,FALSE),"-") &amp; " / " &amp; IFERROR(VLOOKUP(MID(N27,O27,P27-O27),[6]skilldef!$A:$B,2,FALSE),"-")</f>
        <v>自分自身に / 行動値設定</v>
      </c>
      <c r="T27" s="47" t="str">
        <f t="shared" si="11"/>
        <v>[effect:tolerance, target:myself, turn:-1, count:-1, tolerance_effect:all, animation:enemy_tolerance],[effect:enhance_enemy, target:myself, turn:-1, status:defense, val:50000, calc:add, animation:enemy_enhance_defense]</v>
      </c>
      <c r="U27" s="62">
        <f t="shared" si="12"/>
        <v>9</v>
      </c>
      <c r="V27" s="62">
        <f t="shared" si="13"/>
        <v>18</v>
      </c>
      <c r="W27" s="62">
        <f t="shared" si="14"/>
        <v>27</v>
      </c>
      <c r="X27" s="62">
        <f t="shared" si="15"/>
        <v>33</v>
      </c>
      <c r="Y27" s="62" t="str">
        <f>IFERROR(VLOOKUP(MID(T27,W27,X27-W27),[6]skilldef!$C:$D,2,FALSE),"-") &amp; " / " &amp; IFERROR(VLOOKUP(MID(T27,U27,V27-U27),[6]skilldef!$A:$B,2,FALSE),"-")</f>
        <v>自分自身に / 状態異常耐性</v>
      </c>
      <c r="Z27" s="49"/>
      <c r="AA27" s="51"/>
      <c r="AB27" s="49"/>
      <c r="AC27" s="48">
        <f t="shared" si="16"/>
        <v>12</v>
      </c>
      <c r="AD27" s="48">
        <f t="shared" si="17"/>
        <v>12</v>
      </c>
    </row>
    <row r="28" spans="1:30" ht="21" customHeight="1" x14ac:dyDescent="0.15">
      <c r="A28" s="7">
        <v>58002026</v>
      </c>
      <c r="B28" s="46" t="s">
        <v>411</v>
      </c>
      <c r="C28" s="49">
        <v>1</v>
      </c>
      <c r="D28" s="49" t="s">
        <v>128</v>
      </c>
      <c r="E28" s="50" t="s">
        <v>333</v>
      </c>
      <c r="F28" s="50" t="s">
        <v>390</v>
      </c>
      <c r="G28" s="62" t="str">
        <f t="shared" si="0"/>
        <v>[effect:enemy_message, val1:1.2, val2:2.8]</v>
      </c>
      <c r="H28" s="62">
        <f t="shared" si="1"/>
        <v>9</v>
      </c>
      <c r="I28" s="62">
        <f t="shared" si="2"/>
        <v>22</v>
      </c>
      <c r="J28" s="62" t="e">
        <f t="shared" si="3"/>
        <v>#VALUE!</v>
      </c>
      <c r="K28" s="62">
        <f t="shared" si="4"/>
        <v>32</v>
      </c>
      <c r="L28" s="62" t="str">
        <f>IFERROR(VLOOKUP(MID(G28,J28,K28-J28),[6]skilldef!$C:$D,2,FALSE),"-") &amp; " / " &amp; IFERROR(VLOOKUP(MID(G28,H28,I28-H28),[6]skilldef!$A:$B,2,FALSE),"-")</f>
        <v>- / -</v>
      </c>
      <c r="M28" s="62" t="str">
        <f t="shared" si="5"/>
        <v>[effect:rush, count:3, val:0.4],[effect:force_change_block, new_block:time_bomb, target:normal, color:block_green, count:3, val:0.1, animation:change_block],[effect:panel_freeze, target:time_bomb, count:-1]</v>
      </c>
      <c r="N28" s="47" t="str">
        <f t="shared" si="6"/>
        <v>[effect:rush, count:3, val:0.4],[effect:force_change_block, new_block:time_bomb, target:normal, color:block_green, count:3, val:0.1, animation:change_block],[effect:panel_freeze, target:time_bomb, count:-1]</v>
      </c>
      <c r="O28" s="62">
        <f t="shared" si="7"/>
        <v>9</v>
      </c>
      <c r="P28" s="62">
        <f t="shared" si="8"/>
        <v>13</v>
      </c>
      <c r="Q28" s="62">
        <f t="shared" si="9"/>
        <v>89</v>
      </c>
      <c r="R28" s="62">
        <f t="shared" si="10"/>
        <v>22</v>
      </c>
      <c r="S28" s="62" t="str">
        <f>IFERROR(VLOOKUP(MID(N28,Q28,R28-Q28),[6]skilldef!$C:$D,2,FALSE),"-") &amp; " / " &amp; IFERROR(VLOOKUP(MID(N28,O28,P28-O28),[6]skilldef!$A:$B,2,FALSE),"-")</f>
        <v>- / 連続攻撃</v>
      </c>
      <c r="T28" s="47" t="str">
        <f t="shared" si="11"/>
        <v>[effect:force_change_block, new_block:time_bomb, target:normal, color:block_green, count:3, val:0.1, animation:change_block],[effect:panel_freeze, target:time_bomb, count:-1]</v>
      </c>
      <c r="U28" s="62">
        <f t="shared" si="12"/>
        <v>9</v>
      </c>
      <c r="V28" s="62">
        <f t="shared" si="13"/>
        <v>27</v>
      </c>
      <c r="W28" s="62">
        <f t="shared" si="14"/>
        <v>57</v>
      </c>
      <c r="X28" s="62">
        <f t="shared" si="15"/>
        <v>48</v>
      </c>
      <c r="Y28" s="62" t="str">
        <f>IFERROR(VLOOKUP(MID(T28,W28,X28-W28),[6]skilldef!$C:$D,2,FALSE),"-") &amp; " / " &amp; IFERROR(VLOOKUP(MID(T28,U28,V28-U28),[6]skilldef!$A:$B,2,FALSE),"-")</f>
        <v>- / -</v>
      </c>
      <c r="Z28" s="49"/>
      <c r="AA28" s="51"/>
      <c r="AB28" s="49"/>
      <c r="AC28" s="48">
        <f t="shared" si="16"/>
        <v>9</v>
      </c>
      <c r="AD28" s="48">
        <f t="shared" si="17"/>
        <v>28</v>
      </c>
    </row>
    <row r="29" spans="1:30" ht="21" customHeight="1" x14ac:dyDescent="0.15">
      <c r="A29" s="7">
        <v>58002027</v>
      </c>
      <c r="B29" s="46" t="s">
        <v>412</v>
      </c>
      <c r="C29" s="49">
        <v>1</v>
      </c>
      <c r="D29" s="49" t="s">
        <v>128</v>
      </c>
      <c r="E29" s="50" t="s">
        <v>337</v>
      </c>
      <c r="F29" s="50" t="s">
        <v>299</v>
      </c>
      <c r="G29" s="62" t="str">
        <f t="shared" si="0"/>
        <v>[effect:enemy_message, val1:1.2, val2:1.9]</v>
      </c>
      <c r="H29" s="62">
        <f t="shared" si="1"/>
        <v>9</v>
      </c>
      <c r="I29" s="62">
        <f t="shared" si="2"/>
        <v>22</v>
      </c>
      <c r="J29" s="62" t="e">
        <f t="shared" si="3"/>
        <v>#VALUE!</v>
      </c>
      <c r="K29" s="62">
        <f t="shared" si="4"/>
        <v>32</v>
      </c>
      <c r="L29" s="62" t="str">
        <f>IFERROR(VLOOKUP(MID(G29,J29,K29-J29),[6]skilldef!$C:$D,2,FALSE),"-") &amp; " / " &amp; IFERROR(VLOOKUP(MID(G29,H29,I29-H29),[6]skilldef!$A:$B,2,FALSE),"-")</f>
        <v>- / -</v>
      </c>
      <c r="M29" s="62" t="str">
        <f t="shared" si="5"/>
        <v>[effect:break_attack, target:unit_all, val:0.03, lowest_val:3000, count:-1, color:blue, block01:time_bomb]</v>
      </c>
      <c r="N29" s="47" t="str">
        <f t="shared" si="6"/>
        <v>[effect:break_attack, target:unit_all, val:0.03, lowest_val:3000, count:-1, color:blue, block01:time_bomb]</v>
      </c>
      <c r="O29" s="62">
        <f t="shared" si="7"/>
        <v>9</v>
      </c>
      <c r="P29" s="62">
        <f t="shared" si="8"/>
        <v>21</v>
      </c>
      <c r="Q29" s="62">
        <f t="shared" si="9"/>
        <v>30</v>
      </c>
      <c r="R29" s="62">
        <f t="shared" si="10"/>
        <v>38</v>
      </c>
      <c r="S29" s="62" t="str">
        <f>IFERROR(VLOOKUP(MID(N29,Q29,R29-Q29),[6]skilldef!$C:$D,2,FALSE),"-") &amp; " / " &amp; IFERROR(VLOOKUP(MID(N29,O29,P29-O29),[6]skilldef!$A:$B,2,FALSE),"-")</f>
        <v>味方全体に / -</v>
      </c>
      <c r="T29" s="47" t="str">
        <f t="shared" si="11"/>
        <v>none</v>
      </c>
      <c r="U29" s="62" t="e">
        <f t="shared" si="12"/>
        <v>#VALUE!</v>
      </c>
      <c r="V29" s="62">
        <f t="shared" si="13"/>
        <v>4</v>
      </c>
      <c r="W29" s="62" t="e">
        <f t="shared" si="14"/>
        <v>#VALUE!</v>
      </c>
      <c r="X29" s="62" t="e">
        <f t="shared" si="15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49"/>
      <c r="AA29" s="51"/>
      <c r="AB29" s="49"/>
      <c r="AC29" s="48">
        <f t="shared" si="16"/>
        <v>7</v>
      </c>
      <c r="AD29" s="48">
        <f t="shared" si="17"/>
        <v>19</v>
      </c>
    </row>
    <row r="30" spans="1:30" ht="21" customHeight="1" x14ac:dyDescent="0.15">
      <c r="A30" s="7">
        <v>58002028</v>
      </c>
      <c r="B30" s="46" t="s">
        <v>413</v>
      </c>
      <c r="C30" s="49">
        <v>1</v>
      </c>
      <c r="D30" s="49" t="s">
        <v>128</v>
      </c>
      <c r="E30" s="50" t="s">
        <v>335</v>
      </c>
      <c r="F30" s="50" t="s">
        <v>300</v>
      </c>
      <c r="G30" s="62" t="str">
        <f t="shared" si="0"/>
        <v>[effect:enemy_message, val1:1.2, val2:1.6]</v>
      </c>
      <c r="H30" s="62">
        <f t="shared" si="1"/>
        <v>9</v>
      </c>
      <c r="I30" s="62">
        <f t="shared" si="2"/>
        <v>22</v>
      </c>
      <c r="J30" s="62" t="e">
        <f t="shared" si="3"/>
        <v>#VALUE!</v>
      </c>
      <c r="K30" s="62">
        <f t="shared" si="4"/>
        <v>32</v>
      </c>
      <c r="L30" s="62" t="str">
        <f>IFERROR(VLOOKUP(MID(G30,J30,K30-J30),[6]skilldef!$C:$D,2,FALSE),"-") &amp; " / " &amp; IFERROR(VLOOKUP(MID(G30,H30,I30-H30),[6]skilldef!$A:$B,2,FALSE),"-")</f>
        <v>- / -</v>
      </c>
      <c r="M30" s="62" t="str">
        <f t="shared" si="5"/>
        <v>[effect:guard_break, target:myself, turn:-1, val:999999, calc:add, animation:guard_break01],[effect:enhance_enemy, target:myself, turn:-1, status:attack, val:0.5, calc:mul, animation:enemy_enhance_attack]</v>
      </c>
      <c r="N30" s="47" t="str">
        <f t="shared" ref="N30:N35" si="18">IFERROR(LEFT(M30,FIND("],",M30)+S41),M30)</f>
        <v>[effect:guard_break, target:myself, turn:-1, val:999999, calc:add, animation:guard_break01],[effect:enhance_enemy, target:myself, turn:-1, status:attack, val:0.5, calc:mul, animation:enemy_enhance_attack]</v>
      </c>
      <c r="O30" s="62">
        <f t="shared" si="7"/>
        <v>9</v>
      </c>
      <c r="P30" s="62">
        <f t="shared" si="8"/>
        <v>20</v>
      </c>
      <c r="Q30" s="62">
        <f t="shared" si="9"/>
        <v>29</v>
      </c>
      <c r="R30" s="62">
        <f t="shared" si="10"/>
        <v>35</v>
      </c>
      <c r="S30" s="62" t="str">
        <f>IFERROR(VLOOKUP(MID(N30,Q30,R30-Q30),[6]skilldef!$C:$D,2,FALSE),"-") &amp; " / " &amp; IFERROR(VLOOKUP(MID(N30,O30,P30-O30),[6]skilldef!$A:$B,2,FALSE),"-")</f>
        <v>自分自身に / -</v>
      </c>
      <c r="T30" s="47" t="str">
        <f t="shared" si="11"/>
        <v>[effect:enhance_enemy, target:myself, turn:-1, status:attack, val:0.5, calc:mul, animation:enemy_enhance_attack]</v>
      </c>
      <c r="U30" s="62">
        <f t="shared" si="12"/>
        <v>9</v>
      </c>
      <c r="V30" s="62">
        <f t="shared" si="13"/>
        <v>22</v>
      </c>
      <c r="W30" s="62">
        <f t="shared" si="14"/>
        <v>31</v>
      </c>
      <c r="X30" s="62">
        <f t="shared" si="15"/>
        <v>37</v>
      </c>
      <c r="Y30" s="62" t="str">
        <f>IFERROR(VLOOKUP(MID(T30,W30,X30-W30),[6]skilldef!$C:$D,2,FALSE),"-") &amp; " / " &amp; IFERROR(VLOOKUP(MID(T30,U30,V30-U30),[6]skilldef!$A:$B,2,FALSE),"-")</f>
        <v>自分自身に / ステータス強化</v>
      </c>
      <c r="Z30" s="49"/>
      <c r="AA30" s="51"/>
      <c r="AB30" s="49"/>
      <c r="AC30" s="48">
        <f t="shared" si="16"/>
        <v>7</v>
      </c>
      <c r="AD30" s="48">
        <f t="shared" si="17"/>
        <v>16</v>
      </c>
    </row>
    <row r="31" spans="1:30" ht="21" customHeight="1" x14ac:dyDescent="0.15">
      <c r="A31" s="7">
        <v>58002029</v>
      </c>
      <c r="B31" s="46" t="s">
        <v>414</v>
      </c>
      <c r="C31" s="49">
        <v>1</v>
      </c>
      <c r="D31" s="49" t="s">
        <v>128</v>
      </c>
      <c r="E31" s="50" t="s">
        <v>336</v>
      </c>
      <c r="F31" s="50" t="s">
        <v>301</v>
      </c>
      <c r="G31" s="62" t="str">
        <f t="shared" si="0"/>
        <v>[effect:enemy_message, val1:1.3, val2:1.2]</v>
      </c>
      <c r="H31" s="62">
        <f t="shared" si="1"/>
        <v>9</v>
      </c>
      <c r="I31" s="62">
        <f t="shared" si="2"/>
        <v>22</v>
      </c>
      <c r="J31" s="62" t="e">
        <f t="shared" si="3"/>
        <v>#VALUE!</v>
      </c>
      <c r="K31" s="62">
        <f t="shared" si="4"/>
        <v>32</v>
      </c>
      <c r="L31" s="62" t="str">
        <f>IFERROR(VLOOKUP(MID(G31,J31,K31-J31),[6]skilldef!$C:$D,2,FALSE),"-") &amp; " / " &amp; IFERROR(VLOOKUP(MID(G31,H31,I31-H31),[6]skilldef!$A:$B,2,FALSE),"-")</f>
        <v>- / -</v>
      </c>
      <c r="M31" s="62" t="str">
        <f t="shared" si="5"/>
        <v>[effect:heal, target:myself, val:0.3, animation:enemy_heal]</v>
      </c>
      <c r="N31" s="47" t="str">
        <f t="shared" si="18"/>
        <v>[effect:heal, target:myself, val:0.3, animation:enemy_heal]</v>
      </c>
      <c r="O31" s="62">
        <f t="shared" si="7"/>
        <v>9</v>
      </c>
      <c r="P31" s="62">
        <f t="shared" si="8"/>
        <v>13</v>
      </c>
      <c r="Q31" s="62">
        <f t="shared" si="9"/>
        <v>22</v>
      </c>
      <c r="R31" s="62">
        <f t="shared" si="10"/>
        <v>28</v>
      </c>
      <c r="S31" s="62" t="str">
        <f>IFERROR(VLOOKUP(MID(N31,Q31,R31-Q31),[6]skilldef!$C:$D,2,FALSE),"-") &amp; " / " &amp; IFERROR(VLOOKUP(MID(N31,O31,P31-O31),[6]skilldef!$A:$B,2,FALSE),"-")</f>
        <v>自分自身に / 回復</v>
      </c>
      <c r="T31" s="47" t="str">
        <f t="shared" si="11"/>
        <v>none</v>
      </c>
      <c r="U31" s="62" t="e">
        <f t="shared" si="12"/>
        <v>#VALUE!</v>
      </c>
      <c r="V31" s="62">
        <f t="shared" si="13"/>
        <v>4</v>
      </c>
      <c r="W31" s="62" t="e">
        <f t="shared" si="14"/>
        <v>#VALUE!</v>
      </c>
      <c r="X31" s="62" t="e">
        <f t="shared" si="15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49"/>
      <c r="AA31" s="51"/>
      <c r="AB31" s="49"/>
      <c r="AC31" s="48">
        <f t="shared" si="16"/>
        <v>13</v>
      </c>
      <c r="AD31" s="48">
        <f t="shared" si="17"/>
        <v>4</v>
      </c>
    </row>
    <row r="32" spans="1:30" ht="21" customHeight="1" x14ac:dyDescent="0.15">
      <c r="A32" s="7">
        <v>58002030</v>
      </c>
      <c r="B32" s="46" t="s">
        <v>256</v>
      </c>
      <c r="C32" s="49">
        <v>1</v>
      </c>
      <c r="D32" s="49" t="s">
        <v>128</v>
      </c>
      <c r="E32" s="50" t="s">
        <v>338</v>
      </c>
      <c r="F32" s="50" t="s">
        <v>303</v>
      </c>
      <c r="G32" s="62" t="str">
        <f t="shared" si="0"/>
        <v>[effect:enemy_message, val1:1.2, val2:1.2]</v>
      </c>
      <c r="H32" s="62">
        <f t="shared" si="1"/>
        <v>9</v>
      </c>
      <c r="I32" s="62">
        <f t="shared" si="2"/>
        <v>22</v>
      </c>
      <c r="J32" s="62" t="e">
        <f t="shared" si="3"/>
        <v>#VALUE!</v>
      </c>
      <c r="K32" s="62">
        <f t="shared" si="4"/>
        <v>32</v>
      </c>
      <c r="L32" s="62" t="str">
        <f>IFERROR(VLOOKUP(MID(G32,J32,K32-J32),[6]skilldef!$C:$D,2,FALSE),"-") &amp; " / " &amp; IFERROR(VLOOKUP(MID(G32,H32,I32-H32),[6]skilldef!$A:$B,2,FALSE),"-")</f>
        <v>- / -</v>
      </c>
      <c r="M32" s="62" t="str">
        <f t="shared" si="5"/>
        <v>none</v>
      </c>
      <c r="N32" s="47" t="str">
        <f t="shared" si="18"/>
        <v>none</v>
      </c>
      <c r="O32" s="62" t="e">
        <f t="shared" si="7"/>
        <v>#VALUE!</v>
      </c>
      <c r="P32" s="62">
        <f t="shared" si="8"/>
        <v>4</v>
      </c>
      <c r="Q32" s="62" t="e">
        <f t="shared" si="9"/>
        <v>#VALUE!</v>
      </c>
      <c r="R32" s="62" t="e">
        <f t="shared" si="10"/>
        <v>#VALUE!</v>
      </c>
      <c r="S32" s="62" t="str">
        <f>IFERROR(VLOOKUP(MID(N32,Q32,R32-Q32),[6]skilldef!$C:$D,2,FALSE),"-") &amp; " / " &amp; IFERROR(VLOOKUP(MID(N32,O32,P32-O32),[6]skilldef!$A:$B,2,FALSE),"-")</f>
        <v>- / -</v>
      </c>
      <c r="T32" s="47" t="str">
        <f t="shared" si="11"/>
        <v>none</v>
      </c>
      <c r="U32" s="62" t="e">
        <f t="shared" si="12"/>
        <v>#VALUE!</v>
      </c>
      <c r="V32" s="62">
        <f t="shared" si="13"/>
        <v>4</v>
      </c>
      <c r="W32" s="62" t="e">
        <f t="shared" si="14"/>
        <v>#VALUE!</v>
      </c>
      <c r="X32" s="62" t="e">
        <f t="shared" si="15"/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49"/>
      <c r="AA32" s="51"/>
      <c r="AB32" s="49"/>
      <c r="AC32" s="48">
        <f t="shared" si="16"/>
        <v>3</v>
      </c>
      <c r="AD32" s="48">
        <f t="shared" si="17"/>
        <v>10</v>
      </c>
    </row>
    <row r="33" spans="1:30" ht="21" customHeight="1" x14ac:dyDescent="0.15">
      <c r="A33" s="7">
        <v>58002031</v>
      </c>
      <c r="B33" s="46" t="s">
        <v>275</v>
      </c>
      <c r="C33" s="49">
        <v>1</v>
      </c>
      <c r="D33" s="49" t="s">
        <v>128</v>
      </c>
      <c r="E33" s="50" t="s">
        <v>339</v>
      </c>
      <c r="F33" s="50" t="s">
        <v>302</v>
      </c>
      <c r="G33" s="62" t="str">
        <f t="shared" si="0"/>
        <v>[effect:enemy_message, val1:1.2, val2:1.2]</v>
      </c>
      <c r="H33" s="62">
        <f t="shared" si="1"/>
        <v>9</v>
      </c>
      <c r="I33" s="62">
        <f t="shared" si="2"/>
        <v>22</v>
      </c>
      <c r="J33" s="62" t="e">
        <f t="shared" si="3"/>
        <v>#VALUE!</v>
      </c>
      <c r="K33" s="62">
        <f t="shared" si="4"/>
        <v>32</v>
      </c>
      <c r="L33" s="62" t="str">
        <f>IFERROR(VLOOKUP(MID(G33,J33,K33-J33),[6]skilldef!$C:$D,2,FALSE),"-") &amp; " / " &amp; IFERROR(VLOOKUP(MID(G33,H33,I33-H33),[6]skilldef!$A:$B,2,FALSE),"-")</f>
        <v>- / -</v>
      </c>
      <c r="M33" s="62" t="str">
        <f t="shared" si="5"/>
        <v>[effect:spread, val:2.0],[effect:spread, val:2.0],[effect:spread, val:2.0],[effect:spread, val:2.0],[effect:spread, val:2.0]</v>
      </c>
      <c r="N33" s="47" t="str">
        <f t="shared" si="18"/>
        <v>[effect:spread, val:2.0],[effect:spread, val:2.0],[effect:spread, val:2.0],[effect:spread, val:2.0],[effect:spread, val:2.0]</v>
      </c>
      <c r="O33" s="62">
        <f t="shared" si="7"/>
        <v>9</v>
      </c>
      <c r="P33" s="62">
        <f t="shared" si="8"/>
        <v>15</v>
      </c>
      <c r="Q33" s="62" t="e">
        <f t="shared" si="9"/>
        <v>#VALUE!</v>
      </c>
      <c r="R33" s="62">
        <f t="shared" si="10"/>
        <v>25</v>
      </c>
      <c r="S33" s="62" t="str">
        <f>IFERROR(VLOOKUP(MID(N33,Q33,R33-Q33),[6]skilldef!$C:$D,2,FALSE),"-") &amp; " / " &amp; IFERROR(VLOOKUP(MID(N33,O33,P33-O33),[6]skilldef!$A:$B,2,FALSE),"-")</f>
        <v>- / 全体攻撃</v>
      </c>
      <c r="T33" s="47" t="str">
        <f t="shared" si="11"/>
        <v>[effect:spread, val:2.0],[effect:spread, val:2.0],[effect:spread, val:2.0],[effect:spread, val:2.0]</v>
      </c>
      <c r="U33" s="62">
        <f t="shared" si="12"/>
        <v>9</v>
      </c>
      <c r="V33" s="62">
        <f t="shared" si="13"/>
        <v>15</v>
      </c>
      <c r="W33" s="62" t="e">
        <f t="shared" si="14"/>
        <v>#VALUE!</v>
      </c>
      <c r="X33" s="62">
        <f t="shared" si="15"/>
        <v>25</v>
      </c>
      <c r="Y33" s="62" t="str">
        <f>IFERROR(VLOOKUP(MID(T33,W33,X33-W33),[6]skilldef!$C:$D,2,FALSE),"-") &amp; " / " &amp; IFERROR(VLOOKUP(MID(T33,U33,V33-U33),[6]skilldef!$A:$B,2,FALSE),"-")</f>
        <v>- / 全体攻撃</v>
      </c>
      <c r="Z33" s="49"/>
      <c r="AA33" s="51"/>
      <c r="AB33" s="49"/>
      <c r="AC33" s="48">
        <f t="shared" si="16"/>
        <v>9</v>
      </c>
      <c r="AD33" s="48">
        <f t="shared" si="17"/>
        <v>8</v>
      </c>
    </row>
    <row r="34" spans="1:30" ht="21" customHeight="1" x14ac:dyDescent="0.15">
      <c r="A34" s="7">
        <v>58002032</v>
      </c>
      <c r="B34" s="46" t="s">
        <v>256</v>
      </c>
      <c r="C34" s="49">
        <v>1</v>
      </c>
      <c r="D34" s="49" t="s">
        <v>128</v>
      </c>
      <c r="E34" s="50" t="s">
        <v>264</v>
      </c>
      <c r="F34" s="50" t="s">
        <v>262</v>
      </c>
      <c r="G34" s="62" t="str">
        <f t="shared" si="0"/>
        <v>[effect:enemy_message, val1:1.2, val2:1.2]</v>
      </c>
      <c r="H34" s="62">
        <f t="shared" si="1"/>
        <v>9</v>
      </c>
      <c r="I34" s="62">
        <f t="shared" si="2"/>
        <v>22</v>
      </c>
      <c r="J34" s="62" t="e">
        <f t="shared" si="3"/>
        <v>#VALUE!</v>
      </c>
      <c r="K34" s="62">
        <f t="shared" si="4"/>
        <v>32</v>
      </c>
      <c r="L34" s="62" t="str">
        <f>IFERROR(VLOOKUP(MID(G34,J34,K34-J34),[6]skilldef!$C:$D,2,FALSE),"-") &amp; " / " &amp; IFERROR(VLOOKUP(MID(G34,H34,I34-H34),[6]skilldef!$A:$B,2,FALSE),"-")</f>
        <v>- / -</v>
      </c>
      <c r="M34" s="62" t="str">
        <f t="shared" si="5"/>
        <v>none</v>
      </c>
      <c r="N34" s="47" t="str">
        <f t="shared" si="18"/>
        <v>none</v>
      </c>
      <c r="O34" s="62" t="e">
        <f t="shared" si="7"/>
        <v>#VALUE!</v>
      </c>
      <c r="P34" s="62">
        <f t="shared" si="8"/>
        <v>4</v>
      </c>
      <c r="Q34" s="62" t="e">
        <f t="shared" si="9"/>
        <v>#VALUE!</v>
      </c>
      <c r="R34" s="62" t="e">
        <f t="shared" si="10"/>
        <v>#VALUE!</v>
      </c>
      <c r="S34" s="62" t="str">
        <f>IFERROR(VLOOKUP(MID(N34,Q34,R34-Q34),[6]skilldef!$C:$D,2,FALSE),"-") &amp; " / " &amp; IFERROR(VLOOKUP(MID(N34,O34,P34-O34),[6]skilldef!$A:$B,2,FALSE),"-")</f>
        <v>- / -</v>
      </c>
      <c r="T34" s="47" t="str">
        <f t="shared" si="11"/>
        <v>none</v>
      </c>
      <c r="U34" s="62" t="e">
        <f t="shared" si="12"/>
        <v>#VALUE!</v>
      </c>
      <c r="V34" s="62">
        <f t="shared" si="13"/>
        <v>4</v>
      </c>
      <c r="W34" s="62" t="e">
        <f t="shared" si="14"/>
        <v>#VALUE!</v>
      </c>
      <c r="X34" s="62" t="e">
        <f t="shared" si="15"/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49"/>
      <c r="AA34" s="51"/>
      <c r="AB34" s="49"/>
      <c r="AC34" s="48">
        <f t="shared" si="16"/>
        <v>4</v>
      </c>
      <c r="AD34" s="48">
        <f t="shared" si="17"/>
        <v>3</v>
      </c>
    </row>
    <row r="35" spans="1:30" ht="21" customHeight="1" x14ac:dyDescent="0.15">
      <c r="A35" s="7">
        <v>58002033</v>
      </c>
      <c r="B35" s="46" t="s">
        <v>256</v>
      </c>
      <c r="C35" s="49">
        <v>1</v>
      </c>
      <c r="D35" s="49" t="s">
        <v>128</v>
      </c>
      <c r="E35" s="50" t="s">
        <v>264</v>
      </c>
      <c r="F35" s="50" t="s">
        <v>262</v>
      </c>
      <c r="G35" s="62" t="str">
        <f t="shared" si="0"/>
        <v>[effect:enemy_message, val1:1.2, val2:1.2]</v>
      </c>
      <c r="H35" s="62">
        <f t="shared" si="1"/>
        <v>9</v>
      </c>
      <c r="I35" s="62">
        <f t="shared" si="2"/>
        <v>22</v>
      </c>
      <c r="J35" s="62" t="e">
        <f t="shared" si="3"/>
        <v>#VALUE!</v>
      </c>
      <c r="K35" s="62">
        <f t="shared" si="4"/>
        <v>32</v>
      </c>
      <c r="L35" s="62" t="str">
        <f>IFERROR(VLOOKUP(MID(G35,J35,K35-J35),[6]skilldef!$C:$D,2,FALSE),"-") &amp; " / " &amp; IFERROR(VLOOKUP(MID(G35,H35,I35-H35),[6]skilldef!$A:$B,2,FALSE),"-")</f>
        <v>- / -</v>
      </c>
      <c r="M35" s="62" t="str">
        <f t="shared" si="5"/>
        <v>none</v>
      </c>
      <c r="N35" s="47" t="str">
        <f t="shared" si="18"/>
        <v>none</v>
      </c>
      <c r="O35" s="62" t="e">
        <f t="shared" si="7"/>
        <v>#VALUE!</v>
      </c>
      <c r="P35" s="62">
        <f t="shared" si="8"/>
        <v>4</v>
      </c>
      <c r="Q35" s="62" t="e">
        <f t="shared" si="9"/>
        <v>#VALUE!</v>
      </c>
      <c r="R35" s="62" t="e">
        <f t="shared" si="10"/>
        <v>#VALUE!</v>
      </c>
      <c r="S35" s="62" t="str">
        <f>IFERROR(VLOOKUP(MID(N35,Q35,R35-Q35),[6]skilldef!$C:$D,2,FALSE),"-") &amp; " / " &amp; IFERROR(VLOOKUP(MID(N35,O35,P35-O35),[6]skilldef!$A:$B,2,FALSE),"-")</f>
        <v>- / -</v>
      </c>
      <c r="T35" s="47" t="str">
        <f t="shared" si="11"/>
        <v>none</v>
      </c>
      <c r="U35" s="62" t="e">
        <f t="shared" si="12"/>
        <v>#VALUE!</v>
      </c>
      <c r="V35" s="62">
        <f t="shared" si="13"/>
        <v>4</v>
      </c>
      <c r="W35" s="62" t="e">
        <f t="shared" si="14"/>
        <v>#VALUE!</v>
      </c>
      <c r="X35" s="62" t="e">
        <f t="shared" si="15"/>
        <v>#VALUE!</v>
      </c>
      <c r="Y35" s="62" t="str">
        <f>IFERROR(VLOOKUP(MID(T35,W35,X35-W35),[6]skilldef!$C:$D,2,FALSE),"-") &amp; " / " &amp; IFERROR(VLOOKUP(MID(T35,U35,V35-U35),[6]skilldef!$A:$B,2,FALSE),"-")</f>
        <v>- / -</v>
      </c>
      <c r="Z35" s="49"/>
      <c r="AA35" s="51"/>
      <c r="AB35" s="49"/>
      <c r="AC35" s="48">
        <f t="shared" si="16"/>
        <v>4</v>
      </c>
      <c r="AD35" s="48">
        <f t="shared" si="17"/>
        <v>3</v>
      </c>
    </row>
    <row r="36" spans="1:30" ht="21" customHeight="1" x14ac:dyDescent="0.15">
      <c r="A36" s="7">
        <v>58002034</v>
      </c>
      <c r="B36" s="46" t="s">
        <v>256</v>
      </c>
      <c r="C36" s="49">
        <v>1</v>
      </c>
      <c r="D36" s="49" t="s">
        <v>128</v>
      </c>
      <c r="E36" s="50" t="s">
        <v>264</v>
      </c>
      <c r="F36" s="50" t="s">
        <v>262</v>
      </c>
      <c r="G36" s="62" t="str">
        <f t="shared" si="0"/>
        <v>[effect:enemy_message, val1:1.2, val2:1.2]</v>
      </c>
      <c r="H36" s="62">
        <f t="shared" si="1"/>
        <v>9</v>
      </c>
      <c r="I36" s="62">
        <f t="shared" si="2"/>
        <v>22</v>
      </c>
      <c r="J36" s="62" t="e">
        <f t="shared" si="3"/>
        <v>#VALUE!</v>
      </c>
      <c r="K36" s="62">
        <f t="shared" si="4"/>
        <v>32</v>
      </c>
      <c r="L36" s="62" t="str">
        <f>IFERROR(VLOOKUP(MID(G36,J36,K36-J36),[6]skilldef!$C:$D,2,FALSE),"-") &amp; " / " &amp; IFERROR(VLOOKUP(MID(G36,H36,I36-H36),[6]skilldef!$A:$B,2,FALSE),"-")</f>
        <v>- / -</v>
      </c>
      <c r="M36" s="62" t="str">
        <f t="shared" si="5"/>
        <v>none</v>
      </c>
      <c r="N36" s="47" t="str">
        <f>IFERROR(LEFT(M36,FIND("],",M36)+#REF!),M36)</f>
        <v>none</v>
      </c>
      <c r="O36" s="62" t="e">
        <f t="shared" si="7"/>
        <v>#VALUE!</v>
      </c>
      <c r="P36" s="62">
        <f t="shared" si="8"/>
        <v>4</v>
      </c>
      <c r="Q36" s="62" t="e">
        <f t="shared" si="9"/>
        <v>#VALUE!</v>
      </c>
      <c r="R36" s="62" t="e">
        <f t="shared" si="10"/>
        <v>#VALUE!</v>
      </c>
      <c r="S36" s="62" t="str">
        <f>IFERROR(VLOOKUP(MID(N36,Q36,R36-Q36),[6]skilldef!$C:$D,2,FALSE),"-") &amp; " / " &amp; IFERROR(VLOOKUP(MID(N36,O36,P36-O36),[6]skilldef!$A:$B,2,FALSE),"-")</f>
        <v>- / -</v>
      </c>
      <c r="T36" s="47" t="str">
        <f t="shared" si="11"/>
        <v>none</v>
      </c>
      <c r="U36" s="62" t="e">
        <f t="shared" si="12"/>
        <v>#VALUE!</v>
      </c>
      <c r="V36" s="62">
        <f t="shared" si="13"/>
        <v>4</v>
      </c>
      <c r="W36" s="62" t="e">
        <f t="shared" si="14"/>
        <v>#VALUE!</v>
      </c>
      <c r="X36" s="62" t="e">
        <f t="shared" si="15"/>
        <v>#VALUE!</v>
      </c>
      <c r="Y36" s="62" t="str">
        <f>IFERROR(VLOOKUP(MID(T36,W36,X36-W36),[6]skilldef!$C:$D,2,FALSE),"-") &amp; " / " &amp; IFERROR(VLOOKUP(MID(T36,U36,V36-U36),[6]skilldef!$A:$B,2,FALSE),"-")</f>
        <v>- / -</v>
      </c>
      <c r="Z36" s="49"/>
      <c r="AA36" s="51"/>
      <c r="AB36" s="49"/>
      <c r="AC36" s="48">
        <f t="shared" si="16"/>
        <v>4</v>
      </c>
      <c r="AD36" s="48">
        <f t="shared" si="17"/>
        <v>3</v>
      </c>
    </row>
    <row r="37" spans="1:30" ht="21" customHeight="1" x14ac:dyDescent="0.15">
      <c r="A37" s="7">
        <v>58002035</v>
      </c>
      <c r="B37" s="46" t="s">
        <v>415</v>
      </c>
      <c r="C37" s="49">
        <v>1</v>
      </c>
      <c r="D37" s="49" t="s">
        <v>128</v>
      </c>
      <c r="E37" s="50" t="s">
        <v>340</v>
      </c>
      <c r="F37" s="50" t="s">
        <v>391</v>
      </c>
      <c r="G37" s="62" t="str">
        <f t="shared" si="0"/>
        <v>[effect:enemy_message, val1:1.2, val2:1.7]</v>
      </c>
      <c r="H37" s="62">
        <f t="shared" si="1"/>
        <v>9</v>
      </c>
      <c r="I37" s="62">
        <f t="shared" si="2"/>
        <v>22</v>
      </c>
      <c r="J37" s="62" t="e">
        <f t="shared" si="3"/>
        <v>#VALUE!</v>
      </c>
      <c r="K37" s="62">
        <f t="shared" si="4"/>
        <v>32</v>
      </c>
      <c r="L37" s="62" t="str">
        <f>IFERROR(VLOOKUP(MID(G37,J37,K37-J37),[6]skilldef!$C:$D,2,FALSE),"-") &amp; " / " &amp; IFERROR(VLOOKUP(MID(G37,H37,I37-H37),[6]skilldef!$A:$B,2,FALSE),"-")</f>
        <v>- / -</v>
      </c>
      <c r="M37" s="62" t="str">
        <f t="shared" si="5"/>
        <v>[effect:fix_speed, target:myself, turn:1],[effect:tolerance, target:myself, turn:-1, count:-1, tolerance_effect:all, animation:enemy_tolerance],[effect:panel_freeze, target:normal, count:-1]</v>
      </c>
      <c r="N37" s="47" t="str">
        <f>IFERROR(LEFT(M37,FIND("],",M37)+S47),M37)</f>
        <v>[effect:fix_speed, target:myself, turn:1],[effect:tolerance, target:myself, turn:-1, count:-1, tolerance_effect:all, animation:enemy_tolerance],[effect:panel_freeze, target:normal, count:-1]</v>
      </c>
      <c r="O37" s="62">
        <f t="shared" si="7"/>
        <v>9</v>
      </c>
      <c r="P37" s="62">
        <f t="shared" si="8"/>
        <v>18</v>
      </c>
      <c r="Q37" s="62">
        <f t="shared" si="9"/>
        <v>27</v>
      </c>
      <c r="R37" s="62">
        <f t="shared" si="10"/>
        <v>33</v>
      </c>
      <c r="S37" s="62" t="str">
        <f>IFERROR(VLOOKUP(MID(N37,Q37,R37-Q37),[6]skilldef!$C:$D,2,FALSE),"-") &amp; " / " &amp; IFERROR(VLOOKUP(MID(N37,O37,P37-O37),[6]skilldef!$A:$B,2,FALSE),"-")</f>
        <v>自分自身に / 行動値設定</v>
      </c>
      <c r="T37" s="47" t="str">
        <f t="shared" si="11"/>
        <v>[effect:tolerance, target:myself, turn:-1, count:-1, tolerance_effect:all, animation:enemy_tolerance],[effect:panel_freeze, target:normal, count:-1]</v>
      </c>
      <c r="U37" s="62">
        <f t="shared" si="12"/>
        <v>9</v>
      </c>
      <c r="V37" s="62">
        <f t="shared" si="13"/>
        <v>18</v>
      </c>
      <c r="W37" s="62">
        <f t="shared" si="14"/>
        <v>27</v>
      </c>
      <c r="X37" s="62">
        <f t="shared" si="15"/>
        <v>33</v>
      </c>
      <c r="Y37" s="62" t="str">
        <f>IFERROR(VLOOKUP(MID(T37,W37,X37-W37),[6]skilldef!$C:$D,2,FALSE),"-") &amp; " / " &amp; IFERROR(VLOOKUP(MID(T37,U37,V37-U37),[6]skilldef!$A:$B,2,FALSE),"-")</f>
        <v>自分自身に / 状態異常耐性</v>
      </c>
      <c r="Z37" s="49"/>
      <c r="AA37" s="51"/>
      <c r="AB37" s="49"/>
      <c r="AC37" s="48">
        <f t="shared" si="16"/>
        <v>8</v>
      </c>
      <c r="AD37" s="48">
        <f t="shared" si="17"/>
        <v>17</v>
      </c>
    </row>
    <row r="38" spans="1:30" ht="21" customHeight="1" x14ac:dyDescent="0.15">
      <c r="A38" s="7">
        <v>58002036</v>
      </c>
      <c r="B38" s="46" t="s">
        <v>416</v>
      </c>
      <c r="C38" s="49">
        <v>1</v>
      </c>
      <c r="D38" s="49" t="s">
        <v>128</v>
      </c>
      <c r="E38" s="50" t="s">
        <v>341</v>
      </c>
      <c r="F38" s="50" t="s">
        <v>392</v>
      </c>
      <c r="G38" s="62" t="str">
        <f t="shared" si="0"/>
        <v>[effect:enemy_message, val1:1.2, val2:2.6]</v>
      </c>
      <c r="H38" s="62">
        <f t="shared" si="1"/>
        <v>9</v>
      </c>
      <c r="I38" s="62">
        <f t="shared" si="2"/>
        <v>22</v>
      </c>
      <c r="J38" s="62" t="e">
        <f t="shared" si="3"/>
        <v>#VALUE!</v>
      </c>
      <c r="K38" s="62">
        <f t="shared" si="4"/>
        <v>32</v>
      </c>
      <c r="L38" s="62" t="str">
        <f>IFERROR(VLOOKUP(MID(G38,J38,K38-J38),[6]skilldef!$C:$D,2,FALSE),"-") &amp; " / " &amp; IFERROR(VLOOKUP(MID(G38,H38,I38-H38),[6]skilldef!$A:$B,2,FALSE),"-")</f>
        <v>- / -</v>
      </c>
      <c r="M38" s="62" t="str">
        <f t="shared" si="5"/>
        <v>[effect:rush, count:3, val:0.4],[effect:force_change_block, new_block:damage, target:normal, color:block_green, count:5, val:0.1, animation:change_block]</v>
      </c>
      <c r="N38" s="47" t="str">
        <f>IFERROR(LEFT(M38,FIND("],",M38)+S48),M38)</f>
        <v>[effect:rush, count:3, val:0.4],[effect:force_change_block, new_block:damage, target:normal, color:block_green, count:5, val:0.1, animation:change_block]</v>
      </c>
      <c r="O38" s="62">
        <f t="shared" si="7"/>
        <v>9</v>
      </c>
      <c r="P38" s="62">
        <f t="shared" si="8"/>
        <v>13</v>
      </c>
      <c r="Q38" s="62">
        <f t="shared" si="9"/>
        <v>86</v>
      </c>
      <c r="R38" s="62">
        <f t="shared" si="10"/>
        <v>22</v>
      </c>
      <c r="S38" s="62" t="str">
        <f>IFERROR(VLOOKUP(MID(N38,Q38,R38-Q38),[6]skilldef!$C:$D,2,FALSE),"-") &amp; " / " &amp; IFERROR(VLOOKUP(MID(N38,O38,P38-O38),[6]skilldef!$A:$B,2,FALSE),"-")</f>
        <v>- / 連続攻撃</v>
      </c>
      <c r="T38" s="47" t="str">
        <f t="shared" si="11"/>
        <v>[effect:force_change_block, new_block:damage, target:normal, color:block_green, count:5, val:0.1, animation:change_block]</v>
      </c>
      <c r="U38" s="62">
        <f t="shared" si="12"/>
        <v>9</v>
      </c>
      <c r="V38" s="62">
        <f t="shared" si="13"/>
        <v>27</v>
      </c>
      <c r="W38" s="62">
        <f t="shared" si="14"/>
        <v>54</v>
      </c>
      <c r="X38" s="62">
        <f t="shared" si="15"/>
        <v>45</v>
      </c>
      <c r="Y38" s="62" t="str">
        <f>IFERROR(VLOOKUP(MID(T38,W38,X38-W38),[6]skilldef!$C:$D,2,FALSE),"-") &amp; " / " &amp; IFERROR(VLOOKUP(MID(T38,U38,V38-U38),[6]skilldef!$A:$B,2,FALSE),"-")</f>
        <v>- / -</v>
      </c>
      <c r="Z38" s="49"/>
      <c r="AA38" s="51"/>
      <c r="AB38" s="49"/>
      <c r="AC38" s="48">
        <f t="shared" si="16"/>
        <v>11</v>
      </c>
      <c r="AD38" s="48">
        <f t="shared" si="17"/>
        <v>26</v>
      </c>
    </row>
    <row r="39" spans="1:30" ht="21" customHeight="1" x14ac:dyDescent="0.15">
      <c r="A39" s="7">
        <v>58002037</v>
      </c>
      <c r="B39" s="46" t="s">
        <v>417</v>
      </c>
      <c r="C39" s="49">
        <v>1</v>
      </c>
      <c r="D39" s="49" t="s">
        <v>128</v>
      </c>
      <c r="E39" s="50" t="s">
        <v>342</v>
      </c>
      <c r="F39" s="50" t="s">
        <v>304</v>
      </c>
      <c r="G39" s="62" t="str">
        <f t="shared" si="0"/>
        <v>[effect:enemy_message, val1:1.2, val2:1.6]</v>
      </c>
      <c r="H39" s="62">
        <f t="shared" si="1"/>
        <v>9</v>
      </c>
      <c r="I39" s="62">
        <f t="shared" si="2"/>
        <v>22</v>
      </c>
      <c r="J39" s="62" t="e">
        <f t="shared" si="3"/>
        <v>#VALUE!</v>
      </c>
      <c r="K39" s="62">
        <f t="shared" si="4"/>
        <v>32</v>
      </c>
      <c r="L39" s="62" t="str">
        <f>IFERROR(VLOOKUP(MID(G39,J39,K39-J39),[6]skilldef!$C:$D,2,FALSE),"-") &amp; " / " &amp; IFERROR(VLOOKUP(MID(G39,H39,I39-H39),[6]skilldef!$A:$B,2,FALSE),"-")</f>
        <v>- / -</v>
      </c>
      <c r="M39" s="62" t="str">
        <f t="shared" si="5"/>
        <v>[effect:break_attack, target:unit_all, val:0.03, lowest_val:3000, count:-1, color:blue, block01:damage]</v>
      </c>
      <c r="N39" s="47" t="str">
        <f>IFERROR(LEFT(M39,FIND("],",M39)+S49),M39)</f>
        <v>[effect:break_attack, target:unit_all, val:0.03, lowest_val:3000, count:-1, color:blue, block01:damage]</v>
      </c>
      <c r="O39" s="62">
        <f t="shared" si="7"/>
        <v>9</v>
      </c>
      <c r="P39" s="62">
        <f t="shared" si="8"/>
        <v>21</v>
      </c>
      <c r="Q39" s="62">
        <f t="shared" si="9"/>
        <v>30</v>
      </c>
      <c r="R39" s="62">
        <f t="shared" si="10"/>
        <v>38</v>
      </c>
      <c r="S39" s="62" t="str">
        <f>IFERROR(VLOOKUP(MID(N39,Q39,R39-Q39),[6]skilldef!$C:$D,2,FALSE),"-") &amp; " / " &amp; IFERROR(VLOOKUP(MID(N39,O39,P39-O39),[6]skilldef!$A:$B,2,FALSE),"-")</f>
        <v>味方全体に / -</v>
      </c>
      <c r="T39" s="47" t="str">
        <f t="shared" si="11"/>
        <v>none</v>
      </c>
      <c r="U39" s="62" t="e">
        <f t="shared" si="12"/>
        <v>#VALUE!</v>
      </c>
      <c r="V39" s="62">
        <f t="shared" si="13"/>
        <v>4</v>
      </c>
      <c r="W39" s="62" t="e">
        <f t="shared" si="14"/>
        <v>#VALUE!</v>
      </c>
      <c r="X39" s="62" t="e">
        <f t="shared" si="15"/>
        <v>#VALUE!</v>
      </c>
      <c r="Y39" s="62" t="str">
        <f>IFERROR(VLOOKUP(MID(T39,W39,X39-W39),[6]skilldef!$C:$D,2,FALSE),"-") &amp; " / " &amp; IFERROR(VLOOKUP(MID(T39,U39,V39-U39),[6]skilldef!$A:$B,2,FALSE),"-")</f>
        <v>- / -</v>
      </c>
      <c r="Z39" s="49"/>
      <c r="AA39" s="51"/>
      <c r="AB39" s="49"/>
      <c r="AC39" s="48">
        <f t="shared" si="16"/>
        <v>4</v>
      </c>
      <c r="AD39" s="48">
        <f t="shared" si="17"/>
        <v>16</v>
      </c>
    </row>
    <row r="40" spans="1:30" ht="21" customHeight="1" x14ac:dyDescent="0.15">
      <c r="A40" s="7">
        <v>58002038</v>
      </c>
      <c r="B40" s="46" t="s">
        <v>305</v>
      </c>
      <c r="C40" s="49">
        <v>1</v>
      </c>
      <c r="D40" s="49" t="s">
        <v>128</v>
      </c>
      <c r="E40" s="50" t="s">
        <v>344</v>
      </c>
      <c r="F40" s="50" t="s">
        <v>283</v>
      </c>
      <c r="G40" s="62"/>
      <c r="H40" s="62"/>
      <c r="I40" s="62"/>
      <c r="J40" s="62"/>
      <c r="K40" s="62"/>
      <c r="L40" s="62"/>
      <c r="M40" s="62"/>
      <c r="N40" s="47"/>
      <c r="O40" s="62"/>
      <c r="P40" s="62"/>
      <c r="Q40" s="62"/>
      <c r="R40" s="62"/>
      <c r="S40" s="62"/>
      <c r="T40" s="47"/>
      <c r="U40" s="62"/>
      <c r="V40" s="62"/>
      <c r="W40" s="62"/>
      <c r="X40" s="62"/>
      <c r="Y40" s="62"/>
      <c r="Z40" s="49"/>
      <c r="AA40" s="51"/>
      <c r="AB40" s="49"/>
      <c r="AC40" s="48">
        <f t="shared" si="16"/>
        <v>8</v>
      </c>
      <c r="AD40" s="48">
        <f t="shared" si="17"/>
        <v>12</v>
      </c>
    </row>
    <row r="41" spans="1:30" ht="21" customHeight="1" x14ac:dyDescent="0.15">
      <c r="A41" s="7">
        <v>58002039</v>
      </c>
      <c r="B41" s="46" t="s">
        <v>418</v>
      </c>
      <c r="C41" s="49">
        <v>1</v>
      </c>
      <c r="D41" s="49" t="s">
        <v>128</v>
      </c>
      <c r="E41" s="50" t="s">
        <v>343</v>
      </c>
      <c r="F41" s="50" t="s">
        <v>276</v>
      </c>
      <c r="G41" s="62" t="str">
        <f t="shared" si="0"/>
        <v>[effect:enemy_message, val1:1.2, val2:1.6]</v>
      </c>
      <c r="H41" s="62">
        <f t="shared" si="1"/>
        <v>9</v>
      </c>
      <c r="I41" s="62">
        <f t="shared" si="2"/>
        <v>22</v>
      </c>
      <c r="J41" s="62" t="e">
        <f t="shared" si="3"/>
        <v>#VALUE!</v>
      </c>
      <c r="K41" s="62">
        <f t="shared" si="4"/>
        <v>32</v>
      </c>
      <c r="L41" s="62" t="str">
        <f>IFERROR(VLOOKUP(MID(G41,J41,K41-J41),[6]skilldef!$C:$D,2,FALSE),"-") &amp; " / " &amp; IFERROR(VLOOKUP(MID(G41,H41,I41-H41),[6]skilldef!$A:$B,2,FALSE),"-")</f>
        <v>- / -</v>
      </c>
      <c r="M41" s="62" t="str">
        <f t="shared" si="5"/>
        <v>[effect:break_enchance_enemy, target:myself, val:0.05, lowest_val:1, count:-1, status:attack, turn:-1, block01:block_heart, calc:mul, animation:enemy_enhance_attack]</v>
      </c>
      <c r="N41" s="47" t="str">
        <f t="shared" ref="N41:N46" si="19">IFERROR(LEFT(M41,FIND("],",M41)+S50),M41)</f>
        <v>[effect:break_enchance_enemy, target:myself, val:0.05, lowest_val:1, count:-1, status:attack, turn:-1, block01:block_heart, calc:mul, animation:enemy_enhance_attack]</v>
      </c>
      <c r="O41" s="62">
        <f t="shared" si="7"/>
        <v>9</v>
      </c>
      <c r="P41" s="62">
        <f t="shared" si="8"/>
        <v>29</v>
      </c>
      <c r="Q41" s="62">
        <f t="shared" si="9"/>
        <v>38</v>
      </c>
      <c r="R41" s="62">
        <f t="shared" si="10"/>
        <v>44</v>
      </c>
      <c r="S41" s="62" t="str">
        <f>IFERROR(VLOOKUP(MID(N41,Q41,R41-Q41),[6]skilldef!$C:$D,2,FALSE),"-") &amp; " / " &amp; IFERROR(VLOOKUP(MID(N41,O41,P41-O41),[6]skilldef!$A:$B,2,FALSE),"-")</f>
        <v>自分自身に / -</v>
      </c>
      <c r="T41" s="47" t="str">
        <f t="shared" si="11"/>
        <v>none</v>
      </c>
      <c r="U41" s="62" t="e">
        <f t="shared" si="12"/>
        <v>#VALUE!</v>
      </c>
      <c r="V41" s="62">
        <f t="shared" si="13"/>
        <v>4</v>
      </c>
      <c r="W41" s="62" t="e">
        <f t="shared" si="14"/>
        <v>#VALUE!</v>
      </c>
      <c r="X41" s="62" t="e">
        <f t="shared" si="15"/>
        <v>#VALUE!</v>
      </c>
      <c r="Y41" s="62" t="str">
        <f>IFERROR(VLOOKUP(MID(T41,W41,X41-W41),[6]skilldef!$C:$D,2,FALSE),"-") &amp; " / " &amp; IFERROR(VLOOKUP(MID(T41,U41,V41-U41),[6]skilldef!$A:$B,2,FALSE),"-")</f>
        <v>- / -</v>
      </c>
      <c r="Z41" s="49"/>
      <c r="AA41" s="51"/>
      <c r="AB41" s="49"/>
      <c r="AC41" s="48">
        <f t="shared" si="16"/>
        <v>8</v>
      </c>
      <c r="AD41" s="48">
        <f t="shared" si="17"/>
        <v>16</v>
      </c>
    </row>
    <row r="42" spans="1:30" ht="21" customHeight="1" x14ac:dyDescent="0.15">
      <c r="A42" s="7">
        <v>58002040</v>
      </c>
      <c r="B42" s="46" t="s">
        <v>274</v>
      </c>
      <c r="C42" s="49">
        <v>1</v>
      </c>
      <c r="D42" s="49" t="s">
        <v>128</v>
      </c>
      <c r="E42" s="50" t="s">
        <v>345</v>
      </c>
      <c r="F42" s="50" t="s">
        <v>301</v>
      </c>
      <c r="G42" s="62" t="str">
        <f t="shared" si="0"/>
        <v>[effect:enemy_message, val1:1.2, val2:1.2]</v>
      </c>
      <c r="H42" s="62">
        <f t="shared" si="1"/>
        <v>9</v>
      </c>
      <c r="I42" s="62">
        <f t="shared" si="2"/>
        <v>22</v>
      </c>
      <c r="J42" s="62" t="e">
        <f t="shared" si="3"/>
        <v>#VALUE!</v>
      </c>
      <c r="K42" s="62">
        <f t="shared" si="4"/>
        <v>32</v>
      </c>
      <c r="L42" s="62" t="str">
        <f>IFERROR(VLOOKUP(MID(G42,J42,K42-J42),[6]skilldef!$C:$D,2,FALSE),"-") &amp; " / " &amp; IFERROR(VLOOKUP(MID(G42,H42,I42-H42),[6]skilldef!$A:$B,2,FALSE),"-")</f>
        <v>- / -</v>
      </c>
      <c r="M42" s="62" t="str">
        <f t="shared" si="5"/>
        <v>[effect:heal, target:myself, val:0.3, animation:enemy_heal]</v>
      </c>
      <c r="N42" s="47" t="str">
        <f t="shared" si="19"/>
        <v>[effect:heal, target:myself, val:0.3, animation:enemy_heal]</v>
      </c>
      <c r="O42" s="62">
        <f t="shared" si="7"/>
        <v>9</v>
      </c>
      <c r="P42" s="62">
        <f t="shared" si="8"/>
        <v>13</v>
      </c>
      <c r="Q42" s="62">
        <f t="shared" si="9"/>
        <v>22</v>
      </c>
      <c r="R42" s="62">
        <f t="shared" si="10"/>
        <v>28</v>
      </c>
      <c r="S42" s="62" t="str">
        <f>IFERROR(VLOOKUP(MID(N42,Q42,R42-Q42),[6]skilldef!$C:$D,2,FALSE),"-") &amp; " / " &amp; IFERROR(VLOOKUP(MID(N42,O42,P42-O42),[6]skilldef!$A:$B,2,FALSE),"-")</f>
        <v>自分自身に / 回復</v>
      </c>
      <c r="T42" s="47" t="str">
        <f t="shared" si="11"/>
        <v>none</v>
      </c>
      <c r="U42" s="62" t="e">
        <f t="shared" si="12"/>
        <v>#VALUE!</v>
      </c>
      <c r="V42" s="62">
        <f t="shared" si="13"/>
        <v>4</v>
      </c>
      <c r="W42" s="62" t="e">
        <f t="shared" si="14"/>
        <v>#VALUE!</v>
      </c>
      <c r="X42" s="62" t="e">
        <f t="shared" si="15"/>
        <v>#VALUE!</v>
      </c>
      <c r="Y42" s="62" t="str">
        <f>IFERROR(VLOOKUP(MID(T42,W42,X42-W42),[6]skilldef!$C:$D,2,FALSE),"-") &amp; " / " &amp; IFERROR(VLOOKUP(MID(T42,U42,V42-U42),[6]skilldef!$A:$B,2,FALSE),"-")</f>
        <v>- / -</v>
      </c>
      <c r="Z42" s="49"/>
      <c r="AA42" s="51"/>
      <c r="AB42" s="49"/>
      <c r="AC42" s="48">
        <f t="shared" si="16"/>
        <v>8</v>
      </c>
      <c r="AD42" s="48">
        <f t="shared" si="17"/>
        <v>4</v>
      </c>
    </row>
    <row r="43" spans="1:30" ht="21" customHeight="1" x14ac:dyDescent="0.15">
      <c r="A43" s="7">
        <v>58002041</v>
      </c>
      <c r="B43" s="46" t="s">
        <v>277</v>
      </c>
      <c r="C43" s="49">
        <v>1</v>
      </c>
      <c r="D43" s="49" t="s">
        <v>128</v>
      </c>
      <c r="E43" s="50" t="s">
        <v>347</v>
      </c>
      <c r="F43" s="50" t="s">
        <v>303</v>
      </c>
      <c r="G43" s="62" t="str">
        <f t="shared" si="0"/>
        <v>[effect:enemy_message, val1:1.2, val2:1.2]</v>
      </c>
      <c r="H43" s="62">
        <f t="shared" si="1"/>
        <v>9</v>
      </c>
      <c r="I43" s="62">
        <f t="shared" si="2"/>
        <v>22</v>
      </c>
      <c r="J43" s="62" t="e">
        <f t="shared" si="3"/>
        <v>#VALUE!</v>
      </c>
      <c r="K43" s="62">
        <f t="shared" si="4"/>
        <v>32</v>
      </c>
      <c r="L43" s="62" t="str">
        <f>IFERROR(VLOOKUP(MID(G43,J43,K43-J43),[6]skilldef!$C:$D,2,FALSE),"-") &amp; " / " &amp; IFERROR(VLOOKUP(MID(G43,H43,I43-H43),[6]skilldef!$A:$B,2,FALSE),"-")</f>
        <v>- / -</v>
      </c>
      <c r="M43" s="62" t="str">
        <f t="shared" si="5"/>
        <v>none</v>
      </c>
      <c r="N43" s="47" t="str">
        <f t="shared" si="19"/>
        <v>none</v>
      </c>
      <c r="O43" s="62" t="e">
        <f t="shared" si="7"/>
        <v>#VALUE!</v>
      </c>
      <c r="P43" s="62">
        <f t="shared" si="8"/>
        <v>4</v>
      </c>
      <c r="Q43" s="62" t="e">
        <f t="shared" si="9"/>
        <v>#VALUE!</v>
      </c>
      <c r="R43" s="62" t="e">
        <f t="shared" si="10"/>
        <v>#VALUE!</v>
      </c>
      <c r="S43" s="62" t="str">
        <f>IFERROR(VLOOKUP(MID(N43,Q43,R43-Q43),[6]skilldef!$C:$D,2,FALSE),"-") &amp; " / " &amp; IFERROR(VLOOKUP(MID(N43,O43,P43-O43),[6]skilldef!$A:$B,2,FALSE),"-")</f>
        <v>- / -</v>
      </c>
      <c r="T43" s="47" t="str">
        <f t="shared" si="11"/>
        <v>none</v>
      </c>
      <c r="U43" s="62" t="e">
        <f t="shared" si="12"/>
        <v>#VALUE!</v>
      </c>
      <c r="V43" s="62">
        <f t="shared" si="13"/>
        <v>4</v>
      </c>
      <c r="W43" s="62" t="e">
        <f t="shared" si="14"/>
        <v>#VALUE!</v>
      </c>
      <c r="X43" s="62" t="e">
        <f t="shared" si="15"/>
        <v>#VALUE!</v>
      </c>
      <c r="Y43" s="62" t="str">
        <f>IFERROR(VLOOKUP(MID(T43,W43,X43-W43),[6]skilldef!$C:$D,2,FALSE),"-") &amp; " / " &amp; IFERROR(VLOOKUP(MID(T43,U43,V43-U43),[6]skilldef!$A:$B,2,FALSE),"-")</f>
        <v>- / -</v>
      </c>
      <c r="Z43" s="49"/>
      <c r="AA43" s="51"/>
      <c r="AB43" s="49"/>
      <c r="AC43" s="48">
        <f t="shared" si="16"/>
        <v>12</v>
      </c>
      <c r="AD43" s="48">
        <f t="shared" si="17"/>
        <v>10</v>
      </c>
    </row>
    <row r="44" spans="1:30" ht="21" customHeight="1" x14ac:dyDescent="0.15">
      <c r="A44" s="7">
        <v>58002042</v>
      </c>
      <c r="B44" s="46" t="s">
        <v>275</v>
      </c>
      <c r="C44" s="49">
        <v>1</v>
      </c>
      <c r="D44" s="49" t="s">
        <v>128</v>
      </c>
      <c r="E44" s="50" t="s">
        <v>346</v>
      </c>
      <c r="F44" s="50" t="s">
        <v>302</v>
      </c>
      <c r="G44" s="62" t="str">
        <f t="shared" si="0"/>
        <v>[effect:enemy_message, val1:1.2, val2:1.2]</v>
      </c>
      <c r="H44" s="62">
        <f t="shared" si="1"/>
        <v>9</v>
      </c>
      <c r="I44" s="62">
        <f t="shared" si="2"/>
        <v>22</v>
      </c>
      <c r="J44" s="62" t="e">
        <f t="shared" si="3"/>
        <v>#VALUE!</v>
      </c>
      <c r="K44" s="62">
        <f t="shared" si="4"/>
        <v>32</v>
      </c>
      <c r="L44" s="62" t="str">
        <f>IFERROR(VLOOKUP(MID(G44,J44,K44-J44),[6]skilldef!$C:$D,2,FALSE),"-") &amp; " / " &amp; IFERROR(VLOOKUP(MID(G44,H44,I44-H44),[6]skilldef!$A:$B,2,FALSE),"-")</f>
        <v>- / -</v>
      </c>
      <c r="M44" s="62" t="str">
        <f t="shared" si="5"/>
        <v>[effect:spread, val:2.0],[effect:spread, val:2.0],[effect:spread, val:2.0],[effect:spread, val:2.0],[effect:spread, val:2.0]</v>
      </c>
      <c r="N44" s="47" t="str">
        <f t="shared" si="19"/>
        <v>[effect:spread, val:2.0],[effect:spread, val:2.0],[effect:spread, val:2.0],[effect:spread, val:2.0],[effect:spread, val:2.0]</v>
      </c>
      <c r="O44" s="62">
        <f t="shared" si="7"/>
        <v>9</v>
      </c>
      <c r="P44" s="62">
        <f t="shared" si="8"/>
        <v>15</v>
      </c>
      <c r="Q44" s="62" t="e">
        <f t="shared" si="9"/>
        <v>#VALUE!</v>
      </c>
      <c r="R44" s="62">
        <f t="shared" si="10"/>
        <v>25</v>
      </c>
      <c r="S44" s="62" t="str">
        <f>IFERROR(VLOOKUP(MID(N44,Q44,R44-Q44),[6]skilldef!$C:$D,2,FALSE),"-") &amp; " / " &amp; IFERROR(VLOOKUP(MID(N44,O44,P44-O44),[6]skilldef!$A:$B,2,FALSE),"-")</f>
        <v>- / 全体攻撃</v>
      </c>
      <c r="T44" s="47" t="str">
        <f t="shared" si="11"/>
        <v>[effect:spread, val:2.0],[effect:spread, val:2.0],[effect:spread, val:2.0],[effect:spread, val:2.0]</v>
      </c>
      <c r="U44" s="62">
        <f t="shared" si="12"/>
        <v>9</v>
      </c>
      <c r="V44" s="62">
        <f t="shared" si="13"/>
        <v>15</v>
      </c>
      <c r="W44" s="62" t="e">
        <f t="shared" si="14"/>
        <v>#VALUE!</v>
      </c>
      <c r="X44" s="62">
        <f t="shared" si="15"/>
        <v>25</v>
      </c>
      <c r="Y44" s="62" t="str">
        <f>IFERROR(VLOOKUP(MID(T44,W44,X44-W44),[6]skilldef!$C:$D,2,FALSE),"-") &amp; " / " &amp; IFERROR(VLOOKUP(MID(T44,U44,V44-U44),[6]skilldef!$A:$B,2,FALSE),"-")</f>
        <v>- / 全体攻撃</v>
      </c>
      <c r="Z44" s="49"/>
      <c r="AA44" s="51"/>
      <c r="AB44" s="49"/>
      <c r="AC44" s="48">
        <f t="shared" si="16"/>
        <v>5</v>
      </c>
      <c r="AD44" s="48">
        <f t="shared" si="17"/>
        <v>8</v>
      </c>
    </row>
    <row r="45" spans="1:30" ht="21" customHeight="1" x14ac:dyDescent="0.15">
      <c r="A45" s="7">
        <v>58002043</v>
      </c>
      <c r="B45" s="46" t="s">
        <v>256</v>
      </c>
      <c r="C45" s="49">
        <v>1</v>
      </c>
      <c r="D45" s="49" t="s">
        <v>128</v>
      </c>
      <c r="E45" s="50" t="s">
        <v>265</v>
      </c>
      <c r="F45" s="50" t="s">
        <v>262</v>
      </c>
      <c r="G45" s="62" t="str">
        <f t="shared" si="0"/>
        <v>[effect:enemy_message, val1:1.2, val2:1.2]</v>
      </c>
      <c r="H45" s="62">
        <f t="shared" si="1"/>
        <v>9</v>
      </c>
      <c r="I45" s="62">
        <f t="shared" si="2"/>
        <v>22</v>
      </c>
      <c r="J45" s="62" t="e">
        <f t="shared" si="3"/>
        <v>#VALUE!</v>
      </c>
      <c r="K45" s="62">
        <f t="shared" si="4"/>
        <v>32</v>
      </c>
      <c r="L45" s="62" t="str">
        <f>IFERROR(VLOOKUP(MID(G45,J45,K45-J45),[6]skilldef!$C:$D,2,FALSE),"-") &amp; " / " &amp; IFERROR(VLOOKUP(MID(G45,H45,I45-H45),[6]skilldef!$A:$B,2,FALSE),"-")</f>
        <v>- / -</v>
      </c>
      <c r="M45" s="62" t="str">
        <f t="shared" si="5"/>
        <v>none</v>
      </c>
      <c r="N45" s="47" t="str">
        <f t="shared" si="19"/>
        <v>none</v>
      </c>
      <c r="O45" s="62" t="e">
        <f t="shared" si="7"/>
        <v>#VALUE!</v>
      </c>
      <c r="P45" s="62">
        <f t="shared" si="8"/>
        <v>4</v>
      </c>
      <c r="Q45" s="62" t="e">
        <f t="shared" si="9"/>
        <v>#VALUE!</v>
      </c>
      <c r="R45" s="62" t="e">
        <f t="shared" si="10"/>
        <v>#VALUE!</v>
      </c>
      <c r="S45" s="62" t="str">
        <f>IFERROR(VLOOKUP(MID(N45,Q45,R45-Q45),[6]skilldef!$C:$D,2,FALSE),"-") &amp; " / " &amp; IFERROR(VLOOKUP(MID(N45,O45,P45-O45),[6]skilldef!$A:$B,2,FALSE),"-")</f>
        <v>- / -</v>
      </c>
      <c r="T45" s="47" t="str">
        <f t="shared" si="11"/>
        <v>none</v>
      </c>
      <c r="U45" s="62" t="e">
        <f t="shared" si="12"/>
        <v>#VALUE!</v>
      </c>
      <c r="V45" s="62">
        <f t="shared" si="13"/>
        <v>4</v>
      </c>
      <c r="W45" s="62" t="e">
        <f t="shared" si="14"/>
        <v>#VALUE!</v>
      </c>
      <c r="X45" s="62" t="e">
        <f t="shared" si="15"/>
        <v>#VALUE!</v>
      </c>
      <c r="Y45" s="62" t="str">
        <f>IFERROR(VLOOKUP(MID(T45,W45,X45-W45),[6]skilldef!$C:$D,2,FALSE),"-") &amp; " / " &amp; IFERROR(VLOOKUP(MID(T45,U45,V45-U45),[6]skilldef!$A:$B,2,FALSE),"-")</f>
        <v>- / -</v>
      </c>
      <c r="Z45" s="49"/>
      <c r="AA45" s="51"/>
      <c r="AB45" s="49"/>
      <c r="AC45" s="48">
        <f t="shared" si="16"/>
        <v>4</v>
      </c>
      <c r="AD45" s="48">
        <f t="shared" si="17"/>
        <v>3</v>
      </c>
    </row>
    <row r="46" spans="1:30" ht="21" customHeight="1" x14ac:dyDescent="0.15">
      <c r="A46" s="7">
        <v>58002044</v>
      </c>
      <c r="B46" s="46" t="s">
        <v>256</v>
      </c>
      <c r="C46" s="49">
        <v>1</v>
      </c>
      <c r="D46" s="49" t="s">
        <v>128</v>
      </c>
      <c r="E46" s="50" t="s">
        <v>265</v>
      </c>
      <c r="F46" s="50" t="s">
        <v>262</v>
      </c>
      <c r="G46" s="62" t="str">
        <f t="shared" si="0"/>
        <v>[effect:enemy_message, val1:1.2, val2:1.2]</v>
      </c>
      <c r="H46" s="62">
        <f t="shared" si="1"/>
        <v>9</v>
      </c>
      <c r="I46" s="62">
        <f t="shared" si="2"/>
        <v>22</v>
      </c>
      <c r="J46" s="62" t="e">
        <f t="shared" si="3"/>
        <v>#VALUE!</v>
      </c>
      <c r="K46" s="62">
        <f t="shared" si="4"/>
        <v>32</v>
      </c>
      <c r="L46" s="62" t="str">
        <f>IFERROR(VLOOKUP(MID(G46,J46,K46-J46),[6]skilldef!$C:$D,2,FALSE),"-") &amp; " / " &amp; IFERROR(VLOOKUP(MID(G46,H46,I46-H46),[6]skilldef!$A:$B,2,FALSE),"-")</f>
        <v>- / -</v>
      </c>
      <c r="M46" s="62" t="str">
        <f t="shared" si="5"/>
        <v>none</v>
      </c>
      <c r="N46" s="47" t="str">
        <f t="shared" si="19"/>
        <v>none</v>
      </c>
      <c r="O46" s="62" t="e">
        <f t="shared" si="7"/>
        <v>#VALUE!</v>
      </c>
      <c r="P46" s="62">
        <f t="shared" si="8"/>
        <v>4</v>
      </c>
      <c r="Q46" s="62" t="e">
        <f t="shared" si="9"/>
        <v>#VALUE!</v>
      </c>
      <c r="R46" s="62" t="e">
        <f t="shared" si="10"/>
        <v>#VALUE!</v>
      </c>
      <c r="S46" s="62" t="str">
        <f>IFERROR(VLOOKUP(MID(N46,Q46,R46-Q46),[6]skilldef!$C:$D,2,FALSE),"-") &amp; " / " &amp; IFERROR(VLOOKUP(MID(N46,O46,P46-O46),[6]skilldef!$A:$B,2,FALSE),"-")</f>
        <v>- / -</v>
      </c>
      <c r="T46" s="47" t="str">
        <f t="shared" si="11"/>
        <v>none</v>
      </c>
      <c r="U46" s="62" t="e">
        <f t="shared" si="12"/>
        <v>#VALUE!</v>
      </c>
      <c r="V46" s="62">
        <f t="shared" si="13"/>
        <v>4</v>
      </c>
      <c r="W46" s="62" t="e">
        <f t="shared" si="14"/>
        <v>#VALUE!</v>
      </c>
      <c r="X46" s="62" t="e">
        <f t="shared" si="15"/>
        <v>#VALUE!</v>
      </c>
      <c r="Y46" s="62" t="str">
        <f>IFERROR(VLOOKUP(MID(T46,W46,X46-W46),[6]skilldef!$C:$D,2,FALSE),"-") &amp; " / " &amp; IFERROR(VLOOKUP(MID(T46,U46,V46-U46),[6]skilldef!$A:$B,2,FALSE),"-")</f>
        <v>- / -</v>
      </c>
      <c r="Z46" s="49"/>
      <c r="AA46" s="51"/>
      <c r="AB46" s="49"/>
      <c r="AC46" s="48">
        <f t="shared" si="16"/>
        <v>4</v>
      </c>
      <c r="AD46" s="48">
        <f t="shared" si="17"/>
        <v>3</v>
      </c>
    </row>
    <row r="47" spans="1:30" ht="21" customHeight="1" x14ac:dyDescent="0.15">
      <c r="A47" s="7">
        <v>58002045</v>
      </c>
      <c r="B47" s="46" t="s">
        <v>306</v>
      </c>
      <c r="C47" s="49">
        <v>1</v>
      </c>
      <c r="D47" s="49" t="s">
        <v>128</v>
      </c>
      <c r="E47" s="50" t="s">
        <v>351</v>
      </c>
      <c r="F47" s="50" t="s">
        <v>266</v>
      </c>
      <c r="G47" s="62" t="str">
        <f t="shared" si="0"/>
        <v>[effect:enemy_message, val1:1.2, val2:1.2]</v>
      </c>
      <c r="H47" s="62">
        <f t="shared" si="1"/>
        <v>9</v>
      </c>
      <c r="I47" s="62">
        <f t="shared" si="2"/>
        <v>22</v>
      </c>
      <c r="J47" s="62" t="e">
        <f t="shared" si="3"/>
        <v>#VALUE!</v>
      </c>
      <c r="K47" s="62">
        <f t="shared" si="4"/>
        <v>32</v>
      </c>
      <c r="L47" s="62" t="str">
        <f>IFERROR(VLOOKUP(MID(G47,J47,K47-J47),[6]skilldef!$C:$D,2,FALSE),"-") &amp; " / " &amp; IFERROR(VLOOKUP(MID(G47,H47,I47-H47),[6]skilldef!$A:$B,2,FALSE),"-")</f>
        <v>- / -</v>
      </c>
      <c r="M47" s="62" t="str">
        <f t="shared" si="5"/>
        <v>[effect:fix_speed, target:myself, turn:1],[effect:tolerance, target:myself, turn:-1, count:-1, tolerance_effect:all, animation:enemy_tolerance]</v>
      </c>
      <c r="N47" s="47" t="str">
        <f t="shared" si="6"/>
        <v>[effect:fix_speed, target:myself, turn:1],[effect:tolerance, target:myself, turn:-1, count:-1, tolerance_effect:all, animation:enemy_tolerance]</v>
      </c>
      <c r="O47" s="62">
        <f t="shared" si="7"/>
        <v>9</v>
      </c>
      <c r="P47" s="62">
        <f t="shared" si="8"/>
        <v>18</v>
      </c>
      <c r="Q47" s="62">
        <f t="shared" si="9"/>
        <v>27</v>
      </c>
      <c r="R47" s="62">
        <f t="shared" si="10"/>
        <v>33</v>
      </c>
      <c r="S47" s="62" t="str">
        <f>IFERROR(VLOOKUP(MID(N47,Q47,R47-Q47),[6]skilldef!$C:$D,2,FALSE),"-") &amp; " / " &amp; IFERROR(VLOOKUP(MID(N47,O47,P47-O47),[6]skilldef!$A:$B,2,FALSE),"-")</f>
        <v>自分自身に / 行動値設定</v>
      </c>
      <c r="T47" s="47" t="str">
        <f t="shared" si="11"/>
        <v>[effect:tolerance, target:myself, turn:-1, count:-1, tolerance_effect:all, animation:enemy_tolerance]</v>
      </c>
      <c r="U47" s="62">
        <f t="shared" si="12"/>
        <v>9</v>
      </c>
      <c r="V47" s="62">
        <f t="shared" si="13"/>
        <v>18</v>
      </c>
      <c r="W47" s="62">
        <f t="shared" si="14"/>
        <v>27</v>
      </c>
      <c r="X47" s="62">
        <f t="shared" si="15"/>
        <v>33</v>
      </c>
      <c r="Y47" s="62" t="str">
        <f>IFERROR(VLOOKUP(MID(T47,W47,X47-W47),[6]skilldef!$C:$D,2,FALSE),"-") &amp; " / " &amp; IFERROR(VLOOKUP(MID(T47,U47,V47-U47),[6]skilldef!$A:$B,2,FALSE),"-")</f>
        <v>自分自身に / 状態異常耐性</v>
      </c>
      <c r="Z47" s="49"/>
      <c r="AA47" s="51"/>
      <c r="AB47" s="49"/>
      <c r="AC47" s="48">
        <f t="shared" si="16"/>
        <v>12</v>
      </c>
      <c r="AD47" s="48">
        <f t="shared" si="17"/>
        <v>6</v>
      </c>
    </row>
    <row r="48" spans="1:30" ht="21" customHeight="1" x14ac:dyDescent="0.15">
      <c r="A48" s="7">
        <v>58002046</v>
      </c>
      <c r="B48" s="46" t="s">
        <v>419</v>
      </c>
      <c r="C48" s="49">
        <v>1</v>
      </c>
      <c r="D48" s="49" t="s">
        <v>128</v>
      </c>
      <c r="E48" s="50" t="s">
        <v>348</v>
      </c>
      <c r="F48" s="50" t="s">
        <v>393</v>
      </c>
      <c r="G48" s="62" t="str">
        <f t="shared" si="0"/>
        <v>[effect:enemy_message, val1:1.2, val2:2.1]</v>
      </c>
      <c r="H48" s="62">
        <f t="shared" si="1"/>
        <v>9</v>
      </c>
      <c r="I48" s="62">
        <f t="shared" si="2"/>
        <v>22</v>
      </c>
      <c r="J48" s="62" t="e">
        <f t="shared" si="3"/>
        <v>#VALUE!</v>
      </c>
      <c r="K48" s="62">
        <f t="shared" si="4"/>
        <v>32</v>
      </c>
      <c r="L48" s="62" t="str">
        <f>IFERROR(VLOOKUP(MID(G48,J48,K48-J48),[6]skilldef!$C:$D,2,FALSE),"-") &amp; " / " &amp; IFERROR(VLOOKUP(MID(G48,H48,I48-H48),[6]skilldef!$A:$B,2,FALSE),"-")</f>
        <v>- / -</v>
      </c>
      <c r="M48" s="62" t="str">
        <f t="shared" si="5"/>
        <v>[effect:damage_abnormal, target:unit_one, val:1, status:sleep, turn:1, animation:sleep01]</v>
      </c>
      <c r="N48" s="47" t="str">
        <f t="shared" si="6"/>
        <v>[effect:damage_abnormal, target:unit_one, val:1, status:sleep, turn:1, animation:sleep01]</v>
      </c>
      <c r="O48" s="62">
        <f t="shared" si="7"/>
        <v>9</v>
      </c>
      <c r="P48" s="62">
        <f t="shared" si="8"/>
        <v>24</v>
      </c>
      <c r="Q48" s="62">
        <f t="shared" si="9"/>
        <v>33</v>
      </c>
      <c r="R48" s="62">
        <f t="shared" si="10"/>
        <v>41</v>
      </c>
      <c r="S48" s="62" t="str">
        <f>IFERROR(VLOOKUP(MID(N48,Q48,R48-Q48),[6]skilldef!$C:$D,2,FALSE),"-") &amp; " / " &amp; IFERROR(VLOOKUP(MID(N48,O48,P48-O48),[6]skilldef!$A:$B,2,FALSE),"-")</f>
        <v>味方単体に / -</v>
      </c>
      <c r="T48" s="47" t="str">
        <f t="shared" si="11"/>
        <v>none</v>
      </c>
      <c r="U48" s="62" t="e">
        <f t="shared" si="12"/>
        <v>#VALUE!</v>
      </c>
      <c r="V48" s="62">
        <f t="shared" si="13"/>
        <v>4</v>
      </c>
      <c r="W48" s="62" t="e">
        <f t="shared" si="14"/>
        <v>#VALUE!</v>
      </c>
      <c r="X48" s="62" t="e">
        <f t="shared" si="15"/>
        <v>#VALUE!</v>
      </c>
      <c r="Y48" s="62" t="str">
        <f>IFERROR(VLOOKUP(MID(T48,W48,X48-W48),[6]skilldef!$C:$D,2,FALSE),"-") &amp; " / " &amp; IFERROR(VLOOKUP(MID(T48,U48,V48-U48),[6]skilldef!$A:$B,2,FALSE),"-")</f>
        <v>- / -</v>
      </c>
      <c r="Z48" s="49"/>
      <c r="AA48" s="51"/>
      <c r="AB48" s="49"/>
      <c r="AC48" s="48">
        <f t="shared" si="16"/>
        <v>7</v>
      </c>
      <c r="AD48" s="48">
        <f t="shared" si="17"/>
        <v>21</v>
      </c>
    </row>
    <row r="49" spans="1:30" ht="21" customHeight="1" x14ac:dyDescent="0.15">
      <c r="A49" s="7">
        <v>58002047</v>
      </c>
      <c r="B49" s="46" t="s">
        <v>420</v>
      </c>
      <c r="C49" s="49">
        <v>1</v>
      </c>
      <c r="D49" s="49" t="s">
        <v>128</v>
      </c>
      <c r="E49" s="50" t="s">
        <v>358</v>
      </c>
      <c r="F49" s="50" t="s">
        <v>307</v>
      </c>
      <c r="G49" s="62" t="str">
        <f t="shared" si="0"/>
        <v>[effect:enemy_message, val1:1.3, val2:1.5]</v>
      </c>
      <c r="H49" s="62">
        <f t="shared" si="1"/>
        <v>9</v>
      </c>
      <c r="I49" s="62">
        <f t="shared" si="2"/>
        <v>22</v>
      </c>
      <c r="J49" s="62" t="e">
        <f t="shared" si="3"/>
        <v>#VALUE!</v>
      </c>
      <c r="K49" s="62">
        <f t="shared" si="4"/>
        <v>32</v>
      </c>
      <c r="L49" s="62" t="str">
        <f>IFERROR(VLOOKUP(MID(G49,J49,K49-J49),[6]skilldef!$C:$D,2,FALSE),"-") &amp; " / " &amp; IFERROR(VLOOKUP(MID(G49,H49,I49-H49),[6]skilldef!$A:$B,2,FALSE),"-")</f>
        <v>- / -</v>
      </c>
      <c r="M49" s="62" t="str">
        <f t="shared" si="5"/>
        <v>[effect:change_panel_ratio, turn:6, block_type:red, val:0.4, animation:block_incidence04]</v>
      </c>
      <c r="N49" s="47" t="str">
        <f t="shared" si="6"/>
        <v>[effect:change_panel_ratio, turn:6, block_type:red, val:0.4, animation:block_incidence04]</v>
      </c>
      <c r="O49" s="62">
        <f t="shared" si="7"/>
        <v>9</v>
      </c>
      <c r="P49" s="62">
        <f t="shared" si="8"/>
        <v>27</v>
      </c>
      <c r="Q49" s="62" t="e">
        <f t="shared" si="9"/>
        <v>#VALUE!</v>
      </c>
      <c r="R49" s="62">
        <f t="shared" si="10"/>
        <v>35</v>
      </c>
      <c r="S49" s="62" t="str">
        <f>IFERROR(VLOOKUP(MID(N49,Q49,R49-Q49),[6]skilldef!$C:$D,2,FALSE),"-") &amp; " / " &amp; IFERROR(VLOOKUP(MID(N49,O49,P49-O49),[6]skilldef!$A:$B,2,FALSE),"-")</f>
        <v>- / -</v>
      </c>
      <c r="T49" s="47" t="str">
        <f t="shared" si="11"/>
        <v>none</v>
      </c>
      <c r="U49" s="62" t="e">
        <f t="shared" si="12"/>
        <v>#VALUE!</v>
      </c>
      <c r="V49" s="62">
        <f t="shared" si="13"/>
        <v>4</v>
      </c>
      <c r="W49" s="62" t="e">
        <f t="shared" si="14"/>
        <v>#VALUE!</v>
      </c>
      <c r="X49" s="62" t="e">
        <f t="shared" si="15"/>
        <v>#VALUE!</v>
      </c>
      <c r="Y49" s="62" t="str">
        <f>IFERROR(VLOOKUP(MID(T49,W49,X49-W49),[6]skilldef!$C:$D,2,FALSE),"-") &amp; " / " &amp; IFERROR(VLOOKUP(MID(T49,U49,V49-U49),[6]skilldef!$A:$B,2,FALSE),"-")</f>
        <v>- / -</v>
      </c>
      <c r="Z49" s="49"/>
      <c r="AA49" s="51"/>
      <c r="AB49" s="49"/>
      <c r="AC49" s="48">
        <f t="shared" si="16"/>
        <v>13</v>
      </c>
      <c r="AD49" s="48">
        <f t="shared" si="17"/>
        <v>15</v>
      </c>
    </row>
    <row r="50" spans="1:30" ht="21" customHeight="1" x14ac:dyDescent="0.15">
      <c r="A50" s="7">
        <v>58002048</v>
      </c>
      <c r="B50" s="46" t="s">
        <v>308</v>
      </c>
      <c r="C50" s="49">
        <v>1</v>
      </c>
      <c r="D50" s="49" t="s">
        <v>128</v>
      </c>
      <c r="E50" s="50" t="s">
        <v>349</v>
      </c>
      <c r="F50" s="50" t="s">
        <v>309</v>
      </c>
      <c r="G50" s="62" t="str">
        <f t="shared" si="0"/>
        <v>[effect:enemy_message, val1:1.2, val2:1.2]</v>
      </c>
      <c r="H50" s="62">
        <f t="shared" si="1"/>
        <v>9</v>
      </c>
      <c r="I50" s="62">
        <f t="shared" si="2"/>
        <v>22</v>
      </c>
      <c r="J50" s="62" t="e">
        <f t="shared" si="3"/>
        <v>#VALUE!</v>
      </c>
      <c r="K50" s="62">
        <f t="shared" si="4"/>
        <v>32</v>
      </c>
      <c r="L50" s="62" t="str">
        <f>IFERROR(VLOOKUP(MID(G50,J50,K50-J50),[6]skilldef!$C:$D,2,FALSE),"-") &amp; " / " &amp; IFERROR(VLOOKUP(MID(G50,H50,I50-H50),[6]skilldef!$A:$B,2,FALSE),"-")</f>
        <v>- / -</v>
      </c>
      <c r="M50" s="62" t="str">
        <f t="shared" si="5"/>
        <v>[effect:panel_freeze, target:normal, color:block_red, count:-1]</v>
      </c>
      <c r="N50" s="47" t="str">
        <f t="shared" si="6"/>
        <v>[effect:panel_freeze, target:normal, color:block_red, count:-1]</v>
      </c>
      <c r="O50" s="62">
        <f t="shared" si="7"/>
        <v>9</v>
      </c>
      <c r="P50" s="62">
        <f t="shared" si="8"/>
        <v>21</v>
      </c>
      <c r="Q50" s="62">
        <f t="shared" si="9"/>
        <v>30</v>
      </c>
      <c r="R50" s="62">
        <f t="shared" si="10"/>
        <v>36</v>
      </c>
      <c r="S50" s="62" t="str">
        <f>IFERROR(VLOOKUP(MID(N50,Q50,R50-Q50),[6]skilldef!$C:$D,2,FALSE),"-") &amp; " / " &amp; IFERROR(VLOOKUP(MID(N50,O50,P50-O50),[6]skilldef!$A:$B,2,FALSE),"-")</f>
        <v>- / -</v>
      </c>
      <c r="T50" s="47" t="str">
        <f t="shared" si="11"/>
        <v>none</v>
      </c>
      <c r="U50" s="62" t="e">
        <f t="shared" si="12"/>
        <v>#VALUE!</v>
      </c>
      <c r="V50" s="62">
        <f t="shared" si="13"/>
        <v>4</v>
      </c>
      <c r="W50" s="62" t="e">
        <f t="shared" si="14"/>
        <v>#VALUE!</v>
      </c>
      <c r="X50" s="62" t="e">
        <f t="shared" si="15"/>
        <v>#VALUE!</v>
      </c>
      <c r="Y50" s="62" t="str">
        <f>IFERROR(VLOOKUP(MID(T50,W50,X50-W50),[6]skilldef!$C:$D,2,FALSE),"-") &amp; " / " &amp; IFERROR(VLOOKUP(MID(T50,U50,V50-U50),[6]skilldef!$A:$B,2,FALSE),"-")</f>
        <v>- / -</v>
      </c>
      <c r="Z50" s="49"/>
      <c r="AA50" s="51"/>
      <c r="AB50" s="49"/>
      <c r="AC50" s="48">
        <f t="shared" si="16"/>
        <v>11</v>
      </c>
      <c r="AD50" s="48">
        <f t="shared" si="17"/>
        <v>10</v>
      </c>
    </row>
    <row r="51" spans="1:30" ht="21" customHeight="1" x14ac:dyDescent="0.15">
      <c r="A51" s="7">
        <v>58002049</v>
      </c>
      <c r="B51" s="46" t="s">
        <v>310</v>
      </c>
      <c r="C51" s="49">
        <v>1</v>
      </c>
      <c r="D51" s="49" t="s">
        <v>128</v>
      </c>
      <c r="E51" s="50" t="s">
        <v>350</v>
      </c>
      <c r="F51" s="50" t="s">
        <v>311</v>
      </c>
      <c r="G51" s="62" t="str">
        <f t="shared" si="0"/>
        <v>[effect:enemy_message, val1:1.2, val2:1.2]</v>
      </c>
      <c r="H51" s="62">
        <f t="shared" si="1"/>
        <v>9</v>
      </c>
      <c r="I51" s="62">
        <f t="shared" si="2"/>
        <v>22</v>
      </c>
      <c r="J51" s="62" t="e">
        <f t="shared" si="3"/>
        <v>#VALUE!</v>
      </c>
      <c r="K51" s="62">
        <f t="shared" si="4"/>
        <v>32</v>
      </c>
      <c r="L51" s="62" t="str">
        <f>IFERROR(VLOOKUP(MID(G51,J51,K51-J51),[6]skilldef!$C:$D,2,FALSE),"-") &amp; " / " &amp; IFERROR(VLOOKUP(MID(G51,H51,I51-H51),[6]skilldef!$A:$B,2,FALSE),"-")</f>
        <v>- / -</v>
      </c>
      <c r="M51" s="62" t="str">
        <f t="shared" si="5"/>
        <v>[effect:enhance_enemy, target:myself, turn:-1, status:attack, val:0.5, calc:mul, animation:enemy_enhance_attack]</v>
      </c>
      <c r="N51" s="47" t="str">
        <f t="shared" si="6"/>
        <v>[effect:enhance_enemy, target:myself, turn:-1, status:attack, val:0.5, calc:mul, animation:enemy_enhance_attack]</v>
      </c>
      <c r="O51" s="62">
        <f t="shared" si="7"/>
        <v>9</v>
      </c>
      <c r="P51" s="62">
        <f t="shared" si="8"/>
        <v>22</v>
      </c>
      <c r="Q51" s="62">
        <f t="shared" si="9"/>
        <v>31</v>
      </c>
      <c r="R51" s="62">
        <f t="shared" si="10"/>
        <v>37</v>
      </c>
      <c r="S51" s="62" t="str">
        <f>IFERROR(VLOOKUP(MID(N51,Q51,R51-Q51),[6]skilldef!$C:$D,2,FALSE),"-") &amp; " / " &amp; IFERROR(VLOOKUP(MID(N51,O51,P51-O51),[6]skilldef!$A:$B,2,FALSE),"-")</f>
        <v>自分自身に / ステータス強化</v>
      </c>
      <c r="T51" s="47" t="str">
        <f t="shared" si="11"/>
        <v>none</v>
      </c>
      <c r="U51" s="62" t="e">
        <f t="shared" si="12"/>
        <v>#VALUE!</v>
      </c>
      <c r="V51" s="62">
        <f t="shared" si="13"/>
        <v>4</v>
      </c>
      <c r="W51" s="62" t="e">
        <f t="shared" si="14"/>
        <v>#VALUE!</v>
      </c>
      <c r="X51" s="62" t="e">
        <f t="shared" si="15"/>
        <v>#VALUE!</v>
      </c>
      <c r="Y51" s="62" t="str">
        <f>IFERROR(VLOOKUP(MID(T51,W51,X51-W51),[6]skilldef!$C:$D,2,FALSE),"-") &amp; " / " &amp; IFERROR(VLOOKUP(MID(T51,U51,V51-U51),[6]skilldef!$A:$B,2,FALSE),"-")</f>
        <v>- / -</v>
      </c>
      <c r="Z51" s="49"/>
      <c r="AA51" s="51"/>
      <c r="AB51" s="49"/>
      <c r="AC51" s="48">
        <f t="shared" si="16"/>
        <v>7</v>
      </c>
      <c r="AD51" s="48">
        <f t="shared" si="17"/>
        <v>8</v>
      </c>
    </row>
    <row r="52" spans="1:30" ht="21" customHeight="1" x14ac:dyDescent="0.15">
      <c r="A52" s="7">
        <v>58002050</v>
      </c>
      <c r="B52" s="46" t="s">
        <v>282</v>
      </c>
      <c r="C52" s="49">
        <v>1</v>
      </c>
      <c r="D52" s="49" t="s">
        <v>128</v>
      </c>
      <c r="E52" s="50" t="s">
        <v>352</v>
      </c>
      <c r="F52" s="50" t="s">
        <v>312</v>
      </c>
      <c r="G52" s="62" t="str">
        <f t="shared" si="0"/>
        <v>[effect:enemy_message, val1:1.2, val2:1.2]</v>
      </c>
      <c r="H52" s="62">
        <f t="shared" si="1"/>
        <v>9</v>
      </c>
      <c r="I52" s="62">
        <f t="shared" si="2"/>
        <v>22</v>
      </c>
      <c r="J52" s="62" t="e">
        <f t="shared" si="3"/>
        <v>#VALUE!</v>
      </c>
      <c r="K52" s="62">
        <f t="shared" si="4"/>
        <v>32</v>
      </c>
      <c r="L52" s="62" t="str">
        <f>IFERROR(VLOOKUP(MID(G52,J52,K52-J52),[6]skilldef!$C:$D,2,FALSE),"-") &amp; " / " &amp; IFERROR(VLOOKUP(MID(G52,H52,I52-H52),[6]skilldef!$A:$B,2,FALSE),"-")</f>
        <v>- / -</v>
      </c>
      <c r="M52" s="62" t="str">
        <f t="shared" si="5"/>
        <v>[effect:rush, count:5, val:0.3]</v>
      </c>
      <c r="N52" s="47" t="str">
        <f t="shared" si="6"/>
        <v>[effect:rush, count:5, val:0.3]</v>
      </c>
      <c r="O52" s="62">
        <f t="shared" si="7"/>
        <v>9</v>
      </c>
      <c r="P52" s="62">
        <f t="shared" si="8"/>
        <v>13</v>
      </c>
      <c r="Q52" s="62" t="e">
        <f t="shared" si="9"/>
        <v>#VALUE!</v>
      </c>
      <c r="R52" s="62">
        <f t="shared" si="10"/>
        <v>22</v>
      </c>
      <c r="S52" s="62" t="str">
        <f>IFERROR(VLOOKUP(MID(N52,Q52,R52-Q52),[6]skilldef!$C:$D,2,FALSE),"-") &amp; " / " &amp; IFERROR(VLOOKUP(MID(N52,O52,P52-O52),[6]skilldef!$A:$B,2,FALSE),"-")</f>
        <v>- / 連続攻撃</v>
      </c>
      <c r="T52" s="47" t="str">
        <f t="shared" si="11"/>
        <v>none</v>
      </c>
      <c r="U52" s="62" t="e">
        <f t="shared" si="12"/>
        <v>#VALUE!</v>
      </c>
      <c r="V52" s="62">
        <f t="shared" si="13"/>
        <v>4</v>
      </c>
      <c r="W52" s="62" t="e">
        <f t="shared" si="14"/>
        <v>#VALUE!</v>
      </c>
      <c r="X52" s="62" t="e">
        <f t="shared" si="15"/>
        <v>#VALUE!</v>
      </c>
      <c r="Y52" s="62" t="str">
        <f>IFERROR(VLOOKUP(MID(T52,W52,X52-W52),[6]skilldef!$C:$D,2,FALSE),"-") &amp; " / " &amp; IFERROR(VLOOKUP(MID(T52,U52,V52-U52),[6]skilldef!$A:$B,2,FALSE),"-")</f>
        <v>- / -</v>
      </c>
      <c r="Z52" s="49"/>
      <c r="AA52" s="51"/>
      <c r="AB52" s="49"/>
      <c r="AC52" s="48">
        <f t="shared" si="16"/>
        <v>10</v>
      </c>
      <c r="AD52" s="48">
        <f t="shared" si="17"/>
        <v>6</v>
      </c>
    </row>
    <row r="53" spans="1:30" ht="21" customHeight="1" x14ac:dyDescent="0.15">
      <c r="A53" s="7">
        <v>58002051</v>
      </c>
      <c r="B53" s="46" t="s">
        <v>256</v>
      </c>
      <c r="C53" s="49">
        <v>1</v>
      </c>
      <c r="D53" s="49" t="s">
        <v>128</v>
      </c>
      <c r="E53" s="50" t="s">
        <v>353</v>
      </c>
      <c r="F53" s="50" t="s">
        <v>303</v>
      </c>
      <c r="G53" s="62" t="str">
        <f t="shared" si="0"/>
        <v>[effect:enemy_message, val1:1.2, val2:1.2]</v>
      </c>
      <c r="H53" s="62">
        <f t="shared" si="1"/>
        <v>9</v>
      </c>
      <c r="I53" s="62">
        <f t="shared" si="2"/>
        <v>22</v>
      </c>
      <c r="J53" s="62" t="e">
        <f t="shared" si="3"/>
        <v>#VALUE!</v>
      </c>
      <c r="K53" s="62">
        <f t="shared" si="4"/>
        <v>32</v>
      </c>
      <c r="L53" s="62" t="str">
        <f>IFERROR(VLOOKUP(MID(G53,J53,K53-J53),[6]skilldef!$C:$D,2,FALSE),"-") &amp; " / " &amp; IFERROR(VLOOKUP(MID(G53,H53,I53-H53),[6]skilldef!$A:$B,2,FALSE),"-")</f>
        <v>- / -</v>
      </c>
      <c r="M53" s="62" t="str">
        <f t="shared" si="5"/>
        <v>none</v>
      </c>
      <c r="N53" s="47" t="str">
        <f t="shared" si="6"/>
        <v>none</v>
      </c>
      <c r="O53" s="62" t="e">
        <f t="shared" si="7"/>
        <v>#VALUE!</v>
      </c>
      <c r="P53" s="62">
        <f t="shared" si="8"/>
        <v>4</v>
      </c>
      <c r="Q53" s="62" t="e">
        <f t="shared" si="9"/>
        <v>#VALUE!</v>
      </c>
      <c r="R53" s="62" t="e">
        <f t="shared" si="10"/>
        <v>#VALUE!</v>
      </c>
      <c r="S53" s="62" t="str">
        <f>IFERROR(VLOOKUP(MID(N53,Q53,R53-Q53),[6]skilldef!$C:$D,2,FALSE),"-") &amp; " / " &amp; IFERROR(VLOOKUP(MID(N53,O53,P53-O53),[6]skilldef!$A:$B,2,FALSE),"-")</f>
        <v>- / -</v>
      </c>
      <c r="T53" s="47" t="str">
        <f t="shared" si="11"/>
        <v>none</v>
      </c>
      <c r="U53" s="62" t="e">
        <f t="shared" si="12"/>
        <v>#VALUE!</v>
      </c>
      <c r="V53" s="62">
        <f t="shared" si="13"/>
        <v>4</v>
      </c>
      <c r="W53" s="62" t="e">
        <f t="shared" si="14"/>
        <v>#VALUE!</v>
      </c>
      <c r="X53" s="62" t="e">
        <f t="shared" si="15"/>
        <v>#VALUE!</v>
      </c>
      <c r="Y53" s="62" t="str">
        <f>IFERROR(VLOOKUP(MID(T53,W53,X53-W53),[6]skilldef!$C:$D,2,FALSE),"-") &amp; " / " &amp; IFERROR(VLOOKUP(MID(T53,U53,V53-U53),[6]skilldef!$A:$B,2,FALSE),"-")</f>
        <v>- / -</v>
      </c>
      <c r="Z53" s="49"/>
      <c r="AA53" s="51"/>
      <c r="AB53" s="49"/>
      <c r="AC53" s="48">
        <f t="shared" si="16"/>
        <v>9</v>
      </c>
      <c r="AD53" s="48">
        <f t="shared" si="17"/>
        <v>10</v>
      </c>
    </row>
    <row r="54" spans="1:30" ht="21" customHeight="1" x14ac:dyDescent="0.15">
      <c r="A54" s="7">
        <v>58002052</v>
      </c>
      <c r="B54" s="46" t="s">
        <v>275</v>
      </c>
      <c r="C54" s="49">
        <v>1</v>
      </c>
      <c r="D54" s="49" t="s">
        <v>128</v>
      </c>
      <c r="E54" s="50" t="s">
        <v>354</v>
      </c>
      <c r="F54" s="50" t="s">
        <v>302</v>
      </c>
      <c r="G54" s="62" t="str">
        <f t="shared" si="0"/>
        <v>[effect:enemy_message, val1:1.2, val2:1.2]</v>
      </c>
      <c r="H54" s="62">
        <f t="shared" si="1"/>
        <v>9</v>
      </c>
      <c r="I54" s="62">
        <f t="shared" si="2"/>
        <v>22</v>
      </c>
      <c r="J54" s="62" t="e">
        <f t="shared" si="3"/>
        <v>#VALUE!</v>
      </c>
      <c r="K54" s="62">
        <f t="shared" si="4"/>
        <v>32</v>
      </c>
      <c r="L54" s="62" t="str">
        <f>IFERROR(VLOOKUP(MID(G54,J54,K54-J54),[6]skilldef!$C:$D,2,FALSE),"-") &amp; " / " &amp; IFERROR(VLOOKUP(MID(G54,H54,I54-H54),[6]skilldef!$A:$B,2,FALSE),"-")</f>
        <v>- / -</v>
      </c>
      <c r="M54" s="62" t="str">
        <f t="shared" si="5"/>
        <v>[effect:spread, val:2.0],[effect:spread, val:2.0],[effect:spread, val:2.0],[effect:spread, val:2.0],[effect:spread, val:2.0]</v>
      </c>
      <c r="N54" s="47" t="str">
        <f t="shared" si="6"/>
        <v>[effect:spread, val:2.0],[effect:spread, val:2.0],[effect:spread, val:2.0],[effect:spread, val:2.0],[effect:spread, val:2.0]</v>
      </c>
      <c r="O54" s="62">
        <f t="shared" si="7"/>
        <v>9</v>
      </c>
      <c r="P54" s="62">
        <f t="shared" si="8"/>
        <v>15</v>
      </c>
      <c r="Q54" s="62" t="e">
        <f t="shared" si="9"/>
        <v>#VALUE!</v>
      </c>
      <c r="R54" s="62">
        <f t="shared" si="10"/>
        <v>25</v>
      </c>
      <c r="S54" s="62" t="str">
        <f>IFERROR(VLOOKUP(MID(N54,Q54,R54-Q54),[6]skilldef!$C:$D,2,FALSE),"-") &amp; " / " &amp; IFERROR(VLOOKUP(MID(N54,O54,P54-O54),[6]skilldef!$A:$B,2,FALSE),"-")</f>
        <v>- / 全体攻撃</v>
      </c>
      <c r="T54" s="47" t="str">
        <f t="shared" si="11"/>
        <v>[effect:spread, val:2.0],[effect:spread, val:2.0],[effect:spread, val:2.0],[effect:spread, val:2.0]</v>
      </c>
      <c r="U54" s="62">
        <f t="shared" si="12"/>
        <v>9</v>
      </c>
      <c r="V54" s="62">
        <f t="shared" si="13"/>
        <v>15</v>
      </c>
      <c r="W54" s="62" t="e">
        <f t="shared" si="14"/>
        <v>#VALUE!</v>
      </c>
      <c r="X54" s="62">
        <f t="shared" si="15"/>
        <v>25</v>
      </c>
      <c r="Y54" s="62" t="str">
        <f>IFERROR(VLOOKUP(MID(T54,W54,X54-W54),[6]skilldef!$C:$D,2,FALSE),"-") &amp; " / " &amp; IFERROR(VLOOKUP(MID(T54,U54,V54-U54),[6]skilldef!$A:$B,2,FALSE),"-")</f>
        <v>- / 全体攻撃</v>
      </c>
      <c r="Z54" s="49"/>
      <c r="AA54" s="51"/>
      <c r="AB54" s="49"/>
      <c r="AC54" s="48">
        <f t="shared" si="16"/>
        <v>4</v>
      </c>
      <c r="AD54" s="48">
        <f t="shared" si="17"/>
        <v>8</v>
      </c>
    </row>
    <row r="55" spans="1:30" ht="21" customHeight="1" x14ac:dyDescent="0.15">
      <c r="A55" s="7">
        <v>58002053</v>
      </c>
      <c r="B55" s="46" t="s">
        <v>421</v>
      </c>
      <c r="C55" s="49">
        <v>1</v>
      </c>
      <c r="D55" s="49" t="s">
        <v>128</v>
      </c>
      <c r="E55" s="50" t="s">
        <v>355</v>
      </c>
      <c r="F55" s="50" t="s">
        <v>313</v>
      </c>
      <c r="G55" s="62" t="str">
        <f t="shared" si="0"/>
        <v>[effect:enemy_message, val1:1.2, val2:3.3]</v>
      </c>
      <c r="H55" s="62">
        <f t="shared" si="1"/>
        <v>9</v>
      </c>
      <c r="I55" s="62">
        <f t="shared" si="2"/>
        <v>22</v>
      </c>
      <c r="J55" s="62" t="e">
        <f t="shared" si="3"/>
        <v>#VALUE!</v>
      </c>
      <c r="K55" s="62">
        <f t="shared" si="4"/>
        <v>32</v>
      </c>
      <c r="L55" s="62" t="str">
        <f>IFERROR(VLOOKUP(MID(G55,J55,K55-J55),[6]skilldef!$C:$D,2,FALSE),"-") &amp; " / " &amp; IFERROR(VLOOKUP(MID(G55,H55,I55-H55),[6]skilldef!$A:$B,2,FALSE),"-")</f>
        <v>- / -</v>
      </c>
      <c r="M55" s="62" t="str">
        <f t="shared" si="5"/>
        <v>[effect:rush, count:1, val:1]</v>
      </c>
      <c r="N55" s="47" t="str">
        <f t="shared" si="6"/>
        <v>[effect:rush, count:1, val:1]</v>
      </c>
      <c r="O55" s="62">
        <f t="shared" si="7"/>
        <v>9</v>
      </c>
      <c r="P55" s="62">
        <f t="shared" si="8"/>
        <v>13</v>
      </c>
      <c r="Q55" s="62" t="e">
        <f t="shared" si="9"/>
        <v>#VALUE!</v>
      </c>
      <c r="R55" s="62">
        <f t="shared" si="10"/>
        <v>22</v>
      </c>
      <c r="S55" s="62" t="str">
        <f>IFERROR(VLOOKUP(MID(N55,Q55,R55-Q55),[6]skilldef!$C:$D,2,FALSE),"-") &amp; " / " &amp; IFERROR(VLOOKUP(MID(N55,O55,P55-O55),[6]skilldef!$A:$B,2,FALSE),"-")</f>
        <v>- / 連続攻撃</v>
      </c>
      <c r="T55" s="47" t="str">
        <f t="shared" si="11"/>
        <v>none</v>
      </c>
      <c r="U55" s="62" t="e">
        <f t="shared" si="12"/>
        <v>#VALUE!</v>
      </c>
      <c r="V55" s="62">
        <f t="shared" si="13"/>
        <v>4</v>
      </c>
      <c r="W55" s="62" t="e">
        <f t="shared" si="14"/>
        <v>#VALUE!</v>
      </c>
      <c r="X55" s="62" t="e">
        <f t="shared" si="15"/>
        <v>#VALUE!</v>
      </c>
      <c r="Y55" s="62" t="str">
        <f>IFERROR(VLOOKUP(MID(T55,W55,X55-W55),[6]skilldef!$C:$D,2,FALSE),"-") &amp; " / " &amp; IFERROR(VLOOKUP(MID(T55,U55,V55-U55),[6]skilldef!$A:$B,2,FALSE),"-")</f>
        <v>- / -</v>
      </c>
      <c r="Z55" s="49"/>
      <c r="AA55" s="51"/>
      <c r="AB55" s="49"/>
      <c r="AC55" s="48">
        <f t="shared" si="16"/>
        <v>11</v>
      </c>
      <c r="AD55" s="48">
        <f t="shared" si="17"/>
        <v>33</v>
      </c>
    </row>
    <row r="56" spans="1:30" ht="21" customHeight="1" x14ac:dyDescent="0.15">
      <c r="A56" s="7">
        <v>58002054</v>
      </c>
      <c r="B56" s="46" t="s">
        <v>422</v>
      </c>
      <c r="C56" s="49">
        <v>1</v>
      </c>
      <c r="D56" s="49" t="s">
        <v>128</v>
      </c>
      <c r="E56" s="50" t="s">
        <v>356</v>
      </c>
      <c r="F56" s="50" t="s">
        <v>281</v>
      </c>
      <c r="G56" s="62" t="str">
        <f t="shared" si="0"/>
        <v>[effect:enemy_message, val1:1.2, val2:2.3]</v>
      </c>
      <c r="H56" s="62">
        <f t="shared" si="1"/>
        <v>9</v>
      </c>
      <c r="I56" s="62">
        <f t="shared" si="2"/>
        <v>22</v>
      </c>
      <c r="J56" s="62" t="e">
        <f t="shared" si="3"/>
        <v>#VALUE!</v>
      </c>
      <c r="K56" s="62">
        <f t="shared" si="4"/>
        <v>32</v>
      </c>
      <c r="L56" s="62" t="str">
        <f>IFERROR(VLOOKUP(MID(G56,J56,K56-J56),[6]skilldef!$C:$D,2,FALSE),"-") &amp; " / " &amp; IFERROR(VLOOKUP(MID(G56,H56,I56-H56),[6]skilldef!$A:$B,2,FALSE),"-")</f>
        <v>- / -</v>
      </c>
      <c r="M56" s="62" t="str">
        <f t="shared" si="5"/>
        <v>[effect:drop_block, block_type:damage, block_color:block_green, color:block_green, val:0.2, rate:1, turn:1, animation:damage_influence04]</v>
      </c>
      <c r="N56" s="47" t="str">
        <f t="shared" si="6"/>
        <v>[effect:drop_block, block_type:damage, block_color:block_green, color:block_green, val:0.2, rate:1, turn:1, animation:damage_influence04]</v>
      </c>
      <c r="O56" s="62">
        <f t="shared" si="7"/>
        <v>9</v>
      </c>
      <c r="P56" s="62">
        <f t="shared" si="8"/>
        <v>19</v>
      </c>
      <c r="Q56" s="62" t="e">
        <f t="shared" si="9"/>
        <v>#VALUE!</v>
      </c>
      <c r="R56" s="62">
        <f t="shared" si="10"/>
        <v>38</v>
      </c>
      <c r="S56" s="62" t="str">
        <f>IFERROR(VLOOKUP(MID(N56,Q56,R56-Q56),[6]skilldef!$C:$D,2,FALSE),"-") &amp; " / " &amp; IFERROR(VLOOKUP(MID(N56,O56,P56-O56),[6]skilldef!$A:$B,2,FALSE),"-")</f>
        <v>- / 特定ブロックの割合ドロップ</v>
      </c>
      <c r="T56" s="47" t="str">
        <f t="shared" si="11"/>
        <v>none</v>
      </c>
      <c r="U56" s="62" t="e">
        <f t="shared" si="12"/>
        <v>#VALUE!</v>
      </c>
      <c r="V56" s="62">
        <f t="shared" si="13"/>
        <v>4</v>
      </c>
      <c r="W56" s="62" t="e">
        <f t="shared" si="14"/>
        <v>#VALUE!</v>
      </c>
      <c r="X56" s="62" t="e">
        <f t="shared" si="15"/>
        <v>#VALUE!</v>
      </c>
      <c r="Y56" s="62" t="str">
        <f>IFERROR(VLOOKUP(MID(T56,W56,X56-W56),[6]skilldef!$C:$D,2,FALSE),"-") &amp; " / " &amp; IFERROR(VLOOKUP(MID(T56,U56,V56-U56),[6]skilldef!$A:$B,2,FALSE),"-")</f>
        <v>- / -</v>
      </c>
      <c r="Z56" s="49"/>
      <c r="AA56" s="51"/>
      <c r="AB56" s="49"/>
      <c r="AC56" s="48">
        <f t="shared" si="16"/>
        <v>8</v>
      </c>
      <c r="AD56" s="48">
        <f t="shared" si="17"/>
        <v>23</v>
      </c>
    </row>
    <row r="57" spans="1:30" ht="21" customHeight="1" x14ac:dyDescent="0.15">
      <c r="A57" s="7">
        <v>58002055</v>
      </c>
      <c r="B57" s="46" t="s">
        <v>280</v>
      </c>
      <c r="C57" s="49">
        <v>1</v>
      </c>
      <c r="D57" s="49" t="s">
        <v>128</v>
      </c>
      <c r="E57" s="50" t="s">
        <v>357</v>
      </c>
      <c r="F57" s="50" t="s">
        <v>266</v>
      </c>
      <c r="G57" s="62" t="str">
        <f t="shared" si="0"/>
        <v>[effect:enemy_message, val1:1.2, val2:1.2]</v>
      </c>
      <c r="H57" s="62">
        <f t="shared" si="1"/>
        <v>9</v>
      </c>
      <c r="I57" s="62">
        <f t="shared" si="2"/>
        <v>22</v>
      </c>
      <c r="J57" s="62" t="e">
        <f t="shared" si="3"/>
        <v>#VALUE!</v>
      </c>
      <c r="K57" s="62">
        <f t="shared" si="4"/>
        <v>32</v>
      </c>
      <c r="L57" s="62" t="str">
        <f>IFERROR(VLOOKUP(MID(G57,J57,K57-J57),[6]skilldef!$C:$D,2,FALSE),"-") &amp; " / " &amp; IFERROR(VLOOKUP(MID(G57,H57,I57-H57),[6]skilldef!$A:$B,2,FALSE),"-")</f>
        <v>- / -</v>
      </c>
      <c r="M57" s="62" t="str">
        <f t="shared" si="5"/>
        <v>[effect:fix_speed, target:myself, turn:1],[effect:tolerance, target:myself, turn:-1, count:-1, tolerance_effect:all, animation:enemy_tolerance]</v>
      </c>
      <c r="N57" s="47" t="str">
        <f t="shared" si="6"/>
        <v>[effect:fix_speed, target:myself, turn:1],[effect:tolerance, target:myself, turn:-1, count:-1, tolerance_effect:all, animation:enemy_tolerance]</v>
      </c>
      <c r="O57" s="62">
        <f t="shared" si="7"/>
        <v>9</v>
      </c>
      <c r="P57" s="62">
        <f t="shared" si="8"/>
        <v>18</v>
      </c>
      <c r="Q57" s="62">
        <f t="shared" si="9"/>
        <v>27</v>
      </c>
      <c r="R57" s="62">
        <f t="shared" si="10"/>
        <v>33</v>
      </c>
      <c r="S57" s="62" t="str">
        <f>IFERROR(VLOOKUP(MID(N57,Q57,R57-Q57),[6]skilldef!$C:$D,2,FALSE),"-") &amp; " / " &amp; IFERROR(VLOOKUP(MID(N57,O57,P57-O57),[6]skilldef!$A:$B,2,FALSE),"-")</f>
        <v>自分自身に / 行動値設定</v>
      </c>
      <c r="T57" s="47" t="str">
        <f t="shared" si="11"/>
        <v>[effect:tolerance, target:myself, turn:-1, count:-1, tolerance_effect:all, animation:enemy_tolerance]</v>
      </c>
      <c r="U57" s="62">
        <f t="shared" si="12"/>
        <v>9</v>
      </c>
      <c r="V57" s="62">
        <f t="shared" si="13"/>
        <v>18</v>
      </c>
      <c r="W57" s="62">
        <f t="shared" si="14"/>
        <v>27</v>
      </c>
      <c r="X57" s="62">
        <f t="shared" si="15"/>
        <v>33</v>
      </c>
      <c r="Y57" s="62" t="str">
        <f>IFERROR(VLOOKUP(MID(T57,W57,X57-W57),[6]skilldef!$C:$D,2,FALSE),"-") &amp; " / " &amp; IFERROR(VLOOKUP(MID(T57,U57,V57-U57),[6]skilldef!$A:$B,2,FALSE),"-")</f>
        <v>自分自身に / 状態異常耐性</v>
      </c>
      <c r="Z57" s="49"/>
      <c r="AA57" s="51"/>
      <c r="AB57" s="49"/>
      <c r="AC57" s="48">
        <f t="shared" si="16"/>
        <v>9</v>
      </c>
      <c r="AD57" s="48">
        <f t="shared" si="17"/>
        <v>6</v>
      </c>
    </row>
    <row r="58" spans="1:30" ht="21" customHeight="1" x14ac:dyDescent="0.15">
      <c r="A58" s="7">
        <v>58002056</v>
      </c>
      <c r="B58" s="46" t="s">
        <v>423</v>
      </c>
      <c r="C58" s="49">
        <v>1</v>
      </c>
      <c r="D58" s="49" t="s">
        <v>128</v>
      </c>
      <c r="E58" s="50" t="s">
        <v>359</v>
      </c>
      <c r="F58" s="50" t="s">
        <v>394</v>
      </c>
      <c r="G58" s="62" t="str">
        <f t="shared" si="0"/>
        <v>[effect:enemy_message, val1:1.4, val2:2.4]</v>
      </c>
      <c r="H58" s="62">
        <f t="shared" si="1"/>
        <v>9</v>
      </c>
      <c r="I58" s="62">
        <f t="shared" si="2"/>
        <v>22</v>
      </c>
      <c r="J58" s="62" t="e">
        <f t="shared" si="3"/>
        <v>#VALUE!</v>
      </c>
      <c r="K58" s="62">
        <f t="shared" si="4"/>
        <v>32</v>
      </c>
      <c r="L58" s="62" t="str">
        <f>IFERROR(VLOOKUP(MID(G58,J58,K58-J58),[6]skilldef!$C:$D,2,FALSE),"-") &amp; " / " &amp; IFERROR(VLOOKUP(MID(G58,H58,I58-H58),[6]skilldef!$A:$B,2,FALSE),"-")</f>
        <v>- / -</v>
      </c>
      <c r="M58" s="62" t="str">
        <f t="shared" si="5"/>
        <v xml:space="preserve">[effect:damage_abnormal, target:unit_one, val:1, status:hungup, turn:1, animation:hungup01]    </v>
      </c>
      <c r="N58" s="47" t="str">
        <f t="shared" si="6"/>
        <v xml:space="preserve">[effect:damage_abnormal, target:unit_one, val:1, status:hungup, turn:1, animation:hungup01]    </v>
      </c>
      <c r="O58" s="62">
        <f t="shared" si="7"/>
        <v>9</v>
      </c>
      <c r="P58" s="62">
        <f t="shared" si="8"/>
        <v>24</v>
      </c>
      <c r="Q58" s="62">
        <f t="shared" si="9"/>
        <v>33</v>
      </c>
      <c r="R58" s="62">
        <f t="shared" si="10"/>
        <v>41</v>
      </c>
      <c r="S58" s="62" t="str">
        <f>IFERROR(VLOOKUP(MID(N58,Q58,R58-Q58),[6]skilldef!$C:$D,2,FALSE),"-") &amp; " / " &amp; IFERROR(VLOOKUP(MID(N58,O58,P58-O58),[6]skilldef!$A:$B,2,FALSE),"-")</f>
        <v>味方単体に / -</v>
      </c>
      <c r="T58" s="47" t="str">
        <f t="shared" si="11"/>
        <v>none</v>
      </c>
      <c r="U58" s="62" t="e">
        <f t="shared" si="12"/>
        <v>#VALUE!</v>
      </c>
      <c r="V58" s="62">
        <f t="shared" si="13"/>
        <v>4</v>
      </c>
      <c r="W58" s="62" t="e">
        <f t="shared" si="14"/>
        <v>#VALUE!</v>
      </c>
      <c r="X58" s="62" t="e">
        <f t="shared" si="15"/>
        <v>#VALUE!</v>
      </c>
      <c r="Y58" s="62" t="str">
        <f>IFERROR(VLOOKUP(MID(T58,W58,X58-W58),[6]skilldef!$C:$D,2,FALSE),"-") &amp; " / " &amp; IFERROR(VLOOKUP(MID(T58,U58,V58-U58),[6]skilldef!$A:$B,2,FALSE),"-")</f>
        <v>- / -</v>
      </c>
      <c r="Z58" s="49"/>
      <c r="AA58" s="51"/>
      <c r="AB58" s="49"/>
      <c r="AC58" s="48">
        <f t="shared" si="16"/>
        <v>14</v>
      </c>
      <c r="AD58" s="48">
        <f t="shared" si="17"/>
        <v>24</v>
      </c>
    </row>
    <row r="59" spans="1:30" ht="21" customHeight="1" x14ac:dyDescent="0.15">
      <c r="A59" s="7">
        <v>58002057</v>
      </c>
      <c r="B59" s="46" t="s">
        <v>424</v>
      </c>
      <c r="C59" s="49">
        <v>1</v>
      </c>
      <c r="D59" s="49" t="s">
        <v>128</v>
      </c>
      <c r="E59" s="50" t="s">
        <v>358</v>
      </c>
      <c r="F59" s="50" t="s">
        <v>395</v>
      </c>
      <c r="G59" s="62" t="str">
        <f t="shared" si="0"/>
        <v>[effect:enemy_message, val1:1.3, val2:2.1]</v>
      </c>
      <c r="H59" s="62">
        <f t="shared" si="1"/>
        <v>9</v>
      </c>
      <c r="I59" s="62">
        <f t="shared" si="2"/>
        <v>22</v>
      </c>
      <c r="J59" s="62" t="e">
        <f t="shared" si="3"/>
        <v>#VALUE!</v>
      </c>
      <c r="K59" s="62">
        <f t="shared" si="4"/>
        <v>32</v>
      </c>
      <c r="L59" s="62" t="str">
        <f>IFERROR(VLOOKUP(MID(G59,J59,K59-J59),[6]skilldef!$C:$D,2,FALSE),"-") &amp; " / " &amp; IFERROR(VLOOKUP(MID(G59,H59,I59-H59),[6]skilldef!$A:$B,2,FALSE),"-")</f>
        <v>- / -</v>
      </c>
      <c r="M59" s="62" t="str">
        <f t="shared" si="5"/>
        <v>[effect:change_panel_ratio, turn:3, block_type:red, val:0.4, animation:block_incidence04],[effect:rush, count:1, val:1]</v>
      </c>
      <c r="N59" s="47" t="str">
        <f t="shared" si="6"/>
        <v>[effect:change_panel_ratio, turn:3, block_type:red, val:0.4, animation:block_incidence04],[effect:rush, count:1, val:1]</v>
      </c>
      <c r="O59" s="62">
        <f t="shared" si="7"/>
        <v>9</v>
      </c>
      <c r="P59" s="62">
        <f t="shared" si="8"/>
        <v>27</v>
      </c>
      <c r="Q59" s="62" t="e">
        <f t="shared" si="9"/>
        <v>#VALUE!</v>
      </c>
      <c r="R59" s="62">
        <f t="shared" si="10"/>
        <v>35</v>
      </c>
      <c r="S59" s="62" t="str">
        <f>IFERROR(VLOOKUP(MID(N59,Q59,R59-Q59),[6]skilldef!$C:$D,2,FALSE),"-") &amp; " / " &amp; IFERROR(VLOOKUP(MID(N59,O59,P59-O59),[6]skilldef!$A:$B,2,FALSE),"-")</f>
        <v>- / -</v>
      </c>
      <c r="T59" s="47" t="str">
        <f t="shared" si="11"/>
        <v>[effect:rush, count:1, val:1]</v>
      </c>
      <c r="U59" s="62">
        <f t="shared" si="12"/>
        <v>9</v>
      </c>
      <c r="V59" s="62">
        <f t="shared" si="13"/>
        <v>13</v>
      </c>
      <c r="W59" s="62" t="e">
        <f t="shared" si="14"/>
        <v>#VALUE!</v>
      </c>
      <c r="X59" s="62">
        <f t="shared" si="15"/>
        <v>22</v>
      </c>
      <c r="Y59" s="62" t="str">
        <f>IFERROR(VLOOKUP(MID(T59,W59,X59-W59),[6]skilldef!$C:$D,2,FALSE),"-") &amp; " / " &amp; IFERROR(VLOOKUP(MID(T59,U59,V59-U59),[6]skilldef!$A:$B,2,FALSE),"-")</f>
        <v>- / 連続攻撃</v>
      </c>
      <c r="Z59" s="49"/>
      <c r="AA59" s="51"/>
      <c r="AB59" s="49"/>
      <c r="AC59" s="48">
        <f t="shared" si="16"/>
        <v>13</v>
      </c>
      <c r="AD59" s="48">
        <f t="shared" si="17"/>
        <v>21</v>
      </c>
    </row>
    <row r="60" spans="1:30" ht="21" customHeight="1" x14ac:dyDescent="0.15">
      <c r="A60" s="7">
        <v>58002058</v>
      </c>
      <c r="B60" s="46" t="s">
        <v>425</v>
      </c>
      <c r="C60" s="49">
        <v>1</v>
      </c>
      <c r="D60" s="49" t="s">
        <v>128</v>
      </c>
      <c r="E60" s="50" t="s">
        <v>360</v>
      </c>
      <c r="F60" s="50" t="s">
        <v>396</v>
      </c>
      <c r="G60" s="62" t="str">
        <f t="shared" si="0"/>
        <v>[effect:enemy_message, val1:1.2, val2:2.0]</v>
      </c>
      <c r="H60" s="62">
        <f t="shared" si="1"/>
        <v>9</v>
      </c>
      <c r="I60" s="62">
        <f t="shared" si="2"/>
        <v>22</v>
      </c>
      <c r="J60" s="62" t="e">
        <f t="shared" si="3"/>
        <v>#VALUE!</v>
      </c>
      <c r="K60" s="62">
        <f t="shared" si="4"/>
        <v>32</v>
      </c>
      <c r="L60" s="62" t="str">
        <f>IFERROR(VLOOKUP(MID(G60,J60,K60-J60),[6]skilldef!$C:$D,2,FALSE),"-") &amp; " / " &amp; IFERROR(VLOOKUP(MID(G60,H60,I60-H60),[6]skilldef!$A:$B,2,FALSE),"-")</f>
        <v>- / -</v>
      </c>
      <c r="M60" s="62" t="str">
        <f t="shared" si="5"/>
        <v>[effect:force_change_block, new_block:jammer, target:block_red, count:0, val:0],[effect:rush, count:1, val:1]</v>
      </c>
      <c r="N60" s="47" t="str">
        <f t="shared" si="6"/>
        <v>[effect:force_change_block, new_block:jammer, target:block_red, count:0, val:0],[effect:rush, count:1, val:1]</v>
      </c>
      <c r="O60" s="62">
        <f t="shared" si="7"/>
        <v>9</v>
      </c>
      <c r="P60" s="62">
        <f t="shared" si="8"/>
        <v>27</v>
      </c>
      <c r="Q60" s="62">
        <f t="shared" si="9"/>
        <v>54</v>
      </c>
      <c r="R60" s="62">
        <f t="shared" si="10"/>
        <v>45</v>
      </c>
      <c r="S60" s="62" t="str">
        <f>IFERROR(VLOOKUP(MID(N60,Q60,R60-Q60),[6]skilldef!$C:$D,2,FALSE),"-") &amp; " / " &amp; IFERROR(VLOOKUP(MID(N60,O60,P60-O60),[6]skilldef!$A:$B,2,FALSE),"-")</f>
        <v>- / -</v>
      </c>
      <c r="T60" s="47" t="str">
        <f t="shared" si="11"/>
        <v>[effect:rush, count:1, val:1]</v>
      </c>
      <c r="U60" s="62">
        <f t="shared" si="12"/>
        <v>9</v>
      </c>
      <c r="V60" s="62">
        <f t="shared" si="13"/>
        <v>13</v>
      </c>
      <c r="W60" s="62" t="e">
        <f t="shared" si="14"/>
        <v>#VALUE!</v>
      </c>
      <c r="X60" s="62">
        <f t="shared" si="15"/>
        <v>22</v>
      </c>
      <c r="Y60" s="62" t="str">
        <f>IFERROR(VLOOKUP(MID(T60,W60,X60-W60),[6]skilldef!$C:$D,2,FALSE),"-") &amp; " / " &amp; IFERROR(VLOOKUP(MID(T60,U60,V60-U60),[6]skilldef!$A:$B,2,FALSE),"-")</f>
        <v>- / 連続攻撃</v>
      </c>
      <c r="Z60" s="49"/>
      <c r="AA60" s="51"/>
      <c r="AB60" s="49"/>
      <c r="AC60" s="48">
        <f t="shared" si="16"/>
        <v>8</v>
      </c>
      <c r="AD60" s="48">
        <f t="shared" si="17"/>
        <v>20</v>
      </c>
    </row>
    <row r="61" spans="1:30" ht="21" customHeight="1" x14ac:dyDescent="0.15">
      <c r="A61" s="7">
        <v>58002059</v>
      </c>
      <c r="B61" s="46" t="s">
        <v>426</v>
      </c>
      <c r="C61" s="49">
        <v>1</v>
      </c>
      <c r="D61" s="49" t="s">
        <v>128</v>
      </c>
      <c r="E61" s="50" t="s">
        <v>361</v>
      </c>
      <c r="F61" s="50" t="s">
        <v>314</v>
      </c>
      <c r="G61" s="62" t="str">
        <f t="shared" si="0"/>
        <v>[effect:enemy_message, val1:1.4, val2:1.6]</v>
      </c>
      <c r="H61" s="62">
        <f t="shared" si="1"/>
        <v>9</v>
      </c>
      <c r="I61" s="62">
        <f t="shared" si="2"/>
        <v>22</v>
      </c>
      <c r="J61" s="62" t="e">
        <f t="shared" si="3"/>
        <v>#VALUE!</v>
      </c>
      <c r="K61" s="62">
        <f t="shared" si="4"/>
        <v>32</v>
      </c>
      <c r="L61" s="62" t="str">
        <f>IFERROR(VLOOKUP(MID(G61,J61,K61-J61),[6]skilldef!$C:$D,2,FALSE),"-") &amp; " / " &amp; IFERROR(VLOOKUP(MID(G61,H61,I61-H61),[6]skilldef!$A:$B,2,FALSE),"-")</f>
        <v>- / -</v>
      </c>
      <c r="M61" s="62" t="str">
        <f t="shared" si="5"/>
        <v>[effect:break_enchance_enemy, target:myself, val:0.05, lowest_val:0.3, count:-1, status:attack, turn:-1, block01:jammer, calc:mul, animation:enemy_enhance_attack]</v>
      </c>
      <c r="N61" s="47" t="str">
        <f t="shared" si="6"/>
        <v>[effect:break_enchance_enemy, target:myself, val:0.05, lowest_val:0.3, count:-1, status:attack, turn:-1, block01:jammer, calc:mul, animation:enemy_enhance_attack]</v>
      </c>
      <c r="O61" s="62">
        <f t="shared" si="7"/>
        <v>9</v>
      </c>
      <c r="P61" s="62">
        <f t="shared" si="8"/>
        <v>29</v>
      </c>
      <c r="Q61" s="62">
        <f t="shared" si="9"/>
        <v>38</v>
      </c>
      <c r="R61" s="62">
        <f t="shared" si="10"/>
        <v>44</v>
      </c>
      <c r="S61" s="62" t="str">
        <f>IFERROR(VLOOKUP(MID(N61,Q61,R61-Q61),[6]skilldef!$C:$D,2,FALSE),"-") &amp; " / " &amp; IFERROR(VLOOKUP(MID(N61,O61,P61-O61),[6]skilldef!$A:$B,2,FALSE),"-")</f>
        <v>自分自身に / -</v>
      </c>
      <c r="T61" s="47" t="str">
        <f t="shared" si="11"/>
        <v>none</v>
      </c>
      <c r="U61" s="62" t="e">
        <f t="shared" si="12"/>
        <v>#VALUE!</v>
      </c>
      <c r="V61" s="62">
        <f t="shared" si="13"/>
        <v>4</v>
      </c>
      <c r="W61" s="62" t="e">
        <f t="shared" si="14"/>
        <v>#VALUE!</v>
      </c>
      <c r="X61" s="62" t="e">
        <f t="shared" si="15"/>
        <v>#VALUE!</v>
      </c>
      <c r="Y61" s="62" t="str">
        <f>IFERROR(VLOOKUP(MID(T61,W61,X61-W61),[6]skilldef!$C:$D,2,FALSE),"-") &amp; " / " &amp; IFERROR(VLOOKUP(MID(T61,U61,V61-U61),[6]skilldef!$A:$B,2,FALSE),"-")</f>
        <v>- / -</v>
      </c>
      <c r="Z61" s="49"/>
      <c r="AA61" s="51"/>
      <c r="AB61" s="49"/>
      <c r="AC61" s="48">
        <f t="shared" si="16"/>
        <v>14</v>
      </c>
      <c r="AD61" s="48">
        <f t="shared" si="17"/>
        <v>16</v>
      </c>
    </row>
    <row r="62" spans="1:30" ht="21" customHeight="1" x14ac:dyDescent="0.15">
      <c r="A62" s="7">
        <v>58002060</v>
      </c>
      <c r="B62" s="46" t="s">
        <v>282</v>
      </c>
      <c r="C62" s="49">
        <v>1</v>
      </c>
      <c r="D62" s="49" t="s">
        <v>128</v>
      </c>
      <c r="E62" s="50" t="s">
        <v>352</v>
      </c>
      <c r="F62" s="50" t="s">
        <v>315</v>
      </c>
      <c r="G62" s="62" t="str">
        <f t="shared" si="0"/>
        <v>[effect:enemy_message, val1:1.2, val2:1.2]</v>
      </c>
      <c r="H62" s="62">
        <f t="shared" si="1"/>
        <v>9</v>
      </c>
      <c r="I62" s="62">
        <f t="shared" si="2"/>
        <v>22</v>
      </c>
      <c r="J62" s="62" t="e">
        <f t="shared" si="3"/>
        <v>#VALUE!</v>
      </c>
      <c r="K62" s="62">
        <f t="shared" si="4"/>
        <v>32</v>
      </c>
      <c r="L62" s="62" t="str">
        <f>IFERROR(VLOOKUP(MID(G62,J62,K62-J62),[6]skilldef!$C:$D,2,FALSE),"-") &amp; " / " &amp; IFERROR(VLOOKUP(MID(G62,H62,I62-H62),[6]skilldef!$A:$B,2,FALSE),"-")</f>
        <v>- / -</v>
      </c>
      <c r="M62" s="62" t="str">
        <f t="shared" si="5"/>
        <v>[effect:rush, count:5, val:0.3]</v>
      </c>
      <c r="N62" s="47" t="str">
        <f t="shared" si="6"/>
        <v>[effect:rush, count:5, val:0.3]</v>
      </c>
      <c r="O62" s="62">
        <f t="shared" si="7"/>
        <v>9</v>
      </c>
      <c r="P62" s="62">
        <f t="shared" si="8"/>
        <v>13</v>
      </c>
      <c r="Q62" s="62" t="e">
        <f t="shared" si="9"/>
        <v>#VALUE!</v>
      </c>
      <c r="R62" s="62">
        <f t="shared" si="10"/>
        <v>22</v>
      </c>
      <c r="S62" s="62" t="str">
        <f>IFERROR(VLOOKUP(MID(N62,Q62,R62-Q62),[6]skilldef!$C:$D,2,FALSE),"-") &amp; " / " &amp; IFERROR(VLOOKUP(MID(N62,O62,P62-O62),[6]skilldef!$A:$B,2,FALSE),"-")</f>
        <v>- / 連続攻撃</v>
      </c>
      <c r="T62" s="47" t="str">
        <f t="shared" si="11"/>
        <v>none</v>
      </c>
      <c r="U62" s="62" t="e">
        <f t="shared" si="12"/>
        <v>#VALUE!</v>
      </c>
      <c r="V62" s="62">
        <f t="shared" si="13"/>
        <v>4</v>
      </c>
      <c r="W62" s="62" t="e">
        <f t="shared" si="14"/>
        <v>#VALUE!</v>
      </c>
      <c r="X62" s="62" t="e">
        <f t="shared" si="15"/>
        <v>#VALUE!</v>
      </c>
      <c r="Y62" s="62" t="str">
        <f>IFERROR(VLOOKUP(MID(T62,W62,X62-W62),[6]skilldef!$C:$D,2,FALSE),"-") &amp; " / " &amp; IFERROR(VLOOKUP(MID(T62,U62,V62-U62),[6]skilldef!$A:$B,2,FALSE),"-")</f>
        <v>- / -</v>
      </c>
      <c r="Z62" s="49"/>
      <c r="AA62" s="51"/>
      <c r="AB62" s="49"/>
      <c r="AC62" s="48">
        <f t="shared" si="16"/>
        <v>10</v>
      </c>
      <c r="AD62" s="48">
        <f t="shared" si="17"/>
        <v>6</v>
      </c>
    </row>
    <row r="63" spans="1:30" ht="21" customHeight="1" x14ac:dyDescent="0.15">
      <c r="A63" s="7">
        <v>58002061</v>
      </c>
      <c r="B63" s="46" t="s">
        <v>256</v>
      </c>
      <c r="C63" s="49">
        <v>1</v>
      </c>
      <c r="D63" s="49" t="s">
        <v>128</v>
      </c>
      <c r="E63" s="50" t="s">
        <v>353</v>
      </c>
      <c r="F63" s="50" t="s">
        <v>303</v>
      </c>
      <c r="G63" s="62" t="str">
        <f t="shared" si="0"/>
        <v>[effect:enemy_message, val1:1.2, val2:1.2]</v>
      </c>
      <c r="H63" s="62">
        <f t="shared" si="1"/>
        <v>9</v>
      </c>
      <c r="I63" s="62">
        <f t="shared" si="2"/>
        <v>22</v>
      </c>
      <c r="J63" s="62" t="e">
        <f t="shared" si="3"/>
        <v>#VALUE!</v>
      </c>
      <c r="K63" s="62">
        <f t="shared" si="4"/>
        <v>32</v>
      </c>
      <c r="L63" s="62" t="str">
        <f>IFERROR(VLOOKUP(MID(G63,J63,K63-J63),[6]skilldef!$C:$D,2,FALSE),"-") &amp; " / " &amp; IFERROR(VLOOKUP(MID(G63,H63,I63-H63),[6]skilldef!$A:$B,2,FALSE),"-")</f>
        <v>- / -</v>
      </c>
      <c r="M63" s="62" t="str">
        <f t="shared" si="5"/>
        <v>none</v>
      </c>
      <c r="N63" s="47" t="str">
        <f t="shared" si="6"/>
        <v>none</v>
      </c>
      <c r="O63" s="62" t="e">
        <f t="shared" si="7"/>
        <v>#VALUE!</v>
      </c>
      <c r="P63" s="62">
        <f t="shared" si="8"/>
        <v>4</v>
      </c>
      <c r="Q63" s="62" t="e">
        <f t="shared" si="9"/>
        <v>#VALUE!</v>
      </c>
      <c r="R63" s="62" t="e">
        <f t="shared" si="10"/>
        <v>#VALUE!</v>
      </c>
      <c r="S63" s="62" t="str">
        <f>IFERROR(VLOOKUP(MID(N63,Q63,R63-Q63),[6]skilldef!$C:$D,2,FALSE),"-") &amp; " / " &amp; IFERROR(VLOOKUP(MID(N63,O63,P63-O63),[6]skilldef!$A:$B,2,FALSE),"-")</f>
        <v>- / -</v>
      </c>
      <c r="T63" s="47" t="str">
        <f t="shared" si="11"/>
        <v>none</v>
      </c>
      <c r="U63" s="62" t="e">
        <f t="shared" si="12"/>
        <v>#VALUE!</v>
      </c>
      <c r="V63" s="62">
        <f t="shared" si="13"/>
        <v>4</v>
      </c>
      <c r="W63" s="62" t="e">
        <f t="shared" si="14"/>
        <v>#VALUE!</v>
      </c>
      <c r="X63" s="62" t="e">
        <f t="shared" si="15"/>
        <v>#VALUE!</v>
      </c>
      <c r="Y63" s="62" t="str">
        <f>IFERROR(VLOOKUP(MID(T63,W63,X63-W63),[6]skilldef!$C:$D,2,FALSE),"-") &amp; " / " &amp; IFERROR(VLOOKUP(MID(T63,U63,V63-U63),[6]skilldef!$A:$B,2,FALSE),"-")</f>
        <v>- / -</v>
      </c>
      <c r="Z63" s="49"/>
      <c r="AA63" s="51"/>
      <c r="AB63" s="49"/>
      <c r="AC63" s="48">
        <f t="shared" si="16"/>
        <v>9</v>
      </c>
      <c r="AD63" s="48">
        <f t="shared" si="17"/>
        <v>10</v>
      </c>
    </row>
    <row r="64" spans="1:30" ht="21" customHeight="1" x14ac:dyDescent="0.15">
      <c r="A64" s="7">
        <v>58002062</v>
      </c>
      <c r="B64" s="46" t="s">
        <v>275</v>
      </c>
      <c r="C64" s="49">
        <v>1</v>
      </c>
      <c r="D64" s="49" t="s">
        <v>128</v>
      </c>
      <c r="E64" s="50" t="s">
        <v>354</v>
      </c>
      <c r="F64" s="50" t="s">
        <v>302</v>
      </c>
      <c r="G64" s="62" t="str">
        <f t="shared" si="0"/>
        <v>[effect:enemy_message, val1:1.2, val2:1.2]</v>
      </c>
      <c r="H64" s="62">
        <f t="shared" si="1"/>
        <v>9</v>
      </c>
      <c r="I64" s="62">
        <f t="shared" si="2"/>
        <v>22</v>
      </c>
      <c r="J64" s="62" t="e">
        <f t="shared" si="3"/>
        <v>#VALUE!</v>
      </c>
      <c r="K64" s="62">
        <f t="shared" si="4"/>
        <v>32</v>
      </c>
      <c r="L64" s="62" t="str">
        <f>IFERROR(VLOOKUP(MID(G64,J64,K64-J64),[6]skilldef!$C:$D,2,FALSE),"-") &amp; " / " &amp; IFERROR(VLOOKUP(MID(G64,H64,I64-H64),[6]skilldef!$A:$B,2,FALSE),"-")</f>
        <v>- / -</v>
      </c>
      <c r="M64" s="62" t="str">
        <f t="shared" si="5"/>
        <v>[effect:spread, val:2.0],[effect:spread, val:2.0],[effect:spread, val:2.0],[effect:spread, val:2.0],[effect:spread, val:2.0]</v>
      </c>
      <c r="N64" s="47" t="str">
        <f t="shared" si="6"/>
        <v>[effect:spread, val:2.0],[effect:spread, val:2.0],[effect:spread, val:2.0],[effect:spread, val:2.0],[effect:spread, val:2.0]</v>
      </c>
      <c r="O64" s="62">
        <f t="shared" si="7"/>
        <v>9</v>
      </c>
      <c r="P64" s="62">
        <f t="shared" si="8"/>
        <v>15</v>
      </c>
      <c r="Q64" s="62" t="e">
        <f t="shared" si="9"/>
        <v>#VALUE!</v>
      </c>
      <c r="R64" s="62">
        <f t="shared" si="10"/>
        <v>25</v>
      </c>
      <c r="S64" s="62" t="str">
        <f>IFERROR(VLOOKUP(MID(N64,Q64,R64-Q64),[6]skilldef!$C:$D,2,FALSE),"-") &amp; " / " &amp; IFERROR(VLOOKUP(MID(N64,O64,P64-O64),[6]skilldef!$A:$B,2,FALSE),"-")</f>
        <v>- / 全体攻撃</v>
      </c>
      <c r="T64" s="47" t="str">
        <f t="shared" si="11"/>
        <v>[effect:spread, val:2.0],[effect:spread, val:2.0],[effect:spread, val:2.0],[effect:spread, val:2.0]</v>
      </c>
      <c r="U64" s="62">
        <f t="shared" si="12"/>
        <v>9</v>
      </c>
      <c r="V64" s="62">
        <f t="shared" si="13"/>
        <v>15</v>
      </c>
      <c r="W64" s="62" t="e">
        <f t="shared" si="14"/>
        <v>#VALUE!</v>
      </c>
      <c r="X64" s="62">
        <f t="shared" si="15"/>
        <v>25</v>
      </c>
      <c r="Y64" s="62" t="str">
        <f>IFERROR(VLOOKUP(MID(T64,W64,X64-W64),[6]skilldef!$C:$D,2,FALSE),"-") &amp; " / " &amp; IFERROR(VLOOKUP(MID(T64,U64,V64-U64),[6]skilldef!$A:$B,2,FALSE),"-")</f>
        <v>- / 全体攻撃</v>
      </c>
      <c r="Z64" s="49"/>
      <c r="AA64" s="51"/>
      <c r="AB64" s="49"/>
      <c r="AC64" s="48">
        <f t="shared" si="16"/>
        <v>4</v>
      </c>
      <c r="AD64" s="48">
        <f t="shared" si="17"/>
        <v>8</v>
      </c>
    </row>
    <row r="65" spans="1:30" ht="21" customHeight="1" x14ac:dyDescent="0.15">
      <c r="A65" s="7">
        <v>58002063</v>
      </c>
      <c r="B65" s="46" t="s">
        <v>256</v>
      </c>
      <c r="C65" s="49">
        <v>1</v>
      </c>
      <c r="D65" s="49" t="s">
        <v>128</v>
      </c>
      <c r="E65" s="50" t="s">
        <v>267</v>
      </c>
      <c r="F65" s="50" t="s">
        <v>262</v>
      </c>
      <c r="G65" s="62" t="str">
        <f t="shared" si="0"/>
        <v>[effect:enemy_message, val1:1.2, val2:1.2]</v>
      </c>
      <c r="H65" s="62">
        <f t="shared" si="1"/>
        <v>9</v>
      </c>
      <c r="I65" s="62">
        <f t="shared" si="2"/>
        <v>22</v>
      </c>
      <c r="J65" s="62" t="e">
        <f t="shared" si="3"/>
        <v>#VALUE!</v>
      </c>
      <c r="K65" s="62">
        <f t="shared" si="4"/>
        <v>32</v>
      </c>
      <c r="L65" s="62" t="str">
        <f>IFERROR(VLOOKUP(MID(G65,J65,K65-J65),[6]skilldef!$C:$D,2,FALSE),"-") &amp; " / " &amp; IFERROR(VLOOKUP(MID(G65,H65,I65-H65),[6]skilldef!$A:$B,2,FALSE),"-")</f>
        <v>- / -</v>
      </c>
      <c r="M65" s="62" t="str">
        <f t="shared" si="5"/>
        <v>none</v>
      </c>
      <c r="N65" s="47" t="str">
        <f t="shared" si="6"/>
        <v>none</v>
      </c>
      <c r="O65" s="62" t="e">
        <f t="shared" si="7"/>
        <v>#VALUE!</v>
      </c>
      <c r="P65" s="62">
        <f t="shared" si="8"/>
        <v>4</v>
      </c>
      <c r="Q65" s="62" t="e">
        <f t="shared" si="9"/>
        <v>#VALUE!</v>
      </c>
      <c r="R65" s="62" t="e">
        <f t="shared" si="10"/>
        <v>#VALUE!</v>
      </c>
      <c r="S65" s="62" t="str">
        <f>IFERROR(VLOOKUP(MID(N65,Q65,R65-Q65),[6]skilldef!$C:$D,2,FALSE),"-") &amp; " / " &amp; IFERROR(VLOOKUP(MID(N65,O65,P65-O65),[6]skilldef!$A:$B,2,FALSE),"-")</f>
        <v>- / -</v>
      </c>
      <c r="T65" s="47" t="str">
        <f t="shared" si="11"/>
        <v>none</v>
      </c>
      <c r="U65" s="62" t="e">
        <f t="shared" si="12"/>
        <v>#VALUE!</v>
      </c>
      <c r="V65" s="62">
        <f t="shared" si="13"/>
        <v>4</v>
      </c>
      <c r="W65" s="62" t="e">
        <f t="shared" si="14"/>
        <v>#VALUE!</v>
      </c>
      <c r="X65" s="62" t="e">
        <f t="shared" si="15"/>
        <v>#VALUE!</v>
      </c>
      <c r="Y65" s="62" t="str">
        <f>IFERROR(VLOOKUP(MID(T65,W65,X65-W65),[6]skilldef!$C:$D,2,FALSE),"-") &amp; " / " &amp; IFERROR(VLOOKUP(MID(T65,U65,V65-U65),[6]skilldef!$A:$B,2,FALSE),"-")</f>
        <v>- / -</v>
      </c>
      <c r="Z65" s="49"/>
      <c r="AA65" s="51"/>
      <c r="AB65" s="49"/>
      <c r="AC65" s="48">
        <f t="shared" si="16"/>
        <v>3</v>
      </c>
      <c r="AD65" s="48">
        <f t="shared" si="17"/>
        <v>3</v>
      </c>
    </row>
    <row r="66" spans="1:30" ht="21" customHeight="1" x14ac:dyDescent="0.15">
      <c r="A66" s="7">
        <v>58002064</v>
      </c>
      <c r="B66" s="46" t="s">
        <v>256</v>
      </c>
      <c r="C66" s="49">
        <v>1</v>
      </c>
      <c r="D66" s="49" t="s">
        <v>128</v>
      </c>
      <c r="E66" s="50" t="s">
        <v>267</v>
      </c>
      <c r="F66" s="50" t="s">
        <v>262</v>
      </c>
      <c r="G66" s="62" t="str">
        <f t="shared" si="0"/>
        <v>[effect:enemy_message, val1:1.2, val2:1.2]</v>
      </c>
      <c r="H66" s="62">
        <f t="shared" si="1"/>
        <v>9</v>
      </c>
      <c r="I66" s="62">
        <f t="shared" si="2"/>
        <v>22</v>
      </c>
      <c r="J66" s="62" t="e">
        <f t="shared" si="3"/>
        <v>#VALUE!</v>
      </c>
      <c r="K66" s="62">
        <f t="shared" si="4"/>
        <v>32</v>
      </c>
      <c r="L66" s="62" t="str">
        <f>IFERROR(VLOOKUP(MID(G66,J66,K66-J66),[6]skilldef!$C:$D,2,FALSE),"-") &amp; " / " &amp; IFERROR(VLOOKUP(MID(G66,H66,I66-H66),[6]skilldef!$A:$B,2,FALSE),"-")</f>
        <v>- / -</v>
      </c>
      <c r="M66" s="62" t="str">
        <f t="shared" si="5"/>
        <v>none</v>
      </c>
      <c r="N66" s="47" t="str">
        <f t="shared" si="6"/>
        <v>none</v>
      </c>
      <c r="O66" s="62" t="e">
        <f t="shared" si="7"/>
        <v>#VALUE!</v>
      </c>
      <c r="P66" s="62">
        <f t="shared" si="8"/>
        <v>4</v>
      </c>
      <c r="Q66" s="62" t="e">
        <f t="shared" si="9"/>
        <v>#VALUE!</v>
      </c>
      <c r="R66" s="62" t="e">
        <f t="shared" si="10"/>
        <v>#VALUE!</v>
      </c>
      <c r="S66" s="62" t="str">
        <f>IFERROR(VLOOKUP(MID(N66,Q66,R66-Q66),[6]skilldef!$C:$D,2,FALSE),"-") &amp; " / " &amp; IFERROR(VLOOKUP(MID(N66,O66,P66-O66),[6]skilldef!$A:$B,2,FALSE),"-")</f>
        <v>- / -</v>
      </c>
      <c r="T66" s="47" t="str">
        <f t="shared" si="11"/>
        <v>none</v>
      </c>
      <c r="U66" s="62" t="e">
        <f t="shared" si="12"/>
        <v>#VALUE!</v>
      </c>
      <c r="V66" s="62">
        <f t="shared" si="13"/>
        <v>4</v>
      </c>
      <c r="W66" s="62" t="e">
        <f t="shared" si="14"/>
        <v>#VALUE!</v>
      </c>
      <c r="X66" s="62" t="e">
        <f t="shared" si="15"/>
        <v>#VALUE!</v>
      </c>
      <c r="Y66" s="62" t="str">
        <f>IFERROR(VLOOKUP(MID(T66,W66,X66-W66),[6]skilldef!$C:$D,2,FALSE),"-") &amp; " / " &amp; IFERROR(VLOOKUP(MID(T66,U66,V66-U66),[6]skilldef!$A:$B,2,FALSE),"-")</f>
        <v>- / -</v>
      </c>
      <c r="Z66" s="49"/>
      <c r="AA66" s="51"/>
      <c r="AB66" s="49"/>
      <c r="AC66" s="48">
        <f t="shared" si="16"/>
        <v>3</v>
      </c>
      <c r="AD66" s="48">
        <f t="shared" si="17"/>
        <v>3</v>
      </c>
    </row>
    <row r="67" spans="1:30" ht="21" customHeight="1" x14ac:dyDescent="0.15">
      <c r="A67" s="7">
        <v>58002065</v>
      </c>
      <c r="B67" s="46" t="s">
        <v>463</v>
      </c>
      <c r="C67" s="49">
        <v>1</v>
      </c>
      <c r="D67" s="49" t="s">
        <v>128</v>
      </c>
      <c r="E67" s="50" t="s">
        <v>365</v>
      </c>
      <c r="F67" s="50" t="s">
        <v>397</v>
      </c>
      <c r="G67" s="62" t="str">
        <f t="shared" ref="G67:G100" si="20">IFERROR(LEFT(B67,FIND("],",B67)),B67)</f>
        <v>[effect:enemy_message, val1:1.3, val2:1.3]</v>
      </c>
      <c r="H67" s="62">
        <f t="shared" ref="H67:H111" si="21">FIND("effect:",G67)+7</f>
        <v>9</v>
      </c>
      <c r="I67" s="62">
        <f t="shared" ref="I67:I100" si="22">IFERROR(FIND(",",G67),LEN(G67))</f>
        <v>22</v>
      </c>
      <c r="J67" s="62" t="e">
        <f t="shared" ref="J67:J100" si="23">FIND("target:",G67)+7</f>
        <v>#VALUE!</v>
      </c>
      <c r="K67" s="62">
        <f t="shared" ref="K67:K100" si="24">FIND(",",G67,I67+1)</f>
        <v>32</v>
      </c>
      <c r="L67" s="62" t="str">
        <f>IFERROR(VLOOKUP(MID(G67,J67,K67-J67),[6]skilldef!$C:$D,2,FALSE),"-") &amp; " / " &amp; IFERROR(VLOOKUP(MID(G67,H67,I67-H67),[6]skilldef!$A:$B,2,FALSE),"-")</f>
        <v>- / -</v>
      </c>
      <c r="M67" s="62" t="str">
        <f t="shared" ref="M67:M100" si="25">IFERROR(RIGHT(B67,LEN(B67)-FIND("],",B67)-1),"none")</f>
        <v>[effect:fix_speed, target:myself, turn:1],[effect:tolerance, target:myself, turn:-1, count:-1, tolerance_effect:all, animation:enemy_tolerance],[effect:enhance_enemy, target:myself, turn:-1, status:defense, val:50000, calc:add, animation:enemy_enhance_defense]</v>
      </c>
      <c r="N67" s="47" t="str">
        <f t="shared" ref="N67:N100" si="26">IFERROR(LEFT(M67,FIND("],",M67)+S77),M67)</f>
        <v>[effect:fix_speed, target:myself, turn:1],[effect:tolerance, target:myself, turn:-1, count:-1, tolerance_effect:all, animation:enemy_tolerance],[effect:enhance_enemy, target:myself, turn:-1, status:defense, val:50000, calc:add, animation:enemy_enhance_defense]</v>
      </c>
      <c r="O67" s="62">
        <f t="shared" ref="O67:O111" si="27">FIND("effect:",N67)+7</f>
        <v>9</v>
      </c>
      <c r="P67" s="62">
        <f t="shared" ref="P67:P100" si="28">IFERROR(FIND(",",N67),LEN(N67))</f>
        <v>18</v>
      </c>
      <c r="Q67" s="62">
        <f t="shared" ref="Q67:Q100" si="29">FIND("target:",N67)+7</f>
        <v>27</v>
      </c>
      <c r="R67" s="62">
        <f t="shared" ref="R67:R100" si="30">FIND(",",N67,P67+1)</f>
        <v>33</v>
      </c>
      <c r="S67" s="62" t="str">
        <f>IFERROR(VLOOKUP(MID(N67,Q67,R67-Q67),[6]skilldef!$C:$D,2,FALSE),"-") &amp; " / " &amp; IFERROR(VLOOKUP(MID(N67,O67,P67-O67),[6]skilldef!$A:$B,2,FALSE),"-")</f>
        <v>自分自身に / 行動値設定</v>
      </c>
      <c r="T67" s="47" t="str">
        <f t="shared" ref="T67:T100" si="31">IFERROR(RIGHT(M67,LEN(M67)-FIND("],",M67)-1),"none")</f>
        <v>[effect:tolerance, target:myself, turn:-1, count:-1, tolerance_effect:all, animation:enemy_tolerance],[effect:enhance_enemy, target:myself, turn:-1, status:defense, val:50000, calc:add, animation:enemy_enhance_defense]</v>
      </c>
      <c r="U67" s="62">
        <f t="shared" ref="U67:U111" si="32">FIND("effect:",T67)+7</f>
        <v>9</v>
      </c>
      <c r="V67" s="62">
        <f t="shared" ref="V67:V100" si="33">IFERROR(FIND(",",T67),LEN(T67))</f>
        <v>18</v>
      </c>
      <c r="W67" s="62">
        <f t="shared" ref="W67:W100" si="34">FIND("target:",T67)+7</f>
        <v>27</v>
      </c>
      <c r="X67" s="62">
        <f t="shared" ref="X67:X100" si="35">FIND(",",T67,V67+1)</f>
        <v>33</v>
      </c>
      <c r="Y67" s="62" t="str">
        <f>IFERROR(VLOOKUP(MID(T67,W67,X67-W67),[6]skilldef!$C:$D,2,FALSE),"-") &amp; " / " &amp; IFERROR(VLOOKUP(MID(T67,U67,V67-U67),[6]skilldef!$A:$B,2,FALSE),"-")</f>
        <v>自分自身に / 状態異常耐性</v>
      </c>
      <c r="Z67" s="49"/>
      <c r="AA67" s="51"/>
      <c r="AB67" s="49"/>
      <c r="AC67" s="48">
        <f t="shared" ref="AC67:AC111" si="36">LEN(E67)</f>
        <v>13</v>
      </c>
      <c r="AD67" s="48">
        <f t="shared" ref="AD67:AD111" si="37">LEN(F67)</f>
        <v>13</v>
      </c>
    </row>
    <row r="68" spans="1:30" ht="21" customHeight="1" x14ac:dyDescent="0.15">
      <c r="A68" s="7">
        <v>58002066</v>
      </c>
      <c r="B68" s="46" t="s">
        <v>464</v>
      </c>
      <c r="C68" s="49">
        <v>1</v>
      </c>
      <c r="D68" s="49" t="s">
        <v>128</v>
      </c>
      <c r="E68" s="50" t="s">
        <v>363</v>
      </c>
      <c r="F68" s="50" t="s">
        <v>398</v>
      </c>
      <c r="G68" s="62" t="str">
        <f t="shared" si="20"/>
        <v>[effect:enemy_message, val1:1.2, val2:1.3]</v>
      </c>
      <c r="H68" s="62">
        <f t="shared" si="21"/>
        <v>9</v>
      </c>
      <c r="I68" s="62">
        <f t="shared" si="22"/>
        <v>22</v>
      </c>
      <c r="J68" s="62" t="e">
        <f t="shared" si="23"/>
        <v>#VALUE!</v>
      </c>
      <c r="K68" s="62">
        <f t="shared" si="24"/>
        <v>32</v>
      </c>
      <c r="L68" s="62" t="str">
        <f>IFERROR(VLOOKUP(MID(G68,J68,K68-J68),[6]skilldef!$C:$D,2,FALSE),"-") &amp; " / " &amp; IFERROR(VLOOKUP(MID(G68,H68,I68-H68),[6]skilldef!$A:$B,2,FALSE),"-")</f>
        <v>- / -</v>
      </c>
      <c r="M68" s="62" t="str">
        <f t="shared" si="25"/>
        <v>[effect:tolerance, target:myself, turn:-1, count:-1, tolerance_effect:all, animation:enemy_tolerance],[effect:enhance_enemy, target:myself, turn:-1, status:defense, val:50000, calc:add, animation:enemy_enhance_defense]</v>
      </c>
      <c r="N68" s="47" t="str">
        <f t="shared" si="26"/>
        <v>[effect:tolerance, target:myself, turn:-1, count:-1, tolerance_effect:all, animation:enemy_tolerance],[effect:enhance_enemy, target:myself, turn:-1, status:defense, val:50000, calc:add, animation:enemy_enhance_defense]</v>
      </c>
      <c r="O68" s="62">
        <f t="shared" si="27"/>
        <v>9</v>
      </c>
      <c r="P68" s="62">
        <f t="shared" si="28"/>
        <v>18</v>
      </c>
      <c r="Q68" s="62">
        <f t="shared" si="29"/>
        <v>27</v>
      </c>
      <c r="R68" s="62">
        <f t="shared" si="30"/>
        <v>33</v>
      </c>
      <c r="S68" s="62" t="str">
        <f>IFERROR(VLOOKUP(MID(N68,Q68,R68-Q68),[6]skilldef!$C:$D,2,FALSE),"-") &amp; " / " &amp; IFERROR(VLOOKUP(MID(N68,O68,P68-O68),[6]skilldef!$A:$B,2,FALSE),"-")</f>
        <v>自分自身に / 状態異常耐性</v>
      </c>
      <c r="T68" s="47" t="str">
        <f t="shared" si="31"/>
        <v>[effect:enhance_enemy, target:myself, turn:-1, status:defense, val:50000, calc:add, animation:enemy_enhance_defense]</v>
      </c>
      <c r="U68" s="62">
        <f t="shared" si="32"/>
        <v>9</v>
      </c>
      <c r="V68" s="62">
        <f t="shared" si="33"/>
        <v>22</v>
      </c>
      <c r="W68" s="62">
        <f t="shared" si="34"/>
        <v>31</v>
      </c>
      <c r="X68" s="62">
        <f t="shared" si="35"/>
        <v>37</v>
      </c>
      <c r="Y68" s="62" t="str">
        <f>IFERROR(VLOOKUP(MID(T68,W68,X68-W68),[6]skilldef!$C:$D,2,FALSE),"-") &amp; " / " &amp; IFERROR(VLOOKUP(MID(T68,U68,V68-U68),[6]skilldef!$A:$B,2,FALSE),"-")</f>
        <v>自分自身に / ステータス強化</v>
      </c>
      <c r="Z68" s="49"/>
      <c r="AA68" s="51"/>
      <c r="AB68" s="49"/>
      <c r="AC68" s="48">
        <f t="shared" si="36"/>
        <v>11</v>
      </c>
      <c r="AD68" s="48">
        <f t="shared" si="37"/>
        <v>22</v>
      </c>
    </row>
    <row r="69" spans="1:30" ht="21" customHeight="1" x14ac:dyDescent="0.15">
      <c r="A69" s="7">
        <v>58002067</v>
      </c>
      <c r="B69" s="46" t="s">
        <v>465</v>
      </c>
      <c r="C69" s="49">
        <v>1</v>
      </c>
      <c r="D69" s="49" t="s">
        <v>128</v>
      </c>
      <c r="E69" s="50" t="s">
        <v>364</v>
      </c>
      <c r="F69" s="50" t="s">
        <v>399</v>
      </c>
      <c r="G69" s="62" t="str">
        <f t="shared" si="20"/>
        <v>[effect:enemy_message, val1:1.8, val2:1.3]</v>
      </c>
      <c r="H69" s="62">
        <f t="shared" si="21"/>
        <v>9</v>
      </c>
      <c r="I69" s="62">
        <f t="shared" si="22"/>
        <v>22</v>
      </c>
      <c r="J69" s="62" t="e">
        <f t="shared" si="23"/>
        <v>#VALUE!</v>
      </c>
      <c r="K69" s="62">
        <f t="shared" si="24"/>
        <v>32</v>
      </c>
      <c r="L69" s="62" t="str">
        <f>IFERROR(VLOOKUP(MID(G69,J69,K69-J69),[6]skilldef!$C:$D,2,FALSE),"-") &amp; " / " &amp; IFERROR(VLOOKUP(MID(G69,H69,I69-H69),[6]skilldef!$A:$B,2,FALSE),"-")</f>
        <v>- / -</v>
      </c>
      <c r="M69" s="62" t="str">
        <f t="shared" si="25"/>
        <v>[effect:tolerance, target:myself, turn:-1, count:-1, tolerance_effect:all, animation:enemy_tolerance],[effect:enhance_enemy, target:myself, turn:-1, status:defense, val:50000, calc:add, animation:enemy_enhance_defense]</v>
      </c>
      <c r="N69" s="47" t="str">
        <f t="shared" si="26"/>
        <v>[effect:tolerance, target:myself, turn:-1, count:-1, tolerance_effect:all, animation:enemy_tolerance],[effect:enhance_enemy, target:myself, turn:-1, status:defense, val:50000, calc:add, animation:enemy_enhance_defense]</v>
      </c>
      <c r="O69" s="62">
        <f t="shared" si="27"/>
        <v>9</v>
      </c>
      <c r="P69" s="62">
        <f t="shared" si="28"/>
        <v>18</v>
      </c>
      <c r="Q69" s="62">
        <f t="shared" si="29"/>
        <v>27</v>
      </c>
      <c r="R69" s="62">
        <f t="shared" si="30"/>
        <v>33</v>
      </c>
      <c r="S69" s="62" t="str">
        <f>IFERROR(VLOOKUP(MID(N69,Q69,R69-Q69),[6]skilldef!$C:$D,2,FALSE),"-") &amp; " / " &amp; IFERROR(VLOOKUP(MID(N69,O69,P69-O69),[6]skilldef!$A:$B,2,FALSE),"-")</f>
        <v>自分自身に / 状態異常耐性</v>
      </c>
      <c r="T69" s="47" t="str">
        <f t="shared" si="31"/>
        <v>[effect:enhance_enemy, target:myself, turn:-1, status:defense, val:50000, calc:add, animation:enemy_enhance_defense]</v>
      </c>
      <c r="U69" s="62">
        <f t="shared" si="32"/>
        <v>9</v>
      </c>
      <c r="V69" s="62">
        <f t="shared" si="33"/>
        <v>22</v>
      </c>
      <c r="W69" s="62">
        <f t="shared" si="34"/>
        <v>31</v>
      </c>
      <c r="X69" s="62">
        <f t="shared" si="35"/>
        <v>37</v>
      </c>
      <c r="Y69" s="62" t="str">
        <f>IFERROR(VLOOKUP(MID(T69,W69,X69-W69),[6]skilldef!$C:$D,2,FALSE),"-") &amp; " / " &amp; IFERROR(VLOOKUP(MID(T69,U69,V69-U69),[6]skilldef!$A:$B,2,FALSE),"-")</f>
        <v>自分自身に / ステータス強化</v>
      </c>
      <c r="Z69" s="49"/>
      <c r="AA69" s="51"/>
      <c r="AB69" s="49"/>
      <c r="AC69" s="48">
        <f t="shared" si="36"/>
        <v>18</v>
      </c>
      <c r="AD69" s="48">
        <f t="shared" si="37"/>
        <v>22</v>
      </c>
    </row>
    <row r="70" spans="1:30" ht="21" customHeight="1" x14ac:dyDescent="0.15">
      <c r="A70" s="7">
        <v>58002068</v>
      </c>
      <c r="B70" s="46" t="s">
        <v>466</v>
      </c>
      <c r="C70" s="49">
        <v>1</v>
      </c>
      <c r="D70" s="49" t="s">
        <v>128</v>
      </c>
      <c r="E70" s="50" t="s">
        <v>362</v>
      </c>
      <c r="F70" s="50" t="s">
        <v>400</v>
      </c>
      <c r="G70" s="62" t="str">
        <f t="shared" si="20"/>
        <v>[effect:enemy_message, val1:1.9, val2:1.3]</v>
      </c>
      <c r="H70" s="62">
        <f t="shared" si="21"/>
        <v>9</v>
      </c>
      <c r="I70" s="62">
        <f t="shared" si="22"/>
        <v>22</v>
      </c>
      <c r="J70" s="62" t="e">
        <f t="shared" si="23"/>
        <v>#VALUE!</v>
      </c>
      <c r="K70" s="62">
        <f t="shared" si="24"/>
        <v>32</v>
      </c>
      <c r="L70" s="62" t="str">
        <f>IFERROR(VLOOKUP(MID(G70,J70,K70-J70),[6]skilldef!$C:$D,2,FALSE),"-") &amp; " / " &amp; IFERROR(VLOOKUP(MID(G70,H70,I70-H70),[6]skilldef!$A:$B,2,FALSE),"-")</f>
        <v>- / -</v>
      </c>
      <c r="M70" s="62" t="str">
        <f t="shared" si="25"/>
        <v>[effect:tolerance, target:myself, turn:-1, count:-1, tolerance_effect:all, animation:enemy_tolerance],[effect:enhance_enemy, target:myself, turn:-1, status:defense, val:50000, calc:add, animation:enemy_enhance_defense]</v>
      </c>
      <c r="N70" s="47" t="str">
        <f t="shared" si="26"/>
        <v>[effect:tolerance, target:myself, turn:-1, count:-1, tolerance_effect:all, animation:enemy_tolerance],[effect:enhance_enemy, target:myself, turn:-1, status:defense, val:50000, calc:add, animation:enemy_enhance_defense]</v>
      </c>
      <c r="O70" s="62">
        <f t="shared" si="27"/>
        <v>9</v>
      </c>
      <c r="P70" s="62">
        <f t="shared" si="28"/>
        <v>18</v>
      </c>
      <c r="Q70" s="62">
        <f t="shared" si="29"/>
        <v>27</v>
      </c>
      <c r="R70" s="62">
        <f t="shared" si="30"/>
        <v>33</v>
      </c>
      <c r="S70" s="62" t="str">
        <f>IFERROR(VLOOKUP(MID(N70,Q70,R70-Q70),[6]skilldef!$C:$D,2,FALSE),"-") &amp; " / " &amp; IFERROR(VLOOKUP(MID(N70,O70,P70-O70),[6]skilldef!$A:$B,2,FALSE),"-")</f>
        <v>自分自身に / 状態異常耐性</v>
      </c>
      <c r="T70" s="47" t="str">
        <f t="shared" si="31"/>
        <v>[effect:enhance_enemy, target:myself, turn:-1, status:defense, val:50000, calc:add, animation:enemy_enhance_defense]</v>
      </c>
      <c r="U70" s="62">
        <f t="shared" si="32"/>
        <v>9</v>
      </c>
      <c r="V70" s="62">
        <f t="shared" si="33"/>
        <v>22</v>
      </c>
      <c r="W70" s="62">
        <f t="shared" si="34"/>
        <v>31</v>
      </c>
      <c r="X70" s="62">
        <f t="shared" si="35"/>
        <v>37</v>
      </c>
      <c r="Y70" s="62" t="str">
        <f>IFERROR(VLOOKUP(MID(T70,W70,X70-W70),[6]skilldef!$C:$D,2,FALSE),"-") &amp; " / " &amp; IFERROR(VLOOKUP(MID(T70,U70,V70-U70),[6]skilldef!$A:$B,2,FALSE),"-")</f>
        <v>自分自身に / ステータス強化</v>
      </c>
      <c r="Z70" s="49"/>
      <c r="AA70" s="51"/>
      <c r="AB70" s="49"/>
      <c r="AC70" s="48">
        <f t="shared" si="36"/>
        <v>19</v>
      </c>
      <c r="AD70" s="48">
        <f t="shared" si="37"/>
        <v>22</v>
      </c>
    </row>
    <row r="71" spans="1:30" ht="21" customHeight="1" x14ac:dyDescent="0.15">
      <c r="A71" s="7">
        <v>58002069</v>
      </c>
      <c r="B71" s="46" t="s">
        <v>256</v>
      </c>
      <c r="C71" s="49">
        <v>1</v>
      </c>
      <c r="D71" s="49" t="s">
        <v>128</v>
      </c>
      <c r="E71" s="50" t="s">
        <v>366</v>
      </c>
      <c r="F71" s="50" t="s">
        <v>303</v>
      </c>
      <c r="G71" s="62" t="str">
        <f t="shared" si="20"/>
        <v>[effect:enemy_message, val1:1.2, val2:1.2]</v>
      </c>
      <c r="H71" s="62">
        <f t="shared" si="21"/>
        <v>9</v>
      </c>
      <c r="I71" s="62">
        <f t="shared" si="22"/>
        <v>22</v>
      </c>
      <c r="J71" s="62" t="e">
        <f t="shared" si="23"/>
        <v>#VALUE!</v>
      </c>
      <c r="K71" s="62">
        <f t="shared" si="24"/>
        <v>32</v>
      </c>
      <c r="L71" s="62" t="str">
        <f>IFERROR(VLOOKUP(MID(G71,J71,K71-J71),[6]skilldef!$C:$D,2,FALSE),"-") &amp; " / " &amp; IFERROR(VLOOKUP(MID(G71,H71,I71-H71),[6]skilldef!$A:$B,2,FALSE),"-")</f>
        <v>- / -</v>
      </c>
      <c r="M71" s="62" t="str">
        <f t="shared" si="25"/>
        <v>none</v>
      </c>
      <c r="N71" s="47" t="str">
        <f t="shared" si="26"/>
        <v>none</v>
      </c>
      <c r="O71" s="62" t="e">
        <f t="shared" si="27"/>
        <v>#VALUE!</v>
      </c>
      <c r="P71" s="62">
        <f t="shared" si="28"/>
        <v>4</v>
      </c>
      <c r="Q71" s="62" t="e">
        <f t="shared" si="29"/>
        <v>#VALUE!</v>
      </c>
      <c r="R71" s="62" t="e">
        <f t="shared" si="30"/>
        <v>#VALUE!</v>
      </c>
      <c r="S71" s="62" t="str">
        <f>IFERROR(VLOOKUP(MID(N71,Q71,R71-Q71),[6]skilldef!$C:$D,2,FALSE),"-") &amp; " / " &amp; IFERROR(VLOOKUP(MID(N71,O71,P71-O71),[6]skilldef!$A:$B,2,FALSE),"-")</f>
        <v>- / -</v>
      </c>
      <c r="T71" s="47" t="str">
        <f t="shared" si="31"/>
        <v>none</v>
      </c>
      <c r="U71" s="62" t="e">
        <f t="shared" si="32"/>
        <v>#VALUE!</v>
      </c>
      <c r="V71" s="62">
        <f t="shared" si="33"/>
        <v>4</v>
      </c>
      <c r="W71" s="62" t="e">
        <f t="shared" si="34"/>
        <v>#VALUE!</v>
      </c>
      <c r="X71" s="62" t="e">
        <f t="shared" si="35"/>
        <v>#VALUE!</v>
      </c>
      <c r="Y71" s="62" t="str">
        <f>IFERROR(VLOOKUP(MID(T71,W71,X71-W71),[6]skilldef!$C:$D,2,FALSE),"-") &amp; " / " &amp; IFERROR(VLOOKUP(MID(T71,U71,V71-U71),[6]skilldef!$A:$B,2,FALSE),"-")</f>
        <v>- / -</v>
      </c>
      <c r="Z71" s="49"/>
      <c r="AA71" s="51"/>
      <c r="AB71" s="49"/>
      <c r="AC71" s="48">
        <f t="shared" si="36"/>
        <v>5</v>
      </c>
      <c r="AD71" s="48">
        <f t="shared" si="37"/>
        <v>10</v>
      </c>
    </row>
    <row r="72" spans="1:30" ht="21" customHeight="1" x14ac:dyDescent="0.15">
      <c r="A72" s="7">
        <v>58002070</v>
      </c>
      <c r="B72" s="46" t="s">
        <v>427</v>
      </c>
      <c r="C72" s="49">
        <v>1</v>
      </c>
      <c r="D72" s="49" t="s">
        <v>128</v>
      </c>
      <c r="E72" s="50" t="s">
        <v>367</v>
      </c>
      <c r="F72" s="50" t="s">
        <v>302</v>
      </c>
      <c r="G72" s="62" t="str">
        <f t="shared" si="20"/>
        <v>[effect:enemy_message, val1:1.3, val2:1.2]</v>
      </c>
      <c r="H72" s="62">
        <f t="shared" si="21"/>
        <v>9</v>
      </c>
      <c r="I72" s="62">
        <f t="shared" si="22"/>
        <v>22</v>
      </c>
      <c r="J72" s="62" t="e">
        <f t="shared" si="23"/>
        <v>#VALUE!</v>
      </c>
      <c r="K72" s="62">
        <f t="shared" si="24"/>
        <v>32</v>
      </c>
      <c r="L72" s="62" t="str">
        <f>IFERROR(VLOOKUP(MID(G72,J72,K72-J72),[6]skilldef!$C:$D,2,FALSE),"-") &amp; " / " &amp; IFERROR(VLOOKUP(MID(G72,H72,I72-H72),[6]skilldef!$A:$B,2,FALSE),"-")</f>
        <v>- / -</v>
      </c>
      <c r="M72" s="62" t="str">
        <f t="shared" si="25"/>
        <v>[effect:spread, val:2.0],[effect:spread, val:2.0],[effect:spread, val:2.0],[effect:spread, val:2.0],[effect:spread, val:2.0]</v>
      </c>
      <c r="N72" s="47" t="str">
        <f t="shared" si="26"/>
        <v>[effect:spread, val:2.0],[effect:spread, val:2.0],[effect:spread, val:2.0],[effect:spread, val:2.0],[effect:spread, val:2.0]</v>
      </c>
      <c r="O72" s="62">
        <f t="shared" si="27"/>
        <v>9</v>
      </c>
      <c r="P72" s="62">
        <f t="shared" si="28"/>
        <v>15</v>
      </c>
      <c r="Q72" s="62" t="e">
        <f t="shared" si="29"/>
        <v>#VALUE!</v>
      </c>
      <c r="R72" s="62">
        <f t="shared" si="30"/>
        <v>25</v>
      </c>
      <c r="S72" s="62" t="str">
        <f>IFERROR(VLOOKUP(MID(N72,Q72,R72-Q72),[6]skilldef!$C:$D,2,FALSE),"-") &amp; " / " &amp; IFERROR(VLOOKUP(MID(N72,O72,P72-O72),[6]skilldef!$A:$B,2,FALSE),"-")</f>
        <v>- / 全体攻撃</v>
      </c>
      <c r="T72" s="47" t="str">
        <f t="shared" si="31"/>
        <v>[effect:spread, val:2.0],[effect:spread, val:2.0],[effect:spread, val:2.0],[effect:spread, val:2.0]</v>
      </c>
      <c r="U72" s="62">
        <f t="shared" si="32"/>
        <v>9</v>
      </c>
      <c r="V72" s="62">
        <f t="shared" si="33"/>
        <v>15</v>
      </c>
      <c r="W72" s="62" t="e">
        <f t="shared" si="34"/>
        <v>#VALUE!</v>
      </c>
      <c r="X72" s="62">
        <f t="shared" si="35"/>
        <v>25</v>
      </c>
      <c r="Y72" s="62" t="str">
        <f>IFERROR(VLOOKUP(MID(T72,W72,X72-W72),[6]skilldef!$C:$D,2,FALSE),"-") &amp; " / " &amp; IFERROR(VLOOKUP(MID(T72,U72,V72-U72),[6]skilldef!$A:$B,2,FALSE),"-")</f>
        <v>- / 全体攻撃</v>
      </c>
      <c r="Z72" s="49"/>
      <c r="AA72" s="51"/>
      <c r="AB72" s="49"/>
      <c r="AC72" s="48">
        <f t="shared" si="36"/>
        <v>13</v>
      </c>
      <c r="AD72" s="48">
        <f t="shared" si="37"/>
        <v>8</v>
      </c>
    </row>
    <row r="73" spans="1:30" ht="21" customHeight="1" x14ac:dyDescent="0.15">
      <c r="A73" s="7">
        <v>58002071</v>
      </c>
      <c r="B73" s="46" t="s">
        <v>428</v>
      </c>
      <c r="C73" s="49">
        <v>1</v>
      </c>
      <c r="D73" s="49" t="s">
        <v>128</v>
      </c>
      <c r="E73" s="50" t="s">
        <v>368</v>
      </c>
      <c r="F73" s="50" t="s">
        <v>401</v>
      </c>
      <c r="G73" s="62" t="str">
        <f t="shared" si="20"/>
        <v>[effect:enemy_message, val1:1.3, val2:1.7]</v>
      </c>
      <c r="H73" s="62">
        <f t="shared" si="21"/>
        <v>9</v>
      </c>
      <c r="I73" s="62">
        <f t="shared" si="22"/>
        <v>22</v>
      </c>
      <c r="J73" s="62" t="e">
        <f t="shared" si="23"/>
        <v>#VALUE!</v>
      </c>
      <c r="K73" s="62">
        <f t="shared" si="24"/>
        <v>32</v>
      </c>
      <c r="L73" s="62" t="str">
        <f>IFERROR(VLOOKUP(MID(G73,J73,K73-J73),[6]skilldef!$C:$D,2,FALSE),"-") &amp; " / " &amp; IFERROR(VLOOKUP(MID(G73,H73,I73-H73),[6]skilldef!$A:$B,2,FALSE),"-")</f>
        <v>- / -</v>
      </c>
      <c r="M73" s="62" t="str">
        <f t="shared" si="25"/>
        <v>[effect:guard_break, target:myself, turn:-1, val:999999, calc:add, animation:guard_break01],[effect:enhance_enemy, target:myself, turn:-1, status:attack, val:0.5, calc:mul, animation:enemy_enhance_attack]</v>
      </c>
      <c r="N73" s="47" t="str">
        <f t="shared" si="26"/>
        <v>[effect:guard_break, target:myself, turn:-1, val:999999, calc:add, animation:guard_break01],[effect:enhance_enemy, target:myself, turn:-1, status:attack, val:0.5, calc:mul, animation:enemy_enhance_attack]</v>
      </c>
      <c r="O73" s="62">
        <f t="shared" si="27"/>
        <v>9</v>
      </c>
      <c r="P73" s="62">
        <f t="shared" si="28"/>
        <v>20</v>
      </c>
      <c r="Q73" s="62">
        <f t="shared" si="29"/>
        <v>29</v>
      </c>
      <c r="R73" s="62">
        <f t="shared" si="30"/>
        <v>35</v>
      </c>
      <c r="S73" s="62" t="str">
        <f>IFERROR(VLOOKUP(MID(N73,Q73,R73-Q73),[6]skilldef!$C:$D,2,FALSE),"-") &amp; " / " &amp; IFERROR(VLOOKUP(MID(N73,O73,P73-O73),[6]skilldef!$A:$B,2,FALSE),"-")</f>
        <v>自分自身に / -</v>
      </c>
      <c r="T73" s="47" t="str">
        <f t="shared" si="31"/>
        <v>[effect:enhance_enemy, target:myself, turn:-1, status:attack, val:0.5, calc:mul, animation:enemy_enhance_attack]</v>
      </c>
      <c r="U73" s="62">
        <f t="shared" si="32"/>
        <v>9</v>
      </c>
      <c r="V73" s="62">
        <f t="shared" si="33"/>
        <v>22</v>
      </c>
      <c r="W73" s="62">
        <f t="shared" si="34"/>
        <v>31</v>
      </c>
      <c r="X73" s="62">
        <f t="shared" si="35"/>
        <v>37</v>
      </c>
      <c r="Y73" s="62" t="str">
        <f>IFERROR(VLOOKUP(MID(T73,W73,X73-W73),[6]skilldef!$C:$D,2,FALSE),"-") &amp; " / " &amp; IFERROR(VLOOKUP(MID(T73,U73,V73-U73),[6]skilldef!$A:$B,2,FALSE),"-")</f>
        <v>自分自身に / ステータス強化</v>
      </c>
      <c r="Z73" s="49"/>
      <c r="AA73" s="51"/>
      <c r="AB73" s="49"/>
      <c r="AC73" s="48">
        <f t="shared" si="36"/>
        <v>13</v>
      </c>
      <c r="AD73" s="48">
        <f t="shared" si="37"/>
        <v>17</v>
      </c>
    </row>
    <row r="74" spans="1:30" ht="21" customHeight="1" x14ac:dyDescent="0.15">
      <c r="A74" s="7">
        <v>58002072</v>
      </c>
      <c r="B74" s="46" t="s">
        <v>429</v>
      </c>
      <c r="C74" s="49">
        <v>1</v>
      </c>
      <c r="D74" s="49" t="s">
        <v>128</v>
      </c>
      <c r="E74" s="50" t="s">
        <v>370</v>
      </c>
      <c r="F74" s="50" t="s">
        <v>402</v>
      </c>
      <c r="G74" s="62" t="str">
        <f t="shared" si="20"/>
        <v>[effect:enemy_message, val1:1.2, val2:2.1]</v>
      </c>
      <c r="H74" s="62">
        <f t="shared" si="21"/>
        <v>9</v>
      </c>
      <c r="I74" s="62">
        <f t="shared" si="22"/>
        <v>22</v>
      </c>
      <c r="J74" s="62" t="e">
        <f t="shared" si="23"/>
        <v>#VALUE!</v>
      </c>
      <c r="K74" s="62">
        <f t="shared" si="24"/>
        <v>32</v>
      </c>
      <c r="L74" s="62" t="str">
        <f>IFERROR(VLOOKUP(MID(G74,J74,K74-J74),[6]skilldef!$C:$D,2,FALSE),"-") &amp; " / " &amp; IFERROR(VLOOKUP(MID(G74,H74,I74-H74),[6]skilldef!$A:$B,2,FALSE),"-")</f>
        <v>- / -</v>
      </c>
      <c r="M74" s="62" t="str">
        <f t="shared" si="25"/>
        <v>[effect:change_range_block, block_change:1, base_type:0, square_count:5, position01:10, value_h01:1, value_w01:5, new_block:block_red, target:block_all, count:0, val:0, animation:change_block],[effect:rush, count:3, val:0.4]</v>
      </c>
      <c r="N74" s="47" t="str">
        <f t="shared" si="26"/>
        <v>[effect:change_range_block, block_change:1, base_type:0, square_count:5, position01:10, value_h01:1, value_w01:5, new_block:block_red, target:block_all, count:0, val:0, animation:change_block],[effect:rush, count:3, val:0.4]</v>
      </c>
      <c r="O74" s="62">
        <f t="shared" si="27"/>
        <v>9</v>
      </c>
      <c r="P74" s="62">
        <f t="shared" si="28"/>
        <v>27</v>
      </c>
      <c r="Q74" s="62">
        <f t="shared" si="29"/>
        <v>143</v>
      </c>
      <c r="R74" s="62">
        <f t="shared" si="30"/>
        <v>43</v>
      </c>
      <c r="S74" s="62" t="str">
        <f>IFERROR(VLOOKUP(MID(N74,Q74,R74-Q74),[6]skilldef!$C:$D,2,FALSE),"-") &amp; " / " &amp; IFERROR(VLOOKUP(MID(N74,O74,P74-O74),[6]skilldef!$A:$B,2,FALSE),"-")</f>
        <v>- / -</v>
      </c>
      <c r="T74" s="47" t="str">
        <f t="shared" si="31"/>
        <v>[effect:rush, count:3, val:0.4]</v>
      </c>
      <c r="U74" s="62">
        <f t="shared" si="32"/>
        <v>9</v>
      </c>
      <c r="V74" s="62">
        <f t="shared" si="33"/>
        <v>13</v>
      </c>
      <c r="W74" s="62" t="e">
        <f t="shared" si="34"/>
        <v>#VALUE!</v>
      </c>
      <c r="X74" s="62">
        <f t="shared" si="35"/>
        <v>22</v>
      </c>
      <c r="Y74" s="62" t="str">
        <f>IFERROR(VLOOKUP(MID(T74,W74,X74-W74),[6]skilldef!$C:$D,2,FALSE),"-") &amp; " / " &amp; IFERROR(VLOOKUP(MID(T74,U74,V74-U74),[6]skilldef!$A:$B,2,FALSE),"-")</f>
        <v>- / 連続攻撃</v>
      </c>
      <c r="Z74" s="49"/>
      <c r="AA74" s="51"/>
      <c r="AB74" s="49"/>
      <c r="AC74" s="48">
        <f t="shared" si="36"/>
        <v>4</v>
      </c>
      <c r="AD74" s="48">
        <f t="shared" si="37"/>
        <v>21</v>
      </c>
    </row>
    <row r="75" spans="1:30" ht="21" customHeight="1" x14ac:dyDescent="0.15">
      <c r="A75" s="7">
        <v>58002073</v>
      </c>
      <c r="B75" s="46" t="s">
        <v>430</v>
      </c>
      <c r="C75" s="49">
        <v>1</v>
      </c>
      <c r="D75" s="49" t="s">
        <v>128</v>
      </c>
      <c r="E75" s="50" t="s">
        <v>371</v>
      </c>
      <c r="F75" s="50" t="s">
        <v>403</v>
      </c>
      <c r="G75" s="62" t="str">
        <f t="shared" si="20"/>
        <v>[effect:enemy_message, val1:1.2, val2:1.6]</v>
      </c>
      <c r="H75" s="62">
        <f t="shared" si="21"/>
        <v>9</v>
      </c>
      <c r="I75" s="62">
        <f t="shared" si="22"/>
        <v>22</v>
      </c>
      <c r="J75" s="62" t="e">
        <f t="shared" si="23"/>
        <v>#VALUE!</v>
      </c>
      <c r="K75" s="62">
        <f t="shared" si="24"/>
        <v>32</v>
      </c>
      <c r="L75" s="62" t="str">
        <f>IFERROR(VLOOKUP(MID(G75,J75,K75-J75),[6]skilldef!$C:$D,2,FALSE),"-") &amp; " / " &amp; IFERROR(VLOOKUP(MID(G75,H75,I75-H75),[6]skilldef!$A:$B,2,FALSE),"-")</f>
        <v>- / -</v>
      </c>
      <c r="M75" s="62" t="str">
        <f t="shared" si="25"/>
        <v>[effect:panel_freeze, target:normal, color:block_red, count:-1],[effect:rush, count:1, val:1]</v>
      </c>
      <c r="N75" s="47" t="str">
        <f t="shared" si="26"/>
        <v>[effect:panel_freeze, target:normal, color:block_red, count:-1],[effect:rush, count:1, val:1]</v>
      </c>
      <c r="O75" s="62">
        <f t="shared" si="27"/>
        <v>9</v>
      </c>
      <c r="P75" s="62">
        <f t="shared" si="28"/>
        <v>21</v>
      </c>
      <c r="Q75" s="62">
        <f t="shared" si="29"/>
        <v>30</v>
      </c>
      <c r="R75" s="62">
        <f t="shared" si="30"/>
        <v>36</v>
      </c>
      <c r="S75" s="62" t="str">
        <f>IFERROR(VLOOKUP(MID(N75,Q75,R75-Q75),[6]skilldef!$C:$D,2,FALSE),"-") &amp; " / " &amp; IFERROR(VLOOKUP(MID(N75,O75,P75-O75),[6]skilldef!$A:$B,2,FALSE),"-")</f>
        <v>- / -</v>
      </c>
      <c r="T75" s="47" t="str">
        <f t="shared" si="31"/>
        <v>[effect:rush, count:1, val:1]</v>
      </c>
      <c r="U75" s="62">
        <f t="shared" si="32"/>
        <v>9</v>
      </c>
      <c r="V75" s="62">
        <f t="shared" si="33"/>
        <v>13</v>
      </c>
      <c r="W75" s="62" t="e">
        <f t="shared" si="34"/>
        <v>#VALUE!</v>
      </c>
      <c r="X75" s="62">
        <f t="shared" si="35"/>
        <v>22</v>
      </c>
      <c r="Y75" s="62" t="str">
        <f>IFERROR(VLOOKUP(MID(T75,W75,X75-W75),[6]skilldef!$C:$D,2,FALSE),"-") &amp; " / " &amp; IFERROR(VLOOKUP(MID(T75,U75,V75-U75),[6]skilldef!$A:$B,2,FALSE),"-")</f>
        <v>- / 連続攻撃</v>
      </c>
      <c r="Z75" s="49"/>
      <c r="AA75" s="51"/>
      <c r="AB75" s="49"/>
      <c r="AC75" s="48">
        <f t="shared" si="36"/>
        <v>4</v>
      </c>
      <c r="AD75" s="48">
        <f t="shared" si="37"/>
        <v>16</v>
      </c>
    </row>
    <row r="76" spans="1:30" ht="21" customHeight="1" x14ac:dyDescent="0.15">
      <c r="A76" s="7">
        <v>58002074</v>
      </c>
      <c r="B76" s="46" t="s">
        <v>256</v>
      </c>
      <c r="C76" s="49">
        <v>1</v>
      </c>
      <c r="D76" s="49" t="s">
        <v>128</v>
      </c>
      <c r="E76" s="50" t="s">
        <v>268</v>
      </c>
      <c r="F76" s="50" t="s">
        <v>262</v>
      </c>
      <c r="G76" s="62" t="str">
        <f t="shared" si="20"/>
        <v>[effect:enemy_message, val1:1.2, val2:1.2]</v>
      </c>
      <c r="H76" s="62">
        <f t="shared" si="21"/>
        <v>9</v>
      </c>
      <c r="I76" s="62">
        <f t="shared" si="22"/>
        <v>22</v>
      </c>
      <c r="J76" s="62" t="e">
        <f t="shared" si="23"/>
        <v>#VALUE!</v>
      </c>
      <c r="K76" s="62">
        <f t="shared" si="24"/>
        <v>32</v>
      </c>
      <c r="L76" s="62" t="str">
        <f>IFERROR(VLOOKUP(MID(G76,J76,K76-J76),[6]skilldef!$C:$D,2,FALSE),"-") &amp; " / " &amp; IFERROR(VLOOKUP(MID(G76,H76,I76-H76),[6]skilldef!$A:$B,2,FALSE),"-")</f>
        <v>- / -</v>
      </c>
      <c r="M76" s="62" t="str">
        <f t="shared" si="25"/>
        <v>none</v>
      </c>
      <c r="N76" s="47" t="str">
        <f t="shared" si="26"/>
        <v>none</v>
      </c>
      <c r="O76" s="62" t="e">
        <f t="shared" si="27"/>
        <v>#VALUE!</v>
      </c>
      <c r="P76" s="62">
        <f t="shared" si="28"/>
        <v>4</v>
      </c>
      <c r="Q76" s="62" t="e">
        <f t="shared" si="29"/>
        <v>#VALUE!</v>
      </c>
      <c r="R76" s="62" t="e">
        <f t="shared" si="30"/>
        <v>#VALUE!</v>
      </c>
      <c r="S76" s="62" t="str">
        <f>IFERROR(VLOOKUP(MID(N76,Q76,R76-Q76),[6]skilldef!$C:$D,2,FALSE),"-") &amp; " / " &amp; IFERROR(VLOOKUP(MID(N76,O76,P76-O76),[6]skilldef!$A:$B,2,FALSE),"-")</f>
        <v>- / -</v>
      </c>
      <c r="T76" s="47" t="str">
        <f t="shared" si="31"/>
        <v>none</v>
      </c>
      <c r="U76" s="62" t="e">
        <f t="shared" si="32"/>
        <v>#VALUE!</v>
      </c>
      <c r="V76" s="62">
        <f t="shared" si="33"/>
        <v>4</v>
      </c>
      <c r="W76" s="62" t="e">
        <f t="shared" si="34"/>
        <v>#VALUE!</v>
      </c>
      <c r="X76" s="62" t="e">
        <f t="shared" si="35"/>
        <v>#VALUE!</v>
      </c>
      <c r="Y76" s="62" t="str">
        <f>IFERROR(VLOOKUP(MID(T76,W76,X76-W76),[6]skilldef!$C:$D,2,FALSE),"-") &amp; " / " &amp; IFERROR(VLOOKUP(MID(T76,U76,V76-U76),[6]skilldef!$A:$B,2,FALSE),"-")</f>
        <v>- / -</v>
      </c>
      <c r="Z76" s="49"/>
      <c r="AA76" s="51"/>
      <c r="AB76" s="49"/>
      <c r="AC76" s="48">
        <f t="shared" si="36"/>
        <v>4</v>
      </c>
      <c r="AD76" s="48">
        <f t="shared" si="37"/>
        <v>3</v>
      </c>
    </row>
    <row r="77" spans="1:30" ht="21" customHeight="1" x14ac:dyDescent="0.15">
      <c r="A77" s="7">
        <v>58002075</v>
      </c>
      <c r="B77" s="46" t="s">
        <v>256</v>
      </c>
      <c r="C77" s="49">
        <v>1</v>
      </c>
      <c r="D77" s="49" t="s">
        <v>128</v>
      </c>
      <c r="E77" s="50" t="s">
        <v>268</v>
      </c>
      <c r="F77" s="50" t="s">
        <v>262</v>
      </c>
      <c r="G77" s="62" t="str">
        <f t="shared" si="20"/>
        <v>[effect:enemy_message, val1:1.2, val2:1.2]</v>
      </c>
      <c r="H77" s="62">
        <f t="shared" si="21"/>
        <v>9</v>
      </c>
      <c r="I77" s="62">
        <f t="shared" si="22"/>
        <v>22</v>
      </c>
      <c r="J77" s="62" t="e">
        <f t="shared" si="23"/>
        <v>#VALUE!</v>
      </c>
      <c r="K77" s="62">
        <f t="shared" si="24"/>
        <v>32</v>
      </c>
      <c r="L77" s="62" t="str">
        <f>IFERROR(VLOOKUP(MID(G77,J77,K77-J77),[6]skilldef!$C:$D,2,FALSE),"-") &amp; " / " &amp; IFERROR(VLOOKUP(MID(G77,H77,I77-H77),[6]skilldef!$A:$B,2,FALSE),"-")</f>
        <v>- / -</v>
      </c>
      <c r="M77" s="62" t="str">
        <f t="shared" si="25"/>
        <v>none</v>
      </c>
      <c r="N77" s="47" t="str">
        <f t="shared" si="26"/>
        <v>none</v>
      </c>
      <c r="O77" s="62" t="e">
        <f t="shared" si="27"/>
        <v>#VALUE!</v>
      </c>
      <c r="P77" s="62">
        <f t="shared" si="28"/>
        <v>4</v>
      </c>
      <c r="Q77" s="62" t="e">
        <f t="shared" si="29"/>
        <v>#VALUE!</v>
      </c>
      <c r="R77" s="62" t="e">
        <f t="shared" si="30"/>
        <v>#VALUE!</v>
      </c>
      <c r="S77" s="62" t="str">
        <f>IFERROR(VLOOKUP(MID(N77,Q77,R77-Q77),[6]skilldef!$C:$D,2,FALSE),"-") &amp; " / " &amp; IFERROR(VLOOKUP(MID(N77,O77,P77-O77),[6]skilldef!$A:$B,2,FALSE),"-")</f>
        <v>- / -</v>
      </c>
      <c r="T77" s="47" t="str">
        <f t="shared" si="31"/>
        <v>none</v>
      </c>
      <c r="U77" s="62" t="e">
        <f t="shared" si="32"/>
        <v>#VALUE!</v>
      </c>
      <c r="V77" s="62">
        <f t="shared" si="33"/>
        <v>4</v>
      </c>
      <c r="W77" s="62" t="e">
        <f t="shared" si="34"/>
        <v>#VALUE!</v>
      </c>
      <c r="X77" s="62" t="e">
        <f t="shared" si="35"/>
        <v>#VALUE!</v>
      </c>
      <c r="Y77" s="62" t="str">
        <f>IFERROR(VLOOKUP(MID(T77,W77,X77-W77),[6]skilldef!$C:$D,2,FALSE),"-") &amp; " / " &amp; IFERROR(VLOOKUP(MID(T77,U77,V77-U77),[6]skilldef!$A:$B,2,FALSE),"-")</f>
        <v>- / -</v>
      </c>
      <c r="Z77" s="49"/>
      <c r="AA77" s="51"/>
      <c r="AB77" s="49"/>
      <c r="AC77" s="48">
        <f t="shared" si="36"/>
        <v>4</v>
      </c>
      <c r="AD77" s="48">
        <f t="shared" si="37"/>
        <v>3</v>
      </c>
    </row>
    <row r="78" spans="1:30" ht="21" customHeight="1" x14ac:dyDescent="0.15">
      <c r="A78" s="7">
        <v>58002076</v>
      </c>
      <c r="B78" s="46" t="s">
        <v>256</v>
      </c>
      <c r="C78" s="49">
        <v>1</v>
      </c>
      <c r="D78" s="49" t="s">
        <v>128</v>
      </c>
      <c r="E78" s="50" t="s">
        <v>268</v>
      </c>
      <c r="F78" s="50" t="s">
        <v>262</v>
      </c>
      <c r="G78" s="62" t="str">
        <f t="shared" si="20"/>
        <v>[effect:enemy_message, val1:1.2, val2:1.2]</v>
      </c>
      <c r="H78" s="62">
        <f t="shared" si="21"/>
        <v>9</v>
      </c>
      <c r="I78" s="62">
        <f t="shared" si="22"/>
        <v>22</v>
      </c>
      <c r="J78" s="62" t="e">
        <f t="shared" si="23"/>
        <v>#VALUE!</v>
      </c>
      <c r="K78" s="62">
        <f t="shared" si="24"/>
        <v>32</v>
      </c>
      <c r="L78" s="62" t="str">
        <f>IFERROR(VLOOKUP(MID(G78,J78,K78-J78),[6]skilldef!$C:$D,2,FALSE),"-") &amp; " / " &amp; IFERROR(VLOOKUP(MID(G78,H78,I78-H78),[6]skilldef!$A:$B,2,FALSE),"-")</f>
        <v>- / -</v>
      </c>
      <c r="M78" s="62" t="str">
        <f t="shared" si="25"/>
        <v>none</v>
      </c>
      <c r="N78" s="47" t="str">
        <f t="shared" si="26"/>
        <v>none</v>
      </c>
      <c r="O78" s="62" t="e">
        <f t="shared" si="27"/>
        <v>#VALUE!</v>
      </c>
      <c r="P78" s="62">
        <f t="shared" si="28"/>
        <v>4</v>
      </c>
      <c r="Q78" s="62" t="e">
        <f t="shared" si="29"/>
        <v>#VALUE!</v>
      </c>
      <c r="R78" s="62" t="e">
        <f t="shared" si="30"/>
        <v>#VALUE!</v>
      </c>
      <c r="S78" s="62" t="str">
        <f>IFERROR(VLOOKUP(MID(N78,Q78,R78-Q78),[6]skilldef!$C:$D,2,FALSE),"-") &amp; " / " &amp; IFERROR(VLOOKUP(MID(N78,O78,P78-O78),[6]skilldef!$A:$B,2,FALSE),"-")</f>
        <v>- / -</v>
      </c>
      <c r="T78" s="47" t="str">
        <f t="shared" si="31"/>
        <v>none</v>
      </c>
      <c r="U78" s="62" t="e">
        <f t="shared" si="32"/>
        <v>#VALUE!</v>
      </c>
      <c r="V78" s="62">
        <f t="shared" si="33"/>
        <v>4</v>
      </c>
      <c r="W78" s="62" t="e">
        <f t="shared" si="34"/>
        <v>#VALUE!</v>
      </c>
      <c r="X78" s="62" t="e">
        <f t="shared" si="35"/>
        <v>#VALUE!</v>
      </c>
      <c r="Y78" s="62" t="str">
        <f>IFERROR(VLOOKUP(MID(T78,W78,X78-W78),[6]skilldef!$C:$D,2,FALSE),"-") &amp; " / " &amp; IFERROR(VLOOKUP(MID(T78,U78,V78-U78),[6]skilldef!$A:$B,2,FALSE),"-")</f>
        <v>- / -</v>
      </c>
      <c r="Z78" s="49"/>
      <c r="AA78" s="51"/>
      <c r="AB78" s="49"/>
      <c r="AC78" s="48">
        <f t="shared" si="36"/>
        <v>4</v>
      </c>
      <c r="AD78" s="48">
        <f t="shared" si="37"/>
        <v>3</v>
      </c>
    </row>
    <row r="79" spans="1:30" ht="21" customHeight="1" x14ac:dyDescent="0.15">
      <c r="A79" s="7">
        <v>58002077</v>
      </c>
      <c r="B79" s="46" t="s">
        <v>256</v>
      </c>
      <c r="C79" s="49">
        <v>1</v>
      </c>
      <c r="D79" s="49" t="s">
        <v>128</v>
      </c>
      <c r="E79" s="50" t="s">
        <v>268</v>
      </c>
      <c r="F79" s="50" t="s">
        <v>262</v>
      </c>
      <c r="G79" s="62" t="str">
        <f t="shared" si="20"/>
        <v>[effect:enemy_message, val1:1.2, val2:1.2]</v>
      </c>
      <c r="H79" s="62">
        <f t="shared" si="21"/>
        <v>9</v>
      </c>
      <c r="I79" s="62">
        <f t="shared" si="22"/>
        <v>22</v>
      </c>
      <c r="J79" s="62" t="e">
        <f t="shared" si="23"/>
        <v>#VALUE!</v>
      </c>
      <c r="K79" s="62">
        <f t="shared" si="24"/>
        <v>32</v>
      </c>
      <c r="L79" s="62" t="str">
        <f>IFERROR(VLOOKUP(MID(G79,J79,K79-J79),[6]skilldef!$C:$D,2,FALSE),"-") &amp; " / " &amp; IFERROR(VLOOKUP(MID(G79,H79,I79-H79),[6]skilldef!$A:$B,2,FALSE),"-")</f>
        <v>- / -</v>
      </c>
      <c r="M79" s="62" t="str">
        <f t="shared" si="25"/>
        <v>none</v>
      </c>
      <c r="N79" s="47" t="str">
        <f t="shared" si="26"/>
        <v>none</v>
      </c>
      <c r="O79" s="62" t="e">
        <f t="shared" si="27"/>
        <v>#VALUE!</v>
      </c>
      <c r="P79" s="62">
        <f t="shared" si="28"/>
        <v>4</v>
      </c>
      <c r="Q79" s="62" t="e">
        <f t="shared" si="29"/>
        <v>#VALUE!</v>
      </c>
      <c r="R79" s="62" t="e">
        <f t="shared" si="30"/>
        <v>#VALUE!</v>
      </c>
      <c r="S79" s="62" t="str">
        <f>IFERROR(VLOOKUP(MID(N79,Q79,R79-Q79),[6]skilldef!$C:$D,2,FALSE),"-") &amp; " / " &amp; IFERROR(VLOOKUP(MID(N79,O79,P79-O79),[6]skilldef!$A:$B,2,FALSE),"-")</f>
        <v>- / -</v>
      </c>
      <c r="T79" s="47" t="str">
        <f t="shared" si="31"/>
        <v>none</v>
      </c>
      <c r="U79" s="62" t="e">
        <f t="shared" si="32"/>
        <v>#VALUE!</v>
      </c>
      <c r="V79" s="62">
        <f t="shared" si="33"/>
        <v>4</v>
      </c>
      <c r="W79" s="62" t="e">
        <f t="shared" si="34"/>
        <v>#VALUE!</v>
      </c>
      <c r="X79" s="62" t="e">
        <f t="shared" si="35"/>
        <v>#VALUE!</v>
      </c>
      <c r="Y79" s="62" t="str">
        <f>IFERROR(VLOOKUP(MID(T79,W79,X79-W79),[6]skilldef!$C:$D,2,FALSE),"-") &amp; " / " &amp; IFERROR(VLOOKUP(MID(T79,U79,V79-U79),[6]skilldef!$A:$B,2,FALSE),"-")</f>
        <v>- / -</v>
      </c>
      <c r="Z79" s="49"/>
      <c r="AA79" s="51"/>
      <c r="AB79" s="49"/>
      <c r="AC79" s="48">
        <f t="shared" si="36"/>
        <v>4</v>
      </c>
      <c r="AD79" s="48">
        <f t="shared" si="37"/>
        <v>3</v>
      </c>
    </row>
    <row r="80" spans="1:30" ht="21" customHeight="1" x14ac:dyDescent="0.15">
      <c r="A80" s="7">
        <v>58002078</v>
      </c>
      <c r="B80" s="46" t="s">
        <v>256</v>
      </c>
      <c r="C80" s="49">
        <v>1</v>
      </c>
      <c r="D80" s="49" t="s">
        <v>128</v>
      </c>
      <c r="E80" s="50" t="s">
        <v>268</v>
      </c>
      <c r="F80" s="50" t="s">
        <v>262</v>
      </c>
      <c r="G80" s="62" t="str">
        <f t="shared" si="20"/>
        <v>[effect:enemy_message, val1:1.2, val2:1.2]</v>
      </c>
      <c r="H80" s="62">
        <f t="shared" si="21"/>
        <v>9</v>
      </c>
      <c r="I80" s="62">
        <f t="shared" si="22"/>
        <v>22</v>
      </c>
      <c r="J80" s="62" t="e">
        <f t="shared" si="23"/>
        <v>#VALUE!</v>
      </c>
      <c r="K80" s="62">
        <f t="shared" si="24"/>
        <v>32</v>
      </c>
      <c r="L80" s="62" t="str">
        <f>IFERROR(VLOOKUP(MID(G80,J80,K80-J80),[6]skilldef!$C:$D,2,FALSE),"-") &amp; " / " &amp; IFERROR(VLOOKUP(MID(G80,H80,I80-H80),[6]skilldef!$A:$B,2,FALSE),"-")</f>
        <v>- / -</v>
      </c>
      <c r="M80" s="62" t="str">
        <f t="shared" si="25"/>
        <v>none</v>
      </c>
      <c r="N80" s="47" t="str">
        <f t="shared" si="26"/>
        <v>none</v>
      </c>
      <c r="O80" s="62" t="e">
        <f t="shared" si="27"/>
        <v>#VALUE!</v>
      </c>
      <c r="P80" s="62">
        <f t="shared" si="28"/>
        <v>4</v>
      </c>
      <c r="Q80" s="62" t="e">
        <f t="shared" si="29"/>
        <v>#VALUE!</v>
      </c>
      <c r="R80" s="62" t="e">
        <f t="shared" si="30"/>
        <v>#VALUE!</v>
      </c>
      <c r="S80" s="62" t="str">
        <f>IFERROR(VLOOKUP(MID(N80,Q80,R80-Q80),[6]skilldef!$C:$D,2,FALSE),"-") &amp; " / " &amp; IFERROR(VLOOKUP(MID(N80,O80,P80-O80),[6]skilldef!$A:$B,2,FALSE),"-")</f>
        <v>- / -</v>
      </c>
      <c r="T80" s="47" t="str">
        <f t="shared" si="31"/>
        <v>none</v>
      </c>
      <c r="U80" s="62" t="e">
        <f t="shared" si="32"/>
        <v>#VALUE!</v>
      </c>
      <c r="V80" s="62">
        <f t="shared" si="33"/>
        <v>4</v>
      </c>
      <c r="W80" s="62" t="e">
        <f t="shared" si="34"/>
        <v>#VALUE!</v>
      </c>
      <c r="X80" s="62" t="e">
        <f t="shared" si="35"/>
        <v>#VALUE!</v>
      </c>
      <c r="Y80" s="62" t="str">
        <f>IFERROR(VLOOKUP(MID(T80,W80,X80-W80),[6]skilldef!$C:$D,2,FALSE),"-") &amp; " / " &amp; IFERROR(VLOOKUP(MID(T80,U80,V80-U80),[6]skilldef!$A:$B,2,FALSE),"-")</f>
        <v>- / -</v>
      </c>
      <c r="Z80" s="49"/>
      <c r="AA80" s="51"/>
      <c r="AB80" s="49"/>
      <c r="AC80" s="48">
        <f t="shared" si="36"/>
        <v>4</v>
      </c>
      <c r="AD80" s="48">
        <f t="shared" si="37"/>
        <v>3</v>
      </c>
    </row>
    <row r="81" spans="1:30" ht="21" customHeight="1" x14ac:dyDescent="0.15">
      <c r="A81" s="7">
        <v>58002079</v>
      </c>
      <c r="B81" s="46" t="s">
        <v>256</v>
      </c>
      <c r="C81" s="49">
        <v>1</v>
      </c>
      <c r="D81" s="49" t="s">
        <v>128</v>
      </c>
      <c r="E81" s="50" t="s">
        <v>268</v>
      </c>
      <c r="F81" s="50" t="s">
        <v>262</v>
      </c>
      <c r="G81" s="62" t="str">
        <f t="shared" si="20"/>
        <v>[effect:enemy_message, val1:1.2, val2:1.2]</v>
      </c>
      <c r="H81" s="62">
        <f t="shared" si="21"/>
        <v>9</v>
      </c>
      <c r="I81" s="62">
        <f t="shared" si="22"/>
        <v>22</v>
      </c>
      <c r="J81" s="62" t="e">
        <f t="shared" si="23"/>
        <v>#VALUE!</v>
      </c>
      <c r="K81" s="62">
        <f t="shared" si="24"/>
        <v>32</v>
      </c>
      <c r="L81" s="62" t="str">
        <f>IFERROR(VLOOKUP(MID(G81,J81,K81-J81),[6]skilldef!$C:$D,2,FALSE),"-") &amp; " / " &amp; IFERROR(VLOOKUP(MID(G81,H81,I81-H81),[6]skilldef!$A:$B,2,FALSE),"-")</f>
        <v>- / -</v>
      </c>
      <c r="M81" s="62" t="str">
        <f t="shared" si="25"/>
        <v>none</v>
      </c>
      <c r="N81" s="47" t="str">
        <f t="shared" si="26"/>
        <v>none</v>
      </c>
      <c r="O81" s="62" t="e">
        <f t="shared" si="27"/>
        <v>#VALUE!</v>
      </c>
      <c r="P81" s="62">
        <f t="shared" si="28"/>
        <v>4</v>
      </c>
      <c r="Q81" s="62" t="e">
        <f t="shared" si="29"/>
        <v>#VALUE!</v>
      </c>
      <c r="R81" s="62" t="e">
        <f t="shared" si="30"/>
        <v>#VALUE!</v>
      </c>
      <c r="S81" s="62" t="str">
        <f>IFERROR(VLOOKUP(MID(N81,Q81,R81-Q81),[6]skilldef!$C:$D,2,FALSE),"-") &amp; " / " &amp; IFERROR(VLOOKUP(MID(N81,O81,P81-O81),[6]skilldef!$A:$B,2,FALSE),"-")</f>
        <v>- / -</v>
      </c>
      <c r="T81" s="47" t="str">
        <f t="shared" si="31"/>
        <v>none</v>
      </c>
      <c r="U81" s="62" t="e">
        <f t="shared" si="32"/>
        <v>#VALUE!</v>
      </c>
      <c r="V81" s="62">
        <f t="shared" si="33"/>
        <v>4</v>
      </c>
      <c r="W81" s="62" t="e">
        <f t="shared" si="34"/>
        <v>#VALUE!</v>
      </c>
      <c r="X81" s="62" t="e">
        <f t="shared" si="35"/>
        <v>#VALUE!</v>
      </c>
      <c r="Y81" s="62" t="str">
        <f>IFERROR(VLOOKUP(MID(T81,W81,X81-W81),[6]skilldef!$C:$D,2,FALSE),"-") &amp; " / " &amp; IFERROR(VLOOKUP(MID(T81,U81,V81-U81),[6]skilldef!$A:$B,2,FALSE),"-")</f>
        <v>- / -</v>
      </c>
      <c r="Z81" s="49"/>
      <c r="AA81" s="51"/>
      <c r="AB81" s="49"/>
      <c r="AC81" s="48">
        <f t="shared" si="36"/>
        <v>4</v>
      </c>
      <c r="AD81" s="48">
        <f t="shared" si="37"/>
        <v>3</v>
      </c>
    </row>
    <row r="82" spans="1:30" ht="21" customHeight="1" x14ac:dyDescent="0.15">
      <c r="A82" s="7">
        <v>58002080</v>
      </c>
      <c r="B82" s="46" t="s">
        <v>431</v>
      </c>
      <c r="C82" s="49">
        <v>1</v>
      </c>
      <c r="D82" s="49" t="s">
        <v>128</v>
      </c>
      <c r="E82" s="50" t="s">
        <v>369</v>
      </c>
      <c r="F82" s="50" t="s">
        <v>316</v>
      </c>
      <c r="G82" s="62" t="str">
        <f t="shared" si="20"/>
        <v>[effect:enemy_message, val1:1.5, val2:3.2]</v>
      </c>
      <c r="H82" s="62">
        <f t="shared" si="21"/>
        <v>9</v>
      </c>
      <c r="I82" s="62">
        <f t="shared" si="22"/>
        <v>22</v>
      </c>
      <c r="J82" s="62" t="e">
        <f t="shared" si="23"/>
        <v>#VALUE!</v>
      </c>
      <c r="K82" s="62">
        <f t="shared" si="24"/>
        <v>32</v>
      </c>
      <c r="L82" s="62" t="str">
        <f>IFERROR(VLOOKUP(MID(G82,J82,K82-J82),[6]skilldef!$C:$D,2,FALSE),"-") &amp; " / " &amp; IFERROR(VLOOKUP(MID(G82,H82,I82-H82),[6]skilldef!$A:$B,2,FALSE),"-")</f>
        <v>- / -</v>
      </c>
      <c r="M82" s="62" t="str">
        <f t="shared" si="25"/>
        <v>[effect:fix_speed, target:myself, turn:1],[effect:tolerance, target:myself, turn:-1, count:-1, tolerance_effect:all, animation:enemy_tolerance],[effect:invalidate_crash_panel, target:unit_all, turn:5, count:6, animation:enemy_dis_crashPanel],[effect:crash_condition, target:unit_all, turn:5, val:2, animation:crash_panel_reduce04]</v>
      </c>
      <c r="N82" s="47" t="str">
        <f t="shared" si="26"/>
        <v>[effect:fix_speed, target:myself, turn:1],[effect:tolerance, target:myself, turn:-1, count:-1, tolerance_effect:all, animation:enemy_tolerance],[effect:invalidate_crash_panel, target:unit_all, turn:5, count:6, animation:enemy_dis_crashPanel],[effect:crash_condition, target:unit_all, turn:5, val:2, animation:crash_panel_reduce04]</v>
      </c>
      <c r="O82" s="62">
        <f t="shared" si="27"/>
        <v>9</v>
      </c>
      <c r="P82" s="62">
        <f t="shared" si="28"/>
        <v>18</v>
      </c>
      <c r="Q82" s="62">
        <f t="shared" si="29"/>
        <v>27</v>
      </c>
      <c r="R82" s="62">
        <f t="shared" si="30"/>
        <v>33</v>
      </c>
      <c r="S82" s="62" t="str">
        <f>IFERROR(VLOOKUP(MID(N82,Q82,R82-Q82),[6]skilldef!$C:$D,2,FALSE),"-") &amp; " / " &amp; IFERROR(VLOOKUP(MID(N82,O82,P82-O82),[6]skilldef!$A:$B,2,FALSE),"-")</f>
        <v>自分自身に / 行動値設定</v>
      </c>
      <c r="T82" s="47" t="str">
        <f t="shared" si="31"/>
        <v>[effect:tolerance, target:myself, turn:-1, count:-1, tolerance_effect:all, animation:enemy_tolerance],[effect:invalidate_crash_panel, target:unit_all, turn:5, count:6, animation:enemy_dis_crashPanel],[effect:crash_condition, target:unit_all, turn:5, val:2, animation:crash_panel_reduce04]</v>
      </c>
      <c r="U82" s="62">
        <f t="shared" si="32"/>
        <v>9</v>
      </c>
      <c r="V82" s="62">
        <f t="shared" si="33"/>
        <v>18</v>
      </c>
      <c r="W82" s="62">
        <f t="shared" si="34"/>
        <v>27</v>
      </c>
      <c r="X82" s="62">
        <f t="shared" si="35"/>
        <v>33</v>
      </c>
      <c r="Y82" s="62" t="str">
        <f>IFERROR(VLOOKUP(MID(T82,W82,X82-W82),[6]skilldef!$C:$D,2,FALSE),"-") &amp; " / " &amp; IFERROR(VLOOKUP(MID(T82,U82,V82-U82),[6]skilldef!$A:$B,2,FALSE),"-")</f>
        <v>自分自身に / 状態異常耐性</v>
      </c>
      <c r="Z82" s="49"/>
      <c r="AA82" s="51"/>
      <c r="AB82" s="49"/>
      <c r="AC82" s="48">
        <f t="shared" si="36"/>
        <v>15</v>
      </c>
      <c r="AD82" s="48">
        <f t="shared" si="37"/>
        <v>32</v>
      </c>
    </row>
    <row r="83" spans="1:30" ht="21" customHeight="1" x14ac:dyDescent="0.15">
      <c r="A83" s="7">
        <v>58002081</v>
      </c>
      <c r="B83" s="46" t="s">
        <v>432</v>
      </c>
      <c r="C83" s="49">
        <v>1</v>
      </c>
      <c r="D83" s="49" t="s">
        <v>128</v>
      </c>
      <c r="E83" s="50" t="s">
        <v>370</v>
      </c>
      <c r="F83" s="50" t="s">
        <v>402</v>
      </c>
      <c r="G83" s="62" t="str">
        <f t="shared" si="20"/>
        <v>[effect:enemy_message, val1:1.2, val2:2.1]</v>
      </c>
      <c r="H83" s="62">
        <f t="shared" si="21"/>
        <v>9</v>
      </c>
      <c r="I83" s="62">
        <f t="shared" si="22"/>
        <v>22</v>
      </c>
      <c r="J83" s="62" t="e">
        <f t="shared" si="23"/>
        <v>#VALUE!</v>
      </c>
      <c r="K83" s="62">
        <f t="shared" si="24"/>
        <v>32</v>
      </c>
      <c r="L83" s="62" t="str">
        <f>IFERROR(VLOOKUP(MID(G83,J83,K83-J83),[6]skilldef!$C:$D,2,FALSE),"-") &amp; " / " &amp; IFERROR(VLOOKUP(MID(G83,H83,I83-H83),[6]skilldef!$A:$B,2,FALSE),"-")</f>
        <v>- / -</v>
      </c>
      <c r="M83" s="62" t="str">
        <f t="shared" si="25"/>
        <v>[effect:change_range_block, block_change:1, base_type:0, square_count:5, position01:10, value_h01:1, value_w01:5, new_block:block_red, target:block_all, count:0, val:0, animation:change_block],[effect:rush, count:3, val:0.4]</v>
      </c>
      <c r="N83" s="47" t="str">
        <f t="shared" si="26"/>
        <v>[effect:change_range_block, block_change:1, base_type:0, square_count:5, position01:10, value_h01:1, value_w01:5, new_block:block_red, target:block_all, count:0, val:0, animation:change_block],[effect:rush, count:3, val:0.4]</v>
      </c>
      <c r="O83" s="62">
        <f t="shared" si="27"/>
        <v>9</v>
      </c>
      <c r="P83" s="62">
        <f t="shared" si="28"/>
        <v>27</v>
      </c>
      <c r="Q83" s="62">
        <f t="shared" si="29"/>
        <v>143</v>
      </c>
      <c r="R83" s="62">
        <f t="shared" si="30"/>
        <v>43</v>
      </c>
      <c r="S83" s="62" t="str">
        <f>IFERROR(VLOOKUP(MID(N83,Q83,R83-Q83),[6]skilldef!$C:$D,2,FALSE),"-") &amp; " / " &amp; IFERROR(VLOOKUP(MID(N83,O83,P83-O83),[6]skilldef!$A:$B,2,FALSE),"-")</f>
        <v>- / -</v>
      </c>
      <c r="T83" s="47" t="str">
        <f t="shared" si="31"/>
        <v>[effect:rush, count:3, val:0.4]</v>
      </c>
      <c r="U83" s="62">
        <f t="shared" si="32"/>
        <v>9</v>
      </c>
      <c r="V83" s="62">
        <f t="shared" si="33"/>
        <v>13</v>
      </c>
      <c r="W83" s="62" t="e">
        <f t="shared" si="34"/>
        <v>#VALUE!</v>
      </c>
      <c r="X83" s="62">
        <f t="shared" si="35"/>
        <v>22</v>
      </c>
      <c r="Y83" s="62" t="str">
        <f>IFERROR(VLOOKUP(MID(T83,W83,X83-W83),[6]skilldef!$C:$D,2,FALSE),"-") &amp; " / " &amp; IFERROR(VLOOKUP(MID(T83,U83,V83-U83),[6]skilldef!$A:$B,2,FALSE),"-")</f>
        <v>- / 連続攻撃</v>
      </c>
      <c r="Z83" s="49"/>
      <c r="AA83" s="51"/>
      <c r="AB83" s="49"/>
      <c r="AC83" s="48">
        <f t="shared" si="36"/>
        <v>4</v>
      </c>
      <c r="AD83" s="48">
        <f t="shared" si="37"/>
        <v>21</v>
      </c>
    </row>
    <row r="84" spans="1:30" ht="21" customHeight="1" x14ac:dyDescent="0.15">
      <c r="A84" s="7">
        <v>58002082</v>
      </c>
      <c r="B84" s="46" t="s">
        <v>430</v>
      </c>
      <c r="C84" s="49">
        <v>1</v>
      </c>
      <c r="D84" s="49" t="s">
        <v>128</v>
      </c>
      <c r="E84" s="50" t="s">
        <v>371</v>
      </c>
      <c r="F84" s="50" t="s">
        <v>403</v>
      </c>
      <c r="G84" s="62" t="str">
        <f t="shared" si="20"/>
        <v>[effect:enemy_message, val1:1.2, val2:1.6]</v>
      </c>
      <c r="H84" s="62">
        <f t="shared" si="21"/>
        <v>9</v>
      </c>
      <c r="I84" s="62">
        <f t="shared" si="22"/>
        <v>22</v>
      </c>
      <c r="J84" s="62" t="e">
        <f t="shared" si="23"/>
        <v>#VALUE!</v>
      </c>
      <c r="K84" s="62">
        <f t="shared" si="24"/>
        <v>32</v>
      </c>
      <c r="L84" s="62" t="str">
        <f>IFERROR(VLOOKUP(MID(G84,J84,K84-J84),[6]skilldef!$C:$D,2,FALSE),"-") &amp; " / " &amp; IFERROR(VLOOKUP(MID(G84,H84,I84-H84),[6]skilldef!$A:$B,2,FALSE),"-")</f>
        <v>- / -</v>
      </c>
      <c r="M84" s="62" t="str">
        <f t="shared" si="25"/>
        <v>[effect:panel_freeze, target:normal, color:block_red, count:-1],[effect:rush, count:1, val:1]</v>
      </c>
      <c r="N84" s="47" t="str">
        <f t="shared" si="26"/>
        <v>[effect:panel_freeze, target:normal, color:block_red, count:-1],[effect:rush, count:1, val:1]</v>
      </c>
      <c r="O84" s="62">
        <f t="shared" si="27"/>
        <v>9</v>
      </c>
      <c r="P84" s="62">
        <f t="shared" si="28"/>
        <v>21</v>
      </c>
      <c r="Q84" s="62">
        <f t="shared" si="29"/>
        <v>30</v>
      </c>
      <c r="R84" s="62">
        <f t="shared" si="30"/>
        <v>36</v>
      </c>
      <c r="S84" s="62" t="str">
        <f>IFERROR(VLOOKUP(MID(N84,Q84,R84-Q84),[6]skilldef!$C:$D,2,FALSE),"-") &amp; " / " &amp; IFERROR(VLOOKUP(MID(N84,O84,P84-O84),[6]skilldef!$A:$B,2,FALSE),"-")</f>
        <v>- / -</v>
      </c>
      <c r="T84" s="47" t="str">
        <f t="shared" si="31"/>
        <v>[effect:rush, count:1, val:1]</v>
      </c>
      <c r="U84" s="62">
        <f t="shared" si="32"/>
        <v>9</v>
      </c>
      <c r="V84" s="62">
        <f t="shared" si="33"/>
        <v>13</v>
      </c>
      <c r="W84" s="62" t="e">
        <f t="shared" si="34"/>
        <v>#VALUE!</v>
      </c>
      <c r="X84" s="62">
        <f t="shared" si="35"/>
        <v>22</v>
      </c>
      <c r="Y84" s="62" t="str">
        <f>IFERROR(VLOOKUP(MID(T84,W84,X84-W84),[6]skilldef!$C:$D,2,FALSE),"-") &amp; " / " &amp; IFERROR(VLOOKUP(MID(T84,U84,V84-U84),[6]skilldef!$A:$B,2,FALSE),"-")</f>
        <v>- / 連続攻撃</v>
      </c>
      <c r="Z84" s="49"/>
      <c r="AA84" s="51"/>
      <c r="AB84" s="49"/>
      <c r="AC84" s="48">
        <f t="shared" si="36"/>
        <v>4</v>
      </c>
      <c r="AD84" s="48">
        <f t="shared" si="37"/>
        <v>16</v>
      </c>
    </row>
    <row r="85" spans="1:30" ht="21" customHeight="1" x14ac:dyDescent="0.15">
      <c r="A85" s="7">
        <v>58002083</v>
      </c>
      <c r="B85" s="46" t="s">
        <v>433</v>
      </c>
      <c r="C85" s="49">
        <v>1</v>
      </c>
      <c r="D85" s="49" t="s">
        <v>128</v>
      </c>
      <c r="E85" s="50" t="s">
        <v>372</v>
      </c>
      <c r="F85" s="50" t="s">
        <v>317</v>
      </c>
      <c r="G85" s="62" t="str">
        <f t="shared" si="20"/>
        <v>[effect:enemy_message, val1:1.3, val2:1.2]</v>
      </c>
      <c r="H85" s="62">
        <f t="shared" si="21"/>
        <v>9</v>
      </c>
      <c r="I85" s="62">
        <f t="shared" si="22"/>
        <v>22</v>
      </c>
      <c r="J85" s="62" t="e">
        <f t="shared" si="23"/>
        <v>#VALUE!</v>
      </c>
      <c r="K85" s="62">
        <f t="shared" si="24"/>
        <v>32</v>
      </c>
      <c r="L85" s="62" t="str">
        <f>IFERROR(VLOOKUP(MID(G85,J85,K85-J85),[6]skilldef!$C:$D,2,FALSE),"-") &amp; " / " &amp; IFERROR(VLOOKUP(MID(G85,H85,I85-H85),[6]skilldef!$A:$B,2,FALSE),"-")</f>
        <v>- / -</v>
      </c>
      <c r="M85" s="62" t="str">
        <f t="shared" si="25"/>
        <v xml:space="preserve">[effect:force_change_block, new_block:block_red, target:block_all, count:0, val:0, animation:change_block],[effect:change_range_block, block_change:1, base_type:0, square_count:5, position01:10, position02:2, value_h01:1, value_h02:5, value_w01:5, value_w02:1, new_block:jammer, target:block_red, count:0, val:0, animation:change_block]    </v>
      </c>
      <c r="N85" s="47" t="str">
        <f t="shared" si="26"/>
        <v xml:space="preserve">[effect:force_change_block, new_block:block_red, target:block_all, count:0, val:0, animation:change_block],[effect:change_range_block, block_change:1, base_type:0, square_count:5, position01:10, position02:2, value_h01:1, value_h02:5, value_w01:5, value_w02:1, new_block:jammer, target:block_red, count:0, val:0, animation:change_block]    </v>
      </c>
      <c r="O85" s="62">
        <f t="shared" si="27"/>
        <v>9</v>
      </c>
      <c r="P85" s="62">
        <f t="shared" si="28"/>
        <v>27</v>
      </c>
      <c r="Q85" s="62">
        <f t="shared" si="29"/>
        <v>57</v>
      </c>
      <c r="R85" s="62">
        <f t="shared" si="30"/>
        <v>48</v>
      </c>
      <c r="S85" s="62" t="str">
        <f>IFERROR(VLOOKUP(MID(N85,Q85,R85-Q85),[6]skilldef!$C:$D,2,FALSE),"-") &amp; " / " &amp; IFERROR(VLOOKUP(MID(N85,O85,P85-O85),[6]skilldef!$A:$B,2,FALSE),"-")</f>
        <v>- / -</v>
      </c>
      <c r="T85" s="47" t="str">
        <f t="shared" si="31"/>
        <v xml:space="preserve">[effect:change_range_block, block_change:1, base_type:0, square_count:5, position01:10, position02:2, value_h01:1, value_h02:5, value_w01:5, value_w02:1, new_block:jammer, target:block_red, count:0, val:0, animation:change_block]    </v>
      </c>
      <c r="U85" s="62">
        <f t="shared" si="32"/>
        <v>9</v>
      </c>
      <c r="V85" s="62">
        <f t="shared" si="33"/>
        <v>27</v>
      </c>
      <c r="W85" s="62">
        <f t="shared" si="34"/>
        <v>180</v>
      </c>
      <c r="X85" s="62">
        <f t="shared" si="35"/>
        <v>43</v>
      </c>
      <c r="Y85" s="62" t="str">
        <f>IFERROR(VLOOKUP(MID(T85,W85,X85-W85),[6]skilldef!$C:$D,2,FALSE),"-") &amp; " / " &amp; IFERROR(VLOOKUP(MID(T85,U85,V85-U85),[6]skilldef!$A:$B,2,FALSE),"-")</f>
        <v>- / -</v>
      </c>
      <c r="Z85" s="49"/>
      <c r="AA85" s="51"/>
      <c r="AB85" s="49"/>
      <c r="AC85" s="48">
        <f t="shared" si="36"/>
        <v>13</v>
      </c>
      <c r="AD85" s="48">
        <f t="shared" si="37"/>
        <v>12</v>
      </c>
    </row>
    <row r="86" spans="1:30" ht="21" customHeight="1" x14ac:dyDescent="0.15">
      <c r="A86" s="7">
        <v>58002084</v>
      </c>
      <c r="B86" s="46" t="s">
        <v>434</v>
      </c>
      <c r="C86" s="49">
        <v>1</v>
      </c>
      <c r="D86" s="49" t="s">
        <v>128</v>
      </c>
      <c r="E86" s="50" t="s">
        <v>373</v>
      </c>
      <c r="F86" s="50" t="s">
        <v>270</v>
      </c>
      <c r="G86" s="62" t="str">
        <f t="shared" si="20"/>
        <v>[effect:enemy_message, val1:1.2, val2:1.5]</v>
      </c>
      <c r="H86" s="62">
        <f t="shared" si="21"/>
        <v>9</v>
      </c>
      <c r="I86" s="62">
        <f t="shared" si="22"/>
        <v>22</v>
      </c>
      <c r="J86" s="62" t="e">
        <f t="shared" si="23"/>
        <v>#VALUE!</v>
      </c>
      <c r="K86" s="62">
        <f t="shared" si="24"/>
        <v>32</v>
      </c>
      <c r="L86" s="62" t="str">
        <f>IFERROR(VLOOKUP(MID(G86,J86,K86-J86),[6]skilldef!$C:$D,2,FALSE),"-") &amp; " / " &amp; IFERROR(VLOOKUP(MID(G86,H86,I86-H86),[6]skilldef!$A:$B,2,FALSE),"-")</f>
        <v>- / -</v>
      </c>
      <c r="M86" s="62" t="str">
        <f t="shared" si="25"/>
        <v>[effect:break_attack, target:unit_all, val:0.02, lowest_val:4000, count:-1, color:blue, block01:block_heart]</v>
      </c>
      <c r="N86" s="47" t="str">
        <f t="shared" si="26"/>
        <v>[effect:break_attack, target:unit_all, val:0.02, lowest_val:4000, count:-1, color:blue, block01:block_heart]</v>
      </c>
      <c r="O86" s="62">
        <f t="shared" si="27"/>
        <v>9</v>
      </c>
      <c r="P86" s="62">
        <f t="shared" si="28"/>
        <v>21</v>
      </c>
      <c r="Q86" s="62">
        <f t="shared" si="29"/>
        <v>30</v>
      </c>
      <c r="R86" s="62">
        <f t="shared" si="30"/>
        <v>38</v>
      </c>
      <c r="S86" s="62" t="str">
        <f>IFERROR(VLOOKUP(MID(N86,Q86,R86-Q86),[6]skilldef!$C:$D,2,FALSE),"-") &amp; " / " &amp; IFERROR(VLOOKUP(MID(N86,O86,P86-O86),[6]skilldef!$A:$B,2,FALSE),"-")</f>
        <v>味方全体に / -</v>
      </c>
      <c r="T86" s="47" t="str">
        <f t="shared" si="31"/>
        <v>none</v>
      </c>
      <c r="U86" s="62" t="e">
        <f t="shared" si="32"/>
        <v>#VALUE!</v>
      </c>
      <c r="V86" s="62">
        <f t="shared" si="33"/>
        <v>4</v>
      </c>
      <c r="W86" s="62" t="e">
        <f t="shared" si="34"/>
        <v>#VALUE!</v>
      </c>
      <c r="X86" s="62" t="e">
        <f t="shared" si="35"/>
        <v>#VALUE!</v>
      </c>
      <c r="Y86" s="62" t="str">
        <f>IFERROR(VLOOKUP(MID(T86,W86,X86-W86),[6]skilldef!$C:$D,2,FALSE),"-") &amp; " / " &amp; IFERROR(VLOOKUP(MID(T86,U86,V86-U86),[6]skilldef!$A:$B,2,FALSE),"-")</f>
        <v>- / -</v>
      </c>
      <c r="Z86" s="49"/>
      <c r="AA86" s="51"/>
      <c r="AB86" s="49"/>
      <c r="AC86" s="48">
        <f t="shared" si="36"/>
        <v>11</v>
      </c>
      <c r="AD86" s="48">
        <f t="shared" si="37"/>
        <v>15</v>
      </c>
    </row>
    <row r="87" spans="1:30" ht="21" customHeight="1" x14ac:dyDescent="0.15">
      <c r="A87" s="7">
        <v>58002085</v>
      </c>
      <c r="B87" s="46" t="s">
        <v>435</v>
      </c>
      <c r="C87" s="49">
        <v>1</v>
      </c>
      <c r="D87" s="49" t="s">
        <v>128</v>
      </c>
      <c r="E87" s="50" t="s">
        <v>374</v>
      </c>
      <c r="F87" s="50" t="s">
        <v>303</v>
      </c>
      <c r="G87" s="62" t="str">
        <f t="shared" si="20"/>
        <v>[effect:enemy_message, val1:1.6, val2:1.2]</v>
      </c>
      <c r="H87" s="62">
        <f t="shared" si="21"/>
        <v>9</v>
      </c>
      <c r="I87" s="62">
        <f t="shared" si="22"/>
        <v>22</v>
      </c>
      <c r="J87" s="62" t="e">
        <f t="shared" si="23"/>
        <v>#VALUE!</v>
      </c>
      <c r="K87" s="62">
        <f t="shared" si="24"/>
        <v>32</v>
      </c>
      <c r="L87" s="62" t="str">
        <f>IFERROR(VLOOKUP(MID(G87,J87,K87-J87),[6]skilldef!$C:$D,2,FALSE),"-") &amp; " / " &amp; IFERROR(VLOOKUP(MID(G87,H87,I87-H87),[6]skilldef!$A:$B,2,FALSE),"-")</f>
        <v>- / -</v>
      </c>
      <c r="M87" s="62" t="str">
        <f t="shared" si="25"/>
        <v>none</v>
      </c>
      <c r="N87" s="47" t="str">
        <f t="shared" si="26"/>
        <v>none</v>
      </c>
      <c r="O87" s="62" t="e">
        <f t="shared" si="27"/>
        <v>#VALUE!</v>
      </c>
      <c r="P87" s="62">
        <f t="shared" si="28"/>
        <v>4</v>
      </c>
      <c r="Q87" s="62" t="e">
        <f t="shared" si="29"/>
        <v>#VALUE!</v>
      </c>
      <c r="R87" s="62" t="e">
        <f t="shared" si="30"/>
        <v>#VALUE!</v>
      </c>
      <c r="S87" s="62" t="str">
        <f>IFERROR(VLOOKUP(MID(N87,Q87,R87-Q87),[6]skilldef!$C:$D,2,FALSE),"-") &amp; " / " &amp; IFERROR(VLOOKUP(MID(N87,O87,P87-O87),[6]skilldef!$A:$B,2,FALSE),"-")</f>
        <v>- / -</v>
      </c>
      <c r="T87" s="47" t="str">
        <f t="shared" si="31"/>
        <v>none</v>
      </c>
      <c r="U87" s="62" t="e">
        <f t="shared" si="32"/>
        <v>#VALUE!</v>
      </c>
      <c r="V87" s="62">
        <f t="shared" si="33"/>
        <v>4</v>
      </c>
      <c r="W87" s="62" t="e">
        <f t="shared" si="34"/>
        <v>#VALUE!</v>
      </c>
      <c r="X87" s="62" t="e">
        <f t="shared" si="35"/>
        <v>#VALUE!</v>
      </c>
      <c r="Y87" s="62" t="str">
        <f>IFERROR(VLOOKUP(MID(T87,W87,X87-W87),[6]skilldef!$C:$D,2,FALSE),"-") &amp; " / " &amp; IFERROR(VLOOKUP(MID(T87,U87,V87-U87),[6]skilldef!$A:$B,2,FALSE),"-")</f>
        <v>- / -</v>
      </c>
      <c r="Z87" s="49"/>
      <c r="AA87" s="51"/>
      <c r="AB87" s="49"/>
      <c r="AC87" s="48">
        <f t="shared" si="36"/>
        <v>16</v>
      </c>
      <c r="AD87" s="48">
        <f t="shared" si="37"/>
        <v>10</v>
      </c>
    </row>
    <row r="88" spans="1:30" ht="21" customHeight="1" x14ac:dyDescent="0.15">
      <c r="A88" s="7">
        <v>58002086</v>
      </c>
      <c r="B88" s="46" t="s">
        <v>275</v>
      </c>
      <c r="C88" s="49">
        <v>1</v>
      </c>
      <c r="D88" s="49" t="s">
        <v>128</v>
      </c>
      <c r="E88" s="50" t="s">
        <v>375</v>
      </c>
      <c r="F88" s="50" t="s">
        <v>302</v>
      </c>
      <c r="G88" s="62" t="str">
        <f t="shared" si="20"/>
        <v>[effect:enemy_message, val1:1.2, val2:1.2]</v>
      </c>
      <c r="H88" s="62">
        <f t="shared" si="21"/>
        <v>9</v>
      </c>
      <c r="I88" s="62">
        <f t="shared" si="22"/>
        <v>22</v>
      </c>
      <c r="J88" s="62" t="e">
        <f t="shared" si="23"/>
        <v>#VALUE!</v>
      </c>
      <c r="K88" s="62">
        <f t="shared" si="24"/>
        <v>32</v>
      </c>
      <c r="L88" s="62" t="str">
        <f>IFERROR(VLOOKUP(MID(G88,J88,K88-J88),[6]skilldef!$C:$D,2,FALSE),"-") &amp; " / " &amp; IFERROR(VLOOKUP(MID(G88,H88,I88-H88),[6]skilldef!$A:$B,2,FALSE),"-")</f>
        <v>- / -</v>
      </c>
      <c r="M88" s="62" t="str">
        <f t="shared" si="25"/>
        <v>[effect:spread, val:2.0],[effect:spread, val:2.0],[effect:spread, val:2.0],[effect:spread, val:2.0],[effect:spread, val:2.0]</v>
      </c>
      <c r="N88" s="47" t="str">
        <f t="shared" si="26"/>
        <v>[effect:spread, val:2.0],[effect:spread, val:2.0],[effect:spread, val:2.0],[effect:spread, val:2.0],[effect:spread, val:2.0]</v>
      </c>
      <c r="O88" s="62">
        <f t="shared" si="27"/>
        <v>9</v>
      </c>
      <c r="P88" s="62">
        <f t="shared" si="28"/>
        <v>15</v>
      </c>
      <c r="Q88" s="62" t="e">
        <f t="shared" si="29"/>
        <v>#VALUE!</v>
      </c>
      <c r="R88" s="62">
        <f t="shared" si="30"/>
        <v>25</v>
      </c>
      <c r="S88" s="62" t="str">
        <f>IFERROR(VLOOKUP(MID(N88,Q88,R88-Q88),[6]skilldef!$C:$D,2,FALSE),"-") &amp; " / " &amp; IFERROR(VLOOKUP(MID(N88,O88,P88-O88),[6]skilldef!$A:$B,2,FALSE),"-")</f>
        <v>- / 全体攻撃</v>
      </c>
      <c r="T88" s="47" t="str">
        <f t="shared" si="31"/>
        <v>[effect:spread, val:2.0],[effect:spread, val:2.0],[effect:spread, val:2.0],[effect:spread, val:2.0]</v>
      </c>
      <c r="U88" s="62">
        <f t="shared" si="32"/>
        <v>9</v>
      </c>
      <c r="V88" s="62">
        <f t="shared" si="33"/>
        <v>15</v>
      </c>
      <c r="W88" s="62" t="e">
        <f t="shared" si="34"/>
        <v>#VALUE!</v>
      </c>
      <c r="X88" s="62">
        <f t="shared" si="35"/>
        <v>25</v>
      </c>
      <c r="Y88" s="62" t="str">
        <f>IFERROR(VLOOKUP(MID(T88,W88,X88-W88),[6]skilldef!$C:$D,2,FALSE),"-") &amp; " / " &amp; IFERROR(VLOOKUP(MID(T88,U88,V88-U88),[6]skilldef!$A:$B,2,FALSE),"-")</f>
        <v>- / 全体攻撃</v>
      </c>
      <c r="Z88" s="49"/>
      <c r="AA88" s="51"/>
      <c r="AB88" s="49"/>
      <c r="AC88" s="48">
        <f t="shared" si="36"/>
        <v>12</v>
      </c>
      <c r="AD88" s="48">
        <f t="shared" si="37"/>
        <v>8</v>
      </c>
    </row>
    <row r="89" spans="1:30" ht="21" customHeight="1" x14ac:dyDescent="0.15">
      <c r="A89" s="7">
        <v>58002087</v>
      </c>
      <c r="B89" s="46" t="s">
        <v>256</v>
      </c>
      <c r="C89" s="49">
        <v>1</v>
      </c>
      <c r="D89" s="49" t="s">
        <v>128</v>
      </c>
      <c r="E89" s="50" t="s">
        <v>269</v>
      </c>
      <c r="F89" s="50" t="s">
        <v>262</v>
      </c>
      <c r="G89" s="62" t="str">
        <f t="shared" si="20"/>
        <v>[effect:enemy_message, val1:1.2, val2:1.2]</v>
      </c>
      <c r="H89" s="62">
        <f t="shared" si="21"/>
        <v>9</v>
      </c>
      <c r="I89" s="62">
        <f t="shared" si="22"/>
        <v>22</v>
      </c>
      <c r="J89" s="62" t="e">
        <f t="shared" si="23"/>
        <v>#VALUE!</v>
      </c>
      <c r="K89" s="62">
        <f t="shared" si="24"/>
        <v>32</v>
      </c>
      <c r="L89" s="62" t="str">
        <f>IFERROR(VLOOKUP(MID(G89,J89,K89-J89),[6]skilldef!$C:$D,2,FALSE),"-") &amp; " / " &amp; IFERROR(VLOOKUP(MID(G89,H89,I89-H89),[6]skilldef!$A:$B,2,FALSE),"-")</f>
        <v>- / -</v>
      </c>
      <c r="M89" s="62" t="str">
        <f t="shared" si="25"/>
        <v>none</v>
      </c>
      <c r="N89" s="47" t="str">
        <f t="shared" si="26"/>
        <v>none</v>
      </c>
      <c r="O89" s="62" t="e">
        <f t="shared" si="27"/>
        <v>#VALUE!</v>
      </c>
      <c r="P89" s="62">
        <f t="shared" si="28"/>
        <v>4</v>
      </c>
      <c r="Q89" s="62" t="e">
        <f t="shared" si="29"/>
        <v>#VALUE!</v>
      </c>
      <c r="R89" s="62" t="e">
        <f t="shared" si="30"/>
        <v>#VALUE!</v>
      </c>
      <c r="S89" s="62" t="str">
        <f>IFERROR(VLOOKUP(MID(N89,Q89,R89-Q89),[6]skilldef!$C:$D,2,FALSE),"-") &amp; " / " &amp; IFERROR(VLOOKUP(MID(N89,O89,P89-O89),[6]skilldef!$A:$B,2,FALSE),"-")</f>
        <v>- / -</v>
      </c>
      <c r="T89" s="47" t="str">
        <f t="shared" si="31"/>
        <v>none</v>
      </c>
      <c r="U89" s="62" t="e">
        <f t="shared" si="32"/>
        <v>#VALUE!</v>
      </c>
      <c r="V89" s="62">
        <f t="shared" si="33"/>
        <v>4</v>
      </c>
      <c r="W89" s="62" t="e">
        <f t="shared" si="34"/>
        <v>#VALUE!</v>
      </c>
      <c r="X89" s="62" t="e">
        <f t="shared" si="35"/>
        <v>#VALUE!</v>
      </c>
      <c r="Y89" s="62" t="str">
        <f>IFERROR(VLOOKUP(MID(T89,W89,X89-W89),[6]skilldef!$C:$D,2,FALSE),"-") &amp; " / " &amp; IFERROR(VLOOKUP(MID(T89,U89,V89-U89),[6]skilldef!$A:$B,2,FALSE),"-")</f>
        <v>- / -</v>
      </c>
      <c r="Z89" s="49"/>
      <c r="AA89" s="51"/>
      <c r="AB89" s="49"/>
      <c r="AC89" s="48">
        <f t="shared" si="36"/>
        <v>4</v>
      </c>
      <c r="AD89" s="48">
        <f t="shared" si="37"/>
        <v>3</v>
      </c>
    </row>
    <row r="90" spans="1:30" ht="21" customHeight="1" x14ac:dyDescent="0.15">
      <c r="A90" s="7">
        <v>58002088</v>
      </c>
      <c r="B90" s="46" t="s">
        <v>256</v>
      </c>
      <c r="C90" s="49">
        <v>1</v>
      </c>
      <c r="D90" s="49" t="s">
        <v>128</v>
      </c>
      <c r="E90" s="50" t="s">
        <v>269</v>
      </c>
      <c r="F90" s="50" t="s">
        <v>262</v>
      </c>
      <c r="G90" s="62" t="str">
        <f t="shared" si="20"/>
        <v>[effect:enemy_message, val1:1.2, val2:1.2]</v>
      </c>
      <c r="H90" s="62">
        <f t="shared" si="21"/>
        <v>9</v>
      </c>
      <c r="I90" s="62">
        <f t="shared" si="22"/>
        <v>22</v>
      </c>
      <c r="J90" s="62" t="e">
        <f t="shared" si="23"/>
        <v>#VALUE!</v>
      </c>
      <c r="K90" s="62">
        <f t="shared" si="24"/>
        <v>32</v>
      </c>
      <c r="L90" s="62" t="str">
        <f>IFERROR(VLOOKUP(MID(G90,J90,K90-J90),[6]skilldef!$C:$D,2,FALSE),"-") &amp; " / " &amp; IFERROR(VLOOKUP(MID(G90,H90,I90-H90),[6]skilldef!$A:$B,2,FALSE),"-")</f>
        <v>- / -</v>
      </c>
      <c r="M90" s="62" t="str">
        <f t="shared" si="25"/>
        <v>none</v>
      </c>
      <c r="N90" s="47" t="str">
        <f t="shared" si="26"/>
        <v>none</v>
      </c>
      <c r="O90" s="62" t="e">
        <f t="shared" si="27"/>
        <v>#VALUE!</v>
      </c>
      <c r="P90" s="62">
        <f t="shared" si="28"/>
        <v>4</v>
      </c>
      <c r="Q90" s="62" t="e">
        <f t="shared" si="29"/>
        <v>#VALUE!</v>
      </c>
      <c r="R90" s="62" t="e">
        <f t="shared" si="30"/>
        <v>#VALUE!</v>
      </c>
      <c r="S90" s="62" t="str">
        <f>IFERROR(VLOOKUP(MID(N90,Q90,R90-Q90),[6]skilldef!$C:$D,2,FALSE),"-") &amp; " / " &amp; IFERROR(VLOOKUP(MID(N90,O90,P90-O90),[6]skilldef!$A:$B,2,FALSE),"-")</f>
        <v>- / -</v>
      </c>
      <c r="T90" s="47" t="str">
        <f t="shared" si="31"/>
        <v>none</v>
      </c>
      <c r="U90" s="62" t="e">
        <f t="shared" si="32"/>
        <v>#VALUE!</v>
      </c>
      <c r="V90" s="62">
        <f t="shared" si="33"/>
        <v>4</v>
      </c>
      <c r="W90" s="62" t="e">
        <f t="shared" si="34"/>
        <v>#VALUE!</v>
      </c>
      <c r="X90" s="62" t="e">
        <f t="shared" si="35"/>
        <v>#VALUE!</v>
      </c>
      <c r="Y90" s="62" t="str">
        <f>IFERROR(VLOOKUP(MID(T90,W90,X90-W90),[6]skilldef!$C:$D,2,FALSE),"-") &amp; " / " &amp; IFERROR(VLOOKUP(MID(T90,U90,V90-U90),[6]skilldef!$A:$B,2,FALSE),"-")</f>
        <v>- / -</v>
      </c>
      <c r="Z90" s="49"/>
      <c r="AA90" s="51"/>
      <c r="AB90" s="49"/>
      <c r="AC90" s="48">
        <f t="shared" si="36"/>
        <v>4</v>
      </c>
      <c r="AD90" s="48">
        <f t="shared" si="37"/>
        <v>3</v>
      </c>
    </row>
    <row r="91" spans="1:30" ht="21" customHeight="1" x14ac:dyDescent="0.15">
      <c r="A91" s="7">
        <v>58002089</v>
      </c>
      <c r="B91" s="46" t="s">
        <v>256</v>
      </c>
      <c r="C91" s="49">
        <v>1</v>
      </c>
      <c r="D91" s="49" t="s">
        <v>128</v>
      </c>
      <c r="E91" s="50" t="s">
        <v>269</v>
      </c>
      <c r="F91" s="50" t="s">
        <v>262</v>
      </c>
      <c r="G91" s="62" t="str">
        <f t="shared" si="20"/>
        <v>[effect:enemy_message, val1:1.2, val2:1.2]</v>
      </c>
      <c r="H91" s="62">
        <f t="shared" si="21"/>
        <v>9</v>
      </c>
      <c r="I91" s="62">
        <f t="shared" si="22"/>
        <v>22</v>
      </c>
      <c r="J91" s="62" t="e">
        <f t="shared" si="23"/>
        <v>#VALUE!</v>
      </c>
      <c r="K91" s="62">
        <f t="shared" si="24"/>
        <v>32</v>
      </c>
      <c r="L91" s="62" t="str">
        <f>IFERROR(VLOOKUP(MID(G91,J91,K91-J91),[6]skilldef!$C:$D,2,FALSE),"-") &amp; " / " &amp; IFERROR(VLOOKUP(MID(G91,H91,I91-H91),[6]skilldef!$A:$B,2,FALSE),"-")</f>
        <v>- / -</v>
      </c>
      <c r="M91" s="62" t="str">
        <f t="shared" si="25"/>
        <v>none</v>
      </c>
      <c r="N91" s="47" t="str">
        <f t="shared" si="26"/>
        <v>none</v>
      </c>
      <c r="O91" s="62" t="e">
        <f t="shared" si="27"/>
        <v>#VALUE!</v>
      </c>
      <c r="P91" s="62">
        <f t="shared" si="28"/>
        <v>4</v>
      </c>
      <c r="Q91" s="62" t="e">
        <f t="shared" si="29"/>
        <v>#VALUE!</v>
      </c>
      <c r="R91" s="62" t="e">
        <f t="shared" si="30"/>
        <v>#VALUE!</v>
      </c>
      <c r="S91" s="62" t="str">
        <f>IFERROR(VLOOKUP(MID(N91,Q91,R91-Q91),[6]skilldef!$C:$D,2,FALSE),"-") &amp; " / " &amp; IFERROR(VLOOKUP(MID(N91,O91,P91-O91),[6]skilldef!$A:$B,2,FALSE),"-")</f>
        <v>- / -</v>
      </c>
      <c r="T91" s="47" t="str">
        <f t="shared" si="31"/>
        <v>none</v>
      </c>
      <c r="U91" s="62" t="e">
        <f t="shared" si="32"/>
        <v>#VALUE!</v>
      </c>
      <c r="V91" s="62">
        <f t="shared" si="33"/>
        <v>4</v>
      </c>
      <c r="W91" s="62" t="e">
        <f t="shared" si="34"/>
        <v>#VALUE!</v>
      </c>
      <c r="X91" s="62" t="e">
        <f t="shared" si="35"/>
        <v>#VALUE!</v>
      </c>
      <c r="Y91" s="62" t="str">
        <f>IFERROR(VLOOKUP(MID(T91,W91,X91-W91),[6]skilldef!$C:$D,2,FALSE),"-") &amp; " / " &amp; IFERROR(VLOOKUP(MID(T91,U91,V91-U91),[6]skilldef!$A:$B,2,FALSE),"-")</f>
        <v>- / -</v>
      </c>
      <c r="Z91" s="49"/>
      <c r="AA91" s="51"/>
      <c r="AB91" s="49"/>
      <c r="AC91" s="48">
        <f t="shared" si="36"/>
        <v>4</v>
      </c>
      <c r="AD91" s="48">
        <f t="shared" si="37"/>
        <v>3</v>
      </c>
    </row>
    <row r="92" spans="1:30" ht="21" customHeight="1" x14ac:dyDescent="0.15">
      <c r="A92" s="7">
        <v>58002090</v>
      </c>
      <c r="B92" s="46" t="s">
        <v>256</v>
      </c>
      <c r="C92" s="49">
        <v>1</v>
      </c>
      <c r="D92" s="49" t="s">
        <v>128</v>
      </c>
      <c r="E92" s="50" t="s">
        <v>269</v>
      </c>
      <c r="F92" s="50" t="s">
        <v>262</v>
      </c>
      <c r="G92" s="62" t="str">
        <f t="shared" si="20"/>
        <v>[effect:enemy_message, val1:1.2, val2:1.2]</v>
      </c>
      <c r="H92" s="62">
        <f t="shared" si="21"/>
        <v>9</v>
      </c>
      <c r="I92" s="62">
        <f t="shared" si="22"/>
        <v>22</v>
      </c>
      <c r="J92" s="62" t="e">
        <f t="shared" si="23"/>
        <v>#VALUE!</v>
      </c>
      <c r="K92" s="62">
        <f t="shared" si="24"/>
        <v>32</v>
      </c>
      <c r="L92" s="62" t="str">
        <f>IFERROR(VLOOKUP(MID(G92,J92,K92-J92),[6]skilldef!$C:$D,2,FALSE),"-") &amp; " / " &amp; IFERROR(VLOOKUP(MID(G92,H92,I92-H92),[6]skilldef!$A:$B,2,FALSE),"-")</f>
        <v>- / -</v>
      </c>
      <c r="M92" s="62" t="str">
        <f t="shared" si="25"/>
        <v>none</v>
      </c>
      <c r="N92" s="47" t="str">
        <f t="shared" si="26"/>
        <v>none</v>
      </c>
      <c r="O92" s="62" t="e">
        <f t="shared" si="27"/>
        <v>#VALUE!</v>
      </c>
      <c r="P92" s="62">
        <f t="shared" si="28"/>
        <v>4</v>
      </c>
      <c r="Q92" s="62" t="e">
        <f t="shared" si="29"/>
        <v>#VALUE!</v>
      </c>
      <c r="R92" s="62" t="e">
        <f t="shared" si="30"/>
        <v>#VALUE!</v>
      </c>
      <c r="S92" s="62" t="str">
        <f>IFERROR(VLOOKUP(MID(N92,Q92,R92-Q92),[6]skilldef!$C:$D,2,FALSE),"-") &amp; " / " &amp; IFERROR(VLOOKUP(MID(N92,O92,P92-O92),[6]skilldef!$A:$B,2,FALSE),"-")</f>
        <v>- / -</v>
      </c>
      <c r="T92" s="47" t="str">
        <f t="shared" si="31"/>
        <v>none</v>
      </c>
      <c r="U92" s="62" t="e">
        <f t="shared" si="32"/>
        <v>#VALUE!</v>
      </c>
      <c r="V92" s="62">
        <f t="shared" si="33"/>
        <v>4</v>
      </c>
      <c r="W92" s="62" t="e">
        <f t="shared" si="34"/>
        <v>#VALUE!</v>
      </c>
      <c r="X92" s="62" t="e">
        <f t="shared" si="35"/>
        <v>#VALUE!</v>
      </c>
      <c r="Y92" s="62" t="str">
        <f>IFERROR(VLOOKUP(MID(T92,W92,X92-W92),[6]skilldef!$C:$D,2,FALSE),"-") &amp; " / " &amp; IFERROR(VLOOKUP(MID(T92,U92,V92-U92),[6]skilldef!$A:$B,2,FALSE),"-")</f>
        <v>- / -</v>
      </c>
      <c r="Z92" s="49"/>
      <c r="AA92" s="51"/>
      <c r="AB92" s="49"/>
      <c r="AC92" s="48">
        <f t="shared" si="36"/>
        <v>4</v>
      </c>
      <c r="AD92" s="48">
        <f t="shared" si="37"/>
        <v>3</v>
      </c>
    </row>
    <row r="93" spans="1:30" ht="21" customHeight="1" x14ac:dyDescent="0.15">
      <c r="A93" s="7">
        <v>58002091</v>
      </c>
      <c r="B93" s="46" t="s">
        <v>256</v>
      </c>
      <c r="C93" s="49">
        <v>1</v>
      </c>
      <c r="D93" s="49" t="s">
        <v>128</v>
      </c>
      <c r="E93" s="50" t="s">
        <v>269</v>
      </c>
      <c r="F93" s="50" t="s">
        <v>262</v>
      </c>
      <c r="G93" s="62" t="str">
        <f t="shared" si="20"/>
        <v>[effect:enemy_message, val1:1.2, val2:1.2]</v>
      </c>
      <c r="H93" s="62">
        <f t="shared" si="21"/>
        <v>9</v>
      </c>
      <c r="I93" s="62">
        <f t="shared" si="22"/>
        <v>22</v>
      </c>
      <c r="J93" s="62" t="e">
        <f t="shared" si="23"/>
        <v>#VALUE!</v>
      </c>
      <c r="K93" s="62">
        <f t="shared" si="24"/>
        <v>32</v>
      </c>
      <c r="L93" s="62" t="str">
        <f>IFERROR(VLOOKUP(MID(G93,J93,K93-J93),[6]skilldef!$C:$D,2,FALSE),"-") &amp; " / " &amp; IFERROR(VLOOKUP(MID(G93,H93,I93-H93),[6]skilldef!$A:$B,2,FALSE),"-")</f>
        <v>- / -</v>
      </c>
      <c r="M93" s="62" t="str">
        <f t="shared" si="25"/>
        <v>none</v>
      </c>
      <c r="N93" s="47" t="str">
        <f t="shared" si="26"/>
        <v>none</v>
      </c>
      <c r="O93" s="62" t="e">
        <f t="shared" si="27"/>
        <v>#VALUE!</v>
      </c>
      <c r="P93" s="62">
        <f t="shared" si="28"/>
        <v>4</v>
      </c>
      <c r="Q93" s="62" t="e">
        <f t="shared" si="29"/>
        <v>#VALUE!</v>
      </c>
      <c r="R93" s="62" t="e">
        <f t="shared" si="30"/>
        <v>#VALUE!</v>
      </c>
      <c r="S93" s="62" t="str">
        <f>IFERROR(VLOOKUP(MID(N93,Q93,R93-Q93),[6]skilldef!$C:$D,2,FALSE),"-") &amp; " / " &amp; IFERROR(VLOOKUP(MID(N93,O93,P93-O93),[6]skilldef!$A:$B,2,FALSE),"-")</f>
        <v>- / -</v>
      </c>
      <c r="T93" s="47" t="str">
        <f t="shared" si="31"/>
        <v>none</v>
      </c>
      <c r="U93" s="62" t="e">
        <f t="shared" si="32"/>
        <v>#VALUE!</v>
      </c>
      <c r="V93" s="62">
        <f t="shared" si="33"/>
        <v>4</v>
      </c>
      <c r="W93" s="62" t="e">
        <f t="shared" si="34"/>
        <v>#VALUE!</v>
      </c>
      <c r="X93" s="62" t="e">
        <f t="shared" si="35"/>
        <v>#VALUE!</v>
      </c>
      <c r="Y93" s="62" t="str">
        <f>IFERROR(VLOOKUP(MID(T93,W93,X93-W93),[6]skilldef!$C:$D,2,FALSE),"-") &amp; " / " &amp; IFERROR(VLOOKUP(MID(T93,U93,V93-U93),[6]skilldef!$A:$B,2,FALSE),"-")</f>
        <v>- / -</v>
      </c>
      <c r="Z93" s="49"/>
      <c r="AA93" s="51"/>
      <c r="AB93" s="49"/>
      <c r="AC93" s="48">
        <f t="shared" si="36"/>
        <v>4</v>
      </c>
      <c r="AD93" s="48">
        <f t="shared" si="37"/>
        <v>3</v>
      </c>
    </row>
    <row r="94" spans="1:30" ht="21" customHeight="1" x14ac:dyDescent="0.15">
      <c r="A94" s="7">
        <v>58002092</v>
      </c>
      <c r="B94" s="46" t="s">
        <v>256</v>
      </c>
      <c r="C94" s="49">
        <v>1</v>
      </c>
      <c r="D94" s="49" t="s">
        <v>128</v>
      </c>
      <c r="E94" s="50" t="s">
        <v>269</v>
      </c>
      <c r="F94" s="50" t="s">
        <v>262</v>
      </c>
      <c r="G94" s="62" t="str">
        <f t="shared" si="20"/>
        <v>[effect:enemy_message, val1:1.2, val2:1.2]</v>
      </c>
      <c r="H94" s="62">
        <f t="shared" si="21"/>
        <v>9</v>
      </c>
      <c r="I94" s="62">
        <f t="shared" si="22"/>
        <v>22</v>
      </c>
      <c r="J94" s="62" t="e">
        <f t="shared" si="23"/>
        <v>#VALUE!</v>
      </c>
      <c r="K94" s="62">
        <f t="shared" si="24"/>
        <v>32</v>
      </c>
      <c r="L94" s="62" t="str">
        <f>IFERROR(VLOOKUP(MID(G94,J94,K94-J94),[6]skilldef!$C:$D,2,FALSE),"-") &amp; " / " &amp; IFERROR(VLOOKUP(MID(G94,H94,I94-H94),[6]skilldef!$A:$B,2,FALSE),"-")</f>
        <v>- / -</v>
      </c>
      <c r="M94" s="62" t="str">
        <f t="shared" si="25"/>
        <v>none</v>
      </c>
      <c r="N94" s="47" t="str">
        <f t="shared" si="26"/>
        <v>none</v>
      </c>
      <c r="O94" s="62" t="e">
        <f t="shared" si="27"/>
        <v>#VALUE!</v>
      </c>
      <c r="P94" s="62">
        <f t="shared" si="28"/>
        <v>4</v>
      </c>
      <c r="Q94" s="62" t="e">
        <f t="shared" si="29"/>
        <v>#VALUE!</v>
      </c>
      <c r="R94" s="62" t="e">
        <f t="shared" si="30"/>
        <v>#VALUE!</v>
      </c>
      <c r="S94" s="62" t="str">
        <f>IFERROR(VLOOKUP(MID(N94,Q94,R94-Q94),[6]skilldef!$C:$D,2,FALSE),"-") &amp; " / " &amp; IFERROR(VLOOKUP(MID(N94,O94,P94-O94),[6]skilldef!$A:$B,2,FALSE),"-")</f>
        <v>- / -</v>
      </c>
      <c r="T94" s="47" t="str">
        <f t="shared" si="31"/>
        <v>none</v>
      </c>
      <c r="U94" s="62" t="e">
        <f t="shared" si="32"/>
        <v>#VALUE!</v>
      </c>
      <c r="V94" s="62">
        <f t="shared" si="33"/>
        <v>4</v>
      </c>
      <c r="W94" s="62" t="e">
        <f t="shared" si="34"/>
        <v>#VALUE!</v>
      </c>
      <c r="X94" s="62" t="e">
        <f t="shared" si="35"/>
        <v>#VALUE!</v>
      </c>
      <c r="Y94" s="62" t="str">
        <f>IFERROR(VLOOKUP(MID(T94,W94,X94-W94),[6]skilldef!$C:$D,2,FALSE),"-") &amp; " / " &amp; IFERROR(VLOOKUP(MID(T94,U94,V94-U94),[6]skilldef!$A:$B,2,FALSE),"-")</f>
        <v>- / -</v>
      </c>
      <c r="Z94" s="49"/>
      <c r="AA94" s="51"/>
      <c r="AB94" s="49"/>
      <c r="AC94" s="48">
        <f t="shared" si="36"/>
        <v>4</v>
      </c>
      <c r="AD94" s="48">
        <f t="shared" si="37"/>
        <v>3</v>
      </c>
    </row>
    <row r="95" spans="1:30" ht="21" customHeight="1" x14ac:dyDescent="0.15">
      <c r="A95" s="7">
        <v>58002093</v>
      </c>
      <c r="B95" s="46" t="s">
        <v>256</v>
      </c>
      <c r="C95" s="49">
        <v>1</v>
      </c>
      <c r="D95" s="49" t="s">
        <v>128</v>
      </c>
      <c r="E95" s="50" t="s">
        <v>269</v>
      </c>
      <c r="F95" s="50" t="s">
        <v>262</v>
      </c>
      <c r="G95" s="62" t="str">
        <f t="shared" si="20"/>
        <v>[effect:enemy_message, val1:1.2, val2:1.2]</v>
      </c>
      <c r="H95" s="62">
        <f t="shared" si="21"/>
        <v>9</v>
      </c>
      <c r="I95" s="62">
        <f t="shared" si="22"/>
        <v>22</v>
      </c>
      <c r="J95" s="62" t="e">
        <f t="shared" si="23"/>
        <v>#VALUE!</v>
      </c>
      <c r="K95" s="62">
        <f t="shared" si="24"/>
        <v>32</v>
      </c>
      <c r="L95" s="62" t="str">
        <f>IFERROR(VLOOKUP(MID(G95,J95,K95-J95),[6]skilldef!$C:$D,2,FALSE),"-") &amp; " / " &amp; IFERROR(VLOOKUP(MID(G95,H95,I95-H95),[6]skilldef!$A:$B,2,FALSE),"-")</f>
        <v>- / -</v>
      </c>
      <c r="M95" s="62" t="str">
        <f t="shared" si="25"/>
        <v>none</v>
      </c>
      <c r="N95" s="47" t="str">
        <f t="shared" si="26"/>
        <v>none</v>
      </c>
      <c r="O95" s="62" t="e">
        <f t="shared" si="27"/>
        <v>#VALUE!</v>
      </c>
      <c r="P95" s="62">
        <f t="shared" si="28"/>
        <v>4</v>
      </c>
      <c r="Q95" s="62" t="e">
        <f t="shared" si="29"/>
        <v>#VALUE!</v>
      </c>
      <c r="R95" s="62" t="e">
        <f t="shared" si="30"/>
        <v>#VALUE!</v>
      </c>
      <c r="S95" s="62" t="str">
        <f>IFERROR(VLOOKUP(MID(N95,Q95,R95-Q95),[6]skilldef!$C:$D,2,FALSE),"-") &amp; " / " &amp; IFERROR(VLOOKUP(MID(N95,O95,P95-O95),[6]skilldef!$A:$B,2,FALSE),"-")</f>
        <v>- / -</v>
      </c>
      <c r="T95" s="47" t="str">
        <f t="shared" si="31"/>
        <v>none</v>
      </c>
      <c r="U95" s="62" t="e">
        <f t="shared" si="32"/>
        <v>#VALUE!</v>
      </c>
      <c r="V95" s="62">
        <f t="shared" si="33"/>
        <v>4</v>
      </c>
      <c r="W95" s="62" t="e">
        <f t="shared" si="34"/>
        <v>#VALUE!</v>
      </c>
      <c r="X95" s="62" t="e">
        <f t="shared" si="35"/>
        <v>#VALUE!</v>
      </c>
      <c r="Y95" s="62" t="str">
        <f>IFERROR(VLOOKUP(MID(T95,W95,X95-W95),[6]skilldef!$C:$D,2,FALSE),"-") &amp; " / " &amp; IFERROR(VLOOKUP(MID(T95,U95,V95-U95),[6]skilldef!$A:$B,2,FALSE),"-")</f>
        <v>- / -</v>
      </c>
      <c r="Z95" s="49"/>
      <c r="AA95" s="51"/>
      <c r="AB95" s="49"/>
      <c r="AC95" s="48">
        <f t="shared" si="36"/>
        <v>4</v>
      </c>
      <c r="AD95" s="48">
        <f t="shared" si="37"/>
        <v>3</v>
      </c>
    </row>
    <row r="96" spans="1:30" ht="21" customHeight="1" x14ac:dyDescent="0.15">
      <c r="A96" s="7">
        <v>58002094</v>
      </c>
      <c r="B96" s="46" t="s">
        <v>256</v>
      </c>
      <c r="C96" s="49">
        <v>1</v>
      </c>
      <c r="D96" s="49" t="s">
        <v>128</v>
      </c>
      <c r="E96" s="50" t="s">
        <v>269</v>
      </c>
      <c r="F96" s="50" t="s">
        <v>262</v>
      </c>
      <c r="G96" s="62" t="str">
        <f t="shared" si="20"/>
        <v>[effect:enemy_message, val1:1.2, val2:1.2]</v>
      </c>
      <c r="H96" s="62">
        <f t="shared" si="21"/>
        <v>9</v>
      </c>
      <c r="I96" s="62">
        <f t="shared" si="22"/>
        <v>22</v>
      </c>
      <c r="J96" s="62" t="e">
        <f t="shared" si="23"/>
        <v>#VALUE!</v>
      </c>
      <c r="K96" s="62">
        <f t="shared" si="24"/>
        <v>32</v>
      </c>
      <c r="L96" s="62" t="str">
        <f>IFERROR(VLOOKUP(MID(G96,J96,K96-J96),[6]skilldef!$C:$D,2,FALSE),"-") &amp; " / " &amp; IFERROR(VLOOKUP(MID(G96,H96,I96-H96),[6]skilldef!$A:$B,2,FALSE),"-")</f>
        <v>- / -</v>
      </c>
      <c r="M96" s="62" t="str">
        <f t="shared" si="25"/>
        <v>none</v>
      </c>
      <c r="N96" s="47" t="str">
        <f t="shared" si="26"/>
        <v>none</v>
      </c>
      <c r="O96" s="62" t="e">
        <f t="shared" si="27"/>
        <v>#VALUE!</v>
      </c>
      <c r="P96" s="62">
        <f t="shared" si="28"/>
        <v>4</v>
      </c>
      <c r="Q96" s="62" t="e">
        <f t="shared" si="29"/>
        <v>#VALUE!</v>
      </c>
      <c r="R96" s="62" t="e">
        <f t="shared" si="30"/>
        <v>#VALUE!</v>
      </c>
      <c r="S96" s="62" t="str">
        <f>IFERROR(VLOOKUP(MID(N96,Q96,R96-Q96),[6]skilldef!$C:$D,2,FALSE),"-") &amp; " / " &amp; IFERROR(VLOOKUP(MID(N96,O96,P96-O96),[6]skilldef!$A:$B,2,FALSE),"-")</f>
        <v>- / -</v>
      </c>
      <c r="T96" s="47" t="str">
        <f t="shared" si="31"/>
        <v>none</v>
      </c>
      <c r="U96" s="62" t="e">
        <f t="shared" si="32"/>
        <v>#VALUE!</v>
      </c>
      <c r="V96" s="62">
        <f t="shared" si="33"/>
        <v>4</v>
      </c>
      <c r="W96" s="62" t="e">
        <f t="shared" si="34"/>
        <v>#VALUE!</v>
      </c>
      <c r="X96" s="62" t="e">
        <f t="shared" si="35"/>
        <v>#VALUE!</v>
      </c>
      <c r="Y96" s="62" t="str">
        <f>IFERROR(VLOOKUP(MID(T96,W96,X96-W96),[6]skilldef!$C:$D,2,FALSE),"-") &amp; " / " &amp; IFERROR(VLOOKUP(MID(T96,U96,V96-U96),[6]skilldef!$A:$B,2,FALSE),"-")</f>
        <v>- / -</v>
      </c>
      <c r="Z96" s="49"/>
      <c r="AA96" s="51"/>
      <c r="AB96" s="49"/>
      <c r="AC96" s="48">
        <f t="shared" si="36"/>
        <v>4</v>
      </c>
      <c r="AD96" s="48">
        <f t="shared" si="37"/>
        <v>3</v>
      </c>
    </row>
    <row r="97" spans="1:30" ht="21" customHeight="1" x14ac:dyDescent="0.15">
      <c r="A97" s="7">
        <v>58002095</v>
      </c>
      <c r="B97" s="46" t="s">
        <v>436</v>
      </c>
      <c r="C97" s="49">
        <v>1</v>
      </c>
      <c r="D97" s="49" t="s">
        <v>128</v>
      </c>
      <c r="E97" s="50" t="s">
        <v>376</v>
      </c>
      <c r="F97" s="50" t="s">
        <v>266</v>
      </c>
      <c r="G97" s="62" t="str">
        <f t="shared" si="20"/>
        <v>[effect:enemy_message, val1:1.7, val2:1.2]</v>
      </c>
      <c r="H97" s="62">
        <f t="shared" si="21"/>
        <v>9</v>
      </c>
      <c r="I97" s="62">
        <f t="shared" si="22"/>
        <v>22</v>
      </c>
      <c r="J97" s="62" t="e">
        <f t="shared" si="23"/>
        <v>#VALUE!</v>
      </c>
      <c r="K97" s="62">
        <f t="shared" si="24"/>
        <v>32</v>
      </c>
      <c r="L97" s="62" t="str">
        <f>IFERROR(VLOOKUP(MID(G97,J97,K97-J97),[6]skilldef!$C:$D,2,FALSE),"-") &amp; " / " &amp; IFERROR(VLOOKUP(MID(G97,H97,I97-H97),[6]skilldef!$A:$B,2,FALSE),"-")</f>
        <v>- / -</v>
      </c>
      <c r="M97" s="62" t="str">
        <f t="shared" si="25"/>
        <v>[effect:fix_speed, target:myself, turn:1],[effect:tolerance, target:myself, turn:-1, count:-1, tolerance_effect:all, animation:enemy_tolerance]</v>
      </c>
      <c r="N97" s="47" t="str">
        <f t="shared" si="26"/>
        <v>[effect:fix_speed, target:myself, turn:1],[effect:tolerance, target:myself, turn:-1, count:-1, tolerance_effect:all, animation:enemy_tolerance]</v>
      </c>
      <c r="O97" s="62">
        <f t="shared" si="27"/>
        <v>9</v>
      </c>
      <c r="P97" s="62">
        <f t="shared" si="28"/>
        <v>18</v>
      </c>
      <c r="Q97" s="62">
        <f t="shared" si="29"/>
        <v>27</v>
      </c>
      <c r="R97" s="62">
        <f t="shared" si="30"/>
        <v>33</v>
      </c>
      <c r="S97" s="62" t="str">
        <f>IFERROR(VLOOKUP(MID(N97,Q97,R97-Q97),[6]skilldef!$C:$D,2,FALSE),"-") &amp; " / " &amp; IFERROR(VLOOKUP(MID(N97,O97,P97-O97),[6]skilldef!$A:$B,2,FALSE),"-")</f>
        <v>自分自身に / 行動値設定</v>
      </c>
      <c r="T97" s="47" t="str">
        <f t="shared" si="31"/>
        <v>[effect:tolerance, target:myself, turn:-1, count:-1, tolerance_effect:all, animation:enemy_tolerance]</v>
      </c>
      <c r="U97" s="62">
        <f t="shared" si="32"/>
        <v>9</v>
      </c>
      <c r="V97" s="62">
        <f t="shared" si="33"/>
        <v>18</v>
      </c>
      <c r="W97" s="62">
        <f t="shared" si="34"/>
        <v>27</v>
      </c>
      <c r="X97" s="62">
        <f t="shared" si="35"/>
        <v>33</v>
      </c>
      <c r="Y97" s="62" t="str">
        <f>IFERROR(VLOOKUP(MID(T97,W97,X97-W97),[6]skilldef!$C:$D,2,FALSE),"-") &amp; " / " &amp; IFERROR(VLOOKUP(MID(T97,U97,V97-U97),[6]skilldef!$A:$B,2,FALSE),"-")</f>
        <v>自分自身に / 状態異常耐性</v>
      </c>
      <c r="Z97" s="49"/>
      <c r="AA97" s="51"/>
      <c r="AB97" s="49"/>
      <c r="AC97" s="48">
        <f t="shared" si="36"/>
        <v>17</v>
      </c>
      <c r="AD97" s="48">
        <f t="shared" si="37"/>
        <v>6</v>
      </c>
    </row>
    <row r="98" spans="1:30" ht="21" customHeight="1" x14ac:dyDescent="0.15">
      <c r="A98" s="7">
        <v>58002096</v>
      </c>
      <c r="B98" s="46" t="s">
        <v>437</v>
      </c>
      <c r="C98" s="49">
        <v>1</v>
      </c>
      <c r="D98" s="49" t="s">
        <v>128</v>
      </c>
      <c r="E98" s="50" t="s">
        <v>377</v>
      </c>
      <c r="F98" s="50" t="s">
        <v>318</v>
      </c>
      <c r="G98" s="62" t="str">
        <f t="shared" si="20"/>
        <v>[effect:enemy_message, val1:1.2, val2:5.7]</v>
      </c>
      <c r="H98" s="62">
        <f t="shared" si="21"/>
        <v>9</v>
      </c>
      <c r="I98" s="62">
        <f t="shared" si="22"/>
        <v>22</v>
      </c>
      <c r="J98" s="62" t="e">
        <f t="shared" si="23"/>
        <v>#VALUE!</v>
      </c>
      <c r="K98" s="62">
        <f t="shared" si="24"/>
        <v>32</v>
      </c>
      <c r="L98" s="62" t="str">
        <f>IFERROR(VLOOKUP(MID(G98,J98,K98-J98),[6]skilldef!$C:$D,2,FALSE),"-") &amp; " / " &amp; IFERROR(VLOOKUP(MID(G98,H98,I98-H98),[6]skilldef!$A:$B,2,FALSE),"-")</f>
        <v>- / -</v>
      </c>
      <c r="M98" s="62" t="str">
        <f t="shared" si="25"/>
        <v>[effect:enhance_enemy, target:myself, turn:-1, status:attack, val:0.5, calc:mul, animation:enemy_enhance_attack],[effect:attack_break, target:unit_all, turn:4, val:0.3, calc:mul, animation:attack_break01]</v>
      </c>
      <c r="N98" s="47" t="str">
        <f t="shared" si="26"/>
        <v>[effect:enhance_enemy, target:myself, turn:-1, status:attack, val:0.5, calc:mul, animation:enemy_enhance_attack],[effect:attack_break, target:unit_all, turn:4, val:0.3, calc:mul, animation:attack_break01]</v>
      </c>
      <c r="O98" s="62">
        <f t="shared" si="27"/>
        <v>9</v>
      </c>
      <c r="P98" s="62">
        <f t="shared" si="28"/>
        <v>22</v>
      </c>
      <c r="Q98" s="62">
        <f t="shared" si="29"/>
        <v>31</v>
      </c>
      <c r="R98" s="62">
        <f t="shared" si="30"/>
        <v>37</v>
      </c>
      <c r="S98" s="62" t="str">
        <f>IFERROR(VLOOKUP(MID(N98,Q98,R98-Q98),[6]skilldef!$C:$D,2,FALSE),"-") &amp; " / " &amp; IFERROR(VLOOKUP(MID(N98,O98,P98-O98),[6]skilldef!$A:$B,2,FALSE),"-")</f>
        <v>自分自身に / ステータス強化</v>
      </c>
      <c r="T98" s="47" t="str">
        <f t="shared" si="31"/>
        <v>[effect:attack_break, target:unit_all, turn:4, val:0.3, calc:mul, animation:attack_break01]</v>
      </c>
      <c r="U98" s="62">
        <f t="shared" si="32"/>
        <v>9</v>
      </c>
      <c r="V98" s="62">
        <f t="shared" si="33"/>
        <v>21</v>
      </c>
      <c r="W98" s="62">
        <f t="shared" si="34"/>
        <v>30</v>
      </c>
      <c r="X98" s="62">
        <f t="shared" si="35"/>
        <v>38</v>
      </c>
      <c r="Y98" s="62" t="str">
        <f>IFERROR(VLOOKUP(MID(T98,W98,X98-W98),[6]skilldef!$C:$D,2,FALSE),"-") &amp; " / " &amp; IFERROR(VLOOKUP(MID(T98,U98,V98-U98),[6]skilldef!$A:$B,2,FALSE),"-")</f>
        <v>味方全体に / -</v>
      </c>
      <c r="Z98" s="49"/>
      <c r="AA98" s="51"/>
      <c r="AB98" s="49"/>
      <c r="AC98" s="48">
        <f t="shared" si="36"/>
        <v>9</v>
      </c>
      <c r="AD98" s="48">
        <f t="shared" si="37"/>
        <v>57</v>
      </c>
    </row>
    <row r="99" spans="1:30" ht="21" customHeight="1" x14ac:dyDescent="0.15">
      <c r="A99" s="7">
        <v>58002097</v>
      </c>
      <c r="B99" s="46" t="s">
        <v>438</v>
      </c>
      <c r="C99" s="49">
        <v>1</v>
      </c>
      <c r="D99" s="49" t="s">
        <v>128</v>
      </c>
      <c r="E99" s="50" t="s">
        <v>370</v>
      </c>
      <c r="F99" s="50" t="s">
        <v>402</v>
      </c>
      <c r="G99" s="62" t="str">
        <f t="shared" si="20"/>
        <v>[effect:enemy_message, val1:1.2, val2:2.1]</v>
      </c>
      <c r="H99" s="62">
        <f t="shared" si="21"/>
        <v>9</v>
      </c>
      <c r="I99" s="62">
        <f t="shared" si="22"/>
        <v>22</v>
      </c>
      <c r="J99" s="62" t="e">
        <f t="shared" si="23"/>
        <v>#VALUE!</v>
      </c>
      <c r="K99" s="62">
        <f t="shared" si="24"/>
        <v>32</v>
      </c>
      <c r="L99" s="62" t="str">
        <f>IFERROR(VLOOKUP(MID(G99,J99,K99-J99),[6]skilldef!$C:$D,2,FALSE),"-") &amp; " / " &amp; IFERROR(VLOOKUP(MID(G99,H99,I99-H99),[6]skilldef!$A:$B,2,FALSE),"-")</f>
        <v>- / -</v>
      </c>
      <c r="M99" s="62" t="str">
        <f t="shared" si="25"/>
        <v>[effect:change_range_block, block_change:1, base_type:0, square_count:5, position01:10, value_h01:1, value_w01:5, new_block:block_red, target:block_all, count:0, val:0, animation:change_block],[effect:rush, count:3, val:0.4]</v>
      </c>
      <c r="N99" s="47" t="str">
        <f t="shared" si="26"/>
        <v>[effect:change_range_block, block_change:1, base_type:0, square_count:5, position01:10, value_h01:1, value_w01:5, new_block:block_red, target:block_all, count:0, val:0, animation:change_block],[effect:rush, count:3, val:0.4]</v>
      </c>
      <c r="O99" s="62">
        <f t="shared" si="27"/>
        <v>9</v>
      </c>
      <c r="P99" s="62">
        <f t="shared" si="28"/>
        <v>27</v>
      </c>
      <c r="Q99" s="62">
        <f t="shared" si="29"/>
        <v>143</v>
      </c>
      <c r="R99" s="62">
        <f t="shared" si="30"/>
        <v>43</v>
      </c>
      <c r="S99" s="62" t="str">
        <f>IFERROR(VLOOKUP(MID(N99,Q99,R99-Q99),[6]skilldef!$C:$D,2,FALSE),"-") &amp; " / " &amp; IFERROR(VLOOKUP(MID(N99,O99,P99-O99),[6]skilldef!$A:$B,2,FALSE),"-")</f>
        <v>- / -</v>
      </c>
      <c r="T99" s="47" t="str">
        <f t="shared" si="31"/>
        <v>[effect:rush, count:3, val:0.4]</v>
      </c>
      <c r="U99" s="62">
        <f t="shared" si="32"/>
        <v>9</v>
      </c>
      <c r="V99" s="62">
        <f t="shared" si="33"/>
        <v>13</v>
      </c>
      <c r="W99" s="62" t="e">
        <f t="shared" si="34"/>
        <v>#VALUE!</v>
      </c>
      <c r="X99" s="62">
        <f t="shared" si="35"/>
        <v>22</v>
      </c>
      <c r="Y99" s="62" t="str">
        <f>IFERROR(VLOOKUP(MID(T99,W99,X99-W99),[6]skilldef!$C:$D,2,FALSE),"-") &amp; " / " &amp; IFERROR(VLOOKUP(MID(T99,U99,V99-U99),[6]skilldef!$A:$B,2,FALSE),"-")</f>
        <v>- / 連続攻撃</v>
      </c>
      <c r="Z99" s="49"/>
      <c r="AA99" s="51"/>
      <c r="AB99" s="49"/>
      <c r="AC99" s="48">
        <f t="shared" si="36"/>
        <v>4</v>
      </c>
      <c r="AD99" s="48">
        <f t="shared" si="37"/>
        <v>21</v>
      </c>
    </row>
    <row r="100" spans="1:30" ht="21" customHeight="1" x14ac:dyDescent="0.15">
      <c r="A100" s="7">
        <v>58002098</v>
      </c>
      <c r="B100" s="46" t="s">
        <v>439</v>
      </c>
      <c r="C100" s="49">
        <v>1</v>
      </c>
      <c r="D100" s="49" t="s">
        <v>128</v>
      </c>
      <c r="E100" s="50" t="s">
        <v>371</v>
      </c>
      <c r="F100" s="50" t="s">
        <v>403</v>
      </c>
      <c r="G100" s="62" t="str">
        <f t="shared" si="20"/>
        <v>[effect:enemy_message, val1:1.2, val2:1.6]</v>
      </c>
      <c r="H100" s="62">
        <f t="shared" si="21"/>
        <v>9</v>
      </c>
      <c r="I100" s="62">
        <f t="shared" si="22"/>
        <v>22</v>
      </c>
      <c r="J100" s="62" t="e">
        <f t="shared" si="23"/>
        <v>#VALUE!</v>
      </c>
      <c r="K100" s="62">
        <f t="shared" si="24"/>
        <v>32</v>
      </c>
      <c r="L100" s="62" t="str">
        <f>IFERROR(VLOOKUP(MID(G100,J100,K100-J100),[6]skilldef!$C:$D,2,FALSE),"-") &amp; " / " &amp; IFERROR(VLOOKUP(MID(G100,H100,I100-H100),[6]skilldef!$A:$B,2,FALSE),"-")</f>
        <v>- / -</v>
      </c>
      <c r="M100" s="62" t="str">
        <f t="shared" si="25"/>
        <v>[effect:panel_freeze, target:normal, color:block_red, count:-1],[effect:rush, count:1, val:1]</v>
      </c>
      <c r="N100" s="47" t="str">
        <f t="shared" si="26"/>
        <v>[effect:panel_freeze, target:normal, color:block_red, count:-1],[effect:rush, count:1, val:1]</v>
      </c>
      <c r="O100" s="62">
        <f t="shared" si="27"/>
        <v>9</v>
      </c>
      <c r="P100" s="62">
        <f t="shared" si="28"/>
        <v>21</v>
      </c>
      <c r="Q100" s="62">
        <f t="shared" si="29"/>
        <v>30</v>
      </c>
      <c r="R100" s="62">
        <f t="shared" si="30"/>
        <v>36</v>
      </c>
      <c r="S100" s="62" t="str">
        <f>IFERROR(VLOOKUP(MID(N100,Q100,R100-Q100),[6]skilldef!$C:$D,2,FALSE),"-") &amp; " / " &amp; IFERROR(VLOOKUP(MID(N100,O100,P100-O100),[6]skilldef!$A:$B,2,FALSE),"-")</f>
        <v>- / -</v>
      </c>
      <c r="T100" s="47" t="str">
        <f t="shared" si="31"/>
        <v>[effect:rush, count:1, val:1]</v>
      </c>
      <c r="U100" s="62">
        <f t="shared" si="32"/>
        <v>9</v>
      </c>
      <c r="V100" s="62">
        <f t="shared" si="33"/>
        <v>13</v>
      </c>
      <c r="W100" s="62" t="e">
        <f t="shared" si="34"/>
        <v>#VALUE!</v>
      </c>
      <c r="X100" s="62">
        <f t="shared" si="35"/>
        <v>22</v>
      </c>
      <c r="Y100" s="62" t="str">
        <f>IFERROR(VLOOKUP(MID(T100,W100,X100-W100),[6]skilldef!$C:$D,2,FALSE),"-") &amp; " / " &amp; IFERROR(VLOOKUP(MID(T100,U100,V100-U100),[6]skilldef!$A:$B,2,FALSE),"-")</f>
        <v>- / 連続攻撃</v>
      </c>
      <c r="Z100" s="49"/>
      <c r="AA100" s="51"/>
      <c r="AB100" s="49"/>
      <c r="AC100" s="48">
        <f t="shared" si="36"/>
        <v>4</v>
      </c>
      <c r="AD100" s="48">
        <f t="shared" si="37"/>
        <v>16</v>
      </c>
    </row>
    <row r="101" spans="1:30" ht="21" customHeight="1" x14ac:dyDescent="0.15">
      <c r="A101" s="7">
        <v>58002099</v>
      </c>
      <c r="B101" s="46" t="s">
        <v>440</v>
      </c>
      <c r="C101" s="49">
        <v>1</v>
      </c>
      <c r="D101" s="49" t="s">
        <v>128</v>
      </c>
      <c r="E101" s="50" t="s">
        <v>378</v>
      </c>
      <c r="F101" s="50" t="s">
        <v>319</v>
      </c>
      <c r="G101" s="62" t="str">
        <f t="shared" ref="G101:G111" si="38">IFERROR(LEFT(B101,FIND("],",B101)),B101)</f>
        <v>[effect:enemy_message, val1:1.2, val2:1.5]</v>
      </c>
      <c r="H101" s="62">
        <f t="shared" si="21"/>
        <v>9</v>
      </c>
      <c r="I101" s="62">
        <f t="shared" ref="I101:I111" si="39">IFERROR(FIND(",",G101),LEN(G101))</f>
        <v>22</v>
      </c>
      <c r="J101" s="62" t="e">
        <f t="shared" ref="J101:J111" si="40">FIND("target:",G101)+7</f>
        <v>#VALUE!</v>
      </c>
      <c r="K101" s="62">
        <f t="shared" ref="K101:K111" si="41">FIND(",",G101,I101+1)</f>
        <v>32</v>
      </c>
      <c r="L101" s="62" t="str">
        <f>IFERROR(VLOOKUP(MID(G101,J101,K101-J101),[6]skilldef!$C:$D,2,FALSE),"-") &amp; " / " &amp; IFERROR(VLOOKUP(MID(G101,H101,I101-H101),[6]skilldef!$A:$B,2,FALSE),"-")</f>
        <v>- / -</v>
      </c>
      <c r="M101" s="62" t="str">
        <f t="shared" ref="M101:M111" si="42">IFERROR(RIGHT(B101,LEN(B101)-FIND("],",B101)-1),"none")</f>
        <v xml:space="preserve">[effect:force_change_block, new_block:block_red, target:block_all, count:0, val:0, animation:change_block],[effect:change_range_block, block_change:1, base_type:0, square_count:5, position01:10, position02:2, value_h01:1, value_h02:5, value_w01:5, value_w02:1, new_block:jammer, target:block_red, count:0, val:0, animation:change_block]    </v>
      </c>
      <c r="N101" s="47" t="str">
        <f t="shared" ref="N101" si="43">IFERROR(LEFT(M101,FIND("],",M101)+S111),M101)</f>
        <v xml:space="preserve">[effect:force_change_block, new_block:block_red, target:block_all, count:0, val:0, animation:change_block],[effect:change_range_block, block_change:1, base_type:0, square_count:5, position01:10, position02:2, value_h01:1, value_h02:5, value_w01:5, value_w02:1, new_block:jammer, target:block_red, count:0, val:0, animation:change_block]    </v>
      </c>
      <c r="O101" s="62">
        <f t="shared" si="27"/>
        <v>9</v>
      </c>
      <c r="P101" s="62">
        <f t="shared" ref="P101:P111" si="44">IFERROR(FIND(",",N101),LEN(N101))</f>
        <v>27</v>
      </c>
      <c r="Q101" s="62">
        <f t="shared" ref="Q101:Q111" si="45">FIND("target:",N101)+7</f>
        <v>57</v>
      </c>
      <c r="R101" s="62">
        <f t="shared" ref="R101:R111" si="46">FIND(",",N101,P101+1)</f>
        <v>48</v>
      </c>
      <c r="S101" s="62" t="str">
        <f>IFERROR(VLOOKUP(MID(N101,Q101,R101-Q101),[6]skilldef!$C:$D,2,FALSE),"-") &amp; " / " &amp; IFERROR(VLOOKUP(MID(N101,O101,P101-O101),[6]skilldef!$A:$B,2,FALSE),"-")</f>
        <v>- / -</v>
      </c>
      <c r="T101" s="47" t="str">
        <f t="shared" ref="T101:T111" si="47">IFERROR(RIGHT(M101,LEN(M101)-FIND("],",M101)-1),"none")</f>
        <v xml:space="preserve">[effect:change_range_block, block_change:1, base_type:0, square_count:5, position01:10, position02:2, value_h01:1, value_h02:5, value_w01:5, value_w02:1, new_block:jammer, target:block_red, count:0, val:0, animation:change_block]    </v>
      </c>
      <c r="U101" s="62">
        <f t="shared" si="32"/>
        <v>9</v>
      </c>
      <c r="V101" s="62">
        <f t="shared" ref="V101:V111" si="48">IFERROR(FIND(",",T101),LEN(T101))</f>
        <v>27</v>
      </c>
      <c r="W101" s="62">
        <f t="shared" ref="W101:W111" si="49">FIND("target:",T101)+7</f>
        <v>180</v>
      </c>
      <c r="X101" s="62">
        <f t="shared" ref="X101:X111" si="50">FIND(",",T101,V101+1)</f>
        <v>43</v>
      </c>
      <c r="Y101" s="62" t="str">
        <f>IFERROR(VLOOKUP(MID(T101,W101,X101-W101),[6]skilldef!$C:$D,2,FALSE),"-") &amp; " / " &amp; IFERROR(VLOOKUP(MID(T101,U101,V101-U101),[6]skilldef!$A:$B,2,FALSE),"-")</f>
        <v>- / -</v>
      </c>
      <c r="Z101" s="49"/>
      <c r="AA101" s="51"/>
      <c r="AB101" s="49"/>
      <c r="AC101" s="48">
        <f t="shared" si="36"/>
        <v>10</v>
      </c>
      <c r="AD101" s="48">
        <f t="shared" si="37"/>
        <v>15</v>
      </c>
    </row>
    <row r="102" spans="1:30" ht="21" customHeight="1" x14ac:dyDescent="0.15">
      <c r="A102" s="7">
        <v>58002100</v>
      </c>
      <c r="B102" s="46" t="s">
        <v>256</v>
      </c>
      <c r="C102" s="49">
        <v>1</v>
      </c>
      <c r="D102" s="49" t="s">
        <v>128</v>
      </c>
      <c r="E102" s="50" t="s">
        <v>380</v>
      </c>
      <c r="F102" s="50" t="s">
        <v>303</v>
      </c>
      <c r="G102" s="62" t="str">
        <f t="shared" si="38"/>
        <v>[effect:enemy_message, val1:1.2, val2:1.2]</v>
      </c>
      <c r="H102" s="62">
        <f t="shared" si="21"/>
        <v>9</v>
      </c>
      <c r="I102" s="62">
        <f t="shared" si="39"/>
        <v>22</v>
      </c>
      <c r="J102" s="62" t="e">
        <f t="shared" si="40"/>
        <v>#VALUE!</v>
      </c>
      <c r="K102" s="62">
        <f t="shared" si="41"/>
        <v>32</v>
      </c>
      <c r="L102" s="62" t="str">
        <f>IFERROR(VLOOKUP(MID(G102,J102,K102-J102),[6]skilldef!$C:$D,2,FALSE),"-") &amp; " / " &amp; IFERROR(VLOOKUP(MID(G102,H102,I102-H102),[6]skilldef!$A:$B,2,FALSE),"-")</f>
        <v>- / -</v>
      </c>
      <c r="M102" s="62" t="str">
        <f t="shared" si="42"/>
        <v>none</v>
      </c>
      <c r="N102" s="47" t="str">
        <f>IFERROR(LEFT(M102,FIND("],",M102)+#REF!),M102)</f>
        <v>none</v>
      </c>
      <c r="O102" s="62" t="e">
        <f t="shared" si="27"/>
        <v>#VALUE!</v>
      </c>
      <c r="P102" s="62">
        <f t="shared" si="44"/>
        <v>4</v>
      </c>
      <c r="Q102" s="62" t="e">
        <f t="shared" si="45"/>
        <v>#VALUE!</v>
      </c>
      <c r="R102" s="62" t="e">
        <f t="shared" si="46"/>
        <v>#VALUE!</v>
      </c>
      <c r="S102" s="62" t="str">
        <f>IFERROR(VLOOKUP(MID(N102,Q102,R102-Q102),[6]skilldef!$C:$D,2,FALSE),"-") &amp; " / " &amp; IFERROR(VLOOKUP(MID(N102,O102,P102-O102),[6]skilldef!$A:$B,2,FALSE),"-")</f>
        <v>- / -</v>
      </c>
      <c r="T102" s="47" t="str">
        <f t="shared" si="47"/>
        <v>none</v>
      </c>
      <c r="U102" s="62" t="e">
        <f t="shared" si="32"/>
        <v>#VALUE!</v>
      </c>
      <c r="V102" s="62">
        <f t="shared" si="48"/>
        <v>4</v>
      </c>
      <c r="W102" s="62" t="e">
        <f t="shared" si="49"/>
        <v>#VALUE!</v>
      </c>
      <c r="X102" s="62" t="e">
        <f t="shared" si="50"/>
        <v>#VALUE!</v>
      </c>
      <c r="Y102" s="62" t="str">
        <f>IFERROR(VLOOKUP(MID(T102,W102,X102-W102),[6]skilldef!$C:$D,2,FALSE),"-") &amp; " / " &amp; IFERROR(VLOOKUP(MID(T102,U102,V102-U102),[6]skilldef!$A:$B,2,FALSE),"-")</f>
        <v>- / -</v>
      </c>
      <c r="Z102" s="49"/>
      <c r="AA102" s="51"/>
      <c r="AB102" s="49"/>
      <c r="AC102" s="48">
        <f t="shared" si="36"/>
        <v>10</v>
      </c>
      <c r="AD102" s="48">
        <f t="shared" si="37"/>
        <v>10</v>
      </c>
    </row>
    <row r="103" spans="1:30" ht="21" customHeight="1" x14ac:dyDescent="0.15">
      <c r="A103" s="7">
        <v>58002101</v>
      </c>
      <c r="B103" s="46" t="s">
        <v>275</v>
      </c>
      <c r="C103" s="49">
        <v>1</v>
      </c>
      <c r="D103" s="49" t="s">
        <v>128</v>
      </c>
      <c r="E103" s="50" t="s">
        <v>381</v>
      </c>
      <c r="F103" s="50" t="s">
        <v>302</v>
      </c>
      <c r="G103" s="62" t="str">
        <f t="shared" si="38"/>
        <v>[effect:enemy_message, val1:1.2, val2:1.2]</v>
      </c>
      <c r="H103" s="62">
        <f t="shared" si="21"/>
        <v>9</v>
      </c>
      <c r="I103" s="62">
        <f t="shared" si="39"/>
        <v>22</v>
      </c>
      <c r="J103" s="62" t="e">
        <f t="shared" si="40"/>
        <v>#VALUE!</v>
      </c>
      <c r="K103" s="62">
        <f t="shared" si="41"/>
        <v>32</v>
      </c>
      <c r="L103" s="62" t="str">
        <f>IFERROR(VLOOKUP(MID(G103,J103,K103-J103),[6]skilldef!$C:$D,2,FALSE),"-") &amp; " / " &amp; IFERROR(VLOOKUP(MID(G103,H103,I103-H103),[6]skilldef!$A:$B,2,FALSE),"-")</f>
        <v>- / -</v>
      </c>
      <c r="M103" s="62" t="str">
        <f t="shared" si="42"/>
        <v>[effect:spread, val:2.0],[effect:spread, val:2.0],[effect:spread, val:2.0],[effect:spread, val:2.0],[effect:spread, val:2.0]</v>
      </c>
      <c r="N103" s="47" t="str">
        <f>IFERROR(LEFT(M103,FIND("],",M103)+#REF!),M103)</f>
        <v>[effect:spread, val:2.0],[effect:spread, val:2.0],[effect:spread, val:2.0],[effect:spread, val:2.0],[effect:spread, val:2.0]</v>
      </c>
      <c r="O103" s="62">
        <f t="shared" si="27"/>
        <v>9</v>
      </c>
      <c r="P103" s="62">
        <f t="shared" si="44"/>
        <v>15</v>
      </c>
      <c r="Q103" s="62" t="e">
        <f t="shared" si="45"/>
        <v>#VALUE!</v>
      </c>
      <c r="R103" s="62">
        <f t="shared" si="46"/>
        <v>25</v>
      </c>
      <c r="S103" s="62" t="str">
        <f>IFERROR(VLOOKUP(MID(N103,Q103,R103-Q103),[6]skilldef!$C:$D,2,FALSE),"-") &amp; " / " &amp; IFERROR(VLOOKUP(MID(N103,O103,P103-O103),[6]skilldef!$A:$B,2,FALSE),"-")</f>
        <v>- / 全体攻撃</v>
      </c>
      <c r="T103" s="47" t="str">
        <f t="shared" si="47"/>
        <v>[effect:spread, val:2.0],[effect:spread, val:2.0],[effect:spread, val:2.0],[effect:spread, val:2.0]</v>
      </c>
      <c r="U103" s="62">
        <f t="shared" si="32"/>
        <v>9</v>
      </c>
      <c r="V103" s="62">
        <f t="shared" si="48"/>
        <v>15</v>
      </c>
      <c r="W103" s="62" t="e">
        <f t="shared" si="49"/>
        <v>#VALUE!</v>
      </c>
      <c r="X103" s="62">
        <f t="shared" si="50"/>
        <v>25</v>
      </c>
      <c r="Y103" s="62" t="str">
        <f>IFERROR(VLOOKUP(MID(T103,W103,X103-W103),[6]skilldef!$C:$D,2,FALSE),"-") &amp; " / " &amp; IFERROR(VLOOKUP(MID(T103,U103,V103-U103),[6]skilldef!$A:$B,2,FALSE),"-")</f>
        <v>- / 全体攻撃</v>
      </c>
      <c r="Z103" s="49"/>
      <c r="AA103" s="51"/>
      <c r="AB103" s="49"/>
      <c r="AC103" s="48">
        <f t="shared" si="36"/>
        <v>11</v>
      </c>
      <c r="AD103" s="48">
        <f t="shared" si="37"/>
        <v>8</v>
      </c>
    </row>
    <row r="104" spans="1:30" ht="21" customHeight="1" x14ac:dyDescent="0.15">
      <c r="A104" s="7">
        <v>58002102</v>
      </c>
      <c r="B104" s="46" t="s">
        <v>441</v>
      </c>
      <c r="C104" s="49">
        <v>1</v>
      </c>
      <c r="D104" s="49" t="s">
        <v>128</v>
      </c>
      <c r="E104" s="50" t="s">
        <v>382</v>
      </c>
      <c r="F104" s="50" t="s">
        <v>383</v>
      </c>
      <c r="G104" s="62" t="str">
        <f t="shared" si="38"/>
        <v>[effect:enemy_message, val1:2.0, val2:1.7]</v>
      </c>
      <c r="H104" s="62">
        <f t="shared" si="21"/>
        <v>9</v>
      </c>
      <c r="I104" s="62">
        <f t="shared" si="39"/>
        <v>22</v>
      </c>
      <c r="J104" s="62" t="e">
        <f t="shared" si="40"/>
        <v>#VALUE!</v>
      </c>
      <c r="K104" s="62">
        <f t="shared" si="41"/>
        <v>32</v>
      </c>
      <c r="L104" s="62" t="str">
        <f>IFERROR(VLOOKUP(MID(G104,J104,K104-J104),[6]skilldef!$C:$D,2,FALSE),"-") &amp; " / " &amp; IFERROR(VLOOKUP(MID(G104,H104,I104-H104),[6]skilldef!$A:$B,2,FALSE),"-")</f>
        <v>- / -</v>
      </c>
      <c r="M104" s="62" t="str">
        <f t="shared" si="42"/>
        <v>none</v>
      </c>
      <c r="N104" s="47" t="str">
        <f>IFERROR(LEFT(M104,FIND("],",M104)+#REF!),M104)</f>
        <v>none</v>
      </c>
      <c r="O104" s="62" t="e">
        <f t="shared" si="27"/>
        <v>#VALUE!</v>
      </c>
      <c r="P104" s="62">
        <f t="shared" si="44"/>
        <v>4</v>
      </c>
      <c r="Q104" s="62" t="e">
        <f t="shared" si="45"/>
        <v>#VALUE!</v>
      </c>
      <c r="R104" s="62" t="e">
        <f t="shared" si="46"/>
        <v>#VALUE!</v>
      </c>
      <c r="S104" s="62" t="str">
        <f>IFERROR(VLOOKUP(MID(N104,Q104,R104-Q104),[6]skilldef!$C:$D,2,FALSE),"-") &amp; " / " &amp; IFERROR(VLOOKUP(MID(N104,O104,P104-O104),[6]skilldef!$A:$B,2,FALSE),"-")</f>
        <v>- / -</v>
      </c>
      <c r="T104" s="47" t="str">
        <f t="shared" si="47"/>
        <v>none</v>
      </c>
      <c r="U104" s="62" t="e">
        <f t="shared" si="32"/>
        <v>#VALUE!</v>
      </c>
      <c r="V104" s="62">
        <f t="shared" si="48"/>
        <v>4</v>
      </c>
      <c r="W104" s="62" t="e">
        <f t="shared" si="49"/>
        <v>#VALUE!</v>
      </c>
      <c r="X104" s="62" t="e">
        <f t="shared" si="50"/>
        <v>#VALUE!</v>
      </c>
      <c r="Y104" s="62" t="str">
        <f>IFERROR(VLOOKUP(MID(T104,W104,X104-W104),[6]skilldef!$C:$D,2,FALSE),"-") &amp; " / " &amp; IFERROR(VLOOKUP(MID(T104,U104,V104-U104),[6]skilldef!$A:$B,2,FALSE),"-")</f>
        <v>- / -</v>
      </c>
      <c r="Z104" s="49"/>
      <c r="AA104" s="51"/>
      <c r="AB104" s="49"/>
      <c r="AC104" s="48">
        <f t="shared" si="36"/>
        <v>15</v>
      </c>
      <c r="AD104" s="48">
        <f t="shared" si="37"/>
        <v>16</v>
      </c>
    </row>
    <row r="105" spans="1:30" ht="21" customHeight="1" x14ac:dyDescent="0.15">
      <c r="A105" s="7">
        <v>58002103</v>
      </c>
      <c r="B105" s="46" t="s">
        <v>441</v>
      </c>
      <c r="C105" s="49">
        <v>1</v>
      </c>
      <c r="D105" s="49" t="s">
        <v>128</v>
      </c>
      <c r="E105" s="50" t="s">
        <v>382</v>
      </c>
      <c r="F105" s="50" t="s">
        <v>383</v>
      </c>
      <c r="G105" s="62" t="str">
        <f t="shared" si="38"/>
        <v>[effect:enemy_message, val1:2.0, val2:1.7]</v>
      </c>
      <c r="H105" s="62">
        <f t="shared" si="21"/>
        <v>9</v>
      </c>
      <c r="I105" s="62">
        <f t="shared" si="39"/>
        <v>22</v>
      </c>
      <c r="J105" s="62" t="e">
        <f t="shared" si="40"/>
        <v>#VALUE!</v>
      </c>
      <c r="K105" s="62">
        <f t="shared" si="41"/>
        <v>32</v>
      </c>
      <c r="L105" s="62" t="str">
        <f>IFERROR(VLOOKUP(MID(G105,J105,K105-J105),[6]skilldef!$C:$D,2,FALSE),"-") &amp; " / " &amp; IFERROR(VLOOKUP(MID(G105,H105,I105-H105),[6]skilldef!$A:$B,2,FALSE),"-")</f>
        <v>- / -</v>
      </c>
      <c r="M105" s="62" t="str">
        <f t="shared" si="42"/>
        <v>none</v>
      </c>
      <c r="N105" s="47" t="str">
        <f>IFERROR(LEFT(M105,FIND("],",M105)+#REF!),M105)</f>
        <v>none</v>
      </c>
      <c r="O105" s="62" t="e">
        <f t="shared" si="27"/>
        <v>#VALUE!</v>
      </c>
      <c r="P105" s="62">
        <f t="shared" si="44"/>
        <v>4</v>
      </c>
      <c r="Q105" s="62" t="e">
        <f t="shared" si="45"/>
        <v>#VALUE!</v>
      </c>
      <c r="R105" s="62" t="e">
        <f t="shared" si="46"/>
        <v>#VALUE!</v>
      </c>
      <c r="S105" s="62" t="str">
        <f>IFERROR(VLOOKUP(MID(N105,Q105,R105-Q105),[6]skilldef!$C:$D,2,FALSE),"-") &amp; " / " &amp; IFERROR(VLOOKUP(MID(N105,O105,P105-O105),[6]skilldef!$A:$B,2,FALSE),"-")</f>
        <v>- / -</v>
      </c>
      <c r="T105" s="47" t="str">
        <f t="shared" si="47"/>
        <v>none</v>
      </c>
      <c r="U105" s="62" t="e">
        <f t="shared" si="32"/>
        <v>#VALUE!</v>
      </c>
      <c r="V105" s="62">
        <f t="shared" si="48"/>
        <v>4</v>
      </c>
      <c r="W105" s="62" t="e">
        <f t="shared" si="49"/>
        <v>#VALUE!</v>
      </c>
      <c r="X105" s="62" t="e">
        <f t="shared" si="50"/>
        <v>#VALUE!</v>
      </c>
      <c r="Y105" s="62" t="str">
        <f>IFERROR(VLOOKUP(MID(T105,W105,X105-W105),[6]skilldef!$C:$D,2,FALSE),"-") &amp; " / " &amp; IFERROR(VLOOKUP(MID(T105,U105,V105-U105),[6]skilldef!$A:$B,2,FALSE),"-")</f>
        <v>- / -</v>
      </c>
      <c r="Z105" s="49"/>
      <c r="AA105" s="51"/>
      <c r="AB105" s="49"/>
      <c r="AC105" s="48">
        <f t="shared" si="36"/>
        <v>15</v>
      </c>
      <c r="AD105" s="48">
        <f t="shared" si="37"/>
        <v>16</v>
      </c>
    </row>
    <row r="106" spans="1:30" ht="21" customHeight="1" x14ac:dyDescent="0.15">
      <c r="A106" s="7">
        <v>58002104</v>
      </c>
      <c r="B106" s="46" t="s">
        <v>442</v>
      </c>
      <c r="C106" s="49">
        <v>1</v>
      </c>
      <c r="D106" s="49" t="s">
        <v>128</v>
      </c>
      <c r="E106" s="50" t="s">
        <v>384</v>
      </c>
      <c r="F106" s="50" t="s">
        <v>385</v>
      </c>
      <c r="G106" s="62" t="str">
        <f t="shared" si="38"/>
        <v>[effect:enemy_message, val1:1.7, val2:1.7]</v>
      </c>
      <c r="H106" s="62">
        <f t="shared" si="21"/>
        <v>9</v>
      </c>
      <c r="I106" s="62">
        <f t="shared" si="39"/>
        <v>22</v>
      </c>
      <c r="J106" s="62" t="e">
        <f t="shared" si="40"/>
        <v>#VALUE!</v>
      </c>
      <c r="K106" s="62">
        <f t="shared" si="41"/>
        <v>32</v>
      </c>
      <c r="L106" s="62" t="str">
        <f>IFERROR(VLOOKUP(MID(G106,J106,K106-J106),[6]skilldef!$C:$D,2,FALSE),"-") &amp; " / " &amp; IFERROR(VLOOKUP(MID(G106,H106,I106-H106),[6]skilldef!$A:$B,2,FALSE),"-")</f>
        <v>- / -</v>
      </c>
      <c r="M106" s="62" t="str">
        <f t="shared" si="42"/>
        <v>none</v>
      </c>
      <c r="N106" s="47" t="str">
        <f>IFERROR(LEFT(M106,FIND("],",M106)+#REF!),M106)</f>
        <v>none</v>
      </c>
      <c r="O106" s="62" t="e">
        <f t="shared" si="27"/>
        <v>#VALUE!</v>
      </c>
      <c r="P106" s="62">
        <f t="shared" si="44"/>
        <v>4</v>
      </c>
      <c r="Q106" s="62" t="e">
        <f t="shared" si="45"/>
        <v>#VALUE!</v>
      </c>
      <c r="R106" s="62" t="e">
        <f t="shared" si="46"/>
        <v>#VALUE!</v>
      </c>
      <c r="S106" s="62" t="str">
        <f>IFERROR(VLOOKUP(MID(N106,Q106,R106-Q106),[6]skilldef!$C:$D,2,FALSE),"-") &amp; " / " &amp; IFERROR(VLOOKUP(MID(N106,O106,P106-O106),[6]skilldef!$A:$B,2,FALSE),"-")</f>
        <v>- / -</v>
      </c>
      <c r="T106" s="47" t="str">
        <f t="shared" si="47"/>
        <v>none</v>
      </c>
      <c r="U106" s="62" t="e">
        <f t="shared" si="32"/>
        <v>#VALUE!</v>
      </c>
      <c r="V106" s="62">
        <f t="shared" si="48"/>
        <v>4</v>
      </c>
      <c r="W106" s="62" t="e">
        <f t="shared" si="49"/>
        <v>#VALUE!</v>
      </c>
      <c r="X106" s="62" t="e">
        <f t="shared" si="50"/>
        <v>#VALUE!</v>
      </c>
      <c r="Y106" s="62" t="str">
        <f>IFERROR(VLOOKUP(MID(T106,W106,X106-W106),[6]skilldef!$C:$D,2,FALSE),"-") &amp; " / " &amp; IFERROR(VLOOKUP(MID(T106,U106,V106-U106),[6]skilldef!$A:$B,2,FALSE),"-")</f>
        <v>- / -</v>
      </c>
      <c r="Z106" s="49"/>
      <c r="AA106" s="51"/>
      <c r="AB106" s="49"/>
      <c r="AC106" s="48">
        <f t="shared" si="36"/>
        <v>10</v>
      </c>
      <c r="AD106" s="48">
        <f t="shared" si="37"/>
        <v>16</v>
      </c>
    </row>
    <row r="107" spans="1:30" ht="21" customHeight="1" x14ac:dyDescent="0.15">
      <c r="A107" s="7">
        <v>58002105</v>
      </c>
      <c r="B107" s="46" t="s">
        <v>442</v>
      </c>
      <c r="C107" s="49">
        <v>1</v>
      </c>
      <c r="D107" s="49" t="s">
        <v>128</v>
      </c>
      <c r="E107" s="50" t="s">
        <v>384</v>
      </c>
      <c r="F107" s="50" t="s">
        <v>385</v>
      </c>
      <c r="G107" s="62" t="str">
        <f t="shared" si="38"/>
        <v>[effect:enemy_message, val1:1.7, val2:1.7]</v>
      </c>
      <c r="H107" s="62">
        <f t="shared" si="21"/>
        <v>9</v>
      </c>
      <c r="I107" s="62">
        <f t="shared" si="39"/>
        <v>22</v>
      </c>
      <c r="J107" s="62" t="e">
        <f t="shared" si="40"/>
        <v>#VALUE!</v>
      </c>
      <c r="K107" s="62">
        <f t="shared" si="41"/>
        <v>32</v>
      </c>
      <c r="L107" s="62" t="str">
        <f>IFERROR(VLOOKUP(MID(G107,J107,K107-J107),[6]skilldef!$C:$D,2,FALSE),"-") &amp; " / " &amp; IFERROR(VLOOKUP(MID(G107,H107,I107-H107),[6]skilldef!$A:$B,2,FALSE),"-")</f>
        <v>- / -</v>
      </c>
      <c r="M107" s="62" t="str">
        <f t="shared" si="42"/>
        <v>none</v>
      </c>
      <c r="N107" s="47" t="str">
        <f>IFERROR(LEFT(M107,FIND("],",M107)+#REF!),M107)</f>
        <v>none</v>
      </c>
      <c r="O107" s="62" t="e">
        <f t="shared" si="27"/>
        <v>#VALUE!</v>
      </c>
      <c r="P107" s="62">
        <f t="shared" si="44"/>
        <v>4</v>
      </c>
      <c r="Q107" s="62" t="e">
        <f t="shared" si="45"/>
        <v>#VALUE!</v>
      </c>
      <c r="R107" s="62" t="e">
        <f t="shared" si="46"/>
        <v>#VALUE!</v>
      </c>
      <c r="S107" s="62" t="str">
        <f>IFERROR(VLOOKUP(MID(N107,Q107,R107-Q107),[6]skilldef!$C:$D,2,FALSE),"-") &amp; " / " &amp; IFERROR(VLOOKUP(MID(N107,O107,P107-O107),[6]skilldef!$A:$B,2,FALSE),"-")</f>
        <v>- / -</v>
      </c>
      <c r="T107" s="47" t="str">
        <f t="shared" si="47"/>
        <v>none</v>
      </c>
      <c r="U107" s="62" t="e">
        <f t="shared" si="32"/>
        <v>#VALUE!</v>
      </c>
      <c r="V107" s="62">
        <f t="shared" si="48"/>
        <v>4</v>
      </c>
      <c r="W107" s="62" t="e">
        <f t="shared" si="49"/>
        <v>#VALUE!</v>
      </c>
      <c r="X107" s="62" t="e">
        <f t="shared" si="50"/>
        <v>#VALUE!</v>
      </c>
      <c r="Y107" s="62" t="str">
        <f>IFERROR(VLOOKUP(MID(T107,W107,X107-W107),[6]skilldef!$C:$D,2,FALSE),"-") &amp; " / " &amp; IFERROR(VLOOKUP(MID(T107,U107,V107-U107),[6]skilldef!$A:$B,2,FALSE),"-")</f>
        <v>- / -</v>
      </c>
      <c r="Z107" s="49"/>
      <c r="AA107" s="51"/>
      <c r="AB107" s="49"/>
      <c r="AC107" s="48">
        <f t="shared" si="36"/>
        <v>10</v>
      </c>
      <c r="AD107" s="48">
        <f t="shared" si="37"/>
        <v>16</v>
      </c>
    </row>
    <row r="108" spans="1:30" ht="21" customHeight="1" x14ac:dyDescent="0.15">
      <c r="A108" s="7">
        <v>58002106</v>
      </c>
      <c r="B108" s="46" t="s">
        <v>442</v>
      </c>
      <c r="C108" s="49">
        <v>1</v>
      </c>
      <c r="D108" s="49" t="s">
        <v>128</v>
      </c>
      <c r="E108" s="50" t="s">
        <v>386</v>
      </c>
      <c r="F108" s="50" t="s">
        <v>387</v>
      </c>
      <c r="G108" s="62" t="str">
        <f t="shared" si="38"/>
        <v>[effect:enemy_message, val1:1.7, val2:1.7]</v>
      </c>
      <c r="H108" s="62">
        <f t="shared" si="21"/>
        <v>9</v>
      </c>
      <c r="I108" s="62">
        <f t="shared" si="39"/>
        <v>22</v>
      </c>
      <c r="J108" s="62" t="e">
        <f t="shared" si="40"/>
        <v>#VALUE!</v>
      </c>
      <c r="K108" s="62">
        <f t="shared" si="41"/>
        <v>32</v>
      </c>
      <c r="L108" s="62" t="str">
        <f>IFERROR(VLOOKUP(MID(G108,J108,K108-J108),[6]skilldef!$C:$D,2,FALSE),"-") &amp; " / " &amp; IFERROR(VLOOKUP(MID(G108,H108,I108-H108),[6]skilldef!$A:$B,2,FALSE),"-")</f>
        <v>- / -</v>
      </c>
      <c r="M108" s="62" t="str">
        <f t="shared" si="42"/>
        <v>none</v>
      </c>
      <c r="N108" s="47" t="str">
        <f>IFERROR(LEFT(M108,FIND("],",M108)+#REF!),M108)</f>
        <v>none</v>
      </c>
      <c r="O108" s="62" t="e">
        <f t="shared" si="27"/>
        <v>#VALUE!</v>
      </c>
      <c r="P108" s="62">
        <f t="shared" si="44"/>
        <v>4</v>
      </c>
      <c r="Q108" s="62" t="e">
        <f t="shared" si="45"/>
        <v>#VALUE!</v>
      </c>
      <c r="R108" s="62" t="e">
        <f t="shared" si="46"/>
        <v>#VALUE!</v>
      </c>
      <c r="S108" s="62" t="str">
        <f>IFERROR(VLOOKUP(MID(N108,Q108,R108-Q108),[6]skilldef!$C:$D,2,FALSE),"-") &amp; " / " &amp; IFERROR(VLOOKUP(MID(N108,O108,P108-O108),[6]skilldef!$A:$B,2,FALSE),"-")</f>
        <v>- / -</v>
      </c>
      <c r="T108" s="47" t="str">
        <f t="shared" si="47"/>
        <v>none</v>
      </c>
      <c r="U108" s="62" t="e">
        <f t="shared" si="32"/>
        <v>#VALUE!</v>
      </c>
      <c r="V108" s="62">
        <f t="shared" si="48"/>
        <v>4</v>
      </c>
      <c r="W108" s="62" t="e">
        <f t="shared" si="49"/>
        <v>#VALUE!</v>
      </c>
      <c r="X108" s="62" t="e">
        <f t="shared" si="50"/>
        <v>#VALUE!</v>
      </c>
      <c r="Y108" s="62" t="str">
        <f>IFERROR(VLOOKUP(MID(T108,W108,X108-W108),[6]skilldef!$C:$D,2,FALSE),"-") &amp; " / " &amp; IFERROR(VLOOKUP(MID(T108,U108,V108-U108),[6]skilldef!$A:$B,2,FALSE),"-")</f>
        <v>- / -</v>
      </c>
      <c r="Z108" s="49"/>
      <c r="AA108" s="51"/>
      <c r="AB108" s="49"/>
      <c r="AC108" s="48">
        <f t="shared" si="36"/>
        <v>9</v>
      </c>
      <c r="AD108" s="48">
        <f t="shared" si="37"/>
        <v>16</v>
      </c>
    </row>
    <row r="109" spans="1:30" ht="21" customHeight="1" x14ac:dyDescent="0.15">
      <c r="A109" s="7">
        <v>58002107</v>
      </c>
      <c r="B109" s="46" t="s">
        <v>442</v>
      </c>
      <c r="C109" s="49">
        <v>1</v>
      </c>
      <c r="D109" s="49" t="s">
        <v>128</v>
      </c>
      <c r="E109" s="50" t="s">
        <v>386</v>
      </c>
      <c r="F109" s="50" t="s">
        <v>387</v>
      </c>
      <c r="G109" s="62" t="str">
        <f t="shared" si="38"/>
        <v>[effect:enemy_message, val1:1.7, val2:1.7]</v>
      </c>
      <c r="H109" s="62">
        <f t="shared" si="21"/>
        <v>9</v>
      </c>
      <c r="I109" s="62">
        <f t="shared" si="39"/>
        <v>22</v>
      </c>
      <c r="J109" s="62" t="e">
        <f t="shared" si="40"/>
        <v>#VALUE!</v>
      </c>
      <c r="K109" s="62">
        <f t="shared" si="41"/>
        <v>32</v>
      </c>
      <c r="L109" s="62" t="str">
        <f>IFERROR(VLOOKUP(MID(G109,J109,K109-J109),[6]skilldef!$C:$D,2,FALSE),"-") &amp; " / " &amp; IFERROR(VLOOKUP(MID(G109,H109,I109-H109),[6]skilldef!$A:$B,2,FALSE),"-")</f>
        <v>- / -</v>
      </c>
      <c r="M109" s="62" t="str">
        <f t="shared" si="42"/>
        <v>none</v>
      </c>
      <c r="N109" s="47" t="str">
        <f>IFERROR(LEFT(M109,FIND("],",M109)+#REF!),M109)</f>
        <v>none</v>
      </c>
      <c r="O109" s="62" t="e">
        <f t="shared" si="27"/>
        <v>#VALUE!</v>
      </c>
      <c r="P109" s="62">
        <f t="shared" si="44"/>
        <v>4</v>
      </c>
      <c r="Q109" s="62" t="e">
        <f t="shared" si="45"/>
        <v>#VALUE!</v>
      </c>
      <c r="R109" s="62" t="e">
        <f t="shared" si="46"/>
        <v>#VALUE!</v>
      </c>
      <c r="S109" s="62" t="str">
        <f>IFERROR(VLOOKUP(MID(N109,Q109,R109-Q109),[6]skilldef!$C:$D,2,FALSE),"-") &amp; " / " &amp; IFERROR(VLOOKUP(MID(N109,O109,P109-O109),[6]skilldef!$A:$B,2,FALSE),"-")</f>
        <v>- / -</v>
      </c>
      <c r="T109" s="47" t="str">
        <f t="shared" si="47"/>
        <v>none</v>
      </c>
      <c r="U109" s="62" t="e">
        <f t="shared" si="32"/>
        <v>#VALUE!</v>
      </c>
      <c r="V109" s="62">
        <f t="shared" si="48"/>
        <v>4</v>
      </c>
      <c r="W109" s="62" t="e">
        <f t="shared" si="49"/>
        <v>#VALUE!</v>
      </c>
      <c r="X109" s="62" t="e">
        <f t="shared" si="50"/>
        <v>#VALUE!</v>
      </c>
      <c r="Y109" s="62" t="str">
        <f>IFERROR(VLOOKUP(MID(T109,W109,X109-W109),[6]skilldef!$C:$D,2,FALSE),"-") &amp; " / " &amp; IFERROR(VLOOKUP(MID(T109,U109,V109-U109),[6]skilldef!$A:$B,2,FALSE),"-")</f>
        <v>- / -</v>
      </c>
      <c r="Z109" s="49"/>
      <c r="AA109" s="51"/>
      <c r="AB109" s="49"/>
      <c r="AC109" s="48">
        <f t="shared" si="36"/>
        <v>9</v>
      </c>
      <c r="AD109" s="48">
        <f t="shared" si="37"/>
        <v>16</v>
      </c>
    </row>
    <row r="110" spans="1:30" ht="21" customHeight="1" x14ac:dyDescent="0.15">
      <c r="A110" s="7">
        <v>58002108</v>
      </c>
      <c r="B110" s="46" t="s">
        <v>443</v>
      </c>
      <c r="C110" s="49">
        <v>1</v>
      </c>
      <c r="D110" s="49" t="s">
        <v>128</v>
      </c>
      <c r="E110" s="50" t="s">
        <v>379</v>
      </c>
      <c r="F110" s="50" t="s">
        <v>320</v>
      </c>
      <c r="G110" s="62" t="str">
        <f t="shared" si="38"/>
        <v>[effect:enemy_message, val1:1.2, val2:2.3]</v>
      </c>
      <c r="H110" s="62">
        <f t="shared" si="21"/>
        <v>9</v>
      </c>
      <c r="I110" s="62">
        <f t="shared" si="39"/>
        <v>22</v>
      </c>
      <c r="J110" s="62" t="e">
        <f t="shared" si="40"/>
        <v>#VALUE!</v>
      </c>
      <c r="K110" s="62">
        <f t="shared" si="41"/>
        <v>32</v>
      </c>
      <c r="L110" s="62" t="str">
        <f>IFERROR(VLOOKUP(MID(G110,J110,K110-J110),[6]skilldef!$C:$D,2,FALSE),"-") &amp; " / " &amp; IFERROR(VLOOKUP(MID(G110,H110,I110-H110),[6]skilldef!$A:$B,2,FALSE),"-")</f>
        <v>- / -</v>
      </c>
      <c r="M110" s="62" t="str">
        <f t="shared" si="42"/>
        <v>[effect:break_attack_fix, target:unit_one, val:-2000, lowest_val:35000, count:15, block01:block_yellow]</v>
      </c>
      <c r="N110" s="47" t="str">
        <f>IFERROR(LEFT(M110,FIND("],",M110)+S112),M110)</f>
        <v>[effect:break_attack_fix, target:unit_one, val:-2000, lowest_val:35000, count:15, block01:block_yellow]</v>
      </c>
      <c r="O110" s="62">
        <f t="shared" si="27"/>
        <v>9</v>
      </c>
      <c r="P110" s="62">
        <f t="shared" si="44"/>
        <v>25</v>
      </c>
      <c r="Q110" s="62">
        <f t="shared" si="45"/>
        <v>34</v>
      </c>
      <c r="R110" s="62">
        <f t="shared" si="46"/>
        <v>42</v>
      </c>
      <c r="S110" s="62" t="str">
        <f>IFERROR(VLOOKUP(MID(N110,Q110,R110-Q110),[6]skilldef!$C:$D,2,FALSE),"-") &amp; " / " &amp; IFERROR(VLOOKUP(MID(N110,O110,P110-O110),[6]skilldef!$A:$B,2,FALSE),"-")</f>
        <v>味方単体に / -</v>
      </c>
      <c r="T110" s="47" t="str">
        <f t="shared" si="47"/>
        <v>none</v>
      </c>
      <c r="U110" s="62" t="e">
        <f t="shared" si="32"/>
        <v>#VALUE!</v>
      </c>
      <c r="V110" s="62">
        <f t="shared" si="48"/>
        <v>4</v>
      </c>
      <c r="W110" s="62" t="e">
        <f t="shared" si="49"/>
        <v>#VALUE!</v>
      </c>
      <c r="X110" s="62" t="e">
        <f t="shared" si="50"/>
        <v>#VALUE!</v>
      </c>
      <c r="Y110" s="62" t="str">
        <f>IFERROR(VLOOKUP(MID(T110,W110,X110-W110),[6]skilldef!$C:$D,2,FALSE),"-") &amp; " / " &amp; IFERROR(VLOOKUP(MID(T110,U110,V110-U110),[6]skilldef!$A:$B,2,FALSE),"-")</f>
        <v>- / -</v>
      </c>
      <c r="Z110" s="49"/>
      <c r="AA110" s="51"/>
      <c r="AB110" s="49"/>
      <c r="AC110" s="48">
        <f t="shared" si="36"/>
        <v>12</v>
      </c>
      <c r="AD110" s="48">
        <f t="shared" si="37"/>
        <v>23</v>
      </c>
    </row>
    <row r="111" spans="1:30" ht="21" customHeight="1" x14ac:dyDescent="0.15">
      <c r="A111" s="7">
        <v>58002109</v>
      </c>
      <c r="B111" s="46" t="s">
        <v>442</v>
      </c>
      <c r="C111" s="49">
        <v>1</v>
      </c>
      <c r="D111" s="49" t="s">
        <v>128</v>
      </c>
      <c r="E111" s="50" t="s">
        <v>386</v>
      </c>
      <c r="F111" s="50" t="s">
        <v>387</v>
      </c>
      <c r="G111" s="62" t="str">
        <f t="shared" si="38"/>
        <v>[effect:enemy_message, val1:1.7, val2:1.7]</v>
      </c>
      <c r="H111" s="62">
        <f t="shared" si="21"/>
        <v>9</v>
      </c>
      <c r="I111" s="62">
        <f t="shared" si="39"/>
        <v>22</v>
      </c>
      <c r="J111" s="62" t="e">
        <f t="shared" si="40"/>
        <v>#VALUE!</v>
      </c>
      <c r="K111" s="62">
        <f t="shared" si="41"/>
        <v>32</v>
      </c>
      <c r="L111" s="62" t="str">
        <f>IFERROR(VLOOKUP(MID(G111,J111,K111-J111),[6]skilldef!$C:$D,2,FALSE),"-") &amp; " / " &amp; IFERROR(VLOOKUP(MID(G111,H111,I111-H111),[6]skilldef!$A:$B,2,FALSE),"-")</f>
        <v>- / -</v>
      </c>
      <c r="M111" s="62" t="str">
        <f t="shared" si="42"/>
        <v>none</v>
      </c>
      <c r="N111" s="47" t="str">
        <f>IFERROR(LEFT(M111,FIND("],",M111)+S113),M111)</f>
        <v>none</v>
      </c>
      <c r="O111" s="62" t="e">
        <f t="shared" si="27"/>
        <v>#VALUE!</v>
      </c>
      <c r="P111" s="62">
        <f t="shared" si="44"/>
        <v>4</v>
      </c>
      <c r="Q111" s="62" t="e">
        <f t="shared" si="45"/>
        <v>#VALUE!</v>
      </c>
      <c r="R111" s="62" t="e">
        <f t="shared" si="46"/>
        <v>#VALUE!</v>
      </c>
      <c r="S111" s="62" t="str">
        <f>IFERROR(VLOOKUP(MID(N111,Q111,R111-Q111),[6]skilldef!$C:$D,2,FALSE),"-") &amp; " / " &amp; IFERROR(VLOOKUP(MID(N111,O111,P111-O111),[6]skilldef!$A:$B,2,FALSE),"-")</f>
        <v>- / -</v>
      </c>
      <c r="T111" s="47" t="str">
        <f t="shared" si="47"/>
        <v>none</v>
      </c>
      <c r="U111" s="62" t="e">
        <f t="shared" si="32"/>
        <v>#VALUE!</v>
      </c>
      <c r="V111" s="62">
        <f t="shared" si="48"/>
        <v>4</v>
      </c>
      <c r="W111" s="62" t="e">
        <f t="shared" si="49"/>
        <v>#VALUE!</v>
      </c>
      <c r="X111" s="62" t="e">
        <f t="shared" si="50"/>
        <v>#VALUE!</v>
      </c>
      <c r="Y111" s="62" t="str">
        <f>IFERROR(VLOOKUP(MID(T111,W111,X111-W111),[6]skilldef!$C:$D,2,FALSE),"-") &amp; " / " &amp; IFERROR(VLOOKUP(MID(T111,U111,V111-U111),[6]skilldef!$A:$B,2,FALSE),"-")</f>
        <v>- / -</v>
      </c>
      <c r="Z111" s="49"/>
      <c r="AA111" s="51"/>
      <c r="AB111" s="49"/>
      <c r="AC111" s="48">
        <f t="shared" si="36"/>
        <v>9</v>
      </c>
      <c r="AD111" s="48">
        <f t="shared" si="37"/>
        <v>16</v>
      </c>
    </row>
    <row r="112" spans="1:30" ht="21" customHeight="1" x14ac:dyDescent="0.15">
      <c r="A112" s="7">
        <v>58002110</v>
      </c>
      <c r="B112" s="46" t="s">
        <v>442</v>
      </c>
      <c r="C112" s="49">
        <v>1</v>
      </c>
      <c r="D112" s="49" t="s">
        <v>128</v>
      </c>
      <c r="E112" s="50" t="s">
        <v>386</v>
      </c>
      <c r="F112" s="50" t="s">
        <v>387</v>
      </c>
      <c r="G112" s="62" t="str">
        <f t="shared" ref="G112:G113" si="51">IFERROR(LEFT(B112,FIND("],",B112)),B112)</f>
        <v>[effect:enemy_message, val1:1.7, val2:1.7]</v>
      </c>
      <c r="H112" s="62">
        <f t="shared" ref="H112:H113" si="52">FIND("effect:",G112)+7</f>
        <v>9</v>
      </c>
      <c r="I112" s="62">
        <f t="shared" ref="I112:I113" si="53">IFERROR(FIND(",",G112),LEN(G112))</f>
        <v>22</v>
      </c>
      <c r="J112" s="62" t="e">
        <f t="shared" ref="J112:J113" si="54">FIND("target:",G112)+7</f>
        <v>#VALUE!</v>
      </c>
      <c r="K112" s="62">
        <f t="shared" ref="K112:K113" si="55">FIND(",",G112,I112+1)</f>
        <v>32</v>
      </c>
      <c r="L112" s="62" t="str">
        <f>IFERROR(VLOOKUP(MID(G112,J112,K112-J112),[6]skilldef!$C:$D,2,FALSE),"-") &amp; " / " &amp; IFERROR(VLOOKUP(MID(G112,H112,I112-H112),[6]skilldef!$A:$B,2,FALSE),"-")</f>
        <v>- / -</v>
      </c>
      <c r="M112" s="62" t="str">
        <f t="shared" ref="M112:M113" si="56">IFERROR(RIGHT(B112,LEN(B112)-FIND("],",B112)-1),"none")</f>
        <v>none</v>
      </c>
      <c r="N112" s="47" t="str">
        <f t="shared" ref="N112:N113" si="57">IFERROR(LEFT(M112,FIND("],",M112)+S114),M112)</f>
        <v>none</v>
      </c>
      <c r="O112" s="62" t="e">
        <f t="shared" ref="O112:O113" si="58">FIND("effect:",N112)+7</f>
        <v>#VALUE!</v>
      </c>
      <c r="P112" s="62">
        <f t="shared" ref="P112:P113" si="59">IFERROR(FIND(",",N112),LEN(N112))</f>
        <v>4</v>
      </c>
      <c r="Q112" s="62" t="e">
        <f t="shared" ref="Q112:Q113" si="60">FIND("target:",N112)+7</f>
        <v>#VALUE!</v>
      </c>
      <c r="R112" s="62" t="e">
        <f t="shared" ref="R112:R113" si="61">FIND(",",N112,P112+1)</f>
        <v>#VALUE!</v>
      </c>
      <c r="S112" s="62" t="str">
        <f>IFERROR(VLOOKUP(MID(N112,Q112,R112-Q112),[6]skilldef!$C:$D,2,FALSE),"-") &amp; " / " &amp; IFERROR(VLOOKUP(MID(N112,O112,P112-O112),[6]skilldef!$A:$B,2,FALSE),"-")</f>
        <v>- / -</v>
      </c>
      <c r="T112" s="47" t="str">
        <f t="shared" ref="T112:T113" si="62">IFERROR(RIGHT(M112,LEN(M112)-FIND("],",M112)-1),"none")</f>
        <v>none</v>
      </c>
      <c r="U112" s="62" t="e">
        <f t="shared" ref="U112:U113" si="63">FIND("effect:",T112)+7</f>
        <v>#VALUE!</v>
      </c>
      <c r="V112" s="62">
        <f t="shared" ref="V112:V113" si="64">IFERROR(FIND(",",T112),LEN(T112))</f>
        <v>4</v>
      </c>
      <c r="W112" s="62" t="e">
        <f t="shared" ref="W112:W113" si="65">FIND("target:",T112)+7</f>
        <v>#VALUE!</v>
      </c>
      <c r="X112" s="62" t="e">
        <f t="shared" ref="X112:X113" si="66">FIND(",",T112,V112+1)</f>
        <v>#VALUE!</v>
      </c>
      <c r="Y112" s="62" t="str">
        <f>IFERROR(VLOOKUP(MID(T112,W112,X112-W112),[6]skilldef!$C:$D,2,FALSE),"-") &amp; " / " &amp; IFERROR(VLOOKUP(MID(T112,U112,V112-U112),[6]skilldef!$A:$B,2,FALSE),"-")</f>
        <v>- / -</v>
      </c>
      <c r="Z112" s="49"/>
      <c r="AA112" s="51"/>
      <c r="AB112" s="49"/>
      <c r="AC112" s="48">
        <f t="shared" ref="AC112:AC113" si="67">LEN(E112)</f>
        <v>9</v>
      </c>
      <c r="AD112" s="48">
        <f t="shared" ref="AD112:AD113" si="68">LEN(F112)</f>
        <v>16</v>
      </c>
    </row>
    <row r="113" spans="1:30" ht="21" customHeight="1" x14ac:dyDescent="0.15">
      <c r="A113" s="7">
        <v>58002111</v>
      </c>
      <c r="B113" s="46" t="s">
        <v>442</v>
      </c>
      <c r="C113" s="49">
        <v>1</v>
      </c>
      <c r="D113" s="49" t="s">
        <v>128</v>
      </c>
      <c r="E113" s="50" t="s">
        <v>386</v>
      </c>
      <c r="F113" s="50" t="s">
        <v>387</v>
      </c>
      <c r="G113" s="62" t="str">
        <f t="shared" si="51"/>
        <v>[effect:enemy_message, val1:1.7, val2:1.7]</v>
      </c>
      <c r="H113" s="62">
        <f t="shared" si="52"/>
        <v>9</v>
      </c>
      <c r="I113" s="62">
        <f t="shared" si="53"/>
        <v>22</v>
      </c>
      <c r="J113" s="62" t="e">
        <f t="shared" si="54"/>
        <v>#VALUE!</v>
      </c>
      <c r="K113" s="62">
        <f t="shared" si="55"/>
        <v>32</v>
      </c>
      <c r="L113" s="62" t="str">
        <f>IFERROR(VLOOKUP(MID(G113,J113,K113-J113),[6]skilldef!$C:$D,2,FALSE),"-") &amp; " / " &amp; IFERROR(VLOOKUP(MID(G113,H113,I113-H113),[6]skilldef!$A:$B,2,FALSE),"-")</f>
        <v>- / -</v>
      </c>
      <c r="M113" s="62" t="str">
        <f t="shared" si="56"/>
        <v>none</v>
      </c>
      <c r="N113" s="47" t="str">
        <f t="shared" si="57"/>
        <v>none</v>
      </c>
      <c r="O113" s="62" t="e">
        <f t="shared" si="58"/>
        <v>#VALUE!</v>
      </c>
      <c r="P113" s="62">
        <f t="shared" si="59"/>
        <v>4</v>
      </c>
      <c r="Q113" s="62" t="e">
        <f t="shared" si="60"/>
        <v>#VALUE!</v>
      </c>
      <c r="R113" s="62" t="e">
        <f t="shared" si="61"/>
        <v>#VALUE!</v>
      </c>
      <c r="S113" s="62" t="str">
        <f>IFERROR(VLOOKUP(MID(N113,Q113,R113-Q113),[6]skilldef!$C:$D,2,FALSE),"-") &amp; " / " &amp; IFERROR(VLOOKUP(MID(N113,O113,P113-O113),[6]skilldef!$A:$B,2,FALSE),"-")</f>
        <v>- / -</v>
      </c>
      <c r="T113" s="47" t="str">
        <f t="shared" si="62"/>
        <v>none</v>
      </c>
      <c r="U113" s="62" t="e">
        <f t="shared" si="63"/>
        <v>#VALUE!</v>
      </c>
      <c r="V113" s="62">
        <f t="shared" si="64"/>
        <v>4</v>
      </c>
      <c r="W113" s="62" t="e">
        <f t="shared" si="65"/>
        <v>#VALUE!</v>
      </c>
      <c r="X113" s="62" t="e">
        <f t="shared" si="66"/>
        <v>#VALUE!</v>
      </c>
      <c r="Y113" s="62" t="str">
        <f>IFERROR(VLOOKUP(MID(T113,W113,X113-W113),[6]skilldef!$C:$D,2,FALSE),"-") &amp; " / " &amp; IFERROR(VLOOKUP(MID(T113,U113,V113-U113),[6]skilldef!$A:$B,2,FALSE),"-")</f>
        <v>- / -</v>
      </c>
      <c r="Z113" s="49"/>
      <c r="AA113" s="51"/>
      <c r="AB113" s="49"/>
      <c r="AC113" s="48">
        <f t="shared" si="67"/>
        <v>9</v>
      </c>
      <c r="AD113" s="48">
        <f t="shared" si="68"/>
        <v>16</v>
      </c>
    </row>
    <row r="114" spans="1:30" ht="21" customHeight="1" x14ac:dyDescent="0.15">
      <c r="A114" s="7">
        <v>58002112</v>
      </c>
      <c r="B114" s="46" t="s">
        <v>442</v>
      </c>
      <c r="C114" s="49">
        <v>1</v>
      </c>
      <c r="D114" s="49" t="s">
        <v>128</v>
      </c>
      <c r="E114" s="50" t="s">
        <v>386</v>
      </c>
      <c r="F114" s="50" t="s">
        <v>387</v>
      </c>
      <c r="G114" s="62" t="str">
        <f t="shared" ref="G114" si="69">IFERROR(LEFT(B114,FIND("],",B114)),B114)</f>
        <v>[effect:enemy_message, val1:1.7, val2:1.7]</v>
      </c>
      <c r="H114" s="62">
        <f t="shared" ref="H114" si="70">FIND("effect:",G114)+7</f>
        <v>9</v>
      </c>
      <c r="I114" s="62">
        <f t="shared" ref="I114" si="71">IFERROR(FIND(",",G114),LEN(G114))</f>
        <v>22</v>
      </c>
      <c r="J114" s="62" t="e">
        <f t="shared" ref="J114" si="72">FIND("target:",G114)+7</f>
        <v>#VALUE!</v>
      </c>
      <c r="K114" s="62">
        <f t="shared" ref="K114" si="73">FIND(",",G114,I114+1)</f>
        <v>32</v>
      </c>
      <c r="L114" s="62" t="str">
        <f>IFERROR(VLOOKUP(MID(G114,J114,K114-J114),[6]skilldef!$C:$D,2,FALSE),"-") &amp; " / " &amp; IFERROR(VLOOKUP(MID(G114,H114,I114-H114),[6]skilldef!$A:$B,2,FALSE),"-")</f>
        <v>- / -</v>
      </c>
      <c r="M114" s="62" t="str">
        <f t="shared" ref="M114" si="74">IFERROR(RIGHT(B114,LEN(B114)-FIND("],",B114)-1),"none")</f>
        <v>none</v>
      </c>
      <c r="N114" s="47" t="str">
        <f t="shared" ref="N114" si="75">IFERROR(LEFT(M114,FIND("],",M114)+S116),M114)</f>
        <v>none</v>
      </c>
      <c r="O114" s="62" t="e">
        <f t="shared" ref="O114" si="76">FIND("effect:",N114)+7</f>
        <v>#VALUE!</v>
      </c>
      <c r="P114" s="62">
        <f t="shared" ref="P114" si="77">IFERROR(FIND(",",N114),LEN(N114))</f>
        <v>4</v>
      </c>
      <c r="Q114" s="62" t="e">
        <f t="shared" ref="Q114" si="78">FIND("target:",N114)+7</f>
        <v>#VALUE!</v>
      </c>
      <c r="R114" s="62" t="e">
        <f t="shared" ref="R114" si="79">FIND(",",N114,P114+1)</f>
        <v>#VALUE!</v>
      </c>
      <c r="S114" s="62" t="str">
        <f>IFERROR(VLOOKUP(MID(N114,Q114,R114-Q114),[6]skilldef!$C:$D,2,FALSE),"-") &amp; " / " &amp; IFERROR(VLOOKUP(MID(N114,O114,P114-O114),[6]skilldef!$A:$B,2,FALSE),"-")</f>
        <v>- / -</v>
      </c>
      <c r="T114" s="47" t="str">
        <f t="shared" ref="T114" si="80">IFERROR(RIGHT(M114,LEN(M114)-FIND("],",M114)-1),"none")</f>
        <v>none</v>
      </c>
      <c r="U114" s="62" t="e">
        <f t="shared" ref="U114" si="81">FIND("effect:",T114)+7</f>
        <v>#VALUE!</v>
      </c>
      <c r="V114" s="62">
        <f t="shared" ref="V114" si="82">IFERROR(FIND(",",T114),LEN(T114))</f>
        <v>4</v>
      </c>
      <c r="W114" s="62" t="e">
        <f t="shared" ref="W114" si="83">FIND("target:",T114)+7</f>
        <v>#VALUE!</v>
      </c>
      <c r="X114" s="62" t="e">
        <f t="shared" ref="X114" si="84">FIND(",",T114,V114+1)</f>
        <v>#VALUE!</v>
      </c>
      <c r="Y114" s="62" t="str">
        <f>IFERROR(VLOOKUP(MID(T114,W114,X114-W114),[6]skilldef!$C:$D,2,FALSE),"-") &amp; " / " &amp; IFERROR(VLOOKUP(MID(T114,U114,V114-U114),[6]skilldef!$A:$B,2,FALSE),"-")</f>
        <v>- / -</v>
      </c>
      <c r="Z114" s="49"/>
      <c r="AA114" s="51"/>
      <c r="AB114" s="49"/>
      <c r="AC114" s="48">
        <f t="shared" ref="AC114" si="85">LEN(E114)</f>
        <v>9</v>
      </c>
      <c r="AD114" s="48">
        <f t="shared" ref="AD114" si="86">LEN(F114)</f>
        <v>16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14"/>
  <sheetViews>
    <sheetView showGridLines="0" tabSelected="1" workbookViewId="0">
      <pane ySplit="1" topLeftCell="A58" activePane="bottomLeft" state="frozenSplit"/>
      <selection pane="bottomLeft" activeCell="C68" sqref="C68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7">
        <v>58002000</v>
      </c>
      <c r="B2" s="46">
        <v>1</v>
      </c>
      <c r="C2" s="46" t="s">
        <v>89</v>
      </c>
      <c r="D2" s="46">
        <v>100</v>
      </c>
      <c r="E2" s="46" t="s">
        <v>255</v>
      </c>
      <c r="F2" s="46" t="s">
        <v>90</v>
      </c>
      <c r="G2" s="46">
        <v>1</v>
      </c>
      <c r="H2" s="46" t="s">
        <v>90</v>
      </c>
      <c r="I2" s="46" t="s">
        <v>90</v>
      </c>
      <c r="J2" s="47">
        <f t="shared" ref="J2" si="0">D2</f>
        <v>100</v>
      </c>
    </row>
    <row r="3" spans="1:11" ht="21" customHeight="1" x14ac:dyDescent="0.15">
      <c r="A3" s="7">
        <v>58002001</v>
      </c>
      <c r="B3" s="46">
        <v>0</v>
      </c>
      <c r="C3" s="46">
        <v>100</v>
      </c>
      <c r="D3" s="46">
        <v>75</v>
      </c>
      <c r="E3" s="46" t="s">
        <v>255</v>
      </c>
      <c r="F3" s="46" t="s">
        <v>90</v>
      </c>
      <c r="G3" s="46" t="s">
        <v>255</v>
      </c>
      <c r="H3" s="46" t="s">
        <v>90</v>
      </c>
      <c r="I3" s="46" t="s">
        <v>90</v>
      </c>
      <c r="J3" s="47">
        <f t="shared" ref="J3:J66" si="1">D3</f>
        <v>75</v>
      </c>
    </row>
    <row r="4" spans="1:11" ht="21" customHeight="1" x14ac:dyDescent="0.15">
      <c r="A4" s="7">
        <v>58002002</v>
      </c>
      <c r="B4" s="46">
        <v>0</v>
      </c>
      <c r="C4" s="46">
        <v>120</v>
      </c>
      <c r="D4" s="46">
        <v>100</v>
      </c>
      <c r="E4" s="46" t="s">
        <v>255</v>
      </c>
      <c r="F4" s="46" t="s">
        <v>90</v>
      </c>
      <c r="G4" s="46" t="s">
        <v>255</v>
      </c>
      <c r="H4" s="46" t="s">
        <v>90</v>
      </c>
      <c r="I4" s="46">
        <v>53</v>
      </c>
      <c r="J4" s="47">
        <f t="shared" si="1"/>
        <v>100</v>
      </c>
    </row>
    <row r="5" spans="1:11" ht="21" customHeight="1" x14ac:dyDescent="0.15">
      <c r="A5" s="7">
        <v>58002003</v>
      </c>
      <c r="B5" s="46">
        <v>0</v>
      </c>
      <c r="C5" s="46" t="s">
        <v>89</v>
      </c>
      <c r="D5" s="46">
        <v>100</v>
      </c>
      <c r="E5" s="46" t="s">
        <v>255</v>
      </c>
      <c r="F5" s="46" t="s">
        <v>90</v>
      </c>
      <c r="G5" s="46" t="s">
        <v>255</v>
      </c>
      <c r="H5" s="46" t="s">
        <v>90</v>
      </c>
      <c r="I5" s="46" t="s">
        <v>90</v>
      </c>
      <c r="J5" s="47">
        <f t="shared" si="1"/>
        <v>100</v>
      </c>
    </row>
    <row r="6" spans="1:11" ht="21" customHeight="1" x14ac:dyDescent="0.15">
      <c r="A6" s="7">
        <v>58002004</v>
      </c>
      <c r="B6" s="46">
        <v>0</v>
      </c>
      <c r="C6" s="46" t="s">
        <v>89</v>
      </c>
      <c r="D6" s="46">
        <v>100</v>
      </c>
      <c r="E6" s="46" t="s">
        <v>255</v>
      </c>
      <c r="F6" s="46" t="s">
        <v>90</v>
      </c>
      <c r="G6" s="46" t="s">
        <v>255</v>
      </c>
      <c r="H6" s="46" t="s">
        <v>90</v>
      </c>
      <c r="I6" s="46" t="s">
        <v>90</v>
      </c>
      <c r="J6" s="47">
        <f t="shared" si="1"/>
        <v>100</v>
      </c>
    </row>
    <row r="7" spans="1:11" ht="21" customHeight="1" x14ac:dyDescent="0.15">
      <c r="A7" s="7">
        <v>58002005</v>
      </c>
      <c r="B7" s="46">
        <v>1</v>
      </c>
      <c r="C7" s="46">
        <v>100</v>
      </c>
      <c r="D7" s="46">
        <v>100</v>
      </c>
      <c r="E7" s="46" t="s">
        <v>255</v>
      </c>
      <c r="F7" s="46" t="s">
        <v>90</v>
      </c>
      <c r="G7" s="46">
        <v>1</v>
      </c>
      <c r="H7" s="46">
        <v>1</v>
      </c>
      <c r="I7" s="46" t="s">
        <v>90</v>
      </c>
      <c r="J7" s="47">
        <f t="shared" si="1"/>
        <v>100</v>
      </c>
    </row>
    <row r="8" spans="1:11" ht="21" customHeight="1" x14ac:dyDescent="0.15">
      <c r="A8" s="7">
        <v>58002006</v>
      </c>
      <c r="B8" s="46">
        <v>0</v>
      </c>
      <c r="C8" s="46">
        <v>90</v>
      </c>
      <c r="D8" s="46">
        <v>50</v>
      </c>
      <c r="E8" s="46" t="s">
        <v>255</v>
      </c>
      <c r="F8" s="46" t="s">
        <v>90</v>
      </c>
      <c r="G8" s="46" t="s">
        <v>255</v>
      </c>
      <c r="H8" s="46" t="s">
        <v>90</v>
      </c>
      <c r="I8" s="46" t="s">
        <v>90</v>
      </c>
      <c r="J8" s="47">
        <f t="shared" si="1"/>
        <v>50</v>
      </c>
    </row>
    <row r="9" spans="1:11" ht="21" customHeight="1" x14ac:dyDescent="0.15">
      <c r="A9" s="7">
        <v>58002007</v>
      </c>
      <c r="B9" s="46">
        <v>0</v>
      </c>
      <c r="C9" s="46">
        <v>90</v>
      </c>
      <c r="D9" s="46">
        <v>50</v>
      </c>
      <c r="E9" s="46" t="s">
        <v>90</v>
      </c>
      <c r="F9" s="46" t="s">
        <v>90</v>
      </c>
      <c r="G9" s="46" t="s">
        <v>90</v>
      </c>
      <c r="H9" s="46" t="s">
        <v>90</v>
      </c>
      <c r="I9" s="46" t="s">
        <v>90</v>
      </c>
      <c r="J9" s="47">
        <f t="shared" si="1"/>
        <v>50</v>
      </c>
    </row>
    <row r="10" spans="1:11" ht="21" customHeight="1" x14ac:dyDescent="0.15">
      <c r="A10" s="7">
        <v>58002008</v>
      </c>
      <c r="B10" s="46">
        <v>0</v>
      </c>
      <c r="C10" s="46">
        <v>110</v>
      </c>
      <c r="D10" s="46">
        <v>100</v>
      </c>
      <c r="E10" s="46" t="s">
        <v>90</v>
      </c>
      <c r="F10" s="46" t="s">
        <v>90</v>
      </c>
      <c r="G10" s="46" t="s">
        <v>90</v>
      </c>
      <c r="H10" s="46" t="s">
        <v>90</v>
      </c>
      <c r="I10" s="46">
        <v>154</v>
      </c>
      <c r="J10" s="47">
        <f t="shared" si="1"/>
        <v>100</v>
      </c>
    </row>
    <row r="11" spans="1:11" ht="21" customHeight="1" x14ac:dyDescent="0.15">
      <c r="A11" s="7">
        <v>58002009</v>
      </c>
      <c r="B11" s="46">
        <v>0</v>
      </c>
      <c r="C11" s="46" t="s">
        <v>89</v>
      </c>
      <c r="D11" s="46">
        <v>100</v>
      </c>
      <c r="E11" s="46" t="s">
        <v>255</v>
      </c>
      <c r="F11" s="46" t="s">
        <v>90</v>
      </c>
      <c r="G11" s="46" t="s">
        <v>255</v>
      </c>
      <c r="H11" s="46" t="s">
        <v>90</v>
      </c>
      <c r="I11" s="46" t="s">
        <v>90</v>
      </c>
      <c r="J11" s="47">
        <f t="shared" si="1"/>
        <v>100</v>
      </c>
    </row>
    <row r="12" spans="1:11" ht="21" customHeight="1" x14ac:dyDescent="0.15">
      <c r="A12" s="7">
        <v>58002010</v>
      </c>
      <c r="B12" s="46">
        <v>1</v>
      </c>
      <c r="C12" s="46" t="s">
        <v>89</v>
      </c>
      <c r="D12" s="46">
        <v>100</v>
      </c>
      <c r="E12" s="46" t="s">
        <v>255</v>
      </c>
      <c r="F12" s="46" t="s">
        <v>90</v>
      </c>
      <c r="G12" s="46">
        <v>1</v>
      </c>
      <c r="H12" s="46" t="s">
        <v>90</v>
      </c>
      <c r="I12" s="46" t="s">
        <v>90</v>
      </c>
      <c r="J12" s="47">
        <f t="shared" si="1"/>
        <v>100</v>
      </c>
    </row>
    <row r="13" spans="1:11" ht="21" customHeight="1" x14ac:dyDescent="0.15">
      <c r="A13" s="7">
        <v>58002011</v>
      </c>
      <c r="B13" s="46">
        <v>0</v>
      </c>
      <c r="C13" s="46">
        <v>130</v>
      </c>
      <c r="D13" s="46">
        <v>100</v>
      </c>
      <c r="E13" s="46" t="s">
        <v>255</v>
      </c>
      <c r="F13" s="46" t="s">
        <v>90</v>
      </c>
      <c r="G13" s="46">
        <v>1</v>
      </c>
      <c r="H13" s="46">
        <v>1</v>
      </c>
      <c r="I13" s="46" t="s">
        <v>90</v>
      </c>
      <c r="J13" s="47">
        <f t="shared" si="1"/>
        <v>100</v>
      </c>
    </row>
    <row r="14" spans="1:11" ht="21" customHeight="1" x14ac:dyDescent="0.15">
      <c r="A14" s="7">
        <v>58002012</v>
      </c>
      <c r="B14" s="46">
        <v>0</v>
      </c>
      <c r="C14" s="46">
        <v>110</v>
      </c>
      <c r="D14" s="46">
        <v>100</v>
      </c>
      <c r="E14" s="46" t="s">
        <v>255</v>
      </c>
      <c r="F14" s="46" t="s">
        <v>90</v>
      </c>
      <c r="G14" s="46" t="s">
        <v>255</v>
      </c>
      <c r="H14" s="46">
        <v>2</v>
      </c>
      <c r="I14" s="46" t="s">
        <v>90</v>
      </c>
      <c r="J14" s="47">
        <f t="shared" si="1"/>
        <v>100</v>
      </c>
    </row>
    <row r="15" spans="1:11" ht="21" customHeight="1" x14ac:dyDescent="0.15">
      <c r="A15" s="7">
        <v>58002013</v>
      </c>
      <c r="B15" s="46">
        <v>0</v>
      </c>
      <c r="C15" s="46">
        <v>120</v>
      </c>
      <c r="D15" s="46">
        <v>100</v>
      </c>
      <c r="E15" s="46" t="s">
        <v>255</v>
      </c>
      <c r="F15" s="46" t="s">
        <v>90</v>
      </c>
      <c r="G15" s="46" t="s">
        <v>255</v>
      </c>
      <c r="H15" s="46">
        <v>3</v>
      </c>
      <c r="I15" s="46" t="s">
        <v>90</v>
      </c>
      <c r="J15" s="47">
        <f t="shared" si="1"/>
        <v>100</v>
      </c>
    </row>
    <row r="16" spans="1:11" ht="21" customHeight="1" x14ac:dyDescent="0.15">
      <c r="A16" s="7">
        <v>58002014</v>
      </c>
      <c r="B16" s="46">
        <v>0</v>
      </c>
      <c r="C16" s="46">
        <v>130</v>
      </c>
      <c r="D16" s="46">
        <v>100</v>
      </c>
      <c r="E16" s="46" t="s">
        <v>255</v>
      </c>
      <c r="F16" s="46" t="s">
        <v>90</v>
      </c>
      <c r="G16" s="46">
        <v>1</v>
      </c>
      <c r="H16" s="46">
        <v>4</v>
      </c>
      <c r="I16" s="46" t="s">
        <v>90</v>
      </c>
      <c r="J16" s="47">
        <f t="shared" si="1"/>
        <v>100</v>
      </c>
    </row>
    <row r="17" spans="1:10" ht="21" customHeight="1" x14ac:dyDescent="0.15">
      <c r="A17" s="7">
        <v>58002015</v>
      </c>
      <c r="B17" s="46">
        <v>0</v>
      </c>
      <c r="C17" s="46" t="s">
        <v>89</v>
      </c>
      <c r="D17" s="46">
        <v>100</v>
      </c>
      <c r="E17" s="46" t="s">
        <v>255</v>
      </c>
      <c r="F17" s="46" t="s">
        <v>90</v>
      </c>
      <c r="G17" s="46" t="s">
        <v>255</v>
      </c>
      <c r="H17" s="46" t="s">
        <v>90</v>
      </c>
      <c r="I17" s="46" t="s">
        <v>90</v>
      </c>
      <c r="J17" s="47">
        <f t="shared" si="1"/>
        <v>100</v>
      </c>
    </row>
    <row r="18" spans="1:10" ht="21" customHeight="1" x14ac:dyDescent="0.15">
      <c r="A18" s="7">
        <v>58002016</v>
      </c>
      <c r="B18" s="46">
        <v>0</v>
      </c>
      <c r="C18" s="46" t="s">
        <v>89</v>
      </c>
      <c r="D18" s="46">
        <v>100</v>
      </c>
      <c r="E18" s="46" t="s">
        <v>255</v>
      </c>
      <c r="F18" s="46" t="s">
        <v>90</v>
      </c>
      <c r="G18" s="46" t="s">
        <v>255</v>
      </c>
      <c r="H18" s="46" t="s">
        <v>90</v>
      </c>
      <c r="I18" s="46" t="s">
        <v>90</v>
      </c>
      <c r="J18" s="47">
        <f t="shared" si="1"/>
        <v>100</v>
      </c>
    </row>
    <row r="19" spans="1:10" ht="21" customHeight="1" x14ac:dyDescent="0.15">
      <c r="A19" s="7">
        <v>58002017</v>
      </c>
      <c r="B19" s="46">
        <v>0</v>
      </c>
      <c r="C19" s="46" t="s">
        <v>89</v>
      </c>
      <c r="D19" s="46">
        <v>100</v>
      </c>
      <c r="E19" s="46" t="s">
        <v>255</v>
      </c>
      <c r="F19" s="46" t="s">
        <v>90</v>
      </c>
      <c r="G19" s="46" t="s">
        <v>255</v>
      </c>
      <c r="H19" s="46" t="s">
        <v>90</v>
      </c>
      <c r="I19" s="46" t="s">
        <v>90</v>
      </c>
      <c r="J19" s="47">
        <f t="shared" si="1"/>
        <v>100</v>
      </c>
    </row>
    <row r="20" spans="1:10" ht="21" customHeight="1" x14ac:dyDescent="0.15">
      <c r="A20" s="7">
        <v>58002018</v>
      </c>
      <c r="B20" s="46">
        <v>0</v>
      </c>
      <c r="C20" s="46" t="s">
        <v>89</v>
      </c>
      <c r="D20" s="46">
        <v>100</v>
      </c>
      <c r="E20" s="46" t="s">
        <v>255</v>
      </c>
      <c r="F20" s="46" t="s">
        <v>90</v>
      </c>
      <c r="G20" s="46" t="s">
        <v>255</v>
      </c>
      <c r="H20" s="46" t="s">
        <v>90</v>
      </c>
      <c r="I20" s="46" t="s">
        <v>90</v>
      </c>
      <c r="J20" s="47">
        <f t="shared" si="1"/>
        <v>100</v>
      </c>
    </row>
    <row r="21" spans="1:10" ht="21" customHeight="1" x14ac:dyDescent="0.15">
      <c r="A21" s="7">
        <v>58002019</v>
      </c>
      <c r="B21" s="46">
        <v>0</v>
      </c>
      <c r="C21" s="46" t="s">
        <v>89</v>
      </c>
      <c r="D21" s="46">
        <v>100</v>
      </c>
      <c r="E21" s="46" t="s">
        <v>255</v>
      </c>
      <c r="F21" s="46" t="s">
        <v>90</v>
      </c>
      <c r="G21" s="46" t="s">
        <v>255</v>
      </c>
      <c r="H21" s="46" t="s">
        <v>90</v>
      </c>
      <c r="I21" s="46" t="s">
        <v>90</v>
      </c>
      <c r="J21" s="47">
        <f t="shared" si="1"/>
        <v>100</v>
      </c>
    </row>
    <row r="22" spans="1:10" ht="21" customHeight="1" x14ac:dyDescent="0.15">
      <c r="A22" s="7">
        <v>58002020</v>
      </c>
      <c r="B22" s="46">
        <v>1</v>
      </c>
      <c r="C22" s="46">
        <v>100</v>
      </c>
      <c r="D22" s="46">
        <v>100</v>
      </c>
      <c r="E22" s="46" t="s">
        <v>255</v>
      </c>
      <c r="F22" s="46" t="s">
        <v>90</v>
      </c>
      <c r="G22" s="46">
        <v>1</v>
      </c>
      <c r="H22" s="46">
        <v>1</v>
      </c>
      <c r="I22" s="46" t="s">
        <v>90</v>
      </c>
      <c r="J22" s="47">
        <f t="shared" si="1"/>
        <v>100</v>
      </c>
    </row>
    <row r="23" spans="1:10" ht="21" customHeight="1" x14ac:dyDescent="0.15">
      <c r="A23" s="7">
        <v>58002021</v>
      </c>
      <c r="B23" s="46">
        <v>0</v>
      </c>
      <c r="C23" s="46">
        <v>90</v>
      </c>
      <c r="D23" s="46">
        <v>50</v>
      </c>
      <c r="E23" s="46" t="s">
        <v>255</v>
      </c>
      <c r="F23" s="46" t="s">
        <v>90</v>
      </c>
      <c r="G23" s="46" t="s">
        <v>255</v>
      </c>
      <c r="H23" s="46" t="s">
        <v>90</v>
      </c>
      <c r="I23" s="46" t="s">
        <v>90</v>
      </c>
      <c r="J23" s="47">
        <f t="shared" si="1"/>
        <v>50</v>
      </c>
    </row>
    <row r="24" spans="1:10" ht="21" customHeight="1" x14ac:dyDescent="0.15">
      <c r="A24" s="7">
        <v>58002022</v>
      </c>
      <c r="B24" s="46">
        <v>0</v>
      </c>
      <c r="C24" s="46" t="s">
        <v>89</v>
      </c>
      <c r="D24" s="46">
        <v>100</v>
      </c>
      <c r="E24" s="46" t="s">
        <v>255</v>
      </c>
      <c r="F24" s="46" t="s">
        <v>90</v>
      </c>
      <c r="G24" s="46" t="s">
        <v>255</v>
      </c>
      <c r="H24" s="46" t="s">
        <v>90</v>
      </c>
      <c r="I24" s="46" t="s">
        <v>90</v>
      </c>
      <c r="J24" s="47">
        <f t="shared" si="1"/>
        <v>100</v>
      </c>
    </row>
    <row r="25" spans="1:10" ht="21" customHeight="1" x14ac:dyDescent="0.15">
      <c r="A25" s="7">
        <v>58002023</v>
      </c>
      <c r="B25" s="46">
        <v>0</v>
      </c>
      <c r="C25" s="46" t="s">
        <v>89</v>
      </c>
      <c r="D25" s="46">
        <v>100</v>
      </c>
      <c r="E25" s="46" t="s">
        <v>255</v>
      </c>
      <c r="F25" s="46" t="s">
        <v>90</v>
      </c>
      <c r="G25" s="46" t="s">
        <v>255</v>
      </c>
      <c r="H25" s="46" t="s">
        <v>90</v>
      </c>
      <c r="I25" s="46" t="s">
        <v>90</v>
      </c>
      <c r="J25" s="47">
        <f t="shared" si="1"/>
        <v>100</v>
      </c>
    </row>
    <row r="26" spans="1:10" ht="21" customHeight="1" x14ac:dyDescent="0.15">
      <c r="A26" s="7">
        <v>58002024</v>
      </c>
      <c r="B26" s="46">
        <v>0</v>
      </c>
      <c r="C26" s="46" t="s">
        <v>89</v>
      </c>
      <c r="D26" s="46">
        <v>100</v>
      </c>
      <c r="E26" s="46" t="s">
        <v>255</v>
      </c>
      <c r="F26" s="46" t="s">
        <v>90</v>
      </c>
      <c r="G26" s="46" t="s">
        <v>255</v>
      </c>
      <c r="H26" s="46" t="s">
        <v>90</v>
      </c>
      <c r="I26" s="46" t="s">
        <v>90</v>
      </c>
      <c r="J26" s="47">
        <f t="shared" si="1"/>
        <v>100</v>
      </c>
    </row>
    <row r="27" spans="1:10" ht="21" customHeight="1" x14ac:dyDescent="0.15">
      <c r="A27" s="7">
        <v>58002025</v>
      </c>
      <c r="B27" s="46">
        <v>1</v>
      </c>
      <c r="C27" s="46" t="s">
        <v>89</v>
      </c>
      <c r="D27" s="46">
        <v>100</v>
      </c>
      <c r="E27" s="46" t="s">
        <v>255</v>
      </c>
      <c r="F27" s="46" t="s">
        <v>90</v>
      </c>
      <c r="G27" s="46">
        <v>1</v>
      </c>
      <c r="H27" s="46" t="s">
        <v>90</v>
      </c>
      <c r="I27" s="46" t="s">
        <v>90</v>
      </c>
      <c r="J27" s="47">
        <f t="shared" si="1"/>
        <v>100</v>
      </c>
    </row>
    <row r="28" spans="1:10" ht="21" customHeight="1" x14ac:dyDescent="0.15">
      <c r="A28" s="7">
        <v>58002026</v>
      </c>
      <c r="B28" s="46">
        <v>0</v>
      </c>
      <c r="C28" s="46">
        <v>100</v>
      </c>
      <c r="D28" s="46">
        <v>50</v>
      </c>
      <c r="E28" s="46" t="s">
        <v>255</v>
      </c>
      <c r="F28" s="46" t="s">
        <v>90</v>
      </c>
      <c r="G28" s="46" t="s">
        <v>255</v>
      </c>
      <c r="H28" s="46" t="s">
        <v>90</v>
      </c>
      <c r="I28" s="46" t="s">
        <v>90</v>
      </c>
      <c r="J28" s="47">
        <f t="shared" si="1"/>
        <v>50</v>
      </c>
    </row>
    <row r="29" spans="1:10" ht="21" customHeight="1" x14ac:dyDescent="0.15">
      <c r="A29" s="7">
        <v>58002027</v>
      </c>
      <c r="B29" s="46">
        <v>0</v>
      </c>
      <c r="C29" s="46">
        <v>110</v>
      </c>
      <c r="D29" s="46">
        <v>100</v>
      </c>
      <c r="E29" s="46" t="s">
        <v>255</v>
      </c>
      <c r="F29" s="46" t="s">
        <v>90</v>
      </c>
      <c r="G29" s="46" t="s">
        <v>255</v>
      </c>
      <c r="H29" s="46">
        <v>3</v>
      </c>
      <c r="I29" s="46" t="s">
        <v>90</v>
      </c>
      <c r="J29" s="47">
        <f t="shared" si="1"/>
        <v>100</v>
      </c>
    </row>
    <row r="30" spans="1:10" ht="21" customHeight="1" x14ac:dyDescent="0.15">
      <c r="A30" s="7">
        <v>58002028</v>
      </c>
      <c r="B30" s="46">
        <v>0</v>
      </c>
      <c r="C30" s="46">
        <v>120</v>
      </c>
      <c r="D30" s="46">
        <v>100</v>
      </c>
      <c r="E30" s="46">
        <v>61</v>
      </c>
      <c r="F30" s="46" t="s">
        <v>90</v>
      </c>
      <c r="G30" s="46">
        <v>1</v>
      </c>
      <c r="H30" s="46">
        <v>1</v>
      </c>
      <c r="I30" s="46" t="s">
        <v>90</v>
      </c>
      <c r="J30" s="47">
        <f t="shared" si="1"/>
        <v>100</v>
      </c>
    </row>
    <row r="31" spans="1:10" ht="21" customHeight="1" x14ac:dyDescent="0.15">
      <c r="A31" s="7">
        <v>58002029</v>
      </c>
      <c r="B31" s="46">
        <v>0</v>
      </c>
      <c r="C31" s="46">
        <v>130</v>
      </c>
      <c r="D31" s="46">
        <v>100</v>
      </c>
      <c r="E31" s="46">
        <v>30</v>
      </c>
      <c r="F31" s="46" t="s">
        <v>90</v>
      </c>
      <c r="G31" s="46">
        <v>1</v>
      </c>
      <c r="H31" s="46">
        <v>1</v>
      </c>
      <c r="I31" s="46" t="s">
        <v>90</v>
      </c>
      <c r="J31" s="47">
        <f t="shared" si="1"/>
        <v>100</v>
      </c>
    </row>
    <row r="32" spans="1:10" ht="21" customHeight="1" x14ac:dyDescent="0.15">
      <c r="A32" s="7">
        <v>58002030</v>
      </c>
      <c r="B32" s="46">
        <v>0</v>
      </c>
      <c r="C32" s="46">
        <v>140</v>
      </c>
      <c r="D32" s="46">
        <v>100</v>
      </c>
      <c r="E32" s="46" t="s">
        <v>255</v>
      </c>
      <c r="F32" s="46" t="s">
        <v>90</v>
      </c>
      <c r="G32" s="46">
        <v>1</v>
      </c>
      <c r="H32" s="46">
        <v>6</v>
      </c>
      <c r="I32" s="46" t="s">
        <v>90</v>
      </c>
      <c r="J32" s="47">
        <f t="shared" si="1"/>
        <v>100</v>
      </c>
    </row>
    <row r="33" spans="1:10" ht="21" customHeight="1" x14ac:dyDescent="0.15">
      <c r="A33" s="7">
        <v>58002031</v>
      </c>
      <c r="B33" s="46">
        <v>0</v>
      </c>
      <c r="C33" s="46">
        <v>150</v>
      </c>
      <c r="D33" s="46">
        <v>100</v>
      </c>
      <c r="E33" s="46" t="s">
        <v>255</v>
      </c>
      <c r="F33" s="46" t="s">
        <v>90</v>
      </c>
      <c r="G33" s="46">
        <v>1</v>
      </c>
      <c r="H33" s="46">
        <v>7</v>
      </c>
      <c r="I33" s="46" t="s">
        <v>90</v>
      </c>
      <c r="J33" s="47">
        <f t="shared" si="1"/>
        <v>100</v>
      </c>
    </row>
    <row r="34" spans="1:10" ht="21" customHeight="1" x14ac:dyDescent="0.15">
      <c r="A34" s="7">
        <v>58002032</v>
      </c>
      <c r="B34" s="46">
        <v>0</v>
      </c>
      <c r="C34" s="46" t="s">
        <v>89</v>
      </c>
      <c r="D34" s="46">
        <v>100</v>
      </c>
      <c r="E34" s="46" t="s">
        <v>255</v>
      </c>
      <c r="F34" s="46" t="s">
        <v>90</v>
      </c>
      <c r="G34" s="46" t="s">
        <v>255</v>
      </c>
      <c r="H34" s="46" t="s">
        <v>90</v>
      </c>
      <c r="I34" s="46" t="s">
        <v>90</v>
      </c>
      <c r="J34" s="47">
        <f t="shared" si="1"/>
        <v>100</v>
      </c>
    </row>
    <row r="35" spans="1:10" ht="21" customHeight="1" x14ac:dyDescent="0.15">
      <c r="A35" s="7">
        <v>58002033</v>
      </c>
      <c r="B35" s="46">
        <v>0</v>
      </c>
      <c r="C35" s="46" t="s">
        <v>89</v>
      </c>
      <c r="D35" s="46">
        <v>100</v>
      </c>
      <c r="E35" s="46" t="s">
        <v>255</v>
      </c>
      <c r="F35" s="46" t="s">
        <v>90</v>
      </c>
      <c r="G35" s="46" t="s">
        <v>255</v>
      </c>
      <c r="H35" s="46" t="s">
        <v>90</v>
      </c>
      <c r="I35" s="46" t="s">
        <v>90</v>
      </c>
      <c r="J35" s="47">
        <f t="shared" si="1"/>
        <v>100</v>
      </c>
    </row>
    <row r="36" spans="1:10" ht="21" customHeight="1" x14ac:dyDescent="0.15">
      <c r="A36" s="7">
        <v>58002034</v>
      </c>
      <c r="B36" s="46">
        <v>0</v>
      </c>
      <c r="C36" s="46" t="s">
        <v>89</v>
      </c>
      <c r="D36" s="46">
        <v>100</v>
      </c>
      <c r="E36" s="46" t="s">
        <v>255</v>
      </c>
      <c r="F36" s="46" t="s">
        <v>90</v>
      </c>
      <c r="G36" s="46" t="s">
        <v>255</v>
      </c>
      <c r="H36" s="46" t="s">
        <v>90</v>
      </c>
      <c r="I36" s="46" t="s">
        <v>90</v>
      </c>
      <c r="J36" s="47">
        <f t="shared" si="1"/>
        <v>100</v>
      </c>
    </row>
    <row r="37" spans="1:10" ht="21" customHeight="1" x14ac:dyDescent="0.15">
      <c r="A37" s="7">
        <v>58002035</v>
      </c>
      <c r="B37" s="46">
        <v>1</v>
      </c>
      <c r="C37" s="46" t="s">
        <v>89</v>
      </c>
      <c r="D37" s="46">
        <v>100</v>
      </c>
      <c r="E37" s="46" t="s">
        <v>255</v>
      </c>
      <c r="F37" s="46" t="s">
        <v>90</v>
      </c>
      <c r="G37" s="46">
        <v>1</v>
      </c>
      <c r="H37" s="46" t="s">
        <v>90</v>
      </c>
      <c r="I37" s="46" t="s">
        <v>90</v>
      </c>
      <c r="J37" s="47">
        <f t="shared" si="1"/>
        <v>100</v>
      </c>
    </row>
    <row r="38" spans="1:10" ht="21" customHeight="1" x14ac:dyDescent="0.15">
      <c r="A38" s="7">
        <v>58002036</v>
      </c>
      <c r="B38" s="46">
        <v>0</v>
      </c>
      <c r="C38" s="46">
        <v>100</v>
      </c>
      <c r="D38" s="46">
        <v>100</v>
      </c>
      <c r="E38" s="46" t="s">
        <v>255</v>
      </c>
      <c r="F38" s="46" t="s">
        <v>90</v>
      </c>
      <c r="G38" s="46">
        <v>1</v>
      </c>
      <c r="H38" s="46">
        <v>1</v>
      </c>
      <c r="I38" s="46" t="s">
        <v>90</v>
      </c>
      <c r="J38" s="47">
        <f t="shared" si="1"/>
        <v>100</v>
      </c>
    </row>
    <row r="39" spans="1:10" ht="21" customHeight="1" x14ac:dyDescent="0.15">
      <c r="A39" s="7">
        <v>58002037</v>
      </c>
      <c r="B39" s="46">
        <v>0</v>
      </c>
      <c r="C39" s="46">
        <v>110</v>
      </c>
      <c r="D39" s="46">
        <v>100</v>
      </c>
      <c r="E39" s="46" t="s">
        <v>255</v>
      </c>
      <c r="F39" s="46" t="s">
        <v>90</v>
      </c>
      <c r="G39" s="46">
        <v>1</v>
      </c>
      <c r="H39" s="46">
        <v>2</v>
      </c>
      <c r="I39" s="46" t="s">
        <v>90</v>
      </c>
      <c r="J39" s="47">
        <f t="shared" si="1"/>
        <v>100</v>
      </c>
    </row>
    <row r="40" spans="1:10" ht="21" customHeight="1" x14ac:dyDescent="0.15">
      <c r="A40" s="7">
        <v>58002038</v>
      </c>
      <c r="B40" s="46">
        <v>0</v>
      </c>
      <c r="C40" s="46">
        <v>120</v>
      </c>
      <c r="D40" s="46">
        <v>100</v>
      </c>
      <c r="E40" s="46" t="s">
        <v>255</v>
      </c>
      <c r="F40" s="46" t="s">
        <v>90</v>
      </c>
      <c r="G40" s="46">
        <v>1</v>
      </c>
      <c r="H40" s="46">
        <v>3</v>
      </c>
      <c r="I40" s="46" t="s">
        <v>90</v>
      </c>
      <c r="J40" s="47">
        <f t="shared" si="1"/>
        <v>100</v>
      </c>
    </row>
    <row r="41" spans="1:10" ht="21" customHeight="1" x14ac:dyDescent="0.15">
      <c r="A41" s="7">
        <v>58002039</v>
      </c>
      <c r="B41" s="46">
        <v>0</v>
      </c>
      <c r="C41" s="46">
        <v>130</v>
      </c>
      <c r="D41" s="46">
        <v>100</v>
      </c>
      <c r="E41" s="46" t="s">
        <v>255</v>
      </c>
      <c r="F41" s="46" t="s">
        <v>90</v>
      </c>
      <c r="G41" s="46">
        <v>1</v>
      </c>
      <c r="H41" s="46">
        <v>4</v>
      </c>
      <c r="I41" s="46" t="s">
        <v>90</v>
      </c>
      <c r="J41" s="47">
        <f t="shared" si="1"/>
        <v>100</v>
      </c>
    </row>
    <row r="42" spans="1:10" ht="21" customHeight="1" x14ac:dyDescent="0.15">
      <c r="A42" s="7">
        <v>58002040</v>
      </c>
      <c r="B42" s="46">
        <v>0</v>
      </c>
      <c r="C42" s="46">
        <v>140</v>
      </c>
      <c r="D42" s="46">
        <v>100</v>
      </c>
      <c r="E42" s="46" t="s">
        <v>255</v>
      </c>
      <c r="F42" s="46" t="s">
        <v>90</v>
      </c>
      <c r="G42" s="46">
        <v>1</v>
      </c>
      <c r="H42" s="46">
        <v>5</v>
      </c>
      <c r="I42" s="46" t="s">
        <v>90</v>
      </c>
      <c r="J42" s="47">
        <f t="shared" si="1"/>
        <v>100</v>
      </c>
    </row>
    <row r="43" spans="1:10" ht="21" customHeight="1" x14ac:dyDescent="0.15">
      <c r="A43" s="7">
        <v>58002041</v>
      </c>
      <c r="B43" s="46">
        <v>0</v>
      </c>
      <c r="C43" s="46">
        <v>150</v>
      </c>
      <c r="D43" s="46">
        <v>100</v>
      </c>
      <c r="E43" s="46" t="s">
        <v>255</v>
      </c>
      <c r="F43" s="46" t="s">
        <v>90</v>
      </c>
      <c r="G43" s="46">
        <v>1</v>
      </c>
      <c r="H43" s="46">
        <v>6</v>
      </c>
      <c r="I43" s="46" t="s">
        <v>90</v>
      </c>
      <c r="J43" s="47">
        <f t="shared" si="1"/>
        <v>100</v>
      </c>
    </row>
    <row r="44" spans="1:10" ht="21" customHeight="1" x14ac:dyDescent="0.15">
      <c r="A44" s="7">
        <v>58002042</v>
      </c>
      <c r="B44" s="46">
        <v>0</v>
      </c>
      <c r="C44" s="46">
        <v>160</v>
      </c>
      <c r="D44" s="46">
        <v>100</v>
      </c>
      <c r="E44" s="46" t="s">
        <v>255</v>
      </c>
      <c r="F44" s="46" t="s">
        <v>90</v>
      </c>
      <c r="G44" s="46">
        <v>1</v>
      </c>
      <c r="H44" s="46">
        <v>7</v>
      </c>
      <c r="I44" s="46" t="s">
        <v>90</v>
      </c>
      <c r="J44" s="47">
        <f t="shared" si="1"/>
        <v>100</v>
      </c>
    </row>
    <row r="45" spans="1:10" ht="21" customHeight="1" x14ac:dyDescent="0.15">
      <c r="A45" s="7">
        <v>58002043</v>
      </c>
      <c r="B45" s="46">
        <v>0</v>
      </c>
      <c r="C45" s="46" t="s">
        <v>89</v>
      </c>
      <c r="D45" s="46">
        <v>100</v>
      </c>
      <c r="E45" s="46" t="s">
        <v>255</v>
      </c>
      <c r="F45" s="46" t="s">
        <v>90</v>
      </c>
      <c r="G45" s="46" t="s">
        <v>255</v>
      </c>
      <c r="H45" s="46" t="s">
        <v>90</v>
      </c>
      <c r="I45" s="46" t="s">
        <v>90</v>
      </c>
      <c r="J45" s="47">
        <f t="shared" si="1"/>
        <v>100</v>
      </c>
    </row>
    <row r="46" spans="1:10" ht="21" customHeight="1" x14ac:dyDescent="0.15">
      <c r="A46" s="7">
        <v>58002044</v>
      </c>
      <c r="B46" s="46">
        <v>0</v>
      </c>
      <c r="C46" s="46" t="s">
        <v>89</v>
      </c>
      <c r="D46" s="46">
        <v>100</v>
      </c>
      <c r="E46" s="46" t="s">
        <v>255</v>
      </c>
      <c r="F46" s="46" t="s">
        <v>90</v>
      </c>
      <c r="G46" s="46" t="s">
        <v>255</v>
      </c>
      <c r="H46" s="46" t="s">
        <v>90</v>
      </c>
      <c r="I46" s="46" t="s">
        <v>90</v>
      </c>
      <c r="J46" s="47">
        <f t="shared" si="1"/>
        <v>100</v>
      </c>
    </row>
    <row r="47" spans="1:10" ht="21" customHeight="1" x14ac:dyDescent="0.15">
      <c r="A47" s="7">
        <v>58002045</v>
      </c>
      <c r="B47" s="46">
        <v>1</v>
      </c>
      <c r="C47" s="46" t="s">
        <v>89</v>
      </c>
      <c r="D47" s="46">
        <v>100</v>
      </c>
      <c r="E47" s="46" t="s">
        <v>255</v>
      </c>
      <c r="F47" s="46" t="s">
        <v>90</v>
      </c>
      <c r="G47" s="46">
        <v>1</v>
      </c>
      <c r="H47" s="46" t="s">
        <v>90</v>
      </c>
      <c r="I47" s="46" t="s">
        <v>90</v>
      </c>
      <c r="J47" s="47">
        <f t="shared" si="1"/>
        <v>100</v>
      </c>
    </row>
    <row r="48" spans="1:10" ht="21" customHeight="1" x14ac:dyDescent="0.15">
      <c r="A48" s="7">
        <v>58002046</v>
      </c>
      <c r="B48" s="46">
        <v>0</v>
      </c>
      <c r="C48" s="46">
        <v>100</v>
      </c>
      <c r="D48" s="46">
        <v>50</v>
      </c>
      <c r="E48" s="46" t="s">
        <v>255</v>
      </c>
      <c r="F48" s="46" t="s">
        <v>90</v>
      </c>
      <c r="G48" s="46" t="s">
        <v>255</v>
      </c>
      <c r="H48" s="46" t="s">
        <v>90</v>
      </c>
      <c r="I48" s="46" t="s">
        <v>90</v>
      </c>
      <c r="J48" s="47">
        <f t="shared" si="1"/>
        <v>50</v>
      </c>
    </row>
    <row r="49" spans="1:10" ht="21" customHeight="1" x14ac:dyDescent="0.15">
      <c r="A49" s="7">
        <v>58002047</v>
      </c>
      <c r="B49" s="46">
        <v>0</v>
      </c>
      <c r="C49" s="46">
        <v>110</v>
      </c>
      <c r="D49" s="46">
        <v>100</v>
      </c>
      <c r="E49" s="46" t="s">
        <v>255</v>
      </c>
      <c r="F49" s="46">
        <v>50</v>
      </c>
      <c r="G49" s="46">
        <v>1</v>
      </c>
      <c r="H49" s="46">
        <v>2</v>
      </c>
      <c r="I49" s="46" t="s">
        <v>90</v>
      </c>
      <c r="J49" s="47">
        <f t="shared" si="1"/>
        <v>100</v>
      </c>
    </row>
    <row r="50" spans="1:10" ht="21" customHeight="1" x14ac:dyDescent="0.15">
      <c r="A50" s="7">
        <v>58002048</v>
      </c>
      <c r="B50" s="46">
        <v>0</v>
      </c>
      <c r="C50" s="46">
        <v>120</v>
      </c>
      <c r="D50" s="46">
        <v>100</v>
      </c>
      <c r="E50" s="46" t="s">
        <v>255</v>
      </c>
      <c r="F50" s="46">
        <v>50</v>
      </c>
      <c r="G50" s="46">
        <v>1</v>
      </c>
      <c r="H50" s="46">
        <v>3</v>
      </c>
      <c r="I50" s="46" t="s">
        <v>90</v>
      </c>
      <c r="J50" s="47">
        <f t="shared" si="1"/>
        <v>100</v>
      </c>
    </row>
    <row r="51" spans="1:10" ht="21" customHeight="1" x14ac:dyDescent="0.15">
      <c r="A51" s="7">
        <v>58002049</v>
      </c>
      <c r="B51" s="46">
        <v>0</v>
      </c>
      <c r="C51" s="46">
        <v>130</v>
      </c>
      <c r="D51" s="46">
        <v>100</v>
      </c>
      <c r="E51" s="46">
        <v>50</v>
      </c>
      <c r="F51" s="46" t="s">
        <v>90</v>
      </c>
      <c r="G51" s="46">
        <v>1</v>
      </c>
      <c r="H51" s="46" t="s">
        <v>90</v>
      </c>
      <c r="I51" s="46" t="s">
        <v>90</v>
      </c>
      <c r="J51" s="47">
        <f t="shared" si="1"/>
        <v>100</v>
      </c>
    </row>
    <row r="52" spans="1:10" ht="21" customHeight="1" x14ac:dyDescent="0.15">
      <c r="A52" s="7">
        <v>58002050</v>
      </c>
      <c r="B52" s="46">
        <v>0</v>
      </c>
      <c r="C52" s="46">
        <v>140</v>
      </c>
      <c r="D52" s="46">
        <v>100</v>
      </c>
      <c r="E52" s="46">
        <v>50</v>
      </c>
      <c r="F52" s="46" t="s">
        <v>90</v>
      </c>
      <c r="G52" s="46" t="s">
        <v>255</v>
      </c>
      <c r="H52" s="46" t="s">
        <v>90</v>
      </c>
      <c r="I52" s="46" t="s">
        <v>90</v>
      </c>
      <c r="J52" s="47">
        <f t="shared" si="1"/>
        <v>100</v>
      </c>
    </row>
    <row r="53" spans="1:10" ht="21" customHeight="1" x14ac:dyDescent="0.15">
      <c r="A53" s="7">
        <v>58002051</v>
      </c>
      <c r="B53" s="46">
        <v>0</v>
      </c>
      <c r="C53" s="46">
        <v>150</v>
      </c>
      <c r="D53" s="46">
        <v>100</v>
      </c>
      <c r="E53" s="46" t="s">
        <v>255</v>
      </c>
      <c r="F53" s="46" t="s">
        <v>90</v>
      </c>
      <c r="G53" s="46">
        <v>1</v>
      </c>
      <c r="H53" s="46">
        <v>6</v>
      </c>
      <c r="I53" s="46" t="s">
        <v>90</v>
      </c>
      <c r="J53" s="47">
        <f t="shared" si="1"/>
        <v>100</v>
      </c>
    </row>
    <row r="54" spans="1:10" ht="21" customHeight="1" x14ac:dyDescent="0.15">
      <c r="A54" s="7">
        <v>58002052</v>
      </c>
      <c r="B54" s="46">
        <v>0</v>
      </c>
      <c r="C54" s="46">
        <v>160</v>
      </c>
      <c r="D54" s="46">
        <v>100</v>
      </c>
      <c r="E54" s="46" t="s">
        <v>255</v>
      </c>
      <c r="F54" s="46" t="s">
        <v>90</v>
      </c>
      <c r="G54" s="46">
        <v>1</v>
      </c>
      <c r="H54" s="46">
        <v>7</v>
      </c>
      <c r="I54" s="46" t="s">
        <v>90</v>
      </c>
      <c r="J54" s="47">
        <f t="shared" si="1"/>
        <v>100</v>
      </c>
    </row>
    <row r="55" spans="1:10" ht="21" customHeight="1" x14ac:dyDescent="0.15">
      <c r="A55" s="7">
        <v>58002053</v>
      </c>
      <c r="B55" s="46">
        <v>0</v>
      </c>
      <c r="C55" s="46">
        <v>143</v>
      </c>
      <c r="D55" s="46">
        <v>100</v>
      </c>
      <c r="E55" s="46" t="s">
        <v>255</v>
      </c>
      <c r="F55" s="46" t="s">
        <v>90</v>
      </c>
      <c r="G55" s="46">
        <v>1</v>
      </c>
      <c r="H55" s="46">
        <v>4</v>
      </c>
      <c r="I55" s="46" t="s">
        <v>90</v>
      </c>
      <c r="J55" s="47">
        <f t="shared" si="1"/>
        <v>100</v>
      </c>
    </row>
    <row r="56" spans="1:10" ht="21" customHeight="1" x14ac:dyDescent="0.15">
      <c r="A56" s="7">
        <v>58002054</v>
      </c>
      <c r="B56" s="46">
        <v>0</v>
      </c>
      <c r="C56" s="46">
        <v>145</v>
      </c>
      <c r="D56" s="46">
        <v>100</v>
      </c>
      <c r="E56" s="46" t="s">
        <v>255</v>
      </c>
      <c r="F56" s="46" t="s">
        <v>90</v>
      </c>
      <c r="G56" s="46">
        <v>1</v>
      </c>
      <c r="H56" s="46">
        <v>5</v>
      </c>
      <c r="I56" s="46" t="s">
        <v>90</v>
      </c>
      <c r="J56" s="47">
        <f t="shared" si="1"/>
        <v>100</v>
      </c>
    </row>
    <row r="57" spans="1:10" ht="21" customHeight="1" x14ac:dyDescent="0.15">
      <c r="A57" s="7">
        <v>58002055</v>
      </c>
      <c r="B57" s="46">
        <v>1</v>
      </c>
      <c r="C57" s="46" t="s">
        <v>89</v>
      </c>
      <c r="D57" s="46">
        <v>100</v>
      </c>
      <c r="E57" s="46" t="s">
        <v>255</v>
      </c>
      <c r="F57" s="46" t="s">
        <v>90</v>
      </c>
      <c r="G57" s="46">
        <v>1</v>
      </c>
      <c r="H57" s="46" t="s">
        <v>90</v>
      </c>
      <c r="I57" s="46" t="s">
        <v>90</v>
      </c>
      <c r="J57" s="47">
        <f t="shared" si="1"/>
        <v>100</v>
      </c>
    </row>
    <row r="58" spans="1:10" ht="21" customHeight="1" x14ac:dyDescent="0.15">
      <c r="A58" s="7">
        <v>58002056</v>
      </c>
      <c r="B58" s="46">
        <v>0</v>
      </c>
      <c r="C58" s="46">
        <v>100</v>
      </c>
      <c r="D58" s="46">
        <v>50</v>
      </c>
      <c r="E58" s="46" t="s">
        <v>255</v>
      </c>
      <c r="F58" s="46" t="s">
        <v>90</v>
      </c>
      <c r="G58" s="46" t="s">
        <v>255</v>
      </c>
      <c r="H58" s="46" t="s">
        <v>90</v>
      </c>
      <c r="I58" s="46" t="s">
        <v>90</v>
      </c>
      <c r="J58" s="47">
        <f t="shared" si="1"/>
        <v>50</v>
      </c>
    </row>
    <row r="59" spans="1:10" ht="21" customHeight="1" x14ac:dyDescent="0.15">
      <c r="A59" s="7">
        <v>58002057</v>
      </c>
      <c r="B59" s="46">
        <v>0</v>
      </c>
      <c r="C59" s="46">
        <v>110</v>
      </c>
      <c r="D59" s="46">
        <v>100</v>
      </c>
      <c r="E59" s="46" t="s">
        <v>255</v>
      </c>
      <c r="F59" s="46">
        <v>50</v>
      </c>
      <c r="G59" s="46" t="s">
        <v>255</v>
      </c>
      <c r="H59" s="46">
        <v>2</v>
      </c>
      <c r="I59" s="46" t="s">
        <v>90</v>
      </c>
      <c r="J59" s="47">
        <f t="shared" si="1"/>
        <v>100</v>
      </c>
    </row>
    <row r="60" spans="1:10" ht="21" customHeight="1" x14ac:dyDescent="0.15">
      <c r="A60" s="7">
        <v>58002058</v>
      </c>
      <c r="B60" s="46">
        <v>0</v>
      </c>
      <c r="C60" s="46">
        <v>120</v>
      </c>
      <c r="D60" s="46">
        <v>100</v>
      </c>
      <c r="E60" s="46" t="s">
        <v>255</v>
      </c>
      <c r="F60" s="46">
        <v>50</v>
      </c>
      <c r="G60" s="46" t="s">
        <v>255</v>
      </c>
      <c r="H60" s="46">
        <v>3</v>
      </c>
      <c r="I60" s="46" t="s">
        <v>90</v>
      </c>
      <c r="J60" s="47">
        <f t="shared" si="1"/>
        <v>100</v>
      </c>
    </row>
    <row r="61" spans="1:10" ht="21" customHeight="1" x14ac:dyDescent="0.15">
      <c r="A61" s="7">
        <v>58002059</v>
      </c>
      <c r="B61" s="46">
        <v>0</v>
      </c>
      <c r="C61" s="46">
        <v>130</v>
      </c>
      <c r="D61" s="46">
        <v>100</v>
      </c>
      <c r="E61" s="46" t="s">
        <v>90</v>
      </c>
      <c r="F61" s="46" t="s">
        <v>90</v>
      </c>
      <c r="G61" s="46">
        <v>1</v>
      </c>
      <c r="H61" s="46">
        <v>4</v>
      </c>
      <c r="I61" s="46" t="s">
        <v>90</v>
      </c>
      <c r="J61" s="47">
        <f t="shared" si="1"/>
        <v>100</v>
      </c>
    </row>
    <row r="62" spans="1:10" ht="21" customHeight="1" x14ac:dyDescent="0.15">
      <c r="A62" s="7">
        <v>58002060</v>
      </c>
      <c r="B62" s="46">
        <v>0</v>
      </c>
      <c r="C62" s="46">
        <v>140</v>
      </c>
      <c r="D62" s="46">
        <v>100</v>
      </c>
      <c r="E62" s="46" t="s">
        <v>90</v>
      </c>
      <c r="F62" s="46" t="s">
        <v>90</v>
      </c>
      <c r="G62" s="46">
        <v>1</v>
      </c>
      <c r="H62" s="46">
        <v>5</v>
      </c>
      <c r="I62" s="46" t="s">
        <v>90</v>
      </c>
      <c r="J62" s="47">
        <f t="shared" si="1"/>
        <v>100</v>
      </c>
    </row>
    <row r="63" spans="1:10" ht="21" customHeight="1" x14ac:dyDescent="0.15">
      <c r="A63" s="7">
        <v>58002061</v>
      </c>
      <c r="B63" s="46">
        <v>0</v>
      </c>
      <c r="C63" s="46">
        <v>150</v>
      </c>
      <c r="D63" s="46">
        <v>100</v>
      </c>
      <c r="E63" s="46" t="s">
        <v>255</v>
      </c>
      <c r="F63" s="46" t="s">
        <v>90</v>
      </c>
      <c r="G63" s="46">
        <v>1</v>
      </c>
      <c r="H63" s="46">
        <v>6</v>
      </c>
      <c r="I63" s="46" t="s">
        <v>90</v>
      </c>
      <c r="J63" s="47">
        <f t="shared" si="1"/>
        <v>100</v>
      </c>
    </row>
    <row r="64" spans="1:10" ht="21" customHeight="1" x14ac:dyDescent="0.15">
      <c r="A64" s="7">
        <v>58002062</v>
      </c>
      <c r="B64" s="46">
        <v>0</v>
      </c>
      <c r="C64" s="46">
        <v>160</v>
      </c>
      <c r="D64" s="46">
        <v>100</v>
      </c>
      <c r="E64" s="46" t="s">
        <v>255</v>
      </c>
      <c r="F64" s="46" t="s">
        <v>90</v>
      </c>
      <c r="G64" s="46">
        <v>1</v>
      </c>
      <c r="H64" s="46">
        <v>7</v>
      </c>
      <c r="I64" s="46" t="s">
        <v>90</v>
      </c>
      <c r="J64" s="47">
        <f t="shared" si="1"/>
        <v>100</v>
      </c>
    </row>
    <row r="65" spans="1:10" ht="21" customHeight="1" x14ac:dyDescent="0.15">
      <c r="A65" s="7">
        <v>58002063</v>
      </c>
      <c r="B65" s="46">
        <v>0</v>
      </c>
      <c r="C65" s="46" t="s">
        <v>89</v>
      </c>
      <c r="D65" s="46">
        <v>100</v>
      </c>
      <c r="E65" s="46" t="s">
        <v>255</v>
      </c>
      <c r="F65" s="46" t="s">
        <v>90</v>
      </c>
      <c r="G65" s="46" t="s">
        <v>255</v>
      </c>
      <c r="H65" s="46" t="s">
        <v>90</v>
      </c>
      <c r="I65" s="46" t="s">
        <v>90</v>
      </c>
      <c r="J65" s="47">
        <f t="shared" si="1"/>
        <v>100</v>
      </c>
    </row>
    <row r="66" spans="1:10" ht="21" customHeight="1" x14ac:dyDescent="0.15">
      <c r="A66" s="7">
        <v>58002064</v>
      </c>
      <c r="B66" s="46">
        <v>0</v>
      </c>
      <c r="C66" s="46" t="s">
        <v>89</v>
      </c>
      <c r="D66" s="46">
        <v>100</v>
      </c>
      <c r="E66" s="46" t="s">
        <v>255</v>
      </c>
      <c r="F66" s="46" t="s">
        <v>90</v>
      </c>
      <c r="G66" s="46" t="s">
        <v>255</v>
      </c>
      <c r="H66" s="46" t="s">
        <v>90</v>
      </c>
      <c r="I66" s="46" t="s">
        <v>90</v>
      </c>
      <c r="J66" s="47">
        <f t="shared" si="1"/>
        <v>100</v>
      </c>
    </row>
    <row r="67" spans="1:10" ht="21" customHeight="1" x14ac:dyDescent="0.15">
      <c r="A67" s="7">
        <v>58002065</v>
      </c>
      <c r="B67" s="46">
        <v>1</v>
      </c>
      <c r="C67" s="46" t="s">
        <v>89</v>
      </c>
      <c r="D67" s="46">
        <v>100</v>
      </c>
      <c r="E67" s="46" t="s">
        <v>255</v>
      </c>
      <c r="F67" s="46" t="s">
        <v>90</v>
      </c>
      <c r="G67" s="46">
        <v>1</v>
      </c>
      <c r="H67" s="46" t="s">
        <v>90</v>
      </c>
      <c r="I67" s="46" t="s">
        <v>90</v>
      </c>
      <c r="J67" s="47">
        <f t="shared" ref="J67:J111" si="2">D67</f>
        <v>100</v>
      </c>
    </row>
    <row r="68" spans="1:10" ht="21" customHeight="1" x14ac:dyDescent="0.15">
      <c r="A68" s="7">
        <v>58002066</v>
      </c>
      <c r="B68" s="46">
        <v>1</v>
      </c>
      <c r="C68" s="46">
        <v>150</v>
      </c>
      <c r="D68" s="46">
        <v>100</v>
      </c>
      <c r="E68" s="46" t="s">
        <v>255</v>
      </c>
      <c r="F68" s="46" t="s">
        <v>90</v>
      </c>
      <c r="G68" s="46">
        <v>1</v>
      </c>
      <c r="H68" s="46" t="s">
        <v>90</v>
      </c>
      <c r="I68" s="46">
        <v>8113</v>
      </c>
      <c r="J68" s="47">
        <f t="shared" si="2"/>
        <v>100</v>
      </c>
    </row>
    <row r="69" spans="1:10" ht="21" customHeight="1" x14ac:dyDescent="0.15">
      <c r="A69" s="7">
        <v>58002067</v>
      </c>
      <c r="B69" s="46">
        <v>1</v>
      </c>
      <c r="C69" s="46">
        <v>149</v>
      </c>
      <c r="D69" s="46">
        <v>100</v>
      </c>
      <c r="E69" s="46" t="s">
        <v>255</v>
      </c>
      <c r="F69" s="46" t="s">
        <v>90</v>
      </c>
      <c r="G69" s="46">
        <v>1</v>
      </c>
      <c r="H69" s="46" t="s">
        <v>90</v>
      </c>
      <c r="I69" s="46">
        <v>8083</v>
      </c>
      <c r="J69" s="47">
        <f t="shared" si="2"/>
        <v>100</v>
      </c>
    </row>
    <row r="70" spans="1:10" ht="21" customHeight="1" x14ac:dyDescent="0.15">
      <c r="A70" s="7">
        <v>58002068</v>
      </c>
      <c r="B70" s="46">
        <v>1</v>
      </c>
      <c r="C70" s="46">
        <v>148</v>
      </c>
      <c r="D70" s="46">
        <v>100</v>
      </c>
      <c r="E70" s="46" t="s">
        <v>255</v>
      </c>
      <c r="F70" s="46" t="s">
        <v>90</v>
      </c>
      <c r="G70" s="46">
        <v>1</v>
      </c>
      <c r="H70" s="46" t="s">
        <v>90</v>
      </c>
      <c r="I70" s="46">
        <v>432</v>
      </c>
      <c r="J70" s="47">
        <f t="shared" si="2"/>
        <v>100</v>
      </c>
    </row>
    <row r="71" spans="1:10" ht="21" customHeight="1" x14ac:dyDescent="0.15">
      <c r="A71" s="7">
        <v>58002069</v>
      </c>
      <c r="B71" s="46">
        <v>0</v>
      </c>
      <c r="C71" s="46">
        <v>130</v>
      </c>
      <c r="D71" s="46">
        <v>100</v>
      </c>
      <c r="E71" s="46" t="s">
        <v>255</v>
      </c>
      <c r="F71" s="46" t="s">
        <v>90</v>
      </c>
      <c r="G71" s="46">
        <v>1</v>
      </c>
      <c r="H71" s="46">
        <v>6</v>
      </c>
      <c r="I71" s="46" t="s">
        <v>90</v>
      </c>
      <c r="J71" s="47">
        <f t="shared" si="2"/>
        <v>100</v>
      </c>
    </row>
    <row r="72" spans="1:10" ht="21" customHeight="1" x14ac:dyDescent="0.15">
      <c r="A72" s="7">
        <v>58002070</v>
      </c>
      <c r="B72" s="46">
        <v>0</v>
      </c>
      <c r="C72" s="46">
        <v>140</v>
      </c>
      <c r="D72" s="46">
        <v>100</v>
      </c>
      <c r="E72" s="46" t="s">
        <v>255</v>
      </c>
      <c r="F72" s="46" t="s">
        <v>90</v>
      </c>
      <c r="G72" s="46">
        <v>1</v>
      </c>
      <c r="H72" s="46">
        <v>7</v>
      </c>
      <c r="I72" s="46" t="s">
        <v>90</v>
      </c>
      <c r="J72" s="47">
        <f t="shared" si="2"/>
        <v>100</v>
      </c>
    </row>
    <row r="73" spans="1:10" ht="21" customHeight="1" x14ac:dyDescent="0.15">
      <c r="A73" s="7">
        <v>58002071</v>
      </c>
      <c r="B73" s="46">
        <v>0</v>
      </c>
      <c r="C73" s="46">
        <v>100</v>
      </c>
      <c r="D73" s="46">
        <v>100</v>
      </c>
      <c r="E73" s="46">
        <v>61</v>
      </c>
      <c r="F73" s="46" t="s">
        <v>90</v>
      </c>
      <c r="G73" s="46">
        <v>1</v>
      </c>
      <c r="H73" s="46">
        <v>1</v>
      </c>
      <c r="I73" s="46" t="s">
        <v>90</v>
      </c>
      <c r="J73" s="47">
        <f t="shared" si="2"/>
        <v>100</v>
      </c>
    </row>
    <row r="74" spans="1:10" ht="21" customHeight="1" x14ac:dyDescent="0.15">
      <c r="A74" s="7">
        <v>58002072</v>
      </c>
      <c r="B74" s="46">
        <v>0</v>
      </c>
      <c r="C74" s="46">
        <v>110</v>
      </c>
      <c r="D74" s="46">
        <v>75</v>
      </c>
      <c r="E74" s="46">
        <v>60</v>
      </c>
      <c r="F74" s="46" t="s">
        <v>90</v>
      </c>
      <c r="G74" s="46" t="s">
        <v>255</v>
      </c>
      <c r="H74" s="46" t="s">
        <v>90</v>
      </c>
      <c r="I74" s="46" t="s">
        <v>90</v>
      </c>
      <c r="J74" s="47">
        <f t="shared" si="2"/>
        <v>75</v>
      </c>
    </row>
    <row r="75" spans="1:10" ht="21" customHeight="1" x14ac:dyDescent="0.15">
      <c r="A75" s="7">
        <v>58002073</v>
      </c>
      <c r="B75" s="46">
        <v>0</v>
      </c>
      <c r="C75" s="46">
        <v>120</v>
      </c>
      <c r="D75" s="46">
        <v>50</v>
      </c>
      <c r="E75" s="46">
        <v>60</v>
      </c>
      <c r="F75" s="46" t="s">
        <v>90</v>
      </c>
      <c r="G75" s="46" t="s">
        <v>255</v>
      </c>
      <c r="H75" s="46" t="s">
        <v>90</v>
      </c>
      <c r="I75" s="46" t="s">
        <v>90</v>
      </c>
      <c r="J75" s="47">
        <f t="shared" si="2"/>
        <v>50</v>
      </c>
    </row>
    <row r="76" spans="1:10" ht="21" customHeight="1" x14ac:dyDescent="0.15">
      <c r="A76" s="7">
        <v>58002074</v>
      </c>
      <c r="B76" s="46">
        <v>0</v>
      </c>
      <c r="C76" s="46" t="s">
        <v>89</v>
      </c>
      <c r="D76" s="46">
        <v>100</v>
      </c>
      <c r="E76" s="46" t="s">
        <v>255</v>
      </c>
      <c r="F76" s="46" t="s">
        <v>90</v>
      </c>
      <c r="G76" s="46" t="s">
        <v>255</v>
      </c>
      <c r="H76" s="46" t="s">
        <v>90</v>
      </c>
      <c r="I76" s="46" t="s">
        <v>90</v>
      </c>
      <c r="J76" s="47">
        <f t="shared" si="2"/>
        <v>100</v>
      </c>
    </row>
    <row r="77" spans="1:10" ht="21" customHeight="1" x14ac:dyDescent="0.15">
      <c r="A77" s="7">
        <v>58002075</v>
      </c>
      <c r="B77" s="46">
        <v>0</v>
      </c>
      <c r="C77" s="46" t="s">
        <v>89</v>
      </c>
      <c r="D77" s="46">
        <v>100</v>
      </c>
      <c r="E77" s="46" t="s">
        <v>255</v>
      </c>
      <c r="F77" s="46" t="s">
        <v>90</v>
      </c>
      <c r="G77" s="46" t="s">
        <v>255</v>
      </c>
      <c r="H77" s="46" t="s">
        <v>90</v>
      </c>
      <c r="I77" s="46" t="s">
        <v>90</v>
      </c>
      <c r="J77" s="47">
        <f t="shared" si="2"/>
        <v>100</v>
      </c>
    </row>
    <row r="78" spans="1:10" ht="21" customHeight="1" x14ac:dyDescent="0.15">
      <c r="A78" s="7">
        <v>58002076</v>
      </c>
      <c r="B78" s="46">
        <v>0</v>
      </c>
      <c r="C78" s="46" t="s">
        <v>89</v>
      </c>
      <c r="D78" s="46">
        <v>100</v>
      </c>
      <c r="E78" s="46" t="s">
        <v>255</v>
      </c>
      <c r="F78" s="46" t="s">
        <v>90</v>
      </c>
      <c r="G78" s="46" t="s">
        <v>255</v>
      </c>
      <c r="H78" s="46" t="s">
        <v>90</v>
      </c>
      <c r="I78" s="46" t="s">
        <v>90</v>
      </c>
      <c r="J78" s="47">
        <f t="shared" si="2"/>
        <v>100</v>
      </c>
    </row>
    <row r="79" spans="1:10" ht="21" customHeight="1" x14ac:dyDescent="0.15">
      <c r="A79" s="7">
        <v>58002077</v>
      </c>
      <c r="B79" s="46">
        <v>0</v>
      </c>
      <c r="C79" s="46" t="s">
        <v>89</v>
      </c>
      <c r="D79" s="46">
        <v>100</v>
      </c>
      <c r="E79" s="46" t="s">
        <v>255</v>
      </c>
      <c r="F79" s="46" t="s">
        <v>90</v>
      </c>
      <c r="G79" s="46" t="s">
        <v>255</v>
      </c>
      <c r="H79" s="46" t="s">
        <v>90</v>
      </c>
      <c r="I79" s="46" t="s">
        <v>90</v>
      </c>
      <c r="J79" s="47">
        <f t="shared" si="2"/>
        <v>100</v>
      </c>
    </row>
    <row r="80" spans="1:10" ht="21" customHeight="1" x14ac:dyDescent="0.15">
      <c r="A80" s="7">
        <v>58002078</v>
      </c>
      <c r="B80" s="46">
        <v>0</v>
      </c>
      <c r="C80" s="46" t="s">
        <v>89</v>
      </c>
      <c r="D80" s="46">
        <v>100</v>
      </c>
      <c r="E80" s="46" t="s">
        <v>255</v>
      </c>
      <c r="F80" s="46" t="s">
        <v>90</v>
      </c>
      <c r="G80" s="46" t="s">
        <v>255</v>
      </c>
      <c r="H80" s="46" t="s">
        <v>90</v>
      </c>
      <c r="I80" s="46" t="s">
        <v>90</v>
      </c>
      <c r="J80" s="47">
        <f t="shared" si="2"/>
        <v>100</v>
      </c>
    </row>
    <row r="81" spans="1:10" ht="21" customHeight="1" x14ac:dyDescent="0.15">
      <c r="A81" s="7">
        <v>58002079</v>
      </c>
      <c r="B81" s="46">
        <v>0</v>
      </c>
      <c r="C81" s="46" t="s">
        <v>89</v>
      </c>
      <c r="D81" s="46">
        <v>100</v>
      </c>
      <c r="E81" s="46" t="s">
        <v>255</v>
      </c>
      <c r="F81" s="46" t="s">
        <v>90</v>
      </c>
      <c r="G81" s="46" t="s">
        <v>255</v>
      </c>
      <c r="H81" s="46" t="s">
        <v>90</v>
      </c>
      <c r="I81" s="46" t="s">
        <v>90</v>
      </c>
      <c r="J81" s="47">
        <f t="shared" si="2"/>
        <v>100</v>
      </c>
    </row>
    <row r="82" spans="1:10" ht="21" customHeight="1" x14ac:dyDescent="0.15">
      <c r="A82" s="7">
        <v>58002080</v>
      </c>
      <c r="B82" s="46">
        <v>1</v>
      </c>
      <c r="C82" s="46" t="s">
        <v>89</v>
      </c>
      <c r="D82" s="46">
        <v>100</v>
      </c>
      <c r="E82" s="46" t="s">
        <v>255</v>
      </c>
      <c r="F82" s="46" t="s">
        <v>90</v>
      </c>
      <c r="G82" s="46">
        <v>1</v>
      </c>
      <c r="H82" s="46" t="s">
        <v>90</v>
      </c>
      <c r="I82" s="46" t="s">
        <v>90</v>
      </c>
      <c r="J82" s="47">
        <f t="shared" si="2"/>
        <v>100</v>
      </c>
    </row>
    <row r="83" spans="1:10" ht="21" customHeight="1" x14ac:dyDescent="0.15">
      <c r="A83" s="7">
        <v>58002081</v>
      </c>
      <c r="B83" s="46">
        <v>0</v>
      </c>
      <c r="C83" s="46">
        <v>100</v>
      </c>
      <c r="D83" s="46">
        <v>75</v>
      </c>
      <c r="E83" s="46" t="s">
        <v>255</v>
      </c>
      <c r="F83" s="46" t="s">
        <v>90</v>
      </c>
      <c r="G83" s="46" t="s">
        <v>255</v>
      </c>
      <c r="H83" s="46" t="s">
        <v>90</v>
      </c>
      <c r="I83" s="46" t="s">
        <v>90</v>
      </c>
      <c r="J83" s="47">
        <f t="shared" si="2"/>
        <v>75</v>
      </c>
    </row>
    <row r="84" spans="1:10" ht="21" customHeight="1" x14ac:dyDescent="0.15">
      <c r="A84" s="7">
        <v>58002082</v>
      </c>
      <c r="B84" s="46">
        <v>0</v>
      </c>
      <c r="C84" s="46">
        <v>120</v>
      </c>
      <c r="D84" s="46">
        <v>50</v>
      </c>
      <c r="E84" s="46" t="s">
        <v>255</v>
      </c>
      <c r="F84" s="46" t="s">
        <v>90</v>
      </c>
      <c r="G84" s="46" t="s">
        <v>255</v>
      </c>
      <c r="H84" s="46" t="s">
        <v>90</v>
      </c>
      <c r="I84" s="46" t="s">
        <v>90</v>
      </c>
      <c r="J84" s="47">
        <f t="shared" si="2"/>
        <v>50</v>
      </c>
    </row>
    <row r="85" spans="1:10" ht="21" customHeight="1" x14ac:dyDescent="0.15">
      <c r="A85" s="7">
        <v>58002083</v>
      </c>
      <c r="B85" s="46">
        <v>0</v>
      </c>
      <c r="C85" s="46">
        <v>130</v>
      </c>
      <c r="D85" s="46">
        <v>100</v>
      </c>
      <c r="E85" s="46">
        <v>50</v>
      </c>
      <c r="F85" s="46" t="s">
        <v>90</v>
      </c>
      <c r="G85" s="46">
        <v>1</v>
      </c>
      <c r="H85" s="46" t="s">
        <v>90</v>
      </c>
      <c r="I85" s="46" t="s">
        <v>90</v>
      </c>
      <c r="J85" s="47">
        <f t="shared" si="2"/>
        <v>100</v>
      </c>
    </row>
    <row r="86" spans="1:10" ht="21" customHeight="1" x14ac:dyDescent="0.15">
      <c r="A86" s="7">
        <v>58002084</v>
      </c>
      <c r="B86" s="46">
        <v>0</v>
      </c>
      <c r="C86" s="46">
        <v>140</v>
      </c>
      <c r="D86" s="46">
        <v>100</v>
      </c>
      <c r="E86" s="46">
        <v>50</v>
      </c>
      <c r="F86" s="46" t="s">
        <v>90</v>
      </c>
      <c r="G86" s="46">
        <v>1</v>
      </c>
      <c r="H86" s="46" t="s">
        <v>90</v>
      </c>
      <c r="I86" s="46" t="s">
        <v>90</v>
      </c>
      <c r="J86" s="47">
        <f t="shared" si="2"/>
        <v>100</v>
      </c>
    </row>
    <row r="87" spans="1:10" ht="21" customHeight="1" x14ac:dyDescent="0.15">
      <c r="A87" s="7">
        <v>58002085</v>
      </c>
      <c r="B87" s="46">
        <v>0</v>
      </c>
      <c r="C87" s="46">
        <v>150</v>
      </c>
      <c r="D87" s="46">
        <v>100</v>
      </c>
      <c r="E87" s="46" t="s">
        <v>255</v>
      </c>
      <c r="F87" s="46" t="s">
        <v>90</v>
      </c>
      <c r="G87" s="46">
        <v>1</v>
      </c>
      <c r="H87" s="46">
        <v>6</v>
      </c>
      <c r="I87" s="46" t="s">
        <v>90</v>
      </c>
      <c r="J87" s="47">
        <f t="shared" si="2"/>
        <v>100</v>
      </c>
    </row>
    <row r="88" spans="1:10" ht="21" customHeight="1" x14ac:dyDescent="0.15">
      <c r="A88" s="7">
        <v>58002086</v>
      </c>
      <c r="B88" s="46">
        <v>0</v>
      </c>
      <c r="C88" s="46">
        <v>160</v>
      </c>
      <c r="D88" s="46">
        <v>100</v>
      </c>
      <c r="E88" s="46" t="s">
        <v>255</v>
      </c>
      <c r="F88" s="46" t="s">
        <v>90</v>
      </c>
      <c r="G88" s="46">
        <v>1</v>
      </c>
      <c r="H88" s="46">
        <v>7</v>
      </c>
      <c r="I88" s="46" t="s">
        <v>90</v>
      </c>
      <c r="J88" s="47">
        <f t="shared" si="2"/>
        <v>100</v>
      </c>
    </row>
    <row r="89" spans="1:10" ht="21" customHeight="1" x14ac:dyDescent="0.15">
      <c r="A89" s="7">
        <v>58002087</v>
      </c>
      <c r="B89" s="46">
        <v>0</v>
      </c>
      <c r="C89" s="46" t="s">
        <v>89</v>
      </c>
      <c r="D89" s="46">
        <v>100</v>
      </c>
      <c r="E89" s="46" t="s">
        <v>255</v>
      </c>
      <c r="F89" s="46" t="s">
        <v>90</v>
      </c>
      <c r="G89" s="46" t="s">
        <v>255</v>
      </c>
      <c r="H89" s="46" t="s">
        <v>90</v>
      </c>
      <c r="I89" s="46" t="s">
        <v>90</v>
      </c>
      <c r="J89" s="47">
        <f t="shared" si="2"/>
        <v>100</v>
      </c>
    </row>
    <row r="90" spans="1:10" ht="21" customHeight="1" x14ac:dyDescent="0.15">
      <c r="A90" s="7">
        <v>58002088</v>
      </c>
      <c r="B90" s="46">
        <v>0</v>
      </c>
      <c r="C90" s="46" t="s">
        <v>89</v>
      </c>
      <c r="D90" s="46">
        <v>100</v>
      </c>
      <c r="E90" s="46" t="s">
        <v>255</v>
      </c>
      <c r="F90" s="46" t="s">
        <v>90</v>
      </c>
      <c r="G90" s="46" t="s">
        <v>255</v>
      </c>
      <c r="H90" s="46" t="s">
        <v>90</v>
      </c>
      <c r="I90" s="46" t="s">
        <v>90</v>
      </c>
      <c r="J90" s="47">
        <f t="shared" si="2"/>
        <v>100</v>
      </c>
    </row>
    <row r="91" spans="1:10" ht="21" customHeight="1" x14ac:dyDescent="0.15">
      <c r="A91" s="7">
        <v>58002089</v>
      </c>
      <c r="B91" s="46">
        <v>0</v>
      </c>
      <c r="C91" s="46" t="s">
        <v>89</v>
      </c>
      <c r="D91" s="46">
        <v>100</v>
      </c>
      <c r="E91" s="46" t="s">
        <v>255</v>
      </c>
      <c r="F91" s="46" t="s">
        <v>90</v>
      </c>
      <c r="G91" s="46" t="s">
        <v>255</v>
      </c>
      <c r="H91" s="46" t="s">
        <v>90</v>
      </c>
      <c r="I91" s="46" t="s">
        <v>90</v>
      </c>
      <c r="J91" s="47">
        <f t="shared" si="2"/>
        <v>100</v>
      </c>
    </row>
    <row r="92" spans="1:10" ht="21" customHeight="1" x14ac:dyDescent="0.15">
      <c r="A92" s="7">
        <v>58002090</v>
      </c>
      <c r="B92" s="46">
        <v>0</v>
      </c>
      <c r="C92" s="46" t="s">
        <v>89</v>
      </c>
      <c r="D92" s="46">
        <v>100</v>
      </c>
      <c r="E92" s="46" t="s">
        <v>255</v>
      </c>
      <c r="F92" s="46" t="s">
        <v>90</v>
      </c>
      <c r="G92" s="46" t="s">
        <v>255</v>
      </c>
      <c r="H92" s="46" t="s">
        <v>90</v>
      </c>
      <c r="I92" s="46" t="s">
        <v>90</v>
      </c>
      <c r="J92" s="47">
        <f t="shared" si="2"/>
        <v>100</v>
      </c>
    </row>
    <row r="93" spans="1:10" ht="21" customHeight="1" x14ac:dyDescent="0.15">
      <c r="A93" s="7">
        <v>58002091</v>
      </c>
      <c r="B93" s="46">
        <v>0</v>
      </c>
      <c r="C93" s="46" t="s">
        <v>89</v>
      </c>
      <c r="D93" s="46">
        <v>100</v>
      </c>
      <c r="E93" s="46" t="s">
        <v>255</v>
      </c>
      <c r="F93" s="46" t="s">
        <v>90</v>
      </c>
      <c r="G93" s="46" t="s">
        <v>255</v>
      </c>
      <c r="H93" s="46" t="s">
        <v>90</v>
      </c>
      <c r="I93" s="46" t="s">
        <v>90</v>
      </c>
      <c r="J93" s="47">
        <f t="shared" si="2"/>
        <v>100</v>
      </c>
    </row>
    <row r="94" spans="1:10" ht="21" customHeight="1" x14ac:dyDescent="0.15">
      <c r="A94" s="7">
        <v>58002092</v>
      </c>
      <c r="B94" s="46">
        <v>0</v>
      </c>
      <c r="C94" s="46" t="s">
        <v>89</v>
      </c>
      <c r="D94" s="46">
        <v>100</v>
      </c>
      <c r="E94" s="46" t="s">
        <v>255</v>
      </c>
      <c r="F94" s="46" t="s">
        <v>90</v>
      </c>
      <c r="G94" s="46" t="s">
        <v>255</v>
      </c>
      <c r="H94" s="46" t="s">
        <v>90</v>
      </c>
      <c r="I94" s="46" t="s">
        <v>90</v>
      </c>
      <c r="J94" s="47">
        <f t="shared" si="2"/>
        <v>100</v>
      </c>
    </row>
    <row r="95" spans="1:10" ht="21" customHeight="1" x14ac:dyDescent="0.15">
      <c r="A95" s="7">
        <v>58002093</v>
      </c>
      <c r="B95" s="46">
        <v>0</v>
      </c>
      <c r="C95" s="46" t="s">
        <v>89</v>
      </c>
      <c r="D95" s="46">
        <v>100</v>
      </c>
      <c r="E95" s="46" t="s">
        <v>255</v>
      </c>
      <c r="F95" s="46" t="s">
        <v>90</v>
      </c>
      <c r="G95" s="46" t="s">
        <v>255</v>
      </c>
      <c r="H95" s="46" t="s">
        <v>90</v>
      </c>
      <c r="I95" s="46" t="s">
        <v>90</v>
      </c>
      <c r="J95" s="47">
        <f t="shared" si="2"/>
        <v>100</v>
      </c>
    </row>
    <row r="96" spans="1:10" ht="21" customHeight="1" x14ac:dyDescent="0.15">
      <c r="A96" s="7">
        <v>58002094</v>
      </c>
      <c r="B96" s="46">
        <v>0</v>
      </c>
      <c r="C96" s="46" t="s">
        <v>89</v>
      </c>
      <c r="D96" s="46">
        <v>100</v>
      </c>
      <c r="E96" s="46" t="s">
        <v>255</v>
      </c>
      <c r="F96" s="46" t="s">
        <v>90</v>
      </c>
      <c r="G96" s="46" t="s">
        <v>255</v>
      </c>
      <c r="H96" s="46" t="s">
        <v>90</v>
      </c>
      <c r="I96" s="46" t="s">
        <v>90</v>
      </c>
      <c r="J96" s="47">
        <f t="shared" si="2"/>
        <v>100</v>
      </c>
    </row>
    <row r="97" spans="1:10" ht="21" customHeight="1" x14ac:dyDescent="0.15">
      <c r="A97" s="7">
        <v>58002095</v>
      </c>
      <c r="B97" s="46">
        <v>1</v>
      </c>
      <c r="C97" s="46" t="s">
        <v>89</v>
      </c>
      <c r="D97" s="46">
        <v>100</v>
      </c>
      <c r="E97" s="46" t="s">
        <v>255</v>
      </c>
      <c r="F97" s="46" t="s">
        <v>90</v>
      </c>
      <c r="G97" s="46">
        <v>1</v>
      </c>
      <c r="H97" s="46" t="s">
        <v>90</v>
      </c>
      <c r="I97" s="46" t="s">
        <v>90</v>
      </c>
      <c r="J97" s="47">
        <f t="shared" si="2"/>
        <v>100</v>
      </c>
    </row>
    <row r="98" spans="1:10" ht="21" customHeight="1" x14ac:dyDescent="0.15">
      <c r="A98" s="7">
        <v>58002096</v>
      </c>
      <c r="B98" s="46">
        <v>0</v>
      </c>
      <c r="C98" s="46">
        <v>130</v>
      </c>
      <c r="D98" s="46">
        <v>100</v>
      </c>
      <c r="E98" s="46" t="s">
        <v>255</v>
      </c>
      <c r="F98" s="46" t="s">
        <v>90</v>
      </c>
      <c r="G98" s="46">
        <v>1</v>
      </c>
      <c r="H98" s="46">
        <v>1</v>
      </c>
      <c r="I98" s="46" t="s">
        <v>90</v>
      </c>
      <c r="J98" s="47">
        <f t="shared" si="2"/>
        <v>100</v>
      </c>
    </row>
    <row r="99" spans="1:10" ht="21" customHeight="1" x14ac:dyDescent="0.15">
      <c r="A99" s="7">
        <v>58002097</v>
      </c>
      <c r="B99" s="46">
        <v>0</v>
      </c>
      <c r="C99" s="46">
        <v>110</v>
      </c>
      <c r="D99" s="46">
        <v>75</v>
      </c>
      <c r="E99" s="46" t="s">
        <v>255</v>
      </c>
      <c r="F99" s="46" t="s">
        <v>90</v>
      </c>
      <c r="G99" s="46" t="s">
        <v>255</v>
      </c>
      <c r="H99" s="46" t="s">
        <v>90</v>
      </c>
      <c r="I99" s="46" t="s">
        <v>90</v>
      </c>
      <c r="J99" s="47">
        <f t="shared" si="2"/>
        <v>75</v>
      </c>
    </row>
    <row r="100" spans="1:10" ht="21" customHeight="1" x14ac:dyDescent="0.15">
      <c r="A100" s="7">
        <v>58002098</v>
      </c>
      <c r="B100" s="46">
        <v>0</v>
      </c>
      <c r="C100" s="46">
        <v>120</v>
      </c>
      <c r="D100" s="46">
        <v>50</v>
      </c>
      <c r="E100" s="46" t="s">
        <v>255</v>
      </c>
      <c r="F100" s="46" t="s">
        <v>90</v>
      </c>
      <c r="G100" s="46" t="s">
        <v>255</v>
      </c>
      <c r="H100" s="46" t="s">
        <v>90</v>
      </c>
      <c r="I100" s="46" t="s">
        <v>90</v>
      </c>
      <c r="J100" s="47">
        <f t="shared" si="2"/>
        <v>50</v>
      </c>
    </row>
    <row r="101" spans="1:10" ht="21" customHeight="1" x14ac:dyDescent="0.15">
      <c r="A101" s="7">
        <v>58002099</v>
      </c>
      <c r="B101" s="46">
        <v>0</v>
      </c>
      <c r="C101" s="46">
        <v>140</v>
      </c>
      <c r="D101" s="46">
        <v>100</v>
      </c>
      <c r="E101" s="46">
        <v>50</v>
      </c>
      <c r="F101" s="46" t="s">
        <v>90</v>
      </c>
      <c r="G101" s="46">
        <v>1</v>
      </c>
      <c r="H101" s="46" t="s">
        <v>89</v>
      </c>
      <c r="I101" s="46" t="s">
        <v>90</v>
      </c>
      <c r="J101" s="47">
        <f t="shared" si="2"/>
        <v>100</v>
      </c>
    </row>
    <row r="102" spans="1:10" ht="21" customHeight="1" x14ac:dyDescent="0.15">
      <c r="A102" s="7">
        <v>58002100</v>
      </c>
      <c r="B102" s="46">
        <v>0</v>
      </c>
      <c r="C102" s="46">
        <v>150</v>
      </c>
      <c r="D102" s="46">
        <v>100</v>
      </c>
      <c r="E102" s="46" t="s">
        <v>255</v>
      </c>
      <c r="F102" s="46" t="s">
        <v>90</v>
      </c>
      <c r="G102" s="46">
        <v>1</v>
      </c>
      <c r="H102" s="46">
        <v>6</v>
      </c>
      <c r="I102" s="46" t="s">
        <v>90</v>
      </c>
      <c r="J102" s="47">
        <f t="shared" si="2"/>
        <v>100</v>
      </c>
    </row>
    <row r="103" spans="1:10" ht="21" customHeight="1" x14ac:dyDescent="0.15">
      <c r="A103" s="7">
        <v>58002101</v>
      </c>
      <c r="B103" s="46">
        <v>0</v>
      </c>
      <c r="C103" s="46">
        <v>160</v>
      </c>
      <c r="D103" s="46">
        <v>100</v>
      </c>
      <c r="E103" s="46" t="s">
        <v>255</v>
      </c>
      <c r="F103" s="46" t="s">
        <v>90</v>
      </c>
      <c r="G103" s="46">
        <v>1</v>
      </c>
      <c r="H103" s="46">
        <v>7</v>
      </c>
      <c r="I103" s="46" t="s">
        <v>90</v>
      </c>
      <c r="J103" s="47">
        <f t="shared" si="2"/>
        <v>100</v>
      </c>
    </row>
    <row r="104" spans="1:10" ht="21" customHeight="1" x14ac:dyDescent="0.15">
      <c r="A104" s="7">
        <v>58002102</v>
      </c>
      <c r="B104" s="46">
        <v>0</v>
      </c>
      <c r="C104" s="46">
        <v>199</v>
      </c>
      <c r="D104" s="46">
        <v>100</v>
      </c>
      <c r="E104" s="46" t="s">
        <v>255</v>
      </c>
      <c r="F104" s="46" t="s">
        <v>90</v>
      </c>
      <c r="G104" s="46">
        <v>0</v>
      </c>
      <c r="H104" s="46" t="s">
        <v>90</v>
      </c>
      <c r="I104" s="46">
        <v>8113</v>
      </c>
      <c r="J104" s="47">
        <f t="shared" si="2"/>
        <v>100</v>
      </c>
    </row>
    <row r="105" spans="1:10" ht="21" customHeight="1" x14ac:dyDescent="0.15">
      <c r="A105" s="7">
        <v>58002103</v>
      </c>
      <c r="B105" s="46">
        <v>0</v>
      </c>
      <c r="C105" s="46">
        <v>200</v>
      </c>
      <c r="D105" s="46">
        <v>100</v>
      </c>
      <c r="E105" s="46" t="s">
        <v>255</v>
      </c>
      <c r="F105" s="46" t="s">
        <v>90</v>
      </c>
      <c r="G105" s="46">
        <v>0</v>
      </c>
      <c r="H105" s="46" t="s">
        <v>90</v>
      </c>
      <c r="I105" s="46">
        <v>8114</v>
      </c>
      <c r="J105" s="47">
        <f t="shared" si="2"/>
        <v>100</v>
      </c>
    </row>
    <row r="106" spans="1:10" ht="21" customHeight="1" x14ac:dyDescent="0.15">
      <c r="A106" s="7">
        <v>58002104</v>
      </c>
      <c r="B106" s="46">
        <v>0</v>
      </c>
      <c r="C106" s="46">
        <v>197</v>
      </c>
      <c r="D106" s="46">
        <v>100</v>
      </c>
      <c r="E106" s="46" t="s">
        <v>255</v>
      </c>
      <c r="F106" s="46" t="s">
        <v>90</v>
      </c>
      <c r="G106" s="46">
        <v>0</v>
      </c>
      <c r="H106" s="46" t="s">
        <v>90</v>
      </c>
      <c r="I106" s="46">
        <v>8083</v>
      </c>
      <c r="J106" s="47">
        <f t="shared" si="2"/>
        <v>100</v>
      </c>
    </row>
    <row r="107" spans="1:10" ht="21" customHeight="1" x14ac:dyDescent="0.15">
      <c r="A107" s="7">
        <v>58002105</v>
      </c>
      <c r="B107" s="46">
        <v>0</v>
      </c>
      <c r="C107" s="46">
        <v>198</v>
      </c>
      <c r="D107" s="46">
        <v>100</v>
      </c>
      <c r="E107" s="46" t="s">
        <v>255</v>
      </c>
      <c r="F107" s="46" t="s">
        <v>90</v>
      </c>
      <c r="G107" s="46">
        <v>0</v>
      </c>
      <c r="H107" s="46" t="s">
        <v>90</v>
      </c>
      <c r="I107" s="46">
        <v>8084</v>
      </c>
      <c r="J107" s="47">
        <f t="shared" si="2"/>
        <v>100</v>
      </c>
    </row>
    <row r="108" spans="1:10" ht="21" customHeight="1" x14ac:dyDescent="0.15">
      <c r="A108" s="7">
        <v>58002106</v>
      </c>
      <c r="B108" s="46">
        <v>0</v>
      </c>
      <c r="C108" s="46">
        <v>193</v>
      </c>
      <c r="D108" s="46">
        <v>100</v>
      </c>
      <c r="E108" s="46" t="s">
        <v>255</v>
      </c>
      <c r="F108" s="46" t="s">
        <v>90</v>
      </c>
      <c r="G108" s="46">
        <v>0</v>
      </c>
      <c r="H108" s="46" t="s">
        <v>90</v>
      </c>
      <c r="I108" s="46">
        <v>432</v>
      </c>
      <c r="J108" s="47">
        <f t="shared" si="2"/>
        <v>100</v>
      </c>
    </row>
    <row r="109" spans="1:10" ht="21" customHeight="1" x14ac:dyDescent="0.15">
      <c r="A109" s="7">
        <v>58002107</v>
      </c>
      <c r="B109" s="46">
        <v>0</v>
      </c>
      <c r="C109" s="46">
        <v>194</v>
      </c>
      <c r="D109" s="46">
        <v>100</v>
      </c>
      <c r="E109" s="46" t="s">
        <v>255</v>
      </c>
      <c r="F109" s="46" t="s">
        <v>90</v>
      </c>
      <c r="G109" s="46">
        <v>0</v>
      </c>
      <c r="H109" s="46" t="s">
        <v>90</v>
      </c>
      <c r="I109" s="46">
        <v>433</v>
      </c>
      <c r="J109" s="47">
        <f t="shared" si="2"/>
        <v>100</v>
      </c>
    </row>
    <row r="110" spans="1:10" ht="21" customHeight="1" x14ac:dyDescent="0.15">
      <c r="A110" s="7">
        <v>58002108</v>
      </c>
      <c r="B110" s="46">
        <v>0</v>
      </c>
      <c r="C110" s="46">
        <v>135</v>
      </c>
      <c r="D110" s="46">
        <v>100</v>
      </c>
      <c r="E110" s="46" t="s">
        <v>255</v>
      </c>
      <c r="F110" s="46" t="s">
        <v>90</v>
      </c>
      <c r="G110" s="46">
        <v>1</v>
      </c>
      <c r="H110" s="46">
        <v>2</v>
      </c>
      <c r="I110" s="46" t="s">
        <v>90</v>
      </c>
      <c r="J110" s="47">
        <f t="shared" si="2"/>
        <v>100</v>
      </c>
    </row>
    <row r="111" spans="1:10" ht="21" customHeight="1" x14ac:dyDescent="0.15">
      <c r="A111" s="7">
        <v>58002109</v>
      </c>
      <c r="B111" s="46">
        <v>0</v>
      </c>
      <c r="C111" s="46">
        <v>195</v>
      </c>
      <c r="D111" s="46">
        <v>100</v>
      </c>
      <c r="E111" s="46" t="s">
        <v>255</v>
      </c>
      <c r="F111" s="46" t="s">
        <v>90</v>
      </c>
      <c r="G111" s="46">
        <v>0</v>
      </c>
      <c r="H111" s="46" t="s">
        <v>90</v>
      </c>
      <c r="I111" s="46">
        <v>802</v>
      </c>
      <c r="J111" s="47">
        <f t="shared" si="2"/>
        <v>100</v>
      </c>
    </row>
    <row r="112" spans="1:10" ht="21" customHeight="1" x14ac:dyDescent="0.15">
      <c r="A112" s="7">
        <v>58002110</v>
      </c>
      <c r="B112" s="46">
        <v>0</v>
      </c>
      <c r="C112" s="46">
        <v>191</v>
      </c>
      <c r="D112" s="46">
        <v>100</v>
      </c>
      <c r="E112" s="46" t="s">
        <v>255</v>
      </c>
      <c r="F112" s="46" t="s">
        <v>90</v>
      </c>
      <c r="G112" s="46">
        <v>0</v>
      </c>
      <c r="H112" s="46" t="s">
        <v>90</v>
      </c>
      <c r="I112" s="46">
        <v>1053</v>
      </c>
      <c r="J112" s="47">
        <f t="shared" ref="J112:J114" si="3">D112</f>
        <v>100</v>
      </c>
    </row>
    <row r="113" spans="1:10" ht="21" customHeight="1" x14ac:dyDescent="0.15">
      <c r="A113" s="7">
        <v>58002111</v>
      </c>
      <c r="B113" s="46">
        <v>0</v>
      </c>
      <c r="C113" s="46">
        <v>192</v>
      </c>
      <c r="D113" s="46">
        <v>100</v>
      </c>
      <c r="E113" s="46" t="s">
        <v>255</v>
      </c>
      <c r="F113" s="46" t="s">
        <v>90</v>
      </c>
      <c r="G113" s="46">
        <v>0</v>
      </c>
      <c r="H113" s="46" t="s">
        <v>90</v>
      </c>
      <c r="I113" s="46">
        <v>1054</v>
      </c>
      <c r="J113" s="47">
        <f t="shared" si="3"/>
        <v>100</v>
      </c>
    </row>
    <row r="114" spans="1:10" ht="21" customHeight="1" x14ac:dyDescent="0.15">
      <c r="A114" s="7">
        <v>58002112</v>
      </c>
      <c r="B114" s="46">
        <v>0</v>
      </c>
      <c r="C114" s="46">
        <v>196</v>
      </c>
      <c r="D114" s="46">
        <v>100</v>
      </c>
      <c r="E114" s="46" t="s">
        <v>255</v>
      </c>
      <c r="F114" s="46" t="s">
        <v>90</v>
      </c>
      <c r="G114" s="46">
        <v>0</v>
      </c>
      <c r="H114" s="46" t="s">
        <v>90</v>
      </c>
      <c r="I114" s="46">
        <v>1120</v>
      </c>
      <c r="J114" s="47">
        <f t="shared" si="3"/>
        <v>100</v>
      </c>
    </row>
  </sheetData>
  <autoFilter ref="A1:G1"/>
  <phoneticPr fontId="5"/>
  <conditionalFormatting sqref="K112:K1048576 K1:K2">
    <cfRule type="duplicateValues" dxfId="1" priority="2"/>
  </conditionalFormatting>
  <conditionalFormatting sqref="K3:K111">
    <cfRule type="duplicateValues" dxfId="0" priority="4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workbookViewId="0">
      <selection activeCell="G21" sqref="G2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151</v>
      </c>
      <c r="B1" s="63" t="s">
        <v>152</v>
      </c>
      <c r="C1" s="64" t="s">
        <v>153</v>
      </c>
      <c r="D1" s="71" t="s">
        <v>154</v>
      </c>
      <c r="E1" s="65" t="s">
        <v>155</v>
      </c>
      <c r="F1" s="63" t="s">
        <v>156</v>
      </c>
      <c r="G1" s="63" t="s">
        <v>157</v>
      </c>
      <c r="H1" s="63" t="s">
        <v>158</v>
      </c>
      <c r="I1" s="63" t="s">
        <v>159</v>
      </c>
      <c r="J1" s="63" t="s">
        <v>160</v>
      </c>
      <c r="K1" s="63" t="s">
        <v>161</v>
      </c>
      <c r="L1" s="63" t="s">
        <v>162</v>
      </c>
      <c r="M1" s="63" t="s">
        <v>163</v>
      </c>
      <c r="N1" s="63" t="s">
        <v>164</v>
      </c>
      <c r="O1" s="63" t="s">
        <v>165</v>
      </c>
      <c r="P1" s="63" t="s">
        <v>166</v>
      </c>
      <c r="Q1" s="63" t="s">
        <v>167</v>
      </c>
      <c r="R1" s="63" t="s">
        <v>168</v>
      </c>
    </row>
    <row r="2" spans="1:18" x14ac:dyDescent="0.15">
      <c r="A2" s="56">
        <v>58002</v>
      </c>
      <c r="B2" s="56">
        <v>1</v>
      </c>
      <c r="C2" s="70" t="str">
        <f>A2&amp; "_"&amp;B2</f>
        <v>58002_1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</v>
      </c>
      <c r="F2" s="56" t="s">
        <v>169</v>
      </c>
      <c r="G2" s="56">
        <v>65000</v>
      </c>
      <c r="H2" s="56" t="s">
        <v>170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50</v>
      </c>
      <c r="Q2" s="56" t="s">
        <v>171</v>
      </c>
      <c r="R2" s="56" t="s">
        <v>172</v>
      </c>
    </row>
    <row r="3" spans="1:18" x14ac:dyDescent="0.15">
      <c r="A3" s="56">
        <v>58002</v>
      </c>
      <c r="B3" s="56">
        <v>1</v>
      </c>
      <c r="C3" s="70" t="str">
        <f t="shared" ref="C3:C15" si="0">A3&amp; "_"&amp;B3</f>
        <v>58002_1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461</v>
      </c>
      <c r="G3" s="56">
        <v>8115</v>
      </c>
      <c r="H3" s="56">
        <v>1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250</v>
      </c>
      <c r="Q3" s="56" t="s">
        <v>171</v>
      </c>
      <c r="R3" s="56" t="s">
        <v>172</v>
      </c>
    </row>
    <row r="4" spans="1:18" x14ac:dyDescent="0.15">
      <c r="A4" s="56">
        <v>58002</v>
      </c>
      <c r="B4" s="56">
        <v>1</v>
      </c>
      <c r="C4" s="70" t="str">
        <f t="shared" si="0"/>
        <v>58002_1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461</v>
      </c>
      <c r="G4" s="56">
        <v>343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250</v>
      </c>
      <c r="Q4" s="56" t="s">
        <v>171</v>
      </c>
      <c r="R4" s="56" t="s">
        <v>172</v>
      </c>
    </row>
    <row r="5" spans="1:18" x14ac:dyDescent="0.15">
      <c r="A5" s="56">
        <v>58002</v>
      </c>
      <c r="B5" s="56">
        <v>1</v>
      </c>
      <c r="C5" s="70" t="str">
        <f t="shared" si="0"/>
        <v>58002_1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56" t="s">
        <v>461</v>
      </c>
      <c r="G5" s="56">
        <v>353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50</v>
      </c>
      <c r="Q5" s="56" t="s">
        <v>171</v>
      </c>
      <c r="R5" s="56" t="s">
        <v>172</v>
      </c>
    </row>
    <row r="6" spans="1:18" x14ac:dyDescent="0.15">
      <c r="A6" s="56">
        <v>58002</v>
      </c>
      <c r="B6" s="56">
        <v>1</v>
      </c>
      <c r="C6" s="70" t="str">
        <f t="shared" si="0"/>
        <v>58002_1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461</v>
      </c>
      <c r="G6" s="56">
        <v>607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80</v>
      </c>
      <c r="Q6" s="56" t="s">
        <v>171</v>
      </c>
      <c r="R6" s="56" t="s">
        <v>172</v>
      </c>
    </row>
    <row r="7" spans="1:18" x14ac:dyDescent="0.15">
      <c r="A7" s="56">
        <v>58002</v>
      </c>
      <c r="B7" s="56">
        <v>1</v>
      </c>
      <c r="C7" s="70" t="str">
        <f t="shared" si="0"/>
        <v>58002_1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56" t="s">
        <v>461</v>
      </c>
      <c r="G7" s="56">
        <v>608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80</v>
      </c>
      <c r="Q7" s="56" t="s">
        <v>171</v>
      </c>
      <c r="R7" s="56" t="s">
        <v>172</v>
      </c>
    </row>
    <row r="8" spans="1:18" x14ac:dyDescent="0.15">
      <c r="A8" s="56">
        <v>58002</v>
      </c>
      <c r="B8" s="56">
        <v>1</v>
      </c>
      <c r="C8" s="70" t="str">
        <f t="shared" si="0"/>
        <v>58002_1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6">
        <v>7</v>
      </c>
      <c r="F8" s="56" t="s">
        <v>461</v>
      </c>
      <c r="G8" s="56">
        <v>609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80</v>
      </c>
      <c r="Q8" s="56" t="s">
        <v>171</v>
      </c>
      <c r="R8" s="56" t="s">
        <v>172</v>
      </c>
    </row>
    <row r="9" spans="1:18" x14ac:dyDescent="0.15">
      <c r="A9" s="56">
        <v>58002</v>
      </c>
      <c r="B9" s="56">
        <v>1</v>
      </c>
      <c r="C9" s="70" t="str">
        <f t="shared" si="0"/>
        <v>58002_1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8</v>
      </c>
      <c r="F9" s="56" t="s">
        <v>461</v>
      </c>
      <c r="G9" s="56">
        <v>611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30</v>
      </c>
      <c r="Q9" s="56" t="s">
        <v>171</v>
      </c>
      <c r="R9" s="56" t="s">
        <v>172</v>
      </c>
    </row>
    <row r="10" spans="1:18" x14ac:dyDescent="0.15">
      <c r="A10" s="56">
        <v>58002</v>
      </c>
      <c r="B10" s="56">
        <v>1</v>
      </c>
      <c r="C10" s="70" t="str">
        <f t="shared" si="0"/>
        <v>58002_1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56" t="s">
        <v>461</v>
      </c>
      <c r="G10" s="56">
        <v>612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30</v>
      </c>
      <c r="Q10" s="56" t="s">
        <v>171</v>
      </c>
      <c r="R10" s="56" t="s">
        <v>172</v>
      </c>
    </row>
    <row r="11" spans="1:18" x14ac:dyDescent="0.15">
      <c r="A11" s="56">
        <v>58002</v>
      </c>
      <c r="B11" s="56">
        <v>1</v>
      </c>
      <c r="C11" s="70" t="str">
        <f t="shared" si="0"/>
        <v>58002_1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6">
        <v>10</v>
      </c>
      <c r="F11" s="56" t="s">
        <v>461</v>
      </c>
      <c r="G11" s="56">
        <v>613</v>
      </c>
      <c r="H11" s="56">
        <v>1</v>
      </c>
      <c r="I11" s="56">
        <v>1</v>
      </c>
      <c r="J11" s="56">
        <v>1</v>
      </c>
      <c r="K11" s="56">
        <v>0</v>
      </c>
      <c r="L11" s="56">
        <v>0</v>
      </c>
      <c r="M11" s="56">
        <v>0</v>
      </c>
      <c r="N11" s="56">
        <v>0</v>
      </c>
      <c r="O11" s="56">
        <v>1</v>
      </c>
      <c r="P11" s="56">
        <v>30</v>
      </c>
      <c r="Q11" s="56" t="s">
        <v>171</v>
      </c>
      <c r="R11" s="56" t="s">
        <v>172</v>
      </c>
    </row>
    <row r="12" spans="1:18" x14ac:dyDescent="0.15">
      <c r="A12" s="56">
        <v>58002</v>
      </c>
      <c r="B12" s="56">
        <v>1</v>
      </c>
      <c r="C12" s="70" t="str">
        <f t="shared" si="0"/>
        <v>58002_1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6">
        <v>11</v>
      </c>
      <c r="F12" s="56" t="s">
        <v>461</v>
      </c>
      <c r="G12" s="56">
        <v>125</v>
      </c>
      <c r="H12" s="56">
        <v>1</v>
      </c>
      <c r="I12" s="56">
        <v>1</v>
      </c>
      <c r="J12" s="56">
        <v>1</v>
      </c>
      <c r="K12" s="56">
        <v>0</v>
      </c>
      <c r="L12" s="56">
        <v>0</v>
      </c>
      <c r="M12" s="56">
        <v>0</v>
      </c>
      <c r="N12" s="56">
        <v>0</v>
      </c>
      <c r="O12" s="56">
        <v>1</v>
      </c>
      <c r="P12" s="56">
        <v>30</v>
      </c>
      <c r="Q12" s="56" t="s">
        <v>171</v>
      </c>
      <c r="R12" s="56" t="s">
        <v>172</v>
      </c>
    </row>
    <row r="13" spans="1:18" x14ac:dyDescent="0.15">
      <c r="A13" s="56">
        <v>58002</v>
      </c>
      <c r="B13" s="56">
        <v>1</v>
      </c>
      <c r="C13" s="70" t="str">
        <f t="shared" si="0"/>
        <v>58002_1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12</v>
      </c>
      <c r="F13" s="56" t="s">
        <v>461</v>
      </c>
      <c r="G13" s="56">
        <v>610</v>
      </c>
      <c r="H13" s="56">
        <v>1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20</v>
      </c>
      <c r="Q13" s="56" t="s">
        <v>171</v>
      </c>
      <c r="R13" s="56" t="s">
        <v>172</v>
      </c>
    </row>
    <row r="14" spans="1:18" x14ac:dyDescent="0.15">
      <c r="A14" s="56">
        <v>58002</v>
      </c>
      <c r="B14" s="56">
        <v>1</v>
      </c>
      <c r="C14" s="70" t="str">
        <f t="shared" si="0"/>
        <v>58002_1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6">
        <v>13</v>
      </c>
      <c r="F14" s="56" t="s">
        <v>461</v>
      </c>
      <c r="G14" s="56">
        <v>614</v>
      </c>
      <c r="H14" s="56">
        <v>1</v>
      </c>
      <c r="I14" s="56">
        <v>1</v>
      </c>
      <c r="J14" s="56">
        <v>1</v>
      </c>
      <c r="K14" s="56">
        <v>0</v>
      </c>
      <c r="L14" s="56">
        <v>0</v>
      </c>
      <c r="M14" s="56">
        <v>0</v>
      </c>
      <c r="N14" s="56">
        <v>0</v>
      </c>
      <c r="O14" s="56">
        <v>1</v>
      </c>
      <c r="P14" s="56">
        <v>10</v>
      </c>
      <c r="Q14" s="56" t="s">
        <v>171</v>
      </c>
      <c r="R14" s="56" t="s">
        <v>172</v>
      </c>
    </row>
    <row r="15" spans="1:18" x14ac:dyDescent="0.15">
      <c r="A15" s="56">
        <v>58002</v>
      </c>
      <c r="B15" s="56">
        <v>1</v>
      </c>
      <c r="C15" s="70" t="str">
        <f t="shared" si="0"/>
        <v>58002_1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6">
        <v>14</v>
      </c>
      <c r="F15" s="56" t="s">
        <v>461</v>
      </c>
      <c r="G15" s="56">
        <v>837</v>
      </c>
      <c r="H15" s="56">
        <v>1</v>
      </c>
      <c r="I15" s="56">
        <v>1</v>
      </c>
      <c r="J15" s="56">
        <v>1</v>
      </c>
      <c r="K15" s="56">
        <v>0</v>
      </c>
      <c r="L15" s="56">
        <v>0</v>
      </c>
      <c r="M15" s="56">
        <v>0</v>
      </c>
      <c r="N15" s="56">
        <v>0</v>
      </c>
      <c r="O15" s="56">
        <v>1</v>
      </c>
      <c r="P15" s="56">
        <v>10</v>
      </c>
      <c r="Q15" s="56" t="s">
        <v>171</v>
      </c>
      <c r="R15" s="56" t="s">
        <v>172</v>
      </c>
    </row>
  </sheetData>
  <phoneticPr fontId="5"/>
  <dataValidations count="1">
    <dataValidation type="list" allowBlank="1" showInputMessage="1" showErrorMessage="1" sqref="F2:F15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:XFD25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190</v>
      </c>
      <c r="B1" s="72" t="s">
        <v>191</v>
      </c>
      <c r="C1" s="76" t="s">
        <v>192</v>
      </c>
      <c r="D1" s="76" t="s">
        <v>33</v>
      </c>
      <c r="E1" s="72" t="s">
        <v>193</v>
      </c>
      <c r="F1" s="76" t="s">
        <v>194</v>
      </c>
      <c r="G1" s="76" t="s">
        <v>33</v>
      </c>
      <c r="H1" s="72" t="s">
        <v>195</v>
      </c>
      <c r="I1" s="90" t="s">
        <v>197</v>
      </c>
      <c r="J1" s="78" t="s">
        <v>127</v>
      </c>
      <c r="K1" s="77" t="s">
        <v>188</v>
      </c>
      <c r="L1" s="91" t="s">
        <v>187</v>
      </c>
      <c r="M1" s="79" t="s">
        <v>198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2" activePane="bottomLeft" state="frozen"/>
      <selection pane="bottomLeft" activeCell="H1" sqref="H1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190</v>
      </c>
      <c r="B1" s="72" t="s">
        <v>151</v>
      </c>
      <c r="C1" s="76" t="s">
        <v>192</v>
      </c>
      <c r="D1" s="76" t="s">
        <v>33</v>
      </c>
      <c r="E1" s="72" t="s">
        <v>193</v>
      </c>
      <c r="F1" s="76" t="s">
        <v>18</v>
      </c>
      <c r="G1" s="76" t="s">
        <v>33</v>
      </c>
      <c r="H1" s="72" t="s">
        <v>195</v>
      </c>
      <c r="I1" s="88" t="s">
        <v>196</v>
      </c>
      <c r="J1" s="90" t="s">
        <v>197</v>
      </c>
      <c r="K1" s="78" t="s">
        <v>127</v>
      </c>
      <c r="L1" s="77" t="s">
        <v>188</v>
      </c>
      <c r="M1" s="91" t="s">
        <v>187</v>
      </c>
      <c r="N1" s="79" t="s">
        <v>198</v>
      </c>
    </row>
    <row r="2" spans="1:14" ht="28" x14ac:dyDescent="0.15">
      <c r="A2" s="80" t="s">
        <v>199</v>
      </c>
      <c r="B2" s="81">
        <f>floors!$C$2</f>
        <v>58002</v>
      </c>
      <c r="C2" s="82" t="str">
        <f ca="1">VLOOKUP($B2,OFFSET([2]quests!$A$1,0,0,COUNTA([2]quests!$A:$A),MATCH(C$1,[2]quests!$1:$1,0)-MATCH($B$1,[2]quests!$1:$1,0)+1),MATCH(C$1,[2]quests!$1:$1,0)-MATCH($B$1,[2]quests!$1:$1,0)+1,FALSE)</f>
        <v>始皇贏政襲来！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繁体字版超降臨2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【超ウィザード級】始皇贏政襲来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繁体字版超降臨2</v>
      </c>
      <c r="H2" s="84">
        <v>1</v>
      </c>
      <c r="I2" s="89">
        <f>ROW()-1</f>
        <v>1</v>
      </c>
      <c r="J2" s="85" t="str">
        <f>B2&amp;TEXT(I2,"00")</f>
        <v>5800201</v>
      </c>
      <c r="K2" s="83" t="s">
        <v>200</v>
      </c>
      <c r="L2" s="86" t="s">
        <v>254</v>
      </c>
      <c r="M2" s="104" t="s">
        <v>444</v>
      </c>
      <c r="N2" s="56" t="s">
        <v>201</v>
      </c>
    </row>
    <row r="3" spans="1:14" ht="42" x14ac:dyDescent="0.15">
      <c r="A3" s="80" t="s">
        <v>199</v>
      </c>
      <c r="B3" s="81">
        <f>floors!$C$2</f>
        <v>58002</v>
      </c>
      <c r="C3" s="82" t="str">
        <f ca="1">VLOOKUP($B3,OFFSET([2]quests!$A$1,0,0,COUNTA([2]quests!$A:$A),MATCH(C$1,[2]quests!$1:$1,0)-MATCH($B$1,[2]quests!$1:$1,0)+1),MATCH(C$1,[2]quests!$1:$1,0)-MATCH($B$1,[2]quests!$1:$1,0)+1,FALSE)</f>
        <v>始皇贏政襲来！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繁体字版超降臨2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【超ウィザード級】始皇贏政襲来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繁体字版超降臨2</v>
      </c>
      <c r="H3" s="84">
        <v>1</v>
      </c>
      <c r="I3" s="89">
        <f>ROW()-1</f>
        <v>2</v>
      </c>
      <c r="J3" s="85" t="str">
        <f>B3&amp;TEXT(I3,"00")</f>
        <v>5800202</v>
      </c>
      <c r="K3" s="83" t="s">
        <v>200</v>
      </c>
      <c r="L3" s="86" t="s">
        <v>254</v>
      </c>
      <c r="M3" s="104" t="s">
        <v>445</v>
      </c>
      <c r="N3" s="56" t="s">
        <v>201</v>
      </c>
    </row>
    <row r="4" spans="1:14" ht="42" x14ac:dyDescent="0.15">
      <c r="A4" s="80" t="s">
        <v>199</v>
      </c>
      <c r="B4" s="81">
        <f>floors!$C$2</f>
        <v>58002</v>
      </c>
      <c r="C4" s="82" t="str">
        <f ca="1">VLOOKUP($B4,OFFSET([2]quests!$A$1,0,0,COUNTA([2]quests!$A:$A),MATCH(C$1,[2]quests!$1:$1,0)-MATCH($B$1,[2]quests!$1:$1,0)+1),MATCH(C$1,[2]quests!$1:$1,0)-MATCH($B$1,[2]quests!$1:$1,0)+1,FALSE)</f>
        <v>始皇贏政襲来！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繁体字版超降臨2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【超ウィザード級】始皇贏政襲来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繁体字版超降臨2</v>
      </c>
      <c r="H4" s="84">
        <v>2</v>
      </c>
      <c r="I4" s="89">
        <f t="shared" ref="I4:I13" si="0">ROW()-1</f>
        <v>3</v>
      </c>
      <c r="J4" s="85" t="str">
        <f t="shared" ref="J4:J13" si="1">B4&amp;TEXT(I4,"00")</f>
        <v>5800203</v>
      </c>
      <c r="K4" s="83" t="s">
        <v>200</v>
      </c>
      <c r="L4" s="86" t="s">
        <v>254</v>
      </c>
      <c r="M4" s="104" t="s">
        <v>446</v>
      </c>
      <c r="N4" s="56" t="s">
        <v>201</v>
      </c>
    </row>
    <row r="5" spans="1:14" ht="56" x14ac:dyDescent="0.15">
      <c r="A5" s="80" t="s">
        <v>199</v>
      </c>
      <c r="B5" s="81">
        <f>floors!$C$2</f>
        <v>58002</v>
      </c>
      <c r="C5" s="82" t="str">
        <f ca="1">VLOOKUP($B5,OFFSET([2]quests!$A$1,0,0,COUNTA([2]quests!$A:$A),MATCH(C$1,[2]quests!$1:$1,0)-MATCH($B$1,[2]quests!$1:$1,0)+1),MATCH(C$1,[2]quests!$1:$1,0)-MATCH($B$1,[2]quests!$1:$1,0)+1,FALSE)</f>
        <v>始皇贏政襲来！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繁体字版超降臨2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【超ウィザード級】始皇贏政襲来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繁体字版超降臨2</v>
      </c>
      <c r="H5" s="84">
        <v>3</v>
      </c>
      <c r="I5" s="89">
        <f t="shared" si="0"/>
        <v>4</v>
      </c>
      <c r="J5" s="85" t="str">
        <f t="shared" si="1"/>
        <v>5800204</v>
      </c>
      <c r="K5" s="83" t="s">
        <v>200</v>
      </c>
      <c r="L5" s="86" t="s">
        <v>254</v>
      </c>
      <c r="M5" s="104" t="s">
        <v>447</v>
      </c>
      <c r="N5" s="56" t="s">
        <v>201</v>
      </c>
    </row>
    <row r="6" spans="1:14" ht="56" x14ac:dyDescent="0.15">
      <c r="A6" s="80" t="s">
        <v>199</v>
      </c>
      <c r="B6" s="81">
        <f>floors!$C$2</f>
        <v>58002</v>
      </c>
      <c r="C6" s="82" t="str">
        <f ca="1">VLOOKUP($B6,OFFSET([2]quests!$A$1,0,0,COUNTA([2]quests!$A:$A),MATCH(C$1,[2]quests!$1:$1,0)-MATCH($B$1,[2]quests!$1:$1,0)+1),MATCH(C$1,[2]quests!$1:$1,0)-MATCH($B$1,[2]quests!$1:$1,0)+1,FALSE)</f>
        <v>始皇贏政襲来！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繁体字版超降臨2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【超ウィザード級】始皇贏政襲来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繁体字版超降臨2</v>
      </c>
      <c r="H6" s="84">
        <v>4</v>
      </c>
      <c r="I6" s="89">
        <f t="shared" si="0"/>
        <v>5</v>
      </c>
      <c r="J6" s="85" t="str">
        <f t="shared" si="1"/>
        <v>5800205</v>
      </c>
      <c r="K6" s="83" t="s">
        <v>200</v>
      </c>
      <c r="L6" s="86" t="s">
        <v>254</v>
      </c>
      <c r="M6" s="104" t="s">
        <v>448</v>
      </c>
      <c r="N6" s="56" t="s">
        <v>201</v>
      </c>
    </row>
    <row r="7" spans="1:14" ht="42" x14ac:dyDescent="0.15">
      <c r="A7" s="80" t="s">
        <v>199</v>
      </c>
      <c r="B7" s="81">
        <f>floors!$C$2</f>
        <v>58002</v>
      </c>
      <c r="C7" s="82" t="str">
        <f ca="1">VLOOKUP($B7,OFFSET([2]quests!$A$1,0,0,COUNTA([2]quests!$A:$A),MATCH(C$1,[2]quests!$1:$1,0)-MATCH($B$1,[2]quests!$1:$1,0)+1),MATCH(C$1,[2]quests!$1:$1,0)-MATCH($B$1,[2]quests!$1:$1,0)+1,FALSE)</f>
        <v>始皇贏政襲来！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繁体字版超降臨2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【超ウィザード級】始皇贏政襲来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繁体字版超降臨2</v>
      </c>
      <c r="H7" s="84">
        <v>5</v>
      </c>
      <c r="I7" s="89">
        <f t="shared" si="0"/>
        <v>6</v>
      </c>
      <c r="J7" s="85" t="str">
        <f t="shared" si="1"/>
        <v>5800206</v>
      </c>
      <c r="K7" s="83" t="s">
        <v>200</v>
      </c>
      <c r="L7" s="86" t="s">
        <v>254</v>
      </c>
      <c r="M7" s="104" t="s">
        <v>449</v>
      </c>
      <c r="N7" s="56" t="s">
        <v>201</v>
      </c>
    </row>
    <row r="8" spans="1:14" ht="56" x14ac:dyDescent="0.15">
      <c r="A8" s="80" t="s">
        <v>199</v>
      </c>
      <c r="B8" s="81">
        <f>floors!$C$2</f>
        <v>58002</v>
      </c>
      <c r="C8" s="82" t="str">
        <f ca="1">VLOOKUP($B8,OFFSET([2]quests!$A$1,0,0,COUNTA([2]quests!$A:$A),MATCH(C$1,[2]quests!$1:$1,0)-MATCH($B$1,[2]quests!$1:$1,0)+1),MATCH(C$1,[2]quests!$1:$1,0)-MATCH($B$1,[2]quests!$1:$1,0)+1,FALSE)</f>
        <v>始皇贏政襲来！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繁体字版超降臨2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【超ウィザード級】始皇贏政襲来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繁体字版超降臨2</v>
      </c>
      <c r="H8" s="84">
        <v>5</v>
      </c>
      <c r="I8" s="89">
        <f t="shared" si="0"/>
        <v>7</v>
      </c>
      <c r="J8" s="85" t="str">
        <f t="shared" si="1"/>
        <v>5800207</v>
      </c>
      <c r="K8" s="83" t="s">
        <v>200</v>
      </c>
      <c r="L8" s="86" t="s">
        <v>254</v>
      </c>
      <c r="M8" s="104" t="s">
        <v>450</v>
      </c>
      <c r="N8" s="56" t="s">
        <v>201</v>
      </c>
    </row>
    <row r="9" spans="1:14" ht="56" x14ac:dyDescent="0.15">
      <c r="A9" s="80" t="s">
        <v>199</v>
      </c>
      <c r="B9" s="81">
        <f>floors!$C$2</f>
        <v>58002</v>
      </c>
      <c r="C9" s="82" t="str">
        <f ca="1">VLOOKUP($B9,OFFSET([2]quests!$A$1,0,0,COUNTA([2]quests!$A:$A),MATCH(C$1,[2]quests!$1:$1,0)-MATCH($B$1,[2]quests!$1:$1,0)+1),MATCH(C$1,[2]quests!$1:$1,0)-MATCH($B$1,[2]quests!$1:$1,0)+1,FALSE)</f>
        <v>始皇贏政襲来！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繁体字版超降臨2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【超ウィザード級】始皇贏政襲来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繁体字版超降臨2</v>
      </c>
      <c r="H9" s="84">
        <v>5</v>
      </c>
      <c r="I9" s="89">
        <f t="shared" si="0"/>
        <v>8</v>
      </c>
      <c r="J9" s="85" t="str">
        <f t="shared" si="1"/>
        <v>5800208</v>
      </c>
      <c r="K9" s="83" t="s">
        <v>200</v>
      </c>
      <c r="L9" s="86" t="s">
        <v>254</v>
      </c>
      <c r="M9" s="104" t="s">
        <v>451</v>
      </c>
      <c r="N9" s="56" t="s">
        <v>201</v>
      </c>
    </row>
    <row r="10" spans="1:14" ht="56" x14ac:dyDescent="0.15">
      <c r="A10" s="80" t="s">
        <v>460</v>
      </c>
      <c r="B10" s="81">
        <f>floors!$C$2</f>
        <v>58002</v>
      </c>
      <c r="C10" s="82" t="str">
        <f ca="1">VLOOKUP($B10,OFFSET([2]quests!$A$1,0,0,COUNTA([2]quests!$A:$A),MATCH(C$1,[2]quests!$1:$1,0)-MATCH($B$1,[2]quests!$1:$1,0)+1),MATCH(C$1,[2]quests!$1:$1,0)-MATCH($B$1,[2]quests!$1:$1,0)+1,FALSE)</f>
        <v>始皇贏政襲来！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繁体字版超降臨2</v>
      </c>
      <c r="E10" s="83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【超ウィザード級】始皇贏政襲来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繁体字版超降臨2</v>
      </c>
      <c r="H10" s="84">
        <v>0</v>
      </c>
      <c r="I10" s="89">
        <f t="shared" si="0"/>
        <v>9</v>
      </c>
      <c r="J10" s="85" t="str">
        <f t="shared" si="1"/>
        <v>5800209</v>
      </c>
      <c r="K10" s="83" t="s">
        <v>200</v>
      </c>
      <c r="L10" s="86" t="s">
        <v>453</v>
      </c>
      <c r="M10" s="104" t="s">
        <v>452</v>
      </c>
      <c r="N10" s="56" t="s">
        <v>201</v>
      </c>
    </row>
    <row r="11" spans="1:14" ht="42" x14ac:dyDescent="0.15">
      <c r="A11" s="80" t="s">
        <v>460</v>
      </c>
      <c r="B11" s="81">
        <f>floors!$C$2</f>
        <v>58002</v>
      </c>
      <c r="C11" s="82" t="str">
        <f ca="1">VLOOKUP($B11,OFFSET([2]quests!$A$1,0,0,COUNTA([2]quests!$A:$A),MATCH(C$1,[2]quests!$1:$1,0)-MATCH($B$1,[2]quests!$1:$1,0)+1),MATCH(C$1,[2]quests!$1:$1,0)-MATCH($B$1,[2]quests!$1:$1,0)+1,FALSE)</f>
        <v>始皇贏政襲来！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繁体字版超降臨2</v>
      </c>
      <c r="E11" s="83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【超ウィザード級】始皇贏政襲来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繁体字版超降臨2</v>
      </c>
      <c r="H11" s="84">
        <v>0</v>
      </c>
      <c r="I11" s="89">
        <f t="shared" si="0"/>
        <v>10</v>
      </c>
      <c r="J11" s="85" t="str">
        <f t="shared" si="1"/>
        <v>5800210</v>
      </c>
      <c r="K11" s="83" t="s">
        <v>200</v>
      </c>
      <c r="L11" s="86" t="s">
        <v>455</v>
      </c>
      <c r="M11" s="104" t="s">
        <v>454</v>
      </c>
      <c r="N11" s="56" t="s">
        <v>201</v>
      </c>
    </row>
    <row r="12" spans="1:14" ht="28" x14ac:dyDescent="0.15">
      <c r="A12" s="80" t="s">
        <v>460</v>
      </c>
      <c r="B12" s="81">
        <f>floors!$C$2</f>
        <v>58002</v>
      </c>
      <c r="C12" s="82" t="str">
        <f ca="1">VLOOKUP($B12,OFFSET([2]quests!$A$1,0,0,COUNTA([2]quests!$A:$A),MATCH(C$1,[2]quests!$1:$1,0)-MATCH($B$1,[2]quests!$1:$1,0)+1),MATCH(C$1,[2]quests!$1:$1,0)-MATCH($B$1,[2]quests!$1:$1,0)+1,FALSE)</f>
        <v>始皇贏政襲来！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繁体字版超降臨2</v>
      </c>
      <c r="E12" s="83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【超ウィザード級】始皇贏政襲来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繁体字版超降臨2</v>
      </c>
      <c r="H12" s="84">
        <v>0</v>
      </c>
      <c r="I12" s="89">
        <f t="shared" si="0"/>
        <v>11</v>
      </c>
      <c r="J12" s="85" t="str">
        <f t="shared" si="1"/>
        <v>5800211</v>
      </c>
      <c r="K12" s="83" t="s">
        <v>200</v>
      </c>
      <c r="L12" s="86" t="s">
        <v>457</v>
      </c>
      <c r="M12" s="104" t="s">
        <v>456</v>
      </c>
      <c r="N12" s="56" t="s">
        <v>201</v>
      </c>
    </row>
    <row r="13" spans="1:14" ht="42" x14ac:dyDescent="0.15">
      <c r="A13" s="80" t="s">
        <v>460</v>
      </c>
      <c r="B13" s="81">
        <f>floors!$C$2</f>
        <v>58002</v>
      </c>
      <c r="C13" s="82" t="str">
        <f ca="1">VLOOKUP($B13,OFFSET([2]quests!$A$1,0,0,COUNTA([2]quests!$A:$A),MATCH(C$1,[2]quests!$1:$1,0)-MATCH($B$1,[2]quests!$1:$1,0)+1),MATCH(C$1,[2]quests!$1:$1,0)-MATCH($B$1,[2]quests!$1:$1,0)+1,FALSE)</f>
        <v>始皇贏政襲来！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繁体字版超降臨2</v>
      </c>
      <c r="E13" s="83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【超ウィザード級】始皇贏政襲来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繁体字版超降臨2</v>
      </c>
      <c r="H13" s="84">
        <v>0</v>
      </c>
      <c r="I13" s="89">
        <f t="shared" si="0"/>
        <v>12</v>
      </c>
      <c r="J13" s="85" t="str">
        <f t="shared" si="1"/>
        <v>5800212</v>
      </c>
      <c r="K13" s="83" t="s">
        <v>200</v>
      </c>
      <c r="L13" s="86" t="s">
        <v>459</v>
      </c>
      <c r="M13" s="104" t="s">
        <v>458</v>
      </c>
      <c r="N13" s="56" t="s">
        <v>201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213</v>
      </c>
      <c r="B1" s="94" t="s">
        <v>214</v>
      </c>
      <c r="C1" s="76" t="s">
        <v>215</v>
      </c>
      <c r="D1" s="76" t="s">
        <v>33</v>
      </c>
      <c r="E1" s="94" t="s">
        <v>216</v>
      </c>
      <c r="F1" s="76" t="s">
        <v>217</v>
      </c>
      <c r="G1" s="76" t="s">
        <v>33</v>
      </c>
      <c r="H1" s="94" t="s">
        <v>218</v>
      </c>
      <c r="I1" s="94" t="s">
        <v>219</v>
      </c>
      <c r="J1" s="94" t="s">
        <v>220</v>
      </c>
      <c r="K1" s="72" t="s">
        <v>221</v>
      </c>
      <c r="L1" s="72" t="s">
        <v>222</v>
      </c>
      <c r="M1" s="72" t="s">
        <v>157</v>
      </c>
      <c r="N1" s="76" t="s">
        <v>16</v>
      </c>
      <c r="O1" s="72" t="s">
        <v>223</v>
      </c>
      <c r="P1" s="72" t="s">
        <v>57</v>
      </c>
      <c r="Q1" s="72" t="s">
        <v>224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225</v>
      </c>
      <c r="X1" s="72" t="s">
        <v>226</v>
      </c>
    </row>
    <row r="2" spans="1:24" x14ac:dyDescent="0.15">
      <c r="A2" s="95" t="str">
        <f>B2&amp;"_"&amp;E2&amp;"_"&amp;H2&amp;"_"&amp;I2&amp;"_"&amp;J2</f>
        <v>58002_1_everyone_full_member_1</v>
      </c>
      <c r="B2" s="81">
        <v>58002</v>
      </c>
      <c r="C2" s="82" t="str">
        <f ca="1">VLOOKUP($B2,OFFSET([2]quests!$A$1,0,0,COUNTA([2]quests!$A:$A),MATCH(C$1,[2]quests!$1:$1,0)-MATCH($B$1,[2]quests!$1:$1,0)+1),MATCH(C$1,[2]quests!$1:$1,0)-MATCH($B$1,[2]quests!$1:$1,0)+1,FALSE)</f>
        <v>始皇贏政襲来！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繁体字版超降臨2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【超ウィザード級】始皇贏政襲来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繁体字版超降臨2</v>
      </c>
      <c r="H2" s="84" t="s">
        <v>227</v>
      </c>
      <c r="I2" s="83" t="s">
        <v>462</v>
      </c>
      <c r="J2" s="83">
        <v>1</v>
      </c>
      <c r="K2" s="83">
        <v>1000</v>
      </c>
      <c r="L2" s="83" t="s">
        <v>228</v>
      </c>
      <c r="M2" s="83">
        <v>8115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贏政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7" t="s">
        <v>229</v>
      </c>
      <c r="X2" s="98" t="s">
        <v>230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2017-05-23T02:13:52Z</dcterms:modified>
</cp:coreProperties>
</file>