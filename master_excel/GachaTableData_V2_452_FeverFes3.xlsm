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452010" sheetId="157" r:id="rId4"/>
    <sheet name="tables_452010" sheetId="158" r:id="rId5"/>
    <sheet name="input_452100" sheetId="153" r:id="rId6"/>
    <sheet name="tables_452100" sheetId="154" r:id="rId7"/>
    <sheet name="tables_settle_452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tables_452010!$A$1:$V$294</definedName>
    <definedName name="_xlnm._FilterDatabase" localSheetId="6" hidden="1">tables_452100!$A$1:$V$294</definedName>
    <definedName name="_xlnm._FilterDatabase" localSheetId="7" hidden="1">tables_settle_452100!$A$1:$V$1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9" l="1"/>
  <c r="D2" i="159"/>
  <c r="I3" i="159"/>
  <c r="D3" i="159"/>
  <c r="I4" i="159"/>
  <c r="D4" i="159"/>
  <c r="I5" i="159"/>
  <c r="D5" i="159"/>
  <c r="I6" i="159"/>
  <c r="D6" i="159"/>
  <c r="I7" i="159"/>
  <c r="D7" i="159"/>
  <c r="I8" i="159"/>
  <c r="D8" i="159"/>
  <c r="I9" i="159"/>
  <c r="D9" i="159"/>
  <c r="I10" i="159"/>
  <c r="D10" i="159"/>
  <c r="I11" i="159"/>
  <c r="D11" i="159"/>
  <c r="I12" i="159"/>
  <c r="D12" i="159"/>
  <c r="I13" i="159"/>
  <c r="D13" i="159"/>
  <c r="I14" i="159"/>
  <c r="D14" i="159"/>
  <c r="I15" i="159"/>
  <c r="D15" i="159"/>
  <c r="I16" i="159"/>
  <c r="D16" i="159"/>
  <c r="I17" i="159"/>
  <c r="D17" i="159"/>
  <c r="I18" i="159"/>
  <c r="D18" i="159"/>
  <c r="I19" i="159"/>
  <c r="D19" i="159"/>
  <c r="I20" i="159"/>
  <c r="D20" i="159"/>
  <c r="I21" i="159"/>
  <c r="D21" i="159"/>
  <c r="I22" i="159"/>
  <c r="D22" i="159"/>
  <c r="I23" i="159"/>
  <c r="D23" i="159"/>
  <c r="I24" i="159"/>
  <c r="D24" i="159"/>
  <c r="I25" i="159"/>
  <c r="D25" i="159"/>
  <c r="I26" i="159"/>
  <c r="D26" i="159"/>
  <c r="I27" i="159"/>
  <c r="D27" i="159"/>
  <c r="I28" i="159"/>
  <c r="D28" i="159"/>
  <c r="I29" i="159"/>
  <c r="D29" i="159"/>
  <c r="I30" i="159"/>
  <c r="D30" i="159"/>
  <c r="I31" i="159"/>
  <c r="D31" i="159"/>
  <c r="I32" i="159"/>
  <c r="D32" i="159"/>
  <c r="I33" i="159"/>
  <c r="D33" i="159"/>
  <c r="I34" i="159"/>
  <c r="D34" i="159"/>
  <c r="I35" i="159"/>
  <c r="D35" i="159"/>
  <c r="I36" i="159"/>
  <c r="D36" i="159"/>
  <c r="I37" i="159"/>
  <c r="D37" i="159"/>
  <c r="I38" i="159"/>
  <c r="D38" i="159"/>
  <c r="I39" i="159"/>
  <c r="D39" i="159"/>
  <c r="I40" i="159"/>
  <c r="D40" i="159"/>
  <c r="I41" i="159"/>
  <c r="D41" i="159"/>
  <c r="I42" i="159"/>
  <c r="D42" i="159"/>
  <c r="I43" i="159"/>
  <c r="D43" i="159"/>
  <c r="I44" i="159"/>
  <c r="D44" i="159"/>
  <c r="I45" i="159"/>
  <c r="D45" i="159"/>
  <c r="I46" i="159"/>
  <c r="D46" i="159"/>
  <c r="I47" i="159"/>
  <c r="D47" i="159"/>
  <c r="I48" i="159"/>
  <c r="D48" i="159"/>
  <c r="I49" i="159"/>
  <c r="D49" i="159"/>
  <c r="I50" i="159"/>
  <c r="D50" i="159"/>
  <c r="I51" i="159"/>
  <c r="D51" i="159"/>
  <c r="I52" i="159"/>
  <c r="D52" i="159"/>
  <c r="I53" i="159"/>
  <c r="D53" i="159"/>
  <c r="I54" i="159"/>
  <c r="D54" i="159"/>
  <c r="I55" i="159"/>
  <c r="D55" i="159"/>
  <c r="I56" i="159"/>
  <c r="D56" i="159"/>
  <c r="I57" i="159"/>
  <c r="D57" i="159"/>
  <c r="I58" i="159"/>
  <c r="D58" i="159"/>
  <c r="I59" i="159"/>
  <c r="D59" i="159"/>
  <c r="I60" i="159"/>
  <c r="D60" i="159"/>
  <c r="I61" i="159"/>
  <c r="D61" i="159"/>
  <c r="I62" i="159"/>
  <c r="D62" i="159"/>
  <c r="I63" i="159"/>
  <c r="D63" i="159"/>
  <c r="I64" i="159"/>
  <c r="D64" i="159"/>
  <c r="I65" i="159"/>
  <c r="D65" i="159"/>
  <c r="I66" i="159"/>
  <c r="J66" i="159"/>
  <c r="D66" i="159"/>
  <c r="I67" i="159"/>
  <c r="J67" i="159"/>
  <c r="D67" i="159"/>
  <c r="I68" i="159"/>
  <c r="J68" i="159"/>
  <c r="D68" i="159"/>
  <c r="I69" i="159"/>
  <c r="J69" i="159"/>
  <c r="D69" i="159"/>
  <c r="I70" i="159"/>
  <c r="J70" i="159"/>
  <c r="D70" i="159"/>
  <c r="I71" i="159"/>
  <c r="J71" i="159"/>
  <c r="D71" i="159"/>
  <c r="I72" i="159"/>
  <c r="D72" i="159"/>
  <c r="I73" i="159"/>
  <c r="D73" i="159"/>
  <c r="I74" i="159"/>
  <c r="D74" i="159"/>
  <c r="I75" i="159"/>
  <c r="D75" i="159"/>
  <c r="I76" i="159"/>
  <c r="D76" i="159"/>
  <c r="I77" i="159"/>
  <c r="D77" i="159"/>
  <c r="I78" i="159"/>
  <c r="D78" i="159"/>
  <c r="I79" i="159"/>
  <c r="D79" i="159"/>
  <c r="I80" i="159"/>
  <c r="D80" i="159"/>
  <c r="I81" i="159"/>
  <c r="D81" i="159"/>
  <c r="I82" i="159"/>
  <c r="D82" i="159"/>
  <c r="I83" i="159"/>
  <c r="D83" i="159"/>
  <c r="I84" i="159"/>
  <c r="D84" i="159"/>
  <c r="I85" i="159"/>
  <c r="D85" i="159"/>
  <c r="I86" i="159"/>
  <c r="D86" i="159"/>
  <c r="I87" i="159"/>
  <c r="D87" i="159"/>
  <c r="I88" i="159"/>
  <c r="D88" i="159"/>
  <c r="I89" i="159"/>
  <c r="D89" i="159"/>
  <c r="I90" i="159"/>
  <c r="D90" i="159"/>
  <c r="I91" i="159"/>
  <c r="D91" i="159"/>
  <c r="I92" i="159"/>
  <c r="D92" i="159"/>
  <c r="I93" i="159"/>
  <c r="D93" i="159"/>
  <c r="I94" i="159"/>
  <c r="D94" i="159"/>
  <c r="I95" i="159"/>
  <c r="D95" i="159"/>
  <c r="I96" i="159"/>
  <c r="D96" i="159"/>
  <c r="I97" i="159"/>
  <c r="D97" i="159"/>
  <c r="I98" i="159"/>
  <c r="D98" i="159"/>
  <c r="I99" i="159"/>
  <c r="D99" i="159"/>
  <c r="I100" i="159"/>
  <c r="D100" i="159"/>
  <c r="I101" i="159"/>
  <c r="D101" i="159"/>
  <c r="I102" i="159"/>
  <c r="D102" i="159"/>
  <c r="I103" i="159"/>
  <c r="D103" i="159"/>
  <c r="I104" i="159"/>
  <c r="D104" i="159"/>
  <c r="I105" i="159"/>
  <c r="D105" i="159"/>
  <c r="I106" i="159"/>
  <c r="D106" i="159"/>
  <c r="I107" i="159"/>
  <c r="D107" i="159"/>
  <c r="I108" i="159"/>
  <c r="D108" i="159"/>
  <c r="I109" i="159"/>
  <c r="D109" i="159"/>
  <c r="I110" i="159"/>
  <c r="D110" i="159"/>
  <c r="I111" i="159"/>
  <c r="D111" i="159"/>
  <c r="I112" i="159"/>
  <c r="D112" i="159"/>
  <c r="I113" i="159"/>
  <c r="D113" i="159"/>
  <c r="I114" i="159"/>
  <c r="D114" i="159"/>
  <c r="I115" i="159"/>
  <c r="D115" i="159"/>
  <c r="I116" i="159"/>
  <c r="D116" i="159"/>
  <c r="I117" i="159"/>
  <c r="D117" i="159"/>
  <c r="I118" i="159"/>
  <c r="D118" i="159"/>
  <c r="I119" i="159"/>
  <c r="D119" i="159"/>
  <c r="I120" i="159"/>
  <c r="D120" i="159"/>
  <c r="I121" i="159"/>
  <c r="D121" i="159"/>
  <c r="I122" i="159"/>
  <c r="D122" i="159"/>
  <c r="I123" i="159"/>
  <c r="D123" i="159"/>
  <c r="I124" i="159"/>
  <c r="D124" i="159"/>
  <c r="I125" i="159"/>
  <c r="D125" i="159"/>
  <c r="I126" i="159"/>
  <c r="D126" i="159"/>
  <c r="I127" i="159"/>
  <c r="D127" i="159"/>
  <c r="I128" i="159"/>
  <c r="D128" i="159"/>
  <c r="I129" i="159"/>
  <c r="D129" i="159"/>
  <c r="I130" i="159"/>
  <c r="D130" i="159"/>
  <c r="I131" i="159"/>
  <c r="D131" i="159"/>
  <c r="I132" i="159"/>
  <c r="D132" i="159"/>
  <c r="I133" i="159"/>
  <c r="D133" i="159"/>
  <c r="I134" i="159"/>
  <c r="D134" i="159"/>
  <c r="I135" i="159"/>
  <c r="D135" i="159"/>
  <c r="I136" i="159"/>
  <c r="D136" i="159"/>
  <c r="I137" i="159"/>
  <c r="D137" i="159"/>
  <c r="I138" i="159"/>
  <c r="D138" i="159"/>
  <c r="I139" i="159"/>
  <c r="D139" i="159"/>
  <c r="I140" i="159"/>
  <c r="D140" i="159"/>
  <c r="I141" i="159"/>
  <c r="D141" i="159"/>
  <c r="F142" i="159"/>
  <c r="F143" i="159"/>
  <c r="F144" i="159"/>
  <c r="F145" i="159"/>
  <c r="G142" i="159"/>
  <c r="G143" i="159"/>
  <c r="G144" i="159"/>
  <c r="G145" i="159"/>
  <c r="J8" i="159"/>
  <c r="E8" i="159"/>
  <c r="F8" i="159"/>
  <c r="C8" i="159"/>
  <c r="H8" i="159"/>
  <c r="K8" i="159"/>
  <c r="L8" i="159"/>
  <c r="M8" i="159"/>
  <c r="N8" i="159"/>
  <c r="P8" i="159"/>
  <c r="J9" i="159"/>
  <c r="E9" i="159"/>
  <c r="F9" i="159"/>
  <c r="C9" i="159"/>
  <c r="H9" i="159"/>
  <c r="K9" i="159"/>
  <c r="L9" i="159"/>
  <c r="M9" i="159"/>
  <c r="N9" i="159"/>
  <c r="P9" i="159"/>
  <c r="J10" i="159"/>
  <c r="E10" i="159"/>
  <c r="F10" i="159"/>
  <c r="C10" i="159"/>
  <c r="H10" i="159"/>
  <c r="K10" i="159"/>
  <c r="L10" i="159"/>
  <c r="M10" i="159"/>
  <c r="N10" i="159"/>
  <c r="P10" i="159"/>
  <c r="J11" i="159"/>
  <c r="E11" i="159"/>
  <c r="F11" i="159"/>
  <c r="C11" i="159"/>
  <c r="H11" i="159"/>
  <c r="K11" i="159"/>
  <c r="L11" i="159"/>
  <c r="M11" i="159"/>
  <c r="N11" i="159"/>
  <c r="P11" i="159"/>
  <c r="J12" i="159"/>
  <c r="E12" i="159"/>
  <c r="F12" i="159"/>
  <c r="C12" i="159"/>
  <c r="H12" i="159"/>
  <c r="K12" i="159"/>
  <c r="L12" i="159"/>
  <c r="M12" i="159"/>
  <c r="N12" i="159"/>
  <c r="P12" i="159"/>
  <c r="J13" i="159"/>
  <c r="E13" i="159"/>
  <c r="F13" i="159"/>
  <c r="C13" i="159"/>
  <c r="H13" i="159"/>
  <c r="K13" i="159"/>
  <c r="L13" i="159"/>
  <c r="M13" i="159"/>
  <c r="N13" i="159"/>
  <c r="P13" i="159"/>
  <c r="J14" i="159"/>
  <c r="E14" i="159"/>
  <c r="F14" i="159"/>
  <c r="C14" i="159"/>
  <c r="H14" i="159"/>
  <c r="K14" i="159"/>
  <c r="L14" i="159"/>
  <c r="M14" i="159"/>
  <c r="N14" i="159"/>
  <c r="P14" i="159"/>
  <c r="J15" i="159"/>
  <c r="E15" i="159"/>
  <c r="F15" i="159"/>
  <c r="C15" i="159"/>
  <c r="H15" i="159"/>
  <c r="K15" i="159"/>
  <c r="L15" i="159"/>
  <c r="M15" i="159"/>
  <c r="N15" i="159"/>
  <c r="P15" i="159"/>
  <c r="J16" i="159"/>
  <c r="E16" i="159"/>
  <c r="F16" i="159"/>
  <c r="C16" i="159"/>
  <c r="H16" i="159"/>
  <c r="K16" i="159"/>
  <c r="L16" i="159"/>
  <c r="M16" i="159"/>
  <c r="N16" i="159"/>
  <c r="P16" i="159"/>
  <c r="J17" i="159"/>
  <c r="E17" i="159"/>
  <c r="F17" i="159"/>
  <c r="C17" i="159"/>
  <c r="H17" i="159"/>
  <c r="K17" i="159"/>
  <c r="L17" i="159"/>
  <c r="M17" i="159"/>
  <c r="N17" i="159"/>
  <c r="P17" i="159"/>
  <c r="J18" i="159"/>
  <c r="E18" i="159"/>
  <c r="F18" i="159"/>
  <c r="C18" i="159"/>
  <c r="H18" i="159"/>
  <c r="K18" i="159"/>
  <c r="L18" i="159"/>
  <c r="M18" i="159"/>
  <c r="N18" i="159"/>
  <c r="P18" i="159"/>
  <c r="J19" i="159"/>
  <c r="E19" i="159"/>
  <c r="F19" i="159"/>
  <c r="C19" i="159"/>
  <c r="H19" i="159"/>
  <c r="K19" i="159"/>
  <c r="L19" i="159"/>
  <c r="M19" i="159"/>
  <c r="N19" i="159"/>
  <c r="P19" i="159"/>
  <c r="J20" i="159"/>
  <c r="E20" i="159"/>
  <c r="F20" i="159"/>
  <c r="C20" i="159"/>
  <c r="H20" i="159"/>
  <c r="K20" i="159"/>
  <c r="L20" i="159"/>
  <c r="M20" i="159"/>
  <c r="N20" i="159"/>
  <c r="P20" i="159"/>
  <c r="J21" i="159"/>
  <c r="E21" i="159"/>
  <c r="F21" i="159"/>
  <c r="C21" i="159"/>
  <c r="H21" i="159"/>
  <c r="K21" i="159"/>
  <c r="L21" i="159"/>
  <c r="M21" i="159"/>
  <c r="N21" i="159"/>
  <c r="P21" i="159"/>
  <c r="J22" i="159"/>
  <c r="E22" i="159"/>
  <c r="F22" i="159"/>
  <c r="C22" i="159"/>
  <c r="H22" i="159"/>
  <c r="K22" i="159"/>
  <c r="L22" i="159"/>
  <c r="M22" i="159"/>
  <c r="N22" i="159"/>
  <c r="P22" i="159"/>
  <c r="J23" i="159"/>
  <c r="E23" i="159"/>
  <c r="F23" i="159"/>
  <c r="C23" i="159"/>
  <c r="H23" i="159"/>
  <c r="K23" i="159"/>
  <c r="L23" i="159"/>
  <c r="M23" i="159"/>
  <c r="N23" i="159"/>
  <c r="P23" i="159"/>
  <c r="J24" i="159"/>
  <c r="E24" i="159"/>
  <c r="F24" i="159"/>
  <c r="C24" i="159"/>
  <c r="H24" i="159"/>
  <c r="K24" i="159"/>
  <c r="L24" i="159"/>
  <c r="M24" i="159"/>
  <c r="N24" i="159"/>
  <c r="P24" i="159"/>
  <c r="J25" i="159"/>
  <c r="E25" i="159"/>
  <c r="F25" i="159"/>
  <c r="C25" i="159"/>
  <c r="H25" i="159"/>
  <c r="K25" i="159"/>
  <c r="L25" i="159"/>
  <c r="M25" i="159"/>
  <c r="N25" i="159"/>
  <c r="P25" i="159"/>
  <c r="J26" i="159"/>
  <c r="E26" i="159"/>
  <c r="F26" i="159"/>
  <c r="C26" i="159"/>
  <c r="H26" i="159"/>
  <c r="K26" i="159"/>
  <c r="L26" i="159"/>
  <c r="M26" i="159"/>
  <c r="N26" i="159"/>
  <c r="P26" i="159"/>
  <c r="J27" i="159"/>
  <c r="E27" i="159"/>
  <c r="F27" i="159"/>
  <c r="C27" i="159"/>
  <c r="H27" i="159"/>
  <c r="K27" i="159"/>
  <c r="L27" i="159"/>
  <c r="M27" i="159"/>
  <c r="N27" i="159"/>
  <c r="P27" i="159"/>
  <c r="J28" i="159"/>
  <c r="E28" i="159"/>
  <c r="F28" i="159"/>
  <c r="C28" i="159"/>
  <c r="H28" i="159"/>
  <c r="K28" i="159"/>
  <c r="L28" i="159"/>
  <c r="M28" i="159"/>
  <c r="N28" i="159"/>
  <c r="P28" i="159"/>
  <c r="J29" i="159"/>
  <c r="E29" i="159"/>
  <c r="F29" i="159"/>
  <c r="C29" i="159"/>
  <c r="H29" i="159"/>
  <c r="K29" i="159"/>
  <c r="L29" i="159"/>
  <c r="M29" i="159"/>
  <c r="N29" i="159"/>
  <c r="P29" i="159"/>
  <c r="J30" i="159"/>
  <c r="E30" i="159"/>
  <c r="F30" i="159"/>
  <c r="C30" i="159"/>
  <c r="H30" i="159"/>
  <c r="K30" i="159"/>
  <c r="L30" i="159"/>
  <c r="M30" i="159"/>
  <c r="N30" i="159"/>
  <c r="P30" i="159"/>
  <c r="J31" i="159"/>
  <c r="E31" i="159"/>
  <c r="F31" i="159"/>
  <c r="C31" i="159"/>
  <c r="H31" i="159"/>
  <c r="K31" i="159"/>
  <c r="L31" i="159"/>
  <c r="M31" i="159"/>
  <c r="N31" i="159"/>
  <c r="P31" i="159"/>
  <c r="J32" i="159"/>
  <c r="E32" i="159"/>
  <c r="F32" i="159"/>
  <c r="C32" i="159"/>
  <c r="H32" i="159"/>
  <c r="K32" i="159"/>
  <c r="L32" i="159"/>
  <c r="M32" i="159"/>
  <c r="N32" i="159"/>
  <c r="P32" i="159"/>
  <c r="J33" i="159"/>
  <c r="E33" i="159"/>
  <c r="F33" i="159"/>
  <c r="C33" i="159"/>
  <c r="H33" i="159"/>
  <c r="K33" i="159"/>
  <c r="L33" i="159"/>
  <c r="M33" i="159"/>
  <c r="N33" i="159"/>
  <c r="P33" i="159"/>
  <c r="J34" i="159"/>
  <c r="E34" i="159"/>
  <c r="F34" i="159"/>
  <c r="C34" i="159"/>
  <c r="H34" i="159"/>
  <c r="K34" i="159"/>
  <c r="L34" i="159"/>
  <c r="M34" i="159"/>
  <c r="N34" i="159"/>
  <c r="P34" i="159"/>
  <c r="J35" i="159"/>
  <c r="E35" i="159"/>
  <c r="F35" i="159"/>
  <c r="C35" i="159"/>
  <c r="H35" i="159"/>
  <c r="K35" i="159"/>
  <c r="L35" i="159"/>
  <c r="M35" i="159"/>
  <c r="N35" i="159"/>
  <c r="P35" i="159"/>
  <c r="J36" i="159"/>
  <c r="E36" i="159"/>
  <c r="F36" i="159"/>
  <c r="C36" i="159"/>
  <c r="H36" i="159"/>
  <c r="K36" i="159"/>
  <c r="L36" i="159"/>
  <c r="M36" i="159"/>
  <c r="N36" i="159"/>
  <c r="P36" i="159"/>
  <c r="J37" i="159"/>
  <c r="E37" i="159"/>
  <c r="F37" i="159"/>
  <c r="C37" i="159"/>
  <c r="H37" i="159"/>
  <c r="K37" i="159"/>
  <c r="L37" i="159"/>
  <c r="M37" i="159"/>
  <c r="N37" i="159"/>
  <c r="P37" i="159"/>
  <c r="J38" i="159"/>
  <c r="E38" i="159"/>
  <c r="F38" i="159"/>
  <c r="C38" i="159"/>
  <c r="H38" i="159"/>
  <c r="K38" i="159"/>
  <c r="L38" i="159"/>
  <c r="M38" i="159"/>
  <c r="N38" i="159"/>
  <c r="P38" i="159"/>
  <c r="J39" i="159"/>
  <c r="E39" i="159"/>
  <c r="F39" i="159"/>
  <c r="C39" i="159"/>
  <c r="H39" i="159"/>
  <c r="K39" i="159"/>
  <c r="L39" i="159"/>
  <c r="M39" i="159"/>
  <c r="N39" i="159"/>
  <c r="P39" i="159"/>
  <c r="J40" i="159"/>
  <c r="E40" i="159"/>
  <c r="F40" i="159"/>
  <c r="C40" i="159"/>
  <c r="H40" i="159"/>
  <c r="K40" i="159"/>
  <c r="L40" i="159"/>
  <c r="M40" i="159"/>
  <c r="N40" i="159"/>
  <c r="P40" i="159"/>
  <c r="J41" i="159"/>
  <c r="E41" i="159"/>
  <c r="F41" i="159"/>
  <c r="C41" i="159"/>
  <c r="H41" i="159"/>
  <c r="K41" i="159"/>
  <c r="L41" i="159"/>
  <c r="M41" i="159"/>
  <c r="N41" i="159"/>
  <c r="P41" i="159"/>
  <c r="J42" i="159"/>
  <c r="E42" i="159"/>
  <c r="F42" i="159"/>
  <c r="C42" i="159"/>
  <c r="H42" i="159"/>
  <c r="K42" i="159"/>
  <c r="L42" i="159"/>
  <c r="M42" i="159"/>
  <c r="N42" i="159"/>
  <c r="P42" i="159"/>
  <c r="J43" i="159"/>
  <c r="E43" i="159"/>
  <c r="F43" i="159"/>
  <c r="C43" i="159"/>
  <c r="H43" i="159"/>
  <c r="K43" i="159"/>
  <c r="L43" i="159"/>
  <c r="M43" i="159"/>
  <c r="N43" i="159"/>
  <c r="P43" i="159"/>
  <c r="J44" i="159"/>
  <c r="E44" i="159"/>
  <c r="F44" i="159"/>
  <c r="C44" i="159"/>
  <c r="H44" i="159"/>
  <c r="K44" i="159"/>
  <c r="L44" i="159"/>
  <c r="M44" i="159"/>
  <c r="N44" i="159"/>
  <c r="P44" i="159"/>
  <c r="J45" i="159"/>
  <c r="E45" i="159"/>
  <c r="F45" i="159"/>
  <c r="C45" i="159"/>
  <c r="H45" i="159"/>
  <c r="K45" i="159"/>
  <c r="L45" i="159"/>
  <c r="M45" i="159"/>
  <c r="N45" i="159"/>
  <c r="P45" i="159"/>
  <c r="J46" i="159"/>
  <c r="E46" i="159"/>
  <c r="F46" i="159"/>
  <c r="C46" i="159"/>
  <c r="H46" i="159"/>
  <c r="K46" i="159"/>
  <c r="L46" i="159"/>
  <c r="M46" i="159"/>
  <c r="N46" i="159"/>
  <c r="P46" i="159"/>
  <c r="J47" i="159"/>
  <c r="E47" i="159"/>
  <c r="F47" i="159"/>
  <c r="C47" i="159"/>
  <c r="H47" i="159"/>
  <c r="K47" i="159"/>
  <c r="L47" i="159"/>
  <c r="M47" i="159"/>
  <c r="N47" i="159"/>
  <c r="P47" i="159"/>
  <c r="J48" i="159"/>
  <c r="E48" i="159"/>
  <c r="F48" i="159"/>
  <c r="C48" i="159"/>
  <c r="H48" i="159"/>
  <c r="K48" i="159"/>
  <c r="L48" i="159"/>
  <c r="M48" i="159"/>
  <c r="N48" i="159"/>
  <c r="P48" i="159"/>
  <c r="J49" i="159"/>
  <c r="E49" i="159"/>
  <c r="F49" i="159"/>
  <c r="C49" i="159"/>
  <c r="H49" i="159"/>
  <c r="K49" i="159"/>
  <c r="L49" i="159"/>
  <c r="M49" i="159"/>
  <c r="N49" i="159"/>
  <c r="P49" i="159"/>
  <c r="J50" i="159"/>
  <c r="E50" i="159"/>
  <c r="F50" i="159"/>
  <c r="C50" i="159"/>
  <c r="H50" i="159"/>
  <c r="K50" i="159"/>
  <c r="L50" i="159"/>
  <c r="M50" i="159"/>
  <c r="N50" i="159"/>
  <c r="P50" i="159"/>
  <c r="J51" i="159"/>
  <c r="E51" i="159"/>
  <c r="F51" i="159"/>
  <c r="C51" i="159"/>
  <c r="H51" i="159"/>
  <c r="K51" i="159"/>
  <c r="L51" i="159"/>
  <c r="M51" i="159"/>
  <c r="N51" i="159"/>
  <c r="P51" i="159"/>
  <c r="J52" i="159"/>
  <c r="E52" i="159"/>
  <c r="F52" i="159"/>
  <c r="C52" i="159"/>
  <c r="H52" i="159"/>
  <c r="K52" i="159"/>
  <c r="L52" i="159"/>
  <c r="M52" i="159"/>
  <c r="N52" i="159"/>
  <c r="P52" i="159"/>
  <c r="J53" i="159"/>
  <c r="E53" i="159"/>
  <c r="F53" i="159"/>
  <c r="C53" i="159"/>
  <c r="H53" i="159"/>
  <c r="K53" i="159"/>
  <c r="L53" i="159"/>
  <c r="M53" i="159"/>
  <c r="N53" i="159"/>
  <c r="P53" i="159"/>
  <c r="J54" i="159"/>
  <c r="E54" i="159"/>
  <c r="F54" i="159"/>
  <c r="C54" i="159"/>
  <c r="H54" i="159"/>
  <c r="K54" i="159"/>
  <c r="L54" i="159"/>
  <c r="M54" i="159"/>
  <c r="N54" i="159"/>
  <c r="P54" i="159"/>
  <c r="J55" i="159"/>
  <c r="E55" i="159"/>
  <c r="F55" i="159"/>
  <c r="C55" i="159"/>
  <c r="H55" i="159"/>
  <c r="K55" i="159"/>
  <c r="L55" i="159"/>
  <c r="M55" i="159"/>
  <c r="N55" i="159"/>
  <c r="P55" i="159"/>
  <c r="J56" i="159"/>
  <c r="E56" i="159"/>
  <c r="F56" i="159"/>
  <c r="C56" i="159"/>
  <c r="H56" i="159"/>
  <c r="K56" i="159"/>
  <c r="L56" i="159"/>
  <c r="M56" i="159"/>
  <c r="N56" i="159"/>
  <c r="P56" i="159"/>
  <c r="J57" i="159"/>
  <c r="E57" i="159"/>
  <c r="F57" i="159"/>
  <c r="C57" i="159"/>
  <c r="H57" i="159"/>
  <c r="K57" i="159"/>
  <c r="L57" i="159"/>
  <c r="M57" i="159"/>
  <c r="N57" i="159"/>
  <c r="P57" i="159"/>
  <c r="J58" i="159"/>
  <c r="E58" i="159"/>
  <c r="F58" i="159"/>
  <c r="C58" i="159"/>
  <c r="H58" i="159"/>
  <c r="K58" i="159"/>
  <c r="L58" i="159"/>
  <c r="M58" i="159"/>
  <c r="N58" i="159"/>
  <c r="P58" i="159"/>
  <c r="J59" i="159"/>
  <c r="E59" i="159"/>
  <c r="F59" i="159"/>
  <c r="C59" i="159"/>
  <c r="H59" i="159"/>
  <c r="K59" i="159"/>
  <c r="L59" i="159"/>
  <c r="M59" i="159"/>
  <c r="N59" i="159"/>
  <c r="P59" i="159"/>
  <c r="J60" i="159"/>
  <c r="E60" i="159"/>
  <c r="F60" i="159"/>
  <c r="C60" i="159"/>
  <c r="H60" i="159"/>
  <c r="K60" i="159"/>
  <c r="L60" i="159"/>
  <c r="M60" i="159"/>
  <c r="N60" i="159"/>
  <c r="P60" i="159"/>
  <c r="J61" i="159"/>
  <c r="E61" i="159"/>
  <c r="F61" i="159"/>
  <c r="C61" i="159"/>
  <c r="H61" i="159"/>
  <c r="K61" i="159"/>
  <c r="L61" i="159"/>
  <c r="M61" i="159"/>
  <c r="N61" i="159"/>
  <c r="P61" i="159"/>
  <c r="J62" i="159"/>
  <c r="E62" i="159"/>
  <c r="F62" i="159"/>
  <c r="C62" i="159"/>
  <c r="H62" i="159"/>
  <c r="K62" i="159"/>
  <c r="L62" i="159"/>
  <c r="M62" i="159"/>
  <c r="N62" i="159"/>
  <c r="P62" i="159"/>
  <c r="J63" i="159"/>
  <c r="E63" i="159"/>
  <c r="F63" i="159"/>
  <c r="C63" i="159"/>
  <c r="H63" i="159"/>
  <c r="K63" i="159"/>
  <c r="L63" i="159"/>
  <c r="M63" i="159"/>
  <c r="N63" i="159"/>
  <c r="P63" i="159"/>
  <c r="J64" i="159"/>
  <c r="E64" i="159"/>
  <c r="F64" i="159"/>
  <c r="C64" i="159"/>
  <c r="H64" i="159"/>
  <c r="K64" i="159"/>
  <c r="L64" i="159"/>
  <c r="M64" i="159"/>
  <c r="N64" i="159"/>
  <c r="P64" i="159"/>
  <c r="J65" i="159"/>
  <c r="E65" i="159"/>
  <c r="F65" i="159"/>
  <c r="C65" i="159"/>
  <c r="H65" i="159"/>
  <c r="K65" i="159"/>
  <c r="L65" i="159"/>
  <c r="M65" i="159"/>
  <c r="N65" i="159"/>
  <c r="P65" i="159"/>
  <c r="E66" i="159"/>
  <c r="F66" i="159"/>
  <c r="C66" i="159"/>
  <c r="H66" i="159"/>
  <c r="K66" i="159"/>
  <c r="L66" i="159"/>
  <c r="M66" i="159"/>
  <c r="N66" i="159"/>
  <c r="P66" i="159"/>
  <c r="E67" i="159"/>
  <c r="F67" i="159"/>
  <c r="C67" i="159"/>
  <c r="H67" i="159"/>
  <c r="K67" i="159"/>
  <c r="L67" i="159"/>
  <c r="M67" i="159"/>
  <c r="N67" i="159"/>
  <c r="P67" i="159"/>
  <c r="E68" i="159"/>
  <c r="F68" i="159"/>
  <c r="C68" i="159"/>
  <c r="H68" i="159"/>
  <c r="K68" i="159"/>
  <c r="L68" i="159"/>
  <c r="M68" i="159"/>
  <c r="N68" i="159"/>
  <c r="P68" i="159"/>
  <c r="E69" i="159"/>
  <c r="F69" i="159"/>
  <c r="C69" i="159"/>
  <c r="H69" i="159"/>
  <c r="K69" i="159"/>
  <c r="L69" i="159"/>
  <c r="M69" i="159"/>
  <c r="N69" i="159"/>
  <c r="P69" i="159"/>
  <c r="E70" i="159"/>
  <c r="F70" i="159"/>
  <c r="C70" i="159"/>
  <c r="H70" i="159"/>
  <c r="K70" i="159"/>
  <c r="L70" i="159"/>
  <c r="M70" i="159"/>
  <c r="N70" i="159"/>
  <c r="P70" i="159"/>
  <c r="E71" i="159"/>
  <c r="F71" i="159"/>
  <c r="C71" i="159"/>
  <c r="H71" i="159"/>
  <c r="K71" i="159"/>
  <c r="L71" i="159"/>
  <c r="M71" i="159"/>
  <c r="N71" i="159"/>
  <c r="P71" i="159"/>
  <c r="J72" i="159"/>
  <c r="E72" i="159"/>
  <c r="F72" i="159"/>
  <c r="C72" i="159"/>
  <c r="H72" i="159"/>
  <c r="K72" i="159"/>
  <c r="L72" i="159"/>
  <c r="M72" i="159"/>
  <c r="N72" i="159"/>
  <c r="P72" i="159"/>
  <c r="J73" i="159"/>
  <c r="E73" i="159"/>
  <c r="F73" i="159"/>
  <c r="C73" i="159"/>
  <c r="H73" i="159"/>
  <c r="K73" i="159"/>
  <c r="L73" i="159"/>
  <c r="M73" i="159"/>
  <c r="N73" i="159"/>
  <c r="P73" i="159"/>
  <c r="J74" i="159"/>
  <c r="E74" i="159"/>
  <c r="F74" i="159"/>
  <c r="C74" i="159"/>
  <c r="H74" i="159"/>
  <c r="K74" i="159"/>
  <c r="L74" i="159"/>
  <c r="M74" i="159"/>
  <c r="N74" i="159"/>
  <c r="P74" i="159"/>
  <c r="J75" i="159"/>
  <c r="E75" i="159"/>
  <c r="F75" i="159"/>
  <c r="C75" i="159"/>
  <c r="H75" i="159"/>
  <c r="K75" i="159"/>
  <c r="L75" i="159"/>
  <c r="M75" i="159"/>
  <c r="N75" i="159"/>
  <c r="P75" i="159"/>
  <c r="J76" i="159"/>
  <c r="E76" i="159"/>
  <c r="F76" i="159"/>
  <c r="C76" i="159"/>
  <c r="H76" i="159"/>
  <c r="K76" i="159"/>
  <c r="L76" i="159"/>
  <c r="M76" i="159"/>
  <c r="N76" i="159"/>
  <c r="P76" i="159"/>
  <c r="J77" i="159"/>
  <c r="E77" i="159"/>
  <c r="F77" i="159"/>
  <c r="C77" i="159"/>
  <c r="H77" i="159"/>
  <c r="K77" i="159"/>
  <c r="L77" i="159"/>
  <c r="M77" i="159"/>
  <c r="N77" i="159"/>
  <c r="P77" i="159"/>
  <c r="J78" i="159"/>
  <c r="E78" i="159"/>
  <c r="F78" i="159"/>
  <c r="C78" i="159"/>
  <c r="H78" i="159"/>
  <c r="K78" i="159"/>
  <c r="L78" i="159"/>
  <c r="M78" i="159"/>
  <c r="N78" i="159"/>
  <c r="P78" i="159"/>
  <c r="J79" i="159"/>
  <c r="E79" i="159"/>
  <c r="F79" i="159"/>
  <c r="C79" i="159"/>
  <c r="H79" i="159"/>
  <c r="K79" i="159"/>
  <c r="L79" i="159"/>
  <c r="M79" i="159"/>
  <c r="N79" i="159"/>
  <c r="P79" i="159"/>
  <c r="J80" i="159"/>
  <c r="E80" i="159"/>
  <c r="F80" i="159"/>
  <c r="C80" i="159"/>
  <c r="H80" i="159"/>
  <c r="K80" i="159"/>
  <c r="L80" i="159"/>
  <c r="M80" i="159"/>
  <c r="N80" i="159"/>
  <c r="P80" i="159"/>
  <c r="J81" i="159"/>
  <c r="E81" i="159"/>
  <c r="F81" i="159"/>
  <c r="C81" i="159"/>
  <c r="H81" i="159"/>
  <c r="K81" i="159"/>
  <c r="L81" i="159"/>
  <c r="M81" i="159"/>
  <c r="N81" i="159"/>
  <c r="P81" i="159"/>
  <c r="J82" i="159"/>
  <c r="E82" i="159"/>
  <c r="F82" i="159"/>
  <c r="C82" i="159"/>
  <c r="H82" i="159"/>
  <c r="K82" i="159"/>
  <c r="L82" i="159"/>
  <c r="M82" i="159"/>
  <c r="N82" i="159"/>
  <c r="P82" i="159"/>
  <c r="J83" i="159"/>
  <c r="E83" i="159"/>
  <c r="F83" i="159"/>
  <c r="C83" i="159"/>
  <c r="H83" i="159"/>
  <c r="K83" i="159"/>
  <c r="L83" i="159"/>
  <c r="M83" i="159"/>
  <c r="N83" i="159"/>
  <c r="P83" i="159"/>
  <c r="J84" i="159"/>
  <c r="E84" i="159"/>
  <c r="F84" i="159"/>
  <c r="C84" i="159"/>
  <c r="H84" i="159"/>
  <c r="K84" i="159"/>
  <c r="L84" i="159"/>
  <c r="M84" i="159"/>
  <c r="N84" i="159"/>
  <c r="P84" i="159"/>
  <c r="J85" i="159"/>
  <c r="E85" i="159"/>
  <c r="F85" i="159"/>
  <c r="C85" i="159"/>
  <c r="H85" i="159"/>
  <c r="K85" i="159"/>
  <c r="L85" i="159"/>
  <c r="M85" i="159"/>
  <c r="N85" i="159"/>
  <c r="P85" i="159"/>
  <c r="J86" i="159"/>
  <c r="E86" i="159"/>
  <c r="F86" i="159"/>
  <c r="C86" i="159"/>
  <c r="H86" i="159"/>
  <c r="K86" i="159"/>
  <c r="L86" i="159"/>
  <c r="M86" i="159"/>
  <c r="N86" i="159"/>
  <c r="P86" i="159"/>
  <c r="J87" i="159"/>
  <c r="E87" i="159"/>
  <c r="F87" i="159"/>
  <c r="C87" i="159"/>
  <c r="H87" i="159"/>
  <c r="K87" i="159"/>
  <c r="L87" i="159"/>
  <c r="M87" i="159"/>
  <c r="N87" i="159"/>
  <c r="P87" i="159"/>
  <c r="J88" i="159"/>
  <c r="E88" i="159"/>
  <c r="F88" i="159"/>
  <c r="C88" i="159"/>
  <c r="H88" i="159"/>
  <c r="K88" i="159"/>
  <c r="L88" i="159"/>
  <c r="M88" i="159"/>
  <c r="N88" i="159"/>
  <c r="P88" i="159"/>
  <c r="J89" i="159"/>
  <c r="E89" i="159"/>
  <c r="F89" i="159"/>
  <c r="C89" i="159"/>
  <c r="H89" i="159"/>
  <c r="K89" i="159"/>
  <c r="L89" i="159"/>
  <c r="M89" i="159"/>
  <c r="N89" i="159"/>
  <c r="P89" i="159"/>
  <c r="J90" i="159"/>
  <c r="E90" i="159"/>
  <c r="F90" i="159"/>
  <c r="C90" i="159"/>
  <c r="H90" i="159"/>
  <c r="K90" i="159"/>
  <c r="L90" i="159"/>
  <c r="M90" i="159"/>
  <c r="N90" i="159"/>
  <c r="P90" i="159"/>
  <c r="J91" i="159"/>
  <c r="E91" i="159"/>
  <c r="F91" i="159"/>
  <c r="C91" i="159"/>
  <c r="H91" i="159"/>
  <c r="K91" i="159"/>
  <c r="L91" i="159"/>
  <c r="M91" i="159"/>
  <c r="N91" i="159"/>
  <c r="P91" i="159"/>
  <c r="J92" i="159"/>
  <c r="E92" i="159"/>
  <c r="F92" i="159"/>
  <c r="C92" i="159"/>
  <c r="H92" i="159"/>
  <c r="K92" i="159"/>
  <c r="L92" i="159"/>
  <c r="M92" i="159"/>
  <c r="N92" i="159"/>
  <c r="P92" i="159"/>
  <c r="J93" i="159"/>
  <c r="E93" i="159"/>
  <c r="F93" i="159"/>
  <c r="C93" i="159"/>
  <c r="H93" i="159"/>
  <c r="K93" i="159"/>
  <c r="L93" i="159"/>
  <c r="M93" i="159"/>
  <c r="N93" i="159"/>
  <c r="P93" i="159"/>
  <c r="J94" i="159"/>
  <c r="E94" i="159"/>
  <c r="F94" i="159"/>
  <c r="C94" i="159"/>
  <c r="H94" i="159"/>
  <c r="K94" i="159"/>
  <c r="L94" i="159"/>
  <c r="M94" i="159"/>
  <c r="N94" i="159"/>
  <c r="P94" i="159"/>
  <c r="J95" i="159"/>
  <c r="E95" i="159"/>
  <c r="F95" i="159"/>
  <c r="C95" i="159"/>
  <c r="H95" i="159"/>
  <c r="K95" i="159"/>
  <c r="L95" i="159"/>
  <c r="M95" i="159"/>
  <c r="N95" i="159"/>
  <c r="P95" i="159"/>
  <c r="J96" i="159"/>
  <c r="E96" i="159"/>
  <c r="F96" i="159"/>
  <c r="C96" i="159"/>
  <c r="H96" i="159"/>
  <c r="K96" i="159"/>
  <c r="L96" i="159"/>
  <c r="M96" i="159"/>
  <c r="N96" i="159"/>
  <c r="P96" i="159"/>
  <c r="J97" i="159"/>
  <c r="E97" i="159"/>
  <c r="F97" i="159"/>
  <c r="C97" i="159"/>
  <c r="H97" i="159"/>
  <c r="K97" i="159"/>
  <c r="L97" i="159"/>
  <c r="M97" i="159"/>
  <c r="N97" i="159"/>
  <c r="P97" i="159"/>
  <c r="J98" i="159"/>
  <c r="E98" i="159"/>
  <c r="F98" i="159"/>
  <c r="C98" i="159"/>
  <c r="H98" i="159"/>
  <c r="K98" i="159"/>
  <c r="L98" i="159"/>
  <c r="M98" i="159"/>
  <c r="N98" i="159"/>
  <c r="P98" i="159"/>
  <c r="J99" i="159"/>
  <c r="E99" i="159"/>
  <c r="F99" i="159"/>
  <c r="C99" i="159"/>
  <c r="H99" i="159"/>
  <c r="K99" i="159"/>
  <c r="L99" i="159"/>
  <c r="M99" i="159"/>
  <c r="N99" i="159"/>
  <c r="P99" i="159"/>
  <c r="J100" i="159"/>
  <c r="E100" i="159"/>
  <c r="F100" i="159"/>
  <c r="C100" i="159"/>
  <c r="H100" i="159"/>
  <c r="K100" i="159"/>
  <c r="L100" i="159"/>
  <c r="M100" i="159"/>
  <c r="N100" i="159"/>
  <c r="P100" i="159"/>
  <c r="J101" i="159"/>
  <c r="E101" i="159"/>
  <c r="F101" i="159"/>
  <c r="C101" i="159"/>
  <c r="H101" i="159"/>
  <c r="K101" i="159"/>
  <c r="L101" i="159"/>
  <c r="M101" i="159"/>
  <c r="N101" i="159"/>
  <c r="P101" i="159"/>
  <c r="J102" i="159"/>
  <c r="E102" i="159"/>
  <c r="F102" i="159"/>
  <c r="C102" i="159"/>
  <c r="H102" i="159"/>
  <c r="K102" i="159"/>
  <c r="L102" i="159"/>
  <c r="M102" i="159"/>
  <c r="N102" i="159"/>
  <c r="P102" i="159"/>
  <c r="J103" i="159"/>
  <c r="E103" i="159"/>
  <c r="F103" i="159"/>
  <c r="C103" i="159"/>
  <c r="H103" i="159"/>
  <c r="K103" i="159"/>
  <c r="L103" i="159"/>
  <c r="M103" i="159"/>
  <c r="N103" i="159"/>
  <c r="P103" i="159"/>
  <c r="J104" i="159"/>
  <c r="E104" i="159"/>
  <c r="F104" i="159"/>
  <c r="C104" i="159"/>
  <c r="H104" i="159"/>
  <c r="K104" i="159"/>
  <c r="L104" i="159"/>
  <c r="M104" i="159"/>
  <c r="N104" i="159"/>
  <c r="P104" i="159"/>
  <c r="J105" i="159"/>
  <c r="E105" i="159"/>
  <c r="F105" i="159"/>
  <c r="C105" i="159"/>
  <c r="H105" i="159"/>
  <c r="K105" i="159"/>
  <c r="L105" i="159"/>
  <c r="M105" i="159"/>
  <c r="N105" i="159"/>
  <c r="P105" i="159"/>
  <c r="J106" i="159"/>
  <c r="E106" i="159"/>
  <c r="F106" i="159"/>
  <c r="C106" i="159"/>
  <c r="H106" i="159"/>
  <c r="K106" i="159"/>
  <c r="L106" i="159"/>
  <c r="M106" i="159"/>
  <c r="N106" i="159"/>
  <c r="P106" i="159"/>
  <c r="J107" i="159"/>
  <c r="E107" i="159"/>
  <c r="F107" i="159"/>
  <c r="C107" i="159"/>
  <c r="H107" i="159"/>
  <c r="K107" i="159"/>
  <c r="L107" i="159"/>
  <c r="M107" i="159"/>
  <c r="N107" i="159"/>
  <c r="P107" i="159"/>
  <c r="J108" i="159"/>
  <c r="E108" i="159"/>
  <c r="F108" i="159"/>
  <c r="C108" i="159"/>
  <c r="H108" i="159"/>
  <c r="K108" i="159"/>
  <c r="L108" i="159"/>
  <c r="M108" i="159"/>
  <c r="N108" i="159"/>
  <c r="P108" i="159"/>
  <c r="J109" i="159"/>
  <c r="E109" i="159"/>
  <c r="F109" i="159"/>
  <c r="C109" i="159"/>
  <c r="H109" i="159"/>
  <c r="K109" i="159"/>
  <c r="L109" i="159"/>
  <c r="M109" i="159"/>
  <c r="N109" i="159"/>
  <c r="P109" i="159"/>
  <c r="J110" i="159"/>
  <c r="E110" i="159"/>
  <c r="F110" i="159"/>
  <c r="C110" i="159"/>
  <c r="H110" i="159"/>
  <c r="K110" i="159"/>
  <c r="L110" i="159"/>
  <c r="M110" i="159"/>
  <c r="N110" i="159"/>
  <c r="P110" i="159"/>
  <c r="J111" i="159"/>
  <c r="E111" i="159"/>
  <c r="F111" i="159"/>
  <c r="C111" i="159"/>
  <c r="H111" i="159"/>
  <c r="K111" i="159"/>
  <c r="L111" i="159"/>
  <c r="M111" i="159"/>
  <c r="N111" i="159"/>
  <c r="P111" i="159"/>
  <c r="J112" i="159"/>
  <c r="E112" i="159"/>
  <c r="F112" i="159"/>
  <c r="C112" i="159"/>
  <c r="H112" i="159"/>
  <c r="K112" i="159"/>
  <c r="L112" i="159"/>
  <c r="M112" i="159"/>
  <c r="N112" i="159"/>
  <c r="P112" i="159"/>
  <c r="J113" i="159"/>
  <c r="E113" i="159"/>
  <c r="F113" i="159"/>
  <c r="C113" i="159"/>
  <c r="H113" i="159"/>
  <c r="K113" i="159"/>
  <c r="L113" i="159"/>
  <c r="M113" i="159"/>
  <c r="N113" i="159"/>
  <c r="P113" i="159"/>
  <c r="J114" i="159"/>
  <c r="E114" i="159"/>
  <c r="F114" i="159"/>
  <c r="C114" i="159"/>
  <c r="H114" i="159"/>
  <c r="K114" i="159"/>
  <c r="L114" i="159"/>
  <c r="M114" i="159"/>
  <c r="N114" i="159"/>
  <c r="P114" i="159"/>
  <c r="J115" i="159"/>
  <c r="E115" i="159"/>
  <c r="F115" i="159"/>
  <c r="C115" i="159"/>
  <c r="H115" i="159"/>
  <c r="K115" i="159"/>
  <c r="L115" i="159"/>
  <c r="M115" i="159"/>
  <c r="N115" i="159"/>
  <c r="P115" i="159"/>
  <c r="J116" i="159"/>
  <c r="E116" i="159"/>
  <c r="F116" i="159"/>
  <c r="C116" i="159"/>
  <c r="H116" i="159"/>
  <c r="K116" i="159"/>
  <c r="L116" i="159"/>
  <c r="M116" i="159"/>
  <c r="N116" i="159"/>
  <c r="P116" i="159"/>
  <c r="J117" i="159"/>
  <c r="E117" i="159"/>
  <c r="F117" i="159"/>
  <c r="C117" i="159"/>
  <c r="H117" i="159"/>
  <c r="K117" i="159"/>
  <c r="L117" i="159"/>
  <c r="M117" i="159"/>
  <c r="N117" i="159"/>
  <c r="P117" i="159"/>
  <c r="J118" i="159"/>
  <c r="E118" i="159"/>
  <c r="F118" i="159"/>
  <c r="C118" i="159"/>
  <c r="H118" i="159"/>
  <c r="K118" i="159"/>
  <c r="L118" i="159"/>
  <c r="M118" i="159"/>
  <c r="N118" i="159"/>
  <c r="P118" i="159"/>
  <c r="J119" i="159"/>
  <c r="E119" i="159"/>
  <c r="F119" i="159"/>
  <c r="C119" i="159"/>
  <c r="H119" i="159"/>
  <c r="K119" i="159"/>
  <c r="L119" i="159"/>
  <c r="M119" i="159"/>
  <c r="N119" i="159"/>
  <c r="P119" i="159"/>
  <c r="J120" i="159"/>
  <c r="E120" i="159"/>
  <c r="F120" i="159"/>
  <c r="C120" i="159"/>
  <c r="H120" i="159"/>
  <c r="K120" i="159"/>
  <c r="L120" i="159"/>
  <c r="M120" i="159"/>
  <c r="N120" i="159"/>
  <c r="P120" i="159"/>
  <c r="J121" i="159"/>
  <c r="E121" i="159"/>
  <c r="F121" i="159"/>
  <c r="C121" i="159"/>
  <c r="H121" i="159"/>
  <c r="K121" i="159"/>
  <c r="L121" i="159"/>
  <c r="M121" i="159"/>
  <c r="N121" i="159"/>
  <c r="P121" i="159"/>
  <c r="J122" i="159"/>
  <c r="E122" i="159"/>
  <c r="F122" i="159"/>
  <c r="C122" i="159"/>
  <c r="H122" i="159"/>
  <c r="K122" i="159"/>
  <c r="L122" i="159"/>
  <c r="M122" i="159"/>
  <c r="N122" i="159"/>
  <c r="P122" i="159"/>
  <c r="J123" i="159"/>
  <c r="E123" i="159"/>
  <c r="F123" i="159"/>
  <c r="C123" i="159"/>
  <c r="H123" i="159"/>
  <c r="K123" i="159"/>
  <c r="L123" i="159"/>
  <c r="M123" i="159"/>
  <c r="N123" i="159"/>
  <c r="P123" i="159"/>
  <c r="J124" i="159"/>
  <c r="E124" i="159"/>
  <c r="F124" i="159"/>
  <c r="C124" i="159"/>
  <c r="H124" i="159"/>
  <c r="K124" i="159"/>
  <c r="L124" i="159"/>
  <c r="M124" i="159"/>
  <c r="N124" i="159"/>
  <c r="P124" i="159"/>
  <c r="J125" i="159"/>
  <c r="E125" i="159"/>
  <c r="F125" i="159"/>
  <c r="C125" i="159"/>
  <c r="H125" i="159"/>
  <c r="K125" i="159"/>
  <c r="L125" i="159"/>
  <c r="M125" i="159"/>
  <c r="N125" i="159"/>
  <c r="P125" i="159"/>
  <c r="J126" i="159"/>
  <c r="E126" i="159"/>
  <c r="F126" i="159"/>
  <c r="C126" i="159"/>
  <c r="H126" i="159"/>
  <c r="K126" i="159"/>
  <c r="L126" i="159"/>
  <c r="M126" i="159"/>
  <c r="N126" i="159"/>
  <c r="P126" i="159"/>
  <c r="J127" i="159"/>
  <c r="E127" i="159"/>
  <c r="F127" i="159"/>
  <c r="C127" i="159"/>
  <c r="H127" i="159"/>
  <c r="K127" i="159"/>
  <c r="L127" i="159"/>
  <c r="M127" i="159"/>
  <c r="N127" i="159"/>
  <c r="P127" i="159"/>
  <c r="J128" i="159"/>
  <c r="E128" i="159"/>
  <c r="F128" i="159"/>
  <c r="C128" i="159"/>
  <c r="H128" i="159"/>
  <c r="K128" i="159"/>
  <c r="L128" i="159"/>
  <c r="M128" i="159"/>
  <c r="N128" i="159"/>
  <c r="P128" i="159"/>
  <c r="J129" i="159"/>
  <c r="E129" i="159"/>
  <c r="F129" i="159"/>
  <c r="C129" i="159"/>
  <c r="H129" i="159"/>
  <c r="K129" i="159"/>
  <c r="L129" i="159"/>
  <c r="M129" i="159"/>
  <c r="N129" i="159"/>
  <c r="P129" i="159"/>
  <c r="J130" i="159"/>
  <c r="E130" i="159"/>
  <c r="F130" i="159"/>
  <c r="C130" i="159"/>
  <c r="H130" i="159"/>
  <c r="K130" i="159"/>
  <c r="L130" i="159"/>
  <c r="M130" i="159"/>
  <c r="N130" i="159"/>
  <c r="P130" i="159"/>
  <c r="J131" i="159"/>
  <c r="E131" i="159"/>
  <c r="F131" i="159"/>
  <c r="C131" i="159"/>
  <c r="H131" i="159"/>
  <c r="K131" i="159"/>
  <c r="L131" i="159"/>
  <c r="M131" i="159"/>
  <c r="N131" i="159"/>
  <c r="P131" i="159"/>
  <c r="J132" i="159"/>
  <c r="E132" i="159"/>
  <c r="F132" i="159"/>
  <c r="C132" i="159"/>
  <c r="H132" i="159"/>
  <c r="K132" i="159"/>
  <c r="L132" i="159"/>
  <c r="M132" i="159"/>
  <c r="N132" i="159"/>
  <c r="P132" i="159"/>
  <c r="J133" i="159"/>
  <c r="E133" i="159"/>
  <c r="F133" i="159"/>
  <c r="C133" i="159"/>
  <c r="H133" i="159"/>
  <c r="K133" i="159"/>
  <c r="L133" i="159"/>
  <c r="M133" i="159"/>
  <c r="N133" i="159"/>
  <c r="P133" i="159"/>
  <c r="J134" i="159"/>
  <c r="E134" i="159"/>
  <c r="F134" i="159"/>
  <c r="C134" i="159"/>
  <c r="H134" i="159"/>
  <c r="K134" i="159"/>
  <c r="L134" i="159"/>
  <c r="M134" i="159"/>
  <c r="N134" i="159"/>
  <c r="P134" i="159"/>
  <c r="J135" i="159"/>
  <c r="E135" i="159"/>
  <c r="F135" i="159"/>
  <c r="C135" i="159"/>
  <c r="H135" i="159"/>
  <c r="K135" i="159"/>
  <c r="L135" i="159"/>
  <c r="M135" i="159"/>
  <c r="N135" i="159"/>
  <c r="P135" i="159"/>
  <c r="J136" i="159"/>
  <c r="E136" i="159"/>
  <c r="F136" i="159"/>
  <c r="C136" i="159"/>
  <c r="H136" i="159"/>
  <c r="K136" i="159"/>
  <c r="L136" i="159"/>
  <c r="M136" i="159"/>
  <c r="N136" i="159"/>
  <c r="P136" i="159"/>
  <c r="J137" i="159"/>
  <c r="E137" i="159"/>
  <c r="F137" i="159"/>
  <c r="C137" i="159"/>
  <c r="H137" i="159"/>
  <c r="K137" i="159"/>
  <c r="L137" i="159"/>
  <c r="M137" i="159"/>
  <c r="N137" i="159"/>
  <c r="P137" i="159"/>
  <c r="J138" i="159"/>
  <c r="E138" i="159"/>
  <c r="F138" i="159"/>
  <c r="C138" i="159"/>
  <c r="H138" i="159"/>
  <c r="K138" i="159"/>
  <c r="L138" i="159"/>
  <c r="M138" i="159"/>
  <c r="N138" i="159"/>
  <c r="P138" i="159"/>
  <c r="J139" i="159"/>
  <c r="E139" i="159"/>
  <c r="F139" i="159"/>
  <c r="C139" i="159"/>
  <c r="H139" i="159"/>
  <c r="K139" i="159"/>
  <c r="L139" i="159"/>
  <c r="M139" i="159"/>
  <c r="N139" i="159"/>
  <c r="P139" i="159"/>
  <c r="J140" i="159"/>
  <c r="E140" i="159"/>
  <c r="F140" i="159"/>
  <c r="C140" i="159"/>
  <c r="H140" i="159"/>
  <c r="K140" i="159"/>
  <c r="L140" i="159"/>
  <c r="M140" i="159"/>
  <c r="N140" i="159"/>
  <c r="P140" i="159"/>
  <c r="J141" i="159"/>
  <c r="E141" i="159"/>
  <c r="F141" i="159"/>
  <c r="C141" i="159"/>
  <c r="H141" i="159"/>
  <c r="K141" i="159"/>
  <c r="L141" i="159"/>
  <c r="M141" i="159"/>
  <c r="N141" i="159"/>
  <c r="P141" i="159"/>
  <c r="A2" i="153"/>
  <c r="A3" i="159"/>
  <c r="A4" i="159"/>
  <c r="A5" i="159"/>
  <c r="A6" i="159"/>
  <c r="A7" i="159"/>
  <c r="A8" i="159"/>
  <c r="A9" i="159"/>
  <c r="A10" i="159"/>
  <c r="A11" i="159"/>
  <c r="A12" i="159"/>
  <c r="A13" i="159"/>
  <c r="A14" i="159"/>
  <c r="A15" i="159"/>
  <c r="A16" i="159"/>
  <c r="A17" i="159"/>
  <c r="A18" i="159"/>
  <c r="A19" i="159"/>
  <c r="A20" i="159"/>
  <c r="A21" i="159"/>
  <c r="A22" i="159"/>
  <c r="A23" i="159"/>
  <c r="A24" i="159"/>
  <c r="A25" i="159"/>
  <c r="A26" i="159"/>
  <c r="A27" i="159"/>
  <c r="A28" i="159"/>
  <c r="A29" i="159"/>
  <c r="A30" i="159"/>
  <c r="A31" i="159"/>
  <c r="A32" i="159"/>
  <c r="A33" i="159"/>
  <c r="A34" i="159"/>
  <c r="A35" i="159"/>
  <c r="A36" i="159"/>
  <c r="A37" i="159"/>
  <c r="A38" i="159"/>
  <c r="A39" i="159"/>
  <c r="A40" i="159"/>
  <c r="A41" i="159"/>
  <c r="A42" i="159"/>
  <c r="A43" i="159"/>
  <c r="A44" i="159"/>
  <c r="A45" i="159"/>
  <c r="A46" i="159"/>
  <c r="A47" i="159"/>
  <c r="A48" i="159"/>
  <c r="A49" i="159"/>
  <c r="A50" i="159"/>
  <c r="A51" i="159"/>
  <c r="A52" i="159"/>
  <c r="A53" i="159"/>
  <c r="A54" i="159"/>
  <c r="A55" i="159"/>
  <c r="A56" i="159"/>
  <c r="A57" i="159"/>
  <c r="A58" i="159"/>
  <c r="A59" i="159"/>
  <c r="A60" i="159"/>
  <c r="A61" i="159"/>
  <c r="A62" i="159"/>
  <c r="A63" i="159"/>
  <c r="A64" i="159"/>
  <c r="A65" i="159"/>
  <c r="A66" i="159"/>
  <c r="A67" i="159"/>
  <c r="A68" i="159"/>
  <c r="A69" i="159"/>
  <c r="A70" i="159"/>
  <c r="A71" i="159"/>
  <c r="A72" i="159"/>
  <c r="A73" i="159"/>
  <c r="A74" i="159"/>
  <c r="A75" i="159"/>
  <c r="A76" i="159"/>
  <c r="A77" i="159"/>
  <c r="A78" i="159"/>
  <c r="A79" i="159"/>
  <c r="A80" i="159"/>
  <c r="A81" i="159"/>
  <c r="A82" i="159"/>
  <c r="A83" i="159"/>
  <c r="A84" i="159"/>
  <c r="A85" i="159"/>
  <c r="A86" i="159"/>
  <c r="A87" i="159"/>
  <c r="A88" i="159"/>
  <c r="A89" i="159"/>
  <c r="A90" i="159"/>
  <c r="A91" i="159"/>
  <c r="A92" i="159"/>
  <c r="A93" i="159"/>
  <c r="A94" i="159"/>
  <c r="A95" i="159"/>
  <c r="A96" i="159"/>
  <c r="A97" i="159"/>
  <c r="A98" i="159"/>
  <c r="A99" i="159"/>
  <c r="A100" i="159"/>
  <c r="A101" i="159"/>
  <c r="A102" i="159"/>
  <c r="A103" i="159"/>
  <c r="A104" i="159"/>
  <c r="A105" i="159"/>
  <c r="A106" i="159"/>
  <c r="A107" i="159"/>
  <c r="A108" i="159"/>
  <c r="A109" i="159"/>
  <c r="A110" i="159"/>
  <c r="A111" i="159"/>
  <c r="A112" i="159"/>
  <c r="A113" i="159"/>
  <c r="A114" i="159"/>
  <c r="A115" i="159"/>
  <c r="A116" i="159"/>
  <c r="A117" i="159"/>
  <c r="A118" i="159"/>
  <c r="A119" i="159"/>
  <c r="A120" i="159"/>
  <c r="A121" i="159"/>
  <c r="A122" i="159"/>
  <c r="A123" i="159"/>
  <c r="A124" i="159"/>
  <c r="A125" i="159"/>
  <c r="A126" i="159"/>
  <c r="A127" i="159"/>
  <c r="A128" i="159"/>
  <c r="A129" i="159"/>
  <c r="A130" i="159"/>
  <c r="A131" i="159"/>
  <c r="A132" i="159"/>
  <c r="A133" i="159"/>
  <c r="A134" i="159"/>
  <c r="A135" i="159"/>
  <c r="A136" i="159"/>
  <c r="A137" i="159"/>
  <c r="A138" i="159"/>
  <c r="A139" i="159"/>
  <c r="A140" i="159"/>
  <c r="A141" i="159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C337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24" i="153"/>
  <c r="B24" i="153"/>
  <c r="B17" i="153"/>
  <c r="B18" i="153"/>
  <c r="F5" i="153"/>
  <c r="A36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R3" i="153"/>
  <c r="E31" i="153"/>
  <c r="G31" i="153"/>
  <c r="H31" i="153"/>
  <c r="O336" i="154"/>
  <c r="R4" i="153"/>
  <c r="O337" i="154"/>
  <c r="F41" i="153"/>
  <c r="G41" i="153"/>
  <c r="F33" i="153"/>
  <c r="B30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F48" i="153"/>
  <c r="F49" i="153"/>
  <c r="G48" i="153"/>
  <c r="F42" i="153"/>
  <c r="G42" i="153"/>
  <c r="F34" i="153"/>
  <c r="H336" i="154"/>
  <c r="K336" i="154"/>
  <c r="L336" i="154"/>
  <c r="M336" i="154"/>
  <c r="N336" i="154"/>
  <c r="F337" i="154"/>
  <c r="H337" i="154"/>
  <c r="K337" i="154"/>
  <c r="L337" i="154"/>
  <c r="M337" i="154"/>
  <c r="N337" i="154"/>
  <c r="A336" i="154"/>
  <c r="A337" i="154"/>
  <c r="M4" i="153"/>
  <c r="M3" i="153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C337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F6" i="157"/>
  <c r="E6" i="157"/>
  <c r="B23" i="157"/>
  <c r="F5" i="157"/>
  <c r="E5" i="157"/>
  <c r="E28" i="157"/>
  <c r="B28" i="157"/>
  <c r="E26" i="157"/>
  <c r="B26" i="157"/>
  <c r="E29" i="157"/>
  <c r="B29" i="157"/>
  <c r="B21" i="157"/>
  <c r="A2" i="157"/>
  <c r="A36" i="157"/>
  <c r="G26" i="157"/>
  <c r="H26" i="157"/>
  <c r="O44" i="158"/>
  <c r="O47" i="158"/>
  <c r="O50" i="158"/>
  <c r="G21" i="157"/>
  <c r="E21" i="157"/>
  <c r="H21" i="157"/>
  <c r="O53" i="158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O45" i="158"/>
  <c r="O46" i="158"/>
  <c r="O48" i="158"/>
  <c r="O49" i="158"/>
  <c r="G19" i="157"/>
  <c r="H19" i="157"/>
  <c r="O51" i="158"/>
  <c r="E20" i="157"/>
  <c r="B20" i="157"/>
  <c r="G20" i="157"/>
  <c r="H20" i="157"/>
  <c r="O52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R3" i="157"/>
  <c r="E31" i="157"/>
  <c r="G31" i="157"/>
  <c r="H31" i="157"/>
  <c r="O336" i="158"/>
  <c r="R4" i="157"/>
  <c r="O337" i="158"/>
  <c r="F42" i="157"/>
  <c r="G42" i="157"/>
  <c r="F34" i="157"/>
  <c r="H336" i="158"/>
  <c r="K336" i="158"/>
  <c r="L336" i="158"/>
  <c r="M336" i="158"/>
  <c r="N336" i="158"/>
  <c r="F337" i="158"/>
  <c r="P336" i="158"/>
  <c r="H337" i="158"/>
  <c r="K337" i="158"/>
  <c r="L337" i="158"/>
  <c r="M337" i="158"/>
  <c r="N337" i="158"/>
  <c r="P337" i="158"/>
  <c r="A336" i="158"/>
  <c r="A337" i="158"/>
  <c r="F41" i="157"/>
  <c r="G41" i="157"/>
  <c r="F33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G48" i="157"/>
  <c r="C5" i="103"/>
  <c r="E5" i="103"/>
  <c r="C4" i="103"/>
  <c r="E4" i="103"/>
  <c r="C3" i="103"/>
  <c r="E3" i="103"/>
  <c r="C2" i="103"/>
  <c r="E2" i="103"/>
  <c r="P7" i="159"/>
  <c r="N7" i="159"/>
  <c r="M7" i="159"/>
  <c r="L7" i="159"/>
  <c r="K7" i="159"/>
  <c r="J7" i="159"/>
  <c r="H7" i="159"/>
  <c r="F7" i="159"/>
  <c r="E7" i="159"/>
  <c r="C7" i="159"/>
  <c r="P6" i="159"/>
  <c r="N6" i="159"/>
  <c r="M6" i="159"/>
  <c r="L6" i="159"/>
  <c r="K6" i="159"/>
  <c r="J6" i="159"/>
  <c r="H6" i="159"/>
  <c r="F6" i="159"/>
  <c r="E6" i="159"/>
  <c r="C6" i="159"/>
  <c r="P5" i="159"/>
  <c r="N5" i="159"/>
  <c r="M5" i="159"/>
  <c r="L5" i="159"/>
  <c r="K5" i="159"/>
  <c r="J5" i="159"/>
  <c r="H5" i="159"/>
  <c r="F5" i="159"/>
  <c r="E5" i="159"/>
  <c r="C5" i="159"/>
  <c r="P4" i="159"/>
  <c r="N4" i="159"/>
  <c r="M4" i="159"/>
  <c r="L4" i="159"/>
  <c r="K4" i="159"/>
  <c r="J4" i="159"/>
  <c r="H4" i="159"/>
  <c r="F4" i="159"/>
  <c r="E4" i="159"/>
  <c r="C4" i="159"/>
  <c r="P3" i="159"/>
  <c r="N3" i="159"/>
  <c r="M3" i="159"/>
  <c r="L3" i="159"/>
  <c r="K3" i="159"/>
  <c r="J3" i="159"/>
  <c r="H3" i="159"/>
  <c r="F3" i="159"/>
  <c r="E3" i="159"/>
  <c r="C3" i="159"/>
  <c r="P2" i="159"/>
  <c r="N2" i="159"/>
  <c r="M2" i="159"/>
  <c r="L2" i="159"/>
  <c r="K2" i="159"/>
  <c r="J2" i="159"/>
  <c r="H2" i="159"/>
  <c r="F2" i="159"/>
  <c r="E2" i="159"/>
  <c r="C2" i="159"/>
  <c r="A2" i="159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R5" i="153"/>
  <c r="R6" i="153"/>
  <c r="R7" i="153"/>
  <c r="R8" i="153"/>
  <c r="F40" i="153"/>
  <c r="G40" i="153"/>
  <c r="M8" i="153"/>
  <c r="M7" i="153"/>
  <c r="M6" i="153"/>
  <c r="M5" i="153"/>
  <c r="B10" i="157"/>
  <c r="R5" i="157"/>
  <c r="R6" i="157"/>
  <c r="R7" i="157"/>
  <c r="R8" i="157"/>
  <c r="F40" i="157"/>
  <c r="G40" i="157"/>
  <c r="M8" i="157"/>
  <c r="M7" i="157"/>
  <c r="M6" i="157"/>
  <c r="M5" i="157"/>
  <c r="M4" i="157"/>
  <c r="M3" i="157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9" i="153"/>
  <c r="R10" i="153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6" i="103"/>
  <c r="E6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<sst xmlns="http://schemas.openxmlformats.org/spreadsheetml/2006/main" count="543" uniqueCount="267">
  <si>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</si>
  <si>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</si>
  <si>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</si>
  <si>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</si>
  <si>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</si>
  <si>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</si>
  <si>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</si>
  <si>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</si>
  <si>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</si>
  <si>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</si>
  <si>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</si>
  <si>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</si>
  <si>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</si>
  <si>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</si>
  <si>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</si>
  <si>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</si>
  <si>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</si>
  <si>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</si>
  <si>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</si>
  <si>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</si>
  <si>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</si>
  <si>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</si>
  <si>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</si>
  <si>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</si>
  <si>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</si>
  <si>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</si>
  <si>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</si>
  <si>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</si>
  <si>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</si>
  <si>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</si>
  <si>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</si>
  <si>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</si>
  <si>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</si>
  <si>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</si>
  <si>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</si>
  <si>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</si>
  <si>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</si>
  <si>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</si>
  <si>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</si>
  <si>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</si>
  <si>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</si>
  <si>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</si>
  <si>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</si>
  <si>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</si>
  <si>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</si>
  <si>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</si>
  <si>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</si>
  <si>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</si>
  <si>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</si>
  <si>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</si>
  <si>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</si>
  <si>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</si>
  <si>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</si>
  <si>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</si>
  <si>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</si>
  <si>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</si>
  <si>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</si>
  <si>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</si>
  <si>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</si>
  <si>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</si>
  <si>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</si>
  <si>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</si>
  <si>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</si>
  <si>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</si>
  <si>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</si>
  <si>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</si>
  <si>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</si>
  <si>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</si>
  <si>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</si>
  <si>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</si>
  <si>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</si>
  <si>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</si>
  <si>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</si>
  <si>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</si>
  <si>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</si>
  <si>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</si>
  <si>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</si>
  <si>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</si>
  <si>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</si>
  <si>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</si>
  <si>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</si>
  <si>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</si>
  <si>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</si>
  <si>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</si>
  <si>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</si>
  <si>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</si>
  <si>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</si>
  <si>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</si>
  <si>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</si>
  <si>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</si>
  <si>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</si>
  <si>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</si>
  <si>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</si>
  <si>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</si>
  <si>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</si>
  <si>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</si>
  <si>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</si>
  <si>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</si>
  <si>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</si>
  <si>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</si>
  <si>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</si>
  <si>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</si>
  <si>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</si>
  <si>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</si>
  <si>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</si>
  <si>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</si>
  <si>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</si>
  <si>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</si>
  <si>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</si>
  <si>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</si>
  <si>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</si>
  <si>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</si>
  <si>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</si>
  <si>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</si>
  <si>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</si>
  <si>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</si>
  <si>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</si>
  <si>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</si>
  <si>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</si>
  <si>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</si>
  <si>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</si>
  <si>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</si>
  <si>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</si>
  <si>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</si>
  <si>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</si>
  <si>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</si>
  <si>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</si>
  <si>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</si>
  <si>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</si>
  <si>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</si>
  <si>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</si>
  <si>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</si>
  <si>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</si>
  <si>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</si>
  <si>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</si>
  <si>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</si>
  <si>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</si>
  <si>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</si>
  <si>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</si>
  <si>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</si>
  <si>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</si>
  <si>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</si>
  <si>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</si>
  <si>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</si>
  <si>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</si>
  <si>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</si>
  <si>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</si>
  <si>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</si>
  <si>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</si>
  <si>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</si>
  <si>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</si>
  <si>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</si>
  <si>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</si>
  <si>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</si>
  <si>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</si>
  <si>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</si>
  <si>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</si>
  <si>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</si>
  <si>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</si>
  <si>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</si>
  <si>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</si>
  <si>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</si>
  <si>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</si>
  <si>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</si>
  <si>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</si>
  <si>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</si>
  <si>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</si>
  <si>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</si>
  <si>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</si>
  <si>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</si>
  <si>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</si>
  <si>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</si>
  <si>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</si>
  <si>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</si>
  <si>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</si>
  <si>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</si>
  <si>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</si>
  <si>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</si>
  <si>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</si>
  <si>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</si>
  <si>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</si>
  <si>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</si>
  <si>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</si>
  <si>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</si>
  <si>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</si>
  <si>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</si>
  <si>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</si>
  <si>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</si>
  <si>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</si>
  <si>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</si>
  <si>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</si>
  <si>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</si>
  <si>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</si>
  <si>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</si>
  <si>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</si>
  <si>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</si>
  <si>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</si>
  <si>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</si>
  <si>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</si>
  <si>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</si>
  <si>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</si>
  <si>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</si>
  <si>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</si>
  <si>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</si>
  <si>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</si>
  <si>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</si>
  <si>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</si>
  <si>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</si>
  <si>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</si>
  <si>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</si>
  <si>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</si>
  <si>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</si>
  <si>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</si>
  <si>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</si>
  <si>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</si>
  <si>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</si>
  <si>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</si>
  <si>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</si>
  <si>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</si>
  <si>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</si>
  <si>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</si>
  <si>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</si>
  <si>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</si>
  <si>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</si>
  <si>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</si>
  <si>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</si>
  <si>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</si>
  <si>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</si>
  <si>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</si>
  <si>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</si>
  <si>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</si>
  <si>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</si>
  <si>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</si>
  <si>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</si>
  <si>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</si>
  <si>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</si>
  <si>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</si>
  <si>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</si>
  <si>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</si>
  <si>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</si>
  <si>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</si>
  <si>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</si>
  <si>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</si>
  <si>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通常確率</t>
    <phoneticPr fontId="20"/>
  </si>
  <si>
    <t>tables_363105</t>
    <phoneticPr fontId="20"/>
  </si>
  <si>
    <t>tables_363100</t>
    <phoneticPr fontId="20"/>
  </si>
  <si>
    <t>.tmp</t>
    <phoneticPr fontId="53"/>
  </si>
  <si>
    <t>PremiumSSw</t>
    <phoneticPr fontId="20"/>
  </si>
  <si>
    <t>PremiumSSw</t>
    <phoneticPr fontId="20"/>
  </si>
  <si>
    <t>old</t>
    <phoneticPr fontId="20"/>
  </si>
  <si>
    <t>gacha_select_tables_</t>
    <phoneticPr fontId="20"/>
  </si>
  <si>
    <t>.tmp</t>
    <phoneticPr fontId="53"/>
  </si>
  <si>
    <t>gacha_settle_tables_</t>
    <phoneticPr fontId="20"/>
  </si>
  <si>
    <t>skip</t>
    <phoneticPr fontId="20"/>
  </si>
  <si>
    <t>old</t>
    <phoneticPr fontId="20"/>
  </si>
  <si>
    <t>PremiumSSS</t>
  </si>
  <si>
    <t>PremiumSS</t>
  </si>
  <si>
    <t>Premium</t>
  </si>
  <si>
    <t>item</t>
    <phoneticPr fontId="20"/>
  </si>
  <si>
    <t>ja</t>
    <phoneticPr fontId="20"/>
  </si>
  <si>
    <t>★6覚醒可能ユニットチケット</t>
    <phoneticPr fontId="20"/>
  </si>
  <si>
    <t>フィーバーフェスティバル特典</t>
    <phoneticPr fontId="20"/>
  </si>
  <si>
    <t>5回目特典として★6覚醒可能ユニットチケットを1枚プレゼント！</t>
    <phoneticPr fontId="20"/>
  </si>
  <si>
    <t>tables_452100</t>
  </si>
  <si>
    <t>tables_settle_452100</t>
  </si>
  <si>
    <t>tables_settle_452105</t>
  </si>
  <si>
    <t>tables_452010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</si>
</sst>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104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25" fillId="3" borderId="14" xfId="2" applyFont="1" applyFill="1" applyBorder="1" applyAlignment="1">
      <alignment vertical="center"/>
    </xf>
    <xf numFmtId="0" fontId="3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0" fontId="2" fillId="0" borderId="1" xfId="3036" applyFont="1" applyBorder="1"/>
    <xf numFmtId="0" fontId="24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177" fontId="0" fillId="0" borderId="0" xfId="3575" applyNumberFormat="1" applyFont="1" applyFill="1" applyBorder="1"/>
    <xf numFmtId="0" fontId="52" fillId="0" borderId="0" xfId="0" applyFont="1" applyFill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184" fontId="25" fillId="4" borderId="1" xfId="3663" quotePrefix="1" applyNumberFormat="1" applyFont="1" applyFill="1" applyBorder="1" applyAlignment="1">
      <alignment vertical="center"/>
    </xf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attack</v>
          </cell>
          <cell r="L1165" t="str">
            <v>攻撃タイプ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attack</v>
          </cell>
          <cell r="L1166" t="str">
            <v>攻撃タイプ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balance</v>
          </cell>
          <cell r="L1167" t="str">
            <v>バランスタイプ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balance</v>
          </cell>
          <cell r="L1168" t="str">
            <v>バランスタイプ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unknown</v>
          </cell>
        </row>
        <row r="1220">
          <cell r="A1220">
            <v>1219</v>
          </cell>
          <cell r="B1220" t="str">
            <v>ja</v>
          </cell>
          <cell r="C1220" t="str">
            <v>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unknown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芥川龍之介</v>
          </cell>
          <cell r="H1230" t="str">
            <v>blue</v>
          </cell>
          <cell r="I1230">
            <v>6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samurai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samurai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samurai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samurai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blue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blue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DropWizS</v>
          </cell>
          <cell r="K1317" t="str">
            <v>attack</v>
          </cell>
          <cell r="L1317" t="str">
            <v>攻撃タイプ</v>
          </cell>
          <cell r="M1317" t="str">
            <v>human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DropWizS</v>
          </cell>
          <cell r="K1318" t="str">
            <v>attack</v>
          </cell>
          <cell r="L1318" t="str">
            <v>攻撃タイプ</v>
          </cell>
          <cell r="M1318" t="str">
            <v>human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human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human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6001</v>
          </cell>
          <cell r="B1372" t="str">
            <v>ja</v>
          </cell>
          <cell r="C1372" t="str">
            <v>ジェリー</v>
          </cell>
          <cell r="D1372" t="str">
            <v>ノーマルクエスト</v>
          </cell>
          <cell r="E1372" t="str">
            <v>QoH</v>
          </cell>
          <cell r="F1372" t="str">
            <v>世界観</v>
          </cell>
          <cell r="G1372" t="str">
            <v>不明</v>
          </cell>
          <cell r="H1372" t="str">
            <v>red</v>
          </cell>
          <cell r="I1372">
            <v>1</v>
          </cell>
          <cell r="J1372" t="str">
            <v>Drop1T</v>
          </cell>
          <cell r="K1372" t="str">
            <v>ra</v>
          </cell>
          <cell r="L1372" t="str">
            <v>ラグランジュチャレンジ</v>
          </cell>
          <cell r="M1372" t="str">
            <v>unknown</v>
          </cell>
        </row>
        <row r="1373">
          <cell r="A1373">
            <v>6002</v>
          </cell>
          <cell r="B1373" t="str">
            <v>ja</v>
          </cell>
          <cell r="C1373" t="str">
            <v>ヨシタカ</v>
          </cell>
          <cell r="D1373" t="str">
            <v>ノーマルクエスト</v>
          </cell>
          <cell r="E1373" t="str">
            <v>アバター</v>
          </cell>
          <cell r="F1373" t="str">
            <v>世界観</v>
          </cell>
          <cell r="G1373" t="str">
            <v>男性</v>
          </cell>
          <cell r="H1373" t="str">
            <v>red</v>
          </cell>
          <cell r="I1373">
            <v>2</v>
          </cell>
          <cell r="J1373" t="str">
            <v>Drop1N</v>
          </cell>
          <cell r="K1373" t="str">
            <v>ra</v>
          </cell>
          <cell r="L1373" t="str">
            <v>ラグランジュチャレンジ</v>
          </cell>
          <cell r="M1373" t="str">
            <v>human</v>
          </cell>
        </row>
        <row r="1374">
          <cell r="A1374">
            <v>6003</v>
          </cell>
          <cell r="B1374" t="str">
            <v>ja</v>
          </cell>
          <cell r="C1374" t="str">
            <v>朱雀</v>
          </cell>
          <cell r="D1374" t="str">
            <v>リンクガチャ:4神</v>
          </cell>
          <cell r="E1374" t="str">
            <v>守護神</v>
          </cell>
          <cell r="F1374" t="str">
            <v>格好いい</v>
          </cell>
          <cell r="G1374" t="str">
            <v>不明</v>
          </cell>
          <cell r="H1374" t="str">
            <v>red</v>
          </cell>
          <cell r="I1374">
            <v>3</v>
          </cell>
          <cell r="J1374" t="str">
            <v>Drop2N</v>
          </cell>
          <cell r="K1374" t="str">
            <v>ra</v>
          </cell>
          <cell r="L1374" t="str">
            <v>ラグランジュチャレンジ</v>
          </cell>
          <cell r="M1374" t="str">
            <v>animal</v>
          </cell>
        </row>
        <row r="1375">
          <cell r="A1375">
            <v>6004</v>
          </cell>
          <cell r="B1375" t="str">
            <v>ja</v>
          </cell>
          <cell r="C1375" t="str">
            <v>ブレット</v>
          </cell>
          <cell r="D1375" t="str">
            <v>ノーマルクエスト</v>
          </cell>
          <cell r="E1375" t="str">
            <v>アバター</v>
          </cell>
          <cell r="F1375" t="str">
            <v>世界観</v>
          </cell>
          <cell r="G1375" t="str">
            <v>不明</v>
          </cell>
          <cell r="H1375" t="str">
            <v>red</v>
          </cell>
          <cell r="I1375">
            <v>1</v>
          </cell>
          <cell r="J1375" t="str">
            <v>Drop1W</v>
          </cell>
          <cell r="K1375" t="str">
            <v>ra</v>
          </cell>
          <cell r="L1375" t="str">
            <v>ラグランジュチャレンジ</v>
          </cell>
          <cell r="M1375" t="str">
            <v>animal</v>
          </cell>
        </row>
        <row r="1376">
          <cell r="A1376">
            <v>6005</v>
          </cell>
          <cell r="B1376" t="str">
            <v>ja</v>
          </cell>
          <cell r="C1376" t="str">
            <v>孤神 テティス</v>
          </cell>
          <cell r="D1376" t="str">
            <v>初期ガチャ</v>
          </cell>
          <cell r="E1376" t="str">
            <v>管理者</v>
          </cell>
          <cell r="F1376" t="str">
            <v>美しい</v>
          </cell>
          <cell r="G1376" t="str">
            <v>女性</v>
          </cell>
          <cell r="H1376" t="str">
            <v>blue</v>
          </cell>
          <cell r="I1376">
            <v>4</v>
          </cell>
          <cell r="J1376" t="str">
            <v>PremiumN</v>
          </cell>
          <cell r="K1376" t="str">
            <v>ra</v>
          </cell>
          <cell r="L1376" t="str">
            <v>ラグランジュチャレンジ</v>
          </cell>
          <cell r="M1376" t="str">
            <v>god</v>
          </cell>
        </row>
        <row r="1377">
          <cell r="A1377">
            <v>6006</v>
          </cell>
          <cell r="B1377" t="str">
            <v>ja</v>
          </cell>
          <cell r="C1377" t="str">
            <v>海底の孤高神 テティス</v>
          </cell>
          <cell r="D1377" t="str">
            <v>初期ガチャ</v>
          </cell>
          <cell r="E1377" t="str">
            <v>管理者</v>
          </cell>
          <cell r="F1377" t="str">
            <v>美しい</v>
          </cell>
          <cell r="G1377" t="str">
            <v>女性</v>
          </cell>
          <cell r="H1377" t="str">
            <v>blue</v>
          </cell>
          <cell r="I1377">
            <v>5</v>
          </cell>
          <cell r="J1377" t="str">
            <v>PremiumN</v>
          </cell>
          <cell r="K1377" t="str">
            <v>ra</v>
          </cell>
          <cell r="L1377" t="str">
            <v>ラグランジュチャレンジ</v>
          </cell>
          <cell r="M1377" t="str">
            <v>god</v>
          </cell>
        </row>
        <row r="1378">
          <cell r="A1378">
            <v>6007</v>
          </cell>
          <cell r="B1378" t="str">
            <v>ja</v>
          </cell>
          <cell r="C1378" t="str">
            <v>番犬 ケルベロス</v>
          </cell>
          <cell r="D1378" t="str">
            <v>初期ガチャ</v>
          </cell>
          <cell r="E1378" t="str">
            <v>破界者</v>
          </cell>
          <cell r="F1378" t="str">
            <v>可愛い</v>
          </cell>
          <cell r="G1378" t="str">
            <v>女性</v>
          </cell>
          <cell r="H1378" t="str">
            <v>red</v>
          </cell>
          <cell r="I1378">
            <v>4</v>
          </cell>
          <cell r="J1378" t="str">
            <v>PremiumN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6008</v>
          </cell>
          <cell r="B1379" t="str">
            <v>ja</v>
          </cell>
          <cell r="C1379" t="str">
            <v>焔神 プロメテウス</v>
          </cell>
          <cell r="D1379" t="str">
            <v>初期ガチャ</v>
          </cell>
          <cell r="E1379" t="str">
            <v>管理者</v>
          </cell>
          <cell r="F1379" t="str">
            <v>格好いい</v>
          </cell>
          <cell r="G1379" t="str">
            <v>男性</v>
          </cell>
          <cell r="H1379" t="str">
            <v>red</v>
          </cell>
          <cell r="I1379">
            <v>4</v>
          </cell>
          <cell r="J1379" t="str">
            <v>PremiumN</v>
          </cell>
          <cell r="K1379" t="str">
            <v>ra</v>
          </cell>
          <cell r="L1379" t="str">
            <v>ラグランジュチャレンジ</v>
          </cell>
          <cell r="M1379" t="str">
            <v>god</v>
          </cell>
        </row>
        <row r="1380">
          <cell r="A1380">
            <v>6009</v>
          </cell>
          <cell r="B1380" t="str">
            <v>ja</v>
          </cell>
          <cell r="C1380" t="str">
            <v>超越自我 ラグランジュ</v>
          </cell>
          <cell r="D1380" t="str">
            <v>ガチャ:フィーバーフェス02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red</v>
          </cell>
          <cell r="I1380">
            <v>5</v>
          </cell>
          <cell r="J1380" t="str">
            <v>PremiumSSS</v>
          </cell>
          <cell r="K1380" t="str">
            <v>ra</v>
          </cell>
          <cell r="L1380" t="str">
            <v>ラグランジュチャレンジ</v>
          </cell>
          <cell r="M1380" t="str">
            <v>human</v>
          </cell>
        </row>
        <row r="1381">
          <cell r="A1381">
            <v>6010</v>
          </cell>
          <cell r="B1381" t="str">
            <v>ja</v>
          </cell>
          <cell r="C1381" t="str">
            <v>超越凌駕 ラグランジュ</v>
          </cell>
          <cell r="D1381" t="str">
            <v>ガチャ:フィーバーフェス02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red</v>
          </cell>
          <cell r="I1381">
            <v>6</v>
          </cell>
          <cell r="J1381" t="str">
            <v>PremiumSSS</v>
          </cell>
          <cell r="K1381" t="str">
            <v>ra</v>
          </cell>
          <cell r="L1381" t="str">
            <v>ラグランジュチャレンジ</v>
          </cell>
          <cell r="M1381" t="str">
            <v>human</v>
          </cell>
        </row>
        <row r="1382">
          <cell r="A1382">
            <v>6011</v>
          </cell>
          <cell r="B1382" t="str">
            <v>ja</v>
          </cell>
          <cell r="C1382" t="str">
            <v>パトドッグリーダー ポチ</v>
          </cell>
          <cell r="D1382" t="str">
            <v>ガチャ:フィーバーフェス02</v>
          </cell>
          <cell r="E1382" t="str">
            <v>執行者</v>
          </cell>
          <cell r="F1382" t="str">
            <v>格好いい</v>
          </cell>
          <cell r="G1382" t="str">
            <v>男性</v>
          </cell>
          <cell r="H1382" t="str">
            <v>blue</v>
          </cell>
          <cell r="I1382">
            <v>2</v>
          </cell>
          <cell r="J1382" t="str">
            <v>Drop1T</v>
          </cell>
          <cell r="K1382" t="str">
            <v>ra002</v>
          </cell>
          <cell r="L1382" t="str">
            <v>ユークリッドチャレンジ</v>
          </cell>
          <cell r="M1382" t="str">
            <v>unknown</v>
          </cell>
        </row>
        <row r="1383">
          <cell r="A1383">
            <v>6012</v>
          </cell>
          <cell r="B1383" t="str">
            <v>ja</v>
          </cell>
          <cell r="C1383" t="str">
            <v>ミミ</v>
          </cell>
          <cell r="D1383" t="str">
            <v>ガチャ:フィーバーフェス02</v>
          </cell>
          <cell r="E1383" t="str">
            <v>執行者</v>
          </cell>
          <cell r="F1383" t="str">
            <v>格好いい</v>
          </cell>
          <cell r="G1383" t="str">
            <v>男性</v>
          </cell>
          <cell r="H1383" t="str">
            <v>yellow</v>
          </cell>
          <cell r="I1383">
            <v>1</v>
          </cell>
          <cell r="J1383" t="str">
            <v>Drop1W</v>
          </cell>
          <cell r="K1383" t="str">
            <v>ra002</v>
          </cell>
          <cell r="L1383" t="str">
            <v>ユークリッドチャレンジ</v>
          </cell>
          <cell r="M1383" t="str">
            <v>animal</v>
          </cell>
        </row>
        <row r="1384">
          <cell r="A1384">
            <v>6013</v>
          </cell>
          <cell r="B1384" t="str">
            <v>ja</v>
          </cell>
          <cell r="C1384" t="str">
            <v>護衛機人 スケアクロウ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男性</v>
          </cell>
          <cell r="H1384" t="str">
            <v>blue</v>
          </cell>
          <cell r="I1384">
            <v>2</v>
          </cell>
          <cell r="J1384" t="str">
            <v>Drop1N</v>
          </cell>
          <cell r="K1384" t="str">
            <v>ra002</v>
          </cell>
          <cell r="L1384" t="str">
            <v>ユークリッドチャレンジ</v>
          </cell>
          <cell r="M1384" t="str">
            <v>machine</v>
          </cell>
        </row>
        <row r="1385">
          <cell r="A1385">
            <v>6014</v>
          </cell>
          <cell r="B1385" t="str">
            <v>ja</v>
          </cell>
          <cell r="C1385" t="str">
            <v>月下の人狼 ローレンス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男性</v>
          </cell>
          <cell r="H1385" t="str">
            <v>blue</v>
          </cell>
          <cell r="I1385">
            <v>4</v>
          </cell>
          <cell r="J1385" t="str">
            <v>PremiumW</v>
          </cell>
          <cell r="K1385" t="str">
            <v>ra002</v>
          </cell>
          <cell r="L1385" t="str">
            <v>ユークリッドチャレンジ</v>
          </cell>
          <cell r="M1385" t="str">
            <v>animal</v>
          </cell>
        </row>
        <row r="1386">
          <cell r="A1386">
            <v>6015</v>
          </cell>
          <cell r="B1386" t="str">
            <v>ja</v>
          </cell>
          <cell r="C1386" t="str">
            <v>フレイヤ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4</v>
          </cell>
          <cell r="J1386" t="str">
            <v>PremiumSS</v>
          </cell>
          <cell r="K1386" t="str">
            <v>ra002</v>
          </cell>
          <cell r="L1386" t="str">
            <v>ユークリッドチャレンジ</v>
          </cell>
          <cell r="M1386" t="str">
            <v>animal</v>
          </cell>
        </row>
        <row r="1387">
          <cell r="A1387">
            <v>6016</v>
          </cell>
          <cell r="B1387" t="str">
            <v>ja</v>
          </cell>
          <cell r="C1387" t="str">
            <v>根原論理 ユークリッド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blue</v>
          </cell>
          <cell r="I1387">
            <v>5</v>
          </cell>
          <cell r="J1387" t="str">
            <v>PremiumSSS</v>
          </cell>
          <cell r="K1387" t="str">
            <v>ra002</v>
          </cell>
          <cell r="L1387" t="str">
            <v>ユークリッドチャレンジ</v>
          </cell>
          <cell r="M1387" t="str">
            <v>human</v>
          </cell>
        </row>
        <row r="1388">
          <cell r="A1388">
            <v>6017</v>
          </cell>
          <cell r="B1388" t="str">
            <v>ja</v>
          </cell>
          <cell r="C1388" t="str">
            <v>不朽の極論 ユークリッド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6</v>
          </cell>
          <cell r="J1388" t="str">
            <v>PremiumSSS</v>
          </cell>
          <cell r="K1388" t="str">
            <v>ra002</v>
          </cell>
          <cell r="L1388" t="str">
            <v>ユークリッドチャレンジ</v>
          </cell>
          <cell r="M1388" t="str">
            <v>human</v>
          </cell>
        </row>
        <row r="1389">
          <cell r="A1389">
            <v>6018</v>
          </cell>
          <cell r="B1389" t="str">
            <v>ja</v>
          </cell>
          <cell r="C1389" t="str">
            <v>ハヅル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red</v>
          </cell>
          <cell r="I1389">
            <v>4</v>
          </cell>
          <cell r="J1389" t="str">
            <v>PremiumSS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6019</v>
          </cell>
          <cell r="B1390" t="str">
            <v>ja</v>
          </cell>
          <cell r="C1390" t="str">
            <v>天織羽鶴 ハヅル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red</v>
          </cell>
          <cell r="I1390">
            <v>5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6020</v>
          </cell>
          <cell r="B1391" t="str">
            <v>ja</v>
          </cell>
          <cell r="C1391" t="str">
            <v>ミズチ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4</v>
          </cell>
          <cell r="J1391" t="str">
            <v>PremiumS</v>
          </cell>
          <cell r="K1391" t="str">
            <v>ra002</v>
          </cell>
          <cell r="L1391" t="str">
            <v>ユークリッドチャレンジ</v>
          </cell>
          <cell r="M1391" t="str">
            <v>dragon</v>
          </cell>
        </row>
        <row r="1392">
          <cell r="A1392">
            <v>8001</v>
          </cell>
          <cell r="B1392" t="str">
            <v>ja</v>
          </cell>
          <cell r="C1392" t="str">
            <v>媽祖</v>
          </cell>
          <cell r="D1392" t="str">
            <v>イベント:ミクコラボ01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yellow</v>
          </cell>
          <cell r="I1392">
            <v>5</v>
          </cell>
          <cell r="J1392" t="str">
            <v>PremiumSS</v>
          </cell>
          <cell r="K1392" t="str">
            <v>attack</v>
          </cell>
          <cell r="L1392" t="str">
            <v>攻撃タイプ</v>
          </cell>
          <cell r="M1392" t="str">
            <v>god</v>
          </cell>
        </row>
        <row r="1393">
          <cell r="A1393">
            <v>8002</v>
          </cell>
          <cell r="B1393" t="str">
            <v>ja</v>
          </cell>
          <cell r="C1393" t="str">
            <v>天后 媽祖</v>
          </cell>
          <cell r="D1393" t="str">
            <v>イベント:ミクコラボ01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yellow</v>
          </cell>
          <cell r="I1393">
            <v>6</v>
          </cell>
          <cell r="J1393" t="str">
            <v>PremiumSS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8003</v>
          </cell>
          <cell r="B1394" t="str">
            <v>ja</v>
          </cell>
          <cell r="C1394" t="str">
            <v>蛟龍</v>
          </cell>
          <cell r="D1394" t="str">
            <v>イベント:ミクコラボ01</v>
          </cell>
          <cell r="E1394" t="str">
            <v>執行者</v>
          </cell>
          <cell r="F1394" t="str">
            <v>格好いい</v>
          </cell>
          <cell r="G1394" t="str">
            <v>不明</v>
          </cell>
          <cell r="H1394" t="str">
            <v>blue</v>
          </cell>
          <cell r="I1394">
            <v>5</v>
          </cell>
          <cell r="J1394" t="str">
            <v>DropWizS</v>
          </cell>
          <cell r="K1394" t="str">
            <v>hp</v>
          </cell>
          <cell r="L1394" t="str">
            <v>体力タイプ</v>
          </cell>
          <cell r="M1394" t="str">
            <v>dragon</v>
          </cell>
        </row>
        <row r="1395">
          <cell r="A1395">
            <v>8004</v>
          </cell>
          <cell r="B1395" t="str">
            <v>ja</v>
          </cell>
          <cell r="C1395" t="str">
            <v>深海蛟龍怪‧晏公</v>
          </cell>
          <cell r="D1395" t="str">
            <v>イベント:ミクコラボ01</v>
          </cell>
          <cell r="E1395" t="str">
            <v>執行者</v>
          </cell>
          <cell r="F1395" t="str">
            <v>格好いい</v>
          </cell>
          <cell r="G1395" t="str">
            <v>不明</v>
          </cell>
          <cell r="H1395" t="str">
            <v>blue</v>
          </cell>
          <cell r="I1395">
            <v>6</v>
          </cell>
          <cell r="J1395" t="str">
            <v>DropWizS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8005</v>
          </cell>
          <cell r="B1396" t="str">
            <v>ja</v>
          </cell>
          <cell r="C1396" t="str">
            <v>三蔵法師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不明</v>
          </cell>
          <cell r="H1396" t="str">
            <v>blue</v>
          </cell>
          <cell r="I1396">
            <v>5</v>
          </cell>
          <cell r="J1396" t="str">
            <v>PremiumSS</v>
          </cell>
          <cell r="K1396" t="str">
            <v>balance</v>
          </cell>
          <cell r="L1396" t="str">
            <v>バランスタイプ</v>
          </cell>
          <cell r="M1396" t="str">
            <v>human</v>
          </cell>
        </row>
        <row r="1397">
          <cell r="A1397">
            <v>8006</v>
          </cell>
          <cell r="B1397" t="str">
            <v>ja</v>
          </cell>
          <cell r="C1397" t="str">
            <v>三蔵法師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不明</v>
          </cell>
          <cell r="H1397" t="str">
            <v>blue</v>
          </cell>
          <cell r="I1397">
            <v>6</v>
          </cell>
          <cell r="J1397" t="str">
            <v>PremiumSS</v>
          </cell>
          <cell r="K1397" t="str">
            <v>balance</v>
          </cell>
          <cell r="L1397" t="str">
            <v>バランスタイプ</v>
          </cell>
          <cell r="M1397" t="str">
            <v>human</v>
          </cell>
        </row>
        <row r="1398">
          <cell r="A1398">
            <v>8007</v>
          </cell>
          <cell r="B1398" t="str">
            <v>ja</v>
          </cell>
          <cell r="C1398" t="str">
            <v>孫悟空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red</v>
          </cell>
          <cell r="I1398">
            <v>5</v>
          </cell>
          <cell r="J1398" t="str">
            <v>DropWizS</v>
          </cell>
          <cell r="K1398" t="str">
            <v>attack</v>
          </cell>
          <cell r="L1398" t="str">
            <v>攻撃タイプ</v>
          </cell>
          <cell r="M1398" t="str">
            <v>animal</v>
          </cell>
        </row>
        <row r="1399">
          <cell r="A1399">
            <v>8008</v>
          </cell>
          <cell r="B1399" t="str">
            <v>ja</v>
          </cell>
          <cell r="C1399" t="str">
            <v>孫悟空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red</v>
          </cell>
          <cell r="I1399">
            <v>6</v>
          </cell>
          <cell r="J1399" t="str">
            <v>DropWizS</v>
          </cell>
          <cell r="K1399" t="str">
            <v>attack</v>
          </cell>
          <cell r="L1399" t="str">
            <v>攻撃タイプ</v>
          </cell>
          <cell r="M1399" t="str">
            <v>animal</v>
          </cell>
        </row>
        <row r="1400">
          <cell r="A1400">
            <v>8009</v>
          </cell>
          <cell r="B1400" t="str">
            <v>ja</v>
          </cell>
          <cell r="C1400" t="str">
            <v>西王娘娘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attack</v>
          </cell>
          <cell r="L1400" t="str">
            <v>攻撃タイプ</v>
          </cell>
          <cell r="M1400" t="str">
            <v>god</v>
          </cell>
        </row>
        <row r="1401">
          <cell r="A1401">
            <v>8010</v>
          </cell>
          <cell r="B1401" t="str">
            <v>ja</v>
          </cell>
          <cell r="C1401" t="str">
            <v>西王娘娘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8011</v>
          </cell>
          <cell r="B1402" t="str">
            <v>ja</v>
          </cell>
          <cell r="C1402" t="str">
            <v>月下老人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5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god</v>
          </cell>
        </row>
        <row r="1403">
          <cell r="A1403">
            <v>8012</v>
          </cell>
          <cell r="B1403" t="str">
            <v>ja</v>
          </cell>
          <cell r="C1403" t="str">
            <v>良緣祈福 月下老人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女性</v>
          </cell>
          <cell r="H1403" t="str">
            <v>yellow</v>
          </cell>
          <cell r="I1403">
            <v>6</v>
          </cell>
          <cell r="J1403" t="str">
            <v>DropWizS</v>
          </cell>
          <cell r="K1403" t="str">
            <v>balance</v>
          </cell>
          <cell r="L1403" t="str">
            <v>バランスタイプ</v>
          </cell>
          <cell r="M1403" t="str">
            <v>god</v>
          </cell>
        </row>
        <row r="1404">
          <cell r="A1404">
            <v>8013</v>
          </cell>
          <cell r="B1404" t="str">
            <v>ja</v>
          </cell>
          <cell r="C1404" t="str">
            <v>初音ミクV3</v>
          </cell>
          <cell r="D1404" t="str">
            <v>初音ミクV3</v>
          </cell>
          <cell r="E1404" t="str">
            <v>執行者</v>
          </cell>
          <cell r="F1404" t="str">
            <v>格好いい</v>
          </cell>
          <cell r="G1404" t="str">
            <v>女性</v>
          </cell>
          <cell r="H1404" t="str">
            <v>yellow</v>
          </cell>
          <cell r="I1404">
            <v>4</v>
          </cell>
          <cell r="J1404" t="str">
            <v>DropWizS</v>
          </cell>
          <cell r="K1404" t="str">
            <v>balance</v>
          </cell>
          <cell r="L1404" t="str">
            <v>バランスタイプ</v>
          </cell>
          <cell r="M1404" t="str">
            <v>unknown</v>
          </cell>
        </row>
        <row r="1405">
          <cell r="A1405">
            <v>8014</v>
          </cell>
          <cell r="B1405" t="str">
            <v>ja</v>
          </cell>
          <cell r="C1405" t="str">
            <v>初音ミクV3</v>
          </cell>
          <cell r="D1405" t="str">
            <v>初音ミクV3</v>
          </cell>
          <cell r="E1405" t="str">
            <v>執行者</v>
          </cell>
          <cell r="F1405" t="str">
            <v>格好いい</v>
          </cell>
          <cell r="G1405" t="str">
            <v>女性</v>
          </cell>
          <cell r="H1405" t="str">
            <v>yellow</v>
          </cell>
          <cell r="I1405">
            <v>5</v>
          </cell>
          <cell r="J1405" t="str">
            <v>DropWizS</v>
          </cell>
          <cell r="K1405" t="str">
            <v>balance</v>
          </cell>
          <cell r="L1405" t="str">
            <v>バランスタイプ</v>
          </cell>
          <cell r="M1405" t="str">
            <v>unknown</v>
          </cell>
        </row>
        <row r="1406">
          <cell r="A1406">
            <v>8015</v>
          </cell>
          <cell r="B1406" t="str">
            <v>ja</v>
          </cell>
          <cell r="C1406" t="str">
            <v>初音ミク・アペンド</v>
          </cell>
          <cell r="D1406" t="str">
            <v>初音ミク・アペンド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green</v>
          </cell>
          <cell r="I1406">
            <v>4</v>
          </cell>
          <cell r="J1406" t="str">
            <v>PremiumSSS</v>
          </cell>
          <cell r="K1406" t="str">
            <v>technical</v>
          </cell>
          <cell r="L1406" t="str">
            <v>テクニカルタイプ</v>
          </cell>
          <cell r="M1406" t="str">
            <v>unknown</v>
          </cell>
        </row>
        <row r="1407">
          <cell r="A1407">
            <v>8016</v>
          </cell>
          <cell r="B1407" t="str">
            <v>ja</v>
          </cell>
          <cell r="C1407" t="str">
            <v>初音ミク・アペンド</v>
          </cell>
          <cell r="D1407" t="str">
            <v>初音ミク・アペンド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green</v>
          </cell>
          <cell r="I1407">
            <v>5</v>
          </cell>
          <cell r="J1407" t="str">
            <v>PremiumSSS</v>
          </cell>
          <cell r="K1407" t="str">
            <v>technical</v>
          </cell>
          <cell r="L1407" t="str">
            <v>テクニカルタイプ</v>
          </cell>
          <cell r="M1407" t="str">
            <v>unknown</v>
          </cell>
        </row>
        <row r="1408">
          <cell r="A1408">
            <v>8017</v>
          </cell>
          <cell r="B1408" t="str">
            <v>ja</v>
          </cell>
          <cell r="C1408" t="str">
            <v>初音ミク</v>
          </cell>
          <cell r="D1408" t="str">
            <v>初音ミク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green</v>
          </cell>
          <cell r="I1408">
            <v>4</v>
          </cell>
          <cell r="J1408" t="str">
            <v>PremiumSSS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8018</v>
          </cell>
          <cell r="B1409" t="str">
            <v>ja</v>
          </cell>
          <cell r="C1409" t="str">
            <v>初音ミク</v>
          </cell>
          <cell r="D1409" t="str">
            <v>初音ミク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green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8019</v>
          </cell>
          <cell r="B1410" t="str">
            <v>ja</v>
          </cell>
          <cell r="C1410" t="str">
            <v>鏡音リン</v>
          </cell>
          <cell r="D1410" t="str">
            <v>鏡音リン</v>
          </cell>
          <cell r="E1410" t="str">
            <v>執行者</v>
          </cell>
          <cell r="F1410" t="str">
            <v>格好いい</v>
          </cell>
          <cell r="G1410" t="str">
            <v>男性</v>
          </cell>
          <cell r="H1410" t="str">
            <v>yellow</v>
          </cell>
          <cell r="I1410">
            <v>4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unknown</v>
          </cell>
        </row>
        <row r="1411">
          <cell r="A1411">
            <v>8020</v>
          </cell>
          <cell r="B1411" t="str">
            <v>ja</v>
          </cell>
          <cell r="C1411" t="str">
            <v>鏡音リン</v>
          </cell>
          <cell r="D1411" t="str">
            <v>鏡音リン</v>
          </cell>
          <cell r="E1411" t="str">
            <v>執行者</v>
          </cell>
          <cell r="F1411" t="str">
            <v>格好いい</v>
          </cell>
          <cell r="G1411" t="str">
            <v>男性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8021</v>
          </cell>
          <cell r="B1412" t="str">
            <v>ja</v>
          </cell>
          <cell r="C1412" t="str">
            <v>鏡音レン</v>
          </cell>
          <cell r="D1412" t="str">
            <v>鏡音レン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4</v>
          </cell>
          <cell r="J1412" t="str">
            <v>PremiumSS</v>
          </cell>
          <cell r="K1412" t="str">
            <v>heal</v>
          </cell>
          <cell r="L1412" t="str">
            <v>回復タイプ</v>
          </cell>
          <cell r="M1412" t="str">
            <v>unknown</v>
          </cell>
        </row>
        <row r="1413">
          <cell r="A1413">
            <v>8022</v>
          </cell>
          <cell r="B1413" t="str">
            <v>ja</v>
          </cell>
          <cell r="C1413" t="str">
            <v>鏡音レン</v>
          </cell>
          <cell r="D1413" t="str">
            <v>鏡音レン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heal</v>
          </cell>
          <cell r="L1413" t="str">
            <v>回復タイプ</v>
          </cell>
          <cell r="M1413" t="str">
            <v>unknown</v>
          </cell>
        </row>
        <row r="1414">
          <cell r="A1414">
            <v>8023</v>
          </cell>
          <cell r="B1414" t="str">
            <v>ja</v>
          </cell>
          <cell r="C1414" t="str">
            <v>巡音ルカ</v>
          </cell>
          <cell r="D1414" t="str">
            <v>巡音ルカ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red</v>
          </cell>
          <cell r="I1414">
            <v>3</v>
          </cell>
          <cell r="J1414" t="str">
            <v>PremiumS</v>
          </cell>
          <cell r="K1414" t="str">
            <v>attack</v>
          </cell>
          <cell r="L1414" t="str">
            <v>攻撃タイプ</v>
          </cell>
          <cell r="M1414" t="str">
            <v>unknown</v>
          </cell>
        </row>
        <row r="1415">
          <cell r="A1415">
            <v>8024</v>
          </cell>
          <cell r="B1415" t="str">
            <v>ja</v>
          </cell>
          <cell r="C1415" t="str">
            <v>巡音ルカ</v>
          </cell>
          <cell r="D1415" t="str">
            <v>巡音ルカ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red</v>
          </cell>
          <cell r="I1415">
            <v>4</v>
          </cell>
          <cell r="J1415" t="str">
            <v>PremiumS</v>
          </cell>
          <cell r="K1415" t="str">
            <v>attack</v>
          </cell>
          <cell r="L1415" t="str">
            <v>攻撃タイプ</v>
          </cell>
          <cell r="M1415" t="str">
            <v>unknown</v>
          </cell>
        </row>
        <row r="1416">
          <cell r="A1416">
            <v>8025</v>
          </cell>
          <cell r="B1416" t="str">
            <v>ja</v>
          </cell>
          <cell r="C1416" t="str">
            <v>MEIKO</v>
          </cell>
          <cell r="D1416" t="str">
            <v>MEIKO</v>
          </cell>
          <cell r="E1416" t="str">
            <v>執行者</v>
          </cell>
          <cell r="F1416" t="str">
            <v>格好いい</v>
          </cell>
          <cell r="G1416" t="str">
            <v>男性</v>
          </cell>
          <cell r="H1416" t="str">
            <v>red</v>
          </cell>
          <cell r="I1416">
            <v>3</v>
          </cell>
          <cell r="J1416" t="str">
            <v>PremiumS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8026</v>
          </cell>
          <cell r="B1417" t="str">
            <v>ja</v>
          </cell>
          <cell r="C1417" t="str">
            <v>MEIKO</v>
          </cell>
          <cell r="D1417" t="str">
            <v>MEIKO</v>
          </cell>
          <cell r="E1417" t="str">
            <v>執行者</v>
          </cell>
          <cell r="F1417" t="str">
            <v>格好いい</v>
          </cell>
          <cell r="G1417" t="str">
            <v>男性</v>
          </cell>
          <cell r="H1417" t="str">
            <v>red</v>
          </cell>
          <cell r="I1417">
            <v>4</v>
          </cell>
          <cell r="J1417" t="str">
            <v>PremiumS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8027</v>
          </cell>
          <cell r="B1418" t="str">
            <v>ja</v>
          </cell>
          <cell r="C1418" t="str">
            <v>KAITO</v>
          </cell>
          <cell r="D1418" t="str">
            <v>KAITO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blue</v>
          </cell>
          <cell r="I1418">
            <v>3</v>
          </cell>
          <cell r="J1418" t="str">
            <v>PremiumS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8028</v>
          </cell>
          <cell r="B1419" t="str">
            <v>ja</v>
          </cell>
          <cell r="C1419" t="str">
            <v>KAITO</v>
          </cell>
          <cell r="D1419" t="str">
            <v>KAITO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blue</v>
          </cell>
          <cell r="I1419">
            <v>4</v>
          </cell>
          <cell r="J1419" t="str">
            <v>PremiumS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8029</v>
          </cell>
          <cell r="B1420" t="str">
            <v>ja</v>
          </cell>
          <cell r="C1420" t="str">
            <v>Expoミク</v>
          </cell>
          <cell r="D1420" t="str">
            <v>Expoミク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blue</v>
          </cell>
          <cell r="I1420">
            <v>4</v>
          </cell>
          <cell r="J1420" t="str">
            <v>Drop2N</v>
          </cell>
          <cell r="K1420" t="str">
            <v>heal</v>
          </cell>
          <cell r="L1420" t="str">
            <v>回復タイプ</v>
          </cell>
          <cell r="M1420" t="str">
            <v>unknown</v>
          </cell>
        </row>
        <row r="1421">
          <cell r="A1421">
            <v>8030</v>
          </cell>
          <cell r="B1421" t="str">
            <v>ja</v>
          </cell>
          <cell r="C1421" t="str">
            <v>Expoミク</v>
          </cell>
          <cell r="D1421" t="str">
            <v>Expoミク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blue</v>
          </cell>
          <cell r="I1421">
            <v>4</v>
          </cell>
          <cell r="J1421" t="str">
            <v>Drop2N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8031</v>
          </cell>
          <cell r="B1422" t="str">
            <v>ja</v>
          </cell>
          <cell r="C1422" t="str">
            <v>閻羅王</v>
          </cell>
          <cell r="D1422" t="str">
            <v>Expoミク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red</v>
          </cell>
          <cell r="I1422">
            <v>5</v>
          </cell>
          <cell r="J1422" t="str">
            <v>PremiumSS</v>
          </cell>
          <cell r="K1422" t="str">
            <v>balance</v>
          </cell>
          <cell r="L1422" t="str">
            <v>バランスタイプ</v>
          </cell>
          <cell r="M1422" t="str">
            <v>god</v>
          </cell>
        </row>
        <row r="1423">
          <cell r="A1423">
            <v>8032</v>
          </cell>
          <cell r="B1423" t="str">
            <v>ja</v>
          </cell>
          <cell r="C1423" t="str">
            <v>十殿閻羅王</v>
          </cell>
          <cell r="D1423" t="str">
            <v>Expoミク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6</v>
          </cell>
          <cell r="J1423" t="str">
            <v>PremiumSS</v>
          </cell>
          <cell r="K1423" t="str">
            <v>balance</v>
          </cell>
          <cell r="L1423" t="str">
            <v>バランスタイプ</v>
          </cell>
          <cell r="M1423" t="str">
            <v>god</v>
          </cell>
        </row>
        <row r="1424">
          <cell r="A1424">
            <v>8033</v>
          </cell>
          <cell r="B1424" t="str">
            <v>ja</v>
          </cell>
          <cell r="C1424" t="str">
            <v>牛頭馬面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green</v>
          </cell>
          <cell r="I1424">
            <v>5</v>
          </cell>
          <cell r="J1424" t="str">
            <v>DropWizS</v>
          </cell>
          <cell r="K1424" t="str">
            <v>attack</v>
          </cell>
          <cell r="L1424" t="str">
            <v>攻撃タイプ</v>
          </cell>
          <cell r="M1424" t="str">
            <v>god</v>
          </cell>
        </row>
        <row r="1425">
          <cell r="A1425">
            <v>8034</v>
          </cell>
          <cell r="B1425" t="str">
            <v>ja</v>
          </cell>
          <cell r="C1425" t="str">
            <v>牛頭馬面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green</v>
          </cell>
          <cell r="I1425">
            <v>6</v>
          </cell>
          <cell r="J1425" t="str">
            <v>DropWizS</v>
          </cell>
          <cell r="K1425" t="str">
            <v>attack</v>
          </cell>
          <cell r="L1425" t="str">
            <v>攻撃タイプ</v>
          </cell>
          <cell r="M1425" t="str">
            <v>god</v>
          </cell>
        </row>
        <row r="1426">
          <cell r="A1426">
            <v>8035</v>
          </cell>
          <cell r="B1426" t="str">
            <v>ja</v>
          </cell>
          <cell r="C1426" t="str">
            <v>嫦娥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blue</v>
          </cell>
          <cell r="I1426">
            <v>4</v>
          </cell>
          <cell r="J1426" t="str">
            <v>Drop2N</v>
          </cell>
          <cell r="K1426" t="str">
            <v>heal</v>
          </cell>
          <cell r="L1426" t="str">
            <v>回復タイプ</v>
          </cell>
          <cell r="M1426" t="str">
            <v>unknown</v>
          </cell>
        </row>
        <row r="1427">
          <cell r="A1427">
            <v>8036</v>
          </cell>
          <cell r="B1427" t="str">
            <v>ja</v>
          </cell>
          <cell r="C1427" t="str">
            <v>嫦娥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4</v>
          </cell>
          <cell r="J1427" t="str">
            <v>Drop2N</v>
          </cell>
          <cell r="K1427" t="str">
            <v>heal</v>
          </cell>
          <cell r="L1427" t="str">
            <v>回復タイプ</v>
          </cell>
          <cell r="M1427" t="str">
            <v>unknown</v>
          </cell>
        </row>
        <row r="1428">
          <cell r="A1428">
            <v>8037</v>
          </cell>
          <cell r="B1428" t="str">
            <v>ja</v>
          </cell>
          <cell r="C1428" t="str">
            <v>后羿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heal</v>
          </cell>
          <cell r="L1428" t="str">
            <v>回復タイプ</v>
          </cell>
          <cell r="M1428" t="str">
            <v>unknown</v>
          </cell>
        </row>
        <row r="1429">
          <cell r="A1429">
            <v>8038</v>
          </cell>
          <cell r="B1429" t="str">
            <v>ja</v>
          </cell>
          <cell r="C1429" t="str">
            <v>后羿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8039</v>
          </cell>
          <cell r="B1430" t="str">
            <v>ja</v>
          </cell>
          <cell r="C1430" t="str">
            <v>何仙姑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4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8040</v>
          </cell>
          <cell r="B1431" t="str">
            <v>ja</v>
          </cell>
          <cell r="C1431" t="str">
            <v>何仙姑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4</v>
          </cell>
          <cell r="J1431" t="str">
            <v>Drop2N</v>
          </cell>
          <cell r="K1431" t="str">
            <v>heal</v>
          </cell>
          <cell r="L1431" t="str">
            <v>回復タイプ</v>
          </cell>
          <cell r="M1431" t="str">
            <v>unknown</v>
          </cell>
        </row>
        <row r="1432">
          <cell r="A1432">
            <v>8041</v>
          </cell>
          <cell r="B1432" t="str">
            <v>ja</v>
          </cell>
          <cell r="C1432" t="str">
            <v>藍采和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blue</v>
          </cell>
          <cell r="I1432">
            <v>4</v>
          </cell>
          <cell r="J1432" t="str">
            <v>Drop2N</v>
          </cell>
          <cell r="K1432" t="str">
            <v>heal</v>
          </cell>
          <cell r="L1432" t="str">
            <v>回復タイプ</v>
          </cell>
          <cell r="M1432" t="str">
            <v>unknown</v>
          </cell>
        </row>
        <row r="1433">
          <cell r="A1433">
            <v>8042</v>
          </cell>
          <cell r="B1433" t="str">
            <v>ja</v>
          </cell>
          <cell r="C1433" t="str">
            <v>藍采和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blue</v>
          </cell>
          <cell r="I1433">
            <v>4</v>
          </cell>
          <cell r="J1433" t="str">
            <v>Drop2N</v>
          </cell>
          <cell r="K1433" t="str">
            <v>heal</v>
          </cell>
          <cell r="L1433" t="str">
            <v>回復タイプ</v>
          </cell>
          <cell r="M1433" t="str">
            <v>unknown</v>
          </cell>
        </row>
        <row r="1434">
          <cell r="A1434">
            <v>8043</v>
          </cell>
          <cell r="B1434" t="str">
            <v>ja</v>
          </cell>
          <cell r="C1434" t="str">
            <v>サンリオキャラ大集合+アザゼル</v>
          </cell>
          <cell r="D1434" t="str">
            <v>サンリオキャラ大集合+アザゼル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5</v>
          </cell>
          <cell r="J1434" t="str">
            <v>DropWizS</v>
          </cell>
          <cell r="K1434" t="str">
            <v>technical</v>
          </cell>
          <cell r="L1434" t="str">
            <v>テクニカルタイプ</v>
          </cell>
          <cell r="M1434" t="str">
            <v>ss</v>
          </cell>
        </row>
        <row r="1435">
          <cell r="A1435">
            <v>8044</v>
          </cell>
          <cell r="B1435" t="str">
            <v>ja</v>
          </cell>
          <cell r="C1435" t="str">
            <v>サンリオキャラ大集合+アザゼル</v>
          </cell>
          <cell r="D1435" t="str">
            <v>サンリオキャラ大集合+アザゼル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green</v>
          </cell>
          <cell r="I1435">
            <v>6</v>
          </cell>
          <cell r="J1435" t="str">
            <v>DropWizS</v>
          </cell>
          <cell r="K1435" t="str">
            <v>technical</v>
          </cell>
          <cell r="L1435" t="str">
            <v>テクニカルタイプ</v>
          </cell>
          <cell r="M1435" t="str">
            <v>ss</v>
          </cell>
        </row>
        <row r="1436">
          <cell r="A1436">
            <v>8045</v>
          </cell>
          <cell r="B1436" t="str">
            <v>ja</v>
          </cell>
          <cell r="C1436" t="str">
            <v>ニムダ_サンリオキャラ混じり</v>
          </cell>
          <cell r="D1436" t="str">
            <v>ニムダ_サンリオキャラ混じり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yellow</v>
          </cell>
          <cell r="I1436">
            <v>4</v>
          </cell>
          <cell r="J1436" t="str">
            <v>Drop2N</v>
          </cell>
          <cell r="K1436" t="str">
            <v>technical</v>
          </cell>
          <cell r="L1436" t="str">
            <v>テクニカルタイプ</v>
          </cell>
          <cell r="M1436" t="str">
            <v>ss</v>
          </cell>
        </row>
        <row r="1437">
          <cell r="A1437">
            <v>8046</v>
          </cell>
          <cell r="B1437" t="str">
            <v>ja</v>
          </cell>
          <cell r="C1437" t="str">
            <v>ニムダ_サンリオキャラ混じり</v>
          </cell>
          <cell r="D1437" t="str">
            <v>ニムダ_サンリオキャラ混じり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yellow</v>
          </cell>
          <cell r="I1437">
            <v>5</v>
          </cell>
          <cell r="J1437" t="str">
            <v>Drop2N</v>
          </cell>
          <cell r="K1437" t="str">
            <v>technical</v>
          </cell>
          <cell r="L1437" t="str">
            <v>テクニカルタイプ</v>
          </cell>
          <cell r="M1437" t="str">
            <v>ss</v>
          </cell>
        </row>
        <row r="1438">
          <cell r="A1438">
            <v>8047</v>
          </cell>
          <cell r="B1438" t="str">
            <v>ja</v>
          </cell>
          <cell r="C1438" t="str">
            <v>ハローキティ</v>
          </cell>
          <cell r="D1438" t="str">
            <v>ハローキティ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4</v>
          </cell>
          <cell r="J1438" t="str">
            <v>Drop2N</v>
          </cell>
          <cell r="K1438" t="str">
            <v>balance</v>
          </cell>
          <cell r="L1438" t="str">
            <v>バランスタイプ</v>
          </cell>
          <cell r="M1438" t="str">
            <v>ss</v>
          </cell>
        </row>
        <row r="1439">
          <cell r="A1439">
            <v>8048</v>
          </cell>
          <cell r="B1439" t="str">
            <v>ja</v>
          </cell>
          <cell r="C1439" t="str">
            <v>ハローキティ</v>
          </cell>
          <cell r="D1439" t="str">
            <v>ハローキティ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red</v>
          </cell>
          <cell r="I1439">
            <v>5</v>
          </cell>
          <cell r="J1439" t="str">
            <v>Drop2N</v>
          </cell>
          <cell r="K1439" t="str">
            <v>balance</v>
          </cell>
          <cell r="L1439" t="str">
            <v>バランスタイプ</v>
          </cell>
          <cell r="M1439" t="str">
            <v>ss</v>
          </cell>
        </row>
        <row r="1440">
          <cell r="A1440">
            <v>8049</v>
          </cell>
          <cell r="B1440" t="str">
            <v>ja</v>
          </cell>
          <cell r="C1440" t="str">
            <v>KIRIMIちゃん</v>
          </cell>
          <cell r="D1440" t="str">
            <v>KIRIMIちゃん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red</v>
          </cell>
          <cell r="I1440">
            <v>4</v>
          </cell>
          <cell r="J1440" t="str">
            <v>Drop2N</v>
          </cell>
          <cell r="K1440" t="str">
            <v>hp</v>
          </cell>
          <cell r="L1440" t="str">
            <v>体力タイプ</v>
          </cell>
          <cell r="M1440" t="str">
            <v>ss</v>
          </cell>
        </row>
        <row r="1441">
          <cell r="A1441">
            <v>8050</v>
          </cell>
          <cell r="B1441" t="str">
            <v>ja</v>
          </cell>
          <cell r="C1441" t="str">
            <v>KIRIMIちゃん</v>
          </cell>
          <cell r="D1441" t="str">
            <v>KIRIMIちゃん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red</v>
          </cell>
          <cell r="I1441">
            <v>5</v>
          </cell>
          <cell r="J1441" t="str">
            <v>Drop2N</v>
          </cell>
          <cell r="K1441" t="str">
            <v>hp</v>
          </cell>
          <cell r="L1441" t="str">
            <v>体力タイプ</v>
          </cell>
          <cell r="M1441" t="str">
            <v>ss</v>
          </cell>
        </row>
        <row r="1442">
          <cell r="A1442">
            <v>8051</v>
          </cell>
          <cell r="B1442" t="str">
            <v>ja</v>
          </cell>
          <cell r="C1442" t="str">
            <v>ハローキティのリボン</v>
          </cell>
          <cell r="D1442" t="str">
            <v>ハローキティのリボン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5</v>
          </cell>
          <cell r="J1442" t="str">
            <v>Drop2N</v>
          </cell>
          <cell r="K1442" t="str">
            <v>evolution</v>
          </cell>
          <cell r="L1442" t="str">
            <v>覚醒素材タイプ</v>
          </cell>
          <cell r="M1442" t="str">
            <v>ss</v>
          </cell>
        </row>
        <row r="1443">
          <cell r="A1443">
            <v>8052</v>
          </cell>
          <cell r="B1443" t="str">
            <v>ja</v>
          </cell>
          <cell r="C1443" t="str">
            <v>ママの作ったアップルパイ</v>
          </cell>
          <cell r="D1443" t="str">
            <v>ママの作ったアップルパイ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4</v>
          </cell>
          <cell r="J1443" t="str">
            <v>Drop2N</v>
          </cell>
          <cell r="K1443" t="str">
            <v>evolution</v>
          </cell>
          <cell r="L1443" t="str">
            <v>覚醒素材タイプ</v>
          </cell>
          <cell r="M1443" t="str">
            <v>ss</v>
          </cell>
        </row>
        <row r="1444">
          <cell r="A1444">
            <v>8053</v>
          </cell>
          <cell r="B1444" t="str">
            <v>ja</v>
          </cell>
          <cell r="C1444" t="str">
            <v>D.R.T.H__キティコスプレ</v>
          </cell>
          <cell r="D1444" t="str">
            <v>D.R.T.H__キティコスプレ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5</v>
          </cell>
          <cell r="J1444" t="str">
            <v>PremiumSS</v>
          </cell>
          <cell r="K1444" t="str">
            <v>balance</v>
          </cell>
          <cell r="L1444" t="str">
            <v>バランスタイプ</v>
          </cell>
          <cell r="M1444" t="str">
            <v>ss</v>
          </cell>
        </row>
        <row r="1445">
          <cell r="A1445">
            <v>8054</v>
          </cell>
          <cell r="B1445" t="str">
            <v>ja</v>
          </cell>
          <cell r="C1445" t="str">
            <v>D.R.T.H__キティコスプレ</v>
          </cell>
          <cell r="D1445" t="str">
            <v>D.R.T.H__キティコスプレ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6</v>
          </cell>
          <cell r="J1445" t="str">
            <v>PremiumSS</v>
          </cell>
          <cell r="K1445" t="str">
            <v>balance</v>
          </cell>
          <cell r="L1445" t="str">
            <v>バランスタイプ</v>
          </cell>
          <cell r="M1445" t="str">
            <v>ss</v>
          </cell>
        </row>
        <row r="1446">
          <cell r="A1446">
            <v>8055</v>
          </cell>
          <cell r="B1446" t="str">
            <v>ja</v>
          </cell>
          <cell r="C1446" t="str">
            <v>マイメロディ</v>
          </cell>
          <cell r="D1446" t="str">
            <v>マイメロディ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4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ss</v>
          </cell>
        </row>
        <row r="1447">
          <cell r="A1447">
            <v>8056</v>
          </cell>
          <cell r="B1447" t="str">
            <v>ja</v>
          </cell>
          <cell r="C1447" t="str">
            <v>マイメロディ</v>
          </cell>
          <cell r="D1447" t="str">
            <v>マイメロディ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5</v>
          </cell>
          <cell r="J1447" t="str">
            <v>PremiumS</v>
          </cell>
          <cell r="K1447" t="str">
            <v>attack</v>
          </cell>
          <cell r="L1447" t="str">
            <v>攻撃タイプ</v>
          </cell>
          <cell r="M1447" t="str">
            <v>ss</v>
          </cell>
        </row>
        <row r="1448">
          <cell r="A1448">
            <v>8057</v>
          </cell>
          <cell r="B1448" t="str">
            <v>ja</v>
          </cell>
          <cell r="C1448" t="str">
            <v>ニーベルゲン_シナモロールコスプレ</v>
          </cell>
          <cell r="D1448" t="str">
            <v>ニーベルゲン_シナモロールコスプレ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green</v>
          </cell>
          <cell r="I1448">
            <v>4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8058</v>
          </cell>
          <cell r="B1449" t="str">
            <v>ja</v>
          </cell>
          <cell r="C1449" t="str">
            <v>ニーベルゲン_シナモロールコスプレ</v>
          </cell>
          <cell r="D1449" t="str">
            <v>ニーベルゲン_シナモロールコスプレ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green</v>
          </cell>
          <cell r="I1449">
            <v>5</v>
          </cell>
          <cell r="J1449" t="str">
            <v>PremiumS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8059</v>
          </cell>
          <cell r="B1450" t="str">
            <v>ja</v>
          </cell>
          <cell r="C1450" t="str">
            <v>カカシ_マイメロディコスプレ</v>
          </cell>
          <cell r="D1450" t="str">
            <v>カカシ_マイメロディコスプレ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green</v>
          </cell>
          <cell r="I1450">
            <v>4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ss</v>
          </cell>
        </row>
        <row r="1451">
          <cell r="A1451">
            <v>8060</v>
          </cell>
          <cell r="B1451" t="str">
            <v>ja</v>
          </cell>
          <cell r="C1451" t="str">
            <v>カカシ_マイメロディコスプレ</v>
          </cell>
          <cell r="D1451" t="str">
            <v>カカシ_マイメロディコスプレ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green</v>
          </cell>
          <cell r="I1451">
            <v>5</v>
          </cell>
          <cell r="J1451" t="str">
            <v>PremiumS</v>
          </cell>
          <cell r="K1451" t="str">
            <v>technical</v>
          </cell>
          <cell r="L1451" t="str">
            <v>テクニカルタイプ</v>
          </cell>
          <cell r="M1451" t="str">
            <v>ss</v>
          </cell>
        </row>
        <row r="1452">
          <cell r="A1452">
            <v>8061</v>
          </cell>
          <cell r="B1452" t="str">
            <v>ja</v>
          </cell>
          <cell r="C1452" t="str">
            <v>ケロケロけろっぴ</v>
          </cell>
          <cell r="D1452" t="str">
            <v>ケロケロけろっぴ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3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8062</v>
          </cell>
          <cell r="B1453" t="str">
            <v>ja</v>
          </cell>
          <cell r="C1453" t="str">
            <v>ケロケロけろっぴ</v>
          </cell>
          <cell r="D1453" t="str">
            <v>ケロケロけろっぴ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4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8063</v>
          </cell>
          <cell r="B1454" t="str">
            <v>ja</v>
          </cell>
          <cell r="C1454" t="str">
            <v>モルドレッド_ポムポムプリンコスプレ</v>
          </cell>
          <cell r="D1454" t="str">
            <v>モルドレッド_ポムポムプリンコスプレ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blue</v>
          </cell>
          <cell r="I1454">
            <v>5</v>
          </cell>
          <cell r="J1454" t="str">
            <v>PremiumSS</v>
          </cell>
          <cell r="K1454" t="str">
            <v>heal</v>
          </cell>
          <cell r="L1454" t="str">
            <v>回復タイプ</v>
          </cell>
          <cell r="M1454" t="str">
            <v>ss</v>
          </cell>
        </row>
        <row r="1455">
          <cell r="A1455">
            <v>8064</v>
          </cell>
          <cell r="B1455" t="str">
            <v>ja</v>
          </cell>
          <cell r="C1455" t="str">
            <v>モルドレッド_ポムポムプリンコスプレ</v>
          </cell>
          <cell r="D1455" t="str">
            <v>モルドレッド_ポムポムプリンコスプレ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heal</v>
          </cell>
          <cell r="L1455" t="str">
            <v>回復タイプ</v>
          </cell>
          <cell r="M1455" t="str">
            <v>ss</v>
          </cell>
        </row>
        <row r="1456">
          <cell r="A1456">
            <v>8065</v>
          </cell>
          <cell r="B1456" t="str">
            <v>ja</v>
          </cell>
          <cell r="C1456" t="str">
            <v>クロミ</v>
          </cell>
          <cell r="D1456" t="str">
            <v>クロミ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blue</v>
          </cell>
          <cell r="I1456">
            <v>3</v>
          </cell>
          <cell r="J1456" t="str">
            <v>PremiumS</v>
          </cell>
          <cell r="K1456" t="str">
            <v>technical</v>
          </cell>
          <cell r="L1456" t="str">
            <v>テクニカルタイプ</v>
          </cell>
          <cell r="M1456" t="str">
            <v>ss</v>
          </cell>
        </row>
        <row r="1457">
          <cell r="A1457">
            <v>8066</v>
          </cell>
          <cell r="B1457" t="str">
            <v>ja</v>
          </cell>
          <cell r="C1457" t="str">
            <v>クロミ</v>
          </cell>
          <cell r="D1457" t="str">
            <v>クロミ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blue</v>
          </cell>
          <cell r="I1457">
            <v>4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ss</v>
          </cell>
        </row>
        <row r="1458">
          <cell r="A1458">
            <v>8067</v>
          </cell>
          <cell r="B1458" t="str">
            <v>ja</v>
          </cell>
          <cell r="C1458" t="str">
            <v>バッドばつ丸</v>
          </cell>
          <cell r="D1458" t="str">
            <v>バッドばつ丸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3</v>
          </cell>
          <cell r="J1458" t="str">
            <v>PremiumS</v>
          </cell>
          <cell r="K1458" t="str">
            <v>attack</v>
          </cell>
          <cell r="L1458" t="str">
            <v>攻撃タイプ</v>
          </cell>
          <cell r="M1458" t="str">
            <v>ss</v>
          </cell>
        </row>
        <row r="1459">
          <cell r="A1459">
            <v>8068</v>
          </cell>
          <cell r="B1459" t="str">
            <v>ja</v>
          </cell>
          <cell r="C1459" t="str">
            <v>バッドばつ丸</v>
          </cell>
          <cell r="D1459" t="str">
            <v>バッドばつ丸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ss</v>
          </cell>
        </row>
        <row r="1460">
          <cell r="A1460">
            <v>8069</v>
          </cell>
          <cell r="B1460" t="str">
            <v>ja</v>
          </cell>
          <cell r="C1460" t="str">
            <v>シナモロール</v>
          </cell>
          <cell r="D1460" t="str">
            <v>シナモロール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yellow</v>
          </cell>
          <cell r="I1460">
            <v>4</v>
          </cell>
          <cell r="J1460" t="str">
            <v>PremiumS</v>
          </cell>
          <cell r="K1460" t="str">
            <v>heal</v>
          </cell>
          <cell r="L1460" t="str">
            <v>回復タイプ</v>
          </cell>
          <cell r="M1460" t="str">
            <v>ss</v>
          </cell>
        </row>
        <row r="1461">
          <cell r="A1461">
            <v>8070</v>
          </cell>
          <cell r="B1461" t="str">
            <v>ja</v>
          </cell>
          <cell r="C1461" t="str">
            <v>シナモロール</v>
          </cell>
          <cell r="D1461" t="str">
            <v>シナモロール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yellow</v>
          </cell>
          <cell r="I1461">
            <v>5</v>
          </cell>
          <cell r="J1461" t="str">
            <v>PremiumS</v>
          </cell>
          <cell r="K1461" t="str">
            <v>heal</v>
          </cell>
          <cell r="L1461" t="str">
            <v>回復タイプ</v>
          </cell>
          <cell r="M1461" t="str">
            <v>ss</v>
          </cell>
        </row>
        <row r="1462">
          <cell r="A1462">
            <v>8071</v>
          </cell>
          <cell r="B1462" t="str">
            <v>ja</v>
          </cell>
          <cell r="C1462" t="str">
            <v>ポムポムプリン</v>
          </cell>
          <cell r="D1462" t="str">
            <v>ポムポムプリン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3</v>
          </cell>
          <cell r="J1462" t="str">
            <v>PremiumS</v>
          </cell>
          <cell r="K1462" t="str">
            <v>hp</v>
          </cell>
          <cell r="L1462" t="str">
            <v>体力タイプ</v>
          </cell>
          <cell r="M1462" t="str">
            <v>ss</v>
          </cell>
        </row>
        <row r="1463">
          <cell r="A1463">
            <v>8072</v>
          </cell>
          <cell r="B1463" t="str">
            <v>ja</v>
          </cell>
          <cell r="C1463" t="str">
            <v>ポムポムプリン</v>
          </cell>
          <cell r="D1463" t="str">
            <v>ポムポムプリン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4</v>
          </cell>
          <cell r="J1463" t="str">
            <v>PremiumS</v>
          </cell>
          <cell r="K1463" t="str">
            <v>hp</v>
          </cell>
          <cell r="L1463" t="str">
            <v>体力タイプ</v>
          </cell>
          <cell r="M1463" t="str">
            <v>ss</v>
          </cell>
        </row>
        <row r="1464">
          <cell r="A1464">
            <v>8077</v>
          </cell>
          <cell r="B1464" t="str">
            <v>ja</v>
          </cell>
          <cell r="C1464" t="str">
            <v>鄭成功</v>
          </cell>
          <cell r="D1464" t="str">
            <v>ポムポムプリン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5</v>
          </cell>
          <cell r="J1464" t="str">
            <v>PremiumSS</v>
          </cell>
          <cell r="K1464" t="str">
            <v>attack</v>
          </cell>
          <cell r="L1464" t="str">
            <v>攻撃タイプ</v>
          </cell>
          <cell r="M1464" t="str">
            <v>human</v>
          </cell>
        </row>
        <row r="1465">
          <cell r="A1465">
            <v>8078</v>
          </cell>
          <cell r="B1465" t="str">
            <v>ja</v>
          </cell>
          <cell r="C1465" t="str">
            <v>レア６鄭成功</v>
          </cell>
          <cell r="D1465" t="str">
            <v>ポムポムプリン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6</v>
          </cell>
          <cell r="J1465" t="str">
            <v>PremiumSS</v>
          </cell>
          <cell r="K1465" t="str">
            <v>attack</v>
          </cell>
          <cell r="L1465" t="str">
            <v>攻撃タイプ</v>
          </cell>
          <cell r="M1465" t="str">
            <v>human</v>
          </cell>
        </row>
        <row r="1466">
          <cell r="A1466">
            <v>8079</v>
          </cell>
          <cell r="B1466" t="str">
            <v>ja</v>
          </cell>
          <cell r="C1466" t="str">
            <v>赤鬼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red</v>
          </cell>
          <cell r="I1466">
            <v>5</v>
          </cell>
          <cell r="J1466" t="str">
            <v>DropWizS</v>
          </cell>
          <cell r="K1466" t="str">
            <v>hp</v>
          </cell>
          <cell r="L1466" t="str">
            <v>体力タイプ</v>
          </cell>
          <cell r="M1466" t="str">
            <v>dragon</v>
          </cell>
        </row>
        <row r="1467">
          <cell r="A1467">
            <v>8080</v>
          </cell>
          <cell r="B1467" t="str">
            <v>ja</v>
          </cell>
          <cell r="C1467" t="str">
            <v>レア６赤鬼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red</v>
          </cell>
          <cell r="I1467">
            <v>6</v>
          </cell>
          <cell r="J1467" t="str">
            <v>DropWizS</v>
          </cell>
          <cell r="K1467" t="str">
            <v>hp</v>
          </cell>
          <cell r="L1467" t="str">
            <v>体力タイプ</v>
          </cell>
          <cell r="M1467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B16" sqref="B16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5" t="s">
        <v>249</v>
      </c>
      <c r="B2" s="96" t="s">
        <v>250</v>
      </c>
      <c r="C2" s="94" t="str">
        <f t="shared" ref="C2:C5" si="0">RIGHT(F2,6)</f>
        <v>452100</v>
      </c>
      <c r="D2" s="19" t="s">
        <v>251</v>
      </c>
      <c r="E2" s="17" t="str">
        <f t="shared" ref="E2:E5" si="1">B2&amp;C2&amp;D2</f>
        <v>gacha_select_tables_452100.tmp</v>
      </c>
      <c r="F2" s="94" t="s">
        <v>263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5" t="s">
        <v>249</v>
      </c>
      <c r="B3" s="96" t="s">
        <v>252</v>
      </c>
      <c r="C3" s="94" t="str">
        <f t="shared" si="0"/>
        <v>452100</v>
      </c>
      <c r="D3" s="19" t="s">
        <v>251</v>
      </c>
      <c r="E3" s="17" t="str">
        <f t="shared" si="1"/>
        <v>gacha_settle_tables_452100.tmp</v>
      </c>
      <c r="F3" s="94" t="s">
        <v>264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253</v>
      </c>
      <c r="B4" s="96" t="s">
        <v>252</v>
      </c>
      <c r="C4" s="94" t="str">
        <f t="shared" si="0"/>
        <v>452105</v>
      </c>
      <c r="D4" s="19" t="s">
        <v>246</v>
      </c>
      <c r="E4" s="17" t="str">
        <f t="shared" si="1"/>
        <v>gacha_settle_tables_452105.tmp</v>
      </c>
      <c r="F4" s="94" t="s">
        <v>265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7" t="s">
        <v>254</v>
      </c>
      <c r="B5" s="96" t="s">
        <v>110</v>
      </c>
      <c r="C5" s="94" t="str">
        <f t="shared" si="0"/>
        <v>452010</v>
      </c>
      <c r="D5" s="19" t="s">
        <v>246</v>
      </c>
      <c r="E5" s="17" t="str">
        <f t="shared" si="1"/>
        <v>gacha_select_tables_452010.tmp</v>
      </c>
      <c r="F5" s="94" t="s">
        <v>266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2">RIGHT(F6,6)</f>
        <v>363105</v>
      </c>
      <c r="D6" s="19" t="s">
        <v>45</v>
      </c>
      <c r="E6" s="17" t="str">
        <f t="shared" ref="E6" si="3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ref="C7" si="4">RIGHT(F7,6)</f>
        <v>363100</v>
      </c>
      <c r="D7" s="19" t="s">
        <v>45</v>
      </c>
      <c r="E7" s="17" t="str">
        <f t="shared" ref="E7" si="5">B7&amp;C7&amp;D7</f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5" t="s">
        <v>249</v>
      </c>
      <c r="B8" s="27" t="s">
        <v>50</v>
      </c>
      <c r="C8" s="32">
        <v>452</v>
      </c>
      <c r="D8" s="19" t="s">
        <v>46</v>
      </c>
      <c r="E8" s="17" t="str">
        <f t="shared" ref="E8:E10" si="6">B8&amp;C8&amp;D8</f>
        <v>gacha_bonus_tables_452.tmp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5" t="s">
        <v>249</v>
      </c>
      <c r="B9" s="19" t="s">
        <v>48</v>
      </c>
      <c r="C9" s="32">
        <v>452</v>
      </c>
      <c r="D9" s="19" t="s">
        <v>46</v>
      </c>
      <c r="E9" s="17" t="str">
        <f t="shared" si="6"/>
        <v>gifts_tmp_452.tmp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5" t="s">
        <v>249</v>
      </c>
      <c r="B10" s="19" t="s">
        <v>49</v>
      </c>
      <c r="C10" s="32">
        <v>452</v>
      </c>
      <c r="D10" s="19" t="s">
        <v>46</v>
      </c>
      <c r="E10" s="17" t="str">
        <f t="shared" si="6"/>
        <v>gifts_i18n_452.tmp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L4" sqref="L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452010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762</v>
      </c>
      <c r="M3" s="37" t="str">
        <f>VLOOKUP(L3,[1]characters!$A:$C,3,FALSE)</f>
        <v>フィボナッチ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VLOOKUP(L3,tables_452010!B:C,2,FALSE)</f>
        <v>PremiumSSS5R3less</v>
      </c>
      <c r="R3" s="62">
        <f t="shared" ref="R3:R20" si="1">N3*A$36</f>
        <v>266800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1232</v>
      </c>
      <c r="M4" s="37" t="str">
        <f>VLOOKUP(L4,[1]characters!$A:$C,3,FALSE)</f>
        <v>ケプラー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VLOOKUP(L4,tables_452010!B:C,2,FALSE)</f>
        <v>PremiumSSS5R3less</v>
      </c>
      <c r="R4" s="62">
        <f t="shared" si="1"/>
        <v>266800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6.8965517241379316E-4</v>
      </c>
      <c r="F5">
        <f>(COUNTIF(tables_452010!C:C,input_452010!A28)+COUNTIF(tables_452010!C:C,input_452010!A29))</f>
        <v>60</v>
      </c>
      <c r="H5" s="84">
        <v>0.01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VLOOKUP(L5,tables_452010!B:C,2,FALSE)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1.0217391304347826E-2</v>
      </c>
      <c r="F6">
        <f>(COUNTIF(tables_452010!C:C,input_452010!A25)+COUNTIF(tables_452010!C:C,input_452010!A18)+COUNTIF(tables_452010!C:C,input_452010!A20)+COUNTIF(tables_452010!C:C,input_452010!A22))</f>
        <v>92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VLOOKUP(L6,tables_452010!B:C,2,FALSE)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VLOOKUP(L7,tables_452010!B:C,2,FALSE)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VLOOKUP(L8,tables_452010!B:C,2,FALSE)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VLOOKUP(L9,tables_452010!B:C,2,FALSE)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VLOOKUP(L10,tables_452010!B:C,2,FALSE)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VLOOKUP(L11,tables_452010!B:C,2,FALSE)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VLOOKUP(L12,tables_452010!B:C,2,FALSE)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VLOOKUP(L13,tables_452010!B:C,2,FALSE)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VLOOKUP(L14,tables_452010!B:C,2,FALSE)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VLOOKUP(L15,tables_452010!B:C,2,FALSE)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VLOOKUP(L16,tables_452010!B:C,2,FALSE)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0.21391304347826087</v>
      </c>
      <c r="C17" s="85">
        <f t="shared" ref="C17:C31" si="2">SUMIF(Q:Q,A17,N:N)</f>
        <v>0</v>
      </c>
      <c r="D17" s="74">
        <f t="shared" ref="D17:D32" si="3">B17-C17</f>
        <v>0.21391304347826087</v>
      </c>
      <c r="E17">
        <f>COUNTIF(tables_452010!C:C,input_452010!A17)-COUNTIF(Q:Q,A17)</f>
        <v>20</v>
      </c>
      <c r="F17" s="43">
        <f>IFERROR(B17/E17,0)</f>
        <v>1.0695652173913044E-2</v>
      </c>
      <c r="G17">
        <f t="shared" ref="G17:G31" si="4">A$36*B17</f>
        <v>11414400</v>
      </c>
      <c r="H17">
        <f t="shared" ref="H17:H31" si="5">IFERROR(ROUND(G17/E17,5),0)</f>
        <v>570720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VLOOKUP(L17,tables_452010!B:C,2,FALSE)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E$6*E18-B17+E33</f>
        <v>1.3937781109445234E-2</v>
      </c>
      <c r="C18" s="85">
        <f t="shared" si="2"/>
        <v>0</v>
      </c>
      <c r="D18" s="74">
        <f t="shared" si="3"/>
        <v>1.3937781109445234E-2</v>
      </c>
      <c r="E18">
        <f>COUNTIF(tables_452010!C:C,input_452010!A18)-COUNTIF(Q:Q,A18)</f>
        <v>20</v>
      </c>
      <c r="F18" s="43">
        <f>IFERROR(B18/E18,0)</f>
        <v>6.9688905547226167E-4</v>
      </c>
      <c r="G18">
        <f t="shared" si="4"/>
        <v>743719.99999999767</v>
      </c>
      <c r="H18">
        <f t="shared" si="5"/>
        <v>37186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VLOOKUP(L18,tables_452010!B:C,2,FALSE)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0.26565217391304347</v>
      </c>
      <c r="C19" s="85">
        <f t="shared" si="2"/>
        <v>0</v>
      </c>
      <c r="D19" s="74">
        <f t="shared" si="3"/>
        <v>0.26565217391304347</v>
      </c>
      <c r="E19">
        <f>COUNTIF(tables_452010!C:C,input_452010!A19)-COUNTIF(Q:Q,A19)</f>
        <v>52</v>
      </c>
      <c r="F19" s="43">
        <f t="shared" ref="F19:F31" si="8">IFERROR(B19/E19,0)</f>
        <v>5.1086956521739129E-3</v>
      </c>
      <c r="G19">
        <f t="shared" si="4"/>
        <v>14175200</v>
      </c>
      <c r="H19">
        <f t="shared" si="5"/>
        <v>272600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VLOOKUP(L19,tables_452010!B:C,2,FALSE)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0.23908695652173911</v>
      </c>
      <c r="C20" s="85">
        <f t="shared" si="2"/>
        <v>0</v>
      </c>
      <c r="D20" s="74">
        <f t="shared" si="3"/>
        <v>0.23908695652173911</v>
      </c>
      <c r="E20">
        <f>COUNTIF(tables_452010!C:C,input_452010!A20)-COUNTIF(Q:Q,A20)</f>
        <v>52</v>
      </c>
      <c r="F20" s="43">
        <f t="shared" si="8"/>
        <v>4.5978260869565211E-3</v>
      </c>
      <c r="G20">
        <f t="shared" si="4"/>
        <v>12757680</v>
      </c>
      <c r="H20">
        <f t="shared" si="5"/>
        <v>245340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VLOOKUP(L20,tables_452010!B:C,2,FALSE)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B7-B23-B26-B28-B29-E34</f>
        <v>3.0622188949284389E-3</v>
      </c>
      <c r="C21" s="85">
        <f t="shared" si="2"/>
        <v>0</v>
      </c>
      <c r="D21" s="74">
        <f t="shared" si="3"/>
        <v>3.0622188949284389E-3</v>
      </c>
      <c r="E21">
        <f>COUNTIF(tables_452010!C:C,input_452010!A21)-COUNTIF(Q:Q,A21)</f>
        <v>52</v>
      </c>
      <c r="F21" s="43">
        <f t="shared" si="8"/>
        <v>5.8888824902469976E-5</v>
      </c>
      <c r="G21">
        <f t="shared" si="4"/>
        <v>163400.00023338149</v>
      </c>
      <c r="H21">
        <f t="shared" si="5"/>
        <v>3142.3076999999998</v>
      </c>
      <c r="I21">
        <f t="shared" si="6"/>
        <v>0.30769999999984066</v>
      </c>
      <c r="J21">
        <f t="shared" si="7"/>
        <v>3.2499187520328823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0.16023913043478261</v>
      </c>
      <c r="C22" s="85">
        <f t="shared" si="2"/>
        <v>0</v>
      </c>
      <c r="D22" s="74">
        <f t="shared" si="3"/>
        <v>0.16023913043478261</v>
      </c>
      <c r="E22">
        <f>COUNTIF(tables_452010!C:C,input_452010!A22)-COUNTIF(Q:Q,A22)</f>
        <v>16</v>
      </c>
      <c r="F22" s="43">
        <f t="shared" si="8"/>
        <v>1.0014945652173913E-2</v>
      </c>
      <c r="G22">
        <f t="shared" si="4"/>
        <v>8550360</v>
      </c>
      <c r="H22">
        <f t="shared" si="5"/>
        <v>534397.5</v>
      </c>
      <c r="I22">
        <f t="shared" si="6"/>
        <v>0.5</v>
      </c>
      <c r="J22">
        <f t="shared" si="7"/>
        <v>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E23*E6*B7-0.008</f>
        <v>3.239130434782609E-3</v>
      </c>
      <c r="C23" s="85">
        <f t="shared" si="2"/>
        <v>0</v>
      </c>
      <c r="D23" s="74">
        <f t="shared" si="3"/>
        <v>3.239130434782609E-3</v>
      </c>
      <c r="E23">
        <f>COUNTIF(tables_452010!C:C,input_452010!A23)-COUNTIF(Q:Q,A23)</f>
        <v>22</v>
      </c>
      <c r="F23" s="43">
        <f t="shared" si="8"/>
        <v>1.4723320158102767E-4</v>
      </c>
      <c r="G23">
        <f t="shared" si="4"/>
        <v>172840.00000000003</v>
      </c>
      <c r="H23">
        <f t="shared" si="5"/>
        <v>7856.3636399999996</v>
      </c>
      <c r="I23">
        <f t="shared" si="6"/>
        <v>0.36363999999957741</v>
      </c>
      <c r="J23">
        <f t="shared" si="7"/>
        <v>2.7499725002781932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2.0434782608695651E-2</v>
      </c>
      <c r="C24" s="85">
        <f t="shared" si="2"/>
        <v>0</v>
      </c>
      <c r="D24" s="74">
        <f t="shared" si="3"/>
        <v>2.0434782608695651E-2</v>
      </c>
      <c r="E24">
        <f>COUNTIF(tables_452010!C:C,input_452010!A24)-COUNTIF(Q:Q,A24)</f>
        <v>4</v>
      </c>
      <c r="F24" s="43">
        <f t="shared" si="8"/>
        <v>5.1086956521739129E-3</v>
      </c>
      <c r="G24">
        <f t="shared" si="4"/>
        <v>1090400</v>
      </c>
      <c r="H24">
        <f t="shared" si="5"/>
        <v>272600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1.8391304347826088E-2</v>
      </c>
      <c r="C25" s="85">
        <f t="shared" si="2"/>
        <v>0</v>
      </c>
      <c r="D25" s="74">
        <f t="shared" si="3"/>
        <v>1.8391304347826088E-2</v>
      </c>
      <c r="E25">
        <f>COUNTIF(tables_452010!C:C,input_452010!A25)-COUNTIF(Q:Q,A25)</f>
        <v>4</v>
      </c>
      <c r="F25" s="43">
        <f t="shared" si="8"/>
        <v>4.597826086956522E-3</v>
      </c>
      <c r="G25">
        <f t="shared" si="4"/>
        <v>981360.00000000012</v>
      </c>
      <c r="H25">
        <f t="shared" si="5"/>
        <v>245340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2.0434782608695651E-3</v>
      </c>
      <c r="C26" s="85">
        <f t="shared" si="2"/>
        <v>0</v>
      </c>
      <c r="D26" s="74">
        <f t="shared" si="3"/>
        <v>2.0434782608695651E-3</v>
      </c>
      <c r="E26">
        <f>COUNTIF(tables_452010!C:C,input_452010!A26)-COUNTIF(Q:Q,A26)</f>
        <v>4</v>
      </c>
      <c r="F26" s="43">
        <f t="shared" si="8"/>
        <v>5.1086956521739129E-4</v>
      </c>
      <c r="G26">
        <f t="shared" si="4"/>
        <v>109040</v>
      </c>
      <c r="H26">
        <f t="shared" si="5"/>
        <v>27260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1.8344827586206897E-2</v>
      </c>
      <c r="C27" s="85">
        <f t="shared" si="2"/>
        <v>0</v>
      </c>
      <c r="D27" s="74">
        <f t="shared" si="3"/>
        <v>1.8344827586206897E-2</v>
      </c>
      <c r="E27">
        <f>COUNTIF(tables_452010!C:C,input_452010!A27)-COUNTIF(Q:Q,A27)</f>
        <v>28</v>
      </c>
      <c r="F27" s="43">
        <f>IFERROR(B27/E27,0)</f>
        <v>6.551724137931035E-4</v>
      </c>
      <c r="G27">
        <f t="shared" si="4"/>
        <v>978880</v>
      </c>
      <c r="H27">
        <f t="shared" si="5"/>
        <v>34960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9.5862068966757735E-3</v>
      </c>
      <c r="C28" s="85">
        <f t="shared" si="2"/>
        <v>0</v>
      </c>
      <c r="D28" s="74">
        <f t="shared" si="3"/>
        <v>9.5862068966757735E-3</v>
      </c>
      <c r="E28">
        <f>COUNTIF(tables_452010!C:C,input_452010!A28)-COUNTIF(Q:Q,A28)</f>
        <v>28</v>
      </c>
      <c r="F28" s="43">
        <f t="shared" si="8"/>
        <v>3.4236453202413477E-4</v>
      </c>
      <c r="G28">
        <f t="shared" si="4"/>
        <v>511520.00000661926</v>
      </c>
      <c r="H28">
        <f t="shared" si="5"/>
        <v>18268.57143</v>
      </c>
      <c r="I28">
        <f t="shared" si="6"/>
        <v>0.57142999999996391</v>
      </c>
      <c r="J28">
        <f t="shared" si="7"/>
        <v>1.749995625011048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2.2068965517241381E-2</v>
      </c>
      <c r="C29" s="85">
        <f t="shared" si="2"/>
        <v>0</v>
      </c>
      <c r="D29" s="74">
        <f t="shared" si="3"/>
        <v>2.2068965517241381E-2</v>
      </c>
      <c r="E29">
        <f>COUNTIF(tables_452010!C:C,input_452010!A29)-COUNTIF(Q:Q,A29)</f>
        <v>32</v>
      </c>
      <c r="F29" s="43">
        <f t="shared" si="8"/>
        <v>6.8965517241379316E-4</v>
      </c>
      <c r="G29">
        <f t="shared" si="4"/>
        <v>1177600</v>
      </c>
      <c r="H29">
        <f t="shared" si="5"/>
        <v>36800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COUNTIF(tables_452010!C:C,input_452010!A30)-COUNTIF(Q:Q,A30)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COUNTIF(tables_452010!C:C,input_452010!A31)-COUNTIF(Q:Q,A31)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0.99000000000449773</v>
      </c>
      <c r="C32" s="41">
        <f>SUM(C19:C31)</f>
        <v>0.01</v>
      </c>
      <c r="D32" s="42">
        <f t="shared" si="3"/>
        <v>0.98000000000449772</v>
      </c>
      <c r="L32" s="57"/>
      <c r="M32" s="57"/>
      <c r="N32" s="57"/>
      <c r="O32" s="57"/>
      <c r="P32" s="57"/>
      <c r="Q32" s="57"/>
      <c r="R32" s="59"/>
    </row>
    <row r="33" spans="1:7" x14ac:dyDescent="0.15">
      <c r="E33">
        <v>2.3502998500749599E-2</v>
      </c>
      <c r="F33" s="43">
        <f ca="1">0.45-G41</f>
        <v>0</v>
      </c>
    </row>
    <row r="34" spans="1:7" x14ac:dyDescent="0.15">
      <c r="E34" s="55">
        <v>9.9999999955022387E-3</v>
      </c>
      <c r="F34" s="55">
        <f ca="1">G42-0.05</f>
        <v>9.7451630098888131E-12</v>
      </c>
    </row>
    <row r="35" spans="1:7" x14ac:dyDescent="0.15">
      <c r="A35" t="s">
        <v>73</v>
      </c>
    </row>
    <row r="36" spans="1:7" x14ac:dyDescent="0.15">
      <c r="A36" s="31">
        <f>LCM(F5-I5,F6-I6)*1000*2*2*5</f>
        <v>53360000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SUMIF(tables_452010!C:C,input_452010!A40,tables_452010!O:O)</f>
        <v>14175200</v>
      </c>
      <c r="C40" s="54">
        <f t="shared" ref="C40:C46" ca="1" si="9">B40/B$47</f>
        <v>0.49586730602440787</v>
      </c>
      <c r="E40">
        <v>3</v>
      </c>
      <c r="F40">
        <f ca="1">SUMIF(tables_452010!J:J,input_452010!E40,tables_452010!O:O)</f>
        <v>26680000</v>
      </c>
      <c r="G40">
        <f ca="1">F40/A36</f>
        <v>0.5</v>
      </c>
    </row>
    <row r="41" spans="1:7" x14ac:dyDescent="0.15">
      <c r="A41" s="33" t="s">
        <v>104</v>
      </c>
      <c r="B41">
        <f ca="1">SUMIF(tables_452010!C:C,input_452010!A41,tables_452010!O:O)</f>
        <v>12757680</v>
      </c>
      <c r="C41" s="54">
        <f t="shared" ca="1" si="9"/>
        <v>0.44628057542196709</v>
      </c>
      <c r="E41">
        <v>4</v>
      </c>
      <c r="F41">
        <f ca="1">SUMIF(tables_452010!J:J,input_452010!E41,tables_452010!O:O)</f>
        <v>24012000</v>
      </c>
      <c r="G41">
        <f ca="1">F41/A36</f>
        <v>0.45</v>
      </c>
    </row>
    <row r="42" spans="1:7" x14ac:dyDescent="0.15">
      <c r="A42" s="33" t="s">
        <v>106</v>
      </c>
      <c r="B42">
        <f ca="1">SUMIF(tables_452010!C:C,input_452010!A42,tables_452010!O:O)</f>
        <v>978880</v>
      </c>
      <c r="C42" s="54">
        <f t="shared" ca="1" si="9"/>
        <v>3.4242521341580533E-2</v>
      </c>
      <c r="E42">
        <v>5</v>
      </c>
      <c r="F42">
        <f ca="1">SUMIF(tables_452010!J:J,input_452010!E42,tables_452010!O:O)</f>
        <v>2668000.0005200021</v>
      </c>
      <c r="G42">
        <f ca="1">F42/A36</f>
        <v>5.0000000009745166E-2</v>
      </c>
    </row>
    <row r="43" spans="1:7" x14ac:dyDescent="0.15">
      <c r="A43" s="33" t="s">
        <v>109</v>
      </c>
      <c r="B43">
        <f>SUMIF(tables_452010!C:C,input_452010!A43,tables_452010!O:O)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SUMIF(tables_452010!C:C,input_452010!A44,tables_452010!O:O)</f>
        <v>163400.00040000014</v>
      </c>
      <c r="C44" s="54">
        <f t="shared" ca="1" si="9"/>
        <v>5.7159488404209631E-3</v>
      </c>
      <c r="E44" t="s">
        <v>54</v>
      </c>
      <c r="F44" s="55"/>
    </row>
    <row r="45" spans="1:7" x14ac:dyDescent="0.15">
      <c r="A45" s="33" t="s">
        <v>107</v>
      </c>
      <c r="B45">
        <f ca="1">SUMIF(tables_452010!C:C,input_452010!A45,tables_452010!O:O)</f>
        <v>511520.00004000019</v>
      </c>
      <c r="C45" s="54">
        <f t="shared" ca="1" si="9"/>
        <v>1.7893648371623674E-2</v>
      </c>
      <c r="E45" t="s">
        <v>204</v>
      </c>
      <c r="F45" s="55">
        <f ca="1">SUMIF(tables_452010!I:I,input_452010!E45,tables_452010!P:P)</f>
        <v>0.22873422379537192</v>
      </c>
    </row>
    <row r="46" spans="1:7" x14ac:dyDescent="0.15">
      <c r="A46" s="33" t="s">
        <v>108</v>
      </c>
      <c r="B46">
        <f>SUMIF(tables_452010!C:C,input_452010!A46,tables_452010!O:O)</f>
        <v>0</v>
      </c>
      <c r="C46" s="54">
        <f t="shared" ca="1" si="9"/>
        <v>0</v>
      </c>
      <c r="E46" t="s">
        <v>205</v>
      </c>
      <c r="F46" s="55">
        <f ca="1">SUMIF(tables_452010!I:I,input_452010!E46,tables_452010!P:P)</f>
        <v>0.19666415350070679</v>
      </c>
    </row>
    <row r="47" spans="1:7" x14ac:dyDescent="0.15">
      <c r="A47" s="39" t="s">
        <v>59</v>
      </c>
      <c r="B47">
        <f ca="1">SUM(B40:B46)</f>
        <v>28586680.000439998</v>
      </c>
      <c r="C47" s="55">
        <f ca="1">SUM(C40:C46)</f>
        <v>1.0000000000000002</v>
      </c>
      <c r="E47" t="s">
        <v>206</v>
      </c>
      <c r="F47" s="55">
        <f ca="1">SUMIF(tables_452010!I:I,input_452010!E47,tables_452010!P:P)</f>
        <v>0.51460162270375487</v>
      </c>
    </row>
    <row r="48" spans="1:7" x14ac:dyDescent="0.15">
      <c r="E48" t="s">
        <v>207</v>
      </c>
      <c r="F48" s="55">
        <f ca="1">SUMIF(tables_452010!I:I,input_452010!E48,tables_452010!P:P)</f>
        <v>4.6551724138226974E-2</v>
      </c>
      <c r="G48" s="55">
        <f ca="1">0.05-F48-F49</f>
        <v>-2.6232835348416472E-13</v>
      </c>
    </row>
    <row r="49" spans="5:7" x14ac:dyDescent="0.15">
      <c r="E49" t="s">
        <v>247</v>
      </c>
      <c r="F49" s="55">
        <f ca="1">SUMIF(tables_452010!I:I,input_452010!E49,tables_452010!P:P)</f>
        <v>3.4482758620353569E-3</v>
      </c>
      <c r="G49">
        <v>8.6206896552964637E-3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1"/>
  <sheetViews>
    <sheetView showGridLines="0" zoomScale="75" zoomScaleNormal="75" zoomScalePageLayoutView="75" workbookViewId="0">
      <pane ySplit="1" topLeftCell="A307" activePane="bottomLeft" state="frozen"/>
      <selection activeCell="H276" sqref="H276"/>
      <selection pane="bottomLeft" activeCell="B337" sqref="B33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input_452010!A$2</f>
        <v>452010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IFERROR(VLOOKUP(B2,input_452010!L:R,7,FALSE),VLOOKUP(tables_452010!C2,input_452010!A:H,8,FALSE))</f>
        <v>570720</v>
      </c>
      <c r="P2" s="46">
        <f t="shared" ref="P2:P65" ca="1" si="1">O2/SUM(O:O)</f>
        <v>1.0695652173808799E-2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input_452010!A$2</f>
        <v>452010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IFERROR(VLOOKUP(B3,input_452010!L:R,7,FALSE),VLOOKUP(tables_452010!C3,input_452010!A:H,8,FALSE))</f>
        <v>37186</v>
      </c>
      <c r="P3" s="46">
        <f t="shared" ca="1" si="1"/>
        <v>6.9688905546547164E-4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input_452010!A$2</f>
        <v>452010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IFERROR(VLOOKUP(B4,input_452010!L:R,7,FALSE),VLOOKUP(tables_452010!C4,input_452010!A:H,8,FALSE))</f>
        <v>570720</v>
      </c>
      <c r="P4" s="46">
        <f t="shared" ca="1" si="1"/>
        <v>1.0695652173808799E-2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input_452010!A$2</f>
        <v>452010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IFERROR(VLOOKUP(B5,input_452010!L:R,7,FALSE),VLOOKUP(tables_452010!C5,input_452010!A:H,8,FALSE))</f>
        <v>37186</v>
      </c>
      <c r="P5" s="46">
        <f t="shared" ca="1" si="1"/>
        <v>6.9688905546547164E-4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input_452010!A$2</f>
        <v>452010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IFERROR(VLOOKUP(B6,input_452010!L:R,7,FALSE),VLOOKUP(tables_452010!C6,input_452010!A:H,8,FALSE))</f>
        <v>570720</v>
      </c>
      <c r="P6" s="46">
        <f t="shared" ca="1" si="1"/>
        <v>1.0695652173808799E-2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input_452010!A$2</f>
        <v>452010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IFERROR(VLOOKUP(B7,input_452010!L:R,7,FALSE),VLOOKUP(tables_452010!C7,input_452010!A:H,8,FALSE))</f>
        <v>37186</v>
      </c>
      <c r="P7" s="46">
        <f t="shared" ca="1" si="1"/>
        <v>6.9688905546547164E-4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input_452010!A$2</f>
        <v>452010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IFERROR(VLOOKUP(B8,input_452010!L:R,7,FALSE),VLOOKUP(tables_452010!C8,input_452010!A:H,8,FALSE))</f>
        <v>570720</v>
      </c>
      <c r="P8" s="46">
        <f t="shared" ca="1" si="1"/>
        <v>1.0695652173808799E-2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input_452010!A$2</f>
        <v>452010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IFERROR(VLOOKUP(B9,input_452010!L:R,7,FALSE),VLOOKUP(tables_452010!C9,input_452010!A:H,8,FALSE))</f>
        <v>37186</v>
      </c>
      <c r="P9" s="46">
        <f t="shared" ca="1" si="1"/>
        <v>6.9688905546547164E-4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input_452010!A$2</f>
        <v>452010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IFERROR(VLOOKUP(B10,input_452010!L:R,7,FALSE),VLOOKUP(tables_452010!C10,input_452010!A:H,8,FALSE))</f>
        <v>570720</v>
      </c>
      <c r="P10" s="46">
        <f t="shared" ca="1" si="1"/>
        <v>1.0695652173808799E-2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input_452010!A$2</f>
        <v>452010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IFERROR(VLOOKUP(B11,input_452010!L:R,7,FALSE),VLOOKUP(tables_452010!C11,input_452010!A:H,8,FALSE))</f>
        <v>37186</v>
      </c>
      <c r="P11" s="46">
        <f t="shared" ca="1" si="1"/>
        <v>6.9688905546547164E-4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input_452010!A$2</f>
        <v>452010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IFERROR(VLOOKUP(B12,input_452010!L:R,7,FALSE),VLOOKUP(tables_452010!C12,input_452010!A:H,8,FALSE))</f>
        <v>570720</v>
      </c>
      <c r="P12" s="46">
        <f t="shared" ca="1" si="1"/>
        <v>1.0695652173808799E-2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input_452010!A$2</f>
        <v>452010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IFERROR(VLOOKUP(B13,input_452010!L:R,7,FALSE),VLOOKUP(tables_452010!C13,input_452010!A:H,8,FALSE))</f>
        <v>37186</v>
      </c>
      <c r="P13" s="46">
        <f t="shared" ca="1" si="1"/>
        <v>6.9688905546547164E-4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input_452010!A$2</f>
        <v>452010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IFERROR(VLOOKUP(B14,input_452010!L:R,7,FALSE),VLOOKUP(tables_452010!C14,input_452010!A:H,8,FALSE))</f>
        <v>570720</v>
      </c>
      <c r="P14" s="46">
        <f t="shared" ca="1" si="1"/>
        <v>1.0695652173808799E-2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input_452010!A$2</f>
        <v>452010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IFERROR(VLOOKUP(B15,input_452010!L:R,7,FALSE),VLOOKUP(tables_452010!C15,input_452010!A:H,8,FALSE))</f>
        <v>37186</v>
      </c>
      <c r="P15" s="46">
        <f t="shared" ca="1" si="1"/>
        <v>6.9688905546547164E-4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input_452010!A$2</f>
        <v>452010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IFERROR(VLOOKUP(B16,input_452010!L:R,7,FALSE),VLOOKUP(tables_452010!C16,input_452010!A:H,8,FALSE))</f>
        <v>570720</v>
      </c>
      <c r="P16" s="46">
        <f t="shared" ca="1" si="1"/>
        <v>1.0695652173808799E-2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input_452010!A$2</f>
        <v>452010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IFERROR(VLOOKUP(B17,input_452010!L:R,7,FALSE),VLOOKUP(tables_452010!C17,input_452010!A:H,8,FALSE))</f>
        <v>37186</v>
      </c>
      <c r="P17" s="46">
        <f t="shared" ca="1" si="1"/>
        <v>6.9688905546547164E-4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input_452010!A$2</f>
        <v>452010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IFERROR(VLOOKUP(B18,input_452010!L:R,7,FALSE),VLOOKUP(tables_452010!C18,input_452010!A:H,8,FALSE))</f>
        <v>570720</v>
      </c>
      <c r="P18" s="46">
        <f t="shared" ca="1" si="1"/>
        <v>1.0695652173808799E-2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input_452010!A$2</f>
        <v>452010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IFERROR(VLOOKUP(B19,input_452010!L:R,7,FALSE),VLOOKUP(tables_452010!C19,input_452010!A:H,8,FALSE))</f>
        <v>37186</v>
      </c>
      <c r="P19" s="46">
        <f t="shared" ca="1" si="1"/>
        <v>6.9688905546547164E-4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input_452010!A$2</f>
        <v>452010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IFERROR(VLOOKUP(B20,input_452010!L:R,7,FALSE),VLOOKUP(tables_452010!C20,input_452010!A:H,8,FALSE))</f>
        <v>570720</v>
      </c>
      <c r="P20" s="46">
        <f t="shared" ca="1" si="1"/>
        <v>1.0695652173808799E-2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input_452010!A$2</f>
        <v>452010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IFERROR(VLOOKUP(B21,input_452010!L:R,7,FALSE),VLOOKUP(tables_452010!C21,input_452010!A:H,8,FALSE))</f>
        <v>37186</v>
      </c>
      <c r="P21" s="46">
        <f t="shared" ca="1" si="1"/>
        <v>6.9688905546547164E-4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input_452010!A$2</f>
        <v>452010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IFERROR(VLOOKUP(B22,input_452010!L:R,7,FALSE),VLOOKUP(tables_452010!C22,input_452010!A:H,8,FALSE))</f>
        <v>570720</v>
      </c>
      <c r="P22" s="46">
        <f t="shared" ca="1" si="1"/>
        <v>1.0695652173808799E-2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input_452010!A$2</f>
        <v>452010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IFERROR(VLOOKUP(B23,input_452010!L:R,7,FALSE),VLOOKUP(tables_452010!C23,input_452010!A:H,8,FALSE))</f>
        <v>37186</v>
      </c>
      <c r="P23" s="46">
        <f t="shared" ca="1" si="1"/>
        <v>6.9688905546547164E-4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input_452010!A$2</f>
        <v>452010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IFERROR(VLOOKUP(B24,input_452010!L:R,7,FALSE),VLOOKUP(tables_452010!C24,input_452010!A:H,8,FALSE))</f>
        <v>570720</v>
      </c>
      <c r="P24" s="46">
        <f t="shared" ca="1" si="1"/>
        <v>1.0695652173808799E-2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input_452010!A$2</f>
        <v>452010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IFERROR(VLOOKUP(B25,input_452010!L:R,7,FALSE),VLOOKUP(tables_452010!C25,input_452010!A:H,8,FALSE))</f>
        <v>37186</v>
      </c>
      <c r="P25" s="46">
        <f t="shared" ca="1" si="1"/>
        <v>6.9688905546547164E-4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input_452010!A$2</f>
        <v>452010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IFERROR(VLOOKUP(B26,input_452010!L:R,7,FALSE),VLOOKUP(tables_452010!C26,input_452010!A:H,8,FALSE))</f>
        <v>570720</v>
      </c>
      <c r="P26" s="46">
        <f t="shared" ca="1" si="1"/>
        <v>1.0695652173808799E-2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input_452010!A$2</f>
        <v>452010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IFERROR(VLOOKUP(B27,input_452010!L:R,7,FALSE),VLOOKUP(tables_452010!C27,input_452010!A:H,8,FALSE))</f>
        <v>37186</v>
      </c>
      <c r="P27" s="46">
        <f t="shared" ca="1" si="1"/>
        <v>6.9688905546547164E-4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input_452010!A$2</f>
        <v>452010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IFERROR(VLOOKUP(B28,input_452010!L:R,7,FALSE),VLOOKUP(tables_452010!C28,input_452010!A:H,8,FALSE))</f>
        <v>570720</v>
      </c>
      <c r="P28" s="46">
        <f t="shared" ca="1" si="1"/>
        <v>1.0695652173808799E-2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input_452010!A$2</f>
        <v>452010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IFERROR(VLOOKUP(B29,input_452010!L:R,7,FALSE),VLOOKUP(tables_452010!C29,input_452010!A:H,8,FALSE))</f>
        <v>37186</v>
      </c>
      <c r="P29" s="46">
        <f t="shared" ca="1" si="1"/>
        <v>6.9688905546547164E-4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input_452010!A$2</f>
        <v>452010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IFERROR(VLOOKUP(B30,input_452010!L:R,7,FALSE),VLOOKUP(tables_452010!C30,input_452010!A:H,8,FALSE))</f>
        <v>570720</v>
      </c>
      <c r="P30" s="46">
        <f t="shared" ca="1" si="1"/>
        <v>1.0695652173808799E-2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input_452010!A$2</f>
        <v>452010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IFERROR(VLOOKUP(B31,input_452010!L:R,7,FALSE),VLOOKUP(tables_452010!C31,input_452010!A:H,8,FALSE))</f>
        <v>37186</v>
      </c>
      <c r="P31" s="46">
        <f t="shared" ca="1" si="1"/>
        <v>6.9688905546547164E-4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input_452010!A$2</f>
        <v>452010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IFERROR(VLOOKUP(B32,input_452010!L:R,7,FALSE),VLOOKUP(tables_452010!C32,input_452010!A:H,8,FALSE))</f>
        <v>570720</v>
      </c>
      <c r="P32" s="46">
        <f t="shared" ca="1" si="1"/>
        <v>1.0695652173808799E-2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input_452010!A$2</f>
        <v>452010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IFERROR(VLOOKUP(B33,input_452010!L:R,7,FALSE),VLOOKUP(tables_452010!C33,input_452010!A:H,8,FALSE))</f>
        <v>37186</v>
      </c>
      <c r="P33" s="46">
        <f t="shared" ca="1" si="1"/>
        <v>6.9688905546547164E-4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input_452010!A$2</f>
        <v>452010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IFERROR(VLOOKUP(B34,input_452010!L:R,7,FALSE),VLOOKUP(tables_452010!C34,input_452010!A:H,8,FALSE))</f>
        <v>570720</v>
      </c>
      <c r="P34" s="46">
        <f t="shared" ca="1" si="1"/>
        <v>1.0695652173808799E-2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input_452010!A$2</f>
        <v>452010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IFERROR(VLOOKUP(B35,input_452010!L:R,7,FALSE),VLOOKUP(tables_452010!C35,input_452010!A:H,8,FALSE))</f>
        <v>37186</v>
      </c>
      <c r="P35" s="46">
        <f t="shared" ca="1" si="1"/>
        <v>6.9688905546547164E-4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input_452010!A$2</f>
        <v>452010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IFERROR(VLOOKUP(B36,input_452010!L:R,7,FALSE),VLOOKUP(tables_452010!C36,input_452010!A:H,8,FALSE))</f>
        <v>570720</v>
      </c>
      <c r="P36" s="46">
        <f t="shared" ca="1" si="1"/>
        <v>1.0695652173808799E-2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input_452010!A$2</f>
        <v>452010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IFERROR(VLOOKUP(B37,input_452010!L:R,7,FALSE),VLOOKUP(tables_452010!C37,input_452010!A:H,8,FALSE))</f>
        <v>37186</v>
      </c>
      <c r="P37" s="46">
        <f t="shared" ca="1" si="1"/>
        <v>6.9688905546547164E-4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input_452010!A$2</f>
        <v>452010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IFERROR(VLOOKUP(B38,input_452010!L:R,7,FALSE),VLOOKUP(tables_452010!C38,input_452010!A:H,8,FALSE))</f>
        <v>570720</v>
      </c>
      <c r="P38" s="46">
        <f t="shared" ca="1" si="1"/>
        <v>1.0695652173808799E-2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input_452010!A$2</f>
        <v>452010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IFERROR(VLOOKUP(B39,input_452010!L:R,7,FALSE),VLOOKUP(tables_452010!C39,input_452010!A:H,8,FALSE))</f>
        <v>37186</v>
      </c>
      <c r="P39" s="46">
        <f t="shared" ca="1" si="1"/>
        <v>6.9688905546547164E-4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input_452010!A$2</f>
        <v>452010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IFERROR(VLOOKUP(B40,input_452010!L:R,7,FALSE),VLOOKUP(tables_452010!C40,input_452010!A:H,8,FALSE))</f>
        <v>570720</v>
      </c>
      <c r="P40" s="46">
        <f t="shared" ca="1" si="1"/>
        <v>1.0695652173808799E-2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input_452010!A$2</f>
        <v>452010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IFERROR(VLOOKUP(B41,input_452010!L:R,7,FALSE),VLOOKUP(tables_452010!C41,input_452010!A:H,8,FALSE))</f>
        <v>37186</v>
      </c>
      <c r="P41" s="46">
        <f t="shared" ca="1" si="1"/>
        <v>6.9688905546547164E-4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input_452010!A$2</f>
        <v>452010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IFERROR(VLOOKUP(B42,input_452010!L:R,7,FALSE),VLOOKUP(tables_452010!C42,input_452010!A:H,8,FALSE))</f>
        <v>272600</v>
      </c>
      <c r="P42" s="46">
        <f t="shared" ca="1" si="1"/>
        <v>5.1086956521241211E-3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input_452010!A$2</f>
        <v>452010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IFERROR(VLOOKUP(B43,input_452010!L:R,7,FALSE),VLOOKUP(tables_452010!C43,input_452010!A:H,8,FALSE))</f>
        <v>245340</v>
      </c>
      <c r="P43" s="46">
        <f t="shared" ca="1" si="1"/>
        <v>4.5978260869117089E-3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input_452010!A$2</f>
        <v>452010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IFERROR(VLOOKUP(B44,input_452010!L:R,7,FALSE),VLOOKUP(tables_452010!C44,input_452010!A:H,8,FALSE))</f>
        <v>27260</v>
      </c>
      <c r="P44" s="46">
        <f t="shared" ca="1" si="1"/>
        <v>5.1086956521241209E-4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input_452010!A$2</f>
        <v>452010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IFERROR(VLOOKUP(B45,input_452010!L:R,7,FALSE),VLOOKUP(tables_452010!C45,input_452010!A:H,8,FALSE))</f>
        <v>272600</v>
      </c>
      <c r="P45" s="46">
        <f t="shared" ca="1" si="1"/>
        <v>5.1086956521241211E-3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input_452010!A$2</f>
        <v>452010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IFERROR(VLOOKUP(B46,input_452010!L:R,7,FALSE),VLOOKUP(tables_452010!C46,input_452010!A:H,8,FALSE))</f>
        <v>245340</v>
      </c>
      <c r="P46" s="46">
        <f t="shared" ca="1" si="1"/>
        <v>4.5978260869117089E-3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input_452010!A$2</f>
        <v>452010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IFERROR(VLOOKUP(B47,input_452010!L:R,7,FALSE),VLOOKUP(tables_452010!C47,input_452010!A:H,8,FALSE))</f>
        <v>27260</v>
      </c>
      <c r="P47" s="46">
        <f t="shared" ca="1" si="1"/>
        <v>5.1086956521241209E-4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input_452010!A$2</f>
        <v>452010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IFERROR(VLOOKUP(B48,input_452010!L:R,7,FALSE),VLOOKUP(tables_452010!C48,input_452010!A:H,8,FALSE))</f>
        <v>272600</v>
      </c>
      <c r="P48" s="46">
        <f t="shared" ca="1" si="1"/>
        <v>5.1086956521241211E-3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input_452010!A$2</f>
        <v>452010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IFERROR(VLOOKUP(B49,input_452010!L:R,7,FALSE),VLOOKUP(tables_452010!C49,input_452010!A:H,8,FALSE))</f>
        <v>245340</v>
      </c>
      <c r="P49" s="46">
        <f t="shared" ca="1" si="1"/>
        <v>4.5978260869117089E-3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input_452010!A$2</f>
        <v>452010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IFERROR(VLOOKUP(B50,input_452010!L:R,7,FALSE),VLOOKUP(tables_452010!C50,input_452010!A:H,8,FALSE))</f>
        <v>27260</v>
      </c>
      <c r="P50" s="46">
        <f t="shared" ca="1" si="1"/>
        <v>5.1086956521241209E-4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input_452010!A$2</f>
        <v>452010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IFERROR(VLOOKUP(B51,input_452010!L:R,7,FALSE),VLOOKUP(tables_452010!C51,input_452010!A:H,8,FALSE))</f>
        <v>272600</v>
      </c>
      <c r="P51" s="46">
        <f t="shared" ca="1" si="1"/>
        <v>5.1086956521241211E-3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input_452010!A$2</f>
        <v>452010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IFERROR(VLOOKUP(B52,input_452010!L:R,7,FALSE),VLOOKUP(tables_452010!C52,input_452010!A:H,8,FALSE))</f>
        <v>245340</v>
      </c>
      <c r="P52" s="46">
        <f t="shared" ca="1" si="1"/>
        <v>4.5978260869117089E-3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input_452010!A$2</f>
        <v>452010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IFERROR(VLOOKUP(B53,input_452010!L:R,7,FALSE),VLOOKUP(tables_452010!C53,input_452010!A:H,8,FALSE))</f>
        <v>3142.3076999999998</v>
      </c>
      <c r="P53" s="46">
        <f t="shared" ca="1" si="1"/>
        <v>5.8888824961944781E-5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input_452010!A$2</f>
        <v>452010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IFERROR(VLOOKUP(B54,input_452010!L:R,7,FALSE),VLOOKUP(tables_452010!C54,input_452010!A:H,8,FALSE))</f>
        <v>272600</v>
      </c>
      <c r="P54" s="46">
        <f t="shared" ca="1" si="1"/>
        <v>5.1086956521241211E-3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input_452010!A$2</f>
        <v>452010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IFERROR(VLOOKUP(B55,input_452010!L:R,7,FALSE),VLOOKUP(tables_452010!C55,input_452010!A:H,8,FALSE))</f>
        <v>245340</v>
      </c>
      <c r="P55" s="46">
        <f t="shared" ca="1" si="1"/>
        <v>4.5978260869117089E-3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input_452010!A$2</f>
        <v>452010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IFERROR(VLOOKUP(B56,input_452010!L:R,7,FALSE),VLOOKUP(tables_452010!C56,input_452010!A:H,8,FALSE))</f>
        <v>3142.3076999999998</v>
      </c>
      <c r="P56" s="46">
        <f t="shared" ca="1" si="1"/>
        <v>5.8888824961944781E-5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input_452010!A$2</f>
        <v>452010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IFERROR(VLOOKUP(B57,input_452010!L:R,7,FALSE),VLOOKUP(tables_452010!C57,input_452010!A:H,8,FALSE))</f>
        <v>272600</v>
      </c>
      <c r="P57" s="46">
        <f t="shared" ca="1" si="1"/>
        <v>5.1086956521241211E-3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input_452010!A$2</f>
        <v>452010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IFERROR(VLOOKUP(B58,input_452010!L:R,7,FALSE),VLOOKUP(tables_452010!C58,input_452010!A:H,8,FALSE))</f>
        <v>245340</v>
      </c>
      <c r="P58" s="46">
        <f t="shared" ca="1" si="1"/>
        <v>4.5978260869117089E-3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input_452010!A$2</f>
        <v>452010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IFERROR(VLOOKUP(B59,input_452010!L:R,7,FALSE),VLOOKUP(tables_452010!C59,input_452010!A:H,8,FALSE))</f>
        <v>3142.3076999999998</v>
      </c>
      <c r="P59" s="46">
        <f t="shared" ca="1" si="1"/>
        <v>5.8888824961944781E-5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input_452010!A$2</f>
        <v>452010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IFERROR(VLOOKUP(B60,input_452010!L:R,7,FALSE),VLOOKUP(tables_452010!C60,input_452010!A:H,8,FALSE))</f>
        <v>272600</v>
      </c>
      <c r="P60" s="46">
        <f t="shared" ca="1" si="1"/>
        <v>5.1086956521241211E-3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input_452010!A$2</f>
        <v>452010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IFERROR(VLOOKUP(B61,input_452010!L:R,7,FALSE),VLOOKUP(tables_452010!C61,input_452010!A:H,8,FALSE))</f>
        <v>245340</v>
      </c>
      <c r="P61" s="46">
        <f t="shared" ca="1" si="1"/>
        <v>4.5978260869117089E-3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input_452010!A$2</f>
        <v>452010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IFERROR(VLOOKUP(B62,input_452010!L:R,7,FALSE),VLOOKUP(tables_452010!C62,input_452010!A:H,8,FALSE))</f>
        <v>3142.3076999999998</v>
      </c>
      <c r="P62" s="46">
        <f t="shared" ca="1" si="1"/>
        <v>5.8888824961944781E-5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input_452010!A$2</f>
        <v>452010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IFERROR(VLOOKUP(B63,input_452010!L:R,7,FALSE),VLOOKUP(tables_452010!C63,input_452010!A:H,8,FALSE))</f>
        <v>272600</v>
      </c>
      <c r="P63" s="46">
        <f t="shared" ca="1" si="1"/>
        <v>5.1086956521241211E-3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input_452010!A$2</f>
        <v>452010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IFERROR(VLOOKUP(B64,input_452010!L:R,7,FALSE),VLOOKUP(tables_452010!C64,input_452010!A:H,8,FALSE))</f>
        <v>245340</v>
      </c>
      <c r="P64" s="46">
        <f t="shared" ca="1" si="1"/>
        <v>4.5978260869117089E-3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input_452010!A$2</f>
        <v>452010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IFERROR(VLOOKUP(B65,input_452010!L:R,7,FALSE),VLOOKUP(tables_452010!C65,input_452010!A:H,8,FALSE))</f>
        <v>3142.3076999999998</v>
      </c>
      <c r="P65" s="46">
        <f t="shared" ca="1" si="1"/>
        <v>5.8888824961944781E-5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input_452010!A$2</f>
        <v>452010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IFERROR(VLOOKUP(B66,input_452010!L:R,7,FALSE),VLOOKUP(tables_452010!C66,input_452010!A:H,8,FALSE))</f>
        <v>272600</v>
      </c>
      <c r="P66" s="46">
        <f t="shared" ref="P66:P129" ca="1" si="4">O66/SUM(O:O)</f>
        <v>5.1086956521241211E-3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input_452010!A$2</f>
        <v>452010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IFERROR(VLOOKUP(B67,input_452010!L:R,7,FALSE),VLOOKUP(tables_452010!C67,input_452010!A:H,8,FALSE))</f>
        <v>245340</v>
      </c>
      <c r="P67" s="46">
        <f t="shared" ca="1" si="4"/>
        <v>4.5978260869117089E-3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input_452010!A$2</f>
        <v>452010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IFERROR(VLOOKUP(B68,input_452010!L:R,7,FALSE),VLOOKUP(tables_452010!C68,input_452010!A:H,8,FALSE))</f>
        <v>3142.3076999999998</v>
      </c>
      <c r="P68" s="46">
        <f t="shared" ca="1" si="4"/>
        <v>5.8888824961944781E-5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input_452010!A$2</f>
        <v>452010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IFERROR(VLOOKUP(B69,input_452010!L:R,7,FALSE),VLOOKUP(tables_452010!C69,input_452010!A:H,8,FALSE))</f>
        <v>272600</v>
      </c>
      <c r="P69" s="46">
        <f t="shared" ca="1" si="4"/>
        <v>5.1086956521241211E-3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input_452010!A$2</f>
        <v>452010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IFERROR(VLOOKUP(B70,input_452010!L:R,7,FALSE),VLOOKUP(tables_452010!C70,input_452010!A:H,8,FALSE))</f>
        <v>245340</v>
      </c>
      <c r="P70" s="46">
        <f t="shared" ca="1" si="4"/>
        <v>4.5978260869117089E-3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input_452010!A$2</f>
        <v>452010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IFERROR(VLOOKUP(B71,input_452010!L:R,7,FALSE),VLOOKUP(tables_452010!C71,input_452010!A:H,8,FALSE))</f>
        <v>3142.3076999999998</v>
      </c>
      <c r="P71" s="46">
        <f t="shared" ca="1" si="4"/>
        <v>5.8888824961944781E-5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input_452010!A$2</f>
        <v>452010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IFERROR(VLOOKUP(B72,input_452010!L:R,7,FALSE),VLOOKUP(tables_452010!C72,input_452010!A:H,8,FALSE))</f>
        <v>272600</v>
      </c>
      <c r="P72" s="46">
        <f t="shared" ca="1" si="4"/>
        <v>5.1086956521241211E-3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input_452010!A$2</f>
        <v>452010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IFERROR(VLOOKUP(B73,input_452010!L:R,7,FALSE),VLOOKUP(tables_452010!C73,input_452010!A:H,8,FALSE))</f>
        <v>245340</v>
      </c>
      <c r="P73" s="46">
        <f t="shared" ca="1" si="4"/>
        <v>4.5978260869117089E-3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input_452010!A$2</f>
        <v>452010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IFERROR(VLOOKUP(B74,input_452010!L:R,7,FALSE),VLOOKUP(tables_452010!C74,input_452010!A:H,8,FALSE))</f>
        <v>3142.3076999999998</v>
      </c>
      <c r="P74" s="46">
        <f t="shared" ca="1" si="4"/>
        <v>5.8888824961944781E-5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input_452010!A$2</f>
        <v>452010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IFERROR(VLOOKUP(B75,input_452010!L:R,7,FALSE),VLOOKUP(tables_452010!C75,input_452010!A:H,8,FALSE))</f>
        <v>272600</v>
      </c>
      <c r="P75" s="46">
        <f t="shared" ca="1" si="4"/>
        <v>5.1086956521241211E-3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input_452010!A$2</f>
        <v>452010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IFERROR(VLOOKUP(B76,input_452010!L:R,7,FALSE),VLOOKUP(tables_452010!C76,input_452010!A:H,8,FALSE))</f>
        <v>245340</v>
      </c>
      <c r="P76" s="46">
        <f t="shared" ca="1" si="4"/>
        <v>4.5978260869117089E-3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input_452010!A$2</f>
        <v>452010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IFERROR(VLOOKUP(B77,input_452010!L:R,7,FALSE),VLOOKUP(tables_452010!C77,input_452010!A:H,8,FALSE))</f>
        <v>3142.3076999999998</v>
      </c>
      <c r="P77" s="46">
        <f t="shared" ca="1" si="4"/>
        <v>5.8888824961944781E-5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input_452010!A$2</f>
        <v>452010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IFERROR(VLOOKUP(B78,input_452010!L:R,7,FALSE),VLOOKUP(tables_452010!C78,input_452010!A:H,8,FALSE))</f>
        <v>272600</v>
      </c>
      <c r="P78" s="46">
        <f t="shared" ca="1" si="4"/>
        <v>5.1086956521241211E-3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input_452010!A$2</f>
        <v>452010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IFERROR(VLOOKUP(B79,input_452010!L:R,7,FALSE),VLOOKUP(tables_452010!C79,input_452010!A:H,8,FALSE))</f>
        <v>245340</v>
      </c>
      <c r="P79" s="46">
        <f t="shared" ca="1" si="4"/>
        <v>4.5978260869117089E-3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input_452010!A$2</f>
        <v>452010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IFERROR(VLOOKUP(B80,input_452010!L:R,7,FALSE),VLOOKUP(tables_452010!C80,input_452010!A:H,8,FALSE))</f>
        <v>3142.3076999999998</v>
      </c>
      <c r="P80" s="46">
        <f t="shared" ca="1" si="4"/>
        <v>5.8888824961944781E-5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input_452010!A$2</f>
        <v>452010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IFERROR(VLOOKUP(B81,input_452010!L:R,7,FALSE),VLOOKUP(tables_452010!C81,input_452010!A:H,8,FALSE))</f>
        <v>272600</v>
      </c>
      <c r="P81" s="46">
        <f t="shared" ca="1" si="4"/>
        <v>5.1086956521241211E-3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input_452010!A$2</f>
        <v>452010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IFERROR(VLOOKUP(B82,input_452010!L:R,7,FALSE),VLOOKUP(tables_452010!C82,input_452010!A:H,8,FALSE))</f>
        <v>245340</v>
      </c>
      <c r="P82" s="46">
        <f t="shared" ca="1" si="4"/>
        <v>4.5978260869117089E-3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input_452010!A$2</f>
        <v>452010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IFERROR(VLOOKUP(B83,input_452010!L:R,7,FALSE),VLOOKUP(tables_452010!C83,input_452010!A:H,8,FALSE))</f>
        <v>3142.3076999999998</v>
      </c>
      <c r="P83" s="46">
        <f t="shared" ca="1" si="4"/>
        <v>5.8888824961944781E-5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input_452010!A$2</f>
        <v>452010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IFERROR(VLOOKUP(B84,input_452010!L:R,7,FALSE),VLOOKUP(tables_452010!C84,input_452010!A:H,8,FALSE))</f>
        <v>272600</v>
      </c>
      <c r="P84" s="46">
        <f t="shared" ca="1" si="4"/>
        <v>5.1086956521241211E-3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input_452010!A$2</f>
        <v>452010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IFERROR(VLOOKUP(B85,input_452010!L:R,7,FALSE),VLOOKUP(tables_452010!C85,input_452010!A:H,8,FALSE))</f>
        <v>245340</v>
      </c>
      <c r="P85" s="46">
        <f t="shared" ca="1" si="4"/>
        <v>4.5978260869117089E-3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input_452010!A$2</f>
        <v>452010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IFERROR(VLOOKUP(B86,input_452010!L:R,7,FALSE),VLOOKUP(tables_452010!C86,input_452010!A:H,8,FALSE))</f>
        <v>3142.3076999999998</v>
      </c>
      <c r="P86" s="46">
        <f t="shared" ca="1" si="4"/>
        <v>5.8888824961944781E-5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input_452010!A$2</f>
        <v>452010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IFERROR(VLOOKUP(B87,input_452010!L:R,7,FALSE),VLOOKUP(tables_452010!C87,input_452010!A:H,8,FALSE))</f>
        <v>272600</v>
      </c>
      <c r="P87" s="46">
        <f t="shared" ca="1" si="4"/>
        <v>5.1086956521241211E-3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input_452010!A$2</f>
        <v>452010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IFERROR(VLOOKUP(B88,input_452010!L:R,7,FALSE),VLOOKUP(tables_452010!C88,input_452010!A:H,8,FALSE))</f>
        <v>245340</v>
      </c>
      <c r="P88" s="46">
        <f t="shared" ca="1" si="4"/>
        <v>4.5978260869117089E-3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input_452010!A$2</f>
        <v>452010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IFERROR(VLOOKUP(B89,input_452010!L:R,7,FALSE),VLOOKUP(tables_452010!C89,input_452010!A:H,8,FALSE))</f>
        <v>3142.3076999999998</v>
      </c>
      <c r="P89" s="46">
        <f t="shared" ca="1" si="4"/>
        <v>5.8888824961944781E-5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input_452010!A$2</f>
        <v>452010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IFERROR(VLOOKUP(B90,input_452010!L:R,7,FALSE),VLOOKUP(tables_452010!C90,input_452010!A:H,8,FALSE))</f>
        <v>272600</v>
      </c>
      <c r="P90" s="46">
        <f t="shared" ca="1" si="4"/>
        <v>5.1086956521241211E-3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input_452010!A$2</f>
        <v>452010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IFERROR(VLOOKUP(B91,input_452010!L:R,7,FALSE),VLOOKUP(tables_452010!C91,input_452010!A:H,8,FALSE))</f>
        <v>245340</v>
      </c>
      <c r="P91" s="46">
        <f t="shared" ca="1" si="4"/>
        <v>4.5978260869117089E-3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input_452010!A$2</f>
        <v>452010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IFERROR(VLOOKUP(B92,input_452010!L:R,7,FALSE),VLOOKUP(tables_452010!C92,input_452010!A:H,8,FALSE))</f>
        <v>3142.3076999999998</v>
      </c>
      <c r="P92" s="46">
        <f t="shared" ca="1" si="4"/>
        <v>5.8888824961944781E-5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input_452010!A$2</f>
        <v>452010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IFERROR(VLOOKUP(B93,input_452010!L:R,7,FALSE),VLOOKUP(tables_452010!C93,input_452010!A:H,8,FALSE))</f>
        <v>272600</v>
      </c>
      <c r="P93" s="46">
        <f t="shared" ca="1" si="4"/>
        <v>5.1086956521241211E-3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input_452010!A$2</f>
        <v>452010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IFERROR(VLOOKUP(B94,input_452010!L:R,7,FALSE),VLOOKUP(tables_452010!C94,input_452010!A:H,8,FALSE))</f>
        <v>245340</v>
      </c>
      <c r="P94" s="46">
        <f t="shared" ca="1" si="4"/>
        <v>4.5978260869117089E-3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input_452010!A$2</f>
        <v>452010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IFERROR(VLOOKUP(B95,input_452010!L:R,7,FALSE),VLOOKUP(tables_452010!C95,input_452010!A:H,8,FALSE))</f>
        <v>3142.3076999999998</v>
      </c>
      <c r="P95" s="46">
        <f t="shared" ca="1" si="4"/>
        <v>5.8888824961944781E-5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input_452010!A$2</f>
        <v>452010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IFERROR(VLOOKUP(B96,input_452010!L:R,7,FALSE),VLOOKUP(tables_452010!C96,input_452010!A:H,8,FALSE))</f>
        <v>272600</v>
      </c>
      <c r="P96" s="46">
        <f t="shared" ca="1" si="4"/>
        <v>5.1086956521241211E-3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input_452010!A$2</f>
        <v>452010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IFERROR(VLOOKUP(B97,input_452010!L:R,7,FALSE),VLOOKUP(tables_452010!C97,input_452010!A:H,8,FALSE))</f>
        <v>245340</v>
      </c>
      <c r="P97" s="46">
        <f t="shared" ca="1" si="4"/>
        <v>4.5978260869117089E-3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input_452010!A$2</f>
        <v>452010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IFERROR(VLOOKUP(B98,input_452010!L:R,7,FALSE),VLOOKUP(tables_452010!C98,input_452010!A:H,8,FALSE))</f>
        <v>3142.3076999999998</v>
      </c>
      <c r="P98" s="46">
        <f t="shared" ca="1" si="4"/>
        <v>5.8888824961944781E-5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input_452010!A$2</f>
        <v>452010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IFERROR(VLOOKUP(B99,input_452010!L:R,7,FALSE),VLOOKUP(tables_452010!C99,input_452010!A:H,8,FALSE))</f>
        <v>272600</v>
      </c>
      <c r="P99" s="46">
        <f t="shared" ca="1" si="4"/>
        <v>5.1086956521241211E-3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input_452010!A$2</f>
        <v>452010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IFERROR(VLOOKUP(B100,input_452010!L:R,7,FALSE),VLOOKUP(tables_452010!C100,input_452010!A:H,8,FALSE))</f>
        <v>245340</v>
      </c>
      <c r="P100" s="46">
        <f t="shared" ca="1" si="4"/>
        <v>4.5978260869117089E-3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input_452010!A$2</f>
        <v>452010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IFERROR(VLOOKUP(B101,input_452010!L:R,7,FALSE),VLOOKUP(tables_452010!C101,input_452010!A:H,8,FALSE))</f>
        <v>3142.3076999999998</v>
      </c>
      <c r="P101" s="46">
        <f t="shared" ca="1" si="4"/>
        <v>5.8888824961944781E-5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input_452010!A$2</f>
        <v>452010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IFERROR(VLOOKUP(B102,input_452010!L:R,7,FALSE),VLOOKUP(tables_452010!C102,input_452010!A:H,8,FALSE))</f>
        <v>272600</v>
      </c>
      <c r="P102" s="46">
        <f t="shared" ca="1" si="4"/>
        <v>5.1086956521241211E-3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input_452010!A$2</f>
        <v>452010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IFERROR(VLOOKUP(B103,input_452010!L:R,7,FALSE),VLOOKUP(tables_452010!C103,input_452010!A:H,8,FALSE))</f>
        <v>245340</v>
      </c>
      <c r="P103" s="46">
        <f t="shared" ca="1" si="4"/>
        <v>4.5978260869117089E-3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input_452010!A$2</f>
        <v>452010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IFERROR(VLOOKUP(B104,input_452010!L:R,7,FALSE),VLOOKUP(tables_452010!C104,input_452010!A:H,8,FALSE))</f>
        <v>3142.3076999999998</v>
      </c>
      <c r="P104" s="46">
        <f t="shared" ca="1" si="4"/>
        <v>5.8888824961944781E-5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input_452010!A$2</f>
        <v>452010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IFERROR(VLOOKUP(B105,input_452010!L:R,7,FALSE),VLOOKUP(tables_452010!C105,input_452010!A:H,8,FALSE))</f>
        <v>272600</v>
      </c>
      <c r="P105" s="46">
        <f t="shared" ca="1" si="4"/>
        <v>5.1086956521241211E-3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input_452010!A$2</f>
        <v>452010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IFERROR(VLOOKUP(B106,input_452010!L:R,7,FALSE),VLOOKUP(tables_452010!C106,input_452010!A:H,8,FALSE))</f>
        <v>245340</v>
      </c>
      <c r="P106" s="46">
        <f t="shared" ca="1" si="4"/>
        <v>4.5978260869117089E-3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input_452010!A$2</f>
        <v>452010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IFERROR(VLOOKUP(B107,input_452010!L:R,7,FALSE),VLOOKUP(tables_452010!C107,input_452010!A:H,8,FALSE))</f>
        <v>3142.3076999999998</v>
      </c>
      <c r="P107" s="46">
        <f t="shared" ca="1" si="4"/>
        <v>5.8888824961944781E-5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input_452010!A$2</f>
        <v>452010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IFERROR(VLOOKUP(B108,input_452010!L:R,7,FALSE),VLOOKUP(tables_452010!C108,input_452010!A:H,8,FALSE))</f>
        <v>272600</v>
      </c>
      <c r="P108" s="46">
        <f t="shared" ca="1" si="4"/>
        <v>5.1086956521241211E-3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input_452010!A$2</f>
        <v>452010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IFERROR(VLOOKUP(B109,input_452010!L:R,7,FALSE),VLOOKUP(tables_452010!C109,input_452010!A:H,8,FALSE))</f>
        <v>245340</v>
      </c>
      <c r="P109" s="46">
        <f t="shared" ca="1" si="4"/>
        <v>4.5978260869117089E-3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input_452010!A$2</f>
        <v>452010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IFERROR(VLOOKUP(B110,input_452010!L:R,7,FALSE),VLOOKUP(tables_452010!C110,input_452010!A:H,8,FALSE))</f>
        <v>3142.3076999999998</v>
      </c>
      <c r="P110" s="46">
        <f t="shared" ca="1" si="4"/>
        <v>5.8888824961944781E-5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input_452010!A$2</f>
        <v>452010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IFERROR(VLOOKUP(B111,input_452010!L:R,7,FALSE),VLOOKUP(tables_452010!C111,input_452010!A:H,8,FALSE))</f>
        <v>272600</v>
      </c>
      <c r="P111" s="46">
        <f t="shared" ca="1" si="4"/>
        <v>5.1086956521241211E-3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input_452010!A$2</f>
        <v>452010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IFERROR(VLOOKUP(B112,input_452010!L:R,7,FALSE),VLOOKUP(tables_452010!C112,input_452010!A:H,8,FALSE))</f>
        <v>245340</v>
      </c>
      <c r="P112" s="46">
        <f t="shared" ca="1" si="4"/>
        <v>4.5978260869117089E-3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input_452010!A$2</f>
        <v>452010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IFERROR(VLOOKUP(B113,input_452010!L:R,7,FALSE),VLOOKUP(tables_452010!C113,input_452010!A:H,8,FALSE))</f>
        <v>27260</v>
      </c>
      <c r="P113" s="46">
        <f t="shared" ca="1" si="4"/>
        <v>5.1086956521241209E-4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input_452010!A$2</f>
        <v>452010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IFERROR(VLOOKUP(B114,input_452010!L:R,7,FALSE),VLOOKUP(tables_452010!C114,input_452010!A:H,8,FALSE))</f>
        <v>272600</v>
      </c>
      <c r="P114" s="46">
        <f t="shared" ca="1" si="4"/>
        <v>5.1086956521241211E-3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input_452010!A$2</f>
        <v>452010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IFERROR(VLOOKUP(B115,input_452010!L:R,7,FALSE),VLOOKUP(tables_452010!C115,input_452010!A:H,8,FALSE))</f>
        <v>245340</v>
      </c>
      <c r="P115" s="46">
        <f t="shared" ca="1" si="4"/>
        <v>4.5978260869117089E-3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input_452010!A$2</f>
        <v>452010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IFERROR(VLOOKUP(B116,input_452010!L:R,7,FALSE),VLOOKUP(tables_452010!C116,input_452010!A:H,8,FALSE))</f>
        <v>3142.3076999999998</v>
      </c>
      <c r="P116" s="46">
        <f t="shared" ca="1" si="4"/>
        <v>5.8888824961944781E-5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input_452010!A$2</f>
        <v>452010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IFERROR(VLOOKUP(B117,input_452010!L:R,7,FALSE),VLOOKUP(tables_452010!C117,input_452010!A:H,8,FALSE))</f>
        <v>272600</v>
      </c>
      <c r="P117" s="46">
        <f t="shared" ca="1" si="4"/>
        <v>5.1086956521241211E-3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input_452010!A$2</f>
        <v>452010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IFERROR(VLOOKUP(B118,input_452010!L:R,7,FALSE),VLOOKUP(tables_452010!C118,input_452010!A:H,8,FALSE))</f>
        <v>245340</v>
      </c>
      <c r="P118" s="46">
        <f t="shared" ca="1" si="4"/>
        <v>4.5978260869117089E-3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input_452010!A$2</f>
        <v>452010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IFERROR(VLOOKUP(B119,input_452010!L:R,7,FALSE),VLOOKUP(tables_452010!C119,input_452010!A:H,8,FALSE))</f>
        <v>3142.3076999999998</v>
      </c>
      <c r="P119" s="46">
        <f t="shared" ca="1" si="4"/>
        <v>5.8888824961944781E-5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input_452010!A$2</f>
        <v>452010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IFERROR(VLOOKUP(B120,input_452010!L:R,7,FALSE),VLOOKUP(tables_452010!C120,input_452010!A:H,8,FALSE))</f>
        <v>272600</v>
      </c>
      <c r="P120" s="46">
        <f t="shared" ca="1" si="4"/>
        <v>5.1086956521241211E-3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input_452010!A$2</f>
        <v>452010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IFERROR(VLOOKUP(B121,input_452010!L:R,7,FALSE),VLOOKUP(tables_452010!C121,input_452010!A:H,8,FALSE))</f>
        <v>245340</v>
      </c>
      <c r="P121" s="46">
        <f t="shared" ca="1" si="4"/>
        <v>4.5978260869117089E-3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input_452010!A$2</f>
        <v>452010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IFERROR(VLOOKUP(B122,input_452010!L:R,7,FALSE),VLOOKUP(tables_452010!C122,input_452010!A:H,8,FALSE))</f>
        <v>3142.3076999999998</v>
      </c>
      <c r="P122" s="46">
        <f t="shared" ca="1" si="4"/>
        <v>5.8888824961944781E-5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input_452010!A$2</f>
        <v>452010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IFERROR(VLOOKUP(B123,input_452010!L:R,7,FALSE),VLOOKUP(tables_452010!C123,input_452010!A:H,8,FALSE))</f>
        <v>272600</v>
      </c>
      <c r="P123" s="46">
        <f t="shared" ca="1" si="4"/>
        <v>5.1086956521241211E-3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input_452010!A$2</f>
        <v>452010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IFERROR(VLOOKUP(B124,input_452010!L:R,7,FALSE),VLOOKUP(tables_452010!C124,input_452010!A:H,8,FALSE))</f>
        <v>245340</v>
      </c>
      <c r="P124" s="46">
        <f t="shared" ca="1" si="4"/>
        <v>4.5978260869117089E-3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input_452010!A$2</f>
        <v>452010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IFERROR(VLOOKUP(B125,input_452010!L:R,7,FALSE),VLOOKUP(tables_452010!C125,input_452010!A:H,8,FALSE))</f>
        <v>3142.3076999999998</v>
      </c>
      <c r="P125" s="46">
        <f t="shared" ca="1" si="4"/>
        <v>5.8888824961944781E-5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input_452010!A$2</f>
        <v>452010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IFERROR(VLOOKUP(B126,input_452010!L:R,7,FALSE),VLOOKUP(tables_452010!C126,input_452010!A:H,8,FALSE))</f>
        <v>272600</v>
      </c>
      <c r="P126" s="46">
        <f t="shared" ca="1" si="4"/>
        <v>5.1086956521241211E-3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input_452010!A$2</f>
        <v>452010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IFERROR(VLOOKUP(B127,input_452010!L:R,7,FALSE),VLOOKUP(tables_452010!C127,input_452010!A:H,8,FALSE))</f>
        <v>245340</v>
      </c>
      <c r="P127" s="46">
        <f t="shared" ca="1" si="4"/>
        <v>4.5978260869117089E-3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input_452010!A$2</f>
        <v>452010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IFERROR(VLOOKUP(B128,input_452010!L:R,7,FALSE),VLOOKUP(tables_452010!C128,input_452010!A:H,8,FALSE))</f>
        <v>3142.3076999999998</v>
      </c>
      <c r="P128" s="46">
        <f t="shared" ca="1" si="4"/>
        <v>5.8888824961944781E-5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input_452010!A$2</f>
        <v>452010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IFERROR(VLOOKUP(B129,input_452010!L:R,7,FALSE),VLOOKUP(tables_452010!C129,input_452010!A:H,8,FALSE))</f>
        <v>272600</v>
      </c>
      <c r="P129" s="46">
        <f t="shared" ca="1" si="4"/>
        <v>5.1086956521241211E-3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input_452010!A$2</f>
        <v>452010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IFERROR(VLOOKUP(B130,input_452010!L:R,7,FALSE),VLOOKUP(tables_452010!C130,input_452010!A:H,8,FALSE))</f>
        <v>245340</v>
      </c>
      <c r="P130" s="46">
        <f t="shared" ref="P130:P193" ca="1" si="7">O130/SUM(O:O)</f>
        <v>4.5978260869117089E-3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input_452010!A$2</f>
        <v>452010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IFERROR(VLOOKUP(B131,input_452010!L:R,7,FALSE),VLOOKUP(tables_452010!C131,input_452010!A:H,8,FALSE))</f>
        <v>3142.3076999999998</v>
      </c>
      <c r="P131" s="46">
        <f t="shared" ca="1" si="7"/>
        <v>5.8888824961944781E-5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input_452010!A$2</f>
        <v>452010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IFERROR(VLOOKUP(B132,input_452010!L:R,7,FALSE),VLOOKUP(tables_452010!C132,input_452010!A:H,8,FALSE))</f>
        <v>272600</v>
      </c>
      <c r="P132" s="46">
        <f t="shared" ca="1" si="7"/>
        <v>5.1086956521241211E-3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input_452010!A$2</f>
        <v>452010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IFERROR(VLOOKUP(B133,input_452010!L:R,7,FALSE),VLOOKUP(tables_452010!C133,input_452010!A:H,8,FALSE))</f>
        <v>245340</v>
      </c>
      <c r="P133" s="46">
        <f t="shared" ca="1" si="7"/>
        <v>4.5978260869117089E-3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input_452010!A$2</f>
        <v>452010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IFERROR(VLOOKUP(B134,input_452010!L:R,7,FALSE),VLOOKUP(tables_452010!C134,input_452010!A:H,8,FALSE))</f>
        <v>3142.3076999999998</v>
      </c>
      <c r="P134" s="46">
        <f t="shared" ca="1" si="7"/>
        <v>5.8888824961944781E-5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input_452010!A$2</f>
        <v>452010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IFERROR(VLOOKUP(B135,input_452010!L:R,7,FALSE),VLOOKUP(tables_452010!C135,input_452010!A:H,8,FALSE))</f>
        <v>272600</v>
      </c>
      <c r="P135" s="46">
        <f t="shared" ca="1" si="7"/>
        <v>5.1086956521241211E-3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input_452010!A$2</f>
        <v>452010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IFERROR(VLOOKUP(B136,input_452010!L:R,7,FALSE),VLOOKUP(tables_452010!C136,input_452010!A:H,8,FALSE))</f>
        <v>245340</v>
      </c>
      <c r="P136" s="46">
        <f t="shared" ca="1" si="7"/>
        <v>4.5978260869117089E-3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input_452010!A$2</f>
        <v>452010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IFERROR(VLOOKUP(B137,input_452010!L:R,7,FALSE),VLOOKUP(tables_452010!C137,input_452010!A:H,8,FALSE))</f>
        <v>3142.3076999999998</v>
      </c>
      <c r="P137" s="46">
        <f t="shared" ca="1" si="7"/>
        <v>5.8888824961944781E-5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input_452010!A$2</f>
        <v>452010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IFERROR(VLOOKUP(B138,input_452010!L:R,7,FALSE),VLOOKUP(tables_452010!C138,input_452010!A:H,8,FALSE))</f>
        <v>34960</v>
      </c>
      <c r="P138" s="46">
        <f t="shared" ca="1" si="7"/>
        <v>6.5517241378671776E-4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input_452010!A$2</f>
        <v>452010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IFERROR(VLOOKUP(B139,input_452010!L:R,7,FALSE),VLOOKUP(tables_452010!C139,input_452010!A:H,8,FALSE))</f>
        <v>18268.57143</v>
      </c>
      <c r="P139" s="46">
        <f t="shared" ca="1" si="7"/>
        <v>3.4236453204313991E-4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input_452010!A$2</f>
        <v>452010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IFERROR(VLOOKUP(B140,input_452010!L:R,7,FALSE),VLOOKUP(tables_452010!C140,input_452010!A:H,8,FALSE))</f>
        <v>34960</v>
      </c>
      <c r="P140" s="46">
        <f t="shared" ca="1" si="7"/>
        <v>6.5517241378671776E-4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input_452010!A$2</f>
        <v>452010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IFERROR(VLOOKUP(B141,input_452010!L:R,7,FALSE),VLOOKUP(tables_452010!C141,input_452010!A:H,8,FALSE))</f>
        <v>18268.57143</v>
      </c>
      <c r="P141" s="46">
        <f t="shared" ca="1" si="7"/>
        <v>3.4236453204313991E-4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input_452010!A$2</f>
        <v>452010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IFERROR(VLOOKUP(B142,input_452010!L:R,7,FALSE),VLOOKUP(tables_452010!C142,input_452010!A:H,8,FALSE))</f>
        <v>34960</v>
      </c>
      <c r="P142" s="46">
        <f t="shared" ca="1" si="7"/>
        <v>6.5517241378671776E-4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input_452010!A$2</f>
        <v>452010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IFERROR(VLOOKUP(B143,input_452010!L:R,7,FALSE),VLOOKUP(tables_452010!C143,input_452010!A:H,8,FALSE))</f>
        <v>18268.57143</v>
      </c>
      <c r="P143" s="46">
        <f t="shared" ca="1" si="7"/>
        <v>3.4236453204313991E-4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input_452010!A$2</f>
        <v>452010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IFERROR(VLOOKUP(B144,input_452010!L:R,7,FALSE),VLOOKUP(tables_452010!C144,input_452010!A:H,8,FALSE))</f>
        <v>34960</v>
      </c>
      <c r="P144" s="46">
        <f t="shared" ca="1" si="7"/>
        <v>6.5517241378671776E-4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input_452010!A$2</f>
        <v>452010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IFERROR(VLOOKUP(B145,input_452010!L:R,7,FALSE),VLOOKUP(tables_452010!C145,input_452010!A:H,8,FALSE))</f>
        <v>18268.57143</v>
      </c>
      <c r="P145" s="46">
        <f t="shared" ca="1" si="7"/>
        <v>3.4236453204313991E-4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input_452010!A$2</f>
        <v>452010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IFERROR(VLOOKUP(B146,input_452010!L:R,7,FALSE),VLOOKUP(tables_452010!C146,input_452010!A:H,8,FALSE))</f>
        <v>272600</v>
      </c>
      <c r="P146" s="46">
        <f t="shared" ca="1" si="7"/>
        <v>5.1086956521241211E-3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input_452010!A$2</f>
        <v>452010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IFERROR(VLOOKUP(B147,input_452010!L:R,7,FALSE),VLOOKUP(tables_452010!C147,input_452010!A:H,8,FALSE))</f>
        <v>245340</v>
      </c>
      <c r="P147" s="46">
        <f t="shared" ca="1" si="7"/>
        <v>4.5978260869117089E-3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input_452010!A$2</f>
        <v>452010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IFERROR(VLOOKUP(B148,input_452010!L:R,7,FALSE),VLOOKUP(tables_452010!C148,input_452010!A:H,8,FALSE))</f>
        <v>3142.3076999999998</v>
      </c>
      <c r="P148" s="46">
        <f t="shared" ca="1" si="7"/>
        <v>5.8888824961944781E-5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input_452010!A$2</f>
        <v>452010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IFERROR(VLOOKUP(B149,input_452010!L:R,7,FALSE),VLOOKUP(tables_452010!C149,input_452010!A:H,8,FALSE))</f>
        <v>34960</v>
      </c>
      <c r="P149" s="46">
        <f t="shared" ca="1" si="7"/>
        <v>6.5517241378671776E-4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input_452010!A$2</f>
        <v>452010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IFERROR(VLOOKUP(B150,input_452010!L:R,7,FALSE),VLOOKUP(tables_452010!C150,input_452010!A:H,8,FALSE))</f>
        <v>18268.57143</v>
      </c>
      <c r="P150" s="46">
        <f t="shared" ca="1" si="7"/>
        <v>3.4236453204313991E-4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input_452010!A$2</f>
        <v>452010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IFERROR(VLOOKUP(B151,input_452010!L:R,7,FALSE),VLOOKUP(tables_452010!C151,input_452010!A:H,8,FALSE))</f>
        <v>34960</v>
      </c>
      <c r="P151" s="46">
        <f t="shared" ca="1" si="7"/>
        <v>6.5517241378671776E-4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input_452010!A$2</f>
        <v>452010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IFERROR(VLOOKUP(B152,input_452010!L:R,7,FALSE),VLOOKUP(tables_452010!C152,input_452010!A:H,8,FALSE))</f>
        <v>18268.57143</v>
      </c>
      <c r="P152" s="46">
        <f t="shared" ca="1" si="7"/>
        <v>3.4236453204313991E-4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input_452010!A$2</f>
        <v>452010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IFERROR(VLOOKUP(B153,input_452010!L:R,7,FALSE),VLOOKUP(tables_452010!C153,input_452010!A:H,8,FALSE))</f>
        <v>272600</v>
      </c>
      <c r="P153" s="46">
        <f t="shared" ca="1" si="7"/>
        <v>5.1086956521241211E-3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input_452010!A$2</f>
        <v>452010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IFERROR(VLOOKUP(B154,input_452010!L:R,7,FALSE),VLOOKUP(tables_452010!C154,input_452010!A:H,8,FALSE))</f>
        <v>245340</v>
      </c>
      <c r="P154" s="46">
        <f t="shared" ca="1" si="7"/>
        <v>4.5978260869117089E-3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input_452010!A$2</f>
        <v>452010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IFERROR(VLOOKUP(B155,input_452010!L:R,7,FALSE),VLOOKUP(tables_452010!C155,input_452010!A:H,8,FALSE))</f>
        <v>3142.3076999999998</v>
      </c>
      <c r="P155" s="46">
        <f t="shared" ca="1" si="7"/>
        <v>5.8888824961944781E-5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input_452010!A$2</f>
        <v>452010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IFERROR(VLOOKUP(B156,input_452010!L:R,7,FALSE),VLOOKUP(tables_452010!C156,input_452010!A:H,8,FALSE))</f>
        <v>34960</v>
      </c>
      <c r="P156" s="46">
        <f t="shared" ca="1" si="7"/>
        <v>6.5517241378671776E-4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input_452010!A$2</f>
        <v>452010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IFERROR(VLOOKUP(B157,input_452010!L:R,7,FALSE),VLOOKUP(tables_452010!C157,input_452010!A:H,8,FALSE))</f>
        <v>18268.57143</v>
      </c>
      <c r="P157" s="46">
        <f t="shared" ca="1" si="7"/>
        <v>3.4236453204313991E-4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input_452010!A$2</f>
        <v>452010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IFERROR(VLOOKUP(B158,input_452010!L:R,7,FALSE),VLOOKUP(tables_452010!C158,input_452010!A:H,8,FALSE))</f>
        <v>272600</v>
      </c>
      <c r="P158" s="46">
        <f t="shared" ca="1" si="7"/>
        <v>5.1086956521241211E-3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input_452010!A$2</f>
        <v>452010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IFERROR(VLOOKUP(B159,input_452010!L:R,7,FALSE),VLOOKUP(tables_452010!C159,input_452010!A:H,8,FALSE))</f>
        <v>245340</v>
      </c>
      <c r="P159" s="46">
        <f t="shared" ca="1" si="7"/>
        <v>4.5978260869117089E-3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input_452010!A$2</f>
        <v>452010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IFERROR(VLOOKUP(B160,input_452010!L:R,7,FALSE),VLOOKUP(tables_452010!C160,input_452010!A:H,8,FALSE))</f>
        <v>3142.3076999999998</v>
      </c>
      <c r="P160" s="46">
        <f t="shared" ca="1" si="7"/>
        <v>5.8888824961944781E-5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input_452010!A$2</f>
        <v>452010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IFERROR(VLOOKUP(B161,input_452010!L:R,7,FALSE),VLOOKUP(tables_452010!C161,input_452010!A:H,8,FALSE))</f>
        <v>272600</v>
      </c>
      <c r="P161" s="46">
        <f t="shared" ca="1" si="7"/>
        <v>5.1086956521241211E-3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input_452010!A$2</f>
        <v>452010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IFERROR(VLOOKUP(B162,input_452010!L:R,7,FALSE),VLOOKUP(tables_452010!C162,input_452010!A:H,8,FALSE))</f>
        <v>245340</v>
      </c>
      <c r="P162" s="46">
        <f t="shared" ca="1" si="7"/>
        <v>4.5978260869117089E-3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input_452010!A$2</f>
        <v>452010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IFERROR(VLOOKUP(B163,input_452010!L:R,7,FALSE),VLOOKUP(tables_452010!C163,input_452010!A:H,8,FALSE))</f>
        <v>3142.3076999999998</v>
      </c>
      <c r="P163" s="46">
        <f t="shared" ca="1" si="7"/>
        <v>5.8888824961944781E-5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input_452010!A$2</f>
        <v>452010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IFERROR(VLOOKUP(B164,input_452010!L:R,7,FALSE),VLOOKUP(tables_452010!C164,input_452010!A:H,8,FALSE))</f>
        <v>34960</v>
      </c>
      <c r="P164" s="46">
        <f t="shared" ca="1" si="7"/>
        <v>6.5517241378671776E-4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input_452010!A$2</f>
        <v>452010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IFERROR(VLOOKUP(B165,input_452010!L:R,7,FALSE),VLOOKUP(tables_452010!C165,input_452010!A:H,8,FALSE))</f>
        <v>18268.57143</v>
      </c>
      <c r="P165" s="46">
        <f t="shared" ca="1" si="7"/>
        <v>3.4236453204313991E-4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input_452010!A$2</f>
        <v>452010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IFERROR(VLOOKUP(B166,input_452010!L:R,7,FALSE),VLOOKUP(tables_452010!C166,input_452010!A:H,8,FALSE))</f>
        <v>272600</v>
      </c>
      <c r="P166" s="46">
        <f t="shared" ca="1" si="7"/>
        <v>5.1086956521241211E-3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input_452010!A$2</f>
        <v>452010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IFERROR(VLOOKUP(B167,input_452010!L:R,7,FALSE),VLOOKUP(tables_452010!C167,input_452010!A:H,8,FALSE))</f>
        <v>245340</v>
      </c>
      <c r="P167" s="46">
        <f t="shared" ca="1" si="7"/>
        <v>4.5978260869117089E-3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input_452010!A$2</f>
        <v>452010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IFERROR(VLOOKUP(B168,input_452010!L:R,7,FALSE),VLOOKUP(tables_452010!C168,input_452010!A:H,8,FALSE))</f>
        <v>3142.3076999999998</v>
      </c>
      <c r="P168" s="46">
        <f t="shared" ca="1" si="7"/>
        <v>5.8888824961944781E-5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input_452010!A$2</f>
        <v>452010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IFERROR(VLOOKUP(B169,input_452010!L:R,7,FALSE),VLOOKUP(tables_452010!C169,input_452010!A:H,8,FALSE))</f>
        <v>34960</v>
      </c>
      <c r="P169" s="46">
        <f t="shared" ca="1" si="7"/>
        <v>6.5517241378671776E-4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input_452010!A$2</f>
        <v>452010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IFERROR(VLOOKUP(B170,input_452010!L:R,7,FALSE),VLOOKUP(tables_452010!C170,input_452010!A:H,8,FALSE))</f>
        <v>18268.57143</v>
      </c>
      <c r="P170" s="46">
        <f t="shared" ca="1" si="7"/>
        <v>3.4236453204313991E-4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input_452010!A$2</f>
        <v>452010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IFERROR(VLOOKUP(B171,input_452010!L:R,7,FALSE),VLOOKUP(tables_452010!C171,input_452010!A:H,8,FALSE))</f>
        <v>272600</v>
      </c>
      <c r="P171" s="46">
        <f t="shared" ca="1" si="7"/>
        <v>5.1086956521241211E-3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input_452010!A$2</f>
        <v>452010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IFERROR(VLOOKUP(B172,input_452010!L:R,7,FALSE),VLOOKUP(tables_452010!C172,input_452010!A:H,8,FALSE))</f>
        <v>245340</v>
      </c>
      <c r="P172" s="46">
        <f t="shared" ca="1" si="7"/>
        <v>4.5978260869117089E-3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input_452010!A$2</f>
        <v>452010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IFERROR(VLOOKUP(B173,input_452010!L:R,7,FALSE),VLOOKUP(tables_452010!C173,input_452010!A:H,8,FALSE))</f>
        <v>3142.3076999999998</v>
      </c>
      <c r="P173" s="46">
        <f t="shared" ca="1" si="7"/>
        <v>5.8888824961944781E-5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input_452010!A$2</f>
        <v>452010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IFERROR(VLOOKUP(B174,input_452010!L:R,7,FALSE),VLOOKUP(tables_452010!C174,input_452010!A:H,8,FALSE))</f>
        <v>34960</v>
      </c>
      <c r="P174" s="46">
        <f t="shared" ca="1" si="7"/>
        <v>6.5517241378671776E-4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input_452010!A$2</f>
        <v>452010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IFERROR(VLOOKUP(B175,input_452010!L:R,7,FALSE),VLOOKUP(tables_452010!C175,input_452010!A:H,8,FALSE))</f>
        <v>18268.57143</v>
      </c>
      <c r="P175" s="46">
        <f t="shared" ca="1" si="7"/>
        <v>3.4236453204313991E-4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input_452010!A$2</f>
        <v>452010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IFERROR(VLOOKUP(B176,input_452010!L:R,7,FALSE),VLOOKUP(tables_452010!C176,input_452010!A:H,8,FALSE))</f>
        <v>34960</v>
      </c>
      <c r="P176" s="46">
        <f t="shared" ca="1" si="7"/>
        <v>6.5517241378671776E-4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input_452010!A$2</f>
        <v>452010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IFERROR(VLOOKUP(B177,input_452010!L:R,7,FALSE),VLOOKUP(tables_452010!C177,input_452010!A:H,8,FALSE))</f>
        <v>18268.57143</v>
      </c>
      <c r="P177" s="46">
        <f t="shared" ca="1" si="7"/>
        <v>3.4236453204313991E-4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input_452010!A$2</f>
        <v>452010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IFERROR(VLOOKUP(B178,input_452010!L:R,7,FALSE),VLOOKUP(tables_452010!C178,input_452010!A:H,8,FALSE))</f>
        <v>272600</v>
      </c>
      <c r="P178" s="46">
        <f t="shared" ca="1" si="7"/>
        <v>5.1086956521241211E-3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input_452010!A$2</f>
        <v>452010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IFERROR(VLOOKUP(B179,input_452010!L:R,7,FALSE),VLOOKUP(tables_452010!C179,input_452010!A:H,8,FALSE))</f>
        <v>245340</v>
      </c>
      <c r="P179" s="46">
        <f t="shared" ca="1" si="7"/>
        <v>4.5978260869117089E-3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input_452010!A$2</f>
        <v>452010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IFERROR(VLOOKUP(B180,input_452010!L:R,7,FALSE),VLOOKUP(tables_452010!C180,input_452010!A:H,8,FALSE))</f>
        <v>3142.3076999999998</v>
      </c>
      <c r="P180" s="46">
        <f t="shared" ca="1" si="7"/>
        <v>5.8888824961944781E-5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input_452010!A$2</f>
        <v>452010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IFERROR(VLOOKUP(B181,input_452010!L:R,7,FALSE),VLOOKUP(tables_452010!C181,input_452010!A:H,8,FALSE))</f>
        <v>272600</v>
      </c>
      <c r="P181" s="46">
        <f t="shared" ca="1" si="7"/>
        <v>5.1086956521241211E-3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input_452010!A$2</f>
        <v>452010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IFERROR(VLOOKUP(B182,input_452010!L:R,7,FALSE),VLOOKUP(tables_452010!C182,input_452010!A:H,8,FALSE))</f>
        <v>245340</v>
      </c>
      <c r="P182" s="46">
        <f t="shared" ca="1" si="7"/>
        <v>4.5978260869117089E-3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input_452010!A$2</f>
        <v>452010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IFERROR(VLOOKUP(B183,input_452010!L:R,7,FALSE),VLOOKUP(tables_452010!C183,input_452010!A:H,8,FALSE))</f>
        <v>3142.3076999999998</v>
      </c>
      <c r="P183" s="46">
        <f t="shared" ca="1" si="7"/>
        <v>5.8888824961944781E-5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input_452010!A$2</f>
        <v>452010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IFERROR(VLOOKUP(B184,input_452010!L:R,7,FALSE),VLOOKUP(tables_452010!C184,input_452010!A:H,8,FALSE))</f>
        <v>34960</v>
      </c>
      <c r="P184" s="46">
        <f t="shared" ca="1" si="7"/>
        <v>6.5517241378671776E-4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input_452010!A$2</f>
        <v>452010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IFERROR(VLOOKUP(B185,input_452010!L:R,7,FALSE),VLOOKUP(tables_452010!C185,input_452010!A:H,8,FALSE))</f>
        <v>18268.57143</v>
      </c>
      <c r="P185" s="46">
        <f t="shared" ca="1" si="7"/>
        <v>3.4236453204313991E-4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input_452010!A$2</f>
        <v>452010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IFERROR(VLOOKUP(B186,input_452010!L:R,7,FALSE),VLOOKUP(tables_452010!C186,input_452010!A:H,8,FALSE))</f>
        <v>272600</v>
      </c>
      <c r="P186" s="46">
        <f t="shared" ca="1" si="7"/>
        <v>5.1086956521241211E-3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input_452010!A$2</f>
        <v>452010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IFERROR(VLOOKUP(B187,input_452010!L:R,7,FALSE),VLOOKUP(tables_452010!C187,input_452010!A:H,8,FALSE))</f>
        <v>245340</v>
      </c>
      <c r="P187" s="46">
        <f t="shared" ca="1" si="7"/>
        <v>4.5978260869117089E-3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input_452010!A$2</f>
        <v>452010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IFERROR(VLOOKUP(B188,input_452010!L:R,7,FALSE),VLOOKUP(tables_452010!C188,input_452010!A:H,8,FALSE))</f>
        <v>3142.3076999999998</v>
      </c>
      <c r="P188" s="46">
        <f t="shared" ca="1" si="7"/>
        <v>5.8888824961944781E-5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input_452010!A$2</f>
        <v>452010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IFERROR(VLOOKUP(B189,input_452010!L:R,7,FALSE),VLOOKUP(tables_452010!C189,input_452010!A:H,8,FALSE))</f>
        <v>34960</v>
      </c>
      <c r="P189" s="46">
        <f t="shared" ca="1" si="7"/>
        <v>6.5517241378671776E-4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input_452010!A$2</f>
        <v>452010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IFERROR(VLOOKUP(B190,input_452010!L:R,7,FALSE),VLOOKUP(tables_452010!C190,input_452010!A:H,8,FALSE))</f>
        <v>18268.57143</v>
      </c>
      <c r="P190" s="46">
        <f t="shared" ca="1" si="7"/>
        <v>3.4236453204313991E-4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input_452010!A$2</f>
        <v>452010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IFERROR(VLOOKUP(B191,input_452010!L:R,7,FALSE),VLOOKUP(tables_452010!C191,input_452010!A:H,8,FALSE))</f>
        <v>34960</v>
      </c>
      <c r="P191" s="46">
        <f t="shared" ca="1" si="7"/>
        <v>6.5517241378671776E-4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input_452010!A$2</f>
        <v>452010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IFERROR(VLOOKUP(B192,input_452010!L:R,7,FALSE),VLOOKUP(tables_452010!C192,input_452010!A:H,8,FALSE))</f>
        <v>18268.57143</v>
      </c>
      <c r="P192" s="46">
        <f t="shared" ca="1" si="7"/>
        <v>3.4236453204313991E-4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input_452010!A$2</f>
        <v>452010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IFERROR(VLOOKUP(B193,input_452010!L:R,7,FALSE),VLOOKUP(tables_452010!C193,input_452010!A:H,8,FALSE))</f>
        <v>272600</v>
      </c>
      <c r="P193" s="46">
        <f t="shared" ca="1" si="7"/>
        <v>5.1086956521241211E-3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input_452010!A$2</f>
        <v>452010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IFERROR(VLOOKUP(B194,input_452010!L:R,7,FALSE),VLOOKUP(tables_452010!C194,input_452010!A:H,8,FALSE))</f>
        <v>245340</v>
      </c>
      <c r="P194" s="46">
        <f t="shared" ref="P194:P257" ca="1" si="10">O194/SUM(O:O)</f>
        <v>4.5978260869117089E-3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input_452010!A$2</f>
        <v>452010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IFERROR(VLOOKUP(B195,input_452010!L:R,7,FALSE),VLOOKUP(tables_452010!C195,input_452010!A:H,8,FALSE))</f>
        <v>3142.3076999999998</v>
      </c>
      <c r="P195" s="46">
        <f t="shared" ca="1" si="10"/>
        <v>5.8888824961944781E-5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input_452010!A$2</f>
        <v>452010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IFERROR(VLOOKUP(B196,input_452010!L:R,7,FALSE),VLOOKUP(tables_452010!C196,input_452010!A:H,8,FALSE))</f>
        <v>34960</v>
      </c>
      <c r="P196" s="46">
        <f t="shared" ca="1" si="10"/>
        <v>6.5517241378671776E-4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input_452010!A$2</f>
        <v>452010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IFERROR(VLOOKUP(B197,input_452010!L:R,7,FALSE),VLOOKUP(tables_452010!C197,input_452010!A:H,8,FALSE))</f>
        <v>18268.57143</v>
      </c>
      <c r="P197" s="46">
        <f t="shared" ca="1" si="10"/>
        <v>3.4236453204313991E-4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input_452010!A$2</f>
        <v>452010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IFERROR(VLOOKUP(B198,input_452010!L:R,7,FALSE),VLOOKUP(tables_452010!C198,input_452010!A:H,8,FALSE))</f>
        <v>272600</v>
      </c>
      <c r="P198" s="46">
        <f t="shared" ca="1" si="10"/>
        <v>5.1086956521241211E-3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input_452010!A$2</f>
        <v>452010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IFERROR(VLOOKUP(B199,input_452010!L:R,7,FALSE),VLOOKUP(tables_452010!C199,input_452010!A:H,8,FALSE))</f>
        <v>245340</v>
      </c>
      <c r="P199" s="46">
        <f t="shared" ca="1" si="10"/>
        <v>4.5978260869117089E-3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input_452010!A$2</f>
        <v>452010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IFERROR(VLOOKUP(B200,input_452010!L:R,7,FALSE),VLOOKUP(tables_452010!C200,input_452010!A:H,8,FALSE))</f>
        <v>3142.3076999999998</v>
      </c>
      <c r="P200" s="46">
        <f t="shared" ca="1" si="10"/>
        <v>5.8888824961944781E-5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input_452010!A$2</f>
        <v>452010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IFERROR(VLOOKUP(B201,input_452010!L:R,7,FALSE),VLOOKUP(tables_452010!C201,input_452010!A:H,8,FALSE))</f>
        <v>34960</v>
      </c>
      <c r="P201" s="46">
        <f t="shared" ca="1" si="10"/>
        <v>6.5517241378671776E-4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input_452010!A$2</f>
        <v>452010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IFERROR(VLOOKUP(B202,input_452010!L:R,7,FALSE),VLOOKUP(tables_452010!C202,input_452010!A:H,8,FALSE))</f>
        <v>18268.57143</v>
      </c>
      <c r="P202" s="46">
        <f t="shared" ca="1" si="10"/>
        <v>3.4236453204313991E-4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input_452010!A$2</f>
        <v>452010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IFERROR(VLOOKUP(B203,input_452010!L:R,7,FALSE),VLOOKUP(tables_452010!C203,input_452010!A:H,8,FALSE))</f>
        <v>272600</v>
      </c>
      <c r="P203" s="46">
        <f t="shared" ca="1" si="10"/>
        <v>5.1086956521241211E-3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input_452010!A$2</f>
        <v>452010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IFERROR(VLOOKUP(B204,input_452010!L:R,7,FALSE),VLOOKUP(tables_452010!C204,input_452010!A:H,8,FALSE))</f>
        <v>245340</v>
      </c>
      <c r="P204" s="46">
        <f t="shared" ca="1" si="10"/>
        <v>4.5978260869117089E-3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input_452010!A$2</f>
        <v>452010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IFERROR(VLOOKUP(B205,input_452010!L:R,7,FALSE),VLOOKUP(tables_452010!C205,input_452010!A:H,8,FALSE))</f>
        <v>3142.3076999999998</v>
      </c>
      <c r="P205" s="46">
        <f t="shared" ca="1" si="10"/>
        <v>5.8888824961944781E-5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input_452010!A$2</f>
        <v>452010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IFERROR(VLOOKUP(B206,input_452010!L:R,7,FALSE),VLOOKUP(tables_452010!C206,input_452010!A:H,8,FALSE))</f>
        <v>34960</v>
      </c>
      <c r="P206" s="46">
        <f t="shared" ca="1" si="10"/>
        <v>6.5517241378671776E-4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input_452010!A$2</f>
        <v>452010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IFERROR(VLOOKUP(B207,input_452010!L:R,7,FALSE),VLOOKUP(tables_452010!C207,input_452010!A:H,8,FALSE))</f>
        <v>18268.57143</v>
      </c>
      <c r="P207" s="46">
        <f t="shared" ca="1" si="10"/>
        <v>3.4236453204313991E-4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input_452010!A$2</f>
        <v>452010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IFERROR(VLOOKUP(B208,input_452010!L:R,7,FALSE),VLOOKUP(tables_452010!C208,input_452010!A:H,8,FALSE))</f>
        <v>34960</v>
      </c>
      <c r="P208" s="46">
        <f t="shared" ca="1" si="10"/>
        <v>6.5517241378671776E-4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input_452010!A$2</f>
        <v>452010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IFERROR(VLOOKUP(B209,input_452010!L:R,7,FALSE),VLOOKUP(tables_452010!C209,input_452010!A:H,8,FALSE))</f>
        <v>18268.57143</v>
      </c>
      <c r="P209" s="46">
        <f t="shared" ca="1" si="10"/>
        <v>3.4236453204313991E-4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input_452010!A$2</f>
        <v>452010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IFERROR(VLOOKUP(B210,input_452010!L:R,7,FALSE),VLOOKUP(tables_452010!C210,input_452010!A:H,8,FALSE))</f>
        <v>272600</v>
      </c>
      <c r="P210" s="46">
        <f t="shared" ca="1" si="10"/>
        <v>5.1086956521241211E-3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input_452010!A$2</f>
        <v>452010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IFERROR(VLOOKUP(B211,input_452010!L:R,7,FALSE),VLOOKUP(tables_452010!C211,input_452010!A:H,8,FALSE))</f>
        <v>245340</v>
      </c>
      <c r="P211" s="46">
        <f t="shared" ca="1" si="10"/>
        <v>4.5978260869117089E-3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input_452010!A$2</f>
        <v>452010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IFERROR(VLOOKUP(B212,input_452010!L:R,7,FALSE),VLOOKUP(tables_452010!C212,input_452010!A:H,8,FALSE))</f>
        <v>3142.3076999999998</v>
      </c>
      <c r="P212" s="46">
        <f t="shared" ca="1" si="10"/>
        <v>5.8888824961944781E-5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input_452010!A$2</f>
        <v>452010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IFERROR(VLOOKUP(B213,input_452010!L:R,7,FALSE),VLOOKUP(tables_452010!C213,input_452010!A:H,8,FALSE))</f>
        <v>34960</v>
      </c>
      <c r="P213" s="46">
        <f t="shared" ca="1" si="10"/>
        <v>6.5517241378671776E-4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input_452010!A$2</f>
        <v>452010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IFERROR(VLOOKUP(B214,input_452010!L:R,7,FALSE),VLOOKUP(tables_452010!C214,input_452010!A:H,8,FALSE))</f>
        <v>18268.57143</v>
      </c>
      <c r="P214" s="46">
        <f t="shared" ca="1" si="10"/>
        <v>3.4236453204313991E-4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input_452010!A$2</f>
        <v>452010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IFERROR(VLOOKUP(B215,input_452010!L:R,7,FALSE),VLOOKUP(tables_452010!C215,input_452010!A:H,8,FALSE))</f>
        <v>7856.3636399999996</v>
      </c>
      <c r="P215" s="46">
        <f t="shared" ca="1" si="10"/>
        <v>1.4723320164774039E-4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input_452010!A$2</f>
        <v>452010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IFERROR(VLOOKUP(B216,input_452010!L:R,7,FALSE),VLOOKUP(tables_452010!C216,input_452010!A:H,8,FALSE))</f>
        <v>7856.3636399999996</v>
      </c>
      <c r="P216" s="46">
        <f t="shared" ca="1" si="10"/>
        <v>1.4723320164774039E-4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input_452010!A$2</f>
        <v>452010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IFERROR(VLOOKUP(B217,input_452010!L:R,7,FALSE),VLOOKUP(tables_452010!C217,input_452010!A:H,8,FALSE))</f>
        <v>7856.3636399999996</v>
      </c>
      <c r="P217" s="46">
        <f t="shared" ca="1" si="10"/>
        <v>1.4723320164774039E-4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input_452010!A$2</f>
        <v>452010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IFERROR(VLOOKUP(B218,input_452010!L:R,7,FALSE),VLOOKUP(tables_452010!C218,input_452010!A:H,8,FALSE))</f>
        <v>7856.3636399999996</v>
      </c>
      <c r="P218" s="46">
        <f t="shared" ca="1" si="10"/>
        <v>1.4723320164774039E-4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input_452010!A$2</f>
        <v>452010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IFERROR(VLOOKUP(B219,input_452010!L:R,7,FALSE),VLOOKUP(tables_452010!C219,input_452010!A:H,8,FALSE))</f>
        <v>7856.3636399999996</v>
      </c>
      <c r="P219" s="46">
        <f t="shared" ca="1" si="10"/>
        <v>1.4723320164774039E-4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input_452010!A$2</f>
        <v>452010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IFERROR(VLOOKUP(B220,input_452010!L:R,7,FALSE),VLOOKUP(tables_452010!C220,input_452010!A:H,8,FALSE))</f>
        <v>7856.3636399999996</v>
      </c>
      <c r="P220" s="46">
        <f t="shared" ca="1" si="10"/>
        <v>1.4723320164774039E-4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input_452010!A$2</f>
        <v>452010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IFERROR(VLOOKUP(B221,input_452010!L:R,7,FALSE),VLOOKUP(tables_452010!C221,input_452010!A:H,8,FALSE))</f>
        <v>34960</v>
      </c>
      <c r="P221" s="46">
        <f t="shared" ca="1" si="10"/>
        <v>6.5517241378671776E-4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input_452010!A$2</f>
        <v>452010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IFERROR(VLOOKUP(B222,input_452010!L:R,7,FALSE),VLOOKUP(tables_452010!C222,input_452010!A:H,8,FALSE))</f>
        <v>18268.57143</v>
      </c>
      <c r="P222" s="46">
        <f t="shared" ca="1" si="10"/>
        <v>3.4236453204313991E-4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input_452010!A$2</f>
        <v>452010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IFERROR(VLOOKUP(B223,input_452010!L:R,7,FALSE),VLOOKUP(tables_452010!C223,input_452010!A:H,8,FALSE))</f>
        <v>272600</v>
      </c>
      <c r="P223" s="46">
        <f t="shared" ca="1" si="10"/>
        <v>5.1086956521241211E-3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input_452010!A$2</f>
        <v>452010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IFERROR(VLOOKUP(B224,input_452010!L:R,7,FALSE),VLOOKUP(tables_452010!C224,input_452010!A:H,8,FALSE))</f>
        <v>245340</v>
      </c>
      <c r="P224" s="46">
        <f t="shared" ca="1" si="10"/>
        <v>4.5978260869117089E-3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input_452010!A$2</f>
        <v>452010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IFERROR(VLOOKUP(B225,input_452010!L:R,7,FALSE),VLOOKUP(tables_452010!C225,input_452010!A:H,8,FALSE))</f>
        <v>3142.3076999999998</v>
      </c>
      <c r="P225" s="46">
        <f t="shared" ca="1" si="10"/>
        <v>5.8888824961944781E-5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input_452010!A$2</f>
        <v>452010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IFERROR(VLOOKUP(B226,input_452010!L:R,7,FALSE),VLOOKUP(tables_452010!C226,input_452010!A:H,8,FALSE))</f>
        <v>272600</v>
      </c>
      <c r="P226" s="46">
        <f t="shared" ca="1" si="10"/>
        <v>5.1086956521241211E-3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input_452010!A$2</f>
        <v>452010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IFERROR(VLOOKUP(B227,input_452010!L:R,7,FALSE),VLOOKUP(tables_452010!C227,input_452010!A:H,8,FALSE))</f>
        <v>245340</v>
      </c>
      <c r="P227" s="46">
        <f t="shared" ca="1" si="10"/>
        <v>4.5978260869117089E-3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input_452010!A$2</f>
        <v>452010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IFERROR(VLOOKUP(B228,input_452010!L:R,7,FALSE),VLOOKUP(tables_452010!C228,input_452010!A:H,8,FALSE))</f>
        <v>3142.3076999999998</v>
      </c>
      <c r="P228" s="46">
        <f t="shared" ca="1" si="10"/>
        <v>5.8888824961944781E-5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input_452010!A$2</f>
        <v>452010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IFERROR(VLOOKUP(B229,input_452010!L:R,7,FALSE),VLOOKUP(tables_452010!C229,input_452010!A:H,8,FALSE))</f>
        <v>34960</v>
      </c>
      <c r="P229" s="46">
        <f t="shared" ca="1" si="10"/>
        <v>6.5517241378671776E-4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input_452010!A$2</f>
        <v>452010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IFERROR(VLOOKUP(B230,input_452010!L:R,7,FALSE),VLOOKUP(tables_452010!C230,input_452010!A:H,8,FALSE))</f>
        <v>18268.57143</v>
      </c>
      <c r="P230" s="46">
        <f t="shared" ca="1" si="10"/>
        <v>3.4236453204313991E-4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input_452010!A$2</f>
        <v>452010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IFERROR(VLOOKUP(B231,input_452010!L:R,7,FALSE),VLOOKUP(tables_452010!C231,input_452010!A:H,8,FALSE))</f>
        <v>272600</v>
      </c>
      <c r="P231" s="46">
        <f t="shared" ca="1" si="10"/>
        <v>5.1086956521241211E-3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input_452010!A$2</f>
        <v>452010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IFERROR(VLOOKUP(B232,input_452010!L:R,7,FALSE),VLOOKUP(tables_452010!C232,input_452010!A:H,8,FALSE))</f>
        <v>245340</v>
      </c>
      <c r="P232" s="46">
        <f t="shared" ca="1" si="10"/>
        <v>4.5978260869117089E-3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input_452010!A$2</f>
        <v>452010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IFERROR(VLOOKUP(B233,input_452010!L:R,7,FALSE),VLOOKUP(tables_452010!C233,input_452010!A:H,8,FALSE))</f>
        <v>3142.3076999999998</v>
      </c>
      <c r="P233" s="46">
        <f t="shared" ca="1" si="10"/>
        <v>5.8888824961944781E-5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input_452010!A$2</f>
        <v>452010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IFERROR(VLOOKUP(B234,input_452010!L:R,7,FALSE),VLOOKUP(tables_452010!C234,input_452010!A:H,8,FALSE))</f>
        <v>272600</v>
      </c>
      <c r="P234" s="46">
        <f t="shared" ca="1" si="10"/>
        <v>5.1086956521241211E-3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input_452010!A$2</f>
        <v>452010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IFERROR(VLOOKUP(B235,input_452010!L:R,7,FALSE),VLOOKUP(tables_452010!C235,input_452010!A:H,8,FALSE))</f>
        <v>245340</v>
      </c>
      <c r="P235" s="46">
        <f t="shared" ca="1" si="10"/>
        <v>4.5978260869117089E-3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input_452010!A$2</f>
        <v>452010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IFERROR(VLOOKUP(B236,input_452010!L:R,7,FALSE),VLOOKUP(tables_452010!C236,input_452010!A:H,8,FALSE))</f>
        <v>3142.3076999999998</v>
      </c>
      <c r="P236" s="46">
        <f t="shared" ca="1" si="10"/>
        <v>5.8888824961944781E-5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input_452010!A$2</f>
        <v>452010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IFERROR(VLOOKUP(B237,input_452010!L:R,7,FALSE),VLOOKUP(tables_452010!C237,input_452010!A:H,8,FALSE))</f>
        <v>34960</v>
      </c>
      <c r="P237" s="46">
        <f t="shared" ca="1" si="10"/>
        <v>6.5517241378671776E-4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input_452010!A$2</f>
        <v>452010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IFERROR(VLOOKUP(B238,input_452010!L:R,7,FALSE),VLOOKUP(tables_452010!C238,input_452010!A:H,8,FALSE))</f>
        <v>18268.57143</v>
      </c>
      <c r="P238" s="46">
        <f t="shared" ca="1" si="10"/>
        <v>3.4236453204313991E-4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input_452010!A$2</f>
        <v>452010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IFERROR(VLOOKUP(B239,input_452010!L:R,7,FALSE),VLOOKUP(tables_452010!C239,input_452010!A:H,8,FALSE))</f>
        <v>272600</v>
      </c>
      <c r="P239" s="46">
        <f t="shared" ca="1" si="10"/>
        <v>5.1086956521241211E-3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input_452010!A$2</f>
        <v>452010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IFERROR(VLOOKUP(B240,input_452010!L:R,7,FALSE),VLOOKUP(tables_452010!C240,input_452010!A:H,8,FALSE))</f>
        <v>245340</v>
      </c>
      <c r="P240" s="46">
        <f t="shared" ca="1" si="10"/>
        <v>4.5978260869117089E-3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input_452010!A$2</f>
        <v>452010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IFERROR(VLOOKUP(B241,input_452010!L:R,7,FALSE),VLOOKUP(tables_452010!C241,input_452010!A:H,8,FALSE))</f>
        <v>3142.3076999999998</v>
      </c>
      <c r="P241" s="46">
        <f t="shared" ca="1" si="10"/>
        <v>5.8888824961944781E-5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input_452010!A$2</f>
        <v>452010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IFERROR(VLOOKUP(B242,input_452010!L:R,7,FALSE),VLOOKUP(tables_452010!C242,input_452010!A:H,8,FALSE))</f>
        <v>34960</v>
      </c>
      <c r="P242" s="46">
        <f t="shared" ca="1" si="10"/>
        <v>6.5517241378671776E-4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input_452010!A$2</f>
        <v>452010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IFERROR(VLOOKUP(B243,input_452010!L:R,7,FALSE),VLOOKUP(tables_452010!C243,input_452010!A:H,8,FALSE))</f>
        <v>18268.57143</v>
      </c>
      <c r="P243" s="46">
        <f t="shared" ca="1" si="10"/>
        <v>3.4236453204313991E-4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input_452010!A$2</f>
        <v>452010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IFERROR(VLOOKUP(B244,input_452010!L:R,7,FALSE),VLOOKUP(tables_452010!C244,input_452010!A:H,8,FALSE))</f>
        <v>34960</v>
      </c>
      <c r="P244" s="46">
        <f t="shared" ca="1" si="10"/>
        <v>6.5517241378671776E-4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input_452010!A$2</f>
        <v>452010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IFERROR(VLOOKUP(B245,input_452010!L:R,7,FALSE),VLOOKUP(tables_452010!C245,input_452010!A:H,8,FALSE))</f>
        <v>18268.57143</v>
      </c>
      <c r="P245" s="46">
        <f t="shared" ca="1" si="10"/>
        <v>3.4236453204313991E-4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input_452010!A$2</f>
        <v>452010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IFERROR(VLOOKUP(B246,input_452010!L:R,7,FALSE),VLOOKUP(tables_452010!C246,input_452010!A:H,8,FALSE))</f>
        <v>272600</v>
      </c>
      <c r="P246" s="46">
        <f t="shared" ca="1" si="10"/>
        <v>5.1086956521241211E-3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input_452010!A$2</f>
        <v>452010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IFERROR(VLOOKUP(B247,input_452010!L:R,7,FALSE),VLOOKUP(tables_452010!C247,input_452010!A:H,8,FALSE))</f>
        <v>245340</v>
      </c>
      <c r="P247" s="46">
        <f t="shared" ca="1" si="10"/>
        <v>4.5978260869117089E-3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input_452010!A$2</f>
        <v>452010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IFERROR(VLOOKUP(B248,input_452010!L:R,7,FALSE),VLOOKUP(tables_452010!C248,input_452010!A:H,8,FALSE))</f>
        <v>3142.3076999999998</v>
      </c>
      <c r="P248" s="46">
        <f t="shared" ca="1" si="10"/>
        <v>5.8888824961944781E-5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input_452010!A$2</f>
        <v>452010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IFERROR(VLOOKUP(B249,input_452010!L:R,7,FALSE),VLOOKUP(tables_452010!C249,input_452010!A:H,8,FALSE))</f>
        <v>272600</v>
      </c>
      <c r="P249" s="46">
        <f t="shared" ca="1" si="10"/>
        <v>5.1086956521241211E-3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input_452010!A$2</f>
        <v>452010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IFERROR(VLOOKUP(B250,input_452010!L:R,7,FALSE),VLOOKUP(tables_452010!C250,input_452010!A:H,8,FALSE))</f>
        <v>245340</v>
      </c>
      <c r="P250" s="46">
        <f t="shared" ca="1" si="10"/>
        <v>4.5978260869117089E-3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input_452010!A$2</f>
        <v>452010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IFERROR(VLOOKUP(B251,input_452010!L:R,7,FALSE),VLOOKUP(tables_452010!C251,input_452010!A:H,8,FALSE))</f>
        <v>3142.3076999999998</v>
      </c>
      <c r="P251" s="46">
        <f t="shared" ca="1" si="10"/>
        <v>5.8888824961944781E-5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input_452010!A$2</f>
        <v>452010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IFERROR(VLOOKUP(B252,input_452010!L:R,7,FALSE),VLOOKUP(tables_452010!C252,input_452010!A:H,8,FALSE))</f>
        <v>272600</v>
      </c>
      <c r="P252" s="46">
        <f t="shared" ca="1" si="10"/>
        <v>5.1086956521241211E-3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input_452010!A$2</f>
        <v>452010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IFERROR(VLOOKUP(B253,input_452010!L:R,7,FALSE),VLOOKUP(tables_452010!C253,input_452010!A:H,8,FALSE))</f>
        <v>245340</v>
      </c>
      <c r="P253" s="46">
        <f t="shared" ca="1" si="10"/>
        <v>4.5978260869117089E-3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input_452010!A$2</f>
        <v>452010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IFERROR(VLOOKUP(B254,input_452010!L:R,7,FALSE),VLOOKUP(tables_452010!C254,input_452010!A:H,8,FALSE))</f>
        <v>3142.3076999999998</v>
      </c>
      <c r="P254" s="46">
        <f t="shared" ca="1" si="10"/>
        <v>5.8888824961944781E-5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input_452010!A$2</f>
        <v>452010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IFERROR(VLOOKUP(B255,input_452010!L:R,7,FALSE),VLOOKUP(tables_452010!C255,input_452010!A:H,8,FALSE))</f>
        <v>272600</v>
      </c>
      <c r="P255" s="46">
        <f t="shared" ca="1" si="10"/>
        <v>5.1086956521241211E-3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input_452010!A$2</f>
        <v>452010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IFERROR(VLOOKUP(B256,input_452010!L:R,7,FALSE),VLOOKUP(tables_452010!C256,input_452010!A:H,8,FALSE))</f>
        <v>245340</v>
      </c>
      <c r="P256" s="46">
        <f t="shared" ca="1" si="10"/>
        <v>4.5978260869117089E-3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input_452010!A$2</f>
        <v>452010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IFERROR(VLOOKUP(B257,input_452010!L:R,7,FALSE),VLOOKUP(tables_452010!C257,input_452010!A:H,8,FALSE))</f>
        <v>3142.3076999999998</v>
      </c>
      <c r="P257" s="46">
        <f t="shared" ca="1" si="10"/>
        <v>5.8888824961944781E-5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input_452010!A$2</f>
        <v>452010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IFERROR(VLOOKUP(B258,input_452010!L:R,7,FALSE),VLOOKUP(tables_452010!C258,input_452010!A:H,8,FALSE))</f>
        <v>34960</v>
      </c>
      <c r="P258" s="46">
        <f t="shared" ref="P258:P321" ca="1" si="13">O258/SUM(O:O)</f>
        <v>6.5517241378671776E-4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input_452010!A$2</f>
        <v>452010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IFERROR(VLOOKUP(B259,input_452010!L:R,7,FALSE),VLOOKUP(tables_452010!C259,input_452010!A:H,8,FALSE))</f>
        <v>18268.57143</v>
      </c>
      <c r="P259" s="46">
        <f t="shared" ca="1" si="13"/>
        <v>3.4236453204313991E-4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input_452010!A$2</f>
        <v>452010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IFERROR(VLOOKUP(B260,input_452010!L:R,7,FALSE),VLOOKUP(tables_452010!C260,input_452010!A:H,8,FALSE))</f>
        <v>34960</v>
      </c>
      <c r="P260" s="46">
        <f t="shared" ca="1" si="13"/>
        <v>6.5517241378671776E-4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input_452010!A$2</f>
        <v>452010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IFERROR(VLOOKUP(B261,input_452010!L:R,7,FALSE),VLOOKUP(tables_452010!C261,input_452010!A:H,8,FALSE))</f>
        <v>18268.57143</v>
      </c>
      <c r="P261" s="46">
        <f t="shared" ca="1" si="13"/>
        <v>3.4236453204313991E-4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input_452010!A$2</f>
        <v>452010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IFERROR(VLOOKUP(B262,input_452010!L:R,7,FALSE),VLOOKUP(tables_452010!C262,input_452010!A:H,8,FALSE))</f>
        <v>534397.5</v>
      </c>
      <c r="P262" s="46">
        <f t="shared" ca="1" si="13"/>
        <v>1.0014945652076302E-2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input_452010!A$2</f>
        <v>452010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IFERROR(VLOOKUP(B263,input_452010!L:R,7,FALSE),VLOOKUP(tables_452010!C263,input_452010!A:H,8,FALSE))</f>
        <v>7856.3636399999996</v>
      </c>
      <c r="P263" s="46">
        <f t="shared" ca="1" si="13"/>
        <v>1.4723320164774039E-4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input_452010!A$2</f>
        <v>452010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IFERROR(VLOOKUP(B264,input_452010!L:R,7,FALSE),VLOOKUP(tables_452010!C264,input_452010!A:H,8,FALSE))</f>
        <v>534397.5</v>
      </c>
      <c r="P264" s="46">
        <f t="shared" ca="1" si="13"/>
        <v>1.0014945652076302E-2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input_452010!A$2</f>
        <v>452010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IFERROR(VLOOKUP(B265,input_452010!L:R,7,FALSE),VLOOKUP(tables_452010!C265,input_452010!A:H,8,FALSE))</f>
        <v>7856.3636399999996</v>
      </c>
      <c r="P265" s="46">
        <f t="shared" ca="1" si="13"/>
        <v>1.4723320164774039E-4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input_452010!A$2</f>
        <v>452010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IFERROR(VLOOKUP(B266,input_452010!L:R,7,FALSE),VLOOKUP(tables_452010!C266,input_452010!A:H,8,FALSE))</f>
        <v>36800</v>
      </c>
      <c r="P266" s="46">
        <f t="shared" ca="1" si="13"/>
        <v>6.8965517240707143E-4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input_452010!A$2</f>
        <v>452010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IFERROR(VLOOKUP(B267,input_452010!L:R,7,FALSE),VLOOKUP(tables_452010!C267,input_452010!A:H,8,FALSE))</f>
        <v>36800</v>
      </c>
      <c r="P267" s="46">
        <f t="shared" ca="1" si="13"/>
        <v>6.8965517240707143E-4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input_452010!A$2</f>
        <v>452010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IFERROR(VLOOKUP(B268,input_452010!L:R,7,FALSE),VLOOKUP(tables_452010!C268,input_452010!A:H,8,FALSE))</f>
        <v>36800</v>
      </c>
      <c r="P268" s="46">
        <f t="shared" ca="1" si="13"/>
        <v>6.8965517240707143E-4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input_452010!A$2</f>
        <v>452010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IFERROR(VLOOKUP(B269,input_452010!L:R,7,FALSE),VLOOKUP(tables_452010!C269,input_452010!A:H,8,FALSE))</f>
        <v>36800</v>
      </c>
      <c r="P269" s="46">
        <f t="shared" ca="1" si="13"/>
        <v>6.8965517240707143E-4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input_452010!A$2</f>
        <v>452010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IFERROR(VLOOKUP(B270,input_452010!L:R,7,FALSE),VLOOKUP(tables_452010!C270,input_452010!A:H,8,FALSE))</f>
        <v>534397.5</v>
      </c>
      <c r="P270" s="46">
        <f t="shared" ca="1" si="13"/>
        <v>1.0014945652076302E-2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input_452010!A$2</f>
        <v>452010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IFERROR(VLOOKUP(B271,input_452010!L:R,7,FALSE),VLOOKUP(tables_452010!C271,input_452010!A:H,8,FALSE))</f>
        <v>7856.3636399999996</v>
      </c>
      <c r="P271" s="46">
        <f t="shared" ca="1" si="13"/>
        <v>1.4723320164774039E-4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input_452010!A$2</f>
        <v>452010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IFERROR(VLOOKUP(B272,input_452010!L:R,7,FALSE),VLOOKUP(tables_452010!C272,input_452010!A:H,8,FALSE))</f>
        <v>534397.5</v>
      </c>
      <c r="P272" s="46">
        <f t="shared" ca="1" si="13"/>
        <v>1.0014945652076302E-2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input_452010!A$2</f>
        <v>452010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IFERROR(VLOOKUP(B273,input_452010!L:R,7,FALSE),VLOOKUP(tables_452010!C273,input_452010!A:H,8,FALSE))</f>
        <v>7856.3636399999996</v>
      </c>
      <c r="P273" s="46">
        <f t="shared" ca="1" si="13"/>
        <v>1.4723320164774039E-4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input_452010!A$2</f>
        <v>452010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IFERROR(VLOOKUP(B274,input_452010!L:R,7,FALSE),VLOOKUP(tables_452010!C274,input_452010!A:H,8,FALSE))</f>
        <v>34960</v>
      </c>
      <c r="P274" s="46">
        <f t="shared" ca="1" si="13"/>
        <v>6.5517241378671776E-4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input_452010!A$2</f>
        <v>452010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IFERROR(VLOOKUP(B275,input_452010!L:R,7,FALSE),VLOOKUP(tables_452010!C275,input_452010!A:H,8,FALSE))</f>
        <v>18268.57143</v>
      </c>
      <c r="P275" s="46">
        <f t="shared" ca="1" si="13"/>
        <v>3.4236453204313991E-4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input_452010!A$2</f>
        <v>452010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IFERROR(VLOOKUP(B276,input_452010!L:R,7,FALSE),VLOOKUP(tables_452010!C276,input_452010!A:H,8,FALSE))</f>
        <v>34960</v>
      </c>
      <c r="P276" s="46">
        <f t="shared" ca="1" si="13"/>
        <v>6.5517241378671776E-4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input_452010!A$2</f>
        <v>452010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IFERROR(VLOOKUP(B277,input_452010!L:R,7,FALSE),VLOOKUP(tables_452010!C277,input_452010!A:H,8,FALSE))</f>
        <v>18268.57143</v>
      </c>
      <c r="P277" s="46">
        <f t="shared" ca="1" si="13"/>
        <v>3.4236453204313991E-4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input_452010!A$2</f>
        <v>452010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IFERROR(VLOOKUP(B278,input_452010!L:R,7,FALSE),VLOOKUP(tables_452010!C278,input_452010!A:H,8,FALSE))</f>
        <v>272600</v>
      </c>
      <c r="P278" s="46">
        <f t="shared" ca="1" si="13"/>
        <v>5.1086956521241211E-3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input_452010!A$2</f>
        <v>452010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IFERROR(VLOOKUP(B279,input_452010!L:R,7,FALSE),VLOOKUP(tables_452010!C279,input_452010!A:H,8,FALSE))</f>
        <v>245340</v>
      </c>
      <c r="P279" s="46">
        <f t="shared" ca="1" si="13"/>
        <v>4.5978260869117089E-3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input_452010!A$2</f>
        <v>452010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IFERROR(VLOOKUP(B280,input_452010!L:R,7,FALSE),VLOOKUP(tables_452010!C280,input_452010!A:H,8,FALSE))</f>
        <v>3142.3076999999998</v>
      </c>
      <c r="P280" s="46">
        <f t="shared" ca="1" si="13"/>
        <v>5.8888824961944781E-5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input_452010!A$2</f>
        <v>452010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IFERROR(VLOOKUP(B281,input_452010!L:R,7,FALSE),VLOOKUP(tables_452010!C281,input_452010!A:H,8,FALSE))</f>
        <v>272600</v>
      </c>
      <c r="P281" s="46">
        <f t="shared" ca="1" si="13"/>
        <v>5.1086956521241211E-3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input_452010!A$2</f>
        <v>452010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IFERROR(VLOOKUP(B282,input_452010!L:R,7,FALSE),VLOOKUP(tables_452010!C282,input_452010!A:H,8,FALSE))</f>
        <v>245340</v>
      </c>
      <c r="P282" s="46">
        <f t="shared" ca="1" si="13"/>
        <v>4.5978260869117089E-3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input_452010!A$2</f>
        <v>452010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IFERROR(VLOOKUP(B283,input_452010!L:R,7,FALSE),VLOOKUP(tables_452010!C283,input_452010!A:H,8,FALSE))</f>
        <v>3142.3076999999998</v>
      </c>
      <c r="P283" s="46">
        <f t="shared" ca="1" si="13"/>
        <v>5.8888824961944781E-5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input_452010!A$2</f>
        <v>452010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IFERROR(VLOOKUP(B284,input_452010!L:R,7,FALSE),VLOOKUP(tables_452010!C284,input_452010!A:H,8,FALSE))</f>
        <v>36800</v>
      </c>
      <c r="P284" s="46">
        <f t="shared" ca="1" si="13"/>
        <v>6.8965517240707143E-4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input_452010!A$2</f>
        <v>452010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IFERROR(VLOOKUP(B285,input_452010!L:R,7,FALSE),VLOOKUP(tables_452010!C285,input_452010!A:H,8,FALSE))</f>
        <v>36800</v>
      </c>
      <c r="P285" s="46">
        <f t="shared" ca="1" si="13"/>
        <v>6.8965517240707143E-4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input_452010!A$2</f>
        <v>452010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IFERROR(VLOOKUP(B286,input_452010!L:R,7,FALSE),VLOOKUP(tables_452010!C286,input_452010!A:H,8,FALSE))</f>
        <v>534397.5</v>
      </c>
      <c r="P286" s="46">
        <f t="shared" ca="1" si="13"/>
        <v>1.0014945652076302E-2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input_452010!A$2</f>
        <v>452010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IFERROR(VLOOKUP(B287,input_452010!L:R,7,FALSE),VLOOKUP(tables_452010!C287,input_452010!A:H,8,FALSE))</f>
        <v>7856.3636399999996</v>
      </c>
      <c r="P287" s="46">
        <f t="shared" ca="1" si="13"/>
        <v>1.4723320164774039E-4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input_452010!A$2</f>
        <v>452010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IFERROR(VLOOKUP(B288,input_452010!L:R,7,FALSE),VLOOKUP(tables_452010!C288,input_452010!A:H,8,FALSE))</f>
        <v>534397.5</v>
      </c>
      <c r="P288" s="46">
        <f t="shared" ca="1" si="13"/>
        <v>1.0014945652076302E-2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input_452010!A$2</f>
        <v>452010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IFERROR(VLOOKUP(B289,input_452010!L:R,7,FALSE),VLOOKUP(tables_452010!C289,input_452010!A:H,8,FALSE))</f>
        <v>7856.3636399999996</v>
      </c>
      <c r="P289" s="46">
        <f t="shared" ca="1" si="13"/>
        <v>1.4723320164774039E-4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input_452010!A$2</f>
        <v>452010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IFERROR(VLOOKUP(B290,input_452010!L:R,7,FALSE),VLOOKUP(tables_452010!C290,input_452010!A:H,8,FALSE))</f>
        <v>534397.5</v>
      </c>
      <c r="P290" s="46">
        <f t="shared" ca="1" si="13"/>
        <v>1.0014945652076302E-2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input_452010!A$2</f>
        <v>452010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IFERROR(VLOOKUP(B291,input_452010!L:R,7,FALSE),VLOOKUP(tables_452010!C291,input_452010!A:H,8,FALSE))</f>
        <v>7856.3636399999996</v>
      </c>
      <c r="P291" s="46">
        <f t="shared" ca="1" si="13"/>
        <v>1.4723320164774039E-4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input_452010!A$2</f>
        <v>452010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IFERROR(VLOOKUP(B292,input_452010!L:R,7,FALSE),VLOOKUP(tables_452010!C292,input_452010!A:H,8,FALSE))</f>
        <v>534397.5</v>
      </c>
      <c r="P292" s="46">
        <f t="shared" ca="1" si="13"/>
        <v>1.0014945652076302E-2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input_452010!A$2</f>
        <v>452010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IFERROR(VLOOKUP(B293,input_452010!L:R,7,FALSE),VLOOKUP(tables_452010!C293,input_452010!A:H,8,FALSE))</f>
        <v>7856.3636399999996</v>
      </c>
      <c r="P293" s="46">
        <f t="shared" ca="1" si="13"/>
        <v>1.4723320164774039E-4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input_452010!A$2</f>
        <v>452010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IFERROR(VLOOKUP(B294,input_452010!L:R,7,FALSE),VLOOKUP(tables_452010!C294,input_452010!A:H,8,FALSE))</f>
        <v>36800</v>
      </c>
      <c r="P294" s="46">
        <f t="shared" ca="1" si="13"/>
        <v>6.8965517240707143E-4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input_452010!A$2</f>
        <v>452010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IFERROR(VLOOKUP(B295,input_452010!L:R,7,FALSE),VLOOKUP(tables_452010!C295,input_452010!A:H,8,FALSE))</f>
        <v>36800</v>
      </c>
      <c r="P295" s="46">
        <f t="shared" ca="1" si="13"/>
        <v>6.8965517240707143E-4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input_452010!A$2</f>
        <v>452010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IFERROR(VLOOKUP(B296,input_452010!L:R,7,FALSE),VLOOKUP(tables_452010!C296,input_452010!A:H,8,FALSE))</f>
        <v>36800</v>
      </c>
      <c r="P296" s="46">
        <f t="shared" ca="1" si="13"/>
        <v>6.8965517240707143E-4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input_452010!A$2</f>
        <v>452010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IFERROR(VLOOKUP(B297,input_452010!L:R,7,FALSE),VLOOKUP(tables_452010!C297,input_452010!A:H,8,FALSE))</f>
        <v>534397.5</v>
      </c>
      <c r="P297" s="46">
        <f t="shared" ca="1" si="13"/>
        <v>1.0014945652076302E-2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input_452010!A$2</f>
        <v>452010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IFERROR(VLOOKUP(B298,input_452010!L:R,7,FALSE),VLOOKUP(tables_452010!C298,input_452010!A:H,8,FALSE))</f>
        <v>7856.3636399999996</v>
      </c>
      <c r="P298" s="46">
        <f t="shared" ca="1" si="13"/>
        <v>1.4723320164774039E-4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input_452010!A$2</f>
        <v>452010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IFERROR(VLOOKUP(B299,input_452010!L:R,7,FALSE),VLOOKUP(tables_452010!C299,input_452010!A:H,8,FALSE))</f>
        <v>36800</v>
      </c>
      <c r="P299" s="46">
        <f t="shared" ca="1" si="13"/>
        <v>6.8965517240707143E-4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input_452010!A$2</f>
        <v>452010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IFERROR(VLOOKUP(B300,input_452010!L:R,7,FALSE),VLOOKUP(tables_452010!C300,input_452010!A:H,8,FALSE))</f>
        <v>36800</v>
      </c>
      <c r="P300" s="46">
        <f t="shared" ca="1" si="13"/>
        <v>6.8965517240707143E-4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input_452010!A$2</f>
        <v>452010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IFERROR(VLOOKUP(B301,input_452010!L:R,7,FALSE),VLOOKUP(tables_452010!C301,input_452010!A:H,8,FALSE))</f>
        <v>36800</v>
      </c>
      <c r="P301" s="46">
        <f t="shared" ca="1" si="13"/>
        <v>6.8965517240707143E-4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input_452010!A$2</f>
        <v>452010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IFERROR(VLOOKUP(B302,input_452010!L:R,7,FALSE),VLOOKUP(tables_452010!C302,input_452010!A:H,8,FALSE))</f>
        <v>36800</v>
      </c>
      <c r="P302" s="46">
        <f t="shared" ca="1" si="13"/>
        <v>6.8965517240707143E-4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input_452010!A$2</f>
        <v>452010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IFERROR(VLOOKUP(B303,input_452010!L:R,7,FALSE),VLOOKUP(tables_452010!C303,input_452010!A:H,8,FALSE))</f>
        <v>534397.5</v>
      </c>
      <c r="P303" s="46">
        <f t="shared" ca="1" si="13"/>
        <v>1.0014945652076302E-2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input_452010!A$2</f>
        <v>452010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IFERROR(VLOOKUP(B304,input_452010!L:R,7,FALSE),VLOOKUP(tables_452010!C304,input_452010!A:H,8,FALSE))</f>
        <v>7856.3636399999996</v>
      </c>
      <c r="P304" s="46">
        <f t="shared" ca="1" si="13"/>
        <v>1.4723320164774039E-4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input_452010!A$2</f>
        <v>452010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IFERROR(VLOOKUP(B305,input_452010!L:R,7,FALSE),VLOOKUP(tables_452010!C305,input_452010!A:H,8,FALSE))</f>
        <v>36800</v>
      </c>
      <c r="P305" s="46">
        <f t="shared" ca="1" si="13"/>
        <v>6.8965517240707143E-4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input_452010!A$2</f>
        <v>452010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IFERROR(VLOOKUP(B306,input_452010!L:R,7,FALSE),VLOOKUP(tables_452010!C306,input_452010!A:H,8,FALSE))</f>
        <v>534397.5</v>
      </c>
      <c r="P306" s="46">
        <f t="shared" ca="1" si="13"/>
        <v>1.0014945652076302E-2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input_452010!A$2</f>
        <v>452010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IFERROR(VLOOKUP(B307,input_452010!L:R,7,FALSE),VLOOKUP(tables_452010!C307,input_452010!A:H,8,FALSE))</f>
        <v>7856.3636399999996</v>
      </c>
      <c r="P307" s="46">
        <f t="shared" ca="1" si="13"/>
        <v>1.4723320164774039E-4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input_452010!A$2</f>
        <v>452010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IFERROR(VLOOKUP(B308,input_452010!L:R,7,FALSE),VLOOKUP(tables_452010!C308,input_452010!A:H,8,FALSE))</f>
        <v>36800</v>
      </c>
      <c r="P308" s="46">
        <f t="shared" ca="1" si="13"/>
        <v>6.8965517240707143E-4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input_452010!A$2</f>
        <v>452010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IFERROR(VLOOKUP(B309,input_452010!L:R,7,FALSE),VLOOKUP(tables_452010!C309,input_452010!A:H,8,FALSE))</f>
        <v>36800</v>
      </c>
      <c r="P309" s="46">
        <f t="shared" ca="1" si="13"/>
        <v>6.8965517240707143E-4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input_452010!A$2</f>
        <v>452010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IFERROR(VLOOKUP(B310,input_452010!L:R,7,FALSE),VLOOKUP(tables_452010!C310,input_452010!A:H,8,FALSE))</f>
        <v>36800</v>
      </c>
      <c r="P310" s="46">
        <f t="shared" ca="1" si="13"/>
        <v>6.8965517240707143E-4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input_452010!A$2</f>
        <v>452010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IFERROR(VLOOKUP(B311,input_452010!L:R,7,FALSE),VLOOKUP(tables_452010!C311,input_452010!A:H,8,FALSE))</f>
        <v>534397.5</v>
      </c>
      <c r="P311" s="46">
        <f t="shared" ca="1" si="13"/>
        <v>1.0014945652076302E-2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input_452010!A$2</f>
        <v>452010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IFERROR(VLOOKUP(B312,input_452010!L:R,7,FALSE),VLOOKUP(tables_452010!C312,input_452010!A:H,8,FALSE))</f>
        <v>7856.3636399999996</v>
      </c>
      <c r="P312" s="46">
        <f t="shared" ca="1" si="13"/>
        <v>1.4723320164774039E-4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input_452010!A$2</f>
        <v>452010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IFERROR(VLOOKUP(B313,input_452010!L:R,7,FALSE),VLOOKUP(tables_452010!C313,input_452010!A:H,8,FALSE))</f>
        <v>36800</v>
      </c>
      <c r="P313" s="46">
        <f t="shared" ca="1" si="13"/>
        <v>6.8965517240707143E-4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input_452010!A$2</f>
        <v>452010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IFERROR(VLOOKUP(B314,input_452010!L:R,7,FALSE),VLOOKUP(tables_452010!C314,input_452010!A:H,8,FALSE))</f>
        <v>36800</v>
      </c>
      <c r="P314" s="46">
        <f t="shared" ca="1" si="13"/>
        <v>6.8965517240707143E-4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input_452010!A$2</f>
        <v>452010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IFERROR(VLOOKUP(B315,input_452010!L:R,7,FALSE),VLOOKUP(tables_452010!C315,input_452010!A:H,8,FALSE))</f>
        <v>36800</v>
      </c>
      <c r="P315" s="46">
        <f t="shared" ca="1" si="13"/>
        <v>6.8965517240707143E-4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input_452010!A$2</f>
        <v>452010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IFERROR(VLOOKUP(B316,input_452010!L:R,7,FALSE),VLOOKUP(tables_452010!C316,input_452010!A:H,8,FALSE))</f>
        <v>36800</v>
      </c>
      <c r="P316" s="46">
        <f t="shared" ca="1" si="13"/>
        <v>6.8965517240707143E-4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input_452010!A$2</f>
        <v>452010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IFERROR(VLOOKUP(B317,input_452010!L:R,7,FALSE),VLOOKUP(tables_452010!C317,input_452010!A:H,8,FALSE))</f>
        <v>36800</v>
      </c>
      <c r="P317" s="46">
        <f t="shared" ca="1" si="13"/>
        <v>6.8965517240707143E-4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input_452010!A$2</f>
        <v>452010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IFERROR(VLOOKUP(B318,input_452010!L:R,7,FALSE),VLOOKUP(tables_452010!C318,input_452010!A:H,8,FALSE))</f>
        <v>534397.5</v>
      </c>
      <c r="P318" s="46">
        <f t="shared" ca="1" si="13"/>
        <v>1.0014945652076302E-2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input_452010!A$2</f>
        <v>452010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IFERROR(VLOOKUP(B319,input_452010!L:R,7,FALSE),VLOOKUP(tables_452010!C319,input_452010!A:H,8,FALSE))</f>
        <v>7856.3636399999996</v>
      </c>
      <c r="P319" s="46">
        <f t="shared" ca="1" si="13"/>
        <v>1.4723320164774039E-4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input_452010!A$2</f>
        <v>452010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IFERROR(VLOOKUP(B320,input_452010!L:R,7,FALSE),VLOOKUP(tables_452010!C320,input_452010!A:H,8,FALSE))</f>
        <v>36800</v>
      </c>
      <c r="P320" s="46">
        <f t="shared" ca="1" si="13"/>
        <v>6.8965517240707143E-4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input_452010!A$2</f>
        <v>452010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IFERROR(VLOOKUP(B321,input_452010!L:R,7,FALSE),VLOOKUP(tables_452010!C321,input_452010!A:H,8,FALSE))</f>
        <v>36800</v>
      </c>
      <c r="P321" s="46">
        <f t="shared" ca="1" si="13"/>
        <v>6.8965517240707143E-4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input_452010!A$2</f>
        <v>452010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IFERROR(VLOOKUP(B322,input_452010!L:R,7,FALSE),VLOOKUP(tables_452010!C322,input_452010!A:H,8,FALSE))</f>
        <v>36800</v>
      </c>
      <c r="P322" s="46">
        <f t="shared" ref="P322:P330" ca="1" si="23">O322/SUM(O:O)</f>
        <v>6.8965517240707143E-4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input_452010!A$2</f>
        <v>452010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IFERROR(VLOOKUP(B323,input_452010!L:R,7,FALSE),VLOOKUP(tables_452010!C323,input_452010!A:H,8,FALSE))</f>
        <v>36800</v>
      </c>
      <c r="P323" s="46">
        <f t="shared" ca="1" si="23"/>
        <v>6.8965517240707143E-4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input_452010!A$2</f>
        <v>452010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IFERROR(VLOOKUP(B324,input_452010!L:R,7,FALSE),VLOOKUP(tables_452010!C324,input_452010!A:H,8,FALSE))</f>
        <v>534397.5</v>
      </c>
      <c r="P324" s="46">
        <f t="shared" ca="1" si="23"/>
        <v>1.0014945652076302E-2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input_452010!A$2</f>
        <v>452010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IFERROR(VLOOKUP(B325,input_452010!L:R,7,FALSE),VLOOKUP(tables_452010!C325,input_452010!A:H,8,FALSE))</f>
        <v>7856.3636399999996</v>
      </c>
      <c r="P325" s="46">
        <f t="shared" ca="1" si="23"/>
        <v>1.4723320164774039E-4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input_452010!A$2</f>
        <v>452010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IFERROR(VLOOKUP(B326,input_452010!L:R,7,FALSE),VLOOKUP(tables_452010!C326,input_452010!A:H,8,FALSE))</f>
        <v>534397.5</v>
      </c>
      <c r="P326" s="46">
        <f t="shared" ca="1" si="23"/>
        <v>1.0014945652076302E-2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input_452010!A$2</f>
        <v>452010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IFERROR(VLOOKUP(B327,input_452010!L:R,7,FALSE),VLOOKUP(tables_452010!C327,input_452010!A:H,8,FALSE))</f>
        <v>7856.3636399999996</v>
      </c>
      <c r="P327" s="46">
        <f t="shared" ca="1" si="23"/>
        <v>1.4723320164774039E-4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input_452010!A$2</f>
        <v>452010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IFERROR(VLOOKUP(B328,input_452010!L:R,7,FALSE),VLOOKUP(tables_452010!C328,input_452010!A:H,8,FALSE))</f>
        <v>36800</v>
      </c>
      <c r="P328" s="46">
        <f t="shared" ca="1" si="23"/>
        <v>6.8965517240707143E-4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input_452010!A$2</f>
        <v>452010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IFERROR(VLOOKUP(B329,input_452010!L:R,7,FALSE),VLOOKUP(tables_452010!C329,input_452010!A:H,8,FALSE))</f>
        <v>36800</v>
      </c>
      <c r="P329" s="46">
        <f t="shared" ca="1" si="23"/>
        <v>6.8965517240707143E-4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input_452010!A$2</f>
        <v>452010</v>
      </c>
      <c r="B330" s="2">
        <v>1157</v>
      </c>
      <c r="C330" s="7" t="str">
        <f t="shared" si="25"/>
        <v>PremiumSS5R5only</v>
      </c>
      <c r="D330" s="93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IFERROR(VLOOKUP(B330,input_452010!L:R,7,FALSE),VLOOKUP(tables_452010!C330,input_452010!A:H,8,FALSE))</f>
        <v>36800</v>
      </c>
      <c r="P330" s="46">
        <f t="shared" ca="1" si="23"/>
        <v>6.8965517240707143E-4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input_452010!A$2</f>
        <v>452010</v>
      </c>
      <c r="B331" s="60">
        <v>1214</v>
      </c>
      <c r="C331" s="7" t="str">
        <f t="shared" ref="C331:C335" si="26">D331&amp;J331&amp;E331&amp;F331&amp;G331</f>
        <v>PremiumSS5R5only</v>
      </c>
      <c r="D331" s="93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IFERROR(VLOOKUP(B331,input_452010!L:R,7,FALSE),VLOOKUP(tables_452010!C331,input_452010!A:H,8,FALSE))</f>
        <v>36800</v>
      </c>
      <c r="P331" s="46">
        <f t="shared" ref="P331:P335" ca="1" si="28">O331/SUM(O:O)</f>
        <v>6.8965517240707143E-4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input_452010!A$2</f>
        <v>452010</v>
      </c>
      <c r="B332" s="60">
        <v>1212</v>
      </c>
      <c r="C332" s="7" t="str">
        <f t="shared" si="26"/>
        <v>PremiumSS5R5only</v>
      </c>
      <c r="D332" s="93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IFERROR(VLOOKUP(B332,input_452010!L:R,7,FALSE),VLOOKUP(tables_452010!C332,input_452010!A:H,8,FALSE))</f>
        <v>36800</v>
      </c>
      <c r="P332" s="46">
        <f t="shared" ca="1" si="28"/>
        <v>6.8965517240707143E-4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input_452010!A$2</f>
        <v>452010</v>
      </c>
      <c r="B333" s="60">
        <v>1208</v>
      </c>
      <c r="C333" s="7" t="str">
        <f t="shared" si="26"/>
        <v>PremiumSS5R5only</v>
      </c>
      <c r="D333" s="93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IFERROR(VLOOKUP(B333,input_452010!L:R,7,FALSE),VLOOKUP(tables_452010!C333,input_452010!A:H,8,FALSE))</f>
        <v>36800</v>
      </c>
      <c r="P333" s="46">
        <f t="shared" ca="1" si="28"/>
        <v>6.8965517240707143E-4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input_452010!A$2</f>
        <v>452010</v>
      </c>
      <c r="B334" s="91">
        <v>1210</v>
      </c>
      <c r="C334" s="7" t="str">
        <f t="shared" si="26"/>
        <v>Premium4R3less</v>
      </c>
      <c r="D334" s="93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IFERROR(VLOOKUP(B334,input_452010!L:R,7,FALSE),VLOOKUP(tables_452010!C334,input_452010!A:H,8,FALSE))</f>
        <v>534397.5</v>
      </c>
      <c r="P334" s="46">
        <f t="shared" ca="1" si="28"/>
        <v>1.0014945652076302E-2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input_452010!A$2</f>
        <v>452010</v>
      </c>
      <c r="B335" s="60">
        <v>1211</v>
      </c>
      <c r="C335" s="7" t="str">
        <f t="shared" si="26"/>
        <v>Premium5R3less</v>
      </c>
      <c r="D335" s="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IFERROR(VLOOKUP(B335,input_452010!L:R,7,FALSE),VLOOKUP(tables_452010!C335,input_452010!A:H,8,FALSE))</f>
        <v>7856.3636399999996</v>
      </c>
      <c r="P335" s="46">
        <f t="shared" ca="1" si="28"/>
        <v>1.4723320164774039E-4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input_452010!A$2</f>
        <v>452010</v>
      </c>
      <c r="B336" s="60">
        <v>762</v>
      </c>
      <c r="C336" s="7" t="str">
        <f t="shared" ref="C336:C337" si="29">D336&amp;J336&amp;E336&amp;F336&amp;G336</f>
        <v>PremiumSSS5R3less</v>
      </c>
      <c r="D336" s="7" t="str">
        <f t="shared" ref="D336:D337" si="30">IF(OR(I336="PremiumSS",I336="PremiumSSw"),"PremiumSS",IF(I336="PremiumSSS",I336,IF(I336="PremiumW",IF(J336=5,"premium",I336),"Premium")))</f>
        <v>PremiumSSS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フィボナッチ</v>
      </c>
      <c r="I336" s="7" t="str">
        <f>VLOOKUP(B336,[1]characters!$A:$J,10,FALSE)</f>
        <v>PremiumSSS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balance</v>
      </c>
      <c r="M336" s="7" t="str">
        <f>VLOOKUP(B336,[1]characters!$A:$M,13,FALSE)</f>
        <v>human</v>
      </c>
      <c r="N336" s="7" t="str">
        <f>VLOOKUP(B336,[1]characters!$A:$G,7,FALSE)</f>
        <v>男性</v>
      </c>
      <c r="O336" s="45">
        <f>IFERROR(VLOOKUP(B336,input_452010!L:R,7,FALSE),VLOOKUP(tables_452010!C336,input_452010!A:H,8,FALSE))</f>
        <v>266800</v>
      </c>
      <c r="P336" s="46">
        <f t="shared" ref="P336:P337" ca="1" si="31">O336/SUM(O:O)</f>
        <v>4.9999999999512674E-3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input_452010!A$2</f>
        <v>452010</v>
      </c>
      <c r="B337" s="60">
        <v>1232</v>
      </c>
      <c r="C337" s="7" t="str">
        <f t="shared" si="29"/>
        <v>PremiumSSS5R3less</v>
      </c>
      <c r="D337" s="7" t="str">
        <f t="shared" si="30"/>
        <v>PremiumSSS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ケプラー</v>
      </c>
      <c r="I337" s="7" t="str">
        <f>VLOOKUP(B337,[1]characters!$A:$J,10,FALSE)</f>
        <v>PremiumSSS</v>
      </c>
      <c r="J337" s="7">
        <f>VLOOKUP(B337,[1]characters!$A:$I,9,FALSE)</f>
        <v>5</v>
      </c>
      <c r="K337" s="7" t="str">
        <f>VLOOKUP(B337,[1]characters!$A:$H,8,FALSE)</f>
        <v>yellow</v>
      </c>
      <c r="L337" s="7" t="str">
        <f>VLOOKUP(B337,[1]characters!$A:$K,11,FALSE)</f>
        <v>attack</v>
      </c>
      <c r="M337" s="7" t="str">
        <f>VLOOKUP(B337,[1]characters!$A:$M,13,FALSE)</f>
        <v>academia</v>
      </c>
      <c r="N337" s="7">
        <f>VLOOKUP(B337,[1]characters!$A:$G,7,FALSE)</f>
        <v>0</v>
      </c>
      <c r="O337" s="45">
        <f>IFERROR(VLOOKUP(B337,input_452010!L:R,7,FALSE),VLOOKUP(tables_452010!C337,input_452010!A:H,8,FALSE))</f>
        <v>266800</v>
      </c>
      <c r="P337" s="46">
        <f t="shared" ca="1" si="31"/>
        <v>4.9999999999512674E-3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86"/>
      <c r="B338" s="98"/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99"/>
      <c r="P338" s="100"/>
      <c r="Q338" s="101"/>
      <c r="R338" s="101"/>
      <c r="S338" s="101"/>
      <c r="T338" s="101"/>
      <c r="U338" s="101"/>
      <c r="V338" s="101"/>
    </row>
    <row r="339" spans="1:22" ht="21" customHeight="1" x14ac:dyDescent="0.15">
      <c r="A339" s="86"/>
      <c r="B339" s="102"/>
      <c r="C339" s="86"/>
      <c r="D339" s="86"/>
      <c r="E339" s="86"/>
      <c r="F339" s="86"/>
      <c r="G339" s="86"/>
      <c r="H339" s="86"/>
      <c r="I339" s="86"/>
      <c r="J339" s="86"/>
      <c r="K339" s="86"/>
      <c r="L339" s="86"/>
      <c r="M339" s="86"/>
      <c r="N339" s="86"/>
      <c r="O339" s="99"/>
      <c r="P339" s="100"/>
      <c r="Q339" s="101"/>
      <c r="R339" s="101"/>
      <c r="S339" s="101"/>
      <c r="T339" s="101"/>
      <c r="U339" s="101"/>
      <c r="V339" s="101"/>
    </row>
    <row r="340" spans="1:22" ht="21" customHeight="1" x14ac:dyDescent="0.15">
      <c r="A340" s="86"/>
      <c r="B340" s="98"/>
      <c r="C340" s="86"/>
      <c r="D340" s="86"/>
      <c r="E340" s="86"/>
      <c r="F340" s="86"/>
      <c r="G340" s="86"/>
      <c r="H340" s="86"/>
      <c r="I340" s="86"/>
      <c r="J340" s="86"/>
      <c r="K340" s="86"/>
      <c r="L340" s="86"/>
      <c r="M340" s="86"/>
      <c r="N340" s="86"/>
      <c r="O340" s="99"/>
      <c r="P340" s="100"/>
      <c r="Q340" s="101"/>
      <c r="R340" s="101"/>
      <c r="S340" s="101"/>
      <c r="T340" s="101"/>
      <c r="U340" s="101"/>
      <c r="V340" s="101"/>
    </row>
    <row r="341" spans="1:22" ht="21" customHeight="1" x14ac:dyDescent="0.15">
      <c r="A341" s="86"/>
      <c r="B341" s="98"/>
      <c r="C341" s="86"/>
      <c r="D341" s="86"/>
      <c r="E341" s="86"/>
      <c r="F341" s="86"/>
      <c r="G341" s="86"/>
      <c r="H341" s="86"/>
      <c r="I341" s="86"/>
      <c r="J341" s="86"/>
      <c r="K341" s="86"/>
      <c r="L341" s="86"/>
      <c r="M341" s="86"/>
      <c r="N341" s="86"/>
      <c r="O341" s="99"/>
      <c r="P341" s="100"/>
      <c r="Q341" s="101"/>
      <c r="R341" s="101"/>
      <c r="S341" s="101"/>
      <c r="T341" s="101"/>
      <c r="U341" s="101"/>
      <c r="V341" s="101"/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L4" sqref="L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452100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762</v>
      </c>
      <c r="M3" s="37" t="str">
        <f>VLOOKUP(L3,[1]characters!$A:$C,3,FALSE)</f>
        <v>フィボナッチ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VLOOKUP(L3,tables_452100!B:C,2,FALSE)</f>
        <v>PremiumSSS5R3less</v>
      </c>
      <c r="R3" s="62">
        <f t="shared" ref="R3:R20" si="1">N3*A$36</f>
        <v>266800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1232</v>
      </c>
      <c r="M4" s="37" t="str">
        <f>VLOOKUP(L4,[1]characters!$A:$C,3,FALSE)</f>
        <v>ケプラー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VLOOKUP(L4,tables_452100!B:C,2,FALSE)</f>
        <v>PremiumSSS5R3less</v>
      </c>
      <c r="R4" s="62">
        <f t="shared" si="1"/>
        <v>266800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6.8965517241379316E-4</v>
      </c>
      <c r="F5">
        <f>(COUNTIF(tables_452100!C:C,input_452100!A28)+COUNTIF(tables_452100!C:C,input_452100!A29))</f>
        <v>60</v>
      </c>
      <c r="H5" s="84">
        <v>0.01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VLOOKUP(L5,tables_452100!B:C,2,FALSE)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1.0326086956521738E-2</v>
      </c>
      <c r="F6">
        <f>(COUNTIF(tables_452100!C:C,input_452100!A25)+COUNTIF(tables_452100!C:C,input_452100!A18)+COUNTIF(tables_452100!C:C,input_452100!A20)+COUNTIF(tables_452100!C:C,input_452100!A22))</f>
        <v>92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VLOOKUP(L6,tables_452100!B:C,2,FALSE)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VLOOKUP(L7,tables_452100!B:C,2,FALSE)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VLOOKUP(L8,tables_452100!B:C,2,FALSE)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VLOOKUP(L9,tables_452100!B:C,2,FALSE)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VLOOKUP(L10,tables_452100!B:C,2,FALSE)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VLOOKUP(L11,tables_452100!B:C,2,FALSE)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VLOOKUP(L12,tables_452100!B:C,2,FALSE)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VLOOKUP(L13,tables_452100!B:C,2,FALSE)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VLOOKUP(L14,tables_452100!B:C,2,FALSE)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VLOOKUP(L15,tables_452100!B:C,2,FALSE)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VLOOKUP(L16,tables_452100!B:C,2,FALSE)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COUNTIF(tables_452100!C:C,input_452100!A17)-COUNTIF(Q:Q,A17)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VLOOKUP(L17,tables_452100!B:C,2,FALSE)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E$6*E18-B17+E33</f>
        <v>0.22044865067466263</v>
      </c>
      <c r="C18" s="85">
        <f t="shared" si="2"/>
        <v>0</v>
      </c>
      <c r="D18" s="74">
        <f t="shared" si="3"/>
        <v>0.22044865067466263</v>
      </c>
      <c r="E18">
        <f>COUNTIF(tables_452100!C:C,input_452100!A18)-COUNTIF(Q:Q,A18)</f>
        <v>20</v>
      </c>
      <c r="F18" s="43">
        <f>IFERROR(B18/E18,0)</f>
        <v>1.1022432533733131E-2</v>
      </c>
      <c r="G18">
        <f t="shared" si="4"/>
        <v>11763139.999999998</v>
      </c>
      <c r="H18">
        <f t="shared" si="5"/>
        <v>588157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VLOOKUP(L18,tables_452100!B:C,2,FALSE)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COUNTIF(tables_452100!C:C,input_452100!A19)-COUNTIF(Q:Q,A19)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VLOOKUP(L19,tables_452100!B:C,2,FALSE)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0.51010869565217387</v>
      </c>
      <c r="C20" s="85">
        <f t="shared" si="2"/>
        <v>0</v>
      </c>
      <c r="D20" s="74">
        <f t="shared" si="3"/>
        <v>0.51010869565217387</v>
      </c>
      <c r="E20">
        <f>COUNTIF(tables_452100!C:C,input_452100!A20)-COUNTIF(Q:Q,A20)</f>
        <v>52</v>
      </c>
      <c r="F20" s="43">
        <f t="shared" si="8"/>
        <v>9.8097826086956507E-3</v>
      </c>
      <c r="G20">
        <f t="shared" si="4"/>
        <v>27219399.999999996</v>
      </c>
      <c r="H20">
        <f t="shared" si="5"/>
        <v>523450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VLOOKUP(L20,tables_452100!B:C,2,FALSE)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B7-B23-B26-B28-B29-E34</f>
        <v>2.9209145471023427E-3</v>
      </c>
      <c r="C21" s="85">
        <f t="shared" si="2"/>
        <v>0</v>
      </c>
      <c r="D21" s="74">
        <f t="shared" si="3"/>
        <v>2.9209145471023427E-3</v>
      </c>
      <c r="E21">
        <f>COUNTIF(tables_452100!C:C,input_452100!A21)-COUNTIF(Q:Q,A21)</f>
        <v>52</v>
      </c>
      <c r="F21" s="43">
        <f t="shared" si="8"/>
        <v>5.6171433598121974E-5</v>
      </c>
      <c r="G21">
        <f t="shared" si="4"/>
        <v>155860.000233381</v>
      </c>
      <c r="H21">
        <f t="shared" si="5"/>
        <v>2997.3076999999998</v>
      </c>
      <c r="I21">
        <f t="shared" si="6"/>
        <v>0.30769999999984066</v>
      </c>
      <c r="J21">
        <f t="shared" si="7"/>
        <v>3.2499187520328823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0.1618586956521739</v>
      </c>
      <c r="C22" s="85">
        <f t="shared" si="2"/>
        <v>0</v>
      </c>
      <c r="D22" s="74">
        <f t="shared" si="3"/>
        <v>0.1618586956521739</v>
      </c>
      <c r="E22">
        <f>COUNTIF(tables_452100!C:C,input_452100!A22)-COUNTIF(Q:Q,A22)</f>
        <v>16</v>
      </c>
      <c r="F22" s="43">
        <f t="shared" si="8"/>
        <v>1.0116168478260868E-2</v>
      </c>
      <c r="G22">
        <f t="shared" si="4"/>
        <v>8636779.9999999981</v>
      </c>
      <c r="H22">
        <f t="shared" si="5"/>
        <v>539798.75</v>
      </c>
      <c r="I22">
        <f t="shared" si="6"/>
        <v>0.75</v>
      </c>
      <c r="J22">
        <f t="shared" si="7"/>
        <v>1.3333333333333333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E23*E6*B7-0.008</f>
        <v>3.3586956521739139E-3</v>
      </c>
      <c r="C23" s="85">
        <f t="shared" si="2"/>
        <v>0</v>
      </c>
      <c r="D23" s="74">
        <f t="shared" si="3"/>
        <v>3.3586956521739139E-3</v>
      </c>
      <c r="E23">
        <f>COUNTIF(tables_452100!C:C,input_452100!A23)-COUNTIF(Q:Q,A23)</f>
        <v>22</v>
      </c>
      <c r="F23" s="43">
        <f t="shared" si="8"/>
        <v>1.5266798418972336E-4</v>
      </c>
      <c r="G23">
        <f t="shared" si="4"/>
        <v>179220.00000000006</v>
      </c>
      <c r="H23">
        <f t="shared" si="5"/>
        <v>8146.3636399999996</v>
      </c>
      <c r="I23">
        <f t="shared" si="6"/>
        <v>0.36363999999957741</v>
      </c>
      <c r="J23">
        <f t="shared" si="7"/>
        <v>2.7499725002781932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COUNTIF(tables_452100!C:C,input_452100!A24)-COUNTIF(Q:Q,A24)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3.9239130434782603E-2</v>
      </c>
      <c r="C25" s="85">
        <f t="shared" si="2"/>
        <v>0</v>
      </c>
      <c r="D25" s="74">
        <f t="shared" si="3"/>
        <v>3.9239130434782603E-2</v>
      </c>
      <c r="E25">
        <f>COUNTIF(tables_452100!C:C,input_452100!A25)-COUNTIF(Q:Q,A25)</f>
        <v>4</v>
      </c>
      <c r="F25" s="43">
        <f t="shared" si="8"/>
        <v>9.8097826086956507E-3</v>
      </c>
      <c r="G25">
        <f t="shared" si="4"/>
        <v>2093799.9999999998</v>
      </c>
      <c r="H25">
        <f t="shared" si="5"/>
        <v>523450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2.0652173913043477E-3</v>
      </c>
      <c r="C26" s="85">
        <f t="shared" si="2"/>
        <v>0</v>
      </c>
      <c r="D26" s="74">
        <f t="shared" si="3"/>
        <v>2.0652173913043477E-3</v>
      </c>
      <c r="E26">
        <f>COUNTIF(tables_452100!C:C,input_452100!A26)-COUNTIF(Q:Q,A26)</f>
        <v>4</v>
      </c>
      <c r="F26" s="43">
        <f t="shared" si="8"/>
        <v>5.1630434782608692E-4</v>
      </c>
      <c r="G26">
        <f t="shared" si="4"/>
        <v>110200</v>
      </c>
      <c r="H26">
        <f t="shared" si="5"/>
        <v>27550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1.8344827586206897E-2</v>
      </c>
      <c r="C27" s="85">
        <f t="shared" si="2"/>
        <v>0</v>
      </c>
      <c r="D27" s="74">
        <f t="shared" si="3"/>
        <v>1.8344827586206897E-2</v>
      </c>
      <c r="E27">
        <f>COUNTIF(tables_452100!C:C,input_452100!A27)-COUNTIF(Q:Q,A27)</f>
        <v>28</v>
      </c>
      <c r="F27" s="43">
        <f>IFERROR(B27/E27,0)</f>
        <v>6.551724137931035E-4</v>
      </c>
      <c r="G27">
        <f t="shared" si="4"/>
        <v>978880</v>
      </c>
      <c r="H27">
        <f t="shared" si="5"/>
        <v>34960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9.5862068966757735E-3</v>
      </c>
      <c r="C28" s="85">
        <f t="shared" si="2"/>
        <v>0</v>
      </c>
      <c r="D28" s="74">
        <f t="shared" si="3"/>
        <v>9.5862068966757735E-3</v>
      </c>
      <c r="E28">
        <f>COUNTIF(tables_452100!C:C,input_452100!A28)-COUNTIF(Q:Q,A28)</f>
        <v>28</v>
      </c>
      <c r="F28" s="43">
        <f t="shared" si="8"/>
        <v>3.4236453202413477E-4</v>
      </c>
      <c r="G28">
        <f t="shared" si="4"/>
        <v>511520.00000661926</v>
      </c>
      <c r="H28">
        <f t="shared" si="5"/>
        <v>18268.57143</v>
      </c>
      <c r="I28">
        <f t="shared" si="6"/>
        <v>0.57142999999996391</v>
      </c>
      <c r="J28">
        <f t="shared" si="7"/>
        <v>1.749995625011048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2.2068965517241381E-2</v>
      </c>
      <c r="C29" s="85">
        <f t="shared" si="2"/>
        <v>0</v>
      </c>
      <c r="D29" s="74">
        <f t="shared" si="3"/>
        <v>2.2068965517241381E-2</v>
      </c>
      <c r="E29">
        <f>COUNTIF(tables_452100!C:C,input_452100!A29)-COUNTIF(Q:Q,A29)</f>
        <v>32</v>
      </c>
      <c r="F29" s="43">
        <f t="shared" si="8"/>
        <v>6.8965517241379316E-4</v>
      </c>
      <c r="G29">
        <f t="shared" si="4"/>
        <v>1177600</v>
      </c>
      <c r="H29">
        <f t="shared" si="5"/>
        <v>36800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COUNTIF(tables_452100!C:C,input_452100!A30)-COUNTIF(Q:Q,A30)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COUNTIF(tables_452100!C:C,input_452100!A31)-COUNTIF(Q:Q,A31)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0.99000000000449762</v>
      </c>
      <c r="C32" s="41">
        <f>SUM(C19:C31)</f>
        <v>0.01</v>
      </c>
      <c r="D32" s="42">
        <f t="shared" si="3"/>
        <v>0.98000000000449761</v>
      </c>
      <c r="L32" s="57"/>
      <c r="M32" s="57"/>
      <c r="N32" s="57"/>
      <c r="O32" s="57"/>
      <c r="P32" s="57"/>
      <c r="Q32" s="57"/>
      <c r="R32" s="59"/>
    </row>
    <row r="33" spans="1:7" x14ac:dyDescent="0.15">
      <c r="E33">
        <v>1.3926911544227871E-2</v>
      </c>
      <c r="F33" s="43">
        <f ca="1">0.95-G41</f>
        <v>0</v>
      </c>
    </row>
    <row r="34" spans="1:7" x14ac:dyDescent="0.15">
      <c r="E34" s="55">
        <v>9.9999999955022387E-3</v>
      </c>
      <c r="F34" s="55">
        <f ca="1">G42-0.05</f>
        <v>9.7451630098888131E-12</v>
      </c>
    </row>
    <row r="35" spans="1:7" x14ac:dyDescent="0.15">
      <c r="A35" t="s">
        <v>73</v>
      </c>
      <c r="E35" s="55"/>
      <c r="F35" s="55"/>
    </row>
    <row r="36" spans="1:7" x14ac:dyDescent="0.15">
      <c r="A36" s="31">
        <f>LCM(F5-I5,F6-I6)*1000*2*2*5</f>
        <v>53360000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SUMIF(tables_452100!C:C,input_452100!A40,tables_452100!O:O)</f>
        <v>0</v>
      </c>
      <c r="C40" s="54">
        <f t="shared" ref="C40:C46" ca="1" si="9">B40/B$47</f>
        <v>0</v>
      </c>
      <c r="E40">
        <v>3</v>
      </c>
      <c r="F40">
        <f ca="1">SUMIF(tables_452100!J:J,input_452100!E40,tables_452100!O:O)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SUMIF(tables_452100!C:C,input_452100!A41,tables_452100!O:O)</f>
        <v>27219400</v>
      </c>
      <c r="C41" s="54">
        <f t="shared" ca="1" si="9"/>
        <v>0.9429682189697064</v>
      </c>
      <c r="E41">
        <v>4</v>
      </c>
      <c r="F41">
        <f ca="1">SUMIF(tables_452100!J:J,input_452100!E41,tables_452100!O:O)</f>
        <v>50692000</v>
      </c>
      <c r="G41">
        <f ca="1">F41/A36</f>
        <v>0.95</v>
      </c>
    </row>
    <row r="42" spans="1:7" x14ac:dyDescent="0.15">
      <c r="A42" s="33" t="s">
        <v>106</v>
      </c>
      <c r="B42">
        <f ca="1">SUMIF(tables_452100!C:C,input_452100!A42,tables_452100!O:O)</f>
        <v>978880</v>
      </c>
      <c r="C42" s="54">
        <f t="shared" ca="1" si="9"/>
        <v>3.3911575206840204E-2</v>
      </c>
      <c r="E42">
        <v>5</v>
      </c>
      <c r="F42">
        <f ca="1">SUMIF(tables_452100!J:J,input_452100!E42,tables_452100!O:O)</f>
        <v>2668000.0005200021</v>
      </c>
      <c r="G42">
        <f ca="1">F42/A36</f>
        <v>5.0000000009745166E-2</v>
      </c>
    </row>
    <row r="43" spans="1:7" x14ac:dyDescent="0.15">
      <c r="A43" s="33" t="s">
        <v>109</v>
      </c>
      <c r="B43">
        <f>SUMIF(tables_452100!C:C,input_452100!A43,tables_452100!O:O)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SUMIF(tables_452100!C:C,input_452100!A44,tables_452100!O:O)</f>
        <v>155860.00040000011</v>
      </c>
      <c r="C44" s="54">
        <f t="shared" ca="1" si="9"/>
        <v>5.3994954696211465E-3</v>
      </c>
      <c r="E44" t="s">
        <v>54</v>
      </c>
      <c r="F44" s="55"/>
    </row>
    <row r="45" spans="1:7" x14ac:dyDescent="0.15">
      <c r="A45" s="33" t="s">
        <v>107</v>
      </c>
      <c r="B45">
        <f ca="1">SUMIF(tables_452100!C:C,input_452100!A45,tables_452100!O:O)</f>
        <v>511520.00004000019</v>
      </c>
      <c r="C45" s="54">
        <f t="shared" ca="1" si="9"/>
        <v>1.7720710353832308E-2</v>
      </c>
      <c r="E45" t="s">
        <v>204</v>
      </c>
      <c r="F45" s="55">
        <f ca="1">SUMIF(tables_452100!I:I,input_452100!E45,tables_452100!P:P)</f>
        <v>0.22136465857805235</v>
      </c>
    </row>
    <row r="46" spans="1:7" x14ac:dyDescent="0.15">
      <c r="A46" s="33" t="s">
        <v>108</v>
      </c>
      <c r="B46">
        <f>SUMIF(tables_452100!C:C,input_452100!A46,tables_452100!O:O)</f>
        <v>0</v>
      </c>
      <c r="C46" s="54">
        <f t="shared" ca="1" si="9"/>
        <v>0</v>
      </c>
      <c r="E46" t="s">
        <v>205</v>
      </c>
      <c r="F46" s="55">
        <f ca="1">SUMIF(tables_452100!I:I,input_452100!E46,tables_452100!P:P)</f>
        <v>0.19869947958764361</v>
      </c>
    </row>
    <row r="47" spans="1:7" x14ac:dyDescent="0.15">
      <c r="A47" s="39" t="s">
        <v>59</v>
      </c>
      <c r="B47">
        <f ca="1">SUM(B40:B46)</f>
        <v>28865660.000439998</v>
      </c>
      <c r="C47" s="55">
        <f ca="1">SUM(C40:C46)</f>
        <v>1</v>
      </c>
      <c r="E47" t="s">
        <v>206</v>
      </c>
      <c r="F47" s="55">
        <f ca="1">SUMIF(tables_452100!I:I,input_452100!E47,tables_452100!P:P)</f>
        <v>0.51993586183413798</v>
      </c>
    </row>
    <row r="48" spans="1:7" x14ac:dyDescent="0.15">
      <c r="E48" t="s">
        <v>207</v>
      </c>
      <c r="F48" s="55">
        <f ca="1">SUMIF(tables_452100!I:I,input_452100!E48,tables_452100!P:P)</f>
        <v>4.6551724138226974E-2</v>
      </c>
      <c r="G48" s="55">
        <f ca="1">0.05-F48-F49</f>
        <v>-2.6232791980329573E-13</v>
      </c>
    </row>
    <row r="49" spans="5:7" x14ac:dyDescent="0.15">
      <c r="E49" t="s">
        <v>248</v>
      </c>
      <c r="F49" s="55">
        <f ca="1">SUMIF(tables_452100!I:I,input_452100!E49,tables_452100!P:P)</f>
        <v>3.4482758620353565E-3</v>
      </c>
      <c r="G49">
        <v>8.6206896552964637E-3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37"/>
  <sheetViews>
    <sheetView showGridLines="0" zoomScale="75" zoomScaleNormal="75" zoomScalePageLayoutView="75" workbookViewId="0">
      <pane ySplit="1" topLeftCell="A296" activePane="bottomLeft" state="frozen"/>
      <selection activeCell="D34" sqref="D34"/>
      <selection pane="bottomLeft" activeCell="B337" sqref="B33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input_452100!A$2</f>
        <v>452100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IFERROR(VLOOKUP(B2,input_452100!L:R,7,FALSE),VLOOKUP(tables_452100!C2,input_452100!A:H,8,FALSE))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input_452100!A$2</f>
        <v>452100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IFERROR(VLOOKUP(B3,input_452100!L:R,7,FALSE),VLOOKUP(tables_452100!C3,input_452100!A:H,8,FALSE))</f>
        <v>588157</v>
      </c>
      <c r="P3" s="46">
        <f t="shared" ca="1" si="1"/>
        <v>1.1022432533625701E-2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input_452100!A$2</f>
        <v>452100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IFERROR(VLOOKUP(B4,input_452100!L:R,7,FALSE),VLOOKUP(tables_452100!C4,input_452100!A:H,8,FALSE))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input_452100!A$2</f>
        <v>452100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IFERROR(VLOOKUP(B5,input_452100!L:R,7,FALSE),VLOOKUP(tables_452100!C5,input_452100!A:H,8,FALSE))</f>
        <v>588157</v>
      </c>
      <c r="P5" s="46">
        <f t="shared" ca="1" si="1"/>
        <v>1.1022432533625701E-2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input_452100!A$2</f>
        <v>452100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IFERROR(VLOOKUP(B6,input_452100!L:R,7,FALSE),VLOOKUP(tables_452100!C6,input_452100!A:H,8,FALSE))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input_452100!A$2</f>
        <v>452100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IFERROR(VLOOKUP(B7,input_452100!L:R,7,FALSE),VLOOKUP(tables_452100!C7,input_452100!A:H,8,FALSE))</f>
        <v>588157</v>
      </c>
      <c r="P7" s="46">
        <f t="shared" ca="1" si="1"/>
        <v>1.1022432533625701E-2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input_452100!A$2</f>
        <v>452100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IFERROR(VLOOKUP(B8,input_452100!L:R,7,FALSE),VLOOKUP(tables_452100!C8,input_452100!A:H,8,FALSE))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input_452100!A$2</f>
        <v>452100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IFERROR(VLOOKUP(B9,input_452100!L:R,7,FALSE),VLOOKUP(tables_452100!C9,input_452100!A:H,8,FALSE))</f>
        <v>588157</v>
      </c>
      <c r="P9" s="46">
        <f t="shared" ca="1" si="1"/>
        <v>1.1022432533625701E-2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input_452100!A$2</f>
        <v>452100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IFERROR(VLOOKUP(B10,input_452100!L:R,7,FALSE),VLOOKUP(tables_452100!C10,input_452100!A:H,8,FALSE))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input_452100!A$2</f>
        <v>452100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IFERROR(VLOOKUP(B11,input_452100!L:R,7,FALSE),VLOOKUP(tables_452100!C11,input_452100!A:H,8,FALSE))</f>
        <v>588157</v>
      </c>
      <c r="P11" s="46">
        <f t="shared" ca="1" si="1"/>
        <v>1.1022432533625701E-2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input_452100!A$2</f>
        <v>452100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IFERROR(VLOOKUP(B12,input_452100!L:R,7,FALSE),VLOOKUP(tables_452100!C12,input_452100!A:H,8,FALSE))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input_452100!A$2</f>
        <v>452100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IFERROR(VLOOKUP(B13,input_452100!L:R,7,FALSE),VLOOKUP(tables_452100!C13,input_452100!A:H,8,FALSE))</f>
        <v>588157</v>
      </c>
      <c r="P13" s="46">
        <f t="shared" ca="1" si="1"/>
        <v>1.1022432533625701E-2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input_452100!A$2</f>
        <v>452100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IFERROR(VLOOKUP(B14,input_452100!L:R,7,FALSE),VLOOKUP(tables_452100!C14,input_452100!A:H,8,FALSE))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input_452100!A$2</f>
        <v>452100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IFERROR(VLOOKUP(B15,input_452100!L:R,7,FALSE),VLOOKUP(tables_452100!C15,input_452100!A:H,8,FALSE))</f>
        <v>588157</v>
      </c>
      <c r="P15" s="46">
        <f t="shared" ca="1" si="1"/>
        <v>1.1022432533625701E-2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input_452100!A$2</f>
        <v>452100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IFERROR(VLOOKUP(B16,input_452100!L:R,7,FALSE),VLOOKUP(tables_452100!C16,input_452100!A:H,8,FALSE))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input_452100!A$2</f>
        <v>452100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IFERROR(VLOOKUP(B17,input_452100!L:R,7,FALSE),VLOOKUP(tables_452100!C17,input_452100!A:H,8,FALSE))</f>
        <v>588157</v>
      </c>
      <c r="P17" s="46">
        <f t="shared" ca="1" si="1"/>
        <v>1.1022432533625701E-2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input_452100!A$2</f>
        <v>452100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IFERROR(VLOOKUP(B18,input_452100!L:R,7,FALSE),VLOOKUP(tables_452100!C18,input_452100!A:H,8,FALSE))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input_452100!A$2</f>
        <v>452100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IFERROR(VLOOKUP(B19,input_452100!L:R,7,FALSE),VLOOKUP(tables_452100!C19,input_452100!A:H,8,FALSE))</f>
        <v>588157</v>
      </c>
      <c r="P19" s="46">
        <f t="shared" ca="1" si="1"/>
        <v>1.1022432533625701E-2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input_452100!A$2</f>
        <v>452100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IFERROR(VLOOKUP(B20,input_452100!L:R,7,FALSE),VLOOKUP(tables_452100!C20,input_452100!A:H,8,FALSE))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input_452100!A$2</f>
        <v>452100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IFERROR(VLOOKUP(B21,input_452100!L:R,7,FALSE),VLOOKUP(tables_452100!C21,input_452100!A:H,8,FALSE))</f>
        <v>588157</v>
      </c>
      <c r="P21" s="46">
        <f t="shared" ca="1" si="1"/>
        <v>1.1022432533625701E-2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input_452100!A$2</f>
        <v>452100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IFERROR(VLOOKUP(B22,input_452100!L:R,7,FALSE),VLOOKUP(tables_452100!C22,input_452100!A:H,8,FALSE))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input_452100!A$2</f>
        <v>452100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IFERROR(VLOOKUP(B23,input_452100!L:R,7,FALSE),VLOOKUP(tables_452100!C23,input_452100!A:H,8,FALSE))</f>
        <v>588157</v>
      </c>
      <c r="P23" s="46">
        <f t="shared" ca="1" si="1"/>
        <v>1.1022432533625701E-2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input_452100!A$2</f>
        <v>452100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IFERROR(VLOOKUP(B24,input_452100!L:R,7,FALSE),VLOOKUP(tables_452100!C24,input_452100!A:H,8,FALSE))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input_452100!A$2</f>
        <v>452100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IFERROR(VLOOKUP(B25,input_452100!L:R,7,FALSE),VLOOKUP(tables_452100!C25,input_452100!A:H,8,FALSE))</f>
        <v>588157</v>
      </c>
      <c r="P25" s="46">
        <f t="shared" ca="1" si="1"/>
        <v>1.1022432533625701E-2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input_452100!A$2</f>
        <v>452100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IFERROR(VLOOKUP(B26,input_452100!L:R,7,FALSE),VLOOKUP(tables_452100!C26,input_452100!A:H,8,FALSE))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input_452100!A$2</f>
        <v>452100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IFERROR(VLOOKUP(B27,input_452100!L:R,7,FALSE),VLOOKUP(tables_452100!C27,input_452100!A:H,8,FALSE))</f>
        <v>588157</v>
      </c>
      <c r="P27" s="46">
        <f t="shared" ca="1" si="1"/>
        <v>1.1022432533625701E-2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input_452100!A$2</f>
        <v>452100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IFERROR(VLOOKUP(B28,input_452100!L:R,7,FALSE),VLOOKUP(tables_452100!C28,input_452100!A:H,8,FALSE))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input_452100!A$2</f>
        <v>452100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IFERROR(VLOOKUP(B29,input_452100!L:R,7,FALSE),VLOOKUP(tables_452100!C29,input_452100!A:H,8,FALSE))</f>
        <v>588157</v>
      </c>
      <c r="P29" s="46">
        <f t="shared" ca="1" si="1"/>
        <v>1.1022432533625701E-2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input_452100!A$2</f>
        <v>452100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IFERROR(VLOOKUP(B30,input_452100!L:R,7,FALSE),VLOOKUP(tables_452100!C30,input_452100!A:H,8,FALSE))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input_452100!A$2</f>
        <v>452100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IFERROR(VLOOKUP(B31,input_452100!L:R,7,FALSE),VLOOKUP(tables_452100!C31,input_452100!A:H,8,FALSE))</f>
        <v>588157</v>
      </c>
      <c r="P31" s="46">
        <f t="shared" ca="1" si="1"/>
        <v>1.1022432533625701E-2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input_452100!A$2</f>
        <v>452100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IFERROR(VLOOKUP(B32,input_452100!L:R,7,FALSE),VLOOKUP(tables_452100!C32,input_452100!A:H,8,FALSE))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input_452100!A$2</f>
        <v>452100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IFERROR(VLOOKUP(B33,input_452100!L:R,7,FALSE),VLOOKUP(tables_452100!C33,input_452100!A:H,8,FALSE))</f>
        <v>588157</v>
      </c>
      <c r="P33" s="46">
        <f t="shared" ca="1" si="1"/>
        <v>1.1022432533625701E-2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input_452100!A$2</f>
        <v>452100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IFERROR(VLOOKUP(B34,input_452100!L:R,7,FALSE),VLOOKUP(tables_452100!C34,input_452100!A:H,8,FALSE))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input_452100!A$2</f>
        <v>452100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IFERROR(VLOOKUP(B35,input_452100!L:R,7,FALSE),VLOOKUP(tables_452100!C35,input_452100!A:H,8,FALSE))</f>
        <v>588157</v>
      </c>
      <c r="P35" s="46">
        <f t="shared" ca="1" si="1"/>
        <v>1.1022432533625701E-2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input_452100!A$2</f>
        <v>452100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IFERROR(VLOOKUP(B36,input_452100!L:R,7,FALSE),VLOOKUP(tables_452100!C36,input_452100!A:H,8,FALSE))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input_452100!A$2</f>
        <v>452100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IFERROR(VLOOKUP(B37,input_452100!L:R,7,FALSE),VLOOKUP(tables_452100!C37,input_452100!A:H,8,FALSE))</f>
        <v>588157</v>
      </c>
      <c r="P37" s="46">
        <f t="shared" ca="1" si="1"/>
        <v>1.1022432533625701E-2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input_452100!A$2</f>
        <v>452100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IFERROR(VLOOKUP(B38,input_452100!L:R,7,FALSE),VLOOKUP(tables_452100!C38,input_452100!A:H,8,FALSE))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input_452100!A$2</f>
        <v>452100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IFERROR(VLOOKUP(B39,input_452100!L:R,7,FALSE),VLOOKUP(tables_452100!C39,input_452100!A:H,8,FALSE))</f>
        <v>588157</v>
      </c>
      <c r="P39" s="46">
        <f t="shared" ca="1" si="1"/>
        <v>1.1022432533625701E-2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input_452100!A$2</f>
        <v>452100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IFERROR(VLOOKUP(B40,input_452100!L:R,7,FALSE),VLOOKUP(tables_452100!C40,input_452100!A:H,8,FALSE))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input_452100!A$2</f>
        <v>452100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IFERROR(VLOOKUP(B41,input_452100!L:R,7,FALSE),VLOOKUP(tables_452100!C41,input_452100!A:H,8,FALSE))</f>
        <v>588157</v>
      </c>
      <c r="P41" s="46">
        <f t="shared" ca="1" si="1"/>
        <v>1.1022432533625701E-2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input_452100!A$2</f>
        <v>452100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IFERROR(VLOOKUP(B42,input_452100!L:R,7,FALSE),VLOOKUP(tables_452100!C42,input_452100!A:H,8,FALSE))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input_452100!A$2</f>
        <v>452100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IFERROR(VLOOKUP(B43,input_452100!L:R,7,FALSE),VLOOKUP(tables_452100!C43,input_452100!A:H,8,FALSE))</f>
        <v>523450</v>
      </c>
      <c r="P43" s="46">
        <f t="shared" ca="1" si="1"/>
        <v>9.8097826086000397E-3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input_452100!A$2</f>
        <v>452100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IFERROR(VLOOKUP(B44,input_452100!L:R,7,FALSE),VLOOKUP(tables_452100!C44,input_452100!A:H,8,FALSE))</f>
        <v>27550</v>
      </c>
      <c r="P44" s="46">
        <f t="shared" ca="1" si="1"/>
        <v>5.1630434782105471E-4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input_452100!A$2</f>
        <v>452100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IFERROR(VLOOKUP(B45,input_452100!L:R,7,FALSE),VLOOKUP(tables_452100!C45,input_452100!A:H,8,FALSE))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input_452100!A$2</f>
        <v>452100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IFERROR(VLOOKUP(B46,input_452100!L:R,7,FALSE),VLOOKUP(tables_452100!C46,input_452100!A:H,8,FALSE))</f>
        <v>523450</v>
      </c>
      <c r="P46" s="46">
        <f t="shared" ca="1" si="1"/>
        <v>9.8097826086000397E-3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input_452100!A$2</f>
        <v>452100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IFERROR(VLOOKUP(B47,input_452100!L:R,7,FALSE),VLOOKUP(tables_452100!C47,input_452100!A:H,8,FALSE))</f>
        <v>27550</v>
      </c>
      <c r="P47" s="46">
        <f t="shared" ca="1" si="1"/>
        <v>5.1630434782105471E-4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input_452100!A$2</f>
        <v>452100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IFERROR(VLOOKUP(B48,input_452100!L:R,7,FALSE),VLOOKUP(tables_452100!C48,input_452100!A:H,8,FALSE))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input_452100!A$2</f>
        <v>452100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IFERROR(VLOOKUP(B49,input_452100!L:R,7,FALSE),VLOOKUP(tables_452100!C49,input_452100!A:H,8,FALSE))</f>
        <v>523450</v>
      </c>
      <c r="P49" s="46">
        <f t="shared" ca="1" si="1"/>
        <v>9.8097826086000397E-3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input_452100!A$2</f>
        <v>452100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IFERROR(VLOOKUP(B50,input_452100!L:R,7,FALSE),VLOOKUP(tables_452100!C50,input_452100!A:H,8,FALSE))</f>
        <v>27550</v>
      </c>
      <c r="P50" s="46">
        <f t="shared" ca="1" si="1"/>
        <v>5.1630434782105471E-4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input_452100!A$2</f>
        <v>452100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IFERROR(VLOOKUP(B51,input_452100!L:R,7,FALSE),VLOOKUP(tables_452100!C51,input_452100!A:H,8,FALSE))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input_452100!A$2</f>
        <v>452100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IFERROR(VLOOKUP(B52,input_452100!L:R,7,FALSE),VLOOKUP(tables_452100!C52,input_452100!A:H,8,FALSE))</f>
        <v>523450</v>
      </c>
      <c r="P52" s="46">
        <f t="shared" ca="1" si="1"/>
        <v>9.8097826086000397E-3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input_452100!A$2</f>
        <v>452100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IFERROR(VLOOKUP(B53,input_452100!L:R,7,FALSE),VLOOKUP(tables_452100!C53,input_452100!A:H,8,FALSE))</f>
        <v>2997.3076999999998</v>
      </c>
      <c r="P53" s="46">
        <f t="shared" ca="1" si="1"/>
        <v>5.617143365762343E-5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input_452100!A$2</f>
        <v>452100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IFERROR(VLOOKUP(B54,input_452100!L:R,7,FALSE),VLOOKUP(tables_452100!C54,input_452100!A:H,8,FALSE))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input_452100!A$2</f>
        <v>452100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IFERROR(VLOOKUP(B55,input_452100!L:R,7,FALSE),VLOOKUP(tables_452100!C55,input_452100!A:H,8,FALSE))</f>
        <v>523450</v>
      </c>
      <c r="P55" s="46">
        <f t="shared" ca="1" si="1"/>
        <v>9.8097826086000397E-3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input_452100!A$2</f>
        <v>452100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IFERROR(VLOOKUP(B56,input_452100!L:R,7,FALSE),VLOOKUP(tables_452100!C56,input_452100!A:H,8,FALSE))</f>
        <v>2997.3076999999998</v>
      </c>
      <c r="P56" s="46">
        <f t="shared" ca="1" si="1"/>
        <v>5.617143365762343E-5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input_452100!A$2</f>
        <v>452100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IFERROR(VLOOKUP(B57,input_452100!L:R,7,FALSE),VLOOKUP(tables_452100!C57,input_452100!A:H,8,FALSE))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input_452100!A$2</f>
        <v>452100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IFERROR(VLOOKUP(B58,input_452100!L:R,7,FALSE),VLOOKUP(tables_452100!C58,input_452100!A:H,8,FALSE))</f>
        <v>523450</v>
      </c>
      <c r="P58" s="46">
        <f t="shared" ca="1" si="1"/>
        <v>9.8097826086000397E-3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input_452100!A$2</f>
        <v>452100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IFERROR(VLOOKUP(B59,input_452100!L:R,7,FALSE),VLOOKUP(tables_452100!C59,input_452100!A:H,8,FALSE))</f>
        <v>2997.3076999999998</v>
      </c>
      <c r="P59" s="46">
        <f t="shared" ca="1" si="1"/>
        <v>5.617143365762343E-5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input_452100!A$2</f>
        <v>452100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IFERROR(VLOOKUP(B60,input_452100!L:R,7,FALSE),VLOOKUP(tables_452100!C60,input_452100!A:H,8,FALSE))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input_452100!A$2</f>
        <v>452100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IFERROR(VLOOKUP(B61,input_452100!L:R,7,FALSE),VLOOKUP(tables_452100!C61,input_452100!A:H,8,FALSE))</f>
        <v>523450</v>
      </c>
      <c r="P61" s="46">
        <f t="shared" ca="1" si="1"/>
        <v>9.8097826086000397E-3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input_452100!A$2</f>
        <v>452100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IFERROR(VLOOKUP(B62,input_452100!L:R,7,FALSE),VLOOKUP(tables_452100!C62,input_452100!A:H,8,FALSE))</f>
        <v>2997.3076999999998</v>
      </c>
      <c r="P62" s="46">
        <f t="shared" ca="1" si="1"/>
        <v>5.617143365762343E-5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input_452100!A$2</f>
        <v>452100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IFERROR(VLOOKUP(B63,input_452100!L:R,7,FALSE),VLOOKUP(tables_452100!C63,input_452100!A:H,8,FALSE))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input_452100!A$2</f>
        <v>452100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IFERROR(VLOOKUP(B64,input_452100!L:R,7,FALSE),VLOOKUP(tables_452100!C64,input_452100!A:H,8,FALSE))</f>
        <v>523450</v>
      </c>
      <c r="P64" s="46">
        <f t="shared" ca="1" si="1"/>
        <v>9.8097826086000397E-3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input_452100!A$2</f>
        <v>452100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IFERROR(VLOOKUP(B65,input_452100!L:R,7,FALSE),VLOOKUP(tables_452100!C65,input_452100!A:H,8,FALSE))</f>
        <v>2997.3076999999998</v>
      </c>
      <c r="P65" s="46">
        <f t="shared" ca="1" si="1"/>
        <v>5.617143365762343E-5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input_452100!A$2</f>
        <v>452100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IFERROR(VLOOKUP(B66,input_452100!L:R,7,FALSE),VLOOKUP(tables_452100!C66,input_452100!A:H,8,FALSE))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input_452100!A$2</f>
        <v>452100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IFERROR(VLOOKUP(B67,input_452100!L:R,7,FALSE),VLOOKUP(tables_452100!C67,input_452100!A:H,8,FALSE))</f>
        <v>523450</v>
      </c>
      <c r="P67" s="46">
        <f t="shared" ca="1" si="4"/>
        <v>9.8097826086000397E-3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input_452100!A$2</f>
        <v>452100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IFERROR(VLOOKUP(B68,input_452100!L:R,7,FALSE),VLOOKUP(tables_452100!C68,input_452100!A:H,8,FALSE))</f>
        <v>2997.3076999999998</v>
      </c>
      <c r="P68" s="46">
        <f t="shared" ca="1" si="4"/>
        <v>5.617143365762343E-5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input_452100!A$2</f>
        <v>452100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IFERROR(VLOOKUP(B69,input_452100!L:R,7,FALSE),VLOOKUP(tables_452100!C69,input_452100!A:H,8,FALSE))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input_452100!A$2</f>
        <v>452100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IFERROR(VLOOKUP(B70,input_452100!L:R,7,FALSE),VLOOKUP(tables_452100!C70,input_452100!A:H,8,FALSE))</f>
        <v>523450</v>
      </c>
      <c r="P70" s="46">
        <f t="shared" ca="1" si="4"/>
        <v>9.8097826086000397E-3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input_452100!A$2</f>
        <v>452100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IFERROR(VLOOKUP(B71,input_452100!L:R,7,FALSE),VLOOKUP(tables_452100!C71,input_452100!A:H,8,FALSE))</f>
        <v>2997.3076999999998</v>
      </c>
      <c r="P71" s="46">
        <f t="shared" ca="1" si="4"/>
        <v>5.617143365762343E-5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input_452100!A$2</f>
        <v>452100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IFERROR(VLOOKUP(B72,input_452100!L:R,7,FALSE),VLOOKUP(tables_452100!C72,input_452100!A:H,8,FALSE))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input_452100!A$2</f>
        <v>452100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IFERROR(VLOOKUP(B73,input_452100!L:R,7,FALSE),VLOOKUP(tables_452100!C73,input_452100!A:H,8,FALSE))</f>
        <v>523450</v>
      </c>
      <c r="P73" s="46">
        <f t="shared" ca="1" si="4"/>
        <v>9.8097826086000397E-3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input_452100!A$2</f>
        <v>452100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IFERROR(VLOOKUP(B74,input_452100!L:R,7,FALSE),VLOOKUP(tables_452100!C74,input_452100!A:H,8,FALSE))</f>
        <v>2997.3076999999998</v>
      </c>
      <c r="P74" s="46">
        <f t="shared" ca="1" si="4"/>
        <v>5.617143365762343E-5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input_452100!A$2</f>
        <v>452100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IFERROR(VLOOKUP(B75,input_452100!L:R,7,FALSE),VLOOKUP(tables_452100!C75,input_452100!A:H,8,FALSE))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input_452100!A$2</f>
        <v>452100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IFERROR(VLOOKUP(B76,input_452100!L:R,7,FALSE),VLOOKUP(tables_452100!C76,input_452100!A:H,8,FALSE))</f>
        <v>523450</v>
      </c>
      <c r="P76" s="46">
        <f t="shared" ca="1" si="4"/>
        <v>9.8097826086000397E-3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input_452100!A$2</f>
        <v>452100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IFERROR(VLOOKUP(B77,input_452100!L:R,7,FALSE),VLOOKUP(tables_452100!C77,input_452100!A:H,8,FALSE))</f>
        <v>2997.3076999999998</v>
      </c>
      <c r="P77" s="46">
        <f t="shared" ca="1" si="4"/>
        <v>5.617143365762343E-5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input_452100!A$2</f>
        <v>452100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IFERROR(VLOOKUP(B78,input_452100!L:R,7,FALSE),VLOOKUP(tables_452100!C78,input_452100!A:H,8,FALSE))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input_452100!A$2</f>
        <v>452100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IFERROR(VLOOKUP(B79,input_452100!L:R,7,FALSE),VLOOKUP(tables_452100!C79,input_452100!A:H,8,FALSE))</f>
        <v>523450</v>
      </c>
      <c r="P79" s="46">
        <f t="shared" ca="1" si="4"/>
        <v>9.8097826086000397E-3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input_452100!A$2</f>
        <v>452100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IFERROR(VLOOKUP(B80,input_452100!L:R,7,FALSE),VLOOKUP(tables_452100!C80,input_452100!A:H,8,FALSE))</f>
        <v>2997.3076999999998</v>
      </c>
      <c r="P80" s="46">
        <f t="shared" ca="1" si="4"/>
        <v>5.617143365762343E-5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input_452100!A$2</f>
        <v>452100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IFERROR(VLOOKUP(B81,input_452100!L:R,7,FALSE),VLOOKUP(tables_452100!C81,input_452100!A:H,8,FALSE))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input_452100!A$2</f>
        <v>452100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IFERROR(VLOOKUP(B82,input_452100!L:R,7,FALSE),VLOOKUP(tables_452100!C82,input_452100!A:H,8,FALSE))</f>
        <v>523450</v>
      </c>
      <c r="P82" s="46">
        <f t="shared" ca="1" si="4"/>
        <v>9.8097826086000397E-3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input_452100!A$2</f>
        <v>452100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IFERROR(VLOOKUP(B83,input_452100!L:R,7,FALSE),VLOOKUP(tables_452100!C83,input_452100!A:H,8,FALSE))</f>
        <v>2997.3076999999998</v>
      </c>
      <c r="P83" s="46">
        <f t="shared" ca="1" si="4"/>
        <v>5.617143365762343E-5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input_452100!A$2</f>
        <v>452100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IFERROR(VLOOKUP(B84,input_452100!L:R,7,FALSE),VLOOKUP(tables_452100!C84,input_452100!A:H,8,FALSE))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input_452100!A$2</f>
        <v>452100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IFERROR(VLOOKUP(B85,input_452100!L:R,7,FALSE),VLOOKUP(tables_452100!C85,input_452100!A:H,8,FALSE))</f>
        <v>523450</v>
      </c>
      <c r="P85" s="46">
        <f t="shared" ca="1" si="4"/>
        <v>9.8097826086000397E-3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input_452100!A$2</f>
        <v>452100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IFERROR(VLOOKUP(B86,input_452100!L:R,7,FALSE),VLOOKUP(tables_452100!C86,input_452100!A:H,8,FALSE))</f>
        <v>2997.3076999999998</v>
      </c>
      <c r="P86" s="46">
        <f t="shared" ca="1" si="4"/>
        <v>5.617143365762343E-5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input_452100!A$2</f>
        <v>452100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IFERROR(VLOOKUP(B87,input_452100!L:R,7,FALSE),VLOOKUP(tables_452100!C87,input_452100!A:H,8,FALSE))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input_452100!A$2</f>
        <v>452100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IFERROR(VLOOKUP(B88,input_452100!L:R,7,FALSE),VLOOKUP(tables_452100!C88,input_452100!A:H,8,FALSE))</f>
        <v>523450</v>
      </c>
      <c r="P88" s="46">
        <f t="shared" ca="1" si="4"/>
        <v>9.8097826086000397E-3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input_452100!A$2</f>
        <v>452100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IFERROR(VLOOKUP(B89,input_452100!L:R,7,FALSE),VLOOKUP(tables_452100!C89,input_452100!A:H,8,FALSE))</f>
        <v>2997.3076999999998</v>
      </c>
      <c r="P89" s="46">
        <f t="shared" ca="1" si="4"/>
        <v>5.617143365762343E-5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input_452100!A$2</f>
        <v>452100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IFERROR(VLOOKUP(B90,input_452100!L:R,7,FALSE),VLOOKUP(tables_452100!C90,input_452100!A:H,8,FALSE))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input_452100!A$2</f>
        <v>452100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IFERROR(VLOOKUP(B91,input_452100!L:R,7,FALSE),VLOOKUP(tables_452100!C91,input_452100!A:H,8,FALSE))</f>
        <v>523450</v>
      </c>
      <c r="P91" s="46">
        <f t="shared" ca="1" si="4"/>
        <v>9.8097826086000397E-3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input_452100!A$2</f>
        <v>452100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IFERROR(VLOOKUP(B92,input_452100!L:R,7,FALSE),VLOOKUP(tables_452100!C92,input_452100!A:H,8,FALSE))</f>
        <v>2997.3076999999998</v>
      </c>
      <c r="P92" s="46">
        <f t="shared" ca="1" si="4"/>
        <v>5.617143365762343E-5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input_452100!A$2</f>
        <v>452100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IFERROR(VLOOKUP(B93,input_452100!L:R,7,FALSE),VLOOKUP(tables_452100!C93,input_452100!A:H,8,FALSE))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input_452100!A$2</f>
        <v>452100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IFERROR(VLOOKUP(B94,input_452100!L:R,7,FALSE),VLOOKUP(tables_452100!C94,input_452100!A:H,8,FALSE))</f>
        <v>523450</v>
      </c>
      <c r="P94" s="46">
        <f t="shared" ca="1" si="4"/>
        <v>9.8097826086000397E-3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input_452100!A$2</f>
        <v>452100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IFERROR(VLOOKUP(B95,input_452100!L:R,7,FALSE),VLOOKUP(tables_452100!C95,input_452100!A:H,8,FALSE))</f>
        <v>2997.3076999999998</v>
      </c>
      <c r="P95" s="46">
        <f t="shared" ca="1" si="4"/>
        <v>5.617143365762343E-5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input_452100!A$2</f>
        <v>452100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IFERROR(VLOOKUP(B96,input_452100!L:R,7,FALSE),VLOOKUP(tables_452100!C96,input_452100!A:H,8,FALSE))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input_452100!A$2</f>
        <v>452100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IFERROR(VLOOKUP(B97,input_452100!L:R,7,FALSE),VLOOKUP(tables_452100!C97,input_452100!A:H,8,FALSE))</f>
        <v>523450</v>
      </c>
      <c r="P97" s="46">
        <f t="shared" ca="1" si="4"/>
        <v>9.8097826086000397E-3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input_452100!A$2</f>
        <v>452100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IFERROR(VLOOKUP(B98,input_452100!L:R,7,FALSE),VLOOKUP(tables_452100!C98,input_452100!A:H,8,FALSE))</f>
        <v>2997.3076999999998</v>
      </c>
      <c r="P98" s="46">
        <f t="shared" ca="1" si="4"/>
        <v>5.617143365762343E-5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input_452100!A$2</f>
        <v>452100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IFERROR(VLOOKUP(B99,input_452100!L:R,7,FALSE),VLOOKUP(tables_452100!C99,input_452100!A:H,8,FALSE))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input_452100!A$2</f>
        <v>452100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IFERROR(VLOOKUP(B100,input_452100!L:R,7,FALSE),VLOOKUP(tables_452100!C100,input_452100!A:H,8,FALSE))</f>
        <v>523450</v>
      </c>
      <c r="P100" s="46">
        <f t="shared" ca="1" si="4"/>
        <v>9.8097826086000397E-3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input_452100!A$2</f>
        <v>452100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IFERROR(VLOOKUP(B101,input_452100!L:R,7,FALSE),VLOOKUP(tables_452100!C101,input_452100!A:H,8,FALSE))</f>
        <v>2997.3076999999998</v>
      </c>
      <c r="P101" s="46">
        <f t="shared" ca="1" si="4"/>
        <v>5.617143365762343E-5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input_452100!A$2</f>
        <v>452100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IFERROR(VLOOKUP(B102,input_452100!L:R,7,FALSE),VLOOKUP(tables_452100!C102,input_452100!A:H,8,FALSE))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input_452100!A$2</f>
        <v>452100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IFERROR(VLOOKUP(B103,input_452100!L:R,7,FALSE),VLOOKUP(tables_452100!C103,input_452100!A:H,8,FALSE))</f>
        <v>523450</v>
      </c>
      <c r="P103" s="46">
        <f t="shared" ca="1" si="4"/>
        <v>9.8097826086000397E-3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input_452100!A$2</f>
        <v>452100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IFERROR(VLOOKUP(B104,input_452100!L:R,7,FALSE),VLOOKUP(tables_452100!C104,input_452100!A:H,8,FALSE))</f>
        <v>2997.3076999999998</v>
      </c>
      <c r="P104" s="46">
        <f t="shared" ca="1" si="4"/>
        <v>5.617143365762343E-5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input_452100!A$2</f>
        <v>452100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IFERROR(VLOOKUP(B105,input_452100!L:R,7,FALSE),VLOOKUP(tables_452100!C105,input_452100!A:H,8,FALSE))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input_452100!A$2</f>
        <v>452100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IFERROR(VLOOKUP(B106,input_452100!L:R,7,FALSE),VLOOKUP(tables_452100!C106,input_452100!A:H,8,FALSE))</f>
        <v>523450</v>
      </c>
      <c r="P106" s="46">
        <f t="shared" ca="1" si="4"/>
        <v>9.8097826086000397E-3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input_452100!A$2</f>
        <v>452100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IFERROR(VLOOKUP(B107,input_452100!L:R,7,FALSE),VLOOKUP(tables_452100!C107,input_452100!A:H,8,FALSE))</f>
        <v>2997.3076999999998</v>
      </c>
      <c r="P107" s="46">
        <f t="shared" ca="1" si="4"/>
        <v>5.617143365762343E-5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input_452100!A$2</f>
        <v>452100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IFERROR(VLOOKUP(B108,input_452100!L:R,7,FALSE),VLOOKUP(tables_452100!C108,input_452100!A:H,8,FALSE))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input_452100!A$2</f>
        <v>452100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IFERROR(VLOOKUP(B109,input_452100!L:R,7,FALSE),VLOOKUP(tables_452100!C109,input_452100!A:H,8,FALSE))</f>
        <v>523450</v>
      </c>
      <c r="P109" s="46">
        <f t="shared" ca="1" si="4"/>
        <v>9.8097826086000397E-3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input_452100!A$2</f>
        <v>452100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IFERROR(VLOOKUP(B110,input_452100!L:R,7,FALSE),VLOOKUP(tables_452100!C110,input_452100!A:H,8,FALSE))</f>
        <v>2997.3076999999998</v>
      </c>
      <c r="P110" s="46">
        <f t="shared" ca="1" si="4"/>
        <v>5.617143365762343E-5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input_452100!A$2</f>
        <v>452100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IFERROR(VLOOKUP(B111,input_452100!L:R,7,FALSE),VLOOKUP(tables_452100!C111,input_452100!A:H,8,FALSE))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input_452100!A$2</f>
        <v>452100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IFERROR(VLOOKUP(B112,input_452100!L:R,7,FALSE),VLOOKUP(tables_452100!C112,input_452100!A:H,8,FALSE))</f>
        <v>523450</v>
      </c>
      <c r="P112" s="46">
        <f t="shared" ca="1" si="4"/>
        <v>9.8097826086000397E-3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input_452100!A$2</f>
        <v>452100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IFERROR(VLOOKUP(B113,input_452100!L:R,7,FALSE),VLOOKUP(tables_452100!C113,input_452100!A:H,8,FALSE))</f>
        <v>27550</v>
      </c>
      <c r="P113" s="46">
        <f t="shared" ca="1" si="4"/>
        <v>5.1630434782105471E-4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input_452100!A$2</f>
        <v>452100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IFERROR(VLOOKUP(B114,input_452100!L:R,7,FALSE),VLOOKUP(tables_452100!C114,input_452100!A:H,8,FALSE))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input_452100!A$2</f>
        <v>452100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IFERROR(VLOOKUP(B115,input_452100!L:R,7,FALSE),VLOOKUP(tables_452100!C115,input_452100!A:H,8,FALSE))</f>
        <v>523450</v>
      </c>
      <c r="P115" s="46">
        <f t="shared" ca="1" si="4"/>
        <v>9.8097826086000397E-3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input_452100!A$2</f>
        <v>452100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IFERROR(VLOOKUP(B116,input_452100!L:R,7,FALSE),VLOOKUP(tables_452100!C116,input_452100!A:H,8,FALSE))</f>
        <v>2997.3076999999998</v>
      </c>
      <c r="P116" s="46">
        <f t="shared" ca="1" si="4"/>
        <v>5.617143365762343E-5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input_452100!A$2</f>
        <v>452100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IFERROR(VLOOKUP(B117,input_452100!L:R,7,FALSE),VLOOKUP(tables_452100!C117,input_452100!A:H,8,FALSE))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input_452100!A$2</f>
        <v>452100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IFERROR(VLOOKUP(B118,input_452100!L:R,7,FALSE),VLOOKUP(tables_452100!C118,input_452100!A:H,8,FALSE))</f>
        <v>523450</v>
      </c>
      <c r="P118" s="46">
        <f t="shared" ca="1" si="4"/>
        <v>9.8097826086000397E-3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input_452100!A$2</f>
        <v>452100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IFERROR(VLOOKUP(B119,input_452100!L:R,7,FALSE),VLOOKUP(tables_452100!C119,input_452100!A:H,8,FALSE))</f>
        <v>2997.3076999999998</v>
      </c>
      <c r="P119" s="46">
        <f t="shared" ca="1" si="4"/>
        <v>5.617143365762343E-5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input_452100!A$2</f>
        <v>452100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IFERROR(VLOOKUP(B120,input_452100!L:R,7,FALSE),VLOOKUP(tables_452100!C120,input_452100!A:H,8,FALSE))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input_452100!A$2</f>
        <v>452100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IFERROR(VLOOKUP(B121,input_452100!L:R,7,FALSE),VLOOKUP(tables_452100!C121,input_452100!A:H,8,FALSE))</f>
        <v>523450</v>
      </c>
      <c r="P121" s="46">
        <f t="shared" ca="1" si="4"/>
        <v>9.8097826086000397E-3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input_452100!A$2</f>
        <v>452100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IFERROR(VLOOKUP(B122,input_452100!L:R,7,FALSE),VLOOKUP(tables_452100!C122,input_452100!A:H,8,FALSE))</f>
        <v>2997.3076999999998</v>
      </c>
      <c r="P122" s="46">
        <f t="shared" ca="1" si="4"/>
        <v>5.617143365762343E-5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input_452100!A$2</f>
        <v>452100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IFERROR(VLOOKUP(B123,input_452100!L:R,7,FALSE),VLOOKUP(tables_452100!C123,input_452100!A:H,8,FALSE))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input_452100!A$2</f>
        <v>452100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IFERROR(VLOOKUP(B124,input_452100!L:R,7,FALSE),VLOOKUP(tables_452100!C124,input_452100!A:H,8,FALSE))</f>
        <v>523450</v>
      </c>
      <c r="P124" s="46">
        <f t="shared" ca="1" si="4"/>
        <v>9.8097826086000397E-3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input_452100!A$2</f>
        <v>452100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IFERROR(VLOOKUP(B125,input_452100!L:R,7,FALSE),VLOOKUP(tables_452100!C125,input_452100!A:H,8,FALSE))</f>
        <v>2997.3076999999998</v>
      </c>
      <c r="P125" s="46">
        <f t="shared" ca="1" si="4"/>
        <v>5.617143365762343E-5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input_452100!A$2</f>
        <v>452100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IFERROR(VLOOKUP(B126,input_452100!L:R,7,FALSE),VLOOKUP(tables_452100!C126,input_452100!A:H,8,FALSE))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input_452100!A$2</f>
        <v>452100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IFERROR(VLOOKUP(B127,input_452100!L:R,7,FALSE),VLOOKUP(tables_452100!C127,input_452100!A:H,8,FALSE))</f>
        <v>523450</v>
      </c>
      <c r="P127" s="46">
        <f t="shared" ca="1" si="4"/>
        <v>9.8097826086000397E-3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input_452100!A$2</f>
        <v>452100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IFERROR(VLOOKUP(B128,input_452100!L:R,7,FALSE),VLOOKUP(tables_452100!C128,input_452100!A:H,8,FALSE))</f>
        <v>2997.3076999999998</v>
      </c>
      <c r="P128" s="46">
        <f t="shared" ca="1" si="4"/>
        <v>5.617143365762343E-5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input_452100!A$2</f>
        <v>452100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IFERROR(VLOOKUP(B129,input_452100!L:R,7,FALSE),VLOOKUP(tables_452100!C129,input_452100!A:H,8,FALSE))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input_452100!A$2</f>
        <v>452100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IFERROR(VLOOKUP(B130,input_452100!L:R,7,FALSE),VLOOKUP(tables_452100!C130,input_452100!A:H,8,FALSE))</f>
        <v>523450</v>
      </c>
      <c r="P130" s="46">
        <f t="shared" ref="P130:P193" ca="1" si="7">O130/SUM(O:O)</f>
        <v>9.8097826086000397E-3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input_452100!A$2</f>
        <v>452100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IFERROR(VLOOKUP(B131,input_452100!L:R,7,FALSE),VLOOKUP(tables_452100!C131,input_452100!A:H,8,FALSE))</f>
        <v>2997.3076999999998</v>
      </c>
      <c r="P131" s="46">
        <f t="shared" ca="1" si="7"/>
        <v>5.617143365762343E-5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input_452100!A$2</f>
        <v>452100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IFERROR(VLOOKUP(B132,input_452100!L:R,7,FALSE),VLOOKUP(tables_452100!C132,input_452100!A:H,8,FALSE))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input_452100!A$2</f>
        <v>452100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IFERROR(VLOOKUP(B133,input_452100!L:R,7,FALSE),VLOOKUP(tables_452100!C133,input_452100!A:H,8,FALSE))</f>
        <v>523450</v>
      </c>
      <c r="P133" s="46">
        <f t="shared" ca="1" si="7"/>
        <v>9.8097826086000397E-3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input_452100!A$2</f>
        <v>452100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IFERROR(VLOOKUP(B134,input_452100!L:R,7,FALSE),VLOOKUP(tables_452100!C134,input_452100!A:H,8,FALSE))</f>
        <v>2997.3076999999998</v>
      </c>
      <c r="P134" s="46">
        <f t="shared" ca="1" si="7"/>
        <v>5.617143365762343E-5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input_452100!A$2</f>
        <v>452100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IFERROR(VLOOKUP(B135,input_452100!L:R,7,FALSE),VLOOKUP(tables_452100!C135,input_452100!A:H,8,FALSE))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input_452100!A$2</f>
        <v>452100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IFERROR(VLOOKUP(B136,input_452100!L:R,7,FALSE),VLOOKUP(tables_452100!C136,input_452100!A:H,8,FALSE))</f>
        <v>523450</v>
      </c>
      <c r="P136" s="46">
        <f t="shared" ca="1" si="7"/>
        <v>9.8097826086000397E-3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input_452100!A$2</f>
        <v>452100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IFERROR(VLOOKUP(B137,input_452100!L:R,7,FALSE),VLOOKUP(tables_452100!C137,input_452100!A:H,8,FALSE))</f>
        <v>2997.3076999999998</v>
      </c>
      <c r="P137" s="46">
        <f t="shared" ca="1" si="7"/>
        <v>5.617143365762343E-5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input_452100!A$2</f>
        <v>452100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IFERROR(VLOOKUP(B138,input_452100!L:R,7,FALSE),VLOOKUP(tables_452100!C138,input_452100!A:H,8,FALSE))</f>
        <v>34960</v>
      </c>
      <c r="P138" s="46">
        <f t="shared" ca="1" si="7"/>
        <v>6.5517241378671776E-4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input_452100!A$2</f>
        <v>452100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IFERROR(VLOOKUP(B139,input_452100!L:R,7,FALSE),VLOOKUP(tables_452100!C139,input_452100!A:H,8,FALSE))</f>
        <v>18268.57143</v>
      </c>
      <c r="P139" s="46">
        <f t="shared" ca="1" si="7"/>
        <v>3.4236453204313985E-4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input_452100!A$2</f>
        <v>452100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IFERROR(VLOOKUP(B140,input_452100!L:R,7,FALSE),VLOOKUP(tables_452100!C140,input_452100!A:H,8,FALSE))</f>
        <v>34960</v>
      </c>
      <c r="P140" s="46">
        <f t="shared" ca="1" si="7"/>
        <v>6.5517241378671776E-4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input_452100!A$2</f>
        <v>452100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IFERROR(VLOOKUP(B141,input_452100!L:R,7,FALSE),VLOOKUP(tables_452100!C141,input_452100!A:H,8,FALSE))</f>
        <v>18268.57143</v>
      </c>
      <c r="P141" s="46">
        <f t="shared" ca="1" si="7"/>
        <v>3.4236453204313985E-4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input_452100!A$2</f>
        <v>452100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IFERROR(VLOOKUP(B142,input_452100!L:R,7,FALSE),VLOOKUP(tables_452100!C142,input_452100!A:H,8,FALSE))</f>
        <v>34960</v>
      </c>
      <c r="P142" s="46">
        <f t="shared" ca="1" si="7"/>
        <v>6.5517241378671776E-4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input_452100!A$2</f>
        <v>452100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IFERROR(VLOOKUP(B143,input_452100!L:R,7,FALSE),VLOOKUP(tables_452100!C143,input_452100!A:H,8,FALSE))</f>
        <v>18268.57143</v>
      </c>
      <c r="P143" s="46">
        <f t="shared" ca="1" si="7"/>
        <v>3.4236453204313985E-4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input_452100!A$2</f>
        <v>452100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IFERROR(VLOOKUP(B144,input_452100!L:R,7,FALSE),VLOOKUP(tables_452100!C144,input_452100!A:H,8,FALSE))</f>
        <v>34960</v>
      </c>
      <c r="P144" s="46">
        <f t="shared" ca="1" si="7"/>
        <v>6.5517241378671776E-4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input_452100!A$2</f>
        <v>452100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IFERROR(VLOOKUP(B145,input_452100!L:R,7,FALSE),VLOOKUP(tables_452100!C145,input_452100!A:H,8,FALSE))</f>
        <v>18268.57143</v>
      </c>
      <c r="P145" s="46">
        <f t="shared" ca="1" si="7"/>
        <v>3.4236453204313985E-4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input_452100!A$2</f>
        <v>452100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IFERROR(VLOOKUP(B146,input_452100!L:R,7,FALSE),VLOOKUP(tables_452100!C146,input_452100!A:H,8,FALSE))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input_452100!A$2</f>
        <v>452100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IFERROR(VLOOKUP(B147,input_452100!L:R,7,FALSE),VLOOKUP(tables_452100!C147,input_452100!A:H,8,FALSE))</f>
        <v>523450</v>
      </c>
      <c r="P147" s="46">
        <f t="shared" ca="1" si="7"/>
        <v>9.8097826086000397E-3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input_452100!A$2</f>
        <v>452100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IFERROR(VLOOKUP(B148,input_452100!L:R,7,FALSE),VLOOKUP(tables_452100!C148,input_452100!A:H,8,FALSE))</f>
        <v>2997.3076999999998</v>
      </c>
      <c r="P148" s="46">
        <f t="shared" ca="1" si="7"/>
        <v>5.617143365762343E-5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input_452100!A$2</f>
        <v>452100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IFERROR(VLOOKUP(B149,input_452100!L:R,7,FALSE),VLOOKUP(tables_452100!C149,input_452100!A:H,8,FALSE))</f>
        <v>34960</v>
      </c>
      <c r="P149" s="46">
        <f t="shared" ca="1" si="7"/>
        <v>6.5517241378671776E-4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input_452100!A$2</f>
        <v>452100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IFERROR(VLOOKUP(B150,input_452100!L:R,7,FALSE),VLOOKUP(tables_452100!C150,input_452100!A:H,8,FALSE))</f>
        <v>18268.57143</v>
      </c>
      <c r="P150" s="46">
        <f t="shared" ca="1" si="7"/>
        <v>3.4236453204313985E-4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input_452100!A$2</f>
        <v>452100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IFERROR(VLOOKUP(B151,input_452100!L:R,7,FALSE),VLOOKUP(tables_452100!C151,input_452100!A:H,8,FALSE))</f>
        <v>34960</v>
      </c>
      <c r="P151" s="46">
        <f t="shared" ca="1" si="7"/>
        <v>6.5517241378671776E-4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input_452100!A$2</f>
        <v>452100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IFERROR(VLOOKUP(B152,input_452100!L:R,7,FALSE),VLOOKUP(tables_452100!C152,input_452100!A:H,8,FALSE))</f>
        <v>18268.57143</v>
      </c>
      <c r="P152" s="46">
        <f t="shared" ca="1" si="7"/>
        <v>3.4236453204313985E-4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input_452100!A$2</f>
        <v>452100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IFERROR(VLOOKUP(B153,input_452100!L:R,7,FALSE),VLOOKUP(tables_452100!C153,input_452100!A:H,8,FALSE))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input_452100!A$2</f>
        <v>452100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IFERROR(VLOOKUP(B154,input_452100!L:R,7,FALSE),VLOOKUP(tables_452100!C154,input_452100!A:H,8,FALSE))</f>
        <v>523450</v>
      </c>
      <c r="P154" s="46">
        <f t="shared" ca="1" si="7"/>
        <v>9.8097826086000397E-3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input_452100!A$2</f>
        <v>452100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IFERROR(VLOOKUP(B155,input_452100!L:R,7,FALSE),VLOOKUP(tables_452100!C155,input_452100!A:H,8,FALSE))</f>
        <v>2997.3076999999998</v>
      </c>
      <c r="P155" s="46">
        <f t="shared" ca="1" si="7"/>
        <v>5.617143365762343E-5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input_452100!A$2</f>
        <v>452100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IFERROR(VLOOKUP(B156,input_452100!L:R,7,FALSE),VLOOKUP(tables_452100!C156,input_452100!A:H,8,FALSE))</f>
        <v>34960</v>
      </c>
      <c r="P156" s="46">
        <f t="shared" ca="1" si="7"/>
        <v>6.5517241378671776E-4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input_452100!A$2</f>
        <v>452100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IFERROR(VLOOKUP(B157,input_452100!L:R,7,FALSE),VLOOKUP(tables_452100!C157,input_452100!A:H,8,FALSE))</f>
        <v>18268.57143</v>
      </c>
      <c r="P157" s="46">
        <f t="shared" ca="1" si="7"/>
        <v>3.4236453204313985E-4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input_452100!A$2</f>
        <v>452100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IFERROR(VLOOKUP(B158,input_452100!L:R,7,FALSE),VLOOKUP(tables_452100!C158,input_452100!A:H,8,FALSE))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input_452100!A$2</f>
        <v>452100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IFERROR(VLOOKUP(B159,input_452100!L:R,7,FALSE),VLOOKUP(tables_452100!C159,input_452100!A:H,8,FALSE))</f>
        <v>523450</v>
      </c>
      <c r="P159" s="46">
        <f t="shared" ca="1" si="7"/>
        <v>9.8097826086000397E-3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input_452100!A$2</f>
        <v>452100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IFERROR(VLOOKUP(B160,input_452100!L:R,7,FALSE),VLOOKUP(tables_452100!C160,input_452100!A:H,8,FALSE))</f>
        <v>2997.3076999999998</v>
      </c>
      <c r="P160" s="46">
        <f t="shared" ca="1" si="7"/>
        <v>5.617143365762343E-5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input_452100!A$2</f>
        <v>452100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IFERROR(VLOOKUP(B161,input_452100!L:R,7,FALSE),VLOOKUP(tables_452100!C161,input_452100!A:H,8,FALSE))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input_452100!A$2</f>
        <v>452100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IFERROR(VLOOKUP(B162,input_452100!L:R,7,FALSE),VLOOKUP(tables_452100!C162,input_452100!A:H,8,FALSE))</f>
        <v>523450</v>
      </c>
      <c r="P162" s="46">
        <f t="shared" ca="1" si="7"/>
        <v>9.8097826086000397E-3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input_452100!A$2</f>
        <v>452100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IFERROR(VLOOKUP(B163,input_452100!L:R,7,FALSE),VLOOKUP(tables_452100!C163,input_452100!A:H,8,FALSE))</f>
        <v>2997.3076999999998</v>
      </c>
      <c r="P163" s="46">
        <f t="shared" ca="1" si="7"/>
        <v>5.617143365762343E-5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input_452100!A$2</f>
        <v>452100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IFERROR(VLOOKUP(B164,input_452100!L:R,7,FALSE),VLOOKUP(tables_452100!C164,input_452100!A:H,8,FALSE))</f>
        <v>34960</v>
      </c>
      <c r="P164" s="46">
        <f t="shared" ca="1" si="7"/>
        <v>6.5517241378671776E-4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input_452100!A$2</f>
        <v>452100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IFERROR(VLOOKUP(B165,input_452100!L:R,7,FALSE),VLOOKUP(tables_452100!C165,input_452100!A:H,8,FALSE))</f>
        <v>18268.57143</v>
      </c>
      <c r="P165" s="46">
        <f t="shared" ca="1" si="7"/>
        <v>3.4236453204313985E-4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input_452100!A$2</f>
        <v>452100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IFERROR(VLOOKUP(B166,input_452100!L:R,7,FALSE),VLOOKUP(tables_452100!C166,input_452100!A:H,8,FALSE))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input_452100!A$2</f>
        <v>452100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IFERROR(VLOOKUP(B167,input_452100!L:R,7,FALSE),VLOOKUP(tables_452100!C167,input_452100!A:H,8,FALSE))</f>
        <v>523450</v>
      </c>
      <c r="P167" s="46">
        <f t="shared" ca="1" si="7"/>
        <v>9.8097826086000397E-3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input_452100!A$2</f>
        <v>452100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IFERROR(VLOOKUP(B168,input_452100!L:R,7,FALSE),VLOOKUP(tables_452100!C168,input_452100!A:H,8,FALSE))</f>
        <v>2997.3076999999998</v>
      </c>
      <c r="P168" s="46">
        <f t="shared" ca="1" si="7"/>
        <v>5.617143365762343E-5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input_452100!A$2</f>
        <v>452100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IFERROR(VLOOKUP(B169,input_452100!L:R,7,FALSE),VLOOKUP(tables_452100!C169,input_452100!A:H,8,FALSE))</f>
        <v>34960</v>
      </c>
      <c r="P169" s="46">
        <f t="shared" ca="1" si="7"/>
        <v>6.5517241378671776E-4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input_452100!A$2</f>
        <v>452100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IFERROR(VLOOKUP(B170,input_452100!L:R,7,FALSE),VLOOKUP(tables_452100!C170,input_452100!A:H,8,FALSE))</f>
        <v>18268.57143</v>
      </c>
      <c r="P170" s="46">
        <f t="shared" ca="1" si="7"/>
        <v>3.4236453204313985E-4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input_452100!A$2</f>
        <v>452100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IFERROR(VLOOKUP(B171,input_452100!L:R,7,FALSE),VLOOKUP(tables_452100!C171,input_452100!A:H,8,FALSE))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input_452100!A$2</f>
        <v>452100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IFERROR(VLOOKUP(B172,input_452100!L:R,7,FALSE),VLOOKUP(tables_452100!C172,input_452100!A:H,8,FALSE))</f>
        <v>523450</v>
      </c>
      <c r="P172" s="46">
        <f t="shared" ca="1" si="7"/>
        <v>9.8097826086000397E-3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input_452100!A$2</f>
        <v>452100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IFERROR(VLOOKUP(B173,input_452100!L:R,7,FALSE),VLOOKUP(tables_452100!C173,input_452100!A:H,8,FALSE))</f>
        <v>2997.3076999999998</v>
      </c>
      <c r="P173" s="46">
        <f t="shared" ca="1" si="7"/>
        <v>5.617143365762343E-5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input_452100!A$2</f>
        <v>452100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IFERROR(VLOOKUP(B174,input_452100!L:R,7,FALSE),VLOOKUP(tables_452100!C174,input_452100!A:H,8,FALSE))</f>
        <v>34960</v>
      </c>
      <c r="P174" s="46">
        <f t="shared" ca="1" si="7"/>
        <v>6.5517241378671776E-4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input_452100!A$2</f>
        <v>452100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IFERROR(VLOOKUP(B175,input_452100!L:R,7,FALSE),VLOOKUP(tables_452100!C175,input_452100!A:H,8,FALSE))</f>
        <v>18268.57143</v>
      </c>
      <c r="P175" s="46">
        <f t="shared" ca="1" si="7"/>
        <v>3.4236453204313985E-4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input_452100!A$2</f>
        <v>452100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IFERROR(VLOOKUP(B176,input_452100!L:R,7,FALSE),VLOOKUP(tables_452100!C176,input_452100!A:H,8,FALSE))</f>
        <v>34960</v>
      </c>
      <c r="P176" s="46">
        <f t="shared" ca="1" si="7"/>
        <v>6.5517241378671776E-4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input_452100!A$2</f>
        <v>452100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IFERROR(VLOOKUP(B177,input_452100!L:R,7,FALSE),VLOOKUP(tables_452100!C177,input_452100!A:H,8,FALSE))</f>
        <v>18268.57143</v>
      </c>
      <c r="P177" s="46">
        <f t="shared" ca="1" si="7"/>
        <v>3.4236453204313985E-4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input_452100!A$2</f>
        <v>452100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IFERROR(VLOOKUP(B178,input_452100!L:R,7,FALSE),VLOOKUP(tables_452100!C178,input_452100!A:H,8,FALSE))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input_452100!A$2</f>
        <v>452100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IFERROR(VLOOKUP(B179,input_452100!L:R,7,FALSE),VLOOKUP(tables_452100!C179,input_452100!A:H,8,FALSE))</f>
        <v>523450</v>
      </c>
      <c r="P179" s="46">
        <f t="shared" ca="1" si="7"/>
        <v>9.8097826086000397E-3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input_452100!A$2</f>
        <v>452100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IFERROR(VLOOKUP(B180,input_452100!L:R,7,FALSE),VLOOKUP(tables_452100!C180,input_452100!A:H,8,FALSE))</f>
        <v>2997.3076999999998</v>
      </c>
      <c r="P180" s="46">
        <f t="shared" ca="1" si="7"/>
        <v>5.617143365762343E-5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input_452100!A$2</f>
        <v>452100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IFERROR(VLOOKUP(B181,input_452100!L:R,7,FALSE),VLOOKUP(tables_452100!C181,input_452100!A:H,8,FALSE))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input_452100!A$2</f>
        <v>452100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IFERROR(VLOOKUP(B182,input_452100!L:R,7,FALSE),VLOOKUP(tables_452100!C182,input_452100!A:H,8,FALSE))</f>
        <v>523450</v>
      </c>
      <c r="P182" s="46">
        <f t="shared" ca="1" si="7"/>
        <v>9.8097826086000397E-3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input_452100!A$2</f>
        <v>452100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IFERROR(VLOOKUP(B183,input_452100!L:R,7,FALSE),VLOOKUP(tables_452100!C183,input_452100!A:H,8,FALSE))</f>
        <v>2997.3076999999998</v>
      </c>
      <c r="P183" s="46">
        <f t="shared" ca="1" si="7"/>
        <v>5.617143365762343E-5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input_452100!A$2</f>
        <v>452100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IFERROR(VLOOKUP(B184,input_452100!L:R,7,FALSE),VLOOKUP(tables_452100!C184,input_452100!A:H,8,FALSE))</f>
        <v>34960</v>
      </c>
      <c r="P184" s="46">
        <f t="shared" ca="1" si="7"/>
        <v>6.5517241378671776E-4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input_452100!A$2</f>
        <v>452100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IFERROR(VLOOKUP(B185,input_452100!L:R,7,FALSE),VLOOKUP(tables_452100!C185,input_452100!A:H,8,FALSE))</f>
        <v>18268.57143</v>
      </c>
      <c r="P185" s="46">
        <f t="shared" ca="1" si="7"/>
        <v>3.4236453204313985E-4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input_452100!A$2</f>
        <v>452100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IFERROR(VLOOKUP(B186,input_452100!L:R,7,FALSE),VLOOKUP(tables_452100!C186,input_452100!A:H,8,FALSE))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input_452100!A$2</f>
        <v>452100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IFERROR(VLOOKUP(B187,input_452100!L:R,7,FALSE),VLOOKUP(tables_452100!C187,input_452100!A:H,8,FALSE))</f>
        <v>523450</v>
      </c>
      <c r="P187" s="46">
        <f t="shared" ca="1" si="7"/>
        <v>9.8097826086000397E-3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input_452100!A$2</f>
        <v>452100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IFERROR(VLOOKUP(B188,input_452100!L:R,7,FALSE),VLOOKUP(tables_452100!C188,input_452100!A:H,8,FALSE))</f>
        <v>2997.3076999999998</v>
      </c>
      <c r="P188" s="46">
        <f t="shared" ca="1" si="7"/>
        <v>5.617143365762343E-5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input_452100!A$2</f>
        <v>452100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IFERROR(VLOOKUP(B189,input_452100!L:R,7,FALSE),VLOOKUP(tables_452100!C189,input_452100!A:H,8,FALSE))</f>
        <v>34960</v>
      </c>
      <c r="P189" s="46">
        <f t="shared" ca="1" si="7"/>
        <v>6.5517241378671776E-4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input_452100!A$2</f>
        <v>452100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IFERROR(VLOOKUP(B190,input_452100!L:R,7,FALSE),VLOOKUP(tables_452100!C190,input_452100!A:H,8,FALSE))</f>
        <v>18268.57143</v>
      </c>
      <c r="P190" s="46">
        <f t="shared" ca="1" si="7"/>
        <v>3.4236453204313985E-4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input_452100!A$2</f>
        <v>452100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IFERROR(VLOOKUP(B191,input_452100!L:R,7,FALSE),VLOOKUP(tables_452100!C191,input_452100!A:H,8,FALSE))</f>
        <v>34960</v>
      </c>
      <c r="P191" s="46">
        <f t="shared" ca="1" si="7"/>
        <v>6.5517241378671776E-4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input_452100!A$2</f>
        <v>452100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IFERROR(VLOOKUP(B192,input_452100!L:R,7,FALSE),VLOOKUP(tables_452100!C192,input_452100!A:H,8,FALSE))</f>
        <v>18268.57143</v>
      </c>
      <c r="P192" s="46">
        <f t="shared" ca="1" si="7"/>
        <v>3.4236453204313985E-4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input_452100!A$2</f>
        <v>452100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IFERROR(VLOOKUP(B193,input_452100!L:R,7,FALSE),VLOOKUP(tables_452100!C193,input_452100!A:H,8,FALSE))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input_452100!A$2</f>
        <v>452100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IFERROR(VLOOKUP(B194,input_452100!L:R,7,FALSE),VLOOKUP(tables_452100!C194,input_452100!A:H,8,FALSE))</f>
        <v>523450</v>
      </c>
      <c r="P194" s="46">
        <f t="shared" ref="P194:P257" ca="1" si="10">O194/SUM(O:O)</f>
        <v>9.8097826086000397E-3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input_452100!A$2</f>
        <v>452100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IFERROR(VLOOKUP(B195,input_452100!L:R,7,FALSE),VLOOKUP(tables_452100!C195,input_452100!A:H,8,FALSE))</f>
        <v>2997.3076999999998</v>
      </c>
      <c r="P195" s="46">
        <f t="shared" ca="1" si="10"/>
        <v>5.617143365762343E-5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input_452100!A$2</f>
        <v>452100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IFERROR(VLOOKUP(B196,input_452100!L:R,7,FALSE),VLOOKUP(tables_452100!C196,input_452100!A:H,8,FALSE))</f>
        <v>34960</v>
      </c>
      <c r="P196" s="46">
        <f t="shared" ca="1" si="10"/>
        <v>6.5517241378671776E-4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input_452100!A$2</f>
        <v>452100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IFERROR(VLOOKUP(B197,input_452100!L:R,7,FALSE),VLOOKUP(tables_452100!C197,input_452100!A:H,8,FALSE))</f>
        <v>18268.57143</v>
      </c>
      <c r="P197" s="46">
        <f t="shared" ca="1" si="10"/>
        <v>3.4236453204313985E-4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input_452100!A$2</f>
        <v>452100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IFERROR(VLOOKUP(B198,input_452100!L:R,7,FALSE),VLOOKUP(tables_452100!C198,input_452100!A:H,8,FALSE))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input_452100!A$2</f>
        <v>452100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IFERROR(VLOOKUP(B199,input_452100!L:R,7,FALSE),VLOOKUP(tables_452100!C199,input_452100!A:H,8,FALSE))</f>
        <v>523450</v>
      </c>
      <c r="P199" s="46">
        <f t="shared" ca="1" si="10"/>
        <v>9.8097826086000397E-3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input_452100!A$2</f>
        <v>452100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IFERROR(VLOOKUP(B200,input_452100!L:R,7,FALSE),VLOOKUP(tables_452100!C200,input_452100!A:H,8,FALSE))</f>
        <v>2997.3076999999998</v>
      </c>
      <c r="P200" s="46">
        <f t="shared" ca="1" si="10"/>
        <v>5.617143365762343E-5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input_452100!A$2</f>
        <v>452100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IFERROR(VLOOKUP(B201,input_452100!L:R,7,FALSE),VLOOKUP(tables_452100!C201,input_452100!A:H,8,FALSE))</f>
        <v>34960</v>
      </c>
      <c r="P201" s="46">
        <f t="shared" ca="1" si="10"/>
        <v>6.5517241378671776E-4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input_452100!A$2</f>
        <v>452100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IFERROR(VLOOKUP(B202,input_452100!L:R,7,FALSE),VLOOKUP(tables_452100!C202,input_452100!A:H,8,FALSE))</f>
        <v>18268.57143</v>
      </c>
      <c r="P202" s="46">
        <f t="shared" ca="1" si="10"/>
        <v>3.4236453204313985E-4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input_452100!A$2</f>
        <v>452100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IFERROR(VLOOKUP(B203,input_452100!L:R,7,FALSE),VLOOKUP(tables_452100!C203,input_452100!A:H,8,FALSE))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input_452100!A$2</f>
        <v>452100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IFERROR(VLOOKUP(B204,input_452100!L:R,7,FALSE),VLOOKUP(tables_452100!C204,input_452100!A:H,8,FALSE))</f>
        <v>523450</v>
      </c>
      <c r="P204" s="46">
        <f t="shared" ca="1" si="10"/>
        <v>9.8097826086000397E-3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input_452100!A$2</f>
        <v>452100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IFERROR(VLOOKUP(B205,input_452100!L:R,7,FALSE),VLOOKUP(tables_452100!C205,input_452100!A:H,8,FALSE))</f>
        <v>2997.3076999999998</v>
      </c>
      <c r="P205" s="46">
        <f t="shared" ca="1" si="10"/>
        <v>5.617143365762343E-5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input_452100!A$2</f>
        <v>452100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IFERROR(VLOOKUP(B206,input_452100!L:R,7,FALSE),VLOOKUP(tables_452100!C206,input_452100!A:H,8,FALSE))</f>
        <v>34960</v>
      </c>
      <c r="P206" s="46">
        <f t="shared" ca="1" si="10"/>
        <v>6.5517241378671776E-4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input_452100!A$2</f>
        <v>452100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IFERROR(VLOOKUP(B207,input_452100!L:R,7,FALSE),VLOOKUP(tables_452100!C207,input_452100!A:H,8,FALSE))</f>
        <v>18268.57143</v>
      </c>
      <c r="P207" s="46">
        <f t="shared" ca="1" si="10"/>
        <v>3.4236453204313985E-4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input_452100!A$2</f>
        <v>452100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IFERROR(VLOOKUP(B208,input_452100!L:R,7,FALSE),VLOOKUP(tables_452100!C208,input_452100!A:H,8,FALSE))</f>
        <v>34960</v>
      </c>
      <c r="P208" s="46">
        <f t="shared" ca="1" si="10"/>
        <v>6.5517241378671776E-4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input_452100!A$2</f>
        <v>452100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IFERROR(VLOOKUP(B209,input_452100!L:R,7,FALSE),VLOOKUP(tables_452100!C209,input_452100!A:H,8,FALSE))</f>
        <v>18268.57143</v>
      </c>
      <c r="P209" s="46">
        <f t="shared" ca="1" si="10"/>
        <v>3.4236453204313985E-4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input_452100!A$2</f>
        <v>452100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IFERROR(VLOOKUP(B210,input_452100!L:R,7,FALSE),VLOOKUP(tables_452100!C210,input_452100!A:H,8,FALSE))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input_452100!A$2</f>
        <v>452100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IFERROR(VLOOKUP(B211,input_452100!L:R,7,FALSE),VLOOKUP(tables_452100!C211,input_452100!A:H,8,FALSE))</f>
        <v>523450</v>
      </c>
      <c r="P211" s="46">
        <f t="shared" ca="1" si="10"/>
        <v>9.8097826086000397E-3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input_452100!A$2</f>
        <v>452100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IFERROR(VLOOKUP(B212,input_452100!L:R,7,FALSE),VLOOKUP(tables_452100!C212,input_452100!A:H,8,FALSE))</f>
        <v>2997.3076999999998</v>
      </c>
      <c r="P212" s="46">
        <f t="shared" ca="1" si="10"/>
        <v>5.617143365762343E-5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input_452100!A$2</f>
        <v>452100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IFERROR(VLOOKUP(B213,input_452100!L:R,7,FALSE),VLOOKUP(tables_452100!C213,input_452100!A:H,8,FALSE))</f>
        <v>34960</v>
      </c>
      <c r="P213" s="46">
        <f t="shared" ca="1" si="10"/>
        <v>6.5517241378671776E-4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input_452100!A$2</f>
        <v>452100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IFERROR(VLOOKUP(B214,input_452100!L:R,7,FALSE),VLOOKUP(tables_452100!C214,input_452100!A:H,8,FALSE))</f>
        <v>18268.57143</v>
      </c>
      <c r="P214" s="46">
        <f t="shared" ca="1" si="10"/>
        <v>3.4236453204313985E-4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input_452100!A$2</f>
        <v>452100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IFERROR(VLOOKUP(B215,input_452100!L:R,7,FALSE),VLOOKUP(tables_452100!C215,input_452100!A:H,8,FALSE))</f>
        <v>8146.3636399999996</v>
      </c>
      <c r="P215" s="46">
        <f t="shared" ca="1" si="10"/>
        <v>1.5266798425638307E-4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input_452100!A$2</f>
        <v>452100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IFERROR(VLOOKUP(B216,input_452100!L:R,7,FALSE),VLOOKUP(tables_452100!C216,input_452100!A:H,8,FALSE))</f>
        <v>8146.3636399999996</v>
      </c>
      <c r="P216" s="46">
        <f t="shared" ca="1" si="10"/>
        <v>1.5266798425638307E-4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input_452100!A$2</f>
        <v>452100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IFERROR(VLOOKUP(B217,input_452100!L:R,7,FALSE),VLOOKUP(tables_452100!C217,input_452100!A:H,8,FALSE))</f>
        <v>8146.3636399999996</v>
      </c>
      <c r="P217" s="46">
        <f t="shared" ca="1" si="10"/>
        <v>1.5266798425638307E-4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input_452100!A$2</f>
        <v>452100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IFERROR(VLOOKUP(B218,input_452100!L:R,7,FALSE),VLOOKUP(tables_452100!C218,input_452100!A:H,8,FALSE))</f>
        <v>8146.3636399999996</v>
      </c>
      <c r="P218" s="46">
        <f t="shared" ca="1" si="10"/>
        <v>1.5266798425638307E-4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input_452100!A$2</f>
        <v>452100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IFERROR(VLOOKUP(B219,input_452100!L:R,7,FALSE),VLOOKUP(tables_452100!C219,input_452100!A:H,8,FALSE))</f>
        <v>8146.3636399999996</v>
      </c>
      <c r="P219" s="46">
        <f t="shared" ca="1" si="10"/>
        <v>1.5266798425638307E-4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input_452100!A$2</f>
        <v>452100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IFERROR(VLOOKUP(B220,input_452100!L:R,7,FALSE),VLOOKUP(tables_452100!C220,input_452100!A:H,8,FALSE))</f>
        <v>8146.3636399999996</v>
      </c>
      <c r="P220" s="46">
        <f t="shared" ca="1" si="10"/>
        <v>1.5266798425638307E-4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input_452100!A$2</f>
        <v>452100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IFERROR(VLOOKUP(B221,input_452100!L:R,7,FALSE),VLOOKUP(tables_452100!C221,input_452100!A:H,8,FALSE))</f>
        <v>34960</v>
      </c>
      <c r="P221" s="46">
        <f t="shared" ca="1" si="10"/>
        <v>6.5517241378671776E-4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input_452100!A$2</f>
        <v>452100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IFERROR(VLOOKUP(B222,input_452100!L:R,7,FALSE),VLOOKUP(tables_452100!C222,input_452100!A:H,8,FALSE))</f>
        <v>18268.57143</v>
      </c>
      <c r="P222" s="46">
        <f t="shared" ca="1" si="10"/>
        <v>3.4236453204313985E-4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input_452100!A$2</f>
        <v>452100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IFERROR(VLOOKUP(B223,input_452100!L:R,7,FALSE),VLOOKUP(tables_452100!C223,input_452100!A:H,8,FALSE))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input_452100!A$2</f>
        <v>452100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IFERROR(VLOOKUP(B224,input_452100!L:R,7,FALSE),VLOOKUP(tables_452100!C224,input_452100!A:H,8,FALSE))</f>
        <v>523450</v>
      </c>
      <c r="P224" s="46">
        <f t="shared" ca="1" si="10"/>
        <v>9.8097826086000397E-3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input_452100!A$2</f>
        <v>452100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IFERROR(VLOOKUP(B225,input_452100!L:R,7,FALSE),VLOOKUP(tables_452100!C225,input_452100!A:H,8,FALSE))</f>
        <v>2997.3076999999998</v>
      </c>
      <c r="P225" s="46">
        <f t="shared" ca="1" si="10"/>
        <v>5.617143365762343E-5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input_452100!A$2</f>
        <v>452100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IFERROR(VLOOKUP(B226,input_452100!L:R,7,FALSE),VLOOKUP(tables_452100!C226,input_452100!A:H,8,FALSE))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input_452100!A$2</f>
        <v>452100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IFERROR(VLOOKUP(B227,input_452100!L:R,7,FALSE),VLOOKUP(tables_452100!C227,input_452100!A:H,8,FALSE))</f>
        <v>523450</v>
      </c>
      <c r="P227" s="46">
        <f t="shared" ca="1" si="10"/>
        <v>9.8097826086000397E-3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input_452100!A$2</f>
        <v>452100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IFERROR(VLOOKUP(B228,input_452100!L:R,7,FALSE),VLOOKUP(tables_452100!C228,input_452100!A:H,8,FALSE))</f>
        <v>2997.3076999999998</v>
      </c>
      <c r="P228" s="46">
        <f t="shared" ca="1" si="10"/>
        <v>5.617143365762343E-5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input_452100!A$2</f>
        <v>452100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IFERROR(VLOOKUP(B229,input_452100!L:R,7,FALSE),VLOOKUP(tables_452100!C229,input_452100!A:H,8,FALSE))</f>
        <v>34960</v>
      </c>
      <c r="P229" s="46">
        <f t="shared" ca="1" si="10"/>
        <v>6.5517241378671776E-4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input_452100!A$2</f>
        <v>452100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IFERROR(VLOOKUP(B230,input_452100!L:R,7,FALSE),VLOOKUP(tables_452100!C230,input_452100!A:H,8,FALSE))</f>
        <v>18268.57143</v>
      </c>
      <c r="P230" s="46">
        <f t="shared" ca="1" si="10"/>
        <v>3.4236453204313985E-4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input_452100!A$2</f>
        <v>452100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IFERROR(VLOOKUP(B231,input_452100!L:R,7,FALSE),VLOOKUP(tables_452100!C231,input_452100!A:H,8,FALSE))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input_452100!A$2</f>
        <v>452100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IFERROR(VLOOKUP(B232,input_452100!L:R,7,FALSE),VLOOKUP(tables_452100!C232,input_452100!A:H,8,FALSE))</f>
        <v>523450</v>
      </c>
      <c r="P232" s="46">
        <f t="shared" ca="1" si="10"/>
        <v>9.8097826086000397E-3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input_452100!A$2</f>
        <v>452100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IFERROR(VLOOKUP(B233,input_452100!L:R,7,FALSE),VLOOKUP(tables_452100!C233,input_452100!A:H,8,FALSE))</f>
        <v>2997.3076999999998</v>
      </c>
      <c r="P233" s="46">
        <f t="shared" ca="1" si="10"/>
        <v>5.617143365762343E-5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input_452100!A$2</f>
        <v>452100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IFERROR(VLOOKUP(B234,input_452100!L:R,7,FALSE),VLOOKUP(tables_452100!C234,input_452100!A:H,8,FALSE))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input_452100!A$2</f>
        <v>452100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IFERROR(VLOOKUP(B235,input_452100!L:R,7,FALSE),VLOOKUP(tables_452100!C235,input_452100!A:H,8,FALSE))</f>
        <v>523450</v>
      </c>
      <c r="P235" s="46">
        <f t="shared" ca="1" si="10"/>
        <v>9.8097826086000397E-3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input_452100!A$2</f>
        <v>452100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IFERROR(VLOOKUP(B236,input_452100!L:R,7,FALSE),VLOOKUP(tables_452100!C236,input_452100!A:H,8,FALSE))</f>
        <v>2997.3076999999998</v>
      </c>
      <c r="P236" s="46">
        <f t="shared" ca="1" si="10"/>
        <v>5.617143365762343E-5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input_452100!A$2</f>
        <v>452100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IFERROR(VLOOKUP(B237,input_452100!L:R,7,FALSE),VLOOKUP(tables_452100!C237,input_452100!A:H,8,FALSE))</f>
        <v>34960</v>
      </c>
      <c r="P237" s="46">
        <f t="shared" ca="1" si="10"/>
        <v>6.5517241378671776E-4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input_452100!A$2</f>
        <v>452100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IFERROR(VLOOKUP(B238,input_452100!L:R,7,FALSE),VLOOKUP(tables_452100!C238,input_452100!A:H,8,FALSE))</f>
        <v>18268.57143</v>
      </c>
      <c r="P238" s="46">
        <f t="shared" ca="1" si="10"/>
        <v>3.4236453204313985E-4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input_452100!A$2</f>
        <v>452100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IFERROR(VLOOKUP(B239,input_452100!L:R,7,FALSE),VLOOKUP(tables_452100!C239,input_452100!A:H,8,FALSE))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input_452100!A$2</f>
        <v>452100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IFERROR(VLOOKUP(B240,input_452100!L:R,7,FALSE),VLOOKUP(tables_452100!C240,input_452100!A:H,8,FALSE))</f>
        <v>523450</v>
      </c>
      <c r="P240" s="46">
        <f t="shared" ca="1" si="10"/>
        <v>9.8097826086000397E-3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input_452100!A$2</f>
        <v>452100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IFERROR(VLOOKUP(B241,input_452100!L:R,7,FALSE),VLOOKUP(tables_452100!C241,input_452100!A:H,8,FALSE))</f>
        <v>2997.3076999999998</v>
      </c>
      <c r="P241" s="46">
        <f t="shared" ca="1" si="10"/>
        <v>5.617143365762343E-5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input_452100!A$2</f>
        <v>452100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IFERROR(VLOOKUP(B242,input_452100!L:R,7,FALSE),VLOOKUP(tables_452100!C242,input_452100!A:H,8,FALSE))</f>
        <v>34960</v>
      </c>
      <c r="P242" s="46">
        <f t="shared" ca="1" si="10"/>
        <v>6.5517241378671776E-4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input_452100!A$2</f>
        <v>452100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IFERROR(VLOOKUP(B243,input_452100!L:R,7,FALSE),VLOOKUP(tables_452100!C243,input_452100!A:H,8,FALSE))</f>
        <v>18268.57143</v>
      </c>
      <c r="P243" s="46">
        <f t="shared" ca="1" si="10"/>
        <v>3.4236453204313985E-4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input_452100!A$2</f>
        <v>452100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IFERROR(VLOOKUP(B244,input_452100!L:R,7,FALSE),VLOOKUP(tables_452100!C244,input_452100!A:H,8,FALSE))</f>
        <v>34960</v>
      </c>
      <c r="P244" s="46">
        <f t="shared" ca="1" si="10"/>
        <v>6.5517241378671776E-4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input_452100!A$2</f>
        <v>452100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IFERROR(VLOOKUP(B245,input_452100!L:R,7,FALSE),VLOOKUP(tables_452100!C245,input_452100!A:H,8,FALSE))</f>
        <v>18268.57143</v>
      </c>
      <c r="P245" s="46">
        <f t="shared" ca="1" si="10"/>
        <v>3.4236453204313985E-4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input_452100!A$2</f>
        <v>452100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IFERROR(VLOOKUP(B246,input_452100!L:R,7,FALSE),VLOOKUP(tables_452100!C246,input_452100!A:H,8,FALSE))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input_452100!A$2</f>
        <v>452100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IFERROR(VLOOKUP(B247,input_452100!L:R,7,FALSE),VLOOKUP(tables_452100!C247,input_452100!A:H,8,FALSE))</f>
        <v>523450</v>
      </c>
      <c r="P247" s="46">
        <f t="shared" ca="1" si="10"/>
        <v>9.8097826086000397E-3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input_452100!A$2</f>
        <v>452100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IFERROR(VLOOKUP(B248,input_452100!L:R,7,FALSE),VLOOKUP(tables_452100!C248,input_452100!A:H,8,FALSE))</f>
        <v>2997.3076999999998</v>
      </c>
      <c r="P248" s="46">
        <f t="shared" ca="1" si="10"/>
        <v>5.617143365762343E-5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input_452100!A$2</f>
        <v>452100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IFERROR(VLOOKUP(B249,input_452100!L:R,7,FALSE),VLOOKUP(tables_452100!C249,input_452100!A:H,8,FALSE))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input_452100!A$2</f>
        <v>452100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IFERROR(VLOOKUP(B250,input_452100!L:R,7,FALSE),VLOOKUP(tables_452100!C250,input_452100!A:H,8,FALSE))</f>
        <v>523450</v>
      </c>
      <c r="P250" s="46">
        <f t="shared" ca="1" si="10"/>
        <v>9.8097826086000397E-3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input_452100!A$2</f>
        <v>452100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IFERROR(VLOOKUP(B251,input_452100!L:R,7,FALSE),VLOOKUP(tables_452100!C251,input_452100!A:H,8,FALSE))</f>
        <v>2997.3076999999998</v>
      </c>
      <c r="P251" s="46">
        <f t="shared" ca="1" si="10"/>
        <v>5.617143365762343E-5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input_452100!A$2</f>
        <v>452100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IFERROR(VLOOKUP(B252,input_452100!L:R,7,FALSE),VLOOKUP(tables_452100!C252,input_452100!A:H,8,FALSE))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input_452100!A$2</f>
        <v>452100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IFERROR(VLOOKUP(B253,input_452100!L:R,7,FALSE),VLOOKUP(tables_452100!C253,input_452100!A:H,8,FALSE))</f>
        <v>523450</v>
      </c>
      <c r="P253" s="46">
        <f t="shared" ca="1" si="10"/>
        <v>9.8097826086000397E-3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input_452100!A$2</f>
        <v>452100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IFERROR(VLOOKUP(B254,input_452100!L:R,7,FALSE),VLOOKUP(tables_452100!C254,input_452100!A:H,8,FALSE))</f>
        <v>2997.3076999999998</v>
      </c>
      <c r="P254" s="46">
        <f t="shared" ca="1" si="10"/>
        <v>5.617143365762343E-5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input_452100!A$2</f>
        <v>452100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IFERROR(VLOOKUP(B255,input_452100!L:R,7,FALSE),VLOOKUP(tables_452100!C255,input_452100!A:H,8,FALSE))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input_452100!A$2</f>
        <v>452100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IFERROR(VLOOKUP(B256,input_452100!L:R,7,FALSE),VLOOKUP(tables_452100!C256,input_452100!A:H,8,FALSE))</f>
        <v>523450</v>
      </c>
      <c r="P256" s="46">
        <f t="shared" ca="1" si="10"/>
        <v>9.8097826086000397E-3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input_452100!A$2</f>
        <v>452100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IFERROR(VLOOKUP(B257,input_452100!L:R,7,FALSE),VLOOKUP(tables_452100!C257,input_452100!A:H,8,FALSE))</f>
        <v>2997.3076999999998</v>
      </c>
      <c r="P257" s="46">
        <f t="shared" ca="1" si="10"/>
        <v>5.617143365762343E-5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input_452100!A$2</f>
        <v>452100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IFERROR(VLOOKUP(B258,input_452100!L:R,7,FALSE),VLOOKUP(tables_452100!C258,input_452100!A:H,8,FALSE))</f>
        <v>34960</v>
      </c>
      <c r="P258" s="46">
        <f t="shared" ref="P258:P321" ca="1" si="13">O258/SUM(O:O)</f>
        <v>6.5517241378671776E-4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input_452100!A$2</f>
        <v>452100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IFERROR(VLOOKUP(B259,input_452100!L:R,7,FALSE),VLOOKUP(tables_452100!C259,input_452100!A:H,8,FALSE))</f>
        <v>18268.57143</v>
      </c>
      <c r="P259" s="46">
        <f t="shared" ca="1" si="13"/>
        <v>3.4236453204313985E-4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input_452100!A$2</f>
        <v>452100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IFERROR(VLOOKUP(B260,input_452100!L:R,7,FALSE),VLOOKUP(tables_452100!C260,input_452100!A:H,8,FALSE))</f>
        <v>34960</v>
      </c>
      <c r="P260" s="46">
        <f t="shared" ca="1" si="13"/>
        <v>6.5517241378671776E-4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input_452100!A$2</f>
        <v>452100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IFERROR(VLOOKUP(B261,input_452100!L:R,7,FALSE),VLOOKUP(tables_452100!C261,input_452100!A:H,8,FALSE))</f>
        <v>18268.57143</v>
      </c>
      <c r="P261" s="46">
        <f t="shared" ca="1" si="13"/>
        <v>3.4236453204313985E-4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input_452100!A$2</f>
        <v>452100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IFERROR(VLOOKUP(B262,input_452100!L:R,7,FALSE),VLOOKUP(tables_452100!C262,input_452100!A:H,8,FALSE))</f>
        <v>539798.75</v>
      </c>
      <c r="P262" s="46">
        <f t="shared" ca="1" si="13"/>
        <v>1.011616847816227E-2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input_452100!A$2</f>
        <v>452100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IFERROR(VLOOKUP(B263,input_452100!L:R,7,FALSE),VLOOKUP(tables_452100!C263,input_452100!A:H,8,FALSE))</f>
        <v>8146.3636399999996</v>
      </c>
      <c r="P263" s="46">
        <f t="shared" ca="1" si="13"/>
        <v>1.5266798425638307E-4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input_452100!A$2</f>
        <v>452100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IFERROR(VLOOKUP(B264,input_452100!L:R,7,FALSE),VLOOKUP(tables_452100!C264,input_452100!A:H,8,FALSE))</f>
        <v>539798.75</v>
      </c>
      <c r="P264" s="46">
        <f t="shared" ca="1" si="13"/>
        <v>1.011616847816227E-2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input_452100!A$2</f>
        <v>452100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IFERROR(VLOOKUP(B265,input_452100!L:R,7,FALSE),VLOOKUP(tables_452100!C265,input_452100!A:H,8,FALSE))</f>
        <v>8146.3636399999996</v>
      </c>
      <c r="P265" s="46">
        <f t="shared" ca="1" si="13"/>
        <v>1.5266798425638307E-4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input_452100!A$2</f>
        <v>452100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IFERROR(VLOOKUP(B266,input_452100!L:R,7,FALSE),VLOOKUP(tables_452100!C266,input_452100!A:H,8,FALSE))</f>
        <v>36800</v>
      </c>
      <c r="P266" s="46">
        <f t="shared" ca="1" si="13"/>
        <v>6.8965517240707132E-4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input_452100!A$2</f>
        <v>452100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IFERROR(VLOOKUP(B267,input_452100!L:R,7,FALSE),VLOOKUP(tables_452100!C267,input_452100!A:H,8,FALSE))</f>
        <v>36800</v>
      </c>
      <c r="P267" s="46">
        <f t="shared" ca="1" si="13"/>
        <v>6.8965517240707132E-4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input_452100!A$2</f>
        <v>452100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IFERROR(VLOOKUP(B268,input_452100!L:R,7,FALSE),VLOOKUP(tables_452100!C268,input_452100!A:H,8,FALSE))</f>
        <v>36800</v>
      </c>
      <c r="P268" s="46">
        <f t="shared" ca="1" si="13"/>
        <v>6.8965517240707132E-4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input_452100!A$2</f>
        <v>452100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IFERROR(VLOOKUP(B269,input_452100!L:R,7,FALSE),VLOOKUP(tables_452100!C269,input_452100!A:H,8,FALSE))</f>
        <v>36800</v>
      </c>
      <c r="P269" s="46">
        <f t="shared" ca="1" si="13"/>
        <v>6.8965517240707132E-4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input_452100!A$2</f>
        <v>452100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IFERROR(VLOOKUP(B270,input_452100!L:R,7,FALSE),VLOOKUP(tables_452100!C270,input_452100!A:H,8,FALSE))</f>
        <v>539798.75</v>
      </c>
      <c r="P270" s="46">
        <f t="shared" ca="1" si="13"/>
        <v>1.011616847816227E-2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input_452100!A$2</f>
        <v>452100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IFERROR(VLOOKUP(B271,input_452100!L:R,7,FALSE),VLOOKUP(tables_452100!C271,input_452100!A:H,8,FALSE))</f>
        <v>8146.3636399999996</v>
      </c>
      <c r="P271" s="46">
        <f t="shared" ca="1" si="13"/>
        <v>1.5266798425638307E-4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input_452100!A$2</f>
        <v>452100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IFERROR(VLOOKUP(B272,input_452100!L:R,7,FALSE),VLOOKUP(tables_452100!C272,input_452100!A:H,8,FALSE))</f>
        <v>539798.75</v>
      </c>
      <c r="P272" s="46">
        <f t="shared" ca="1" si="13"/>
        <v>1.011616847816227E-2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input_452100!A$2</f>
        <v>452100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IFERROR(VLOOKUP(B273,input_452100!L:R,7,FALSE),VLOOKUP(tables_452100!C273,input_452100!A:H,8,FALSE))</f>
        <v>8146.3636399999996</v>
      </c>
      <c r="P273" s="46">
        <f t="shared" ca="1" si="13"/>
        <v>1.5266798425638307E-4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input_452100!A$2</f>
        <v>452100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IFERROR(VLOOKUP(B274,input_452100!L:R,7,FALSE),VLOOKUP(tables_452100!C274,input_452100!A:H,8,FALSE))</f>
        <v>34960</v>
      </c>
      <c r="P274" s="46">
        <f t="shared" ca="1" si="13"/>
        <v>6.5517241378671776E-4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input_452100!A$2</f>
        <v>452100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IFERROR(VLOOKUP(B275,input_452100!L:R,7,FALSE),VLOOKUP(tables_452100!C275,input_452100!A:H,8,FALSE))</f>
        <v>18268.57143</v>
      </c>
      <c r="P275" s="46">
        <f t="shared" ca="1" si="13"/>
        <v>3.4236453204313985E-4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input_452100!A$2</f>
        <v>452100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IFERROR(VLOOKUP(B276,input_452100!L:R,7,FALSE),VLOOKUP(tables_452100!C276,input_452100!A:H,8,FALSE))</f>
        <v>34960</v>
      </c>
      <c r="P276" s="46">
        <f t="shared" ca="1" si="13"/>
        <v>6.5517241378671776E-4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input_452100!A$2</f>
        <v>452100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IFERROR(VLOOKUP(B277,input_452100!L:R,7,FALSE),VLOOKUP(tables_452100!C277,input_452100!A:H,8,FALSE))</f>
        <v>18268.57143</v>
      </c>
      <c r="P277" s="46">
        <f t="shared" ca="1" si="13"/>
        <v>3.4236453204313985E-4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input_452100!A$2</f>
        <v>452100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IFERROR(VLOOKUP(B278,input_452100!L:R,7,FALSE),VLOOKUP(tables_452100!C278,input_452100!A:H,8,FALSE))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input_452100!A$2</f>
        <v>452100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IFERROR(VLOOKUP(B279,input_452100!L:R,7,FALSE),VLOOKUP(tables_452100!C279,input_452100!A:H,8,FALSE))</f>
        <v>523450</v>
      </c>
      <c r="P279" s="46">
        <f t="shared" ca="1" si="13"/>
        <v>9.8097826086000397E-3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input_452100!A$2</f>
        <v>452100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IFERROR(VLOOKUP(B280,input_452100!L:R,7,FALSE),VLOOKUP(tables_452100!C280,input_452100!A:H,8,FALSE))</f>
        <v>2997.3076999999998</v>
      </c>
      <c r="P280" s="46">
        <f t="shared" ca="1" si="13"/>
        <v>5.617143365762343E-5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input_452100!A$2</f>
        <v>452100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IFERROR(VLOOKUP(B281,input_452100!L:R,7,FALSE),VLOOKUP(tables_452100!C281,input_452100!A:H,8,FALSE))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input_452100!A$2</f>
        <v>452100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IFERROR(VLOOKUP(B282,input_452100!L:R,7,FALSE),VLOOKUP(tables_452100!C282,input_452100!A:H,8,FALSE))</f>
        <v>523450</v>
      </c>
      <c r="P282" s="46">
        <f t="shared" ca="1" si="13"/>
        <v>9.8097826086000397E-3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input_452100!A$2</f>
        <v>452100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IFERROR(VLOOKUP(B283,input_452100!L:R,7,FALSE),VLOOKUP(tables_452100!C283,input_452100!A:H,8,FALSE))</f>
        <v>2997.3076999999998</v>
      </c>
      <c r="P283" s="46">
        <f t="shared" ca="1" si="13"/>
        <v>5.617143365762343E-5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input_452100!A$2</f>
        <v>452100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IFERROR(VLOOKUP(B284,input_452100!L:R,7,FALSE),VLOOKUP(tables_452100!C284,input_452100!A:H,8,FALSE))</f>
        <v>36800</v>
      </c>
      <c r="P284" s="46">
        <f t="shared" ca="1" si="13"/>
        <v>6.8965517240707132E-4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input_452100!A$2</f>
        <v>452100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IFERROR(VLOOKUP(B285,input_452100!L:R,7,FALSE),VLOOKUP(tables_452100!C285,input_452100!A:H,8,FALSE))</f>
        <v>36800</v>
      </c>
      <c r="P285" s="46">
        <f t="shared" ca="1" si="13"/>
        <v>6.8965517240707132E-4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input_452100!A$2</f>
        <v>452100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IFERROR(VLOOKUP(B286,input_452100!L:R,7,FALSE),VLOOKUP(tables_452100!C286,input_452100!A:H,8,FALSE))</f>
        <v>539798.75</v>
      </c>
      <c r="P286" s="46">
        <f t="shared" ca="1" si="13"/>
        <v>1.011616847816227E-2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input_452100!A$2</f>
        <v>452100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IFERROR(VLOOKUP(B287,input_452100!L:R,7,FALSE),VLOOKUP(tables_452100!C287,input_452100!A:H,8,FALSE))</f>
        <v>8146.3636399999996</v>
      </c>
      <c r="P287" s="46">
        <f t="shared" ca="1" si="13"/>
        <v>1.5266798425638307E-4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input_452100!A$2</f>
        <v>452100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IFERROR(VLOOKUP(B288,input_452100!L:R,7,FALSE),VLOOKUP(tables_452100!C288,input_452100!A:H,8,FALSE))</f>
        <v>539798.75</v>
      </c>
      <c r="P288" s="46">
        <f t="shared" ca="1" si="13"/>
        <v>1.011616847816227E-2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input_452100!A$2</f>
        <v>452100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IFERROR(VLOOKUP(B289,input_452100!L:R,7,FALSE),VLOOKUP(tables_452100!C289,input_452100!A:H,8,FALSE))</f>
        <v>8146.3636399999996</v>
      </c>
      <c r="P289" s="46">
        <f t="shared" ca="1" si="13"/>
        <v>1.5266798425638307E-4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input_452100!A$2</f>
        <v>452100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IFERROR(VLOOKUP(B290,input_452100!L:R,7,FALSE),VLOOKUP(tables_452100!C290,input_452100!A:H,8,FALSE))</f>
        <v>539798.75</v>
      </c>
      <c r="P290" s="46">
        <f t="shared" ca="1" si="13"/>
        <v>1.011616847816227E-2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input_452100!A$2</f>
        <v>452100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IFERROR(VLOOKUP(B291,input_452100!L:R,7,FALSE),VLOOKUP(tables_452100!C291,input_452100!A:H,8,FALSE))</f>
        <v>8146.3636399999996</v>
      </c>
      <c r="P291" s="46">
        <f t="shared" ca="1" si="13"/>
        <v>1.5266798425638307E-4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input_452100!A$2</f>
        <v>452100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IFERROR(VLOOKUP(B292,input_452100!L:R,7,FALSE),VLOOKUP(tables_452100!C292,input_452100!A:H,8,FALSE))</f>
        <v>539798.75</v>
      </c>
      <c r="P292" s="46">
        <f t="shared" ca="1" si="13"/>
        <v>1.011616847816227E-2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input_452100!A$2</f>
        <v>452100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IFERROR(VLOOKUP(B293,input_452100!L:R,7,FALSE),VLOOKUP(tables_452100!C293,input_452100!A:H,8,FALSE))</f>
        <v>8146.3636399999996</v>
      </c>
      <c r="P293" s="46">
        <f t="shared" ca="1" si="13"/>
        <v>1.5266798425638307E-4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input_452100!A$2</f>
        <v>452100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IFERROR(VLOOKUP(B294,input_452100!L:R,7,FALSE),VLOOKUP(tables_452100!C294,input_452100!A:H,8,FALSE))</f>
        <v>36800</v>
      </c>
      <c r="P294" s="46">
        <f t="shared" ca="1" si="13"/>
        <v>6.8965517240707132E-4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input_452100!A$2</f>
        <v>452100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IFERROR(VLOOKUP(B295,input_452100!L:R,7,FALSE),VLOOKUP(tables_452100!C295,input_452100!A:H,8,FALSE))</f>
        <v>36800</v>
      </c>
      <c r="P295" s="46">
        <f t="shared" ca="1" si="13"/>
        <v>6.8965517240707132E-4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input_452100!A$2</f>
        <v>452100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IFERROR(VLOOKUP(B296,input_452100!L:R,7,FALSE),VLOOKUP(tables_452100!C296,input_452100!A:H,8,FALSE))</f>
        <v>36800</v>
      </c>
      <c r="P296" s="46">
        <f t="shared" ca="1" si="13"/>
        <v>6.8965517240707132E-4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input_452100!A$2</f>
        <v>452100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IFERROR(VLOOKUP(B297,input_452100!L:R,7,FALSE),VLOOKUP(tables_452100!C297,input_452100!A:H,8,FALSE))</f>
        <v>539798.75</v>
      </c>
      <c r="P297" s="46">
        <f t="shared" ca="1" si="13"/>
        <v>1.011616847816227E-2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input_452100!A$2</f>
        <v>452100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IFERROR(VLOOKUP(B298,input_452100!L:R,7,FALSE),VLOOKUP(tables_452100!C298,input_452100!A:H,8,FALSE))</f>
        <v>8146.3636399999996</v>
      </c>
      <c r="P298" s="46">
        <f t="shared" ca="1" si="13"/>
        <v>1.5266798425638307E-4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input_452100!A$2</f>
        <v>452100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IFERROR(VLOOKUP(B299,input_452100!L:R,7,FALSE),VLOOKUP(tables_452100!C299,input_452100!A:H,8,FALSE))</f>
        <v>36800</v>
      </c>
      <c r="P299" s="46">
        <f t="shared" ca="1" si="13"/>
        <v>6.8965517240707132E-4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input_452100!A$2</f>
        <v>452100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IFERROR(VLOOKUP(B300,input_452100!L:R,7,FALSE),VLOOKUP(tables_452100!C300,input_452100!A:H,8,FALSE))</f>
        <v>36800</v>
      </c>
      <c r="P300" s="46">
        <f t="shared" ca="1" si="13"/>
        <v>6.8965517240707132E-4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input_452100!A$2</f>
        <v>452100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IFERROR(VLOOKUP(B301,input_452100!L:R,7,FALSE),VLOOKUP(tables_452100!C301,input_452100!A:H,8,FALSE))</f>
        <v>36800</v>
      </c>
      <c r="P301" s="46">
        <f t="shared" ca="1" si="13"/>
        <v>6.8965517240707132E-4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input_452100!A$2</f>
        <v>452100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IFERROR(VLOOKUP(B302,input_452100!L:R,7,FALSE),VLOOKUP(tables_452100!C302,input_452100!A:H,8,FALSE))</f>
        <v>36800</v>
      </c>
      <c r="P302" s="46">
        <f t="shared" ca="1" si="13"/>
        <v>6.8965517240707132E-4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input_452100!A$2</f>
        <v>452100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IFERROR(VLOOKUP(B303,input_452100!L:R,7,FALSE),VLOOKUP(tables_452100!C303,input_452100!A:H,8,FALSE))</f>
        <v>539798.75</v>
      </c>
      <c r="P303" s="46">
        <f t="shared" ca="1" si="13"/>
        <v>1.011616847816227E-2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input_452100!A$2</f>
        <v>452100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IFERROR(VLOOKUP(B304,input_452100!L:R,7,FALSE),VLOOKUP(tables_452100!C304,input_452100!A:H,8,FALSE))</f>
        <v>8146.3636399999996</v>
      </c>
      <c r="P304" s="46">
        <f t="shared" ca="1" si="13"/>
        <v>1.5266798425638307E-4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input_452100!A$2</f>
        <v>452100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IFERROR(VLOOKUP(B305,input_452100!L:R,7,FALSE),VLOOKUP(tables_452100!C305,input_452100!A:H,8,FALSE))</f>
        <v>36800</v>
      </c>
      <c r="P305" s="46">
        <f t="shared" ca="1" si="13"/>
        <v>6.8965517240707132E-4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input_452100!A$2</f>
        <v>452100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IFERROR(VLOOKUP(B306,input_452100!L:R,7,FALSE),VLOOKUP(tables_452100!C306,input_452100!A:H,8,FALSE))</f>
        <v>539798.75</v>
      </c>
      <c r="P306" s="46">
        <f t="shared" ca="1" si="13"/>
        <v>1.011616847816227E-2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input_452100!A$2</f>
        <v>452100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IFERROR(VLOOKUP(B307,input_452100!L:R,7,FALSE),VLOOKUP(tables_452100!C307,input_452100!A:H,8,FALSE))</f>
        <v>8146.3636399999996</v>
      </c>
      <c r="P307" s="46">
        <f t="shared" ca="1" si="13"/>
        <v>1.5266798425638307E-4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input_452100!A$2</f>
        <v>452100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IFERROR(VLOOKUP(B308,input_452100!L:R,7,FALSE),VLOOKUP(tables_452100!C308,input_452100!A:H,8,FALSE))</f>
        <v>36800</v>
      </c>
      <c r="P308" s="46">
        <f t="shared" ca="1" si="13"/>
        <v>6.8965517240707132E-4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input_452100!A$2</f>
        <v>452100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IFERROR(VLOOKUP(B309,input_452100!L:R,7,FALSE),VLOOKUP(tables_452100!C309,input_452100!A:H,8,FALSE))</f>
        <v>36800</v>
      </c>
      <c r="P309" s="46">
        <f t="shared" ca="1" si="13"/>
        <v>6.8965517240707132E-4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input_452100!A$2</f>
        <v>452100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IFERROR(VLOOKUP(B310,input_452100!L:R,7,FALSE),VLOOKUP(tables_452100!C310,input_452100!A:H,8,FALSE))</f>
        <v>36800</v>
      </c>
      <c r="P310" s="46">
        <f t="shared" ca="1" si="13"/>
        <v>6.8965517240707132E-4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input_452100!A$2</f>
        <v>452100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IFERROR(VLOOKUP(B311,input_452100!L:R,7,FALSE),VLOOKUP(tables_452100!C311,input_452100!A:H,8,FALSE))</f>
        <v>539798.75</v>
      </c>
      <c r="P311" s="46">
        <f t="shared" ca="1" si="13"/>
        <v>1.011616847816227E-2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input_452100!A$2</f>
        <v>452100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IFERROR(VLOOKUP(B312,input_452100!L:R,7,FALSE),VLOOKUP(tables_452100!C312,input_452100!A:H,8,FALSE))</f>
        <v>8146.3636399999996</v>
      </c>
      <c r="P312" s="46">
        <f t="shared" ca="1" si="13"/>
        <v>1.5266798425638307E-4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input_452100!A$2</f>
        <v>452100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IFERROR(VLOOKUP(B313,input_452100!L:R,7,FALSE),VLOOKUP(tables_452100!C313,input_452100!A:H,8,FALSE))</f>
        <v>36800</v>
      </c>
      <c r="P313" s="46">
        <f t="shared" ca="1" si="13"/>
        <v>6.8965517240707132E-4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input_452100!A$2</f>
        <v>452100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IFERROR(VLOOKUP(B314,input_452100!L:R,7,FALSE),VLOOKUP(tables_452100!C314,input_452100!A:H,8,FALSE))</f>
        <v>36800</v>
      </c>
      <c r="P314" s="46">
        <f t="shared" ca="1" si="13"/>
        <v>6.8965517240707132E-4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input_452100!A$2</f>
        <v>452100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IFERROR(VLOOKUP(B315,input_452100!L:R,7,FALSE),VLOOKUP(tables_452100!C315,input_452100!A:H,8,FALSE))</f>
        <v>36800</v>
      </c>
      <c r="P315" s="46">
        <f t="shared" ca="1" si="13"/>
        <v>6.8965517240707132E-4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input_452100!A$2</f>
        <v>452100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IFERROR(VLOOKUP(B316,input_452100!L:R,7,FALSE),VLOOKUP(tables_452100!C316,input_452100!A:H,8,FALSE))</f>
        <v>36800</v>
      </c>
      <c r="P316" s="46">
        <f t="shared" ca="1" si="13"/>
        <v>6.8965517240707132E-4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input_452100!A$2</f>
        <v>452100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IFERROR(VLOOKUP(B317,input_452100!L:R,7,FALSE),VLOOKUP(tables_452100!C317,input_452100!A:H,8,FALSE))</f>
        <v>36800</v>
      </c>
      <c r="P317" s="46">
        <f t="shared" ca="1" si="13"/>
        <v>6.8965517240707132E-4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input_452100!A$2</f>
        <v>452100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IFERROR(VLOOKUP(B318,input_452100!L:R,7,FALSE),VLOOKUP(tables_452100!C318,input_452100!A:H,8,FALSE))</f>
        <v>539798.75</v>
      </c>
      <c r="P318" s="46">
        <f t="shared" ca="1" si="13"/>
        <v>1.011616847816227E-2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input_452100!A$2</f>
        <v>452100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IFERROR(VLOOKUP(B319,input_452100!L:R,7,FALSE),VLOOKUP(tables_452100!C319,input_452100!A:H,8,FALSE))</f>
        <v>8146.3636399999996</v>
      </c>
      <c r="P319" s="46">
        <f t="shared" ca="1" si="13"/>
        <v>1.5266798425638307E-4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input_452100!A$2</f>
        <v>452100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IFERROR(VLOOKUP(B320,input_452100!L:R,7,FALSE),VLOOKUP(tables_452100!C320,input_452100!A:H,8,FALSE))</f>
        <v>36800</v>
      </c>
      <c r="P320" s="46">
        <f t="shared" ca="1" si="13"/>
        <v>6.8965517240707132E-4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input_452100!A$2</f>
        <v>452100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IFERROR(VLOOKUP(B321,input_452100!L:R,7,FALSE),VLOOKUP(tables_452100!C321,input_452100!A:H,8,FALSE))</f>
        <v>36800</v>
      </c>
      <c r="P321" s="46">
        <f t="shared" ca="1" si="13"/>
        <v>6.8965517240707132E-4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input_452100!A$2</f>
        <v>452100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IFERROR(VLOOKUP(B322,input_452100!L:R,7,FALSE),VLOOKUP(tables_452100!C322,input_452100!A:H,8,FALSE))</f>
        <v>36800</v>
      </c>
      <c r="P322" s="46">
        <f t="shared" ref="P322:P335" ca="1" si="26">O322/SUM(O:O)</f>
        <v>6.8965517240707132E-4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input_452100!A$2</f>
        <v>452100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IFERROR(VLOOKUP(B323,input_452100!L:R,7,FALSE),VLOOKUP(tables_452100!C323,input_452100!A:H,8,FALSE))</f>
        <v>36800</v>
      </c>
      <c r="P323" s="46">
        <f t="shared" ca="1" si="26"/>
        <v>6.8965517240707132E-4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input_452100!A$2</f>
        <v>452100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IFERROR(VLOOKUP(B324,input_452100!L:R,7,FALSE),VLOOKUP(tables_452100!C324,input_452100!A:H,8,FALSE))</f>
        <v>539798.75</v>
      </c>
      <c r="P324" s="46">
        <f t="shared" ca="1" si="26"/>
        <v>1.011616847816227E-2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input_452100!A$2</f>
        <v>452100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IFERROR(VLOOKUP(B325,input_452100!L:R,7,FALSE),VLOOKUP(tables_452100!C325,input_452100!A:H,8,FALSE))</f>
        <v>8146.3636399999996</v>
      </c>
      <c r="P325" s="46">
        <f t="shared" ca="1" si="26"/>
        <v>1.5266798425638307E-4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input_452100!A$2</f>
        <v>452100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IFERROR(VLOOKUP(B326,input_452100!L:R,7,FALSE),VLOOKUP(tables_452100!C326,input_452100!A:H,8,FALSE))</f>
        <v>539798.75</v>
      </c>
      <c r="P326" s="46">
        <f t="shared" ca="1" si="26"/>
        <v>1.011616847816227E-2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input_452100!A$2</f>
        <v>452100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IFERROR(VLOOKUP(B327,input_452100!L:R,7,FALSE),VLOOKUP(tables_452100!C327,input_452100!A:H,8,FALSE))</f>
        <v>8146.3636399999996</v>
      </c>
      <c r="P327" s="46">
        <f t="shared" ca="1" si="26"/>
        <v>1.5266798425638307E-4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input_452100!A$2</f>
        <v>452100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IFERROR(VLOOKUP(B328,input_452100!L:R,7,FALSE),VLOOKUP(tables_452100!C328,input_452100!A:H,8,FALSE))</f>
        <v>36800</v>
      </c>
      <c r="P328" s="46">
        <f t="shared" ca="1" si="26"/>
        <v>6.8965517240707132E-4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input_452100!A$2</f>
        <v>452100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IFERROR(VLOOKUP(B329,input_452100!L:R,7,FALSE),VLOOKUP(tables_452100!C329,input_452100!A:H,8,FALSE))</f>
        <v>36800</v>
      </c>
      <c r="P329" s="46">
        <f t="shared" ca="1" si="26"/>
        <v>6.8965517240707132E-4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input_452100!A$2</f>
        <v>452100</v>
      </c>
      <c r="B330" s="2">
        <v>1157</v>
      </c>
      <c r="C330" s="7" t="str">
        <f t="shared" si="28"/>
        <v>PremiumSS5R5only</v>
      </c>
      <c r="D330" s="93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IFERROR(VLOOKUP(B330,input_452100!L:R,7,FALSE),VLOOKUP(tables_452100!C330,input_452100!A:H,8,FALSE))</f>
        <v>36800</v>
      </c>
      <c r="P330" s="46">
        <f t="shared" ca="1" si="26"/>
        <v>6.8965517240707132E-4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input_452100!A$2</f>
        <v>452100</v>
      </c>
      <c r="B331" s="60">
        <v>1214</v>
      </c>
      <c r="C331" s="7" t="str">
        <f t="shared" ref="C331:C335" si="29">D331&amp;J331&amp;E331&amp;F331&amp;G331</f>
        <v>PremiumSS5R5only</v>
      </c>
      <c r="D331" s="93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IFERROR(VLOOKUP(B331,input_452100!L:R,7,FALSE),VLOOKUP(tables_452100!C331,input_452100!A:H,8,FALSE))</f>
        <v>36800</v>
      </c>
      <c r="P331" s="46">
        <f t="shared" ca="1" si="26"/>
        <v>6.8965517240707132E-4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input_452100!A$2</f>
        <v>452100</v>
      </c>
      <c r="B332" s="60">
        <v>1212</v>
      </c>
      <c r="C332" s="7" t="str">
        <f t="shared" si="29"/>
        <v>PremiumSS5R5only</v>
      </c>
      <c r="D332" s="93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IFERROR(VLOOKUP(B332,input_452100!L:R,7,FALSE),VLOOKUP(tables_452100!C332,input_452100!A:H,8,FALSE))</f>
        <v>36800</v>
      </c>
      <c r="P332" s="46">
        <f t="shared" ca="1" si="26"/>
        <v>6.8965517240707132E-4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input_452100!A$2</f>
        <v>452100</v>
      </c>
      <c r="B333" s="60">
        <v>1208</v>
      </c>
      <c r="C333" s="7" t="str">
        <f t="shared" si="29"/>
        <v>PremiumSS5R5only</v>
      </c>
      <c r="D333" s="93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IFERROR(VLOOKUP(B333,input_452100!L:R,7,FALSE),VLOOKUP(tables_452100!C333,input_452100!A:H,8,FALSE))</f>
        <v>36800</v>
      </c>
      <c r="P333" s="46">
        <f t="shared" ca="1" si="26"/>
        <v>6.8965517240707132E-4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input_452100!A$2</f>
        <v>452100</v>
      </c>
      <c r="B334" s="91">
        <v>1210</v>
      </c>
      <c r="C334" s="7" t="str">
        <f t="shared" si="29"/>
        <v>Premium4R3less</v>
      </c>
      <c r="D334" s="93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IFERROR(VLOOKUP(B334,input_452100!L:R,7,FALSE),VLOOKUP(tables_452100!C334,input_452100!A:H,8,FALSE))</f>
        <v>539798.75</v>
      </c>
      <c r="P334" s="46">
        <f t="shared" ca="1" si="26"/>
        <v>1.011616847816227E-2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input_452100!A$2</f>
        <v>452100</v>
      </c>
      <c r="B335" s="60">
        <v>1211</v>
      </c>
      <c r="C335" s="7" t="str">
        <f t="shared" si="29"/>
        <v>Premium5R3less</v>
      </c>
      <c r="D335" s="93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IFERROR(VLOOKUP(B335,input_452100!L:R,7,FALSE),VLOOKUP(tables_452100!C335,input_452100!A:H,8,FALSE))</f>
        <v>8146.3636399999996</v>
      </c>
      <c r="P335" s="46">
        <f t="shared" ca="1" si="26"/>
        <v>1.5266798425638307E-4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input_452100!A$2</f>
        <v>452100</v>
      </c>
      <c r="B336" s="2">
        <v>762</v>
      </c>
      <c r="C336" s="7" t="str">
        <f t="shared" ref="C336:C337" si="31">D336&amp;J336&amp;E336&amp;F336&amp;G336</f>
        <v>PremiumSSS5R3less</v>
      </c>
      <c r="D336" s="93" t="str">
        <f t="shared" ref="D336:D337" si="32">IF(OR(I336="PremiumSS",I336="PremiumSSw"),"PremiumSS",IF(I336="PremiumSSS",I336,IF(I336="PremiumW",IF(J336=5,"premium",I336),"Premium")))</f>
        <v>PremiumSSS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フィボナッチ</v>
      </c>
      <c r="I336" s="7" t="str">
        <f>VLOOKUP(B336,[1]characters!$A:$J,10,FALSE)</f>
        <v>PremiumSSS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balance</v>
      </c>
      <c r="M336" s="7" t="str">
        <f>VLOOKUP(B336,[1]characters!$A:$M,13,FALSE)</f>
        <v>human</v>
      </c>
      <c r="N336" s="7" t="str">
        <f>VLOOKUP(B336,[1]characters!$A:$G,7,FALSE)</f>
        <v>男性</v>
      </c>
      <c r="O336" s="45">
        <f>IFERROR(VLOOKUP(B336,input_452100!L:R,7,FALSE),VLOOKUP(tables_452100!C336,input_452100!A:H,8,FALSE))</f>
        <v>266800</v>
      </c>
      <c r="P336" s="46">
        <f t="shared" ref="P336:P337" ca="1" si="33">O336/SUM(O:O)</f>
        <v>4.9999999999512665E-3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input_452100!A$2</f>
        <v>452100</v>
      </c>
      <c r="B337" s="2">
        <v>1232</v>
      </c>
      <c r="C337" s="7" t="str">
        <f t="shared" si="31"/>
        <v>PremiumSSS5R3less</v>
      </c>
      <c r="D337" s="93" t="str">
        <f t="shared" si="32"/>
        <v>PremiumSSS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ケプラー</v>
      </c>
      <c r="I337" s="7" t="str">
        <f>VLOOKUP(B337,[1]characters!$A:$J,10,FALSE)</f>
        <v>PremiumSSS</v>
      </c>
      <c r="J337" s="7">
        <f>VLOOKUP(B337,[1]characters!$A:$I,9,FALSE)</f>
        <v>5</v>
      </c>
      <c r="K337" s="7" t="str">
        <f>VLOOKUP(B337,[1]characters!$A:$H,8,FALSE)</f>
        <v>yellow</v>
      </c>
      <c r="L337" s="7" t="str">
        <f>VLOOKUP(B337,[1]characters!$A:$K,11,FALSE)</f>
        <v>attack</v>
      </c>
      <c r="M337" s="7" t="str">
        <f>VLOOKUP(B337,[1]characters!$A:$M,13,FALSE)</f>
        <v>academia</v>
      </c>
      <c r="N337" s="7">
        <f>VLOOKUP(B337,[1]characters!$A:$G,7,FALSE)</f>
        <v>0</v>
      </c>
      <c r="O337" s="45">
        <f>IFERROR(VLOOKUP(B337,input_452100!L:R,7,FALSE),VLOOKUP(tables_452100!C337,input_452100!A:H,8,FALSE))</f>
        <v>266800</v>
      </c>
      <c r="P337" s="46">
        <f t="shared" ca="1" si="33"/>
        <v>4.9999999999512665E-3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45"/>
  <sheetViews>
    <sheetView showGridLines="0" zoomScale="75" zoomScaleNormal="75" zoomScalePageLayoutView="75" workbookViewId="0">
      <pane ySplit="1" topLeftCell="A118" activePane="bottomLeft" state="frozen"/>
      <selection activeCell="D34" sqref="D34"/>
      <selection pane="bottomLeft" activeCell="B141" sqref="B14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input_452100!A$2</f>
        <v>452100</v>
      </c>
      <c r="B2" s="60">
        <v>168</v>
      </c>
      <c r="C2" s="7" t="str">
        <f t="shared" ref="C2:C7" si="0">D2&amp;J2&amp;E2&amp;F2&amp;G2</f>
        <v>Premium5R6release</v>
      </c>
      <c r="D2" s="93" t="str">
        <f t="shared" ref="D2:D7" si="1"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53015.999999999993</v>
      </c>
      <c r="P2" s="46">
        <f t="shared" ref="P2:P7" si="2">O2/SUM(O:O)</f>
        <v>1.2051282051282051E-2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input_452100!A$2</f>
        <v>452100</v>
      </c>
      <c r="B3" s="60">
        <v>171</v>
      </c>
      <c r="C3" s="7" t="str">
        <f t="shared" si="0"/>
        <v>Premium5R6release</v>
      </c>
      <c r="D3" s="93" t="str">
        <f t="shared" si="1"/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53015.999999999993</v>
      </c>
      <c r="P3" s="46">
        <f t="shared" si="2"/>
        <v>1.2051282051282051E-2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input_452100!A$2</f>
        <v>452100</v>
      </c>
      <c r="B4" s="60">
        <v>174</v>
      </c>
      <c r="C4" s="7" t="str">
        <f t="shared" si="0"/>
        <v>Premium5R6release</v>
      </c>
      <c r="D4" s="93" t="str">
        <f t="shared" si="1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53015.999999999993</v>
      </c>
      <c r="P4" s="46">
        <f t="shared" si="2"/>
        <v>1.2051282051282051E-2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input_452100!A$2</f>
        <v>452100</v>
      </c>
      <c r="B5" s="91">
        <v>177</v>
      </c>
      <c r="C5" s="7" t="str">
        <f t="shared" si="0"/>
        <v>Premium5</v>
      </c>
      <c r="D5" s="93" t="str">
        <f t="shared" si="1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53015.999999999993</v>
      </c>
      <c r="P5" s="46">
        <f t="shared" si="2"/>
        <v>1.2051282051282051E-2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input_452100!A$2</f>
        <v>452100</v>
      </c>
      <c r="B6" s="60">
        <v>180</v>
      </c>
      <c r="C6" s="7" t="str">
        <f t="shared" si="0"/>
        <v>Premium5</v>
      </c>
      <c r="D6" s="93" t="str">
        <f t="shared" si="1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v>53015.999999999993</v>
      </c>
      <c r="P6" s="46">
        <f t="shared" si="2"/>
        <v>1.2051282051282051E-2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input_452100!A$2</f>
        <v>452100</v>
      </c>
      <c r="B7" s="60">
        <v>183</v>
      </c>
      <c r="C7" s="7" t="str">
        <f t="shared" si="0"/>
        <v>Premium5</v>
      </c>
      <c r="D7" s="93" t="str">
        <f t="shared" si="1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v>53015.999999999993</v>
      </c>
      <c r="P7" s="46">
        <f t="shared" si="2"/>
        <v>1.2051282051282051E-2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input_452100!A$2</f>
        <v>452100</v>
      </c>
      <c r="B8" s="2">
        <v>186</v>
      </c>
      <c r="C8" s="7" t="str">
        <f t="shared" ref="C8:C71" si="3">D8&amp;J8&amp;E8&amp;F8&amp;G8</f>
        <v>Premium5</v>
      </c>
      <c r="D8" s="93" t="str">
        <f t="shared" ref="D8:D71" si="4">IF(OR(I8="PremiumSS",I8="PremiumSSw"),"PremiumSS",IF(I8="PremiumSSS",I8,IF(I8="PremiumW",IF(J8=5,"premium",I8),"Premium")))</f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v>53015.999999999993</v>
      </c>
      <c r="P8" s="46">
        <f t="shared" ref="P8:P71" si="5">O8/SUM(O:O)</f>
        <v>1.2051282051282051E-2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input_452100!A$2</f>
        <v>452100</v>
      </c>
      <c r="B9" s="2">
        <v>189</v>
      </c>
      <c r="C9" s="7" t="str">
        <f t="shared" si="3"/>
        <v>Premium5</v>
      </c>
      <c r="D9" s="93" t="str">
        <f t="shared" si="4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v>53015.999999999993</v>
      </c>
      <c r="P9" s="46">
        <f t="shared" si="5"/>
        <v>1.2051282051282051E-2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input_452100!A$2</f>
        <v>452100</v>
      </c>
      <c r="B10" s="2">
        <v>192</v>
      </c>
      <c r="C10" s="7" t="str">
        <f t="shared" si="3"/>
        <v>Premium5</v>
      </c>
      <c r="D10" s="93" t="str">
        <f t="shared" si="4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v>53015.999999999993</v>
      </c>
      <c r="P10" s="46">
        <f t="shared" si="5"/>
        <v>1.2051282051282051E-2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input_452100!A$2</f>
        <v>452100</v>
      </c>
      <c r="B11" s="2">
        <v>195</v>
      </c>
      <c r="C11" s="7" t="str">
        <f t="shared" si="3"/>
        <v>Premium5</v>
      </c>
      <c r="D11" s="93" t="str">
        <f t="shared" si="4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v>53015.999999999993</v>
      </c>
      <c r="P11" s="46">
        <f t="shared" si="5"/>
        <v>1.2051282051282051E-2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input_452100!A$2</f>
        <v>452100</v>
      </c>
      <c r="B12" s="2">
        <v>198</v>
      </c>
      <c r="C12" s="7" t="str">
        <f t="shared" si="3"/>
        <v>Premium5</v>
      </c>
      <c r="D12" s="93" t="str">
        <f t="shared" si="4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v>53015.999999999993</v>
      </c>
      <c r="P12" s="46">
        <f t="shared" si="5"/>
        <v>1.2051282051282051E-2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input_452100!A$2</f>
        <v>452100</v>
      </c>
      <c r="B13" s="2">
        <v>201</v>
      </c>
      <c r="C13" s="7" t="str">
        <f t="shared" si="3"/>
        <v>Premium5</v>
      </c>
      <c r="D13" s="93" t="str">
        <f t="shared" si="4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v>53015.999999999993</v>
      </c>
      <c r="P13" s="46">
        <f t="shared" si="5"/>
        <v>1.2051282051282051E-2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input_452100!A$2</f>
        <v>452100</v>
      </c>
      <c r="B14" s="2">
        <v>204</v>
      </c>
      <c r="C14" s="7" t="str">
        <f t="shared" si="3"/>
        <v>Premium5</v>
      </c>
      <c r="D14" s="93" t="str">
        <f t="shared" si="4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v>53015.999999999993</v>
      </c>
      <c r="P14" s="46">
        <f t="shared" si="5"/>
        <v>1.2051282051282051E-2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input_452100!A$2</f>
        <v>452100</v>
      </c>
      <c r="B15" s="2">
        <v>207</v>
      </c>
      <c r="C15" s="7" t="str">
        <f t="shared" si="3"/>
        <v>Premium5</v>
      </c>
      <c r="D15" s="93" t="str">
        <f t="shared" si="4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v>53015.999999999993</v>
      </c>
      <c r="P15" s="46">
        <f t="shared" si="5"/>
        <v>1.2051282051282051E-2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input_452100!A$2</f>
        <v>452100</v>
      </c>
      <c r="B16" s="2">
        <v>210</v>
      </c>
      <c r="C16" s="7" t="str">
        <f t="shared" si="3"/>
        <v>Premium5</v>
      </c>
      <c r="D16" s="93" t="str">
        <f t="shared" si="4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v>53015.999999999993</v>
      </c>
      <c r="P16" s="46">
        <f t="shared" si="5"/>
        <v>1.2051282051282051E-2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input_452100!A$2</f>
        <v>452100</v>
      </c>
      <c r="B17" s="2">
        <v>213</v>
      </c>
      <c r="C17" s="7" t="str">
        <f t="shared" si="3"/>
        <v>Premium5</v>
      </c>
      <c r="D17" s="93" t="str">
        <f t="shared" si="4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v>53015.999999999993</v>
      </c>
      <c r="P17" s="46">
        <f t="shared" si="5"/>
        <v>1.2051282051282051E-2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input_452100!A$2</f>
        <v>452100</v>
      </c>
      <c r="B18" s="2">
        <v>216</v>
      </c>
      <c r="C18" s="7" t="str">
        <f t="shared" si="3"/>
        <v>Premium5</v>
      </c>
      <c r="D18" s="93" t="str">
        <f t="shared" si="4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v>53015.999999999993</v>
      </c>
      <c r="P18" s="46">
        <f t="shared" si="5"/>
        <v>1.2051282051282051E-2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 t="str">
        <f ca="1">input_452100!A$2</f>
        <v>452100</v>
      </c>
      <c r="B19" s="2">
        <v>219</v>
      </c>
      <c r="C19" s="7" t="str">
        <f t="shared" si="3"/>
        <v>Premium5</v>
      </c>
      <c r="D19" s="93" t="str">
        <f t="shared" si="4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v>53015.999999999993</v>
      </c>
      <c r="P19" s="46">
        <f t="shared" si="5"/>
        <v>1.2051282051282051E-2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input_452100!A$2</f>
        <v>452100</v>
      </c>
      <c r="B20" s="2">
        <v>222</v>
      </c>
      <c r="C20" s="7" t="str">
        <f t="shared" si="3"/>
        <v>Premium5</v>
      </c>
      <c r="D20" s="93" t="str">
        <f t="shared" si="4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v>53015.999999999993</v>
      </c>
      <c r="P20" s="46">
        <f t="shared" si="5"/>
        <v>1.2051282051282051E-2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input_452100!A$2</f>
        <v>452100</v>
      </c>
      <c r="B21" s="2">
        <v>225</v>
      </c>
      <c r="C21" s="7" t="str">
        <f t="shared" si="3"/>
        <v>Premium5</v>
      </c>
      <c r="D21" s="93" t="str">
        <f t="shared" si="4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v>53015.999999999993</v>
      </c>
      <c r="P21" s="46">
        <f t="shared" si="5"/>
        <v>1.2051282051282051E-2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input_452100!A$2</f>
        <v>452100</v>
      </c>
      <c r="B22" s="2">
        <v>228</v>
      </c>
      <c r="C22" s="7" t="str">
        <f t="shared" si="3"/>
        <v>Premium5</v>
      </c>
      <c r="D22" s="93" t="str">
        <f t="shared" si="4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v>53015.999999999993</v>
      </c>
      <c r="P22" s="46">
        <f t="shared" si="5"/>
        <v>1.2051282051282051E-2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input_452100!A$2</f>
        <v>452100</v>
      </c>
      <c r="B23" s="2">
        <v>231</v>
      </c>
      <c r="C23" s="7" t="str">
        <f t="shared" si="3"/>
        <v>Premium5</v>
      </c>
      <c r="D23" s="93" t="str">
        <f t="shared" si="4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v>53015.999999999993</v>
      </c>
      <c r="P23" s="46">
        <f t="shared" si="5"/>
        <v>1.2051282051282051E-2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input_452100!A$2</f>
        <v>452100</v>
      </c>
      <c r="B24" s="2">
        <v>234</v>
      </c>
      <c r="C24" s="7" t="str">
        <f t="shared" si="3"/>
        <v>Premium5</v>
      </c>
      <c r="D24" s="93" t="str">
        <f t="shared" si="4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v>53015.999999999993</v>
      </c>
      <c r="P24" s="46">
        <f t="shared" si="5"/>
        <v>1.2051282051282051E-2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input_452100!A$2</f>
        <v>452100</v>
      </c>
      <c r="B25" s="2">
        <v>237</v>
      </c>
      <c r="C25" s="7" t="str">
        <f t="shared" si="3"/>
        <v>Premium5R6release</v>
      </c>
      <c r="D25" s="93" t="str">
        <f t="shared" si="4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v>53015.999999999993</v>
      </c>
      <c r="P25" s="46">
        <f t="shared" si="5"/>
        <v>1.2051282051282051E-2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input_452100!A$2</f>
        <v>452100</v>
      </c>
      <c r="B26" s="2">
        <v>240</v>
      </c>
      <c r="C26" s="7" t="str">
        <f t="shared" si="3"/>
        <v>Premium5</v>
      </c>
      <c r="D26" s="93" t="str">
        <f t="shared" si="4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v>53015.999999999993</v>
      </c>
      <c r="P26" s="46">
        <f t="shared" si="5"/>
        <v>1.2051282051282051E-2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input_452100!A$2</f>
        <v>452100</v>
      </c>
      <c r="B27" s="2">
        <v>243</v>
      </c>
      <c r="C27" s="7" t="str">
        <f t="shared" si="3"/>
        <v>Premium5</v>
      </c>
      <c r="D27" s="93" t="str">
        <f t="shared" si="4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v>53015.999999999993</v>
      </c>
      <c r="P27" s="46">
        <f t="shared" si="5"/>
        <v>1.2051282051282051E-2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input_452100!A$2</f>
        <v>452100</v>
      </c>
      <c r="B28" s="2">
        <v>246</v>
      </c>
      <c r="C28" s="7" t="str">
        <f t="shared" si="3"/>
        <v>Premium5</v>
      </c>
      <c r="D28" s="93" t="str">
        <f t="shared" si="4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v>53015.999999999993</v>
      </c>
      <c r="P28" s="46">
        <f t="shared" si="5"/>
        <v>1.2051282051282051E-2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input_452100!A$2</f>
        <v>452100</v>
      </c>
      <c r="B29" s="2">
        <v>249</v>
      </c>
      <c r="C29" s="7" t="str">
        <f t="shared" si="3"/>
        <v>Premium5</v>
      </c>
      <c r="D29" s="93" t="str">
        <f t="shared" si="4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v>53015.999999999993</v>
      </c>
      <c r="P29" s="46">
        <f t="shared" si="5"/>
        <v>1.2051282051282051E-2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input_452100!A$2</f>
        <v>452100</v>
      </c>
      <c r="B30" s="2">
        <v>252</v>
      </c>
      <c r="C30" s="7" t="str">
        <f t="shared" si="3"/>
        <v>Premium5</v>
      </c>
      <c r="D30" s="93" t="str">
        <f t="shared" si="4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v>53015.999999999993</v>
      </c>
      <c r="P30" s="46">
        <f t="shared" si="5"/>
        <v>1.2051282051282051E-2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input_452100!A$2</f>
        <v>452100</v>
      </c>
      <c r="B31" s="2">
        <v>255</v>
      </c>
      <c r="C31" s="7" t="str">
        <f t="shared" si="3"/>
        <v>Premium5</v>
      </c>
      <c r="D31" s="93" t="str">
        <f t="shared" si="4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v>53015.999999999993</v>
      </c>
      <c r="P31" s="46">
        <f t="shared" si="5"/>
        <v>1.2051282051282051E-2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input_452100!A$2</f>
        <v>452100</v>
      </c>
      <c r="B32" s="2">
        <v>258</v>
      </c>
      <c r="C32" s="7" t="str">
        <f t="shared" si="3"/>
        <v>Premium5</v>
      </c>
      <c r="D32" s="93" t="str">
        <f t="shared" si="4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v>53015.999999999993</v>
      </c>
      <c r="P32" s="46">
        <f t="shared" si="5"/>
        <v>1.2051282051282051E-2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input_452100!A$2</f>
        <v>452100</v>
      </c>
      <c r="B33" s="2">
        <v>261</v>
      </c>
      <c r="C33" s="7" t="str">
        <f t="shared" si="3"/>
        <v>Premium5</v>
      </c>
      <c r="D33" s="93" t="str">
        <f t="shared" si="4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v>53015.999999999993</v>
      </c>
      <c r="P33" s="46">
        <f t="shared" si="5"/>
        <v>1.2051282051282051E-2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input_452100!A$2</f>
        <v>452100</v>
      </c>
      <c r="B34" s="2">
        <v>321</v>
      </c>
      <c r="C34" s="7" t="str">
        <f t="shared" si="3"/>
        <v>PremiumSS5</v>
      </c>
      <c r="D34" s="93" t="str">
        <f t="shared" si="4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v>3666</v>
      </c>
      <c r="P34" s="46">
        <f t="shared" si="5"/>
        <v>8.333333333333335E-4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input_452100!A$2</f>
        <v>452100</v>
      </c>
      <c r="B35" s="2">
        <v>323</v>
      </c>
      <c r="C35" s="7" t="str">
        <f t="shared" si="3"/>
        <v>PremiumSS5</v>
      </c>
      <c r="D35" s="93" t="str">
        <f t="shared" si="4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v>3666</v>
      </c>
      <c r="P35" s="46">
        <f t="shared" si="5"/>
        <v>8.333333333333335E-4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input_452100!A$2</f>
        <v>452100</v>
      </c>
      <c r="B36" s="2">
        <v>325</v>
      </c>
      <c r="C36" s="7" t="str">
        <f t="shared" si="3"/>
        <v>PremiumSS5</v>
      </c>
      <c r="D36" s="93" t="str">
        <f t="shared" si="4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v>3666</v>
      </c>
      <c r="P36" s="46">
        <f t="shared" si="5"/>
        <v>8.333333333333335E-4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input_452100!A$2</f>
        <v>452100</v>
      </c>
      <c r="B37" s="2">
        <v>327</v>
      </c>
      <c r="C37" s="7" t="str">
        <f t="shared" si="3"/>
        <v>PremiumSS5</v>
      </c>
      <c r="D37" s="93" t="str">
        <f t="shared" si="4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v>3666</v>
      </c>
      <c r="P37" s="46">
        <f t="shared" si="5"/>
        <v>8.333333333333335E-4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input_452100!A$2</f>
        <v>452100</v>
      </c>
      <c r="B38" s="2">
        <v>382</v>
      </c>
      <c r="C38" s="7" t="str">
        <f t="shared" si="3"/>
        <v>Premium5</v>
      </c>
      <c r="D38" s="93" t="str">
        <f t="shared" si="4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v>53015.999999999993</v>
      </c>
      <c r="P38" s="46">
        <f t="shared" si="5"/>
        <v>1.2051282051282051E-2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input_452100!A$2</f>
        <v>452100</v>
      </c>
      <c r="B39" s="2">
        <v>384</v>
      </c>
      <c r="C39" s="7" t="str">
        <f t="shared" si="3"/>
        <v>PremiumSS5</v>
      </c>
      <c r="D39" s="93" t="str">
        <f t="shared" si="4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v>3666</v>
      </c>
      <c r="P39" s="46">
        <f t="shared" si="5"/>
        <v>8.333333333333335E-4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input_452100!A$2</f>
        <v>452100</v>
      </c>
      <c r="B40" s="2">
        <v>386</v>
      </c>
      <c r="C40" s="7" t="str">
        <f t="shared" si="3"/>
        <v>PremiumSS5</v>
      </c>
      <c r="D40" s="93" t="str">
        <f t="shared" si="4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v>3666</v>
      </c>
      <c r="P40" s="46">
        <f t="shared" si="5"/>
        <v>8.333333333333335E-4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input_452100!A$2</f>
        <v>452100</v>
      </c>
      <c r="B41" s="2">
        <v>389</v>
      </c>
      <c r="C41" s="7" t="str">
        <f t="shared" si="3"/>
        <v>Premium5</v>
      </c>
      <c r="D41" s="93" t="str">
        <f t="shared" si="4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v>53015.999999999993</v>
      </c>
      <c r="P41" s="46">
        <f t="shared" si="5"/>
        <v>1.2051282051282051E-2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input_452100!A$2</f>
        <v>452100</v>
      </c>
      <c r="B42" s="2">
        <v>391</v>
      </c>
      <c r="C42" s="7" t="str">
        <f t="shared" si="3"/>
        <v>PremiumSS5</v>
      </c>
      <c r="D42" s="93" t="str">
        <f t="shared" si="4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v>3666</v>
      </c>
      <c r="P42" s="46">
        <f t="shared" si="5"/>
        <v>8.333333333333335E-4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input_452100!A$2</f>
        <v>452100</v>
      </c>
      <c r="B43" s="2">
        <v>394</v>
      </c>
      <c r="C43" s="7" t="str">
        <f t="shared" si="3"/>
        <v>Premium5</v>
      </c>
      <c r="D43" s="93" t="str">
        <f t="shared" si="4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v>53015.999999999993</v>
      </c>
      <c r="P43" s="46">
        <f t="shared" si="5"/>
        <v>1.2051282051282051E-2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input_452100!A$2</f>
        <v>452100</v>
      </c>
      <c r="B44" s="2">
        <v>397</v>
      </c>
      <c r="C44" s="7" t="str">
        <f t="shared" si="3"/>
        <v>Premium5</v>
      </c>
      <c r="D44" s="93" t="str">
        <f t="shared" si="4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v>53015.999999999993</v>
      </c>
      <c r="P44" s="46">
        <f t="shared" si="5"/>
        <v>1.2051282051282051E-2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input_452100!A$2</f>
        <v>452100</v>
      </c>
      <c r="B45" s="2">
        <v>399</v>
      </c>
      <c r="C45" s="7" t="str">
        <f t="shared" si="3"/>
        <v>PremiumSS5</v>
      </c>
      <c r="D45" s="93" t="str">
        <f t="shared" si="4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v>3666</v>
      </c>
      <c r="P45" s="46">
        <f t="shared" si="5"/>
        <v>8.333333333333335E-4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input_452100!A$2</f>
        <v>452100</v>
      </c>
      <c r="B46" s="2">
        <v>402</v>
      </c>
      <c r="C46" s="7" t="str">
        <f t="shared" si="3"/>
        <v>Premium5</v>
      </c>
      <c r="D46" s="93" t="str">
        <f t="shared" si="4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v>53015.999999999993</v>
      </c>
      <c r="P46" s="46">
        <f t="shared" si="5"/>
        <v>1.2051282051282051E-2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input_452100!A$2</f>
        <v>452100</v>
      </c>
      <c r="B47" s="2">
        <v>404</v>
      </c>
      <c r="C47" s="7" t="str">
        <f t="shared" si="3"/>
        <v>PremiumSS5</v>
      </c>
      <c r="D47" s="93" t="str">
        <f t="shared" si="4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v>3666</v>
      </c>
      <c r="P47" s="46">
        <f t="shared" si="5"/>
        <v>8.333333333333335E-4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input_452100!A$2</f>
        <v>452100</v>
      </c>
      <c r="B48" s="2">
        <v>407</v>
      </c>
      <c r="C48" s="7" t="str">
        <f t="shared" si="3"/>
        <v>Premium5</v>
      </c>
      <c r="D48" s="93" t="str">
        <f t="shared" si="4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v>53015.999999999993</v>
      </c>
      <c r="P48" s="46">
        <f t="shared" si="5"/>
        <v>1.2051282051282051E-2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input_452100!A$2</f>
        <v>452100</v>
      </c>
      <c r="B49" s="2">
        <v>409</v>
      </c>
      <c r="C49" s="7" t="str">
        <f t="shared" si="3"/>
        <v>PremiumSS5</v>
      </c>
      <c r="D49" s="93" t="str">
        <f t="shared" si="4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v>3666</v>
      </c>
      <c r="P49" s="46">
        <f t="shared" si="5"/>
        <v>8.333333333333335E-4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input_452100!A$2</f>
        <v>452100</v>
      </c>
      <c r="B50" s="2">
        <v>435</v>
      </c>
      <c r="C50" s="7" t="str">
        <f t="shared" si="3"/>
        <v>PremiumSS5</v>
      </c>
      <c r="D50" s="93" t="str">
        <f t="shared" si="4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v>3666</v>
      </c>
      <c r="P50" s="46">
        <f t="shared" si="5"/>
        <v>8.333333333333335E-4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input_452100!A$2</f>
        <v>452100</v>
      </c>
      <c r="B51" s="2">
        <v>438</v>
      </c>
      <c r="C51" s="7" t="str">
        <f t="shared" si="3"/>
        <v>Premium5</v>
      </c>
      <c r="D51" s="93" t="str">
        <f t="shared" si="4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v>53015.999999999993</v>
      </c>
      <c r="P51" s="46">
        <f t="shared" si="5"/>
        <v>1.2051282051282051E-2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input_452100!A$2</f>
        <v>452100</v>
      </c>
      <c r="B52" s="2">
        <v>441</v>
      </c>
      <c r="C52" s="7" t="str">
        <f t="shared" si="3"/>
        <v>Premium5</v>
      </c>
      <c r="D52" s="93" t="str">
        <f t="shared" si="4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v>53015.999999999993</v>
      </c>
      <c r="P52" s="46">
        <f t="shared" si="5"/>
        <v>1.2051282051282051E-2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input_452100!A$2</f>
        <v>452100</v>
      </c>
      <c r="B53" s="2">
        <v>443</v>
      </c>
      <c r="C53" s="7" t="str">
        <f t="shared" si="3"/>
        <v>PremiumSS5</v>
      </c>
      <c r="D53" s="93" t="str">
        <f t="shared" si="4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v>3666</v>
      </c>
      <c r="P53" s="46">
        <f t="shared" si="5"/>
        <v>8.333333333333335E-4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input_452100!A$2</f>
        <v>452100</v>
      </c>
      <c r="B54" s="2">
        <v>464</v>
      </c>
      <c r="C54" s="7" t="str">
        <f t="shared" si="3"/>
        <v>Premium5</v>
      </c>
      <c r="D54" s="93" t="str">
        <f t="shared" si="4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v>53015.999999999993</v>
      </c>
      <c r="P54" s="46">
        <f t="shared" si="5"/>
        <v>1.2051282051282051E-2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input_452100!A$2</f>
        <v>452100</v>
      </c>
      <c r="B55" s="2">
        <v>466</v>
      </c>
      <c r="C55" s="7" t="str">
        <f t="shared" si="3"/>
        <v>PremiumSS5</v>
      </c>
      <c r="D55" s="93" t="str">
        <f t="shared" si="4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v>3666</v>
      </c>
      <c r="P55" s="46">
        <f t="shared" si="5"/>
        <v>8.333333333333335E-4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input_452100!A$2</f>
        <v>452100</v>
      </c>
      <c r="B56" s="2">
        <v>468</v>
      </c>
      <c r="C56" s="7" t="str">
        <f t="shared" si="3"/>
        <v>PremiumSS5</v>
      </c>
      <c r="D56" s="93" t="str">
        <f t="shared" si="4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v>3666</v>
      </c>
      <c r="P56" s="46">
        <f t="shared" si="5"/>
        <v>8.333333333333335E-4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input_452100!A$2</f>
        <v>452100</v>
      </c>
      <c r="B57" s="2">
        <v>471</v>
      </c>
      <c r="C57" s="7" t="str">
        <f t="shared" si="3"/>
        <v>Premium5</v>
      </c>
      <c r="D57" s="93" t="str">
        <f t="shared" si="4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v>53015.999999999993</v>
      </c>
      <c r="P57" s="46">
        <f t="shared" si="5"/>
        <v>1.2051282051282051E-2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input_452100!A$2</f>
        <v>452100</v>
      </c>
      <c r="B58" s="2">
        <v>475</v>
      </c>
      <c r="C58" s="7" t="str">
        <f t="shared" si="3"/>
        <v>PremiumSS5</v>
      </c>
      <c r="D58" s="93" t="str">
        <f t="shared" si="4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v>3666</v>
      </c>
      <c r="P58" s="46">
        <f t="shared" si="5"/>
        <v>8.333333333333335E-4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input_452100!A$2</f>
        <v>452100</v>
      </c>
      <c r="B59" s="2">
        <v>478</v>
      </c>
      <c r="C59" s="7" t="str">
        <f t="shared" si="3"/>
        <v>Premium5</v>
      </c>
      <c r="D59" s="93" t="str">
        <f t="shared" si="4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v>53015.999999999993</v>
      </c>
      <c r="P59" s="46">
        <f t="shared" si="5"/>
        <v>1.2051282051282051E-2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input_452100!A$2</f>
        <v>452100</v>
      </c>
      <c r="B60" s="2">
        <v>480</v>
      </c>
      <c r="C60" s="7" t="str">
        <f t="shared" si="3"/>
        <v>PremiumSS5</v>
      </c>
      <c r="D60" s="93" t="str">
        <f t="shared" si="4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v>3666</v>
      </c>
      <c r="P60" s="46">
        <f t="shared" si="5"/>
        <v>8.333333333333335E-4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input_452100!A$2</f>
        <v>452100</v>
      </c>
      <c r="B61" s="2">
        <v>483</v>
      </c>
      <c r="C61" s="7" t="str">
        <f t="shared" si="3"/>
        <v>Premium5</v>
      </c>
      <c r="D61" s="93" t="str">
        <f t="shared" si="4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v>53015.999999999993</v>
      </c>
      <c r="P61" s="46">
        <f t="shared" si="5"/>
        <v>1.2051282051282051E-2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input_452100!A$2</f>
        <v>452100</v>
      </c>
      <c r="B62" s="2">
        <v>493</v>
      </c>
      <c r="C62" s="7" t="str">
        <f t="shared" si="3"/>
        <v>PremiumSS5</v>
      </c>
      <c r="D62" s="93" t="str">
        <f t="shared" si="4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v>3666</v>
      </c>
      <c r="P62" s="46">
        <f t="shared" si="5"/>
        <v>8.333333333333335E-4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input_452100!A$2</f>
        <v>452100</v>
      </c>
      <c r="B63" s="2">
        <v>495</v>
      </c>
      <c r="C63" s="7" t="str">
        <f t="shared" si="3"/>
        <v>PremiumSS5</v>
      </c>
      <c r="D63" s="93" t="str">
        <f t="shared" si="4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v>3666</v>
      </c>
      <c r="P63" s="46">
        <f t="shared" si="5"/>
        <v>8.333333333333335E-4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input_452100!A$2</f>
        <v>452100</v>
      </c>
      <c r="B64" s="2">
        <v>498</v>
      </c>
      <c r="C64" s="7" t="str">
        <f t="shared" si="3"/>
        <v>Premium5</v>
      </c>
      <c r="D64" s="93" t="str">
        <f t="shared" si="4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v>53015.999999999993</v>
      </c>
      <c r="P64" s="46">
        <f t="shared" si="5"/>
        <v>1.2051282051282051E-2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input_452100!A$2</f>
        <v>452100</v>
      </c>
      <c r="B65" s="2">
        <v>500</v>
      </c>
      <c r="C65" s="7" t="str">
        <f t="shared" si="3"/>
        <v>PremiumSS5</v>
      </c>
      <c r="D65" s="93" t="str">
        <f t="shared" si="4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v>3666</v>
      </c>
      <c r="P65" s="46">
        <f t="shared" si="5"/>
        <v>8.333333333333335E-4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input_452100!A$2</f>
        <v>452100</v>
      </c>
      <c r="B66" s="2">
        <v>560</v>
      </c>
      <c r="C66" s="7" t="str">
        <f t="shared" si="3"/>
        <v>premium5R3less</v>
      </c>
      <c r="D66" s="93" t="str">
        <f t="shared" si="4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v>53015.999999999993</v>
      </c>
      <c r="P66" s="46">
        <f t="shared" si="5"/>
        <v>1.2051282051282051E-2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input_452100!A$2</f>
        <v>452100</v>
      </c>
      <c r="B67" s="2">
        <v>561</v>
      </c>
      <c r="C67" s="7" t="str">
        <f t="shared" si="3"/>
        <v>premium5R3less</v>
      </c>
      <c r="D67" s="93" t="str">
        <f t="shared" si="4"/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v>53015.999999999993</v>
      </c>
      <c r="P67" s="46">
        <f t="shared" si="5"/>
        <v>1.2051282051282051E-2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input_452100!A$2</f>
        <v>452100</v>
      </c>
      <c r="B68" s="2">
        <v>562</v>
      </c>
      <c r="C68" s="7" t="str">
        <f t="shared" si="3"/>
        <v>premium5R3less</v>
      </c>
      <c r="D68" s="93" t="str">
        <f t="shared" si="4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v>53015.999999999993</v>
      </c>
      <c r="P68" s="46">
        <f t="shared" si="5"/>
        <v>1.2051282051282051E-2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input_452100!A$2</f>
        <v>452100</v>
      </c>
      <c r="B69" s="2">
        <v>563</v>
      </c>
      <c r="C69" s="7" t="str">
        <f t="shared" si="3"/>
        <v>premium5R3less</v>
      </c>
      <c r="D69" s="93" t="str">
        <f t="shared" si="4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v>53015.999999999993</v>
      </c>
      <c r="P69" s="46">
        <f t="shared" si="5"/>
        <v>1.2051282051282051E-2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input_452100!A$2</f>
        <v>452100</v>
      </c>
      <c r="B70" s="2">
        <v>566</v>
      </c>
      <c r="C70" s="7" t="str">
        <f t="shared" si="3"/>
        <v>premium5R3less</v>
      </c>
      <c r="D70" s="93" t="str">
        <f t="shared" si="4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v>53015.999999999993</v>
      </c>
      <c r="P70" s="46">
        <f t="shared" si="5"/>
        <v>1.2051282051282051E-2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input_452100!A$2</f>
        <v>452100</v>
      </c>
      <c r="B71" s="2">
        <v>567</v>
      </c>
      <c r="C71" s="7" t="str">
        <f t="shared" si="3"/>
        <v>premium5R3less</v>
      </c>
      <c r="D71" s="93" t="str">
        <f t="shared" si="4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v>53015.999999999993</v>
      </c>
      <c r="P71" s="46">
        <f t="shared" si="5"/>
        <v>1.2051282051282051E-2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input_452100!A$2</f>
        <v>452100</v>
      </c>
      <c r="B72" s="2">
        <v>587</v>
      </c>
      <c r="C72" s="7" t="str">
        <f t="shared" ref="C72:C135" si="6">D72&amp;J72&amp;E72&amp;F72&amp;G72</f>
        <v>PremiumSS5</v>
      </c>
      <c r="D72" s="93" t="str">
        <f t="shared" ref="D72:D135" si="7">IF(OR(I72="PremiumSS",I72="PremiumSSw"),"PremiumSS",IF(I72="PremiumSSS",I72,IF(I72="PremiumW",IF(J72=5,"premium",I72),"Premium")))</f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v>3666</v>
      </c>
      <c r="P72" s="46">
        <f t="shared" ref="P72:P135" si="8">O72/SUM(O:O)</f>
        <v>8.333333333333335E-4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input_452100!A$2</f>
        <v>452100</v>
      </c>
      <c r="B73" s="2">
        <v>590</v>
      </c>
      <c r="C73" s="7" t="str">
        <f t="shared" si="6"/>
        <v>Premium5</v>
      </c>
      <c r="D73" s="93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v>53015.999999999993</v>
      </c>
      <c r="P73" s="46">
        <f t="shared" si="8"/>
        <v>1.2051282051282051E-2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input_452100!A$2</f>
        <v>452100</v>
      </c>
      <c r="B74" s="2">
        <v>593</v>
      </c>
      <c r="C74" s="7" t="str">
        <f t="shared" si="6"/>
        <v>Premium5</v>
      </c>
      <c r="D74" s="93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v>53015.999999999993</v>
      </c>
      <c r="P74" s="46">
        <f t="shared" si="8"/>
        <v>1.2051282051282051E-2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input_452100!A$2</f>
        <v>452100</v>
      </c>
      <c r="B75" s="2">
        <v>595</v>
      </c>
      <c r="C75" s="7" t="str">
        <f t="shared" si="6"/>
        <v>PremiumSS5</v>
      </c>
      <c r="D75" s="93" t="str">
        <f t="shared" si="7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v>3666</v>
      </c>
      <c r="P75" s="46">
        <f t="shared" si="8"/>
        <v>8.333333333333335E-4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input_452100!A$2</f>
        <v>452100</v>
      </c>
      <c r="B76" s="2">
        <v>598</v>
      </c>
      <c r="C76" s="7" t="str">
        <f t="shared" si="6"/>
        <v>Premium5</v>
      </c>
      <c r="D76" s="93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v>53015.999999999993</v>
      </c>
      <c r="P76" s="46">
        <f t="shared" si="8"/>
        <v>1.2051282051282051E-2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input_452100!A$2</f>
        <v>452100</v>
      </c>
      <c r="B77" s="2">
        <v>601</v>
      </c>
      <c r="C77" s="7" t="str">
        <f t="shared" si="6"/>
        <v>Premium5</v>
      </c>
      <c r="D77" s="93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v>53015.999999999993</v>
      </c>
      <c r="P77" s="46">
        <f t="shared" si="8"/>
        <v>1.2051282051282051E-2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input_452100!A$2</f>
        <v>452100</v>
      </c>
      <c r="B78" s="2">
        <v>603</v>
      </c>
      <c r="C78" s="7" t="str">
        <f t="shared" si="6"/>
        <v>PremiumSS5</v>
      </c>
      <c r="D78" s="93" t="str">
        <f t="shared" si="7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v>3666</v>
      </c>
      <c r="P78" s="46">
        <f t="shared" si="8"/>
        <v>8.333333333333335E-4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input_452100!A$2</f>
        <v>452100</v>
      </c>
      <c r="B79" s="2">
        <v>606</v>
      </c>
      <c r="C79" s="7" t="str">
        <f t="shared" si="6"/>
        <v>Premium5</v>
      </c>
      <c r="D79" s="93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v>53015.999999999993</v>
      </c>
      <c r="P79" s="46">
        <f t="shared" si="8"/>
        <v>1.2051282051282051E-2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input_452100!A$2</f>
        <v>452100</v>
      </c>
      <c r="B80" s="2">
        <v>659</v>
      </c>
      <c r="C80" s="7" t="str">
        <f t="shared" si="6"/>
        <v>PremiumSS5</v>
      </c>
      <c r="D80" s="93" t="str">
        <f t="shared" si="7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v>3666</v>
      </c>
      <c r="P80" s="46">
        <f t="shared" si="8"/>
        <v>8.333333333333335E-4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input_452100!A$2</f>
        <v>452100</v>
      </c>
      <c r="B81" s="2">
        <v>661</v>
      </c>
      <c r="C81" s="7" t="str">
        <f t="shared" si="6"/>
        <v>PremiumSS5</v>
      </c>
      <c r="D81" s="93" t="str">
        <f t="shared" si="7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v>3666</v>
      </c>
      <c r="P81" s="46">
        <f t="shared" si="8"/>
        <v>8.333333333333335E-4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input_452100!A$2</f>
        <v>452100</v>
      </c>
      <c r="B82" s="2">
        <v>664</v>
      </c>
      <c r="C82" s="7" t="str">
        <f t="shared" si="6"/>
        <v>Premium5</v>
      </c>
      <c r="D82" s="93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v>53015.999999999993</v>
      </c>
      <c r="P82" s="46">
        <f t="shared" si="8"/>
        <v>1.2051282051282051E-2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input_452100!A$2</f>
        <v>452100</v>
      </c>
      <c r="B83" s="2">
        <v>667</v>
      </c>
      <c r="C83" s="7" t="str">
        <f t="shared" si="6"/>
        <v>Premium5</v>
      </c>
      <c r="D83" s="93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v>53015.999999999993</v>
      </c>
      <c r="P83" s="46">
        <f t="shared" si="8"/>
        <v>1.2051282051282051E-2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input_452100!A$2</f>
        <v>452100</v>
      </c>
      <c r="B84" s="2">
        <v>670</v>
      </c>
      <c r="C84" s="7" t="str">
        <f t="shared" si="6"/>
        <v>Premium5</v>
      </c>
      <c r="D84" s="93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v>53015.999999999993</v>
      </c>
      <c r="P84" s="46">
        <f t="shared" si="8"/>
        <v>1.2051282051282051E-2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input_452100!A$2</f>
        <v>452100</v>
      </c>
      <c r="B85" s="2">
        <v>673</v>
      </c>
      <c r="C85" s="7" t="str">
        <f t="shared" si="6"/>
        <v>Premium5</v>
      </c>
      <c r="D85" s="93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v>53015.999999999993</v>
      </c>
      <c r="P85" s="46">
        <f t="shared" si="8"/>
        <v>1.2051282051282051E-2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input_452100!A$2</f>
        <v>452100</v>
      </c>
      <c r="B86" s="2">
        <v>675</v>
      </c>
      <c r="C86" s="7" t="str">
        <f t="shared" si="6"/>
        <v>PremiumSS5</v>
      </c>
      <c r="D86" s="93" t="str">
        <f t="shared" si="7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v>3666</v>
      </c>
      <c r="P86" s="46">
        <f t="shared" si="8"/>
        <v>8.333333333333335E-4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input_452100!A$2</f>
        <v>452100</v>
      </c>
      <c r="B87" s="2">
        <v>677</v>
      </c>
      <c r="C87" s="7" t="str">
        <f t="shared" si="6"/>
        <v>PremiumSS5</v>
      </c>
      <c r="D87" s="93" t="str">
        <f t="shared" si="7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v>3666</v>
      </c>
      <c r="P87" s="46">
        <f t="shared" si="8"/>
        <v>8.333333333333335E-4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input_452100!A$2</f>
        <v>452100</v>
      </c>
      <c r="B88" s="2">
        <v>729</v>
      </c>
      <c r="C88" s="7" t="str">
        <f t="shared" si="6"/>
        <v>Premium5R3less</v>
      </c>
      <c r="D88" s="93" t="str">
        <f t="shared" si="7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v>53015.999999999993</v>
      </c>
      <c r="P88" s="46">
        <f t="shared" si="8"/>
        <v>1.2051282051282051E-2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input_452100!A$2</f>
        <v>452100</v>
      </c>
      <c r="B89" s="2">
        <v>731</v>
      </c>
      <c r="C89" s="7" t="str">
        <f t="shared" si="6"/>
        <v>Premium5R3less</v>
      </c>
      <c r="D89" s="93" t="str">
        <f t="shared" si="7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v>53015.999999999993</v>
      </c>
      <c r="P89" s="46">
        <f t="shared" si="8"/>
        <v>1.2051282051282051E-2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input_452100!A$2</f>
        <v>452100</v>
      </c>
      <c r="B90" s="2">
        <v>732</v>
      </c>
      <c r="C90" s="7" t="str">
        <f t="shared" si="6"/>
        <v>PremiumSS5R5only</v>
      </c>
      <c r="D90" s="93" t="str">
        <f t="shared" si="7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v>3666</v>
      </c>
      <c r="P90" s="46">
        <f t="shared" si="8"/>
        <v>8.333333333333335E-4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input_452100!A$2</f>
        <v>452100</v>
      </c>
      <c r="B91" s="2">
        <v>734</v>
      </c>
      <c r="C91" s="7" t="str">
        <f t="shared" si="6"/>
        <v>PremiumSS5R5only</v>
      </c>
      <c r="D91" s="93" t="str">
        <f t="shared" si="7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v>3666</v>
      </c>
      <c r="P91" s="46">
        <f t="shared" si="8"/>
        <v>8.333333333333335E-4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input_452100!A$2</f>
        <v>452100</v>
      </c>
      <c r="B92" s="2">
        <v>742</v>
      </c>
      <c r="C92" s="7" t="str">
        <f t="shared" si="6"/>
        <v>PremiumSS5R5only</v>
      </c>
      <c r="D92" s="93" t="str">
        <f t="shared" si="7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v>3666</v>
      </c>
      <c r="P92" s="46">
        <f t="shared" si="8"/>
        <v>8.333333333333335E-4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input_452100!A$2</f>
        <v>452100</v>
      </c>
      <c r="B93" s="2">
        <v>744</v>
      </c>
      <c r="C93" s="7" t="str">
        <f t="shared" si="6"/>
        <v>PremiumSS5R5only</v>
      </c>
      <c r="D93" s="93" t="str">
        <f t="shared" si="7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v>3666</v>
      </c>
      <c r="P93" s="46">
        <f t="shared" si="8"/>
        <v>8.333333333333335E-4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input_452100!A$2</f>
        <v>452100</v>
      </c>
      <c r="B94" s="2">
        <v>747</v>
      </c>
      <c r="C94" s="7" t="str">
        <f t="shared" si="6"/>
        <v>Premium5R3less</v>
      </c>
      <c r="D94" s="93" t="str">
        <f t="shared" si="7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v>53015.999999999993</v>
      </c>
      <c r="P94" s="46">
        <f t="shared" si="8"/>
        <v>1.2051282051282051E-2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input_452100!A$2</f>
        <v>452100</v>
      </c>
      <c r="B95" s="2">
        <v>749</v>
      </c>
      <c r="C95" s="7" t="str">
        <f t="shared" si="6"/>
        <v>Premium5R3less</v>
      </c>
      <c r="D95" s="93" t="str">
        <f t="shared" si="7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v>53015.999999999993</v>
      </c>
      <c r="P95" s="46">
        <f t="shared" si="8"/>
        <v>1.2051282051282051E-2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input_452100!A$2</f>
        <v>452100</v>
      </c>
      <c r="B96" s="2">
        <v>771</v>
      </c>
      <c r="C96" s="7" t="str">
        <f t="shared" si="6"/>
        <v>PremiumSS5</v>
      </c>
      <c r="D96" s="93" t="str">
        <f t="shared" si="7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v>3666</v>
      </c>
      <c r="P96" s="46">
        <f t="shared" si="8"/>
        <v>8.333333333333335E-4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input_452100!A$2</f>
        <v>452100</v>
      </c>
      <c r="B97" s="2">
        <v>773</v>
      </c>
      <c r="C97" s="7" t="str">
        <f t="shared" si="6"/>
        <v>PremiumSS5</v>
      </c>
      <c r="D97" s="93" t="str">
        <f t="shared" si="7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v>3666</v>
      </c>
      <c r="P97" s="46">
        <f t="shared" si="8"/>
        <v>8.333333333333335E-4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input_452100!A$2</f>
        <v>452100</v>
      </c>
      <c r="B98" s="2">
        <v>776</v>
      </c>
      <c r="C98" s="7" t="str">
        <f t="shared" si="6"/>
        <v>Premium5</v>
      </c>
      <c r="D98" s="93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v>53015.999999999993</v>
      </c>
      <c r="P98" s="46">
        <f t="shared" si="8"/>
        <v>1.2051282051282051E-2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input_452100!A$2</f>
        <v>452100</v>
      </c>
      <c r="B99" s="2">
        <v>779</v>
      </c>
      <c r="C99" s="7" t="str">
        <f t="shared" si="6"/>
        <v>Premium5</v>
      </c>
      <c r="D99" s="93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v>53015.999999999993</v>
      </c>
      <c r="P99" s="46">
        <f t="shared" si="8"/>
        <v>1.2051282051282051E-2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input_452100!A$2</f>
        <v>452100</v>
      </c>
      <c r="B100" s="2">
        <v>848</v>
      </c>
      <c r="C100" s="7" t="str">
        <f t="shared" si="6"/>
        <v>PremiumSS5R5only</v>
      </c>
      <c r="D100" s="93" t="str">
        <f t="shared" si="7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v>3666</v>
      </c>
      <c r="P100" s="46">
        <f t="shared" si="8"/>
        <v>8.333333333333335E-4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input_452100!A$2</f>
        <v>452100</v>
      </c>
      <c r="B101" s="2">
        <v>850</v>
      </c>
      <c r="C101" s="7" t="str">
        <f t="shared" si="6"/>
        <v>PremiumSS5R5only</v>
      </c>
      <c r="D101" s="93" t="str">
        <f t="shared" si="7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v>3666</v>
      </c>
      <c r="P101" s="46">
        <f t="shared" si="8"/>
        <v>8.333333333333335E-4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input_452100!A$2</f>
        <v>452100</v>
      </c>
      <c r="B102" s="2">
        <v>853</v>
      </c>
      <c r="C102" s="7" t="str">
        <f t="shared" si="6"/>
        <v>Premium5R3less</v>
      </c>
      <c r="D102" s="93" t="str">
        <f t="shared" si="7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v>53015.999999999993</v>
      </c>
      <c r="P102" s="46">
        <f t="shared" si="8"/>
        <v>1.2051282051282051E-2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input_452100!A$2</f>
        <v>452100</v>
      </c>
      <c r="B103" s="2">
        <v>855</v>
      </c>
      <c r="C103" s="7" t="str">
        <f t="shared" si="6"/>
        <v>Premium5R3less</v>
      </c>
      <c r="D103" s="93" t="str">
        <f t="shared" si="7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v>53015.999999999993</v>
      </c>
      <c r="P103" s="46">
        <f t="shared" si="8"/>
        <v>1.2051282051282051E-2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input_452100!A$2</f>
        <v>452100</v>
      </c>
      <c r="B104" s="2">
        <v>863</v>
      </c>
      <c r="C104" s="7" t="str">
        <f t="shared" si="6"/>
        <v>Premium5R3less</v>
      </c>
      <c r="D104" s="93" t="str">
        <f t="shared" si="7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v>53015.999999999993</v>
      </c>
      <c r="P104" s="46">
        <f t="shared" si="8"/>
        <v>1.2051282051282051E-2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input_452100!A$2</f>
        <v>452100</v>
      </c>
      <c r="B105" s="2">
        <v>865</v>
      </c>
      <c r="C105" s="7" t="str">
        <f t="shared" si="6"/>
        <v>Premium5R3less</v>
      </c>
      <c r="D105" s="93" t="str">
        <f t="shared" si="7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v>53015.999999999993</v>
      </c>
      <c r="P105" s="46">
        <f t="shared" si="8"/>
        <v>1.2051282051282051E-2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input_452100!A$2</f>
        <v>452100</v>
      </c>
      <c r="B106" s="2">
        <v>866</v>
      </c>
      <c r="C106" s="7" t="str">
        <f t="shared" si="6"/>
        <v>PremiumSS5R5only</v>
      </c>
      <c r="D106" s="93" t="str">
        <f t="shared" si="7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v>3666</v>
      </c>
      <c r="P106" s="46">
        <f t="shared" si="8"/>
        <v>8.333333333333335E-4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input_452100!A$2</f>
        <v>452100</v>
      </c>
      <c r="B107" s="2">
        <v>868</v>
      </c>
      <c r="C107" s="7" t="str">
        <f t="shared" si="6"/>
        <v>PremiumSS5R5only</v>
      </c>
      <c r="D107" s="93" t="str">
        <f t="shared" si="7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v>3666</v>
      </c>
      <c r="P107" s="46">
        <f t="shared" si="8"/>
        <v>8.333333333333335E-4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input_452100!A$2</f>
        <v>452100</v>
      </c>
      <c r="B108" s="2">
        <v>937</v>
      </c>
      <c r="C108" s="7" t="str">
        <f t="shared" si="6"/>
        <v>PremiumSS5R5only</v>
      </c>
      <c r="D108" s="93" t="str">
        <f t="shared" si="7"/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v>3666</v>
      </c>
      <c r="P108" s="46">
        <f t="shared" si="8"/>
        <v>8.333333333333335E-4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input_452100!A$2</f>
        <v>452100</v>
      </c>
      <c r="B109" s="2">
        <v>940</v>
      </c>
      <c r="C109" s="7" t="str">
        <f t="shared" si="6"/>
        <v>Premium5R3less</v>
      </c>
      <c r="D109" s="93" t="str">
        <f t="shared" si="7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v>53015.999999999993</v>
      </c>
      <c r="P109" s="46">
        <f t="shared" si="8"/>
        <v>1.2051282051282051E-2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input_452100!A$2</f>
        <v>452100</v>
      </c>
      <c r="B110" s="2">
        <v>941</v>
      </c>
      <c r="C110" s="7" t="str">
        <f t="shared" si="6"/>
        <v>PremiumSS5R5only</v>
      </c>
      <c r="D110" s="93" t="str">
        <f t="shared" si="7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v>3666</v>
      </c>
      <c r="P110" s="46">
        <f t="shared" si="8"/>
        <v>8.333333333333335E-4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input_452100!A$2</f>
        <v>452100</v>
      </c>
      <c r="B111" s="2">
        <v>943</v>
      </c>
      <c r="C111" s="7" t="str">
        <f t="shared" si="6"/>
        <v>PremiumSS5R5only</v>
      </c>
      <c r="D111" s="93" t="str">
        <f t="shared" si="7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v>3666</v>
      </c>
      <c r="P111" s="46">
        <f t="shared" si="8"/>
        <v>8.333333333333335E-4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input_452100!A$2</f>
        <v>452100</v>
      </c>
      <c r="B112" s="2">
        <v>1012</v>
      </c>
      <c r="C112" s="7" t="str">
        <f t="shared" si="6"/>
        <v>PremiumSS5R5only</v>
      </c>
      <c r="D112" s="93" t="str">
        <f t="shared" si="7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v>3666</v>
      </c>
      <c r="P112" s="46">
        <f t="shared" si="8"/>
        <v>8.333333333333335E-4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input_452100!A$2</f>
        <v>452100</v>
      </c>
      <c r="B113" s="2">
        <v>1014</v>
      </c>
      <c r="C113" s="7" t="str">
        <f t="shared" si="6"/>
        <v>PremiumSS5R5only</v>
      </c>
      <c r="D113" s="93" t="str">
        <f t="shared" si="7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v>3666</v>
      </c>
      <c r="P113" s="46">
        <f t="shared" si="8"/>
        <v>8.333333333333335E-4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input_452100!A$2</f>
        <v>452100</v>
      </c>
      <c r="B114" s="2">
        <v>1017</v>
      </c>
      <c r="C114" s="7" t="str">
        <f t="shared" si="6"/>
        <v>Premium5R3less</v>
      </c>
      <c r="D114" s="93" t="str">
        <f t="shared" si="7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v>53015.999999999993</v>
      </c>
      <c r="P114" s="46">
        <f t="shared" si="8"/>
        <v>1.2051282051282051E-2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input_452100!A$2</f>
        <v>452100</v>
      </c>
      <c r="B115" s="2">
        <v>1018</v>
      </c>
      <c r="C115" s="7" t="str">
        <f t="shared" si="6"/>
        <v>PremiumSS5R5only</v>
      </c>
      <c r="D115" s="93" t="str">
        <f t="shared" si="7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v>3666</v>
      </c>
      <c r="P115" s="46">
        <f t="shared" si="8"/>
        <v>8.333333333333335E-4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input_452100!A$2</f>
        <v>452100</v>
      </c>
      <c r="B116" s="2">
        <v>1027</v>
      </c>
      <c r="C116" s="7" t="str">
        <f t="shared" si="6"/>
        <v>Premium5R3less</v>
      </c>
      <c r="D116" s="93" t="str">
        <f t="shared" si="7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v>53015.999999999993</v>
      </c>
      <c r="P116" s="46">
        <f t="shared" si="8"/>
        <v>1.2051282051282051E-2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input_452100!A$2</f>
        <v>452100</v>
      </c>
      <c r="B117" s="2">
        <v>1028</v>
      </c>
      <c r="C117" s="7" t="str">
        <f t="shared" si="6"/>
        <v>PremiumSS5R5only</v>
      </c>
      <c r="D117" s="93" t="str">
        <f t="shared" si="7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v>3666</v>
      </c>
      <c r="P117" s="46">
        <f t="shared" si="8"/>
        <v>8.333333333333335E-4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input_452100!A$2</f>
        <v>452100</v>
      </c>
      <c r="B118" s="2">
        <v>1031</v>
      </c>
      <c r="C118" s="7" t="str">
        <f t="shared" si="6"/>
        <v>PremiumSS5R5only</v>
      </c>
      <c r="D118" s="93" t="str">
        <f t="shared" si="7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v>3666</v>
      </c>
      <c r="P118" s="46">
        <f t="shared" si="8"/>
        <v>8.333333333333335E-4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input_452100!A$2</f>
        <v>452100</v>
      </c>
      <c r="B119" s="2">
        <v>1033</v>
      </c>
      <c r="C119" s="7" t="str">
        <f t="shared" si="6"/>
        <v>PremiumSS5R5only</v>
      </c>
      <c r="D119" s="93" t="str">
        <f t="shared" si="7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v>3666</v>
      </c>
      <c r="P119" s="46">
        <f t="shared" si="8"/>
        <v>8.333333333333335E-4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input_452100!A$2</f>
        <v>452100</v>
      </c>
      <c r="B120" s="2">
        <v>1068</v>
      </c>
      <c r="C120" s="7" t="str">
        <f t="shared" si="6"/>
        <v>Premium5R3less</v>
      </c>
      <c r="D120" s="93" t="str">
        <f t="shared" si="7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v>53015.999999999993</v>
      </c>
      <c r="P120" s="46">
        <f t="shared" si="8"/>
        <v>1.2051282051282051E-2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input_452100!A$2</f>
        <v>452100</v>
      </c>
      <c r="B121" s="2">
        <v>1069</v>
      </c>
      <c r="C121" s="7" t="str">
        <f t="shared" si="6"/>
        <v>PremiumSS5R5only</v>
      </c>
      <c r="D121" s="93" t="str">
        <f t="shared" si="7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v>3666</v>
      </c>
      <c r="P121" s="46">
        <f t="shared" si="8"/>
        <v>8.333333333333335E-4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input_452100!A$2</f>
        <v>452100</v>
      </c>
      <c r="B122" s="2">
        <v>1072</v>
      </c>
      <c r="C122" s="7" t="str">
        <f t="shared" si="6"/>
        <v>PremiumSS5R5only</v>
      </c>
      <c r="D122" s="93" t="str">
        <f t="shared" si="7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v>3666</v>
      </c>
      <c r="P122" s="46">
        <f t="shared" si="8"/>
        <v>8.333333333333335E-4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input_452100!A$2</f>
        <v>452100</v>
      </c>
      <c r="B123" s="2">
        <v>1074</v>
      </c>
      <c r="C123" s="7" t="str">
        <f t="shared" si="6"/>
        <v>PremiumSS5R5only</v>
      </c>
      <c r="D123" s="93" t="str">
        <f t="shared" si="7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v>3666</v>
      </c>
      <c r="P123" s="46">
        <f t="shared" si="8"/>
        <v>8.333333333333335E-4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input_452100!A$2</f>
        <v>452100</v>
      </c>
      <c r="B124" s="2">
        <v>1100</v>
      </c>
      <c r="C124" s="7" t="str">
        <f t="shared" si="6"/>
        <v>PremiumSS5R5only</v>
      </c>
      <c r="D124" s="93" t="str">
        <f t="shared" si="7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v>3666</v>
      </c>
      <c r="P124" s="46">
        <f t="shared" si="8"/>
        <v>8.333333333333335E-4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input_452100!A$2</f>
        <v>452100</v>
      </c>
      <c r="B125" s="2">
        <v>1102</v>
      </c>
      <c r="C125" s="7" t="str">
        <f t="shared" si="6"/>
        <v>PremiumSS5R5only</v>
      </c>
      <c r="D125" s="93" t="str">
        <f t="shared" si="7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v>3666</v>
      </c>
      <c r="P125" s="46">
        <f t="shared" si="8"/>
        <v>8.333333333333335E-4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input_452100!A$2</f>
        <v>452100</v>
      </c>
      <c r="B126" s="2">
        <v>1105</v>
      </c>
      <c r="C126" s="7" t="str">
        <f t="shared" si="6"/>
        <v>Premium5R3less</v>
      </c>
      <c r="D126" s="93" t="str">
        <f t="shared" si="7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v>53015.999999999993</v>
      </c>
      <c r="P126" s="46">
        <f t="shared" si="8"/>
        <v>1.2051282051282051E-2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input_452100!A$2</f>
        <v>452100</v>
      </c>
      <c r="B127" s="2">
        <v>1106</v>
      </c>
      <c r="C127" s="7" t="str">
        <f t="shared" si="6"/>
        <v>PremiumSS5R5only</v>
      </c>
      <c r="D127" s="93" t="str">
        <f t="shared" si="7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v>3666</v>
      </c>
      <c r="P127" s="46">
        <f t="shared" si="8"/>
        <v>8.333333333333335E-4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input_452100!A$2</f>
        <v>452100</v>
      </c>
      <c r="B128" s="2">
        <v>1137</v>
      </c>
      <c r="C128" s="7" t="str">
        <f t="shared" si="6"/>
        <v>PremiumSS5R5only</v>
      </c>
      <c r="D128" s="93" t="str">
        <f t="shared" si="7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v>3666</v>
      </c>
      <c r="P128" s="46">
        <f t="shared" si="8"/>
        <v>8.333333333333335E-4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input_452100!A$2</f>
        <v>452100</v>
      </c>
      <c r="B129" s="2">
        <v>1139</v>
      </c>
      <c r="C129" s="7" t="str">
        <f t="shared" si="6"/>
        <v>PremiumSS5R5only</v>
      </c>
      <c r="D129" s="93" t="str">
        <f t="shared" si="7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v>3666</v>
      </c>
      <c r="P129" s="46">
        <f t="shared" si="8"/>
        <v>8.333333333333335E-4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input_452100!A$2</f>
        <v>452100</v>
      </c>
      <c r="B130" s="2">
        <v>1141</v>
      </c>
      <c r="C130" s="7" t="str">
        <f t="shared" si="6"/>
        <v>PremiumSS5R5only</v>
      </c>
      <c r="D130" s="93" t="str">
        <f t="shared" si="7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v>3666</v>
      </c>
      <c r="P130" s="46">
        <f t="shared" si="8"/>
        <v>8.333333333333335E-4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input_452100!A$2</f>
        <v>452100</v>
      </c>
      <c r="B131" s="2">
        <v>1144</v>
      </c>
      <c r="C131" s="7" t="str">
        <f t="shared" si="6"/>
        <v>Premium5R3less</v>
      </c>
      <c r="D131" s="93" t="str">
        <f t="shared" si="7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v>53015.999999999993</v>
      </c>
      <c r="P131" s="46">
        <f t="shared" si="8"/>
        <v>1.2051282051282051E-2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input_452100!A$2</f>
        <v>452100</v>
      </c>
      <c r="B132" s="2">
        <v>1152</v>
      </c>
      <c r="C132" s="7" t="str">
        <f t="shared" si="6"/>
        <v>Premium5R3less</v>
      </c>
      <c r="D132" s="93" t="str">
        <f t="shared" si="7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v>53015.999999999993</v>
      </c>
      <c r="P132" s="46">
        <f t="shared" si="8"/>
        <v>1.2051282051282051E-2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input_452100!A$2</f>
        <v>452100</v>
      </c>
      <c r="B133" s="2">
        <v>1153</v>
      </c>
      <c r="C133" s="7" t="str">
        <f t="shared" si="6"/>
        <v>PremiumSS5R5only</v>
      </c>
      <c r="D133" s="93" t="str">
        <f t="shared" si="7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v>3666</v>
      </c>
      <c r="P133" s="46">
        <f t="shared" si="8"/>
        <v>8.333333333333335E-4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input_452100!A$2</f>
        <v>452100</v>
      </c>
      <c r="B134" s="2">
        <v>1155</v>
      </c>
      <c r="C134" s="7" t="str">
        <f t="shared" si="6"/>
        <v>PremiumSS5R5only</v>
      </c>
      <c r="D134" s="93" t="str">
        <f t="shared" si="7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v>3666</v>
      </c>
      <c r="P134" s="46">
        <f t="shared" si="8"/>
        <v>8.333333333333335E-4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input_452100!A$2</f>
        <v>452100</v>
      </c>
      <c r="B135" s="2">
        <v>1157</v>
      </c>
      <c r="C135" s="7" t="str">
        <f t="shared" si="6"/>
        <v>PremiumSS5R5only</v>
      </c>
      <c r="D135" s="93" t="str">
        <f t="shared" si="7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v>3666</v>
      </c>
      <c r="P135" s="46">
        <f t="shared" si="8"/>
        <v>8.333333333333335E-4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input_452100!A$2</f>
        <v>452100</v>
      </c>
      <c r="B136" s="2">
        <v>1214</v>
      </c>
      <c r="C136" s="7" t="str">
        <f t="shared" ref="C136:C141" si="9">D136&amp;J136&amp;E136&amp;F136&amp;G136</f>
        <v>PremiumSS5R5only</v>
      </c>
      <c r="D136" s="93" t="str">
        <f t="shared" ref="D136:D141" si="10">IF(OR(I136="PremiumSS",I136="PremiumSSw"),"PremiumSS",IF(I136="PremiumSSS",I136,IF(I136="PremiumW",IF(J136=5,"premium",I136),"Premium")))</f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v>3666</v>
      </c>
      <c r="P136" s="46">
        <f t="shared" ref="P136:P141" si="11">O136/SUM(O:O)</f>
        <v>8.333333333333335E-4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input_452100!A$2</f>
        <v>452100</v>
      </c>
      <c r="B137" s="2">
        <v>1212</v>
      </c>
      <c r="C137" s="7" t="str">
        <f t="shared" si="9"/>
        <v>PremiumSS5R5only</v>
      </c>
      <c r="D137" s="93" t="str">
        <f t="shared" si="10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v>3666</v>
      </c>
      <c r="P137" s="46">
        <f t="shared" si="11"/>
        <v>8.333333333333335E-4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input_452100!A$2</f>
        <v>452100</v>
      </c>
      <c r="B138" s="2">
        <v>1208</v>
      </c>
      <c r="C138" s="7" t="str">
        <f t="shared" si="9"/>
        <v>PremiumSS5R5only</v>
      </c>
      <c r="D138" s="93" t="str">
        <f t="shared" si="10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v>3666</v>
      </c>
      <c r="P138" s="46">
        <f t="shared" si="11"/>
        <v>8.333333333333335E-4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input_452100!A$2</f>
        <v>452100</v>
      </c>
      <c r="B139" s="2">
        <v>1211</v>
      </c>
      <c r="C139" s="7" t="str">
        <f t="shared" si="9"/>
        <v>Premium5R3less</v>
      </c>
      <c r="D139" s="93" t="str">
        <f t="shared" si="10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v>53015.999999999993</v>
      </c>
      <c r="P139" s="46">
        <f t="shared" si="11"/>
        <v>1.2051282051282051E-2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input_452100!A$2</f>
        <v>452100</v>
      </c>
      <c r="B140" s="2">
        <v>762</v>
      </c>
      <c r="C140" s="7" t="str">
        <f t="shared" si="9"/>
        <v>PremiumSSS5R3less</v>
      </c>
      <c r="D140" s="93" t="str">
        <f t="shared" si="10"/>
        <v>PremiumSSS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フィボナッチ</v>
      </c>
      <c r="I140" s="7" t="str">
        <f>VLOOKUP(B140,[1]characters!$A:$J,10,FALSE)</f>
        <v>PremiumSSS</v>
      </c>
      <c r="J140" s="7">
        <f>VLOOKUP(B140,[1]characters!$A:$I,9,FALSE)</f>
        <v>5</v>
      </c>
      <c r="K140" s="7" t="str">
        <f>VLOOKUP(B140,[1]characters!$A:$H,8,FALSE)</f>
        <v>blue</v>
      </c>
      <c r="L140" s="7" t="str">
        <f>VLOOKUP(B140,[1]characters!$A:$K,11,FALSE)</f>
        <v>balance</v>
      </c>
      <c r="M140" s="7" t="str">
        <f>VLOOKUP(B140,[1]characters!$A:$M,13,FALSE)</f>
        <v>human</v>
      </c>
      <c r="N140" s="7" t="str">
        <f>VLOOKUP(B140,[1]characters!$A:$G,7,FALSE)</f>
        <v>男性</v>
      </c>
      <c r="O140" s="45">
        <v>21996</v>
      </c>
      <c r="P140" s="46">
        <f t="shared" si="11"/>
        <v>5.000000000000001E-3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input_452100!A$2</f>
        <v>452100</v>
      </c>
      <c r="B141" s="2">
        <v>1232</v>
      </c>
      <c r="C141" s="7" t="str">
        <f t="shared" si="9"/>
        <v>PremiumSSS5R3less</v>
      </c>
      <c r="D141" s="93" t="str">
        <f t="shared" si="10"/>
        <v>PremiumSSS</v>
      </c>
      <c r="E141" s="7" t="str">
        <f>IF(COUNTIF('R6追加前'!A:A,B141)=0,IF(OR(I141="PremiumSS",I141="PremiumSSw"),"R5only","R3less"),"")</f>
        <v>R3less</v>
      </c>
      <c r="F141" s="7" t="str">
        <f>IF(COUNTIF('R6開放'!A:A,B141)&gt;0,"R6release","")</f>
        <v/>
      </c>
      <c r="G141" s="7"/>
      <c r="H141" s="7" t="str">
        <f>VLOOKUP(B141,[1]characters!$A:$C,3,FALSE)</f>
        <v>ケプラー</v>
      </c>
      <c r="I141" s="7" t="str">
        <f>VLOOKUP(B141,[1]characters!$A:$J,10,FALSE)</f>
        <v>PremiumSSS</v>
      </c>
      <c r="J141" s="7">
        <f>VLOOKUP(B141,[1]characters!$A:$I,9,FALSE)</f>
        <v>5</v>
      </c>
      <c r="K141" s="7" t="str">
        <f>VLOOKUP(B141,[1]characters!$A:$H,8,FALSE)</f>
        <v>yellow</v>
      </c>
      <c r="L141" s="7" t="str">
        <f>VLOOKUP(B141,[1]characters!$A:$K,11,FALSE)</f>
        <v>attack</v>
      </c>
      <c r="M141" s="7" t="str">
        <f>VLOOKUP(B141,[1]characters!$A:$M,13,FALSE)</f>
        <v>academia</v>
      </c>
      <c r="N141" s="7">
        <f>VLOOKUP(B141,[1]characters!$A:$G,7,FALSE)</f>
        <v>0</v>
      </c>
      <c r="O141" s="45">
        <v>21996</v>
      </c>
      <c r="P141" s="46">
        <f t="shared" si="11"/>
        <v>5.000000000000001E-3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E142" s="1" t="s">
        <v>255</v>
      </c>
      <c r="F142" s="1">
        <f>COUNTIF(D:D,E142)</f>
        <v>2</v>
      </c>
      <c r="G142" s="1">
        <f>F145*0.01/F142</f>
        <v>21996</v>
      </c>
    </row>
    <row r="143" spans="1:22" ht="21" customHeight="1" x14ac:dyDescent="0.15">
      <c r="E143" s="1" t="s">
        <v>256</v>
      </c>
      <c r="F143" s="1">
        <f t="shared" ref="F143:F144" si="12">COUNTIF(D:D,E143)</f>
        <v>60</v>
      </c>
      <c r="G143" s="1">
        <f>F145*0.05/F143</f>
        <v>3666</v>
      </c>
    </row>
    <row r="144" spans="1:22" ht="21" customHeight="1" x14ac:dyDescent="0.15">
      <c r="E144" s="1" t="s">
        <v>257</v>
      </c>
      <c r="F144" s="1">
        <f t="shared" si="12"/>
        <v>78</v>
      </c>
      <c r="G144" s="1">
        <f>F145*0.94/F144</f>
        <v>53015.999999999993</v>
      </c>
    </row>
    <row r="145" spans="6:7" ht="21" customHeight="1" x14ac:dyDescent="0.15">
      <c r="F145" s="1">
        <f>F142*F143*F144*94*5</f>
        <v>4399200</v>
      </c>
      <c r="G145" s="1">
        <f>GCD(G142,G143,G144)</f>
        <v>1</v>
      </c>
    </row>
  </sheetData>
  <autoFilter ref="A1:V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B3" sqref="B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3">
        <v>452105</v>
      </c>
      <c r="B2" s="103">
        <v>4521051</v>
      </c>
      <c r="C2" s="79" t="s">
        <v>258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259</v>
      </c>
      <c r="O2" s="79" t="s">
        <v>260</v>
      </c>
      <c r="P2" s="79" t="s">
        <v>261</v>
      </c>
      <c r="Q2" s="80" t="s">
        <v>262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input_452010</vt:lpstr>
      <vt:lpstr>tables_452010</vt:lpstr>
      <vt:lpstr>input_452100</vt:lpstr>
      <vt:lpstr>tables_452100</vt:lpstr>
      <vt:lpstr>tables_settle_452100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2016-11-10T09:18:38Z</dcterms:modified>
</cp:coreProperties>
</file>